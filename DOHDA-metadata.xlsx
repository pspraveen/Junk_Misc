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threadedComments/threadedComment1.xml" ContentType="application/vnd.ms-excel.threadedcomments+xml"/>
  <Override PartName="/xl/persons/person.xml" ContentType="application/vnd.ms-excel.person+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defaultThemeVersion="202300"/>
  <mc:AlternateContent xmlns:mc="http://schemas.openxmlformats.org/markup-compatibility/2006">
    <mc:Choice Requires="x15">
      <x15ac:absPath xmlns:x15ac="http://schemas.microsoft.com/office/spreadsheetml/2010/11/ac" url="C:\Users\PPK099\Downloads\"/>
    </mc:Choice>
  </mc:AlternateContent>
  <xr:revisionPtr revIDLastSave="0" documentId="13_ncr:1_{2936184E-9B5B-441A-B2B6-4FFF24BF5F1D}" xr6:coauthVersionLast="47" xr6:coauthVersionMax="47" xr10:uidLastSave="{00000000-0000-0000-0000-000000000000}"/>
  <bookViews>
    <workbookView xWindow="-28920" yWindow="-120" windowWidth="29040" windowHeight="15720" xr2:uid="{BFF22CF0-B6ED-4DBD-A82E-59E388ACFF4B}"/>
  </bookViews>
  <sheets>
    <sheet name="SNFMetadata" sheetId="1" r:id="rId1"/>
  </sheets>
  <externalReferences>
    <externalReference r:id="rId2"/>
  </externalReferences>
  <definedNames>
    <definedName name="_xlnm._FilterDatabase" localSheetId="0" hidden="1">SNFMetadata!$A$1:$V$135</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U135" i="1" l="1"/>
  <c r="O135" i="1"/>
  <c r="N135" i="1"/>
  <c r="L135" i="1"/>
  <c r="K135" i="1"/>
  <c r="M135" i="1" s="1"/>
  <c r="J135" i="1"/>
  <c r="I135" i="1"/>
  <c r="H135" i="1"/>
  <c r="F135" i="1"/>
  <c r="E135" i="1"/>
  <c r="D135" i="1"/>
  <c r="C135" i="1"/>
  <c r="P135" i="1" s="1"/>
  <c r="B135" i="1"/>
  <c r="P134" i="1"/>
  <c r="O134" i="1"/>
  <c r="N134" i="1"/>
  <c r="K134" i="1"/>
  <c r="I134" i="1"/>
  <c r="M134" i="1" s="1"/>
  <c r="H134" i="1"/>
  <c r="F134" i="1"/>
  <c r="E134" i="1"/>
  <c r="D134" i="1"/>
  <c r="C134" i="1"/>
  <c r="B134" i="1"/>
  <c r="U134" i="1" s="1"/>
  <c r="U133" i="1"/>
  <c r="O133" i="1"/>
  <c r="N133" i="1"/>
  <c r="L133" i="1"/>
  <c r="K133" i="1"/>
  <c r="J133" i="1" s="1"/>
  <c r="D133" i="1"/>
  <c r="C133" i="1"/>
  <c r="B133" i="1"/>
  <c r="P132" i="1"/>
  <c r="O132" i="1"/>
  <c r="N132" i="1"/>
  <c r="M132" i="1"/>
  <c r="L132" i="1"/>
  <c r="K132" i="1"/>
  <c r="J132" i="1" s="1"/>
  <c r="H132" i="1"/>
  <c r="E132" i="1"/>
  <c r="D132" i="1"/>
  <c r="C132" i="1"/>
  <c r="I132" i="1" s="1"/>
  <c r="B132" i="1"/>
  <c r="U132" i="1" s="1"/>
  <c r="U131" i="1"/>
  <c r="O131" i="1"/>
  <c r="N131" i="1"/>
  <c r="K131" i="1"/>
  <c r="H131" i="1"/>
  <c r="D131" i="1"/>
  <c r="C131" i="1"/>
  <c r="I131" i="1" s="1"/>
  <c r="B131" i="1"/>
  <c r="E131" i="1" s="1"/>
  <c r="U130" i="1"/>
  <c r="P130" i="1"/>
  <c r="O130" i="1"/>
  <c r="N130" i="1"/>
  <c r="L130" i="1"/>
  <c r="K130" i="1"/>
  <c r="M130" i="1" s="1"/>
  <c r="J130" i="1"/>
  <c r="I130" i="1"/>
  <c r="H130" i="1"/>
  <c r="F130" i="1"/>
  <c r="E130" i="1"/>
  <c r="D130" i="1"/>
  <c r="C130" i="1"/>
  <c r="B130" i="1"/>
  <c r="U129" i="1"/>
  <c r="O129" i="1"/>
  <c r="N129" i="1"/>
  <c r="M129" i="1"/>
  <c r="L129" i="1"/>
  <c r="K129" i="1"/>
  <c r="J129" i="1" s="1"/>
  <c r="I129" i="1"/>
  <c r="H129" i="1"/>
  <c r="F129" i="1"/>
  <c r="E129" i="1"/>
  <c r="D129" i="1"/>
  <c r="C129" i="1"/>
  <c r="P129" i="1" s="1"/>
  <c r="B129" i="1"/>
  <c r="U128" i="1"/>
  <c r="P128" i="1"/>
  <c r="O128" i="1"/>
  <c r="N128" i="1"/>
  <c r="L128" i="1"/>
  <c r="K128" i="1"/>
  <c r="J128" i="1" s="1"/>
  <c r="D128" i="1"/>
  <c r="C128" i="1"/>
  <c r="B128" i="1"/>
  <c r="P127" i="1"/>
  <c r="O127" i="1"/>
  <c r="N127" i="1"/>
  <c r="L127" i="1"/>
  <c r="K127" i="1"/>
  <c r="J127" i="1" s="1"/>
  <c r="H127" i="1"/>
  <c r="D127" i="1"/>
  <c r="C127" i="1"/>
  <c r="I127" i="1" s="1"/>
  <c r="M127" i="1" s="1"/>
  <c r="B127" i="1"/>
  <c r="E127" i="1" s="1"/>
  <c r="U126" i="1"/>
  <c r="P126" i="1"/>
  <c r="O126" i="1"/>
  <c r="N126" i="1"/>
  <c r="L126" i="1"/>
  <c r="K126" i="1"/>
  <c r="J126" i="1"/>
  <c r="H126" i="1"/>
  <c r="E126" i="1"/>
  <c r="D126" i="1"/>
  <c r="C126" i="1"/>
  <c r="I126" i="1" s="1"/>
  <c r="B126" i="1"/>
  <c r="U125" i="1"/>
  <c r="O125" i="1"/>
  <c r="N125" i="1"/>
  <c r="M125" i="1"/>
  <c r="L125" i="1"/>
  <c r="K125" i="1"/>
  <c r="J125" i="1" s="1"/>
  <c r="I125" i="1"/>
  <c r="H125" i="1"/>
  <c r="F125" i="1"/>
  <c r="E125" i="1"/>
  <c r="D125" i="1"/>
  <c r="C125" i="1"/>
  <c r="P125" i="1" s="1"/>
  <c r="B125" i="1"/>
  <c r="O124" i="1"/>
  <c r="N124" i="1"/>
  <c r="L124" i="1"/>
  <c r="K124" i="1"/>
  <c r="J124" i="1"/>
  <c r="D124" i="1"/>
  <c r="C124" i="1"/>
  <c r="P124" i="1" s="1"/>
  <c r="B124" i="1"/>
  <c r="U124" i="1" s="1"/>
  <c r="O123" i="1"/>
  <c r="N123" i="1"/>
  <c r="L123" i="1"/>
  <c r="K123" i="1"/>
  <c r="J123" i="1" s="1"/>
  <c r="H123" i="1"/>
  <c r="E123" i="1"/>
  <c r="D123" i="1"/>
  <c r="C123" i="1"/>
  <c r="I123" i="1" s="1"/>
  <c r="M123" i="1" s="1"/>
  <c r="B123" i="1"/>
  <c r="U123" i="1" s="1"/>
  <c r="U122" i="1"/>
  <c r="P122" i="1"/>
  <c r="O122" i="1"/>
  <c r="N122" i="1"/>
  <c r="L122" i="1"/>
  <c r="K122" i="1"/>
  <c r="J122" i="1"/>
  <c r="I122" i="1"/>
  <c r="H122" i="1"/>
  <c r="F122" i="1"/>
  <c r="E122" i="1"/>
  <c r="D122" i="1"/>
  <c r="C122" i="1"/>
  <c r="B122" i="1"/>
  <c r="U121" i="1"/>
  <c r="O121" i="1"/>
  <c r="N121" i="1"/>
  <c r="L121" i="1"/>
  <c r="K121" i="1"/>
  <c r="M121" i="1" s="1"/>
  <c r="J121" i="1"/>
  <c r="I121" i="1"/>
  <c r="H121" i="1"/>
  <c r="F121" i="1"/>
  <c r="E121" i="1"/>
  <c r="D121" i="1"/>
  <c r="C121" i="1"/>
  <c r="P121" i="1" s="1"/>
  <c r="B121" i="1"/>
  <c r="O120" i="1"/>
  <c r="N120" i="1"/>
  <c r="L120" i="1"/>
  <c r="K120" i="1"/>
  <c r="D120" i="1"/>
  <c r="C120" i="1"/>
  <c r="B120" i="1"/>
  <c r="O119" i="1"/>
  <c r="N119" i="1"/>
  <c r="L119" i="1"/>
  <c r="K119" i="1"/>
  <c r="J119" i="1" s="1"/>
  <c r="H119" i="1"/>
  <c r="D119" i="1"/>
  <c r="C119" i="1"/>
  <c r="I119" i="1" s="1"/>
  <c r="M119" i="1" s="1"/>
  <c r="B119" i="1"/>
  <c r="U119" i="1" s="1"/>
  <c r="U118" i="1"/>
  <c r="P118" i="1"/>
  <c r="O118" i="1"/>
  <c r="N118" i="1"/>
  <c r="L118" i="1"/>
  <c r="K118" i="1"/>
  <c r="M118" i="1" s="1"/>
  <c r="J118" i="1"/>
  <c r="I118" i="1"/>
  <c r="H118" i="1"/>
  <c r="F118" i="1"/>
  <c r="E118" i="1"/>
  <c r="D118" i="1"/>
  <c r="C118" i="1"/>
  <c r="B118" i="1"/>
  <c r="U117" i="1"/>
  <c r="O117" i="1"/>
  <c r="N117" i="1"/>
  <c r="M117" i="1"/>
  <c r="L117" i="1"/>
  <c r="K117" i="1"/>
  <c r="J117" i="1" s="1"/>
  <c r="I117" i="1"/>
  <c r="H117" i="1"/>
  <c r="F117" i="1"/>
  <c r="E117" i="1"/>
  <c r="D117" i="1"/>
  <c r="C117" i="1"/>
  <c r="P117" i="1" s="1"/>
  <c r="B117" i="1"/>
  <c r="U116" i="1"/>
  <c r="P116" i="1"/>
  <c r="O116" i="1"/>
  <c r="N116" i="1"/>
  <c r="L116" i="1"/>
  <c r="K116" i="1"/>
  <c r="J116" i="1" s="1"/>
  <c r="D116" i="1"/>
  <c r="C116" i="1"/>
  <c r="B116" i="1"/>
  <c r="P115" i="1"/>
  <c r="O115" i="1"/>
  <c r="N115" i="1"/>
  <c r="L115" i="1"/>
  <c r="K115" i="1"/>
  <c r="J115" i="1" s="1"/>
  <c r="H115" i="1"/>
  <c r="D115" i="1"/>
  <c r="C115" i="1"/>
  <c r="I115" i="1" s="1"/>
  <c r="M115" i="1" s="1"/>
  <c r="B115" i="1"/>
  <c r="E115" i="1" s="1"/>
  <c r="U114" i="1"/>
  <c r="P114" i="1"/>
  <c r="O114" i="1"/>
  <c r="N114" i="1"/>
  <c r="L114" i="1"/>
  <c r="K114" i="1"/>
  <c r="J114" i="1"/>
  <c r="H114" i="1"/>
  <c r="E114" i="1"/>
  <c r="D114" i="1"/>
  <c r="C114" i="1"/>
  <c r="I114" i="1" s="1"/>
  <c r="B114" i="1"/>
  <c r="U113" i="1"/>
  <c r="O113" i="1"/>
  <c r="N113" i="1"/>
  <c r="M113" i="1"/>
  <c r="L113" i="1"/>
  <c r="K113" i="1"/>
  <c r="J113" i="1" s="1"/>
  <c r="I113" i="1"/>
  <c r="H113" i="1"/>
  <c r="F113" i="1"/>
  <c r="E113" i="1"/>
  <c r="D113" i="1"/>
  <c r="C113" i="1"/>
  <c r="P113" i="1" s="1"/>
  <c r="B113" i="1"/>
  <c r="O112" i="1"/>
  <c r="N112" i="1"/>
  <c r="L112" i="1"/>
  <c r="K112" i="1"/>
  <c r="J112" i="1"/>
  <c r="D112" i="1"/>
  <c r="C112" i="1"/>
  <c r="P112" i="1" s="1"/>
  <c r="B112" i="1"/>
  <c r="U112" i="1" s="1"/>
  <c r="O111" i="1"/>
  <c r="N111" i="1"/>
  <c r="L111" i="1"/>
  <c r="K111" i="1"/>
  <c r="J111" i="1" s="1"/>
  <c r="H111" i="1"/>
  <c r="E111" i="1"/>
  <c r="D111" i="1"/>
  <c r="C111" i="1"/>
  <c r="I111" i="1" s="1"/>
  <c r="M111" i="1" s="1"/>
  <c r="B111" i="1"/>
  <c r="U111" i="1" s="1"/>
  <c r="U110" i="1"/>
  <c r="P110" i="1"/>
  <c r="O110" i="1"/>
  <c r="N110" i="1"/>
  <c r="L110" i="1"/>
  <c r="K110" i="1"/>
  <c r="J110" i="1"/>
  <c r="I110" i="1"/>
  <c r="H110" i="1"/>
  <c r="F110" i="1"/>
  <c r="E110" i="1"/>
  <c r="D110" i="1"/>
  <c r="C110" i="1"/>
  <c r="B110" i="1"/>
  <c r="U109" i="1"/>
  <c r="O109" i="1"/>
  <c r="N109" i="1"/>
  <c r="L109" i="1"/>
  <c r="K109" i="1"/>
  <c r="M109" i="1" s="1"/>
  <c r="J109" i="1"/>
  <c r="I109" i="1"/>
  <c r="H109" i="1"/>
  <c r="F109" i="1"/>
  <c r="E109" i="1"/>
  <c r="D109" i="1"/>
  <c r="C109" i="1"/>
  <c r="P109" i="1" s="1"/>
  <c r="B109" i="1"/>
  <c r="O108" i="1"/>
  <c r="N108" i="1"/>
  <c r="L108" i="1"/>
  <c r="K108" i="1"/>
  <c r="D108" i="1"/>
  <c r="C108" i="1"/>
  <c r="B108" i="1"/>
  <c r="O107" i="1"/>
  <c r="N107" i="1"/>
  <c r="L107" i="1"/>
  <c r="K107" i="1"/>
  <c r="J107" i="1" s="1"/>
  <c r="H107" i="1"/>
  <c r="D107" i="1"/>
  <c r="C107" i="1"/>
  <c r="I107" i="1" s="1"/>
  <c r="M107" i="1" s="1"/>
  <c r="B107" i="1"/>
  <c r="U107" i="1" s="1"/>
  <c r="U106" i="1"/>
  <c r="P106" i="1"/>
  <c r="O106" i="1"/>
  <c r="N106" i="1"/>
  <c r="L106" i="1"/>
  <c r="K106" i="1"/>
  <c r="M106" i="1" s="1"/>
  <c r="J106" i="1"/>
  <c r="I106" i="1"/>
  <c r="H106" i="1"/>
  <c r="F106" i="1"/>
  <c r="E106" i="1"/>
  <c r="D106" i="1"/>
  <c r="C106" i="1"/>
  <c r="B106" i="1"/>
  <c r="U105" i="1"/>
  <c r="O105" i="1"/>
  <c r="N105" i="1"/>
  <c r="M105" i="1"/>
  <c r="L105" i="1"/>
  <c r="K105" i="1"/>
  <c r="J105" i="1" s="1"/>
  <c r="I105" i="1"/>
  <c r="H105" i="1"/>
  <c r="F105" i="1"/>
  <c r="E105" i="1"/>
  <c r="D105" i="1"/>
  <c r="C105" i="1"/>
  <c r="P105" i="1" s="1"/>
  <c r="B105" i="1"/>
  <c r="U104" i="1"/>
  <c r="P104" i="1"/>
  <c r="O104" i="1"/>
  <c r="N104" i="1"/>
  <c r="L104" i="1"/>
  <c r="K104" i="1"/>
  <c r="J104" i="1" s="1"/>
  <c r="D104" i="1"/>
  <c r="C104" i="1"/>
  <c r="B104" i="1"/>
  <c r="P103" i="1"/>
  <c r="O103" i="1"/>
  <c r="N103" i="1"/>
  <c r="L103" i="1"/>
  <c r="K103" i="1"/>
  <c r="J103" i="1" s="1"/>
  <c r="H103" i="1"/>
  <c r="D103" i="1"/>
  <c r="C103" i="1"/>
  <c r="I103" i="1" s="1"/>
  <c r="M103" i="1" s="1"/>
  <c r="B103" i="1"/>
  <c r="E103" i="1" s="1"/>
  <c r="U102" i="1"/>
  <c r="P102" i="1"/>
  <c r="O102" i="1"/>
  <c r="N102" i="1"/>
  <c r="L102" i="1"/>
  <c r="K102" i="1"/>
  <c r="J102" i="1"/>
  <c r="H102" i="1"/>
  <c r="E102" i="1"/>
  <c r="D102" i="1"/>
  <c r="C102" i="1"/>
  <c r="I102" i="1" s="1"/>
  <c r="B102" i="1"/>
  <c r="U101" i="1"/>
  <c r="O101" i="1"/>
  <c r="N101" i="1"/>
  <c r="M101" i="1"/>
  <c r="L101" i="1"/>
  <c r="K101" i="1"/>
  <c r="J101" i="1" s="1"/>
  <c r="I101" i="1"/>
  <c r="H101" i="1"/>
  <c r="F101" i="1"/>
  <c r="E101" i="1"/>
  <c r="D101" i="1"/>
  <c r="C101" i="1"/>
  <c r="P101" i="1" s="1"/>
  <c r="B101" i="1"/>
  <c r="O100" i="1"/>
  <c r="N100" i="1"/>
  <c r="L100" i="1"/>
  <c r="K100" i="1"/>
  <c r="J100" i="1"/>
  <c r="D100" i="1"/>
  <c r="C100" i="1"/>
  <c r="P100" i="1" s="1"/>
  <c r="B100" i="1"/>
  <c r="U100" i="1" s="1"/>
  <c r="O99" i="1"/>
  <c r="N99" i="1"/>
  <c r="L99" i="1"/>
  <c r="K99" i="1"/>
  <c r="J99" i="1" s="1"/>
  <c r="H99" i="1"/>
  <c r="E99" i="1"/>
  <c r="D99" i="1"/>
  <c r="C99" i="1"/>
  <c r="I99" i="1" s="1"/>
  <c r="M99" i="1" s="1"/>
  <c r="B99" i="1"/>
  <c r="U99" i="1" s="1"/>
  <c r="O98" i="1"/>
  <c r="N98" i="1"/>
  <c r="K98" i="1"/>
  <c r="H98" i="1"/>
  <c r="E98" i="1"/>
  <c r="D98" i="1"/>
  <c r="C98" i="1"/>
  <c r="F98" i="1" s="1"/>
  <c r="B98" i="1"/>
  <c r="U98" i="1" s="1"/>
  <c r="O97" i="1"/>
  <c r="N97" i="1"/>
  <c r="K97" i="1"/>
  <c r="D97" i="1"/>
  <c r="C97" i="1"/>
  <c r="P97" i="1" s="1"/>
  <c r="B97" i="1"/>
  <c r="E97" i="1" s="1"/>
  <c r="U96" i="1"/>
  <c r="O96" i="1"/>
  <c r="N96" i="1"/>
  <c r="M96" i="1"/>
  <c r="L96" i="1"/>
  <c r="K96" i="1"/>
  <c r="J96" i="1"/>
  <c r="I96" i="1"/>
  <c r="H96" i="1"/>
  <c r="F96" i="1"/>
  <c r="E96" i="1"/>
  <c r="D96" i="1"/>
  <c r="C96" i="1"/>
  <c r="P96" i="1" s="1"/>
  <c r="B96" i="1"/>
  <c r="O95" i="1"/>
  <c r="N95" i="1"/>
  <c r="L95" i="1"/>
  <c r="K95" i="1"/>
  <c r="J95" i="1"/>
  <c r="D95" i="1"/>
  <c r="C95" i="1"/>
  <c r="F95" i="1" s="1"/>
  <c r="B95" i="1"/>
  <c r="O94" i="1"/>
  <c r="N94" i="1"/>
  <c r="L94" i="1"/>
  <c r="K94" i="1"/>
  <c r="J94" i="1" s="1"/>
  <c r="E94" i="1"/>
  <c r="D94" i="1"/>
  <c r="C94" i="1"/>
  <c r="I94" i="1" s="1"/>
  <c r="M94" i="1" s="1"/>
  <c r="B94" i="1"/>
  <c r="H94" i="1" s="1"/>
  <c r="O93" i="1"/>
  <c r="N93" i="1"/>
  <c r="K93" i="1"/>
  <c r="D93" i="1"/>
  <c r="C93" i="1"/>
  <c r="I93" i="1" s="1"/>
  <c r="M93" i="1" s="1"/>
  <c r="B93" i="1"/>
  <c r="E93" i="1" s="1"/>
  <c r="O92" i="1"/>
  <c r="N92" i="1"/>
  <c r="K92" i="1"/>
  <c r="D92" i="1"/>
  <c r="C92" i="1"/>
  <c r="I92" i="1" s="1"/>
  <c r="M92" i="1" s="1"/>
  <c r="B92" i="1"/>
  <c r="H92" i="1" s="1"/>
  <c r="U91" i="1"/>
  <c r="O91" i="1"/>
  <c r="N91" i="1"/>
  <c r="L91" i="1"/>
  <c r="K91" i="1"/>
  <c r="J91" i="1" s="1"/>
  <c r="I91" i="1"/>
  <c r="H91" i="1"/>
  <c r="F91" i="1"/>
  <c r="E91" i="1"/>
  <c r="D91" i="1"/>
  <c r="C91" i="1"/>
  <c r="P91" i="1" s="1"/>
  <c r="B91" i="1"/>
  <c r="O90" i="1"/>
  <c r="N90" i="1"/>
  <c r="M90" i="1"/>
  <c r="L90" i="1"/>
  <c r="K90" i="1"/>
  <c r="J90" i="1"/>
  <c r="I90" i="1"/>
  <c r="H90" i="1"/>
  <c r="F90" i="1"/>
  <c r="D90" i="1"/>
  <c r="C90" i="1"/>
  <c r="P90" i="1" s="1"/>
  <c r="B90" i="1"/>
  <c r="O89" i="1"/>
  <c r="N89" i="1"/>
  <c r="L89" i="1"/>
  <c r="K89" i="1"/>
  <c r="J89" i="1" s="1"/>
  <c r="D89" i="1"/>
  <c r="C89" i="1"/>
  <c r="B89" i="1"/>
  <c r="H89" i="1" s="1"/>
  <c r="O88" i="1"/>
  <c r="N88" i="1"/>
  <c r="L88" i="1"/>
  <c r="K88" i="1"/>
  <c r="J88" i="1" s="1"/>
  <c r="H88" i="1"/>
  <c r="E88" i="1"/>
  <c r="D88" i="1"/>
  <c r="C88" i="1"/>
  <c r="I88" i="1" s="1"/>
  <c r="M88" i="1" s="1"/>
  <c r="B88" i="1"/>
  <c r="U88" i="1" s="1"/>
  <c r="U87" i="1"/>
  <c r="O87" i="1"/>
  <c r="N87" i="1"/>
  <c r="L87" i="1"/>
  <c r="K87" i="1"/>
  <c r="J87" i="1"/>
  <c r="I87" i="1"/>
  <c r="H87" i="1"/>
  <c r="F87" i="1"/>
  <c r="E87" i="1"/>
  <c r="D87" i="1"/>
  <c r="C87" i="1"/>
  <c r="P87" i="1" s="1"/>
  <c r="B87" i="1"/>
  <c r="O86" i="1"/>
  <c r="N86" i="1"/>
  <c r="L86" i="1"/>
  <c r="K86" i="1"/>
  <c r="M86" i="1" s="1"/>
  <c r="J86" i="1"/>
  <c r="I86" i="1"/>
  <c r="H86" i="1"/>
  <c r="F86" i="1"/>
  <c r="D86" i="1"/>
  <c r="C86" i="1"/>
  <c r="P86" i="1" s="1"/>
  <c r="B86" i="1"/>
  <c r="U85" i="1"/>
  <c r="O85" i="1"/>
  <c r="N85" i="1"/>
  <c r="L85" i="1"/>
  <c r="K85" i="1"/>
  <c r="J85" i="1" s="1"/>
  <c r="E85" i="1"/>
  <c r="D85" i="1"/>
  <c r="C85" i="1"/>
  <c r="B85" i="1"/>
  <c r="H85" i="1" s="1"/>
  <c r="P84" i="1"/>
  <c r="O84" i="1"/>
  <c r="N84" i="1"/>
  <c r="L84" i="1"/>
  <c r="K84" i="1"/>
  <c r="J84" i="1" s="1"/>
  <c r="I84" i="1"/>
  <c r="M84" i="1" s="1"/>
  <c r="H84" i="1"/>
  <c r="F84" i="1"/>
  <c r="E84" i="1"/>
  <c r="D84" i="1"/>
  <c r="C84" i="1"/>
  <c r="B84" i="1"/>
  <c r="U84" i="1" s="1"/>
  <c r="U83" i="1"/>
  <c r="O83" i="1"/>
  <c r="N83" i="1"/>
  <c r="L83" i="1"/>
  <c r="K83" i="1"/>
  <c r="J83" i="1"/>
  <c r="I83" i="1"/>
  <c r="H83" i="1"/>
  <c r="F83" i="1"/>
  <c r="E83" i="1"/>
  <c r="D83" i="1"/>
  <c r="C83" i="1"/>
  <c r="P83" i="1" s="1"/>
  <c r="B83" i="1"/>
  <c r="O82" i="1"/>
  <c r="N82" i="1"/>
  <c r="L82" i="1"/>
  <c r="K82" i="1"/>
  <c r="M82" i="1" s="1"/>
  <c r="J82" i="1"/>
  <c r="I82" i="1"/>
  <c r="H82" i="1"/>
  <c r="F82" i="1"/>
  <c r="D82" i="1"/>
  <c r="C82" i="1"/>
  <c r="P82" i="1" s="1"/>
  <c r="B82" i="1"/>
  <c r="U81" i="1"/>
  <c r="O81" i="1"/>
  <c r="N81" i="1"/>
  <c r="L81" i="1"/>
  <c r="K81" i="1"/>
  <c r="J81" i="1" s="1"/>
  <c r="E81" i="1"/>
  <c r="D81" i="1"/>
  <c r="C81" i="1"/>
  <c r="B81" i="1"/>
  <c r="H81" i="1" s="1"/>
  <c r="P80" i="1"/>
  <c r="O80" i="1"/>
  <c r="N80" i="1"/>
  <c r="L80" i="1"/>
  <c r="K80" i="1"/>
  <c r="J80" i="1" s="1"/>
  <c r="I80" i="1"/>
  <c r="M80" i="1" s="1"/>
  <c r="H80" i="1"/>
  <c r="F80" i="1"/>
  <c r="E80" i="1"/>
  <c r="D80" i="1"/>
  <c r="C80" i="1"/>
  <c r="B80" i="1"/>
  <c r="U80" i="1" s="1"/>
  <c r="U79" i="1"/>
  <c r="O79" i="1"/>
  <c r="N79" i="1"/>
  <c r="L79" i="1"/>
  <c r="K79" i="1"/>
  <c r="J79" i="1"/>
  <c r="I79" i="1"/>
  <c r="H79" i="1"/>
  <c r="F79" i="1"/>
  <c r="E79" i="1"/>
  <c r="D79" i="1"/>
  <c r="C79" i="1"/>
  <c r="P79" i="1" s="1"/>
  <c r="B79" i="1"/>
  <c r="O78" i="1"/>
  <c r="N78" i="1"/>
  <c r="L78" i="1"/>
  <c r="K78" i="1"/>
  <c r="M78" i="1" s="1"/>
  <c r="J78" i="1"/>
  <c r="I78" i="1"/>
  <c r="H78" i="1"/>
  <c r="F78" i="1"/>
  <c r="D78" i="1"/>
  <c r="C78" i="1"/>
  <c r="P78" i="1" s="1"/>
  <c r="B78" i="1"/>
  <c r="O77" i="1"/>
  <c r="N77" i="1"/>
  <c r="L77" i="1"/>
  <c r="K77" i="1"/>
  <c r="J77" i="1" s="1"/>
  <c r="E77" i="1"/>
  <c r="D77" i="1"/>
  <c r="C77" i="1"/>
  <c r="B77" i="1"/>
  <c r="H77" i="1" s="1"/>
  <c r="O76" i="1"/>
  <c r="N76" i="1"/>
  <c r="K76" i="1"/>
  <c r="D76" i="1"/>
  <c r="C76" i="1"/>
  <c r="B76" i="1"/>
  <c r="H76" i="1" s="1"/>
  <c r="O75" i="1"/>
  <c r="N75" i="1"/>
  <c r="L75" i="1"/>
  <c r="K75" i="1"/>
  <c r="J75" i="1" s="1"/>
  <c r="H75" i="1"/>
  <c r="E75" i="1"/>
  <c r="D75" i="1"/>
  <c r="C75" i="1"/>
  <c r="F75" i="1" s="1"/>
  <c r="B75" i="1"/>
  <c r="U75" i="1" s="1"/>
  <c r="O74" i="1"/>
  <c r="N74" i="1"/>
  <c r="K74" i="1"/>
  <c r="D74" i="1"/>
  <c r="C74" i="1"/>
  <c r="P74" i="1" s="1"/>
  <c r="B74" i="1"/>
  <c r="H74" i="1" s="1"/>
  <c r="U73" i="1"/>
  <c r="O73" i="1"/>
  <c r="N73" i="1"/>
  <c r="M73" i="1"/>
  <c r="L73" i="1"/>
  <c r="K73" i="1"/>
  <c r="J73" i="1"/>
  <c r="I73" i="1"/>
  <c r="H73" i="1"/>
  <c r="F73" i="1"/>
  <c r="E73" i="1"/>
  <c r="D73" i="1"/>
  <c r="C73" i="1"/>
  <c r="P73" i="1" s="1"/>
  <c r="B73" i="1"/>
  <c r="O72" i="1"/>
  <c r="N72" i="1"/>
  <c r="L72" i="1"/>
  <c r="K72" i="1"/>
  <c r="J72" i="1"/>
  <c r="D72" i="1"/>
  <c r="C72" i="1"/>
  <c r="F72" i="1" s="1"/>
  <c r="B72" i="1"/>
  <c r="O71" i="1"/>
  <c r="N71" i="1"/>
  <c r="L71" i="1"/>
  <c r="K71" i="1"/>
  <c r="J71" i="1" s="1"/>
  <c r="E71" i="1"/>
  <c r="D71" i="1"/>
  <c r="C71" i="1"/>
  <c r="I71" i="1" s="1"/>
  <c r="M71" i="1" s="1"/>
  <c r="B71" i="1"/>
  <c r="H71" i="1" s="1"/>
  <c r="P70" i="1"/>
  <c r="O70" i="1"/>
  <c r="N70" i="1"/>
  <c r="L70" i="1"/>
  <c r="K70" i="1"/>
  <c r="J70" i="1"/>
  <c r="I70" i="1"/>
  <c r="M70" i="1" s="1"/>
  <c r="H70" i="1"/>
  <c r="F70" i="1"/>
  <c r="E70" i="1"/>
  <c r="D70" i="1"/>
  <c r="C70" i="1"/>
  <c r="B70" i="1"/>
  <c r="U70" i="1" s="1"/>
  <c r="U69" i="1"/>
  <c r="O69" i="1"/>
  <c r="N69" i="1"/>
  <c r="L69" i="1"/>
  <c r="K69" i="1"/>
  <c r="M69" i="1" s="1"/>
  <c r="J69" i="1"/>
  <c r="I69" i="1"/>
  <c r="H69" i="1"/>
  <c r="F69" i="1"/>
  <c r="E69" i="1"/>
  <c r="D69" i="1"/>
  <c r="C69" i="1"/>
  <c r="P69" i="1" s="1"/>
  <c r="B69" i="1"/>
  <c r="O68" i="1"/>
  <c r="N68" i="1"/>
  <c r="L68" i="1"/>
  <c r="K68" i="1"/>
  <c r="J68" i="1"/>
  <c r="D68" i="1"/>
  <c r="C68" i="1"/>
  <c r="F68" i="1" s="1"/>
  <c r="B68" i="1"/>
  <c r="H68" i="1" s="1"/>
  <c r="O67" i="1"/>
  <c r="N67" i="1"/>
  <c r="L67" i="1"/>
  <c r="K67" i="1"/>
  <c r="J67" i="1" s="1"/>
  <c r="D67" i="1"/>
  <c r="C67" i="1"/>
  <c r="I67" i="1" s="1"/>
  <c r="B67" i="1"/>
  <c r="H67" i="1" s="1"/>
  <c r="P66" i="1"/>
  <c r="O66" i="1"/>
  <c r="N66" i="1"/>
  <c r="L66" i="1"/>
  <c r="K66" i="1"/>
  <c r="J66" i="1"/>
  <c r="I66" i="1"/>
  <c r="M66" i="1" s="1"/>
  <c r="F66" i="1"/>
  <c r="E66" i="1"/>
  <c r="D66" i="1"/>
  <c r="C66" i="1"/>
  <c r="B66" i="1"/>
  <c r="U66" i="1" s="1"/>
  <c r="U65" i="1"/>
  <c r="O65" i="1"/>
  <c r="N65" i="1"/>
  <c r="M65" i="1"/>
  <c r="L65" i="1"/>
  <c r="K65" i="1"/>
  <c r="J65" i="1" s="1"/>
  <c r="I65" i="1"/>
  <c r="H65" i="1"/>
  <c r="F65" i="1"/>
  <c r="E65" i="1"/>
  <c r="D65" i="1"/>
  <c r="C65" i="1"/>
  <c r="P65" i="1" s="1"/>
  <c r="B65" i="1"/>
  <c r="P64" i="1"/>
  <c r="O64" i="1"/>
  <c r="N64" i="1"/>
  <c r="L64" i="1"/>
  <c r="K64" i="1"/>
  <c r="J64" i="1"/>
  <c r="D64" i="1"/>
  <c r="C64" i="1"/>
  <c r="F64" i="1" s="1"/>
  <c r="B64" i="1"/>
  <c r="U63" i="1"/>
  <c r="P63" i="1"/>
  <c r="O63" i="1"/>
  <c r="N63" i="1"/>
  <c r="L63" i="1"/>
  <c r="K63" i="1"/>
  <c r="J63" i="1" s="1"/>
  <c r="D63" i="1"/>
  <c r="C63" i="1"/>
  <c r="I63" i="1" s="1"/>
  <c r="B63" i="1"/>
  <c r="H63" i="1" s="1"/>
  <c r="P62" i="1"/>
  <c r="O62" i="1"/>
  <c r="N62" i="1"/>
  <c r="L62" i="1"/>
  <c r="K62" i="1"/>
  <c r="J62" i="1"/>
  <c r="D62" i="1"/>
  <c r="C62" i="1"/>
  <c r="I62" i="1" s="1"/>
  <c r="M62" i="1" s="1"/>
  <c r="B62" i="1"/>
  <c r="H62" i="1" s="1"/>
  <c r="U61" i="1"/>
  <c r="O61" i="1"/>
  <c r="N61" i="1"/>
  <c r="M61" i="1"/>
  <c r="L61" i="1"/>
  <c r="K61" i="1"/>
  <c r="J61" i="1" s="1"/>
  <c r="I61" i="1"/>
  <c r="H61" i="1"/>
  <c r="F61" i="1"/>
  <c r="E61" i="1"/>
  <c r="D61" i="1"/>
  <c r="C61" i="1"/>
  <c r="P61" i="1" s="1"/>
  <c r="B61" i="1"/>
  <c r="O60" i="1"/>
  <c r="N60" i="1"/>
  <c r="L60" i="1"/>
  <c r="K60" i="1"/>
  <c r="J60" i="1"/>
  <c r="H60" i="1"/>
  <c r="D60" i="1"/>
  <c r="C60" i="1"/>
  <c r="F60" i="1" s="1"/>
  <c r="B60" i="1"/>
  <c r="O59" i="1"/>
  <c r="N59" i="1"/>
  <c r="L59" i="1"/>
  <c r="K59" i="1"/>
  <c r="J59" i="1" s="1"/>
  <c r="E59" i="1"/>
  <c r="D59" i="1"/>
  <c r="C59" i="1"/>
  <c r="I59" i="1" s="1"/>
  <c r="B59" i="1"/>
  <c r="H59" i="1" s="1"/>
  <c r="P58" i="1"/>
  <c r="O58" i="1"/>
  <c r="N58" i="1"/>
  <c r="L58" i="1"/>
  <c r="K58" i="1"/>
  <c r="J58" i="1"/>
  <c r="I58" i="1"/>
  <c r="M58" i="1" s="1"/>
  <c r="H58" i="1"/>
  <c r="F58" i="1"/>
  <c r="E58" i="1"/>
  <c r="D58" i="1"/>
  <c r="C58" i="1"/>
  <c r="B58" i="1"/>
  <c r="U58" i="1" s="1"/>
  <c r="U57" i="1"/>
  <c r="O57" i="1"/>
  <c r="N57" i="1"/>
  <c r="L57" i="1"/>
  <c r="K57" i="1"/>
  <c r="M57" i="1" s="1"/>
  <c r="J57" i="1"/>
  <c r="I57" i="1"/>
  <c r="H57" i="1"/>
  <c r="F57" i="1"/>
  <c r="E57" i="1"/>
  <c r="D57" i="1"/>
  <c r="C57" i="1"/>
  <c r="P57" i="1" s="1"/>
  <c r="B57" i="1"/>
  <c r="O56" i="1"/>
  <c r="N56" i="1"/>
  <c r="L56" i="1"/>
  <c r="K56" i="1"/>
  <c r="J56" i="1"/>
  <c r="D56" i="1"/>
  <c r="C56" i="1"/>
  <c r="F56" i="1" s="1"/>
  <c r="B56" i="1"/>
  <c r="H56" i="1" s="1"/>
  <c r="O55" i="1"/>
  <c r="N55" i="1"/>
  <c r="L55" i="1"/>
  <c r="K55" i="1"/>
  <c r="J55" i="1" s="1"/>
  <c r="D55" i="1"/>
  <c r="C55" i="1"/>
  <c r="I55" i="1" s="1"/>
  <c r="B55" i="1"/>
  <c r="H55" i="1" s="1"/>
  <c r="P54" i="1"/>
  <c r="O54" i="1"/>
  <c r="N54" i="1"/>
  <c r="L54" i="1"/>
  <c r="K54" i="1"/>
  <c r="J54" i="1"/>
  <c r="I54" i="1"/>
  <c r="M54" i="1" s="1"/>
  <c r="F54" i="1"/>
  <c r="E54" i="1"/>
  <c r="D54" i="1"/>
  <c r="C54" i="1"/>
  <c r="B54" i="1"/>
  <c r="U54" i="1" s="1"/>
  <c r="U53" i="1"/>
  <c r="O53" i="1"/>
  <c r="N53" i="1"/>
  <c r="M53" i="1"/>
  <c r="L53" i="1"/>
  <c r="K53" i="1"/>
  <c r="J53" i="1" s="1"/>
  <c r="I53" i="1"/>
  <c r="H53" i="1"/>
  <c r="F53" i="1"/>
  <c r="E53" i="1"/>
  <c r="D53" i="1"/>
  <c r="C53" i="1"/>
  <c r="P53" i="1" s="1"/>
  <c r="B53" i="1"/>
  <c r="P52" i="1"/>
  <c r="O52" i="1"/>
  <c r="N52" i="1"/>
  <c r="L52" i="1"/>
  <c r="K52" i="1"/>
  <c r="J52" i="1"/>
  <c r="D52" i="1"/>
  <c r="C52" i="1"/>
  <c r="F52" i="1" s="1"/>
  <c r="B52" i="1"/>
  <c r="U51" i="1"/>
  <c r="P51" i="1"/>
  <c r="O51" i="1"/>
  <c r="N51" i="1"/>
  <c r="L51" i="1"/>
  <c r="K51" i="1"/>
  <c r="J51" i="1" s="1"/>
  <c r="D51" i="1"/>
  <c r="C51" i="1"/>
  <c r="I51" i="1" s="1"/>
  <c r="B51" i="1"/>
  <c r="H51" i="1" s="1"/>
  <c r="P50" i="1"/>
  <c r="O50" i="1"/>
  <c r="N50" i="1"/>
  <c r="L50" i="1"/>
  <c r="K50" i="1"/>
  <c r="J50" i="1"/>
  <c r="D50" i="1"/>
  <c r="C50" i="1"/>
  <c r="I50" i="1" s="1"/>
  <c r="M50" i="1" s="1"/>
  <c r="B50" i="1"/>
  <c r="H50" i="1" s="1"/>
  <c r="U49" i="1"/>
  <c r="O49" i="1"/>
  <c r="N49" i="1"/>
  <c r="M49" i="1"/>
  <c r="L49" i="1"/>
  <c r="K49" i="1"/>
  <c r="J49" i="1" s="1"/>
  <c r="I49" i="1"/>
  <c r="H49" i="1"/>
  <c r="F49" i="1"/>
  <c r="E49" i="1"/>
  <c r="D49" i="1"/>
  <c r="C49" i="1"/>
  <c r="P49" i="1" s="1"/>
  <c r="B49" i="1"/>
  <c r="O48" i="1"/>
  <c r="N48" i="1"/>
  <c r="L48" i="1"/>
  <c r="K48" i="1"/>
  <c r="J48" i="1"/>
  <c r="H48" i="1"/>
  <c r="D48" i="1"/>
  <c r="C48" i="1"/>
  <c r="F48" i="1" s="1"/>
  <c r="B48" i="1"/>
  <c r="O47" i="1"/>
  <c r="N47" i="1"/>
  <c r="L47" i="1"/>
  <c r="K47" i="1"/>
  <c r="J47" i="1" s="1"/>
  <c r="E47" i="1"/>
  <c r="D47" i="1"/>
  <c r="C47" i="1"/>
  <c r="I47" i="1" s="1"/>
  <c r="B47" i="1"/>
  <c r="H47" i="1" s="1"/>
  <c r="P46" i="1"/>
  <c r="O46" i="1"/>
  <c r="N46" i="1"/>
  <c r="L46" i="1"/>
  <c r="K46" i="1"/>
  <c r="J46" i="1"/>
  <c r="I46" i="1"/>
  <c r="M46" i="1" s="1"/>
  <c r="H46" i="1"/>
  <c r="F46" i="1"/>
  <c r="E46" i="1"/>
  <c r="D46" i="1"/>
  <c r="C46" i="1"/>
  <c r="B46" i="1"/>
  <c r="U46" i="1" s="1"/>
  <c r="U45" i="1"/>
  <c r="O45" i="1"/>
  <c r="N45" i="1"/>
  <c r="L45" i="1"/>
  <c r="K45" i="1"/>
  <c r="M45" i="1" s="1"/>
  <c r="J45" i="1"/>
  <c r="I45" i="1"/>
  <c r="H45" i="1"/>
  <c r="F45" i="1"/>
  <c r="E45" i="1"/>
  <c r="D45" i="1"/>
  <c r="C45" i="1"/>
  <c r="P45" i="1" s="1"/>
  <c r="B45" i="1"/>
  <c r="O44" i="1"/>
  <c r="N44" i="1"/>
  <c r="L44" i="1"/>
  <c r="K44" i="1"/>
  <c r="J44" i="1"/>
  <c r="D44" i="1"/>
  <c r="C44" i="1"/>
  <c r="F44" i="1" s="1"/>
  <c r="B44" i="1"/>
  <c r="H44" i="1" s="1"/>
  <c r="O43" i="1"/>
  <c r="N43" i="1"/>
  <c r="L43" i="1"/>
  <c r="K43" i="1"/>
  <c r="J43" i="1" s="1"/>
  <c r="D43" i="1"/>
  <c r="C43" i="1"/>
  <c r="I43" i="1" s="1"/>
  <c r="B43" i="1"/>
  <c r="H43" i="1" s="1"/>
  <c r="P42" i="1"/>
  <c r="O42" i="1"/>
  <c r="N42" i="1"/>
  <c r="L42" i="1"/>
  <c r="K42" i="1"/>
  <c r="J42" i="1"/>
  <c r="I42" i="1"/>
  <c r="M42" i="1" s="1"/>
  <c r="F42" i="1"/>
  <c r="E42" i="1"/>
  <c r="D42" i="1"/>
  <c r="C42" i="1"/>
  <c r="B42" i="1"/>
  <c r="U42" i="1" s="1"/>
  <c r="U41" i="1"/>
  <c r="O41" i="1"/>
  <c r="N41" i="1"/>
  <c r="M41" i="1"/>
  <c r="L41" i="1"/>
  <c r="K41" i="1"/>
  <c r="J41" i="1" s="1"/>
  <c r="I41" i="1"/>
  <c r="H41" i="1"/>
  <c r="F41" i="1"/>
  <c r="E41" i="1"/>
  <c r="D41" i="1"/>
  <c r="C41" i="1"/>
  <c r="P41" i="1" s="1"/>
  <c r="B41" i="1"/>
  <c r="P40" i="1"/>
  <c r="O40" i="1"/>
  <c r="N40" i="1"/>
  <c r="L40" i="1"/>
  <c r="K40" i="1"/>
  <c r="J40" i="1"/>
  <c r="D40" i="1"/>
  <c r="C40" i="1"/>
  <c r="F40" i="1" s="1"/>
  <c r="B40" i="1"/>
  <c r="H40" i="1" s="1"/>
  <c r="U39" i="1"/>
  <c r="P39" i="1"/>
  <c r="O39" i="1"/>
  <c r="N39" i="1"/>
  <c r="L39" i="1"/>
  <c r="K39" i="1"/>
  <c r="J39" i="1" s="1"/>
  <c r="D39" i="1"/>
  <c r="C39" i="1"/>
  <c r="I39" i="1" s="1"/>
  <c r="B39" i="1"/>
  <c r="H39" i="1" s="1"/>
  <c r="P38" i="1"/>
  <c r="O38" i="1"/>
  <c r="N38" i="1"/>
  <c r="L38" i="1"/>
  <c r="K38" i="1"/>
  <c r="J38" i="1"/>
  <c r="D38" i="1"/>
  <c r="C38" i="1"/>
  <c r="I38" i="1" s="1"/>
  <c r="M38" i="1" s="1"/>
  <c r="B38" i="1"/>
  <c r="E38" i="1" s="1"/>
  <c r="U37" i="1"/>
  <c r="O37" i="1"/>
  <c r="N37" i="1"/>
  <c r="M37" i="1"/>
  <c r="L37" i="1"/>
  <c r="K37" i="1"/>
  <c r="J37" i="1" s="1"/>
  <c r="I37" i="1"/>
  <c r="H37" i="1"/>
  <c r="F37" i="1"/>
  <c r="E37" i="1"/>
  <c r="D37" i="1"/>
  <c r="C37" i="1"/>
  <c r="P37" i="1" s="1"/>
  <c r="B37" i="1"/>
  <c r="O36" i="1"/>
  <c r="N36" i="1"/>
  <c r="L36" i="1"/>
  <c r="K36" i="1"/>
  <c r="J36" i="1"/>
  <c r="H36" i="1"/>
  <c r="D36" i="1"/>
  <c r="C36" i="1"/>
  <c r="F36" i="1" s="1"/>
  <c r="B36" i="1"/>
  <c r="O35" i="1"/>
  <c r="N35" i="1"/>
  <c r="L35" i="1"/>
  <c r="K35" i="1"/>
  <c r="J35" i="1" s="1"/>
  <c r="E35" i="1"/>
  <c r="D35" i="1"/>
  <c r="C35" i="1"/>
  <c r="I35" i="1" s="1"/>
  <c r="B35" i="1"/>
  <c r="H35" i="1" s="1"/>
  <c r="P34" i="1"/>
  <c r="O34" i="1"/>
  <c r="N34" i="1"/>
  <c r="L34" i="1"/>
  <c r="K34" i="1"/>
  <c r="J34" i="1"/>
  <c r="I34" i="1"/>
  <c r="M34" i="1" s="1"/>
  <c r="H34" i="1"/>
  <c r="F34" i="1"/>
  <c r="E34" i="1"/>
  <c r="D34" i="1"/>
  <c r="C34" i="1"/>
  <c r="B34" i="1"/>
  <c r="U34" i="1" s="1"/>
  <c r="U33" i="1"/>
  <c r="O33" i="1"/>
  <c r="N33" i="1"/>
  <c r="L33" i="1"/>
  <c r="K33" i="1"/>
  <c r="M33" i="1" s="1"/>
  <c r="J33" i="1"/>
  <c r="I33" i="1"/>
  <c r="H33" i="1"/>
  <c r="F33" i="1"/>
  <c r="E33" i="1"/>
  <c r="D33" i="1"/>
  <c r="C33" i="1"/>
  <c r="P33" i="1" s="1"/>
  <c r="B33" i="1"/>
  <c r="O32" i="1"/>
  <c r="N32" i="1"/>
  <c r="L32" i="1"/>
  <c r="K32" i="1"/>
  <c r="J32" i="1"/>
  <c r="D32" i="1"/>
  <c r="C32" i="1"/>
  <c r="F32" i="1" s="1"/>
  <c r="B32" i="1"/>
  <c r="H32" i="1" s="1"/>
  <c r="O31" i="1"/>
  <c r="N31" i="1"/>
  <c r="L31" i="1"/>
  <c r="K31" i="1"/>
  <c r="J31" i="1" s="1"/>
  <c r="D31" i="1"/>
  <c r="C31" i="1"/>
  <c r="I31" i="1" s="1"/>
  <c r="B31" i="1"/>
  <c r="H31" i="1" s="1"/>
  <c r="P30" i="1"/>
  <c r="O30" i="1"/>
  <c r="N30" i="1"/>
  <c r="L30" i="1"/>
  <c r="K30" i="1"/>
  <c r="J30" i="1"/>
  <c r="I30" i="1"/>
  <c r="M30" i="1" s="1"/>
  <c r="F30" i="1"/>
  <c r="E30" i="1"/>
  <c r="D30" i="1"/>
  <c r="C30" i="1"/>
  <c r="B30" i="1"/>
  <c r="U30" i="1" s="1"/>
  <c r="U29" i="1"/>
  <c r="O29" i="1"/>
  <c r="N29" i="1"/>
  <c r="M29" i="1"/>
  <c r="L29" i="1"/>
  <c r="K29" i="1"/>
  <c r="J29" i="1" s="1"/>
  <c r="I29" i="1"/>
  <c r="H29" i="1"/>
  <c r="F29" i="1"/>
  <c r="E29" i="1"/>
  <c r="D29" i="1"/>
  <c r="C29" i="1"/>
  <c r="P29" i="1" s="1"/>
  <c r="B29" i="1"/>
  <c r="P28" i="1"/>
  <c r="O28" i="1"/>
  <c r="N28" i="1"/>
  <c r="L28" i="1"/>
  <c r="K28" i="1"/>
  <c r="J28" i="1"/>
  <c r="D28" i="1"/>
  <c r="C28" i="1"/>
  <c r="F28" i="1" s="1"/>
  <c r="B28" i="1"/>
  <c r="U27" i="1"/>
  <c r="P27" i="1"/>
  <c r="O27" i="1"/>
  <c r="N27" i="1"/>
  <c r="L27" i="1"/>
  <c r="K27" i="1"/>
  <c r="J27" i="1" s="1"/>
  <c r="D27" i="1"/>
  <c r="C27" i="1"/>
  <c r="I27" i="1" s="1"/>
  <c r="B27" i="1"/>
  <c r="H27" i="1" s="1"/>
  <c r="P26" i="1"/>
  <c r="O26" i="1"/>
  <c r="N26" i="1"/>
  <c r="L26" i="1"/>
  <c r="K26" i="1"/>
  <c r="J26" i="1"/>
  <c r="D26" i="1"/>
  <c r="C26" i="1"/>
  <c r="I26" i="1" s="1"/>
  <c r="M26" i="1" s="1"/>
  <c r="B26" i="1"/>
  <c r="U26" i="1" s="1"/>
  <c r="U25" i="1"/>
  <c r="O25" i="1"/>
  <c r="N25" i="1"/>
  <c r="M25" i="1"/>
  <c r="L25" i="1"/>
  <c r="K25" i="1"/>
  <c r="J25" i="1" s="1"/>
  <c r="I25" i="1"/>
  <c r="H25" i="1"/>
  <c r="F25" i="1"/>
  <c r="E25" i="1"/>
  <c r="D25" i="1"/>
  <c r="C25" i="1"/>
  <c r="P25" i="1" s="1"/>
  <c r="B25" i="1"/>
  <c r="O24" i="1"/>
  <c r="N24" i="1"/>
  <c r="L24" i="1"/>
  <c r="K24" i="1"/>
  <c r="J24" i="1"/>
  <c r="H24" i="1"/>
  <c r="D24" i="1"/>
  <c r="C24" i="1"/>
  <c r="F24" i="1" s="1"/>
  <c r="B24" i="1"/>
  <c r="O23" i="1"/>
  <c r="N23" i="1"/>
  <c r="L23" i="1"/>
  <c r="K23" i="1"/>
  <c r="J23" i="1" s="1"/>
  <c r="E23" i="1"/>
  <c r="D23" i="1"/>
  <c r="C23" i="1"/>
  <c r="I23" i="1" s="1"/>
  <c r="B23" i="1"/>
  <c r="H23" i="1" s="1"/>
  <c r="O22" i="1"/>
  <c r="N22" i="1"/>
  <c r="K22" i="1"/>
  <c r="D22" i="1"/>
  <c r="C22" i="1"/>
  <c r="I22" i="1" s="1"/>
  <c r="M22" i="1" s="1"/>
  <c r="B22" i="1"/>
  <c r="H22" i="1" s="1"/>
  <c r="U21" i="1"/>
  <c r="O21" i="1"/>
  <c r="N21" i="1"/>
  <c r="L21" i="1"/>
  <c r="K21" i="1"/>
  <c r="J21" i="1"/>
  <c r="I21" i="1"/>
  <c r="H21" i="1"/>
  <c r="F21" i="1"/>
  <c r="E21" i="1"/>
  <c r="D21" i="1"/>
  <c r="C21" i="1"/>
  <c r="P21" i="1" s="1"/>
  <c r="B21" i="1"/>
  <c r="O20" i="1"/>
  <c r="N20" i="1"/>
  <c r="K20" i="1"/>
  <c r="H20" i="1"/>
  <c r="E20" i="1"/>
  <c r="D20" i="1"/>
  <c r="C20" i="1"/>
  <c r="P20" i="1" s="1"/>
  <c r="B20" i="1"/>
  <c r="U20" i="1" s="1"/>
  <c r="O19" i="1"/>
  <c r="N19" i="1"/>
  <c r="M19" i="1"/>
  <c r="L19" i="1"/>
  <c r="K19" i="1"/>
  <c r="J19" i="1"/>
  <c r="I19" i="1"/>
  <c r="H19" i="1"/>
  <c r="F19" i="1"/>
  <c r="D19" i="1"/>
  <c r="C19" i="1"/>
  <c r="P19" i="1" s="1"/>
  <c r="B19" i="1"/>
  <c r="O18" i="1"/>
  <c r="N18" i="1"/>
  <c r="L18" i="1"/>
  <c r="K18" i="1"/>
  <c r="J18" i="1"/>
  <c r="E18" i="1"/>
  <c r="D18" i="1"/>
  <c r="C18" i="1"/>
  <c r="B18" i="1"/>
  <c r="H18" i="1" s="1"/>
  <c r="P17" i="1"/>
  <c r="O17" i="1"/>
  <c r="N17" i="1"/>
  <c r="L17" i="1"/>
  <c r="K17" i="1"/>
  <c r="J17" i="1" s="1"/>
  <c r="I17" i="1"/>
  <c r="M17" i="1" s="1"/>
  <c r="H17" i="1"/>
  <c r="F17" i="1"/>
  <c r="E17" i="1"/>
  <c r="D17" i="1"/>
  <c r="C17" i="1"/>
  <c r="B17" i="1"/>
  <c r="U17" i="1" s="1"/>
  <c r="U16" i="1"/>
  <c r="O16" i="1"/>
  <c r="N16" i="1"/>
  <c r="L16" i="1"/>
  <c r="K16" i="1"/>
  <c r="J16" i="1"/>
  <c r="I16" i="1"/>
  <c r="H16" i="1"/>
  <c r="E16" i="1"/>
  <c r="D16" i="1"/>
  <c r="C16" i="1"/>
  <c r="P16" i="1" s="1"/>
  <c r="B16" i="1"/>
  <c r="O15" i="1"/>
  <c r="N15" i="1"/>
  <c r="K15" i="1"/>
  <c r="I15" i="1"/>
  <c r="M15" i="1" s="1"/>
  <c r="H15" i="1"/>
  <c r="F15" i="1"/>
  <c r="E15" i="1"/>
  <c r="D15" i="1"/>
  <c r="C15" i="1"/>
  <c r="P15" i="1" s="1"/>
  <c r="B15" i="1"/>
  <c r="U15" i="1" s="1"/>
  <c r="O14" i="1"/>
  <c r="N14" i="1"/>
  <c r="L14" i="1"/>
  <c r="K14" i="1"/>
  <c r="M14" i="1" s="1"/>
  <c r="J14" i="1"/>
  <c r="I14" i="1"/>
  <c r="D14" i="1"/>
  <c r="C14" i="1"/>
  <c r="F14" i="1" s="1"/>
  <c r="B14" i="1"/>
  <c r="O13" i="1"/>
  <c r="N13" i="1"/>
  <c r="L13" i="1"/>
  <c r="K13" i="1"/>
  <c r="J13" i="1" s="1"/>
  <c r="F13" i="1"/>
  <c r="D13" i="1"/>
  <c r="C13" i="1"/>
  <c r="I13" i="1" s="1"/>
  <c r="B13" i="1"/>
  <c r="H13" i="1" s="1"/>
  <c r="U12" i="1"/>
  <c r="O12" i="1"/>
  <c r="N12" i="1"/>
  <c r="L12" i="1"/>
  <c r="K12" i="1"/>
  <c r="J12" i="1"/>
  <c r="I12" i="1"/>
  <c r="M12" i="1" s="1"/>
  <c r="H12" i="1"/>
  <c r="E12" i="1"/>
  <c r="D12" i="1"/>
  <c r="C12" i="1"/>
  <c r="P12" i="1" s="1"/>
  <c r="B12" i="1"/>
  <c r="U11" i="1"/>
  <c r="O11" i="1"/>
  <c r="N11" i="1"/>
  <c r="L11" i="1"/>
  <c r="K11" i="1"/>
  <c r="I11" i="1"/>
  <c r="H11" i="1"/>
  <c r="F11" i="1"/>
  <c r="E11" i="1"/>
  <c r="D11" i="1"/>
  <c r="C11" i="1"/>
  <c r="P11" i="1" s="1"/>
  <c r="B11" i="1"/>
  <c r="P10" i="1"/>
  <c r="O10" i="1"/>
  <c r="N10" i="1"/>
  <c r="M10" i="1"/>
  <c r="L10" i="1"/>
  <c r="K10" i="1"/>
  <c r="J10" i="1"/>
  <c r="I10" i="1"/>
  <c r="D10" i="1"/>
  <c r="C10" i="1"/>
  <c r="F10" i="1" s="1"/>
  <c r="B10" i="1"/>
  <c r="U9" i="1"/>
  <c r="P9" i="1"/>
  <c r="O9" i="1"/>
  <c r="N9" i="1"/>
  <c r="K9" i="1"/>
  <c r="I9" i="1"/>
  <c r="M9" i="1" s="1"/>
  <c r="F9" i="1"/>
  <c r="D9" i="1"/>
  <c r="C9" i="1"/>
  <c r="B9" i="1"/>
  <c r="U8" i="1"/>
  <c r="P8" i="1"/>
  <c r="O8" i="1"/>
  <c r="N8" i="1"/>
  <c r="K8" i="1"/>
  <c r="H8" i="1"/>
  <c r="E8" i="1"/>
  <c r="D8" i="1"/>
  <c r="C8" i="1"/>
  <c r="B8" i="1"/>
  <c r="U7" i="1"/>
  <c r="P7" i="1"/>
  <c r="O7" i="1"/>
  <c r="N7" i="1"/>
  <c r="M7" i="1"/>
  <c r="K7" i="1"/>
  <c r="I7" i="1"/>
  <c r="E7" i="1"/>
  <c r="D7" i="1"/>
  <c r="C7" i="1"/>
  <c r="F7" i="1" s="1"/>
  <c r="B7" i="1"/>
  <c r="H7" i="1" s="1"/>
  <c r="U6" i="1"/>
  <c r="P6" i="1"/>
  <c r="O6" i="1"/>
  <c r="N6" i="1"/>
  <c r="M6" i="1"/>
  <c r="K6" i="1"/>
  <c r="H6" i="1"/>
  <c r="E6" i="1"/>
  <c r="D6" i="1"/>
  <c r="C6" i="1"/>
  <c r="I6" i="1" s="1"/>
  <c r="B6" i="1"/>
  <c r="O5" i="1"/>
  <c r="N5" i="1"/>
  <c r="M5" i="1"/>
  <c r="L5" i="1"/>
  <c r="K5" i="1"/>
  <c r="J5" i="1" s="1"/>
  <c r="I5" i="1"/>
  <c r="H5" i="1"/>
  <c r="D5" i="1"/>
  <c r="C5" i="1"/>
  <c r="F5" i="1" s="1"/>
  <c r="B5" i="1"/>
  <c r="E5" i="1" s="1"/>
  <c r="U4" i="1"/>
  <c r="O4" i="1"/>
  <c r="N4" i="1"/>
  <c r="L4" i="1"/>
  <c r="K4" i="1"/>
  <c r="J4" i="1" s="1"/>
  <c r="H4" i="1"/>
  <c r="E4" i="1"/>
  <c r="D4" i="1"/>
  <c r="C4" i="1"/>
  <c r="I4" i="1" s="1"/>
  <c r="B4" i="1"/>
  <c r="U3" i="1"/>
  <c r="O3" i="1"/>
  <c r="N3" i="1"/>
  <c r="L3" i="1"/>
  <c r="K3" i="1"/>
  <c r="M3" i="1" s="1"/>
  <c r="J3" i="1"/>
  <c r="I3" i="1"/>
  <c r="H3" i="1"/>
  <c r="F3" i="1"/>
  <c r="D3" i="1"/>
  <c r="C3" i="1"/>
  <c r="P3" i="1" s="1"/>
  <c r="B3" i="1"/>
  <c r="E3" i="1" s="1"/>
  <c r="P2" i="1"/>
  <c r="O2" i="1"/>
  <c r="N2" i="1"/>
  <c r="L2" i="1"/>
  <c r="K2" i="1"/>
  <c r="M2" i="1" s="1"/>
  <c r="J2" i="1"/>
  <c r="H2" i="1"/>
  <c r="F2" i="1"/>
  <c r="D2" i="1"/>
  <c r="C2" i="1"/>
  <c r="I2" i="1" s="1"/>
  <c r="B2" i="1"/>
  <c r="E2" i="1" s="1"/>
  <c r="M18" i="1" l="1"/>
  <c r="M124" i="1"/>
  <c r="M95" i="1"/>
  <c r="M60" i="1"/>
  <c r="M11" i="1"/>
  <c r="J11" i="1"/>
  <c r="M120" i="1"/>
  <c r="I18" i="1"/>
  <c r="F18" i="1"/>
  <c r="I85" i="1"/>
  <c r="F85" i="1"/>
  <c r="I89" i="1"/>
  <c r="F89" i="1"/>
  <c r="U38" i="1"/>
  <c r="M43" i="1"/>
  <c r="I72" i="1"/>
  <c r="M72" i="1" s="1"/>
  <c r="E14" i="1"/>
  <c r="U14" i="1"/>
  <c r="P85" i="1"/>
  <c r="H108" i="1"/>
  <c r="E108" i="1"/>
  <c r="I133" i="1"/>
  <c r="M133" i="1" s="1"/>
  <c r="F133" i="1"/>
  <c r="U2" i="1"/>
  <c r="P18" i="1"/>
  <c r="P22" i="1"/>
  <c r="P23" i="1"/>
  <c r="P59" i="1"/>
  <c r="P71" i="1"/>
  <c r="M4" i="1"/>
  <c r="F6" i="1"/>
  <c r="F12" i="1"/>
  <c r="U18" i="1"/>
  <c r="U22" i="1"/>
  <c r="U23" i="1"/>
  <c r="P24" i="1"/>
  <c r="M27" i="1"/>
  <c r="H30" i="1"/>
  <c r="E31" i="1"/>
  <c r="U35" i="1"/>
  <c r="P36" i="1"/>
  <c r="M39" i="1"/>
  <c r="H42" i="1"/>
  <c r="E43" i="1"/>
  <c r="U47" i="1"/>
  <c r="P48" i="1"/>
  <c r="M51" i="1"/>
  <c r="H54" i="1"/>
  <c r="E55" i="1"/>
  <c r="U59" i="1"/>
  <c r="P60" i="1"/>
  <c r="M63" i="1"/>
  <c r="H66" i="1"/>
  <c r="E67" i="1"/>
  <c r="U71" i="1"/>
  <c r="U74" i="1"/>
  <c r="P75" i="1"/>
  <c r="I77" i="1"/>
  <c r="F77" i="1"/>
  <c r="E86" i="1"/>
  <c r="U86" i="1"/>
  <c r="P88" i="1"/>
  <c r="U89" i="1"/>
  <c r="P92" i="1"/>
  <c r="U93" i="1"/>
  <c r="U94" i="1"/>
  <c r="U97" i="1"/>
  <c r="P99" i="1"/>
  <c r="M104" i="1"/>
  <c r="E107" i="1"/>
  <c r="P111" i="1"/>
  <c r="E119" i="1"/>
  <c r="P123" i="1"/>
  <c r="M128" i="1"/>
  <c r="F132" i="1"/>
  <c r="H112" i="1"/>
  <c r="E112" i="1"/>
  <c r="P4" i="1"/>
  <c r="U50" i="1"/>
  <c r="M55" i="1"/>
  <c r="U76" i="1"/>
  <c r="E78" i="1"/>
  <c r="U78" i="1"/>
  <c r="H120" i="1"/>
  <c r="E120" i="1"/>
  <c r="P35" i="1"/>
  <c r="P47" i="1"/>
  <c r="P72" i="1"/>
  <c r="E82" i="1"/>
  <c r="U82" i="1"/>
  <c r="P89" i="1"/>
  <c r="P93" i="1"/>
  <c r="P94" i="1"/>
  <c r="P95" i="1"/>
  <c r="P98" i="1"/>
  <c r="M102" i="1"/>
  <c r="I108" i="1"/>
  <c r="M108" i="1" s="1"/>
  <c r="F108" i="1"/>
  <c r="M114" i="1"/>
  <c r="I120" i="1"/>
  <c r="F120" i="1"/>
  <c r="M126" i="1"/>
  <c r="E13" i="1"/>
  <c r="H14" i="1"/>
  <c r="F16" i="1"/>
  <c r="E19" i="1"/>
  <c r="U19" i="1"/>
  <c r="E24" i="1"/>
  <c r="U24" i="1"/>
  <c r="F31" i="1"/>
  <c r="I32" i="1"/>
  <c r="M32" i="1" s="1"/>
  <c r="E36" i="1"/>
  <c r="U36" i="1"/>
  <c r="F43" i="1"/>
  <c r="I44" i="1"/>
  <c r="M44" i="1" s="1"/>
  <c r="E48" i="1"/>
  <c r="U48" i="1"/>
  <c r="F55" i="1"/>
  <c r="I56" i="1"/>
  <c r="M56" i="1" s="1"/>
  <c r="E60" i="1"/>
  <c r="U60" i="1"/>
  <c r="F67" i="1"/>
  <c r="I68" i="1"/>
  <c r="M68" i="1" s="1"/>
  <c r="H72" i="1"/>
  <c r="E72" i="1"/>
  <c r="U72" i="1"/>
  <c r="I81" i="1"/>
  <c r="M81" i="1" s="1"/>
  <c r="F81" i="1"/>
  <c r="E90" i="1"/>
  <c r="U90" i="1"/>
  <c r="U92" i="1"/>
  <c r="H95" i="1"/>
  <c r="E95" i="1"/>
  <c r="U95" i="1"/>
  <c r="F107" i="1"/>
  <c r="J108" i="1"/>
  <c r="F119" i="1"/>
  <c r="J120" i="1"/>
  <c r="F131" i="1"/>
  <c r="I76" i="1"/>
  <c r="F76" i="1"/>
  <c r="I112" i="1"/>
  <c r="M112" i="1" s="1"/>
  <c r="F112" i="1"/>
  <c r="I124" i="1"/>
  <c r="F124" i="1"/>
  <c r="M16" i="1"/>
  <c r="F20" i="1"/>
  <c r="E22" i="1"/>
  <c r="E28" i="1"/>
  <c r="U28" i="1"/>
  <c r="F35" i="1"/>
  <c r="F47" i="1"/>
  <c r="F59" i="1"/>
  <c r="I60" i="1"/>
  <c r="E64" i="1"/>
  <c r="U64" i="1"/>
  <c r="E74" i="1"/>
  <c r="E76" i="1"/>
  <c r="F88" i="1"/>
  <c r="E89" i="1"/>
  <c r="E92" i="1"/>
  <c r="F4" i="1"/>
  <c r="P5" i="1"/>
  <c r="E26" i="1"/>
  <c r="E50" i="1"/>
  <c r="E62" i="1"/>
  <c r="F74" i="1"/>
  <c r="F92" i="1"/>
  <c r="F93" i="1"/>
  <c r="F97" i="1"/>
  <c r="H116" i="1"/>
  <c r="E116" i="1"/>
  <c r="P131" i="1"/>
  <c r="U5" i="1"/>
  <c r="H9" i="1"/>
  <c r="E9" i="1"/>
  <c r="I20" i="1"/>
  <c r="M20" i="1" s="1"/>
  <c r="F26" i="1"/>
  <c r="P31" i="1"/>
  <c r="F38" i="1"/>
  <c r="P43" i="1"/>
  <c r="F50" i="1"/>
  <c r="P55" i="1"/>
  <c r="F62" i="1"/>
  <c r="P67" i="1"/>
  <c r="I75" i="1"/>
  <c r="M75" i="1" s="1"/>
  <c r="M83" i="1"/>
  <c r="M85" i="1"/>
  <c r="H93" i="1"/>
  <c r="H97" i="1"/>
  <c r="I98" i="1"/>
  <c r="M98" i="1" s="1"/>
  <c r="F102" i="1"/>
  <c r="I104" i="1"/>
  <c r="F104" i="1"/>
  <c r="P108" i="1"/>
  <c r="M110" i="1"/>
  <c r="F114" i="1"/>
  <c r="I116" i="1"/>
  <c r="M116" i="1" s="1"/>
  <c r="F116" i="1"/>
  <c r="P120" i="1"/>
  <c r="M122" i="1"/>
  <c r="F126" i="1"/>
  <c r="I128" i="1"/>
  <c r="F128" i="1"/>
  <c r="H100" i="1"/>
  <c r="E100" i="1"/>
  <c r="H124" i="1"/>
  <c r="E124" i="1"/>
  <c r="U62" i="1"/>
  <c r="I95" i="1"/>
  <c r="F23" i="1"/>
  <c r="I24" i="1"/>
  <c r="M24" i="1" s="1"/>
  <c r="I48" i="1"/>
  <c r="M48" i="1" s="1"/>
  <c r="E52" i="1"/>
  <c r="U52" i="1"/>
  <c r="F99" i="1"/>
  <c r="U103" i="1"/>
  <c r="U115" i="1"/>
  <c r="F123" i="1"/>
  <c r="U127" i="1"/>
  <c r="E10" i="1"/>
  <c r="U10" i="1"/>
  <c r="F22" i="1"/>
  <c r="H104" i="1"/>
  <c r="E104" i="1"/>
  <c r="H128" i="1"/>
  <c r="E128" i="1"/>
  <c r="P13" i="1"/>
  <c r="M21" i="1"/>
  <c r="M23" i="1"/>
  <c r="H26" i="1"/>
  <c r="E27" i="1"/>
  <c r="H28" i="1"/>
  <c r="U31" i="1"/>
  <c r="P32" i="1"/>
  <c r="M35" i="1"/>
  <c r="H38" i="1"/>
  <c r="E39" i="1"/>
  <c r="U43" i="1"/>
  <c r="P44" i="1"/>
  <c r="M47" i="1"/>
  <c r="E51" i="1"/>
  <c r="H52" i="1"/>
  <c r="U55" i="1"/>
  <c r="P56" i="1"/>
  <c r="M59" i="1"/>
  <c r="E63" i="1"/>
  <c r="H64" i="1"/>
  <c r="U67" i="1"/>
  <c r="P68" i="1"/>
  <c r="I74" i="1"/>
  <c r="M74" i="1" s="1"/>
  <c r="P77" i="1"/>
  <c r="M87" i="1"/>
  <c r="M89" i="1"/>
  <c r="I97" i="1"/>
  <c r="M97" i="1" s="1"/>
  <c r="P107" i="1"/>
  <c r="U108" i="1"/>
  <c r="P119" i="1"/>
  <c r="U120" i="1"/>
  <c r="I100" i="1"/>
  <c r="M100" i="1" s="1"/>
  <c r="F100" i="1"/>
  <c r="M31" i="1"/>
  <c r="M67" i="1"/>
  <c r="M13" i="1"/>
  <c r="I36" i="1"/>
  <c r="M36" i="1" s="1"/>
  <c r="E40" i="1"/>
  <c r="U40" i="1"/>
  <c r="F71" i="1"/>
  <c r="M77" i="1"/>
  <c r="F94" i="1"/>
  <c r="F111" i="1"/>
  <c r="M79" i="1"/>
  <c r="P133" i="1"/>
  <c r="I8" i="1"/>
  <c r="M8" i="1" s="1"/>
  <c r="F8" i="1"/>
  <c r="H10" i="1"/>
  <c r="U13" i="1"/>
  <c r="P14" i="1"/>
  <c r="F27" i="1"/>
  <c r="I28" i="1"/>
  <c r="M28" i="1" s="1"/>
  <c r="E32" i="1"/>
  <c r="U32" i="1"/>
  <c r="F39" i="1"/>
  <c r="I40" i="1"/>
  <c r="M40" i="1" s="1"/>
  <c r="E44" i="1"/>
  <c r="U44" i="1"/>
  <c r="F51" i="1"/>
  <c r="I52" i="1"/>
  <c r="M52" i="1" s="1"/>
  <c r="E56" i="1"/>
  <c r="U56" i="1"/>
  <c r="F63" i="1"/>
  <c r="I64" i="1"/>
  <c r="M64" i="1" s="1"/>
  <c r="E68" i="1"/>
  <c r="U68" i="1"/>
  <c r="P76" i="1"/>
  <c r="U77" i="1"/>
  <c r="P81" i="1"/>
  <c r="M91" i="1"/>
  <c r="F103" i="1"/>
  <c r="F115" i="1"/>
  <c r="F127" i="1"/>
  <c r="H133" i="1"/>
  <c r="E133" i="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tc={BF385126-7D0B-4AE2-90B8-860EC55F27A5}</author>
    <author>tc={0E75757F-B79D-4768-A5DE-F4BE308EA03B}</author>
  </authors>
  <commentList>
    <comment ref="K1" authorId="0" shapeId="0" xr:uid="{BF385126-7D0B-4AE2-90B8-860EC55F27A5}">
      <text>
        <t>[Threaded comment]
Your version of Excel allows you to read this threaded comment; however, any edits to it will get removed if the file is opened in a newer version of Excel. Learn more: https://go.microsoft.com/fwlink/?linkid=870924
Comment:
    Renamed column name from “INFO-Data Type (Teradata-SRCI)” to “INFO-Data Type (Source)” to be used just as information about original source system data types. This is used in transformation column formula here but not in Snowflake code generation.</t>
      </text>
    </comment>
    <comment ref="L1" authorId="1" shapeId="0" xr:uid="{0E75757F-B79D-4768-A5DE-F4BE308EA03B}">
      <text>
        <t>[Threaded comment]
Your version of Excel allows you to read this threaded comment; however, any edits to it will get removed if the file is opened in a newer version of Excel. Learn more: https://go.microsoft.com/fwlink/?linkid=870924
Comment:
    This is info column only to see the data type format because some data types are marked as INTEGER but they are actually DATE so this is helpful in setting up proper transformation. This is not used Snowflake code generation.</t>
      </text>
    </comment>
  </commentList>
</comments>
</file>

<file path=xl/sharedStrings.xml><?xml version="1.0" encoding="utf-8"?>
<sst xmlns="http://schemas.openxmlformats.org/spreadsheetml/2006/main" count="858" uniqueCount="33">
  <si>
    <t>Source System Name</t>
  </si>
  <si>
    <t>Table Name Source (DL)</t>
  </si>
  <si>
    <t>Column Name Source (DL)</t>
  </si>
  <si>
    <t>Data Type DL</t>
  </si>
  <si>
    <t>Table Name Target- Snowflake STG</t>
  </si>
  <si>
    <t>Column Name Target- Snowflake STG</t>
  </si>
  <si>
    <t>Data Type STG</t>
  </si>
  <si>
    <t>Table Name Target- Snowflake SRC</t>
  </si>
  <si>
    <t>Column Name Target- Snowflake SRC</t>
  </si>
  <si>
    <t>Data Type (Snowflake) SRC</t>
  </si>
  <si>
    <t>INFO-Data Type (Source)</t>
  </si>
  <si>
    <t>INFO-Format (Source)</t>
  </si>
  <si>
    <t>transformation rule for STG Views</t>
  </si>
  <si>
    <t>PK</t>
  </si>
  <si>
    <t>Source Security Classificaiton</t>
  </si>
  <si>
    <t>Include Flag</t>
  </si>
  <si>
    <t>INFO-start_date</t>
  </si>
  <si>
    <t>INFO-end_date</t>
  </si>
  <si>
    <t>INFO-update_user</t>
  </si>
  <si>
    <t>INFO-update_timestamp</t>
  </si>
  <si>
    <t>INFO-View Name STG</t>
  </si>
  <si>
    <t>Stiching Required</t>
  </si>
  <si>
    <t>DOHDA</t>
  </si>
  <si>
    <t>VARCHAR</t>
  </si>
  <si>
    <t>sysdate()</t>
  </si>
  <si>
    <t>migration_pipeline</t>
  </si>
  <si>
    <t>current_timestamp()</t>
  </si>
  <si>
    <t>N</t>
  </si>
  <si>
    <t>VARCHAR(7)</t>
  </si>
  <si>
    <t>DATE</t>
  </si>
  <si>
    <t>YYYY-MM-DD</t>
  </si>
  <si>
    <t>CHAR(11)</t>
  </si>
  <si>
    <t>TO_DATE(NULLIF(TRIM(DATE_OF_BIRTH),''), 'DD/MON/YY')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</si>
</sst>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yyyy\-mm\-dd;@"/>
  </numFmts>
  <fonts count="6" x14ac:knownFonts="1">
    <font>
      <sz val="11"/>
      <color theme="1"/>
      <name val="Aptos Narrow"/>
      <family val="2"/>
      <scheme val="minor"/>
    </font>
    <font>
      <b/>
      <sz val="11"/>
      <color rgb="FF000000"/>
      <name val="Aptos Narrow"/>
      <family val="2"/>
      <scheme val="minor"/>
    </font>
    <font>
      <b/>
      <sz val="10"/>
      <color theme="1"/>
      <name val="Aptos Narrow"/>
      <family val="2"/>
      <scheme val="minor"/>
    </font>
    <font>
      <sz val="10"/>
      <color theme="1"/>
      <name val="Aptos Narrow"/>
      <family val="2"/>
      <scheme val="minor"/>
    </font>
    <font>
      <sz val="10"/>
      <color rgb="FF000000"/>
      <name val="Aptos Narrow"/>
      <family val="2"/>
      <scheme val="minor"/>
    </font>
    <font>
      <sz val="9"/>
      <color indexed="81"/>
      <name val="Tahoma"/>
      <charset val="1"/>
    </font>
  </fonts>
  <fills count="9">
    <fill>
      <patternFill patternType="none"/>
    </fill>
    <fill>
      <patternFill patternType="gray125"/>
    </fill>
    <fill>
      <patternFill patternType="solid">
        <fgColor rgb="FF94DCF8"/>
        <bgColor rgb="FF000000"/>
      </patternFill>
    </fill>
    <fill>
      <patternFill patternType="solid">
        <fgColor theme="3" tint="0.89999084444715716"/>
        <bgColor rgb="FF000000"/>
      </patternFill>
    </fill>
    <fill>
      <patternFill patternType="solid">
        <fgColor theme="5" tint="0.59999389629810485"/>
        <bgColor rgb="FF000000"/>
      </patternFill>
    </fill>
    <fill>
      <patternFill patternType="solid">
        <fgColor theme="4" tint="0.39997558519241921"/>
        <bgColor rgb="FF000000"/>
      </patternFill>
    </fill>
    <fill>
      <patternFill patternType="solid">
        <fgColor theme="0" tint="-0.14999847407452621"/>
        <bgColor indexed="64"/>
      </patternFill>
    </fill>
    <fill>
      <patternFill patternType="solid">
        <fgColor theme="5" tint="0.39997558519241921"/>
        <bgColor indexed="64"/>
      </patternFill>
    </fill>
    <fill>
      <patternFill patternType="solid">
        <fgColor rgb="FFFFFF00"/>
        <bgColor indexed="64"/>
      </patternFill>
    </fill>
  </fills>
  <borders count="3">
    <border>
      <left/>
      <right/>
      <top/>
      <bottom/>
      <diagonal/>
    </border>
    <border>
      <left style="thin">
        <color rgb="FF000000"/>
      </left>
      <right style="thin">
        <color rgb="FF000000"/>
      </right>
      <top style="thin">
        <color rgb="FF000000"/>
      </top>
      <bottom style="thin">
        <color rgb="FF000000"/>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11">
    <xf numFmtId="0" fontId="0" fillId="0" borderId="0" xfId="0"/>
    <xf numFmtId="0" fontId="1" fillId="2" borderId="1" xfId="0" applyFont="1" applyFill="1" applyBorder="1" applyAlignment="1">
      <alignment horizontal="left" vertical="top"/>
    </xf>
    <xf numFmtId="0" fontId="1" fillId="3" borderId="1" xfId="0" applyFont="1" applyFill="1" applyBorder="1" applyAlignment="1">
      <alignment horizontal="left" vertical="top"/>
    </xf>
    <xf numFmtId="0" fontId="1" fillId="4" borderId="1" xfId="0" applyFont="1" applyFill="1" applyBorder="1" applyAlignment="1">
      <alignment horizontal="left" vertical="top"/>
    </xf>
    <xf numFmtId="0" fontId="1" fillId="5" borderId="1" xfId="0" applyFont="1" applyFill="1" applyBorder="1" applyAlignment="1">
      <alignment horizontal="left" vertical="top"/>
    </xf>
    <xf numFmtId="0" fontId="2" fillId="6" borderId="2" xfId="0" applyFont="1" applyFill="1" applyBorder="1"/>
    <xf numFmtId="0" fontId="2" fillId="7" borderId="2" xfId="0" applyFont="1" applyFill="1" applyBorder="1"/>
    <xf numFmtId="0" fontId="3" fillId="0" borderId="0" xfId="0" applyFont="1"/>
    <xf numFmtId="0" fontId="4" fillId="0" borderId="0" xfId="0" applyFont="1"/>
    <xf numFmtId="164" fontId="3" fillId="0" borderId="0" xfId="0" applyNumberFormat="1" applyFont="1"/>
    <xf numFmtId="0" fontId="3" fillId="8" borderId="0" xfId="0" applyFont="1" applyFill="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7" Type="http://schemas.openxmlformats.org/officeDocument/2006/relationships/calcChain" Target="calcChain.xml"/><Relationship Id="rId2" Type="http://schemas.openxmlformats.org/officeDocument/2006/relationships/externalLink" Target="externalLinks/externalLink1.xml"/><Relationship Id="rId1" Type="http://schemas.openxmlformats.org/officeDocument/2006/relationships/worksheet" Target="worksheets/sheet1.xml"/><Relationship Id="rId6" Type="http://schemas.microsoft.com/office/2017/10/relationships/person" Target="persons/person.xml"/><Relationship Id="rId5" Type="http://schemas.openxmlformats.org/officeDocument/2006/relationships/sharedStrings" Target="sharedStrings.xml"/><Relationship Id="rId4" Type="http://schemas.openxmlformats.org/officeDocument/2006/relationships/styles" Target="styles.xml"/></Relationships>
</file>

<file path=xl/externalLinks/_rels/externalLink1.xml.rels><?xml version="1.0" encoding="UTF-8" standalone="yes"?>
<Relationships xmlns="http://schemas.openxmlformats.org/package/2006/relationships"><Relationship Id="rId2" Type="http://schemas.openxmlformats.org/officeDocument/2006/relationships/externalLinkPath" Target="file:///C:\Users\PPK099\Downloads\DOHDA-SF.xlsx" TargetMode="External"/><Relationship Id="rId1" Type="http://schemas.openxmlformats.org/officeDocument/2006/relationships/externalLinkPath" Target="DOHDA-SF.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Tables"/>
      <sheetName val="ETL_Incremental"/>
      <sheetName val="Classification"/>
      <sheetName val="SNFMetadata"/>
    </sheetNames>
    <sheetDataSet>
      <sheetData sheetId="0"/>
      <sheetData sheetId="1">
        <row r="2">
          <cell r="C2" t="str">
            <v>ASSESSMENTS</v>
          </cell>
          <cell r="E2" t="str">
            <v>CALENDAR_YEAR_QUARTER</v>
          </cell>
          <cell r="G2" t="str">
            <v>VARCHAR(2)</v>
          </cell>
          <cell r="H2" t="str">
            <v>StringType()</v>
          </cell>
        </row>
        <row r="3">
          <cell r="C3" t="str">
            <v>ASSESSMENTS</v>
          </cell>
          <cell r="E3" t="str">
            <v>ACMPS_RECIPIENT_ID</v>
          </cell>
          <cell r="G3" t="str">
            <v>VARCHAR(20)</v>
          </cell>
          <cell r="H3" t="str">
            <v>StringType()</v>
          </cell>
          <cell r="J3" t="str">
            <v>Y</v>
          </cell>
        </row>
        <row r="4">
          <cell r="C4" t="str">
            <v>ASSESSMENTS</v>
          </cell>
          <cell r="E4" t="str">
            <v>AGED_CARE_USER_ID</v>
          </cell>
          <cell r="G4" t="str">
            <v>VARCHAR(10)</v>
          </cell>
          <cell r="H4" t="str">
            <v>StringType()</v>
          </cell>
          <cell r="J4" t="str">
            <v>Y</v>
          </cell>
        </row>
        <row r="5">
          <cell r="C5" t="str">
            <v>ASSESSMENTS</v>
          </cell>
          <cell r="E5" t="str">
            <v>SPARC_RECIPIENT_ID</v>
          </cell>
          <cell r="G5" t="str">
            <v>VARCHAR(15)</v>
          </cell>
          <cell r="H5" t="str">
            <v>StringType()</v>
          </cell>
        </row>
        <row r="6">
          <cell r="C6" t="str">
            <v>ASSESSMENTS</v>
          </cell>
          <cell r="E6" t="str">
            <v>ASSESSMENT_STARTED_DT</v>
          </cell>
          <cell r="G6" t="str">
            <v>VARCHAR(7)</v>
          </cell>
          <cell r="H6" t="str">
            <v>StringType()</v>
          </cell>
        </row>
        <row r="7">
          <cell r="C7" t="str">
            <v>ASSESSMENTS</v>
          </cell>
          <cell r="E7" t="str">
            <v>ASSESSMENT_COMPLETED_DT</v>
          </cell>
          <cell r="G7" t="str">
            <v>VARCHAR(7)</v>
          </cell>
          <cell r="H7" t="str">
            <v>StringType()</v>
          </cell>
        </row>
        <row r="8">
          <cell r="C8" t="str">
            <v>ASSESSMENTS</v>
          </cell>
          <cell r="E8" t="str">
            <v>APPROVAL_COMMENCE_DT</v>
          </cell>
          <cell r="G8" t="str">
            <v>VARCHAR(7)</v>
          </cell>
          <cell r="H8" t="str">
            <v>StringType()</v>
          </cell>
        </row>
        <row r="9">
          <cell r="C9" t="str">
            <v>ASSESSMENTS</v>
          </cell>
          <cell r="E9" t="str">
            <v>APPROVAL_CESSATION_DT</v>
          </cell>
          <cell r="G9" t="str">
            <v>VARCHAR(7)</v>
          </cell>
          <cell r="H9" t="str">
            <v>StringType()</v>
          </cell>
        </row>
        <row r="10">
          <cell r="C10" t="str">
            <v>ASSESSMENTS</v>
          </cell>
          <cell r="E10" t="str">
            <v>AGE_AT_ASSESSMENT_COMPLETE_DATE</v>
          </cell>
          <cell r="G10" t="str">
            <v>DECIMAL(22, 0)</v>
          </cell>
          <cell r="H10" t="str">
            <v>StringType()</v>
          </cell>
        </row>
        <row r="11">
          <cell r="C11" t="str">
            <v>ASSESSMENTS</v>
          </cell>
          <cell r="E11" t="str">
            <v>FIRST_NAME</v>
          </cell>
          <cell r="G11" t="str">
            <v>VARCHAR(50)</v>
          </cell>
          <cell r="H11" t="str">
            <v>StringType()</v>
          </cell>
        </row>
        <row r="12">
          <cell r="C12" t="str">
            <v>ASSESSMENTS</v>
          </cell>
          <cell r="E12" t="str">
            <v>MIDDLE_NAME</v>
          </cell>
          <cell r="G12" t="str">
            <v>VARCHAR(50)</v>
          </cell>
          <cell r="H12" t="str">
            <v>StringType()</v>
          </cell>
        </row>
        <row r="13">
          <cell r="C13" t="str">
            <v>ASSESSMENTS</v>
          </cell>
          <cell r="E13" t="str">
            <v>SURNAME</v>
          </cell>
          <cell r="G13" t="str">
            <v>VARCHAR(50)</v>
          </cell>
          <cell r="H13" t="str">
            <v>StringType()</v>
          </cell>
        </row>
        <row r="14">
          <cell r="C14" t="str">
            <v>ASSESSMENTS</v>
          </cell>
          <cell r="E14" t="str">
            <v>GENDER</v>
          </cell>
          <cell r="G14" t="str">
            <v>VARCHAR(50)</v>
          </cell>
          <cell r="H14" t="str">
            <v>StringType()</v>
          </cell>
        </row>
        <row r="15">
          <cell r="C15" t="str">
            <v>ASSESSMENTS</v>
          </cell>
          <cell r="E15" t="str">
            <v>BIRTH_DT</v>
          </cell>
          <cell r="G15" t="str">
            <v>VARCHAR(7)</v>
          </cell>
          <cell r="H15" t="str">
            <v>StringType()</v>
          </cell>
        </row>
        <row r="16">
          <cell r="C16" t="str">
            <v>ASSESSMENTS</v>
          </cell>
          <cell r="E16" t="str">
            <v>EMAIL_ADDR</v>
          </cell>
          <cell r="G16" t="str">
            <v>VARCHAR(350)</v>
          </cell>
          <cell r="H16" t="str">
            <v>StringType()</v>
          </cell>
        </row>
        <row r="17">
          <cell r="C17" t="str">
            <v>ASSESSMENTS</v>
          </cell>
          <cell r="E17" t="str">
            <v>PREF_PHONE</v>
          </cell>
          <cell r="G17" t="str">
            <v>VARCHAR(30)</v>
          </cell>
          <cell r="H17" t="str">
            <v>StringType()</v>
          </cell>
        </row>
        <row r="18">
          <cell r="C18" t="str">
            <v>ASSESSMENTS</v>
          </cell>
          <cell r="E18" t="str">
            <v>HOME_PHONE_NUM</v>
          </cell>
          <cell r="G18" t="str">
            <v>VARCHAR(40)</v>
          </cell>
          <cell r="H18" t="str">
            <v>StringType()</v>
          </cell>
        </row>
        <row r="19">
          <cell r="C19" t="str">
            <v>ASSESSMENTS</v>
          </cell>
          <cell r="E19" t="str">
            <v>MOBILE_PHONE_NUM</v>
          </cell>
          <cell r="G19" t="str">
            <v>VARCHAR(40)</v>
          </cell>
          <cell r="H19" t="str">
            <v>StringType()</v>
          </cell>
        </row>
        <row r="20">
          <cell r="C20" t="str">
            <v>ASSESSMENTS</v>
          </cell>
          <cell r="E20" t="str">
            <v>DATA_DATE</v>
          </cell>
          <cell r="G20" t="str">
            <v>CHAR(11)</v>
          </cell>
          <cell r="H20" t="str">
            <v>StringType()</v>
          </cell>
        </row>
        <row r="21">
          <cell r="C21" t="str">
            <v>ASSESSMENTS</v>
          </cell>
          <cell r="E21" t="str">
            <v>AGE_AT_DATA_DATE</v>
          </cell>
          <cell r="G21" t="str">
            <v>DECIMAL(22, 0)</v>
          </cell>
          <cell r="H21" t="str">
            <v>StringType()</v>
          </cell>
        </row>
        <row r="22">
          <cell r="C22" t="str">
            <v>ASSESSMENTS</v>
          </cell>
          <cell r="E22" t="str">
            <v>DEATH_DATE</v>
          </cell>
          <cell r="G22" t="str">
            <v>VARCHAR(7)</v>
          </cell>
          <cell r="H22" t="str">
            <v>StringType()</v>
          </cell>
        </row>
        <row r="23">
          <cell r="C23" t="str">
            <v>ASSESSMENTS</v>
          </cell>
          <cell r="E23" t="str">
            <v>ASSESSMENT_SETTING</v>
          </cell>
          <cell r="G23" t="str">
            <v>VARCHAR(50)</v>
          </cell>
          <cell r="H23" t="str">
            <v>StringType()</v>
          </cell>
        </row>
        <row r="24">
          <cell r="C24" t="str">
            <v>ASSESSMENTS</v>
          </cell>
          <cell r="E24" t="str">
            <v>ASSESSMENT_STATUS</v>
          </cell>
          <cell r="G24" t="str">
            <v>VARCHAR(50)</v>
          </cell>
          <cell r="H24" t="str">
            <v>StringType()</v>
          </cell>
        </row>
        <row r="25">
          <cell r="C25" t="str">
            <v>ASSESSMENTS</v>
          </cell>
          <cell r="E25" t="str">
            <v>SEND_INFO_CONSENT_IND</v>
          </cell>
          <cell r="G25" t="str">
            <v>VARCHAR(10)</v>
          </cell>
          <cell r="H25" t="str">
            <v>StringType()</v>
          </cell>
        </row>
        <row r="26">
          <cell r="C26" t="str">
            <v>ASSESSMENTS</v>
          </cell>
          <cell r="E26" t="str">
            <v>RECEIVE_LETTER_FOR_CLIENT_IND</v>
          </cell>
          <cell r="G26" t="str">
            <v>CHAR(1)</v>
          </cell>
          <cell r="H26" t="str">
            <v>StringType()</v>
          </cell>
        </row>
        <row r="27">
          <cell r="C27" t="str">
            <v>ASSESSMENTS</v>
          </cell>
          <cell r="E27" t="str">
            <v>INADQT_HOUSING_IND</v>
          </cell>
          <cell r="G27" t="str">
            <v>VARCHAR(1)</v>
          </cell>
          <cell r="H27" t="str">
            <v>StringType()</v>
          </cell>
        </row>
        <row r="28">
          <cell r="C28" t="str">
            <v>ASSESSMENTS</v>
          </cell>
          <cell r="E28" t="str">
            <v>DRV_HOMELESS_IND</v>
          </cell>
          <cell r="G28" t="str">
            <v>VARCHAR(1)</v>
          </cell>
          <cell r="H28" t="str">
            <v>StringType()</v>
          </cell>
        </row>
        <row r="29">
          <cell r="C29" t="str">
            <v>ASSESSMENTS</v>
          </cell>
          <cell r="E29" t="str">
            <v>CLIENTS_IN_CARE_IND</v>
          </cell>
          <cell r="G29" t="str">
            <v>CHAR(1)</v>
          </cell>
          <cell r="H29" t="str">
            <v>StringType()</v>
          </cell>
        </row>
        <row r="30">
          <cell r="C30" t="str">
            <v>ASSESSMENTS</v>
          </cell>
          <cell r="E30" t="str">
            <v>CURRENT_CARE_TYPE</v>
          </cell>
          <cell r="G30" t="str">
            <v>VARCHAR(4000)</v>
          </cell>
          <cell r="H30" t="str">
            <v>StringType()</v>
          </cell>
        </row>
        <row r="31">
          <cell r="C31" t="str">
            <v>ASSESSMENTS</v>
          </cell>
          <cell r="E31" t="str">
            <v>HISTORY_CARE_TYPE</v>
          </cell>
          <cell r="G31" t="str">
            <v>VARCHAR(4000)</v>
          </cell>
          <cell r="H31" t="str">
            <v>StringType()</v>
          </cell>
        </row>
        <row r="32">
          <cell r="C32" t="str">
            <v>ASSESSMENTS</v>
          </cell>
          <cell r="E32" t="str">
            <v>RESI_CARE_RECOMD</v>
          </cell>
          <cell r="G32" t="str">
            <v>DECIMAL(22, 0)</v>
          </cell>
          <cell r="H32" t="str">
            <v>StringType()</v>
          </cell>
        </row>
        <row r="33">
          <cell r="C33" t="str">
            <v>ASSESSMENTS</v>
          </cell>
          <cell r="E33" t="str">
            <v>HOME_CARE_RECOMD</v>
          </cell>
          <cell r="G33" t="str">
            <v>DECIMAL(22, 0)</v>
          </cell>
          <cell r="H33" t="str">
            <v>StringType()</v>
          </cell>
        </row>
        <row r="34">
          <cell r="C34" t="str">
            <v>ASSESSMENTS</v>
          </cell>
          <cell r="E34" t="str">
            <v>CHSP_RECOMD</v>
          </cell>
          <cell r="G34" t="str">
            <v>DECIMAL(22, 0)</v>
          </cell>
          <cell r="H34" t="str">
            <v>StringType()</v>
          </cell>
        </row>
        <row r="35">
          <cell r="C35" t="str">
            <v>ASSESSMENTS</v>
          </cell>
          <cell r="E35" t="str">
            <v>MULTI_PURPOSE_CARE_RECOMD</v>
          </cell>
          <cell r="G35" t="str">
            <v>DECIMAL(22, 0)</v>
          </cell>
          <cell r="H35" t="str">
            <v>StringType()</v>
          </cell>
        </row>
        <row r="36">
          <cell r="C36" t="str">
            <v>ASSESSMENTS</v>
          </cell>
          <cell r="E36" t="str">
            <v>SHORT_TERM_RESTORATIVE_CARE_RECOMD</v>
          </cell>
          <cell r="G36" t="str">
            <v>DECIMAL(22, 0)</v>
          </cell>
          <cell r="H36" t="str">
            <v>StringType()</v>
          </cell>
        </row>
        <row r="37">
          <cell r="C37" t="str">
            <v>ASSESSMENTS</v>
          </cell>
          <cell r="E37" t="str">
            <v>TRANSITION_CARE_RECOMD</v>
          </cell>
          <cell r="G37" t="str">
            <v>DECIMAL(22, 0)</v>
          </cell>
          <cell r="H37" t="str">
            <v>StringType()</v>
          </cell>
        </row>
        <row r="38">
          <cell r="C38" t="str">
            <v>ASSESSMENTS</v>
          </cell>
          <cell r="E38" t="str">
            <v>CURRENT_APPROVED_CARE</v>
          </cell>
          <cell r="G38" t="str">
            <v>VARCHAR(4000)</v>
          </cell>
          <cell r="H38" t="str">
            <v>StringType()</v>
          </cell>
        </row>
        <row r="39">
          <cell r="C39" t="str">
            <v>ASSESSMENTS</v>
          </cell>
          <cell r="E39" t="str">
            <v>PERM_RESI_ASS_PRIORITY</v>
          </cell>
          <cell r="G39" t="str">
            <v>VARCHAR(30)</v>
          </cell>
          <cell r="H39" t="str">
            <v>StringType()</v>
          </cell>
        </row>
        <row r="40">
          <cell r="C40" t="str">
            <v>ASSESSMENTS</v>
          </cell>
          <cell r="E40" t="str">
            <v>PR_ADDR_FLOOR_NUM</v>
          </cell>
          <cell r="G40" t="str">
            <v>VARCHAR(10)</v>
          </cell>
          <cell r="H40" t="str">
            <v>StringType()</v>
          </cell>
        </row>
        <row r="41">
          <cell r="C41" t="str">
            <v>ASSESSMENTS</v>
          </cell>
          <cell r="E41" t="str">
            <v>PR_ADDR_POSTCODE</v>
          </cell>
          <cell r="G41" t="str">
            <v>VARCHAR(30)</v>
          </cell>
          <cell r="H41" t="str">
            <v>StringType()</v>
          </cell>
        </row>
        <row r="42">
          <cell r="C42" t="str">
            <v>ASSESSMENTS</v>
          </cell>
          <cell r="E42" t="str">
            <v>PR_ADDR_STATE_CODE</v>
          </cell>
          <cell r="G42" t="str">
            <v>VARCHAR(10)</v>
          </cell>
          <cell r="H42" t="str">
            <v>StringType()</v>
          </cell>
        </row>
        <row r="43">
          <cell r="C43" t="str">
            <v>ASSESSMENTS</v>
          </cell>
          <cell r="E43" t="str">
            <v>PR_ADDR_STREET_END_NUM</v>
          </cell>
          <cell r="G43" t="str">
            <v>VARCHAR(10)</v>
          </cell>
          <cell r="H43" t="str">
            <v>StringType()</v>
          </cell>
        </row>
        <row r="44">
          <cell r="C44" t="str">
            <v>ASSESSMENTS</v>
          </cell>
          <cell r="E44" t="str">
            <v>PR_ADDR_STREET_NAME</v>
          </cell>
          <cell r="G44" t="str">
            <v>VARCHAR(100)</v>
          </cell>
          <cell r="H44" t="str">
            <v>StringType()</v>
          </cell>
        </row>
        <row r="45">
          <cell r="C45" t="str">
            <v>ASSESSMENTS</v>
          </cell>
          <cell r="E45" t="str">
            <v>PR_ADDR_STREET_START_NUM</v>
          </cell>
          <cell r="G45" t="str">
            <v>VARCHAR(10)</v>
          </cell>
          <cell r="H45" t="str">
            <v>StringType()</v>
          </cell>
        </row>
        <row r="46">
          <cell r="C46" t="str">
            <v>ASSESSMENTS</v>
          </cell>
          <cell r="E46" t="str">
            <v>PR_ADDR_SUBURB_NAME</v>
          </cell>
          <cell r="G46" t="str">
            <v>VARCHAR(50)</v>
          </cell>
          <cell r="H46" t="str">
            <v>StringType()</v>
          </cell>
        </row>
        <row r="47">
          <cell r="C47" t="str">
            <v>ASSESSMENTS</v>
          </cell>
          <cell r="E47" t="str">
            <v>PR_ADDR_UNIT_NUM</v>
          </cell>
          <cell r="G47" t="str">
            <v>VARCHAR(10)</v>
          </cell>
          <cell r="H47" t="str">
            <v>StringType()</v>
          </cell>
        </row>
        <row r="48">
          <cell r="C48" t="str">
            <v>ASSESSMENTS</v>
          </cell>
          <cell r="E48" t="str">
            <v>RECIP_MMM_2019</v>
          </cell>
          <cell r="G48" t="str">
            <v>VARCHAR(30)</v>
          </cell>
          <cell r="H48" t="str">
            <v>StringType()</v>
          </cell>
        </row>
        <row r="49">
          <cell r="C49" t="str">
            <v>ASSESSMENTS</v>
          </cell>
          <cell r="E49" t="str">
            <v>REP_CONTACT_PHONE_HOME</v>
          </cell>
          <cell r="G49" t="str">
            <v>VARCHAR(40)</v>
          </cell>
          <cell r="H49" t="str">
            <v>StringType()</v>
          </cell>
        </row>
        <row r="50">
          <cell r="C50" t="str">
            <v>ASSESSMENTS</v>
          </cell>
          <cell r="E50" t="str">
            <v>REP_CONTACT_PHONE_MOBILE</v>
          </cell>
          <cell r="G50" t="str">
            <v>VARCHAR(40)</v>
          </cell>
          <cell r="H50" t="str">
            <v>StringType()</v>
          </cell>
        </row>
        <row r="51">
          <cell r="C51" t="str">
            <v>ASSESSMENTS</v>
          </cell>
          <cell r="E51" t="str">
            <v>REP_EMAIL</v>
          </cell>
          <cell r="G51" t="str">
            <v>VARCHAR(350)</v>
          </cell>
          <cell r="H51" t="str">
            <v>StringType()</v>
          </cell>
        </row>
        <row r="52">
          <cell r="C52" t="str">
            <v>ASSESSMENTS</v>
          </cell>
          <cell r="E52" t="str">
            <v>REP_LAST_NAME</v>
          </cell>
          <cell r="G52" t="str">
            <v>VARCHAR(50)</v>
          </cell>
          <cell r="H52" t="str">
            <v>StringType()</v>
          </cell>
        </row>
        <row r="53">
          <cell r="C53" t="str">
            <v>ASSESSMENTS</v>
          </cell>
          <cell r="E53" t="str">
            <v>REP_FIRST_NAME</v>
          </cell>
          <cell r="G53" t="str">
            <v>VARCHAR(50)</v>
          </cell>
          <cell r="H53" t="str">
            <v>StringType()</v>
          </cell>
        </row>
        <row r="54">
          <cell r="C54" t="str">
            <v>ASSESSMENTS</v>
          </cell>
          <cell r="E54" t="str">
            <v>REPRESENTATIVE_RELATIONSHIP</v>
          </cell>
          <cell r="G54" t="str">
            <v>VARCHAR(30)</v>
          </cell>
          <cell r="H54" t="str">
            <v>StringType()</v>
          </cell>
        </row>
        <row r="55">
          <cell r="C55" t="str">
            <v>CLIENTS</v>
          </cell>
          <cell r="E55" t="str">
            <v>CALENDAR_YEAR_QUARTER</v>
          </cell>
          <cell r="G55" t="str">
            <v>VARCHAR(50)</v>
          </cell>
          <cell r="H55" t="str">
            <v>StringType()</v>
          </cell>
        </row>
        <row r="56">
          <cell r="C56" t="str">
            <v>CLIENTS</v>
          </cell>
          <cell r="E56" t="str">
            <v>PROVIDER_ID</v>
          </cell>
          <cell r="G56" t="str">
            <v>VARCHAR(20)</v>
          </cell>
          <cell r="H56" t="str">
            <v>StringType()</v>
          </cell>
        </row>
        <row r="57">
          <cell r="C57" t="str">
            <v>CLIENTS</v>
          </cell>
          <cell r="E57" t="str">
            <v>PROVIDER_NAME</v>
          </cell>
          <cell r="G57" t="str">
            <v>VARCHAR(240)</v>
          </cell>
          <cell r="H57" t="str">
            <v>StringType()</v>
          </cell>
        </row>
        <row r="58">
          <cell r="C58" t="str">
            <v>CLIENTS</v>
          </cell>
          <cell r="E58" t="str">
            <v>SERVICE_ID</v>
          </cell>
          <cell r="G58" t="str">
            <v>VARCHAR(20)</v>
          </cell>
          <cell r="H58" t="str">
            <v>StringType()</v>
          </cell>
        </row>
        <row r="59">
          <cell r="C59" t="str">
            <v>CLIENTS</v>
          </cell>
          <cell r="E59" t="str">
            <v>SERVICE_NAME</v>
          </cell>
          <cell r="G59" t="str">
            <v>VARCHAR(255)</v>
          </cell>
          <cell r="H59" t="str">
            <v>StringType()</v>
          </cell>
        </row>
        <row r="60">
          <cell r="C60" t="str">
            <v>CLIENTS</v>
          </cell>
          <cell r="E60" t="str">
            <v>SERVICE_PHYSICAL_ADDRESS_1</v>
          </cell>
          <cell r="G60" t="str">
            <v>VARCHAR(100)</v>
          </cell>
          <cell r="H60" t="str">
            <v>StringType()</v>
          </cell>
        </row>
        <row r="61">
          <cell r="C61" t="str">
            <v>CLIENTS</v>
          </cell>
          <cell r="E61" t="str">
            <v>SERVICE_PHYSICAL_ADDRESS_2</v>
          </cell>
          <cell r="G61" t="str">
            <v>VARCHAR(100)</v>
          </cell>
          <cell r="H61" t="str">
            <v>StringType()</v>
          </cell>
        </row>
        <row r="62">
          <cell r="C62" t="str">
            <v>CLIENTS</v>
          </cell>
          <cell r="E62" t="str">
            <v>SERVICE_PHYSICAL_SUBURB</v>
          </cell>
          <cell r="G62" t="str">
            <v>VARCHAR(50)</v>
          </cell>
          <cell r="H62" t="str">
            <v>StringType()</v>
          </cell>
        </row>
        <row r="63">
          <cell r="C63" t="str">
            <v>CLIENTS</v>
          </cell>
          <cell r="E63" t="str">
            <v>SERVICE_PHYSICAL_POSTCODE</v>
          </cell>
          <cell r="G63" t="str">
            <v>VARCHAR(10)</v>
          </cell>
          <cell r="H63" t="str">
            <v>StringType()</v>
          </cell>
        </row>
        <row r="64">
          <cell r="C64" t="str">
            <v>CLIENTS</v>
          </cell>
          <cell r="E64" t="str">
            <v>SERVICE_PHYSICAL_STATE</v>
          </cell>
          <cell r="G64" t="str">
            <v>VARCHAR(3)</v>
          </cell>
          <cell r="H64" t="str">
            <v>StringType()</v>
          </cell>
        </row>
        <row r="65">
          <cell r="C65" t="str">
            <v>CLIENTS</v>
          </cell>
          <cell r="E65" t="str">
            <v>SERVICE_POSTAL_ADDRESS_1</v>
          </cell>
          <cell r="G65" t="str">
            <v>VARCHAR(100)</v>
          </cell>
          <cell r="H65" t="str">
            <v>StringType()</v>
          </cell>
        </row>
        <row r="66">
          <cell r="C66" t="str">
            <v>CLIENTS</v>
          </cell>
          <cell r="E66" t="str">
            <v>SERVICE_POSTAL_ADDRESS_2</v>
          </cell>
          <cell r="G66" t="str">
            <v>VARCHAR(100)</v>
          </cell>
          <cell r="H66" t="str">
            <v>StringType()</v>
          </cell>
        </row>
        <row r="67">
          <cell r="C67" t="str">
            <v>CLIENTS</v>
          </cell>
          <cell r="E67" t="str">
            <v>SERVICE_POSTAL_SUBURB</v>
          </cell>
          <cell r="G67" t="str">
            <v>VARCHAR(50)</v>
          </cell>
          <cell r="H67" t="str">
            <v>StringType()</v>
          </cell>
        </row>
        <row r="68">
          <cell r="C68" t="str">
            <v>CLIENTS</v>
          </cell>
          <cell r="E68" t="str">
            <v>SERVICE_POSTAL_POSTCODE</v>
          </cell>
          <cell r="G68" t="str">
            <v>VARCHAR(10)</v>
          </cell>
          <cell r="H68" t="str">
            <v>StringType()</v>
          </cell>
        </row>
        <row r="69">
          <cell r="C69" t="str">
            <v>CLIENTS</v>
          </cell>
          <cell r="E69" t="str">
            <v>SERVICE_POSTAL_STATE</v>
          </cell>
          <cell r="G69" t="str">
            <v>VARCHAR(20)</v>
          </cell>
          <cell r="H69" t="str">
            <v>StringType()</v>
          </cell>
        </row>
        <row r="70">
          <cell r="C70" t="str">
            <v>CLIENTS</v>
          </cell>
          <cell r="E70" t="str">
            <v>ACMPS_RECIPIENT_ID</v>
          </cell>
          <cell r="G70" t="str">
            <v>VARCHAR(20)</v>
          </cell>
          <cell r="H70" t="str">
            <v>StringType()</v>
          </cell>
          <cell r="J70" t="str">
            <v>Y</v>
          </cell>
        </row>
        <row r="71">
          <cell r="C71" t="str">
            <v>CLIENTS</v>
          </cell>
          <cell r="E71" t="str">
            <v>AGED_CARE_USER_ID</v>
          </cell>
          <cell r="G71" t="str">
            <v>VARCHAR(10)</v>
          </cell>
          <cell r="H71" t="str">
            <v>StringType()</v>
          </cell>
          <cell r="J71" t="str">
            <v>Y</v>
          </cell>
        </row>
        <row r="72">
          <cell r="C72" t="str">
            <v>CLIENTS</v>
          </cell>
          <cell r="E72" t="str">
            <v>SPARC_RECIPIENT_ID</v>
          </cell>
          <cell r="G72" t="str">
            <v>VARCHAR(15)</v>
          </cell>
          <cell r="H72" t="str">
            <v>StringType()</v>
          </cell>
        </row>
        <row r="73">
          <cell r="C73" t="str">
            <v>CLIENTS</v>
          </cell>
          <cell r="E73" t="str">
            <v>AGED_CARE_USER_STATUS</v>
          </cell>
          <cell r="G73" t="str">
            <v>VARCHAR(30)</v>
          </cell>
          <cell r="H73" t="str">
            <v>StringType()</v>
          </cell>
        </row>
        <row r="74">
          <cell r="C74" t="str">
            <v>CLIENTS</v>
          </cell>
          <cell r="E74" t="str">
            <v>DEATH_DT</v>
          </cell>
          <cell r="G74" t="str">
            <v>VARCHAR(7)</v>
          </cell>
          <cell r="H74" t="str">
            <v>StringType()</v>
          </cell>
        </row>
        <row r="75">
          <cell r="C75" t="str">
            <v>CLIENTS</v>
          </cell>
          <cell r="E75" t="str">
            <v>SERVICE_TYPE</v>
          </cell>
          <cell r="G75" t="str">
            <v>VARCHAR(80)</v>
          </cell>
          <cell r="H75" t="str">
            <v>StringType()</v>
          </cell>
        </row>
        <row r="76">
          <cell r="C76" t="str">
            <v>CLIENTS</v>
          </cell>
          <cell r="E76" t="str">
            <v>DATE_OF_BIRTH</v>
          </cell>
          <cell r="G76" t="str">
            <v>VARCHAR(7)</v>
          </cell>
          <cell r="H76" t="str">
            <v>StringType()</v>
          </cell>
        </row>
        <row r="77">
          <cell r="C77" t="str">
            <v>CLIENTS</v>
          </cell>
          <cell r="E77" t="str">
            <v>FIRST_NAME</v>
          </cell>
          <cell r="G77" t="str">
            <v>VARCHAR(50)</v>
          </cell>
          <cell r="H77" t="str">
            <v>StringType()</v>
          </cell>
        </row>
        <row r="78">
          <cell r="C78" t="str">
            <v>CLIENTS</v>
          </cell>
          <cell r="E78" t="str">
            <v>MIDDLE_NAME</v>
          </cell>
          <cell r="G78" t="str">
            <v>VARCHAR(50)</v>
          </cell>
          <cell r="H78" t="str">
            <v>StringType()</v>
          </cell>
        </row>
        <row r="79">
          <cell r="C79" t="str">
            <v>CLIENTS</v>
          </cell>
          <cell r="E79" t="str">
            <v>SURNAME</v>
          </cell>
          <cell r="G79" t="str">
            <v>VARCHAR(50)</v>
          </cell>
          <cell r="H79" t="str">
            <v>StringType()</v>
          </cell>
        </row>
        <row r="80">
          <cell r="C80" t="str">
            <v>CLIENTS</v>
          </cell>
          <cell r="E80" t="str">
            <v>GENDER</v>
          </cell>
          <cell r="G80" t="str">
            <v>VARCHAR(50)</v>
          </cell>
          <cell r="H80" t="str">
            <v>StringType()</v>
          </cell>
        </row>
        <row r="81">
          <cell r="C81" t="str">
            <v>CLIENTS</v>
          </cell>
          <cell r="E81" t="str">
            <v>CLIENTS_ADDRESS_LINE_1</v>
          </cell>
          <cell r="G81" t="str">
            <v>VARCHAR(100)</v>
          </cell>
          <cell r="H81" t="str">
            <v>StringType()</v>
          </cell>
        </row>
        <row r="82">
          <cell r="C82" t="str">
            <v>CLIENTS</v>
          </cell>
          <cell r="E82" t="str">
            <v>CLIENTS_ADDRESS_LINE_2</v>
          </cell>
          <cell r="G82" t="str">
            <v>VARCHAR(100)</v>
          </cell>
          <cell r="H82" t="str">
            <v>StringType()</v>
          </cell>
        </row>
        <row r="83">
          <cell r="C83" t="str">
            <v>CLIENTS</v>
          </cell>
          <cell r="E83" t="str">
            <v>CLIENTS_SUBURB</v>
          </cell>
          <cell r="G83" t="str">
            <v>VARCHAR(50)</v>
          </cell>
          <cell r="H83" t="str">
            <v>StringType()</v>
          </cell>
        </row>
        <row r="84">
          <cell r="C84" t="str">
            <v>CLIENTS</v>
          </cell>
          <cell r="E84" t="str">
            <v>CLIENTS_POSTCODE</v>
          </cell>
          <cell r="G84" t="str">
            <v>VARCHAR(20)</v>
          </cell>
          <cell r="H84" t="str">
            <v>StringType()</v>
          </cell>
        </row>
        <row r="85">
          <cell r="C85" t="str">
            <v>CLIENTS</v>
          </cell>
          <cell r="E85" t="str">
            <v>CLIENT_STATE</v>
          </cell>
          <cell r="G85" t="str">
            <v>VARCHAR(100)</v>
          </cell>
          <cell r="H85" t="str">
            <v>StringType()</v>
          </cell>
        </row>
        <row r="86">
          <cell r="C86" t="str">
            <v>CLIENTS</v>
          </cell>
          <cell r="E86" t="str">
            <v>ATSI</v>
          </cell>
          <cell r="G86" t="str">
            <v>VARCHAR(75)</v>
          </cell>
          <cell r="H86" t="str">
            <v>StringType()</v>
          </cell>
        </row>
        <row r="87">
          <cell r="C87" t="str">
            <v>CLIENTS</v>
          </cell>
          <cell r="E87" t="str">
            <v>ATSI_CODE</v>
          </cell>
          <cell r="G87" t="str">
            <v>VARCHAR(10)</v>
          </cell>
          <cell r="H87" t="str">
            <v>StringType()</v>
          </cell>
        </row>
        <row r="88">
          <cell r="C88" t="str">
            <v>CLIENTS</v>
          </cell>
          <cell r="E88" t="str">
            <v>INDIGENOUS_STATUS</v>
          </cell>
          <cell r="G88" t="str">
            <v>VARCHAR(28)</v>
          </cell>
          <cell r="H88" t="str">
            <v>StringType()</v>
          </cell>
        </row>
        <row r="89">
          <cell r="C89" t="str">
            <v>CLIENTS</v>
          </cell>
          <cell r="E89" t="str">
            <v>PREFERRED_LANGUAGE</v>
          </cell>
          <cell r="G89" t="str">
            <v>VARCHAR(150)</v>
          </cell>
          <cell r="H89" t="str">
            <v>StringType()</v>
          </cell>
        </row>
        <row r="90">
          <cell r="C90" t="str">
            <v>CLIENTS</v>
          </cell>
          <cell r="E90" t="str">
            <v>AGE_AT_ADMISSION</v>
          </cell>
          <cell r="G90" t="str">
            <v>DECIMAL(22, 0)</v>
          </cell>
          <cell r="H90" t="str">
            <v>StringType()</v>
          </cell>
        </row>
        <row r="91">
          <cell r="C91" t="str">
            <v>CLIENTS</v>
          </cell>
          <cell r="E91" t="str">
            <v>ADMISSION_TYPE</v>
          </cell>
          <cell r="G91" t="str">
            <v>VARCHAR(20)</v>
          </cell>
          <cell r="H91" t="str">
            <v>StringType()</v>
          </cell>
        </row>
        <row r="92">
          <cell r="C92" t="str">
            <v>CLIENTS</v>
          </cell>
          <cell r="E92" t="str">
            <v>ADMISSION_DATE</v>
          </cell>
          <cell r="G92" t="str">
            <v>VARCHAR(7)</v>
          </cell>
          <cell r="H92" t="str">
            <v>StringType()</v>
          </cell>
        </row>
        <row r="93">
          <cell r="C93" t="str">
            <v>CLIENTS</v>
          </cell>
          <cell r="E93" t="str">
            <v>DISCHARGE_DATE</v>
          </cell>
          <cell r="G93" t="str">
            <v>VARCHAR(7)</v>
          </cell>
          <cell r="H93" t="str">
            <v>StringType()</v>
          </cell>
        </row>
        <row r="94">
          <cell r="C94" t="str">
            <v>CLIENTS</v>
          </cell>
          <cell r="E94" t="str">
            <v>DISCHARGE_REASON</v>
          </cell>
          <cell r="G94" t="str">
            <v>VARCHAR(100)</v>
          </cell>
          <cell r="H94" t="str">
            <v>StringType()</v>
          </cell>
        </row>
        <row r="95">
          <cell r="C95" t="str">
            <v>CLIENTS</v>
          </cell>
          <cell r="E95" t="str">
            <v>FIRST_ADMISSION_IND</v>
          </cell>
          <cell r="G95" t="str">
            <v>VARCHAR(1)</v>
          </cell>
          <cell r="H95" t="str">
            <v>StringType()</v>
          </cell>
        </row>
        <row r="96">
          <cell r="C96" t="str">
            <v>CLIENTS</v>
          </cell>
          <cell r="E96" t="str">
            <v>LAST_DISCHARGE_IND</v>
          </cell>
          <cell r="G96" t="str">
            <v>VARCHAR(1)</v>
          </cell>
          <cell r="H96" t="str">
            <v>StringType()</v>
          </cell>
        </row>
        <row r="97">
          <cell r="C97" t="str">
            <v>CLIENTS</v>
          </cell>
          <cell r="E97" t="str">
            <v>FIRST_PERM_RESI_ADMISSION_DATE</v>
          </cell>
          <cell r="G97" t="str">
            <v>VARCHAR(7)</v>
          </cell>
          <cell r="H97" t="str">
            <v>StringType()</v>
          </cell>
        </row>
        <row r="98">
          <cell r="C98" t="str">
            <v>CLIENTS</v>
          </cell>
          <cell r="E98" t="str">
            <v>FIRST_PERM_RESI_DISCHARGE_DATE</v>
          </cell>
          <cell r="G98" t="str">
            <v>VARCHAR(7)</v>
          </cell>
          <cell r="H98" t="str">
            <v>StringType()</v>
          </cell>
        </row>
        <row r="99">
          <cell r="C99" t="str">
            <v>CLIENTS</v>
          </cell>
          <cell r="E99" t="str">
            <v>INADEQUATE_HOUSING_INDICATOR</v>
          </cell>
          <cell r="G99" t="str">
            <v>VARCHAR(1)</v>
          </cell>
          <cell r="H99" t="str">
            <v>StringType()</v>
          </cell>
        </row>
        <row r="100">
          <cell r="C100" t="str">
            <v>CLIENTS</v>
          </cell>
          <cell r="E100" t="str">
            <v>SERVICE_CONTACT_PHONE</v>
          </cell>
          <cell r="G100" t="str">
            <v>VARCHAR(20)</v>
          </cell>
          <cell r="H100" t="str">
            <v>StringType()</v>
          </cell>
        </row>
        <row r="101">
          <cell r="C101" t="str">
            <v>CLIENTS</v>
          </cell>
          <cell r="E101" t="str">
            <v>PROVIDER_CONTACT_PHONE</v>
          </cell>
          <cell r="G101" t="str">
            <v>VARCHAR(50)</v>
          </cell>
          <cell r="H101" t="str">
            <v>StringType()</v>
          </cell>
        </row>
        <row r="102">
          <cell r="C102" t="str">
            <v>CLIENTS</v>
          </cell>
          <cell r="E102" t="str">
            <v>SERVICE_CONTACT_EMAIL</v>
          </cell>
          <cell r="G102" t="str">
            <v>VARCHAR(80)</v>
          </cell>
          <cell r="H102" t="str">
            <v>StringType()</v>
          </cell>
        </row>
        <row r="103">
          <cell r="C103" t="str">
            <v>CLIENTS</v>
          </cell>
          <cell r="E103" t="str">
            <v>RECIPIENT_HOME_PHONE_NUM</v>
          </cell>
          <cell r="G103" t="str">
            <v>VARCHAR(40)</v>
          </cell>
          <cell r="H103" t="str">
            <v>StringType()</v>
          </cell>
        </row>
        <row r="104">
          <cell r="C104" t="str">
            <v>CLIENTS</v>
          </cell>
          <cell r="E104" t="str">
            <v>RECIPIENT_MOBILE_PHONE_NUM</v>
          </cell>
          <cell r="G104" t="str">
            <v>VARCHAR(40)</v>
          </cell>
          <cell r="H104" t="str">
            <v>StringType()</v>
          </cell>
        </row>
        <row r="105">
          <cell r="C105" t="str">
            <v>CLIENTS</v>
          </cell>
          <cell r="E105" t="str">
            <v>RECIP_MMM_2019</v>
          </cell>
          <cell r="G105" t="str">
            <v>VARCHAR(1)</v>
          </cell>
          <cell r="H105" t="str">
            <v>StringType()</v>
          </cell>
        </row>
        <row r="106">
          <cell r="C106" t="str">
            <v>CLIENTS</v>
          </cell>
          <cell r="E106" t="str">
            <v>LGA_NAME</v>
          </cell>
          <cell r="G106" t="str">
            <v>VARCHAR(50)</v>
          </cell>
          <cell r="H106" t="str">
            <v>StringType()</v>
          </cell>
        </row>
        <row r="107">
          <cell r="C107" t="str">
            <v>CLIENTS</v>
          </cell>
          <cell r="E107" t="str">
            <v>LGA_CODE</v>
          </cell>
          <cell r="G107" t="str">
            <v>VARCHAR(5)</v>
          </cell>
          <cell r="H107" t="str">
            <v>StringType()</v>
          </cell>
        </row>
        <row r="108">
          <cell r="C108" t="str">
            <v>CLIENTS</v>
          </cell>
          <cell r="E108" t="str">
            <v>ACPR_CODE</v>
          </cell>
          <cell r="G108" t="str">
            <v>VARCHAR(5)</v>
          </cell>
          <cell r="H108" t="str">
            <v>StringType()</v>
          </cell>
        </row>
        <row r="109">
          <cell r="C109" t="str">
            <v>CLIENTS</v>
          </cell>
          <cell r="E109" t="str">
            <v>ACPR_NAME</v>
          </cell>
          <cell r="G109" t="str">
            <v>VARCHAR(50)</v>
          </cell>
          <cell r="H109" t="str">
            <v>StringType()</v>
          </cell>
        </row>
        <row r="110">
          <cell r="C110" t="str">
            <v>PAYMENTS</v>
          </cell>
          <cell r="E110" t="str">
            <v>ACMPS_RECIPIENT_ID</v>
          </cell>
          <cell r="G110" t="str">
            <v>VARCHAR(50)</v>
          </cell>
          <cell r="H110" t="str">
            <v>StringType()</v>
          </cell>
          <cell r="J110" t="str">
            <v>Y</v>
          </cell>
        </row>
        <row r="111">
          <cell r="C111" t="str">
            <v>PAYMENTS</v>
          </cell>
          <cell r="E111" t="str">
            <v>AGED_CARE_USER_ID</v>
          </cell>
          <cell r="G111" t="str">
            <v>VARCHAR(20)</v>
          </cell>
          <cell r="H111" t="str">
            <v>StringType()</v>
          </cell>
          <cell r="J111" t="str">
            <v>Y</v>
          </cell>
        </row>
        <row r="112">
          <cell r="C112" t="str">
            <v>PAYMENTS</v>
          </cell>
          <cell r="E112" t="str">
            <v>SPARC_RECIPIENT_ID</v>
          </cell>
          <cell r="G112" t="str">
            <v>VARCHAR(240)</v>
          </cell>
          <cell r="H112" t="str">
            <v>StringType()</v>
          </cell>
        </row>
        <row r="113">
          <cell r="C113" t="str">
            <v>PAYMENTS</v>
          </cell>
          <cell r="E113" t="str">
            <v>PROVIDER_ID</v>
          </cell>
          <cell r="G113" t="str">
            <v>VARCHAR(20)</v>
          </cell>
          <cell r="H113" t="str">
            <v>StringType()</v>
          </cell>
        </row>
        <row r="114">
          <cell r="C114" t="str">
            <v>PAYMENTS</v>
          </cell>
          <cell r="E114" t="str">
            <v>SERVICE_ID</v>
          </cell>
          <cell r="G114" t="str">
            <v>VARCHAR(20)</v>
          </cell>
          <cell r="H114" t="str">
            <v>StringType()</v>
          </cell>
        </row>
        <row r="115">
          <cell r="C115" t="str">
            <v>PAYMENTS</v>
          </cell>
          <cell r="E115" t="str">
            <v>RACS_ID</v>
          </cell>
          <cell r="G115" t="str">
            <v>VARCHAR(5)</v>
          </cell>
          <cell r="H115" t="str">
            <v>StringType()</v>
          </cell>
        </row>
        <row r="116">
          <cell r="C116" t="str">
            <v>PAYMENTS</v>
          </cell>
          <cell r="E116" t="str">
            <v>SERVICE_TYPE</v>
          </cell>
          <cell r="G116" t="str">
            <v>VARCHAR(80)</v>
          </cell>
          <cell r="H116" t="str">
            <v>StringType()</v>
          </cell>
        </row>
        <row r="117">
          <cell r="C117" t="str">
            <v>PAYMENTS</v>
          </cell>
          <cell r="E117" t="str">
            <v>ENTITLEMENT_MONTH</v>
          </cell>
          <cell r="G117" t="str">
            <v>VARCHAR(50)</v>
          </cell>
          <cell r="H117" t="str">
            <v>StringType()</v>
          </cell>
        </row>
        <row r="118">
          <cell r="C118" t="str">
            <v>PAYMENTS</v>
          </cell>
          <cell r="E118" t="str">
            <v>ADMISSION_TYPE</v>
          </cell>
          <cell r="G118" t="str">
            <v>VARCHAR(20)</v>
          </cell>
          <cell r="H118" t="str">
            <v>StringType()</v>
          </cell>
        </row>
        <row r="119">
          <cell r="C119" t="str">
            <v>PAYMENTS</v>
          </cell>
          <cell r="E119" t="str">
            <v>PAYMENT_TYPE_LEVEL_1</v>
          </cell>
          <cell r="G119" t="str">
            <v>VARCHAR(30)</v>
          </cell>
          <cell r="H119" t="str">
            <v>StringType()</v>
          </cell>
        </row>
        <row r="120">
          <cell r="C120" t="str">
            <v>PAYMENTS</v>
          </cell>
          <cell r="E120" t="str">
            <v>PAYMENT_TYPE_LEVEL_2</v>
          </cell>
          <cell r="G120" t="str">
            <v>VARCHAR(100)</v>
          </cell>
          <cell r="H120" t="str">
            <v>StringType()</v>
          </cell>
        </row>
        <row r="121">
          <cell r="C121" t="str">
            <v>PAYMENTS</v>
          </cell>
          <cell r="E121" t="str">
            <v>CLAIM_AMT</v>
          </cell>
          <cell r="G121" t="str">
            <v>VARCHAR(22)</v>
          </cell>
          <cell r="H121" t="str">
            <v>StringType()</v>
          </cell>
        </row>
        <row r="122">
          <cell r="C122" t="str">
            <v>PAYMENTS</v>
          </cell>
          <cell r="E122" t="str">
            <v>TOTAL_PAID_DAYS</v>
          </cell>
          <cell r="G122" t="str">
            <v>VARCHAR(22)</v>
          </cell>
          <cell r="H122" t="str">
            <v>StringType()</v>
          </cell>
        </row>
        <row r="123">
          <cell r="C123" t="str">
            <v>PAYMENTS</v>
          </cell>
          <cell r="E123" t="str">
            <v>SUBSIDY_OR_SUPPLEMENT_RATE</v>
          </cell>
          <cell r="G123" t="str">
            <v>VARCHAR(22)</v>
          </cell>
          <cell r="H123" t="str">
            <v>StringType()</v>
          </cell>
        </row>
        <row r="124">
          <cell r="C124" t="str">
            <v>REMOVED_CLIENTS</v>
          </cell>
          <cell r="E124" t="str">
            <v>CALENDAR_YEAR_QUARTER</v>
          </cell>
          <cell r="G124" t="str">
            <v>VARCHAR(50)</v>
          </cell>
          <cell r="H124" t="str">
            <v>StringType()</v>
          </cell>
        </row>
        <row r="125">
          <cell r="C125" t="str">
            <v>REMOVED_CLIENTS</v>
          </cell>
          <cell r="E125" t="str">
            <v>ACMPS_RECIPIENT_ID</v>
          </cell>
          <cell r="G125" t="str">
            <v>VARCHAR(20)</v>
          </cell>
          <cell r="H125" t="str">
            <v>StringType()</v>
          </cell>
          <cell r="J125" t="str">
            <v>Y</v>
          </cell>
        </row>
        <row r="126">
          <cell r="C126" t="str">
            <v>REMOVED_CLIENTS</v>
          </cell>
          <cell r="E126" t="str">
            <v>AGED_CARE_USER_ID</v>
          </cell>
          <cell r="G126" t="str">
            <v>VARCHAR(10)</v>
          </cell>
          <cell r="H126" t="str">
            <v>StringType()</v>
          </cell>
          <cell r="J126" t="str">
            <v>Y</v>
          </cell>
        </row>
        <row r="127">
          <cell r="C127" t="str">
            <v>REMOVED_CLIENTS</v>
          </cell>
          <cell r="E127" t="str">
            <v>SPARC_RECIPIENT_ID</v>
          </cell>
          <cell r="G127" t="str">
            <v>VARCHAR(15)</v>
          </cell>
          <cell r="H127" t="str">
            <v>StringType()</v>
          </cell>
        </row>
        <row r="128">
          <cell r="C128" t="str">
            <v>REMOVED_CLIENTS</v>
          </cell>
          <cell r="E128" t="str">
            <v>FIRST_NAME</v>
          </cell>
          <cell r="G128" t="str">
            <v>VARCHAR(50)</v>
          </cell>
          <cell r="H128" t="str">
            <v>StringType()</v>
          </cell>
        </row>
        <row r="129">
          <cell r="C129" t="str">
            <v>REMOVED_CLIENTS</v>
          </cell>
          <cell r="E129" t="str">
            <v>MIDDLE_NAME</v>
          </cell>
          <cell r="G129" t="str">
            <v>VARCHAR(50)</v>
          </cell>
          <cell r="H129" t="str">
            <v>StringType()</v>
          </cell>
        </row>
        <row r="130">
          <cell r="C130" t="str">
            <v>REMOVED_CLIENTS</v>
          </cell>
          <cell r="E130" t="str">
            <v>SURNAME</v>
          </cell>
          <cell r="G130" t="str">
            <v>VARCHAR(50)</v>
          </cell>
          <cell r="H130" t="str">
            <v>StringType()</v>
          </cell>
        </row>
        <row r="131">
          <cell r="C131" t="str">
            <v>REMOVED_CLIENTS</v>
          </cell>
          <cell r="E131" t="str">
            <v>DATE_OF_BIRTH</v>
          </cell>
          <cell r="G131" t="str">
            <v>VARCHAR(7)</v>
          </cell>
          <cell r="H131" t="str">
            <v>StringType()</v>
          </cell>
        </row>
        <row r="132">
          <cell r="C132" t="str">
            <v>REMOVED_CLIENTS</v>
          </cell>
          <cell r="E132" t="str">
            <v>GENDER</v>
          </cell>
          <cell r="G132" t="str">
            <v>VARCHAR(50)</v>
          </cell>
          <cell r="H132" t="str">
            <v>StringType()</v>
          </cell>
        </row>
        <row r="133">
          <cell r="C133" t="str">
            <v>REMOVED_CLIENTS</v>
          </cell>
          <cell r="E133" t="str">
            <v>DISCHARGE_REASON</v>
          </cell>
          <cell r="G133" t="str">
            <v>VARCHAR(100)</v>
          </cell>
          <cell r="H133" t="str">
            <v>StringType()</v>
          </cell>
        </row>
        <row r="134">
          <cell r="C134" t="str">
            <v>REMOVED_CLIENTS</v>
          </cell>
          <cell r="E134" t="str">
            <v>DISCHARGE_DATE</v>
          </cell>
          <cell r="G134" t="str">
            <v>VARCHAR(7)</v>
          </cell>
          <cell r="H134" t="str">
            <v>StringType()</v>
          </cell>
        </row>
        <row r="135">
          <cell r="C135" t="str">
            <v>REMOVED_CLIENTS</v>
          </cell>
          <cell r="E135" t="str">
            <v>INADEQUATE_HOUSING_INDICATOR</v>
          </cell>
          <cell r="G135" t="str">
            <v>VARCHAR(1)</v>
          </cell>
          <cell r="H135" t="str">
            <v>StringType()</v>
          </cell>
        </row>
      </sheetData>
      <sheetData sheetId="2">
        <row r="2">
          <cell r="G2" t="str">
            <v/>
          </cell>
        </row>
        <row r="3">
          <cell r="G3" t="str">
            <v/>
          </cell>
        </row>
        <row r="4">
          <cell r="G4" t="str">
            <v/>
          </cell>
        </row>
        <row r="5">
          <cell r="G5" t="str">
            <v/>
          </cell>
        </row>
        <row r="6">
          <cell r="G6" t="str">
            <v/>
          </cell>
        </row>
        <row r="7">
          <cell r="G7" t="str">
            <v/>
          </cell>
        </row>
        <row r="8">
          <cell r="G8" t="str">
            <v/>
          </cell>
        </row>
        <row r="9">
          <cell r="G9" t="str">
            <v/>
          </cell>
        </row>
        <row r="10">
          <cell r="G10" t="str">
            <v/>
          </cell>
        </row>
        <row r="11">
          <cell r="G11" t="str">
            <v>PERSONAL_CONTACTINFO</v>
          </cell>
        </row>
        <row r="12">
          <cell r="G12" t="str">
            <v>PERSONAL_CONTACTINFO</v>
          </cell>
        </row>
        <row r="13">
          <cell r="G13" t="str">
            <v>PERSONAL_CONTACTINFO</v>
          </cell>
        </row>
        <row r="14">
          <cell r="G14" t="str">
            <v/>
          </cell>
        </row>
        <row r="15">
          <cell r="G15" t="str">
            <v>PERSONAL_OTHERINFO</v>
          </cell>
        </row>
        <row r="16">
          <cell r="G16" t="str">
            <v>PERSONAL_CONTACTINFO</v>
          </cell>
        </row>
        <row r="17">
          <cell r="G17" t="str">
            <v>PERSONAL_CONTACTINFO</v>
          </cell>
        </row>
        <row r="18">
          <cell r="G18" t="str">
            <v>PERSONAL_CONTACTINFO</v>
          </cell>
        </row>
        <row r="19">
          <cell r="G19" t="str">
            <v>PERSONAL_CONTACTINFO</v>
          </cell>
        </row>
        <row r="20">
          <cell r="G20" t="str">
            <v/>
          </cell>
        </row>
        <row r="21">
          <cell r="G21" t="str">
            <v/>
          </cell>
        </row>
        <row r="22">
          <cell r="G22" t="str">
            <v/>
          </cell>
        </row>
        <row r="23">
          <cell r="G23" t="str">
            <v/>
          </cell>
        </row>
        <row r="24">
          <cell r="G24" t="str">
            <v/>
          </cell>
        </row>
        <row r="25">
          <cell r="G25" t="str">
            <v/>
          </cell>
        </row>
        <row r="26">
          <cell r="G26" t="str">
            <v/>
          </cell>
        </row>
        <row r="27">
          <cell r="G27" t="str">
            <v/>
          </cell>
        </row>
        <row r="28">
          <cell r="G28" t="str">
            <v/>
          </cell>
        </row>
        <row r="29">
          <cell r="G29" t="str">
            <v/>
          </cell>
        </row>
        <row r="30">
          <cell r="G30" t="str">
            <v/>
          </cell>
        </row>
        <row r="31">
          <cell r="G31" t="str">
            <v/>
          </cell>
        </row>
        <row r="32">
          <cell r="G32" t="str">
            <v/>
          </cell>
        </row>
        <row r="33">
          <cell r="G33" t="str">
            <v/>
          </cell>
        </row>
        <row r="34">
          <cell r="G34" t="str">
            <v/>
          </cell>
        </row>
        <row r="35">
          <cell r="G35" t="str">
            <v/>
          </cell>
        </row>
        <row r="36">
          <cell r="G36" t="str">
            <v/>
          </cell>
        </row>
        <row r="37">
          <cell r="G37" t="str">
            <v/>
          </cell>
        </row>
        <row r="38">
          <cell r="G38" t="str">
            <v/>
          </cell>
        </row>
        <row r="39">
          <cell r="G39" t="str">
            <v/>
          </cell>
        </row>
        <row r="40">
          <cell r="G40" t="str">
            <v>PERSONAL_CONTACTINFO</v>
          </cell>
        </row>
        <row r="41">
          <cell r="G41" t="str">
            <v>PERSONAL_CONTACTINFO</v>
          </cell>
        </row>
        <row r="42">
          <cell r="G42" t="str">
            <v>PERSONAL_CONTACTINFO</v>
          </cell>
        </row>
        <row r="43">
          <cell r="G43" t="str">
            <v>PERSONAL_CONTACTINFO</v>
          </cell>
        </row>
        <row r="44">
          <cell r="G44" t="str">
            <v>PERSONAL_CONTACTINFO</v>
          </cell>
        </row>
        <row r="45">
          <cell r="G45" t="str">
            <v>PERSONAL_CONTACTINFO</v>
          </cell>
        </row>
        <row r="46">
          <cell r="G46" t="str">
            <v>PERSONAL_CONTACTINFO</v>
          </cell>
        </row>
        <row r="47">
          <cell r="G47" t="str">
            <v>PERSONAL_CONTACTINFO</v>
          </cell>
        </row>
        <row r="48">
          <cell r="G48" t="str">
            <v/>
          </cell>
        </row>
        <row r="49">
          <cell r="G49" t="str">
            <v>PERSONAL_CONTACTINFO</v>
          </cell>
        </row>
        <row r="50">
          <cell r="G50" t="str">
            <v>PERSONAL_CONTACTINFO</v>
          </cell>
        </row>
        <row r="51">
          <cell r="G51" t="str">
            <v>PERSONAL_CONTACTINFO</v>
          </cell>
        </row>
        <row r="52">
          <cell r="G52" t="str">
            <v>PERSONAL_CONTACTINFO</v>
          </cell>
        </row>
        <row r="53">
          <cell r="G53" t="str">
            <v>PERSONAL_CONTACTINFO</v>
          </cell>
        </row>
        <row r="54">
          <cell r="G54" t="str">
            <v/>
          </cell>
        </row>
        <row r="55">
          <cell r="G55" t="str">
            <v/>
          </cell>
        </row>
        <row r="56">
          <cell r="G56" t="str">
            <v/>
          </cell>
        </row>
        <row r="57">
          <cell r="G57" t="str">
            <v>PERSONAL_PROVIDERINFO</v>
          </cell>
        </row>
        <row r="58">
          <cell r="G58" t="str">
            <v/>
          </cell>
        </row>
        <row r="59">
          <cell r="G59" t="str">
            <v>PERSONAL_PROVIDERINFO</v>
          </cell>
        </row>
        <row r="60">
          <cell r="G60" t="str">
            <v>PERSONAL_PROVIDERINFO</v>
          </cell>
        </row>
        <row r="61">
          <cell r="G61" t="str">
            <v>PERSONAL_PROVIDERINFO</v>
          </cell>
        </row>
        <row r="62">
          <cell r="G62" t="str">
            <v>PERSONAL_PROVIDERINFO</v>
          </cell>
        </row>
        <row r="63">
          <cell r="G63" t="str">
            <v>PERSONAL_PROVIDERINFO</v>
          </cell>
        </row>
        <row r="64">
          <cell r="G64" t="str">
            <v>PERSONAL_CONTACTINFO</v>
          </cell>
        </row>
        <row r="65">
          <cell r="G65" t="str">
            <v>PERSONAL_CONTACTINFO</v>
          </cell>
        </row>
        <row r="66">
          <cell r="G66" t="str">
            <v>PERSONAL_CONTACTINFO</v>
          </cell>
        </row>
        <row r="67">
          <cell r="G67" t="str">
            <v>PERSONAL_CONTACTINFO</v>
          </cell>
        </row>
        <row r="68">
          <cell r="G68" t="str">
            <v>PERSONAL_CONTACTINFO</v>
          </cell>
        </row>
        <row r="69">
          <cell r="G69" t="str">
            <v>PERSONAL_CONTACTINFO</v>
          </cell>
        </row>
        <row r="70">
          <cell r="G70" t="str">
            <v/>
          </cell>
        </row>
        <row r="71">
          <cell r="G71" t="str">
            <v/>
          </cell>
        </row>
        <row r="72">
          <cell r="G72" t="str">
            <v/>
          </cell>
        </row>
        <row r="73">
          <cell r="G73" t="str">
            <v/>
          </cell>
        </row>
        <row r="74">
          <cell r="G74" t="str">
            <v/>
          </cell>
        </row>
        <row r="75">
          <cell r="G75" t="str">
            <v/>
          </cell>
        </row>
        <row r="76">
          <cell r="G76" t="str">
            <v>PERSONAL_OTHERINFO</v>
          </cell>
        </row>
        <row r="77">
          <cell r="G77" t="str">
            <v>PERSONAL_CONTACTINFO</v>
          </cell>
        </row>
        <row r="78">
          <cell r="G78" t="str">
            <v>PERSONAL_CONTACTINFO</v>
          </cell>
        </row>
        <row r="79">
          <cell r="G79" t="str">
            <v>PERSONAL_CONTACTINFO</v>
          </cell>
        </row>
        <row r="80">
          <cell r="G80" t="str">
            <v/>
          </cell>
        </row>
        <row r="81">
          <cell r="G81" t="str">
            <v>PERSONAL_CONTACTINFO</v>
          </cell>
        </row>
        <row r="82">
          <cell r="G82" t="str">
            <v>PERSONAL_CONTACTINFO</v>
          </cell>
        </row>
        <row r="83">
          <cell r="G83" t="str">
            <v>PERSONAL_CONTACTINFO</v>
          </cell>
        </row>
        <row r="84">
          <cell r="G84" t="str">
            <v>PERSONAL_CONTACTINFO</v>
          </cell>
        </row>
        <row r="85">
          <cell r="G85" t="str">
            <v>PERSONAL_CONTACTINFO</v>
          </cell>
        </row>
        <row r="86">
          <cell r="G86" t="str">
            <v/>
          </cell>
        </row>
        <row r="87">
          <cell r="G87" t="str">
            <v/>
          </cell>
        </row>
        <row r="88">
          <cell r="G88" t="str">
            <v>PERSONAL_SENSITIVE_OTHERINFO</v>
          </cell>
        </row>
        <row r="89">
          <cell r="G89" t="str">
            <v>PERSONAL_OTHERINFO</v>
          </cell>
        </row>
        <row r="90">
          <cell r="G90" t="str">
            <v/>
          </cell>
        </row>
        <row r="91">
          <cell r="G91" t="str">
            <v/>
          </cell>
        </row>
        <row r="92">
          <cell r="G92" t="str">
            <v/>
          </cell>
        </row>
        <row r="93">
          <cell r="G93" t="str">
            <v/>
          </cell>
        </row>
        <row r="94">
          <cell r="G94" t="str">
            <v/>
          </cell>
        </row>
        <row r="95">
          <cell r="G95" t="str">
            <v/>
          </cell>
        </row>
        <row r="96">
          <cell r="G96" t="str">
            <v/>
          </cell>
        </row>
        <row r="97">
          <cell r="G97" t="str">
            <v/>
          </cell>
        </row>
        <row r="98">
          <cell r="G98" t="str">
            <v/>
          </cell>
        </row>
        <row r="99">
          <cell r="G99" t="str">
            <v/>
          </cell>
        </row>
        <row r="100">
          <cell r="G100" t="str">
            <v>PERSONAL_PROVIDERINFO</v>
          </cell>
        </row>
        <row r="101">
          <cell r="G101" t="str">
            <v>PERSONAL_PROVIDERINFO</v>
          </cell>
        </row>
        <row r="102">
          <cell r="G102" t="str">
            <v>PERSONAL_PROVIDERINFO</v>
          </cell>
        </row>
        <row r="103">
          <cell r="G103" t="str">
            <v>PERSONAL_CONTACTINFO</v>
          </cell>
        </row>
        <row r="104">
          <cell r="G104" t="str">
            <v>PERSONAL_CONTACTINFO</v>
          </cell>
        </row>
        <row r="105">
          <cell r="G105" t="str">
            <v/>
          </cell>
        </row>
        <row r="106">
          <cell r="G106" t="str">
            <v/>
          </cell>
        </row>
        <row r="107">
          <cell r="G107" t="str">
            <v/>
          </cell>
        </row>
        <row r="108">
          <cell r="G108" t="str">
            <v/>
          </cell>
        </row>
        <row r="109">
          <cell r="G109" t="str">
            <v/>
          </cell>
        </row>
        <row r="110">
          <cell r="G110" t="str">
            <v/>
          </cell>
        </row>
        <row r="111">
          <cell r="G111" t="str">
            <v/>
          </cell>
        </row>
        <row r="112">
          <cell r="G112" t="str">
            <v/>
          </cell>
        </row>
        <row r="113">
          <cell r="G113" t="str">
            <v/>
          </cell>
        </row>
        <row r="114">
          <cell r="G114" t="str">
            <v/>
          </cell>
        </row>
        <row r="115">
          <cell r="G115" t="str">
            <v/>
          </cell>
        </row>
        <row r="116">
          <cell r="G116" t="str">
            <v/>
          </cell>
        </row>
        <row r="117">
          <cell r="G117" t="str">
            <v/>
          </cell>
        </row>
        <row r="118">
          <cell r="G118" t="str">
            <v/>
          </cell>
        </row>
        <row r="119">
          <cell r="G119" t="str">
            <v/>
          </cell>
        </row>
        <row r="120">
          <cell r="G120" t="str">
            <v/>
          </cell>
        </row>
        <row r="121">
          <cell r="G121" t="str">
            <v/>
          </cell>
        </row>
        <row r="122">
          <cell r="G122" t="str">
            <v/>
          </cell>
        </row>
        <row r="123">
          <cell r="G123" t="str">
            <v/>
          </cell>
        </row>
        <row r="124">
          <cell r="G124" t="str">
            <v/>
          </cell>
        </row>
        <row r="125">
          <cell r="G125" t="str">
            <v/>
          </cell>
        </row>
        <row r="126">
          <cell r="G126" t="str">
            <v/>
          </cell>
        </row>
        <row r="127">
          <cell r="G127" t="str">
            <v/>
          </cell>
        </row>
        <row r="128">
          <cell r="G128" t="str">
            <v>PERSONAL_IDENTITYINFODIRECT</v>
          </cell>
        </row>
        <row r="129">
          <cell r="G129" t="str">
            <v>PERSONAL_IDENTITYINFODIRECT</v>
          </cell>
        </row>
        <row r="130">
          <cell r="G130" t="str">
            <v>PERSONAL_IDENTITYINFODIRECT</v>
          </cell>
        </row>
        <row r="131">
          <cell r="G131" t="str">
            <v>PERSONAL_OTHERINFO</v>
          </cell>
        </row>
      </sheetData>
      <sheetData sheetId="3"/>
    </sheetDataSet>
  </externalBook>
</externalLink>
</file>

<file path=xl/persons/person.xml><?xml version="1.0" encoding="utf-8"?>
<personList xmlns="http://schemas.microsoft.com/office/spreadsheetml/2018/threadedcomments" xmlns:x="http://schemas.openxmlformats.org/spreadsheetml/2006/main">
  <person displayName="Sattar, Tanveer" id="{5779ECD3-D4AB-481E-96C3-4C7FEB82086D}" userId="S::Tanveer.Sattar@ndis.gov.au::b856e231-6df2-497f-904d-6343fb2c49ee" providerId="AD"/>
</personList>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threadedComments/threadedComment1.xml><?xml version="1.0" encoding="utf-8"?>
<ThreadedComments xmlns="http://schemas.microsoft.com/office/spreadsheetml/2018/threadedcomments" xmlns:x="http://schemas.openxmlformats.org/spreadsheetml/2006/main">
  <threadedComment ref="K1" dT="2025-10-28T06:48:51.31" personId="{5779ECD3-D4AB-481E-96C3-4C7FEB82086D}" id="{BF385126-7D0B-4AE2-90B8-860EC55F27A5}">
    <text>Renamed column name from “INFO-Data Type (Teradata-SRCI)” to “INFO-Data Type (Source)” to be used just as information about original source system data types. This is used in transformation column formula here but not in Snowflake code generation.</text>
  </threadedComment>
  <threadedComment ref="L1" dT="2025-10-28T06:48:51.31" personId="{5779ECD3-D4AB-481E-96C3-4C7FEB82086D}" id="{0E75757F-B79D-4768-A5DE-F4BE308EA03B}">
    <text>This is info column only to see the data type format because some data types are marked as INTEGER but they are actually DATE so this is helpful in setting up proper transformation. This is not used Snowflake code generation.</text>
  </threadedComment>
</ThreadedComments>
</file>

<file path=xl/worksheets/_rels/sheet1.xml.rels><?xml version="1.0" encoding="UTF-8" standalone="yes"?>
<Relationships xmlns="http://schemas.openxmlformats.org/package/2006/relationships"><Relationship Id="rId3" Type="http://schemas.microsoft.com/office/2017/10/relationships/threadedComment" Target="../threadedComments/threadedComment1.xml"/><Relationship Id="rId2" Type="http://schemas.openxmlformats.org/officeDocument/2006/relationships/comments" Target="../comments1.xml"/><Relationship Id="rId1" Type="http://schemas.openxmlformats.org/officeDocument/2006/relationships/vmlDrawing" Target="../drawings/vmlDrawing1.v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7B3D2E3-C308-43B6-9D2F-11804CA220B5}">
  <dimension ref="A1:V1411"/>
  <sheetViews>
    <sheetView tabSelected="1" workbookViewId="0">
      <selection sqref="A1:XFD1048576"/>
    </sheetView>
  </sheetViews>
  <sheetFormatPr defaultRowHeight="13.5" x14ac:dyDescent="0.25"/>
  <cols>
    <col min="1" max="1" width="21.7109375" style="7" customWidth="1"/>
    <col min="2" max="2" width="24.7109375" style="7" bestFit="1" customWidth="1"/>
    <col min="3" max="3" width="39" style="7" customWidth="1"/>
    <col min="4" max="4" width="15" style="7" bestFit="1" customWidth="1"/>
    <col min="5" max="5" width="35" style="7" bestFit="1" customWidth="1"/>
    <col min="6" max="6" width="37.42578125" style="7" bestFit="1" customWidth="1"/>
    <col min="7" max="7" width="16.28515625" style="7" bestFit="1" customWidth="1"/>
    <col min="8" max="8" width="35.28515625" style="7" bestFit="1" customWidth="1"/>
    <col min="9" max="9" width="37.7109375" style="7" bestFit="1" customWidth="1"/>
    <col min="10" max="10" width="28.140625" style="7" bestFit="1" customWidth="1"/>
    <col min="11" max="11" width="22.28515625" style="7" bestFit="1" customWidth="1"/>
    <col min="12" max="12" width="22.28515625" style="7" customWidth="1"/>
    <col min="13" max="13" width="97.42578125" style="7" bestFit="1" customWidth="1"/>
    <col min="14" max="14" width="8.42578125" style="7" customWidth="1"/>
    <col min="15" max="15" width="26.42578125" style="7" bestFit="1" customWidth="1"/>
    <col min="16" max="16" width="12.7109375" style="7" bestFit="1" customWidth="1"/>
    <col min="17" max="17" width="10.28515625" style="7" customWidth="1"/>
    <col min="18" max="18" width="10.140625" style="7" customWidth="1"/>
    <col min="19" max="19" width="17.42578125" style="7" bestFit="1" customWidth="1"/>
    <col min="20" max="20" width="22.28515625" style="7" bestFit="1" customWidth="1"/>
    <col min="21" max="21" width="22.5703125" style="7" bestFit="1" customWidth="1"/>
    <col min="22" max="22" width="16.85546875" style="7" bestFit="1" customWidth="1"/>
    <col min="23" max="16384" width="9.140625" style="7"/>
  </cols>
  <sheetData>
    <row r="1" spans="1:22" ht="15" x14ac:dyDescent="0.25">
      <c r="A1" s="1" t="s">
        <v>0</v>
      </c>
      <c r="B1" s="2" t="s">
        <v>1</v>
      </c>
      <c r="C1" s="2" t="s">
        <v>2</v>
      </c>
      <c r="D1" s="2" t="s">
        <v>3</v>
      </c>
      <c r="E1" s="3" t="s">
        <v>4</v>
      </c>
      <c r="F1" s="3" t="s">
        <v>5</v>
      </c>
      <c r="G1" s="3" t="s">
        <v>6</v>
      </c>
      <c r="H1" s="4" t="s">
        <v>7</v>
      </c>
      <c r="I1" s="4" t="s">
        <v>8</v>
      </c>
      <c r="J1" s="4" t="s">
        <v>9</v>
      </c>
      <c r="K1" s="5" t="s">
        <v>10</v>
      </c>
      <c r="L1" s="5" t="s">
        <v>11</v>
      </c>
      <c r="M1" s="6" t="s">
        <v>12</v>
      </c>
      <c r="N1" s="6" t="s">
        <v>13</v>
      </c>
      <c r="O1" s="6" t="s">
        <v>14</v>
      </c>
      <c r="P1" s="6" t="s">
        <v>15</v>
      </c>
      <c r="Q1" s="5" t="s">
        <v>16</v>
      </c>
      <c r="R1" s="5" t="s">
        <v>17</v>
      </c>
      <c r="S1" s="5" t="s">
        <v>18</v>
      </c>
      <c r="T1" s="5" t="s">
        <v>19</v>
      </c>
      <c r="U1" s="5" t="s">
        <v>20</v>
      </c>
      <c r="V1" s="6" t="s">
        <v>21</v>
      </c>
    </row>
    <row r="2" spans="1:22" ht="15" x14ac:dyDescent="0.25">
      <c r="A2" t="s">
        <v>22</v>
      </c>
      <c r="B2" t="str">
        <f>[1]ETL_Incremental!C2</f>
        <v>ASSESSMENTS</v>
      </c>
      <c r="C2" t="str">
        <f>[1]ETL_Incremental!E2</f>
        <v>CALENDAR_YEAR_QUARTER</v>
      </c>
      <c r="D2" t="str">
        <f>[1]ETL_Incremental!H2</f>
        <v>StringType()</v>
      </c>
      <c r="E2" s="7" t="str">
        <f t="shared" ref="E2:E65" si="0">CONCATENATE($A2,"_",B2)</f>
        <v>DOHDA_ASSESSMENTS</v>
      </c>
      <c r="F2" s="7" t="str">
        <f t="shared" ref="F2:F65" si="1">IF($C2="Start_Date","STRT_DT",
 IF($C2="End_Date","END_DT",
 IF($C2="Record_Deleted_Flag","RCRD_DEL_IND",
 IF($C2="IsDeleted","RCRD_DEL_IND",
 $C2
))))</f>
        <v>CALENDAR_YEAR_QUARTER</v>
      </c>
      <c r="G2" s="7" t="s">
        <v>23</v>
      </c>
      <c r="H2" s="7" t="str">
        <f t="shared" ref="H2:H65" si="2">CONCATENATE($A2,"_",$B2)</f>
        <v>DOHDA_ASSESSMENTS</v>
      </c>
      <c r="I2" s="7" t="str">
        <f t="shared" ref="I2:I65" si="3">IF($C2="Start_Date","STRT_DT",
 IF($C2="End_Date","END_DT",
 IF($C2="Record_Deleted_Flag","RCRD_DEL_IND",
 IF($C2="IsDeleted","RCRD_DEL_IND",
 $C2
))))</f>
        <v>CALENDAR_YEAR_QUARTER</v>
      </c>
      <c r="J2" s="7" t="str">
        <f t="shared" ref="J2:J65" si="4">IF(LEFT(TRIM($K2),7)="VARCHAR","VARCHAR",
 IF(LEFT(TRIM($K2),4)="CHAR","VARCHAR",
 IF(TRIM($K2)="TIMESTAMP(6)","TIMESTAMP",
 IF(TRIM($K2)="DATE","DATE",
 IF(TRIM($K2)="BYTEINT","SMALLINT",
 IF(TRIM($K2)="SMALLINT","SMALLINT",
 IF(TRIM($K2)="INTEGER","INTEGER",
 IF(TRIM($K2)="BIGINT","INTEGER",
 IF(LEFT(TRIM($K2),7)="DECIMAL",TRIM($K2),
 IF(TRIM($K2)="BOOLEAN","BOOLEAN",
 IF(TRIM($K2)="DOUBLE","DOUBLE",
 IF(TRIM($K2)="FLOAT","FLOAT",
 IF(TRIM($K2)="REAL","REAL",
 IF(LEFT(TRIM($K2),6)="STRUCT","VARIANT",
 IF(LEFT(TRIM($K2),5)="ARRAY","VARIANT",
 IF(LEFT(TRIM($K2),3)="MAP","VARIANT",
 IF(LEFT(TRIM($K2),3)="ROW","VARIANT",
 "NONE"
)))))))))))))))))</f>
        <v>VARCHAR</v>
      </c>
      <c r="K2" s="7" t="str">
        <f>TRIM([1]ETL_Incremental!G2)</f>
        <v>VARCHAR(2)</v>
      </c>
      <c r="L2" s="7" t="str">
        <f>TRIM([1]ETL_Incremental!I2)</f>
        <v/>
      </c>
      <c r="M2" s="7" t="str">
        <f>IF(AND(LEFT($K2,7)="VARCHAR", OR(RIGHT($I2,2)="DT", RIGHT($I2,4)="DATE")), "NULLIF(TRIM(TO_VARCHAR(TRY_TO_DATE(NULLIF(TRIM("&amp;$I2&amp;"::STRING),''), 'DD/MON/YYYY'), 'DD-MM-YYYY')), '')",
 IF(LEFT($K2,7)="VARCHAR","NULLIF(TRIM("&amp;$I2&amp;"),'')",
 IF(LEFT($K2,4)="CHAR","NULLIF(TRIM("&amp;$I2&amp;"),'')",
 IF(LEFT($K2,7)="DECIMAL","CAST(NULLIF(TRIM("&amp;$I2&amp;"),'') AS "&amp;$K2&amp;")",
 IF($K2="TIMESTAMP(6)","TO_TIMESTAMP_NTZ(NULLIF(TRIM("&amp;$I2&amp;"),''),'YYYY-MM-DD HH24:MI:SS.FF6')",
 IF($K2="DATE","TO_DATE(NULLIF(TRIM("&amp;$I2&amp;"),'') , 'YYYY-MM-DD')",
 IF($K2="BIGINT","CAST(NULLIF(TRIM("&amp;$I2&amp;"),'') AS INTEGER)",
 IF($K2="BYTEINT","CAST(NULLIF(TRIM("&amp;$I2&amp;"),'') AS SMALLINT)",
 IF($K2="SMALLINT","CAST(NULLIF(TRIM("&amp;$I2&amp;"),'') AS SMALLINT)",
 IF($K2="INTEGER","CAST(NULLIF(TRIM("&amp;$I2&amp;"),'') AS INTEGER)",
 IF($K2="BOOLEAN","CAST(NULLIF(TRIM("&amp;$I2&amp;"),'') AS BOOLEAN)",
 IF($K2="DOUBLE","CAST(NULLIF(TRIM("&amp;$I2&amp;"),'') AS DOUBLE)",
 IF($K2="FLOAT","CAST(NULLIF(TRIM("&amp;$I2&amp;"),'') AS FLOAT)",
 IF($K2="REAL","CAST(NULLIF(TRIM("&amp;$I2&amp;"),'') AS REAL)",
 IF(OR($K2="STRUCT",$K2="ARRAY",$K2="MAP",$K2="ROW"),"CAST(NULLIF(TRIM("&amp;$I2&amp;"),'') AS VARIANT)",
 "NONE"
)))))))))))))))</f>
        <v>NULLIF(TRIM(CALENDAR_YEAR_QUARTER),'')</v>
      </c>
      <c r="N2" s="7" t="str">
        <f>TRIM([1]ETL_Incremental!J2)</f>
        <v/>
      </c>
      <c r="O2" s="8" t="str">
        <f>IF(TRIM([1]Classification!$G2)="","NOT CONFIDENTIAL",TRIM([1]Classification!$G2))</f>
        <v>NOT CONFIDENTIAL</v>
      </c>
      <c r="P2" s="7" t="str">
        <f t="shared" ref="P2:P65" si="5">IF($C2="Start_Date","N",
 IF($C2="End_Date","N",
 IF($C2="Record_Deleted_Flag","N",
 IF($C2="IsDeleted","N",
 "Y"
))))</f>
        <v>Y</v>
      </c>
      <c r="Q2" s="7" t="s">
        <v>24</v>
      </c>
      <c r="R2" s="9">
        <v>2958465</v>
      </c>
      <c r="S2" s="7" t="s">
        <v>25</v>
      </c>
      <c r="T2" s="7" t="s">
        <v>26</v>
      </c>
      <c r="U2" s="7" t="str">
        <f t="shared" ref="U2:U65" si="6">CONCATENATE(A2,"_",B2,"_V")</f>
        <v>DOHDA_ASSESSMENTS_V</v>
      </c>
      <c r="V2" s="7" t="s">
        <v>27</v>
      </c>
    </row>
    <row r="3" spans="1:22" ht="15" x14ac:dyDescent="0.25">
      <c r="A3" t="s">
        <v>22</v>
      </c>
      <c r="B3" t="str">
        <f>[1]ETL_Incremental!C3</f>
        <v>ASSESSMENTS</v>
      </c>
      <c r="C3" t="str">
        <f>[1]ETL_Incremental!E3</f>
        <v>ACMPS_RECIPIENT_ID</v>
      </c>
      <c r="D3" t="str">
        <f>[1]ETL_Incremental!H3</f>
        <v>StringType()</v>
      </c>
      <c r="E3" s="7" t="str">
        <f t="shared" si="0"/>
        <v>DOHDA_ASSESSMENTS</v>
      </c>
      <c r="F3" s="7" t="str">
        <f t="shared" si="1"/>
        <v>ACMPS_RECIPIENT_ID</v>
      </c>
      <c r="G3" s="7" t="s">
        <v>23</v>
      </c>
      <c r="H3" s="7" t="str">
        <f t="shared" si="2"/>
        <v>DOHDA_ASSESSMENTS</v>
      </c>
      <c r="I3" s="7" t="str">
        <f t="shared" si="3"/>
        <v>ACMPS_RECIPIENT_ID</v>
      </c>
      <c r="J3" s="7" t="str">
        <f t="shared" si="4"/>
        <v>VARCHAR</v>
      </c>
      <c r="K3" s="7" t="str">
        <f>TRIM([1]ETL_Incremental!G3)</f>
        <v>VARCHAR(20)</v>
      </c>
      <c r="L3" s="7" t="str">
        <f>TRIM([1]ETL_Incremental!I3)</f>
        <v/>
      </c>
      <c r="M3" s="7" t="str">
        <f t="shared" ref="M3:M66" si="7">IF(AND(LEFT($K3,7)="VARCHAR", OR(RIGHT($I3,2)="DT", RIGHT($I3,4)="DATE")), "TO_VARCHAR(TRY_TO_DATE("&amp;I3&amp;"::STRING, 'DD/MON/YY'), 'DD-MM-YYYY')",
 IF(LEFT($K3,7)="VARCHAR","NULLIF(TRIM("&amp;$I3&amp;"),'')",
 IF(LEFT($K3,4)="CHAR","NULLIF(TRIM("&amp;$I3&amp;"),'')",
 IF(LEFT($K3,7)="DECIMAL","CAST(NULLIF(TRIM("&amp;$I3&amp;"),'') AS "&amp;$K3&amp;")",
 IF($K3="TIMESTAMP(6)","TO_TIMESTAMP_NTZ(NULLIF(TRIM("&amp;$I3&amp;"),''),'YYYY-MM-DD HH24:MI:SS.FF6')",
 IF($K3="DATE","TO_DATE(NULLIF(TRIM("&amp;$I3&amp;"),'') , 'YYYY-MM-DD')",
 IF($K3="BIGINT","CAST(NULLIF(TRIM("&amp;$I3&amp;"),'') AS INTEGER)",
 IF($K3="BYTEINT","CAST(NULLIF(TRIM("&amp;$I3&amp;"),'') AS SMALLINT)",
 IF($K3="SMALLINT","CAST(NULLIF(TRIM("&amp;$I3&amp;"),'') AS SMALLINT)",
 IF($K3="INTEGER","CAST(NULLIF(TRIM("&amp;$I3&amp;"),'') AS INTEGER)",
 IF($K3="BOOLEAN","CAST(NULLIF(TRIM("&amp;$I3&amp;"),'') AS BOOLEAN)",
 IF($K3="DOUBLE","CAST(NULLIF(TRIM("&amp;$I3&amp;"),'') AS DOUBLE)",
 IF($K3="FLOAT","CAST(NULLIF(TRIM("&amp;$I3&amp;"),'') AS FLOAT)",
 IF($K3="REAL","CAST(NULLIF(TRIM("&amp;$I3&amp;"),'') AS REAL)",
 IF(OR($K3="STRUCT",$K3="ARRAY",$K3="MAP",$K3="ROW"),"CAST(NULLIF(TRIM("&amp;$I3&amp;"),'') AS VARIANT)",
 "NONE"
)))))))))))))))</f>
        <v>NULLIF(TRIM(ACMPS_RECIPIENT_ID),'')</v>
      </c>
      <c r="N3" s="7" t="str">
        <f>TRIM([1]ETL_Incremental!J3)</f>
        <v>Y</v>
      </c>
      <c r="O3" s="8" t="str">
        <f>IF(TRIM([1]Classification!$G3)="","NOT CONFIDENTIAL",TRIM([1]Classification!$G3))</f>
        <v>NOT CONFIDENTIAL</v>
      </c>
      <c r="P3" s="7" t="str">
        <f t="shared" si="5"/>
        <v>Y</v>
      </c>
      <c r="Q3" s="7" t="s">
        <v>24</v>
      </c>
      <c r="R3" s="9">
        <v>2958465</v>
      </c>
      <c r="S3" s="7" t="s">
        <v>25</v>
      </c>
      <c r="T3" s="7" t="s">
        <v>26</v>
      </c>
      <c r="U3" s="7" t="str">
        <f t="shared" si="6"/>
        <v>DOHDA_ASSESSMENTS_V</v>
      </c>
      <c r="V3" s="7" t="s">
        <v>27</v>
      </c>
    </row>
    <row r="4" spans="1:22" ht="15" x14ac:dyDescent="0.25">
      <c r="A4" t="s">
        <v>22</v>
      </c>
      <c r="B4" t="str">
        <f>[1]ETL_Incremental!C4</f>
        <v>ASSESSMENTS</v>
      </c>
      <c r="C4" t="str">
        <f>[1]ETL_Incremental!E4</f>
        <v>AGED_CARE_USER_ID</v>
      </c>
      <c r="D4" t="str">
        <f>[1]ETL_Incremental!H4</f>
        <v>StringType()</v>
      </c>
      <c r="E4" s="7" t="str">
        <f t="shared" si="0"/>
        <v>DOHDA_ASSESSMENTS</v>
      </c>
      <c r="F4" s="7" t="str">
        <f t="shared" si="1"/>
        <v>AGED_CARE_USER_ID</v>
      </c>
      <c r="G4" s="7" t="s">
        <v>23</v>
      </c>
      <c r="H4" s="7" t="str">
        <f t="shared" si="2"/>
        <v>DOHDA_ASSESSMENTS</v>
      </c>
      <c r="I4" s="7" t="str">
        <f t="shared" si="3"/>
        <v>AGED_CARE_USER_ID</v>
      </c>
      <c r="J4" s="7" t="str">
        <f t="shared" si="4"/>
        <v>VARCHAR</v>
      </c>
      <c r="K4" s="7" t="str">
        <f>TRIM([1]ETL_Incremental!G4)</f>
        <v>VARCHAR(10)</v>
      </c>
      <c r="L4" s="7" t="str">
        <f>TRIM([1]ETL_Incremental!I4)</f>
        <v/>
      </c>
      <c r="M4" s="7" t="str">
        <f t="shared" si="7"/>
        <v>NULLIF(TRIM(AGED_CARE_USER_ID),'')</v>
      </c>
      <c r="N4" s="7" t="str">
        <f>TRIM([1]ETL_Incremental!J4)</f>
        <v>Y</v>
      </c>
      <c r="O4" s="8" t="str">
        <f>IF(TRIM([1]Classification!$G4)="","NOT CONFIDENTIAL",TRIM([1]Classification!$G4))</f>
        <v>NOT CONFIDENTIAL</v>
      </c>
      <c r="P4" s="7" t="str">
        <f t="shared" si="5"/>
        <v>Y</v>
      </c>
      <c r="Q4" s="7" t="s">
        <v>24</v>
      </c>
      <c r="R4" s="9">
        <v>2958465</v>
      </c>
      <c r="S4" s="7" t="s">
        <v>25</v>
      </c>
      <c r="T4" s="7" t="s">
        <v>26</v>
      </c>
      <c r="U4" s="7" t="str">
        <f t="shared" si="6"/>
        <v>DOHDA_ASSESSMENTS_V</v>
      </c>
      <c r="V4" s="7" t="s">
        <v>27</v>
      </c>
    </row>
    <row r="5" spans="1:22" ht="15" x14ac:dyDescent="0.25">
      <c r="A5" t="s">
        <v>22</v>
      </c>
      <c r="B5" t="str">
        <f>[1]ETL_Incremental!C5</f>
        <v>ASSESSMENTS</v>
      </c>
      <c r="C5" t="str">
        <f>[1]ETL_Incremental!E5</f>
        <v>SPARC_RECIPIENT_ID</v>
      </c>
      <c r="D5" t="str">
        <f>[1]ETL_Incremental!H5</f>
        <v>StringType()</v>
      </c>
      <c r="E5" s="7" t="str">
        <f t="shared" si="0"/>
        <v>DOHDA_ASSESSMENTS</v>
      </c>
      <c r="F5" s="7" t="str">
        <f t="shared" si="1"/>
        <v>SPARC_RECIPIENT_ID</v>
      </c>
      <c r="G5" s="7" t="s">
        <v>23</v>
      </c>
      <c r="H5" s="7" t="str">
        <f t="shared" si="2"/>
        <v>DOHDA_ASSESSMENTS</v>
      </c>
      <c r="I5" s="7" t="str">
        <f t="shared" si="3"/>
        <v>SPARC_RECIPIENT_ID</v>
      </c>
      <c r="J5" s="7" t="str">
        <f t="shared" si="4"/>
        <v>VARCHAR</v>
      </c>
      <c r="K5" s="7" t="str">
        <f>TRIM([1]ETL_Incremental!G5)</f>
        <v>VARCHAR(15)</v>
      </c>
      <c r="L5" s="7" t="str">
        <f>TRIM([1]ETL_Incremental!I5)</f>
        <v/>
      </c>
      <c r="M5" s="7" t="str">
        <f t="shared" si="7"/>
        <v>NULLIF(TRIM(SPARC_RECIPIENT_ID),'')</v>
      </c>
      <c r="N5" s="7" t="str">
        <f>TRIM([1]ETL_Incremental!J5)</f>
        <v/>
      </c>
      <c r="O5" s="8" t="str">
        <f>IF(TRIM([1]Classification!$G5)="","NOT CONFIDENTIAL",TRIM([1]Classification!$G5))</f>
        <v>NOT CONFIDENTIAL</v>
      </c>
      <c r="P5" s="7" t="str">
        <f t="shared" si="5"/>
        <v>Y</v>
      </c>
      <c r="Q5" s="7" t="s">
        <v>24</v>
      </c>
      <c r="R5" s="9">
        <v>2958465</v>
      </c>
      <c r="S5" s="7" t="s">
        <v>25</v>
      </c>
      <c r="T5" s="7" t="s">
        <v>26</v>
      </c>
      <c r="U5" s="7" t="str">
        <f t="shared" si="6"/>
        <v>DOHDA_ASSESSMENTS_V</v>
      </c>
      <c r="V5" s="7" t="s">
        <v>27</v>
      </c>
    </row>
    <row r="6" spans="1:22" ht="15" x14ac:dyDescent="0.25">
      <c r="A6" t="s">
        <v>22</v>
      </c>
      <c r="B6" t="str">
        <f>[1]ETL_Incremental!C6</f>
        <v>ASSESSMENTS</v>
      </c>
      <c r="C6" t="str">
        <f>[1]ETL_Incremental!E6</f>
        <v>ASSESSMENT_STARTED_DT</v>
      </c>
      <c r="D6" t="str">
        <f>[1]ETL_Incremental!H6</f>
        <v>StringType()</v>
      </c>
      <c r="E6" s="7" t="str">
        <f t="shared" si="0"/>
        <v>DOHDA_ASSESSMENTS</v>
      </c>
      <c r="F6" s="7" t="str">
        <f t="shared" si="1"/>
        <v>ASSESSMENT_STARTED_DT</v>
      </c>
      <c r="G6" s="7" t="s">
        <v>28</v>
      </c>
      <c r="H6" s="7" t="str">
        <f t="shared" si="2"/>
        <v>DOHDA_ASSESSMENTS</v>
      </c>
      <c r="I6" s="7" t="str">
        <f t="shared" si="3"/>
        <v>ASSESSMENT_STARTED_DT</v>
      </c>
      <c r="J6" s="7" t="s">
        <v>29</v>
      </c>
      <c r="K6" s="7" t="str">
        <f>TRIM([1]ETL_Incremental!G6)</f>
        <v>VARCHAR(7)</v>
      </c>
      <c r="L6" s="7" t="s">
        <v>30</v>
      </c>
      <c r="M6" s="7" t="str">
        <f>"TO_DATE(NULLIF(TRIM("&amp;$I6&amp;"),''), 'DD/MON/YY')"</f>
        <v>TO_DATE(NULLIF(TRIM(ASSESSMENT_STARTED_DT),''), 'DD/MON/YY')</v>
      </c>
      <c r="N6" s="7" t="str">
        <f>TRIM([1]ETL_Incremental!J6)</f>
        <v/>
      </c>
      <c r="O6" s="8" t="str">
        <f>IF(TRIM([1]Classification!$G6)="","NOT CONFIDENTIAL",TRIM([1]Classification!$G6))</f>
        <v>NOT CONFIDENTIAL</v>
      </c>
      <c r="P6" s="7" t="str">
        <f t="shared" si="5"/>
        <v>Y</v>
      </c>
      <c r="Q6" s="7" t="s">
        <v>24</v>
      </c>
      <c r="R6" s="9">
        <v>2958465</v>
      </c>
      <c r="S6" s="7" t="s">
        <v>25</v>
      </c>
      <c r="T6" s="7" t="s">
        <v>26</v>
      </c>
      <c r="U6" s="7" t="str">
        <f t="shared" si="6"/>
        <v>DOHDA_ASSESSMENTS_V</v>
      </c>
      <c r="V6" s="7" t="s">
        <v>27</v>
      </c>
    </row>
    <row r="7" spans="1:22" ht="15" x14ac:dyDescent="0.25">
      <c r="A7" t="s">
        <v>22</v>
      </c>
      <c r="B7" t="str">
        <f>[1]ETL_Incremental!C7</f>
        <v>ASSESSMENTS</v>
      </c>
      <c r="C7" t="str">
        <f>[1]ETL_Incremental!E7</f>
        <v>ASSESSMENT_COMPLETED_DT</v>
      </c>
      <c r="D7" t="str">
        <f>[1]ETL_Incremental!H7</f>
        <v>StringType()</v>
      </c>
      <c r="E7" s="7" t="str">
        <f t="shared" si="0"/>
        <v>DOHDA_ASSESSMENTS</v>
      </c>
      <c r="F7" s="7" t="str">
        <f t="shared" si="1"/>
        <v>ASSESSMENT_COMPLETED_DT</v>
      </c>
      <c r="G7" s="7" t="s">
        <v>28</v>
      </c>
      <c r="H7" s="7" t="str">
        <f t="shared" si="2"/>
        <v>DOHDA_ASSESSMENTS</v>
      </c>
      <c r="I7" s="7" t="str">
        <f t="shared" si="3"/>
        <v>ASSESSMENT_COMPLETED_DT</v>
      </c>
      <c r="J7" s="7" t="s">
        <v>29</v>
      </c>
      <c r="K7" s="7" t="str">
        <f>TRIM([1]ETL_Incremental!G7)</f>
        <v>VARCHAR(7)</v>
      </c>
      <c r="L7" s="7" t="s">
        <v>30</v>
      </c>
      <c r="M7" s="7" t="str">
        <f t="shared" ref="M7:M8" si="8">"TO_DATE(NULLIF(TRIM("&amp;$I7&amp;"),''), 'DD/MON/YY')"</f>
        <v>TO_DATE(NULLIF(TRIM(ASSESSMENT_COMPLETED_DT),''), 'DD/MON/YY')</v>
      </c>
      <c r="N7" s="7" t="str">
        <f>TRIM([1]ETL_Incremental!J7)</f>
        <v/>
      </c>
      <c r="O7" s="8" t="str">
        <f>IF(TRIM([1]Classification!$G7)="","NOT CONFIDENTIAL",TRIM([1]Classification!$G7))</f>
        <v>NOT CONFIDENTIAL</v>
      </c>
      <c r="P7" s="7" t="str">
        <f t="shared" si="5"/>
        <v>Y</v>
      </c>
      <c r="Q7" s="7" t="s">
        <v>24</v>
      </c>
      <c r="R7" s="9">
        <v>2958465</v>
      </c>
      <c r="S7" s="7" t="s">
        <v>25</v>
      </c>
      <c r="T7" s="7" t="s">
        <v>26</v>
      </c>
      <c r="U7" s="7" t="str">
        <f t="shared" si="6"/>
        <v>DOHDA_ASSESSMENTS_V</v>
      </c>
      <c r="V7" s="7" t="s">
        <v>27</v>
      </c>
    </row>
    <row r="8" spans="1:22" ht="15" x14ac:dyDescent="0.25">
      <c r="A8" t="s">
        <v>22</v>
      </c>
      <c r="B8" t="str">
        <f>[1]ETL_Incremental!C8</f>
        <v>ASSESSMENTS</v>
      </c>
      <c r="C8" t="str">
        <f>[1]ETL_Incremental!E8</f>
        <v>APPROVAL_COMMENCE_DT</v>
      </c>
      <c r="D8" t="str">
        <f>[1]ETL_Incremental!H8</f>
        <v>StringType()</v>
      </c>
      <c r="E8" s="7" t="str">
        <f t="shared" si="0"/>
        <v>DOHDA_ASSESSMENTS</v>
      </c>
      <c r="F8" s="7" t="str">
        <f t="shared" si="1"/>
        <v>APPROVAL_COMMENCE_DT</v>
      </c>
      <c r="G8" s="7" t="s">
        <v>28</v>
      </c>
      <c r="H8" s="7" t="str">
        <f t="shared" si="2"/>
        <v>DOHDA_ASSESSMENTS</v>
      </c>
      <c r="I8" s="7" t="str">
        <f t="shared" si="3"/>
        <v>APPROVAL_COMMENCE_DT</v>
      </c>
      <c r="J8" s="7" t="s">
        <v>29</v>
      </c>
      <c r="K8" s="7" t="str">
        <f>TRIM([1]ETL_Incremental!G8)</f>
        <v>VARCHAR(7)</v>
      </c>
      <c r="L8" s="7" t="s">
        <v>30</v>
      </c>
      <c r="M8" s="7" t="str">
        <f t="shared" si="8"/>
        <v>TO_DATE(NULLIF(TRIM(APPROVAL_COMMENCE_DT),''), 'DD/MON/YY')</v>
      </c>
      <c r="N8" s="7" t="str">
        <f>TRIM([1]ETL_Incremental!J8)</f>
        <v/>
      </c>
      <c r="O8" s="8" t="str">
        <f>IF(TRIM([1]Classification!$G8)="","NOT CONFIDENTIAL",TRIM([1]Classification!$G8))</f>
        <v>NOT CONFIDENTIAL</v>
      </c>
      <c r="P8" s="7" t="str">
        <f t="shared" si="5"/>
        <v>Y</v>
      </c>
      <c r="Q8" s="7" t="s">
        <v>24</v>
      </c>
      <c r="R8" s="9">
        <v>2958465</v>
      </c>
      <c r="S8" s="7" t="s">
        <v>25</v>
      </c>
      <c r="T8" s="7" t="s">
        <v>26</v>
      </c>
      <c r="U8" s="7" t="str">
        <f t="shared" si="6"/>
        <v>DOHDA_ASSESSMENTS_V</v>
      </c>
      <c r="V8" s="7" t="s">
        <v>27</v>
      </c>
    </row>
    <row r="9" spans="1:22" ht="15" x14ac:dyDescent="0.25">
      <c r="A9" t="s">
        <v>22</v>
      </c>
      <c r="B9" t="str">
        <f>[1]ETL_Incremental!C9</f>
        <v>ASSESSMENTS</v>
      </c>
      <c r="C9" t="str">
        <f>[1]ETL_Incremental!E9</f>
        <v>APPROVAL_CESSATION_DT</v>
      </c>
      <c r="D9" t="str">
        <f>[1]ETL_Incremental!H9</f>
        <v>StringType()</v>
      </c>
      <c r="E9" s="7" t="str">
        <f t="shared" si="0"/>
        <v>DOHDA_ASSESSMENTS</v>
      </c>
      <c r="F9" s="7" t="str">
        <f t="shared" si="1"/>
        <v>APPROVAL_CESSATION_DT</v>
      </c>
      <c r="G9" s="7" t="s">
        <v>28</v>
      </c>
      <c r="H9" s="7" t="str">
        <f t="shared" si="2"/>
        <v>DOHDA_ASSESSMENTS</v>
      </c>
      <c r="I9" s="7" t="str">
        <f t="shared" si="3"/>
        <v>APPROVAL_CESSATION_DT</v>
      </c>
      <c r="J9" s="7" t="s">
        <v>29</v>
      </c>
      <c r="K9" s="7" t="str">
        <f>TRIM([1]ETL_Incremental!G9)</f>
        <v>VARCHAR(7)</v>
      </c>
      <c r="L9" s="7" t="s">
        <v>30</v>
      </c>
      <c r="M9" s="7" t="str">
        <f>"TO_DATE(NULLIF(TRIM("&amp;$I9&amp;"),''), 'DD/MON/YY')"</f>
        <v>TO_DATE(NULLIF(TRIM(APPROVAL_CESSATION_DT),''), 'DD/MON/YY')</v>
      </c>
      <c r="N9" s="7" t="str">
        <f>TRIM([1]ETL_Incremental!J9)</f>
        <v/>
      </c>
      <c r="O9" s="8" t="str">
        <f>IF(TRIM([1]Classification!$G9)="","NOT CONFIDENTIAL",TRIM([1]Classification!$G9))</f>
        <v>NOT CONFIDENTIAL</v>
      </c>
      <c r="P9" s="7" t="str">
        <f t="shared" si="5"/>
        <v>Y</v>
      </c>
      <c r="Q9" s="7" t="s">
        <v>24</v>
      </c>
      <c r="R9" s="9">
        <v>2958465</v>
      </c>
      <c r="S9" s="7" t="s">
        <v>25</v>
      </c>
      <c r="T9" s="7" t="s">
        <v>26</v>
      </c>
      <c r="U9" s="7" t="str">
        <f t="shared" si="6"/>
        <v>DOHDA_ASSESSMENTS_V</v>
      </c>
      <c r="V9" s="7" t="s">
        <v>27</v>
      </c>
    </row>
    <row r="10" spans="1:22" ht="15" x14ac:dyDescent="0.25">
      <c r="A10" t="s">
        <v>22</v>
      </c>
      <c r="B10" t="str">
        <f>[1]ETL_Incremental!C10</f>
        <v>ASSESSMENTS</v>
      </c>
      <c r="C10" t="str">
        <f>[1]ETL_Incremental!E10</f>
        <v>AGE_AT_ASSESSMENT_COMPLETE_DATE</v>
      </c>
      <c r="D10" t="str">
        <f>[1]ETL_Incremental!H10</f>
        <v>StringType()</v>
      </c>
      <c r="E10" s="7" t="str">
        <f t="shared" si="0"/>
        <v>DOHDA_ASSESSMENTS</v>
      </c>
      <c r="F10" s="7" t="str">
        <f t="shared" si="1"/>
        <v>AGE_AT_ASSESSMENT_COMPLETE_DATE</v>
      </c>
      <c r="G10" s="7" t="s">
        <v>28</v>
      </c>
      <c r="H10" s="7" t="str">
        <f t="shared" si="2"/>
        <v>DOHDA_ASSESSMENTS</v>
      </c>
      <c r="I10" s="7" t="str">
        <f t="shared" si="3"/>
        <v>AGE_AT_ASSESSMENT_COMPLETE_DATE</v>
      </c>
      <c r="J10" s="7" t="str">
        <f t="shared" si="4"/>
        <v>DECIMAL(22, 0)</v>
      </c>
      <c r="K10" s="7" t="str">
        <f>TRIM([1]ETL_Incremental!G10)</f>
        <v>DECIMAL(22, 0)</v>
      </c>
      <c r="L10" s="7" t="str">
        <f>TRIM([1]ETL_Incremental!I10)</f>
        <v/>
      </c>
      <c r="M10" s="7" t="str">
        <f t="shared" si="7"/>
        <v>CAST(NULLIF(TRIM(AGE_AT_ASSESSMENT_COMPLETE_DATE),'') AS DECIMAL(22, 0))</v>
      </c>
      <c r="N10" s="7" t="str">
        <f>TRIM([1]ETL_Incremental!J10)</f>
        <v/>
      </c>
      <c r="O10" s="8" t="str">
        <f>IF(TRIM([1]Classification!$G10)="","NOT CONFIDENTIAL",TRIM([1]Classification!$G10))</f>
        <v>NOT CONFIDENTIAL</v>
      </c>
      <c r="P10" s="7" t="str">
        <f t="shared" si="5"/>
        <v>Y</v>
      </c>
      <c r="Q10" s="7" t="s">
        <v>24</v>
      </c>
      <c r="R10" s="9">
        <v>2958465</v>
      </c>
      <c r="S10" s="7" t="s">
        <v>25</v>
      </c>
      <c r="T10" s="7" t="s">
        <v>26</v>
      </c>
      <c r="U10" s="7" t="str">
        <f t="shared" si="6"/>
        <v>DOHDA_ASSESSMENTS_V</v>
      </c>
      <c r="V10" s="7" t="s">
        <v>27</v>
      </c>
    </row>
    <row r="11" spans="1:22" ht="15" x14ac:dyDescent="0.25">
      <c r="A11" t="s">
        <v>22</v>
      </c>
      <c r="B11" t="str">
        <f>[1]ETL_Incremental!C11</f>
        <v>ASSESSMENTS</v>
      </c>
      <c r="C11" t="str">
        <f>[1]ETL_Incremental!E11</f>
        <v>FIRST_NAME</v>
      </c>
      <c r="D11" t="str">
        <f>[1]ETL_Incremental!H11</f>
        <v>StringType()</v>
      </c>
      <c r="E11" s="7" t="str">
        <f t="shared" si="0"/>
        <v>DOHDA_ASSESSMENTS</v>
      </c>
      <c r="F11" s="7" t="str">
        <f t="shared" si="1"/>
        <v>FIRST_NAME</v>
      </c>
      <c r="G11" s="7" t="s">
        <v>31</v>
      </c>
      <c r="H11" s="7" t="str">
        <f t="shared" si="2"/>
        <v>DOHDA_ASSESSMENTS</v>
      </c>
      <c r="I11" s="7" t="str">
        <f t="shared" si="3"/>
        <v>FIRST_NAME</v>
      </c>
      <c r="J11" s="7" t="str">
        <f t="shared" si="4"/>
        <v>VARCHAR</v>
      </c>
      <c r="K11" s="7" t="str">
        <f>TRIM([1]ETL_Incremental!G11)</f>
        <v>VARCHAR(50)</v>
      </c>
      <c r="L11" s="7" t="str">
        <f>TRIM([1]ETL_Incremental!I11)</f>
        <v/>
      </c>
      <c r="M11" s="7" t="str">
        <f t="shared" si="7"/>
        <v>NULLIF(TRIM(FIRST_NAME),'')</v>
      </c>
      <c r="N11" s="7" t="str">
        <f>TRIM([1]ETL_Incremental!J11)</f>
        <v/>
      </c>
      <c r="O11" s="8" t="str">
        <f>IF(TRIM([1]Classification!$G11)="","NOT CONFIDENTIAL",TRIM([1]Classification!$G11))</f>
        <v>PERSONAL_CONTACTINFO</v>
      </c>
      <c r="P11" s="7" t="str">
        <f t="shared" si="5"/>
        <v>Y</v>
      </c>
      <c r="Q11" s="7" t="s">
        <v>24</v>
      </c>
      <c r="R11" s="9">
        <v>2958465</v>
      </c>
      <c r="S11" s="7" t="s">
        <v>25</v>
      </c>
      <c r="T11" s="7" t="s">
        <v>26</v>
      </c>
      <c r="U11" s="7" t="str">
        <f t="shared" si="6"/>
        <v>DOHDA_ASSESSMENTS_V</v>
      </c>
      <c r="V11" s="7" t="s">
        <v>27</v>
      </c>
    </row>
    <row r="12" spans="1:22" ht="15" x14ac:dyDescent="0.25">
      <c r="A12" t="s">
        <v>22</v>
      </c>
      <c r="B12" t="str">
        <f>[1]ETL_Incremental!C12</f>
        <v>ASSESSMENTS</v>
      </c>
      <c r="C12" t="str">
        <f>[1]ETL_Incremental!E12</f>
        <v>MIDDLE_NAME</v>
      </c>
      <c r="D12" t="str">
        <f>[1]ETL_Incremental!H12</f>
        <v>StringType()</v>
      </c>
      <c r="E12" s="7" t="str">
        <f t="shared" si="0"/>
        <v>DOHDA_ASSESSMENTS</v>
      </c>
      <c r="F12" s="7" t="str">
        <f t="shared" si="1"/>
        <v>MIDDLE_NAME</v>
      </c>
      <c r="G12" s="7" t="s">
        <v>28</v>
      </c>
      <c r="H12" s="7" t="str">
        <f t="shared" si="2"/>
        <v>DOHDA_ASSESSMENTS</v>
      </c>
      <c r="I12" s="7" t="str">
        <f t="shared" si="3"/>
        <v>MIDDLE_NAME</v>
      </c>
      <c r="J12" s="7" t="str">
        <f t="shared" si="4"/>
        <v>VARCHAR</v>
      </c>
      <c r="K12" s="7" t="str">
        <f>TRIM([1]ETL_Incremental!G12)</f>
        <v>VARCHAR(50)</v>
      </c>
      <c r="L12" s="7" t="str">
        <f>TRIM([1]ETL_Incremental!I12)</f>
        <v/>
      </c>
      <c r="M12" s="7" t="str">
        <f t="shared" si="7"/>
        <v>NULLIF(TRIM(MIDDLE_NAME),'')</v>
      </c>
      <c r="N12" s="7" t="str">
        <f>TRIM([1]ETL_Incremental!J12)</f>
        <v/>
      </c>
      <c r="O12" s="8" t="str">
        <f>IF(TRIM([1]Classification!$G12)="","NOT CONFIDENTIAL",TRIM([1]Classification!$G12))</f>
        <v>PERSONAL_CONTACTINFO</v>
      </c>
      <c r="P12" s="7" t="str">
        <f t="shared" si="5"/>
        <v>Y</v>
      </c>
      <c r="Q12" s="7" t="s">
        <v>24</v>
      </c>
      <c r="R12" s="9">
        <v>2958465</v>
      </c>
      <c r="S12" s="7" t="s">
        <v>25</v>
      </c>
      <c r="T12" s="7" t="s">
        <v>26</v>
      </c>
      <c r="U12" s="7" t="str">
        <f t="shared" si="6"/>
        <v>DOHDA_ASSESSMENTS_V</v>
      </c>
      <c r="V12" s="7" t="s">
        <v>27</v>
      </c>
    </row>
    <row r="13" spans="1:22" ht="15" x14ac:dyDescent="0.25">
      <c r="A13" t="s">
        <v>22</v>
      </c>
      <c r="B13" t="str">
        <f>[1]ETL_Incremental!C13</f>
        <v>ASSESSMENTS</v>
      </c>
      <c r="C13" t="str">
        <f>[1]ETL_Incremental!E13</f>
        <v>SURNAME</v>
      </c>
      <c r="D13" t="str">
        <f>[1]ETL_Incremental!H13</f>
        <v>StringType()</v>
      </c>
      <c r="E13" s="7" t="str">
        <f t="shared" si="0"/>
        <v>DOHDA_ASSESSMENTS</v>
      </c>
      <c r="F13" s="7" t="str">
        <f t="shared" si="1"/>
        <v>SURNAME</v>
      </c>
      <c r="G13" s="7" t="s">
        <v>28</v>
      </c>
      <c r="H13" s="7" t="str">
        <f t="shared" si="2"/>
        <v>DOHDA_ASSESSMENTS</v>
      </c>
      <c r="I13" s="7" t="str">
        <f t="shared" si="3"/>
        <v>SURNAME</v>
      </c>
      <c r="J13" s="7" t="str">
        <f t="shared" si="4"/>
        <v>VARCHAR</v>
      </c>
      <c r="K13" s="7" t="str">
        <f>TRIM([1]ETL_Incremental!G13)</f>
        <v>VARCHAR(50)</v>
      </c>
      <c r="L13" s="7" t="str">
        <f>TRIM([1]ETL_Incremental!I13)</f>
        <v/>
      </c>
      <c r="M13" s="7" t="str">
        <f t="shared" si="7"/>
        <v>NULLIF(TRIM(SURNAME),'')</v>
      </c>
      <c r="N13" s="7" t="str">
        <f>TRIM([1]ETL_Incremental!J13)</f>
        <v/>
      </c>
      <c r="O13" s="8" t="str">
        <f>IF(TRIM([1]Classification!$G13)="","NOT CONFIDENTIAL",TRIM([1]Classification!$G13))</f>
        <v>PERSONAL_CONTACTINFO</v>
      </c>
      <c r="P13" s="7" t="str">
        <f t="shared" si="5"/>
        <v>Y</v>
      </c>
      <c r="Q13" s="7" t="s">
        <v>24</v>
      </c>
      <c r="R13" s="9">
        <v>2958465</v>
      </c>
      <c r="S13" s="7" t="s">
        <v>25</v>
      </c>
      <c r="T13" s="7" t="s">
        <v>26</v>
      </c>
      <c r="U13" s="7" t="str">
        <f t="shared" si="6"/>
        <v>DOHDA_ASSESSMENTS_V</v>
      </c>
      <c r="V13" s="7" t="s">
        <v>27</v>
      </c>
    </row>
    <row r="14" spans="1:22" ht="15" x14ac:dyDescent="0.25">
      <c r="A14" t="s">
        <v>22</v>
      </c>
      <c r="B14" t="str">
        <f>[1]ETL_Incremental!C14</f>
        <v>ASSESSMENTS</v>
      </c>
      <c r="C14" t="str">
        <f>[1]ETL_Incremental!E14</f>
        <v>GENDER</v>
      </c>
      <c r="D14" t="str">
        <f>[1]ETL_Incremental!H14</f>
        <v>StringType()</v>
      </c>
      <c r="E14" s="7" t="str">
        <f t="shared" si="0"/>
        <v>DOHDA_ASSESSMENTS</v>
      </c>
      <c r="F14" s="7" t="str">
        <f t="shared" si="1"/>
        <v>GENDER</v>
      </c>
      <c r="G14" s="7" t="s">
        <v>28</v>
      </c>
      <c r="H14" s="7" t="str">
        <f t="shared" si="2"/>
        <v>DOHDA_ASSESSMENTS</v>
      </c>
      <c r="I14" s="7" t="str">
        <f t="shared" si="3"/>
        <v>GENDER</v>
      </c>
      <c r="J14" s="7" t="str">
        <f t="shared" si="4"/>
        <v>VARCHAR</v>
      </c>
      <c r="K14" s="7" t="str">
        <f>TRIM([1]ETL_Incremental!G14)</f>
        <v>VARCHAR(50)</v>
      </c>
      <c r="L14" s="7" t="str">
        <f>TRIM([1]ETL_Incremental!I14)</f>
        <v/>
      </c>
      <c r="M14" s="7" t="str">
        <f t="shared" si="7"/>
        <v>NULLIF(TRIM(GENDER),'')</v>
      </c>
      <c r="N14" s="7" t="str">
        <f>TRIM([1]ETL_Incremental!J14)</f>
        <v/>
      </c>
      <c r="O14" s="8" t="str">
        <f>IF(TRIM([1]Classification!$G14)="","NOT CONFIDENTIAL",TRIM([1]Classification!$G14))</f>
        <v>NOT CONFIDENTIAL</v>
      </c>
      <c r="P14" s="7" t="str">
        <f t="shared" si="5"/>
        <v>Y</v>
      </c>
      <c r="Q14" s="7" t="s">
        <v>24</v>
      </c>
      <c r="R14" s="9">
        <v>2958465</v>
      </c>
      <c r="S14" s="7" t="s">
        <v>25</v>
      </c>
      <c r="T14" s="7" t="s">
        <v>26</v>
      </c>
      <c r="U14" s="7" t="str">
        <f t="shared" si="6"/>
        <v>DOHDA_ASSESSMENTS_V</v>
      </c>
      <c r="V14" s="7" t="s">
        <v>27</v>
      </c>
    </row>
    <row r="15" spans="1:22" ht="15" x14ac:dyDescent="0.25">
      <c r="A15" t="s">
        <v>22</v>
      </c>
      <c r="B15" t="str">
        <f>[1]ETL_Incremental!C15</f>
        <v>ASSESSMENTS</v>
      </c>
      <c r="C15" t="str">
        <f>[1]ETL_Incremental!E15</f>
        <v>BIRTH_DT</v>
      </c>
      <c r="D15" t="str">
        <f>[1]ETL_Incremental!H15</f>
        <v>StringType()</v>
      </c>
      <c r="E15" s="7" t="str">
        <f t="shared" si="0"/>
        <v>DOHDA_ASSESSMENTS</v>
      </c>
      <c r="F15" s="7" t="str">
        <f t="shared" si="1"/>
        <v>BIRTH_DT</v>
      </c>
      <c r="G15" s="7" t="s">
        <v>28</v>
      </c>
      <c r="H15" s="7" t="str">
        <f t="shared" si="2"/>
        <v>DOHDA_ASSESSMENTS</v>
      </c>
      <c r="I15" s="7" t="str">
        <f t="shared" si="3"/>
        <v>BIRTH_DT</v>
      </c>
      <c r="J15" s="7" t="s">
        <v>29</v>
      </c>
      <c r="K15" s="7" t="str">
        <f>TRIM([1]ETL_Incremental!G15)</f>
        <v>VARCHAR(7)</v>
      </c>
      <c r="L15" s="7" t="s">
        <v>30</v>
      </c>
      <c r="M15" s="7" t="str">
        <f>"TO_DATE(NULLIF(TRIM("&amp;$I15&amp;"),''), 'DD/MON/YY')"</f>
        <v>TO_DATE(NULLIF(TRIM(BIRTH_DT),''), 'DD/MON/YY')</v>
      </c>
      <c r="N15" s="7" t="str">
        <f>TRIM([1]ETL_Incremental!J15)</f>
        <v/>
      </c>
      <c r="O15" s="8" t="str">
        <f>IF(TRIM([1]Classification!$G15)="","NOT CONFIDENTIAL",TRIM([1]Classification!$G15))</f>
        <v>PERSONAL_OTHERINFO</v>
      </c>
      <c r="P15" s="7" t="str">
        <f t="shared" si="5"/>
        <v>Y</v>
      </c>
      <c r="Q15" s="7" t="s">
        <v>24</v>
      </c>
      <c r="R15" s="9">
        <v>2958465</v>
      </c>
      <c r="S15" s="7" t="s">
        <v>25</v>
      </c>
      <c r="T15" s="7" t="s">
        <v>26</v>
      </c>
      <c r="U15" s="7" t="str">
        <f t="shared" si="6"/>
        <v>DOHDA_ASSESSMENTS_V</v>
      </c>
      <c r="V15" s="7" t="s">
        <v>27</v>
      </c>
    </row>
    <row r="16" spans="1:22" ht="15" x14ac:dyDescent="0.25">
      <c r="A16" t="s">
        <v>22</v>
      </c>
      <c r="B16" t="str">
        <f>[1]ETL_Incremental!C16</f>
        <v>ASSESSMENTS</v>
      </c>
      <c r="C16" t="str">
        <f>[1]ETL_Incremental!E16</f>
        <v>EMAIL_ADDR</v>
      </c>
      <c r="D16" t="str">
        <f>[1]ETL_Incremental!H16</f>
        <v>StringType()</v>
      </c>
      <c r="E16" s="7" t="str">
        <f t="shared" si="0"/>
        <v>DOHDA_ASSESSMENTS</v>
      </c>
      <c r="F16" s="7" t="str">
        <f t="shared" si="1"/>
        <v>EMAIL_ADDR</v>
      </c>
      <c r="G16" s="7" t="s">
        <v>28</v>
      </c>
      <c r="H16" s="7" t="str">
        <f t="shared" si="2"/>
        <v>DOHDA_ASSESSMENTS</v>
      </c>
      <c r="I16" s="7" t="str">
        <f t="shared" si="3"/>
        <v>EMAIL_ADDR</v>
      </c>
      <c r="J16" s="7" t="str">
        <f t="shared" si="4"/>
        <v>VARCHAR</v>
      </c>
      <c r="K16" s="7" t="str">
        <f>TRIM([1]ETL_Incremental!G16)</f>
        <v>VARCHAR(350)</v>
      </c>
      <c r="L16" s="7" t="str">
        <f>TRIM([1]ETL_Incremental!I16)</f>
        <v/>
      </c>
      <c r="M16" s="7" t="str">
        <f t="shared" si="7"/>
        <v>NULLIF(TRIM(EMAIL_ADDR),'')</v>
      </c>
      <c r="N16" s="7" t="str">
        <f>TRIM([1]ETL_Incremental!J16)</f>
        <v/>
      </c>
      <c r="O16" s="8" t="str">
        <f>IF(TRIM([1]Classification!$G16)="","NOT CONFIDENTIAL",TRIM([1]Classification!$G16))</f>
        <v>PERSONAL_CONTACTINFO</v>
      </c>
      <c r="P16" s="7" t="str">
        <f t="shared" si="5"/>
        <v>Y</v>
      </c>
      <c r="Q16" s="7" t="s">
        <v>24</v>
      </c>
      <c r="R16" s="9">
        <v>2958465</v>
      </c>
      <c r="S16" s="7" t="s">
        <v>25</v>
      </c>
      <c r="T16" s="7" t="s">
        <v>26</v>
      </c>
      <c r="U16" s="7" t="str">
        <f t="shared" si="6"/>
        <v>DOHDA_ASSESSMENTS_V</v>
      </c>
      <c r="V16" s="7" t="s">
        <v>27</v>
      </c>
    </row>
    <row r="17" spans="1:22" ht="15" x14ac:dyDescent="0.25">
      <c r="A17" t="s">
        <v>22</v>
      </c>
      <c r="B17" t="str">
        <f>[1]ETL_Incremental!C17</f>
        <v>ASSESSMENTS</v>
      </c>
      <c r="C17" t="str">
        <f>[1]ETL_Incremental!E17</f>
        <v>PREF_PHONE</v>
      </c>
      <c r="D17" t="str">
        <f>[1]ETL_Incremental!H17</f>
        <v>StringType()</v>
      </c>
      <c r="E17" s="7" t="str">
        <f t="shared" si="0"/>
        <v>DOHDA_ASSESSMENTS</v>
      </c>
      <c r="F17" s="7" t="str">
        <f t="shared" si="1"/>
        <v>PREF_PHONE</v>
      </c>
      <c r="G17" s="7" t="s">
        <v>28</v>
      </c>
      <c r="H17" s="7" t="str">
        <f t="shared" si="2"/>
        <v>DOHDA_ASSESSMENTS</v>
      </c>
      <c r="I17" s="7" t="str">
        <f t="shared" si="3"/>
        <v>PREF_PHONE</v>
      </c>
      <c r="J17" s="7" t="str">
        <f t="shared" si="4"/>
        <v>VARCHAR</v>
      </c>
      <c r="K17" s="7" t="str">
        <f>TRIM([1]ETL_Incremental!G17)</f>
        <v>VARCHAR(30)</v>
      </c>
      <c r="L17" s="7" t="str">
        <f>TRIM([1]ETL_Incremental!I17)</f>
        <v/>
      </c>
      <c r="M17" s="7" t="str">
        <f t="shared" si="7"/>
        <v>NULLIF(TRIM(PREF_PHONE),'')</v>
      </c>
      <c r="N17" s="7" t="str">
        <f>TRIM([1]ETL_Incremental!J17)</f>
        <v/>
      </c>
      <c r="O17" s="8" t="str">
        <f>IF(TRIM([1]Classification!$G17)="","NOT CONFIDENTIAL",TRIM([1]Classification!$G17))</f>
        <v>PERSONAL_CONTACTINFO</v>
      </c>
      <c r="P17" s="7" t="str">
        <f t="shared" si="5"/>
        <v>Y</v>
      </c>
      <c r="Q17" s="7" t="s">
        <v>24</v>
      </c>
      <c r="R17" s="9">
        <v>2958465</v>
      </c>
      <c r="S17" s="7" t="s">
        <v>25</v>
      </c>
      <c r="T17" s="7" t="s">
        <v>26</v>
      </c>
      <c r="U17" s="7" t="str">
        <f t="shared" si="6"/>
        <v>DOHDA_ASSESSMENTS_V</v>
      </c>
      <c r="V17" s="7" t="s">
        <v>27</v>
      </c>
    </row>
    <row r="18" spans="1:22" ht="15" x14ac:dyDescent="0.25">
      <c r="A18" t="s">
        <v>22</v>
      </c>
      <c r="B18" t="str">
        <f>[1]ETL_Incremental!C18</f>
        <v>ASSESSMENTS</v>
      </c>
      <c r="C18" t="str">
        <f>[1]ETL_Incremental!E18</f>
        <v>HOME_PHONE_NUM</v>
      </c>
      <c r="D18" t="str">
        <f>[1]ETL_Incremental!H18</f>
        <v>StringType()</v>
      </c>
      <c r="E18" s="7" t="str">
        <f t="shared" si="0"/>
        <v>DOHDA_ASSESSMENTS</v>
      </c>
      <c r="F18" s="7" t="str">
        <f t="shared" si="1"/>
        <v>HOME_PHONE_NUM</v>
      </c>
      <c r="G18" s="7" t="s">
        <v>28</v>
      </c>
      <c r="H18" s="7" t="str">
        <f t="shared" si="2"/>
        <v>DOHDA_ASSESSMENTS</v>
      </c>
      <c r="I18" s="7" t="str">
        <f t="shared" si="3"/>
        <v>HOME_PHONE_NUM</v>
      </c>
      <c r="J18" s="7" t="str">
        <f t="shared" si="4"/>
        <v>VARCHAR</v>
      </c>
      <c r="K18" s="7" t="str">
        <f>TRIM([1]ETL_Incremental!G18)</f>
        <v>VARCHAR(40)</v>
      </c>
      <c r="L18" s="7" t="str">
        <f>TRIM([1]ETL_Incremental!I18)</f>
        <v/>
      </c>
      <c r="M18" s="7" t="str">
        <f t="shared" si="7"/>
        <v>NULLIF(TRIM(HOME_PHONE_NUM),'')</v>
      </c>
      <c r="N18" s="7" t="str">
        <f>TRIM([1]ETL_Incremental!J18)</f>
        <v/>
      </c>
      <c r="O18" s="8" t="str">
        <f>IF(TRIM([1]Classification!$G18)="","NOT CONFIDENTIAL",TRIM([1]Classification!$G18))</f>
        <v>PERSONAL_CONTACTINFO</v>
      </c>
      <c r="P18" s="7" t="str">
        <f t="shared" si="5"/>
        <v>Y</v>
      </c>
      <c r="Q18" s="7" t="s">
        <v>24</v>
      </c>
      <c r="R18" s="9">
        <v>2958465</v>
      </c>
      <c r="S18" s="7" t="s">
        <v>25</v>
      </c>
      <c r="T18" s="7" t="s">
        <v>26</v>
      </c>
      <c r="U18" s="7" t="str">
        <f t="shared" si="6"/>
        <v>DOHDA_ASSESSMENTS_V</v>
      </c>
      <c r="V18" s="7" t="s">
        <v>27</v>
      </c>
    </row>
    <row r="19" spans="1:22" ht="15" x14ac:dyDescent="0.25">
      <c r="A19" t="s">
        <v>22</v>
      </c>
      <c r="B19" t="str">
        <f>[1]ETL_Incremental!C19</f>
        <v>ASSESSMENTS</v>
      </c>
      <c r="C19" t="str">
        <f>[1]ETL_Incremental!E19</f>
        <v>MOBILE_PHONE_NUM</v>
      </c>
      <c r="D19" t="str">
        <f>[1]ETL_Incremental!H19</f>
        <v>StringType()</v>
      </c>
      <c r="E19" s="7" t="str">
        <f t="shared" si="0"/>
        <v>DOHDA_ASSESSMENTS</v>
      </c>
      <c r="F19" s="7" t="str">
        <f t="shared" si="1"/>
        <v>MOBILE_PHONE_NUM</v>
      </c>
      <c r="G19" s="7" t="s">
        <v>23</v>
      </c>
      <c r="H19" s="7" t="str">
        <f t="shared" si="2"/>
        <v>DOHDA_ASSESSMENTS</v>
      </c>
      <c r="I19" s="7" t="str">
        <f t="shared" si="3"/>
        <v>MOBILE_PHONE_NUM</v>
      </c>
      <c r="J19" s="7" t="str">
        <f t="shared" si="4"/>
        <v>VARCHAR</v>
      </c>
      <c r="K19" s="7" t="str">
        <f>TRIM([1]ETL_Incremental!G19)</f>
        <v>VARCHAR(40)</v>
      </c>
      <c r="L19" s="7" t="str">
        <f>TRIM([1]ETL_Incremental!I19)</f>
        <v/>
      </c>
      <c r="M19" s="7" t="str">
        <f t="shared" si="7"/>
        <v>NULLIF(TRIM(MOBILE_PHONE_NUM),'')</v>
      </c>
      <c r="N19" s="7" t="str">
        <f>TRIM([1]ETL_Incremental!J19)</f>
        <v/>
      </c>
      <c r="O19" s="8" t="str">
        <f>IF(TRIM([1]Classification!$G19)="","NOT CONFIDENTIAL",TRIM([1]Classification!$G19))</f>
        <v>PERSONAL_CONTACTINFO</v>
      </c>
      <c r="P19" s="7" t="str">
        <f t="shared" si="5"/>
        <v>Y</v>
      </c>
      <c r="Q19" s="7" t="s">
        <v>24</v>
      </c>
      <c r="R19" s="9">
        <v>2958465</v>
      </c>
      <c r="S19" s="7" t="s">
        <v>25</v>
      </c>
      <c r="T19" s="7" t="s">
        <v>26</v>
      </c>
      <c r="U19" s="7" t="str">
        <f t="shared" si="6"/>
        <v>DOHDA_ASSESSMENTS_V</v>
      </c>
      <c r="V19" s="7" t="s">
        <v>27</v>
      </c>
    </row>
    <row r="20" spans="1:22" ht="15" x14ac:dyDescent="0.25">
      <c r="A20" t="s">
        <v>22</v>
      </c>
      <c r="B20" t="str">
        <f>[1]ETL_Incremental!C20</f>
        <v>ASSESSMENTS</v>
      </c>
      <c r="C20" t="str">
        <f>[1]ETL_Incremental!E20</f>
        <v>DATA_DATE</v>
      </c>
      <c r="D20" t="str">
        <f>[1]ETL_Incremental!H20</f>
        <v>StringType()</v>
      </c>
      <c r="E20" s="7" t="str">
        <f t="shared" si="0"/>
        <v>DOHDA_ASSESSMENTS</v>
      </c>
      <c r="F20" s="7" t="str">
        <f t="shared" si="1"/>
        <v>DATA_DATE</v>
      </c>
      <c r="G20" s="7" t="s">
        <v>31</v>
      </c>
      <c r="H20" s="7" t="str">
        <f t="shared" si="2"/>
        <v>DOHDA_ASSESSMENTS</v>
      </c>
      <c r="I20" s="7" t="str">
        <f t="shared" si="3"/>
        <v>DATA_DATE</v>
      </c>
      <c r="J20" s="7" t="s">
        <v>29</v>
      </c>
      <c r="K20" s="7" t="str">
        <f>TRIM([1]ETL_Incremental!G20)</f>
        <v>CHAR(11)</v>
      </c>
      <c r="L20" s="7" t="s">
        <v>30</v>
      </c>
      <c r="M20" s="7" t="str">
        <f>"TO_DATE(NULLIF(TRIM("&amp;$I20&amp;"),''), 'DD/MON/YYYY')"</f>
        <v>TO_DATE(NULLIF(TRIM(DATA_DATE),''), 'DD/MON/YYYY')</v>
      </c>
      <c r="N20" s="7" t="str">
        <f>TRIM([1]ETL_Incremental!J20)</f>
        <v/>
      </c>
      <c r="O20" s="8" t="str">
        <f>IF(TRIM([1]Classification!$G20)="","NOT CONFIDENTIAL",TRIM([1]Classification!$G20))</f>
        <v>NOT CONFIDENTIAL</v>
      </c>
      <c r="P20" s="7" t="str">
        <f t="shared" si="5"/>
        <v>Y</v>
      </c>
      <c r="Q20" s="7" t="s">
        <v>24</v>
      </c>
      <c r="R20" s="9">
        <v>2958465</v>
      </c>
      <c r="S20" s="7" t="s">
        <v>25</v>
      </c>
      <c r="T20" s="7" t="s">
        <v>26</v>
      </c>
      <c r="U20" s="7" t="str">
        <f t="shared" si="6"/>
        <v>DOHDA_ASSESSMENTS_V</v>
      </c>
      <c r="V20" s="7" t="s">
        <v>27</v>
      </c>
    </row>
    <row r="21" spans="1:22" ht="15" x14ac:dyDescent="0.25">
      <c r="A21" t="s">
        <v>22</v>
      </c>
      <c r="B21" t="str">
        <f>[1]ETL_Incremental!C21</f>
        <v>ASSESSMENTS</v>
      </c>
      <c r="C21" t="str">
        <f>[1]ETL_Incremental!E21</f>
        <v>AGE_AT_DATA_DATE</v>
      </c>
      <c r="D21" t="str">
        <f>[1]ETL_Incremental!H21</f>
        <v>StringType()</v>
      </c>
      <c r="E21" s="7" t="str">
        <f t="shared" si="0"/>
        <v>DOHDA_ASSESSMENTS</v>
      </c>
      <c r="F21" s="7" t="str">
        <f t="shared" si="1"/>
        <v>AGE_AT_DATA_DATE</v>
      </c>
      <c r="G21" s="7" t="s">
        <v>23</v>
      </c>
      <c r="H21" s="7" t="str">
        <f t="shared" si="2"/>
        <v>DOHDA_ASSESSMENTS</v>
      </c>
      <c r="I21" s="7" t="str">
        <f t="shared" si="3"/>
        <v>AGE_AT_DATA_DATE</v>
      </c>
      <c r="J21" s="7" t="str">
        <f t="shared" si="4"/>
        <v>DECIMAL(22, 0)</v>
      </c>
      <c r="K21" s="7" t="str">
        <f>TRIM([1]ETL_Incremental!G21)</f>
        <v>DECIMAL(22, 0)</v>
      </c>
      <c r="L21" s="7" t="str">
        <f>TRIM([1]ETL_Incremental!I21)</f>
        <v/>
      </c>
      <c r="M21" s="7" t="str">
        <f t="shared" si="7"/>
        <v>CAST(NULLIF(TRIM(AGE_AT_DATA_DATE),'') AS DECIMAL(22, 0))</v>
      </c>
      <c r="N21" s="7" t="str">
        <f>TRIM([1]ETL_Incremental!J21)</f>
        <v/>
      </c>
      <c r="O21" s="8" t="str">
        <f>IF(TRIM([1]Classification!$G21)="","NOT CONFIDENTIAL",TRIM([1]Classification!$G21))</f>
        <v>NOT CONFIDENTIAL</v>
      </c>
      <c r="P21" s="7" t="str">
        <f t="shared" si="5"/>
        <v>Y</v>
      </c>
      <c r="Q21" s="7" t="s">
        <v>24</v>
      </c>
      <c r="R21" s="9">
        <v>2958465</v>
      </c>
      <c r="S21" s="7" t="s">
        <v>25</v>
      </c>
      <c r="T21" s="7" t="s">
        <v>26</v>
      </c>
      <c r="U21" s="7" t="str">
        <f t="shared" si="6"/>
        <v>DOHDA_ASSESSMENTS_V</v>
      </c>
      <c r="V21" s="7" t="s">
        <v>27</v>
      </c>
    </row>
    <row r="22" spans="1:22" ht="15" x14ac:dyDescent="0.25">
      <c r="A22" t="s">
        <v>22</v>
      </c>
      <c r="B22" t="str">
        <f>[1]ETL_Incremental!C22</f>
        <v>ASSESSMENTS</v>
      </c>
      <c r="C22" t="str">
        <f>[1]ETL_Incremental!E22</f>
        <v>DEATH_DATE</v>
      </c>
      <c r="D22" t="str">
        <f>[1]ETL_Incremental!H22</f>
        <v>StringType()</v>
      </c>
      <c r="E22" s="7" t="str">
        <f t="shared" si="0"/>
        <v>DOHDA_ASSESSMENTS</v>
      </c>
      <c r="F22" s="7" t="str">
        <f t="shared" si="1"/>
        <v>DEATH_DATE</v>
      </c>
      <c r="G22" s="7" t="s">
        <v>28</v>
      </c>
      <c r="H22" s="7" t="str">
        <f t="shared" si="2"/>
        <v>DOHDA_ASSESSMENTS</v>
      </c>
      <c r="I22" s="7" t="str">
        <f t="shared" si="3"/>
        <v>DEATH_DATE</v>
      </c>
      <c r="J22" s="7" t="s">
        <v>29</v>
      </c>
      <c r="K22" s="7" t="str">
        <f>TRIM([1]ETL_Incremental!G22)</f>
        <v>VARCHAR(7)</v>
      </c>
      <c r="L22" s="7" t="s">
        <v>30</v>
      </c>
      <c r="M22" s="7" t="str">
        <f>"TO_DATE(NULLIF(TRIM("&amp;$I22&amp;"),''), 'DD/MON/YY')"</f>
        <v>TO_DATE(NULLIF(TRIM(DEATH_DATE),''), 'DD/MON/YY')</v>
      </c>
      <c r="N22" s="7" t="str">
        <f>TRIM([1]ETL_Incremental!J22)</f>
        <v/>
      </c>
      <c r="O22" s="8" t="str">
        <f>IF(TRIM([1]Classification!$G22)="","NOT CONFIDENTIAL",TRIM([1]Classification!$G22))</f>
        <v>NOT CONFIDENTIAL</v>
      </c>
      <c r="P22" s="7" t="str">
        <f t="shared" si="5"/>
        <v>Y</v>
      </c>
      <c r="Q22" s="7" t="s">
        <v>24</v>
      </c>
      <c r="R22" s="9">
        <v>2958465</v>
      </c>
      <c r="S22" s="7" t="s">
        <v>25</v>
      </c>
      <c r="T22" s="7" t="s">
        <v>26</v>
      </c>
      <c r="U22" s="7" t="str">
        <f t="shared" si="6"/>
        <v>DOHDA_ASSESSMENTS_V</v>
      </c>
      <c r="V22" s="7" t="s">
        <v>27</v>
      </c>
    </row>
    <row r="23" spans="1:22" ht="15" x14ac:dyDescent="0.25">
      <c r="A23" t="s">
        <v>22</v>
      </c>
      <c r="B23" t="str">
        <f>[1]ETL_Incremental!C23</f>
        <v>ASSESSMENTS</v>
      </c>
      <c r="C23" t="str">
        <f>[1]ETL_Incremental!E23</f>
        <v>ASSESSMENT_SETTING</v>
      </c>
      <c r="D23" t="str">
        <f>[1]ETL_Incremental!H23</f>
        <v>StringType()</v>
      </c>
      <c r="E23" s="7" t="str">
        <f t="shared" si="0"/>
        <v>DOHDA_ASSESSMENTS</v>
      </c>
      <c r="F23" s="7" t="str">
        <f t="shared" si="1"/>
        <v>ASSESSMENT_SETTING</v>
      </c>
      <c r="G23" s="7" t="s">
        <v>28</v>
      </c>
      <c r="H23" s="7" t="str">
        <f t="shared" si="2"/>
        <v>DOHDA_ASSESSMENTS</v>
      </c>
      <c r="I23" s="7" t="str">
        <f t="shared" si="3"/>
        <v>ASSESSMENT_SETTING</v>
      </c>
      <c r="J23" s="7" t="str">
        <f t="shared" si="4"/>
        <v>VARCHAR</v>
      </c>
      <c r="K23" s="7" t="str">
        <f>TRIM([1]ETL_Incremental!G23)</f>
        <v>VARCHAR(50)</v>
      </c>
      <c r="L23" s="7" t="str">
        <f>TRIM([1]ETL_Incremental!I23)</f>
        <v/>
      </c>
      <c r="M23" s="7" t="str">
        <f t="shared" si="7"/>
        <v>NULLIF(TRIM(ASSESSMENT_SETTING),'')</v>
      </c>
      <c r="N23" s="7" t="str">
        <f>TRIM([1]ETL_Incremental!J23)</f>
        <v/>
      </c>
      <c r="O23" s="8" t="str">
        <f>IF(TRIM([1]Classification!$G23)="","NOT CONFIDENTIAL",TRIM([1]Classification!$G23))</f>
        <v>NOT CONFIDENTIAL</v>
      </c>
      <c r="P23" s="7" t="str">
        <f t="shared" si="5"/>
        <v>Y</v>
      </c>
      <c r="Q23" s="7" t="s">
        <v>24</v>
      </c>
      <c r="R23" s="9">
        <v>2958465</v>
      </c>
      <c r="S23" s="7" t="s">
        <v>25</v>
      </c>
      <c r="T23" s="7" t="s">
        <v>26</v>
      </c>
      <c r="U23" s="7" t="str">
        <f t="shared" si="6"/>
        <v>DOHDA_ASSESSMENTS_V</v>
      </c>
      <c r="V23" s="7" t="s">
        <v>27</v>
      </c>
    </row>
    <row r="24" spans="1:22" ht="15" x14ac:dyDescent="0.25">
      <c r="A24" t="s">
        <v>22</v>
      </c>
      <c r="B24" t="str">
        <f>[1]ETL_Incremental!C24</f>
        <v>ASSESSMENTS</v>
      </c>
      <c r="C24" t="str">
        <f>[1]ETL_Incremental!E24</f>
        <v>ASSESSMENT_STATUS</v>
      </c>
      <c r="D24" t="str">
        <f>[1]ETL_Incremental!H24</f>
        <v>StringType()</v>
      </c>
      <c r="E24" s="7" t="str">
        <f t="shared" si="0"/>
        <v>DOHDA_ASSESSMENTS</v>
      </c>
      <c r="F24" s="7" t="str">
        <f t="shared" si="1"/>
        <v>ASSESSMENT_STATUS</v>
      </c>
      <c r="G24" s="7" t="s">
        <v>28</v>
      </c>
      <c r="H24" s="7" t="str">
        <f t="shared" si="2"/>
        <v>DOHDA_ASSESSMENTS</v>
      </c>
      <c r="I24" s="7" t="str">
        <f t="shared" si="3"/>
        <v>ASSESSMENT_STATUS</v>
      </c>
      <c r="J24" s="7" t="str">
        <f t="shared" si="4"/>
        <v>VARCHAR</v>
      </c>
      <c r="K24" s="7" t="str">
        <f>TRIM([1]ETL_Incremental!G24)</f>
        <v>VARCHAR(50)</v>
      </c>
      <c r="L24" s="7" t="str">
        <f>TRIM([1]ETL_Incremental!I24)</f>
        <v/>
      </c>
      <c r="M24" s="7" t="str">
        <f t="shared" si="7"/>
        <v>NULLIF(TRIM(ASSESSMENT_STATUS),'')</v>
      </c>
      <c r="N24" s="7" t="str">
        <f>TRIM([1]ETL_Incremental!J24)</f>
        <v/>
      </c>
      <c r="O24" s="8" t="str">
        <f>IF(TRIM([1]Classification!$G24)="","NOT CONFIDENTIAL",TRIM([1]Classification!$G24))</f>
        <v>NOT CONFIDENTIAL</v>
      </c>
      <c r="P24" s="7" t="str">
        <f t="shared" si="5"/>
        <v>Y</v>
      </c>
      <c r="Q24" s="7" t="s">
        <v>24</v>
      </c>
      <c r="R24" s="9">
        <v>2958465</v>
      </c>
      <c r="S24" s="7" t="s">
        <v>25</v>
      </c>
      <c r="T24" s="7" t="s">
        <v>26</v>
      </c>
      <c r="U24" s="7" t="str">
        <f t="shared" si="6"/>
        <v>DOHDA_ASSESSMENTS_V</v>
      </c>
      <c r="V24" s="7" t="s">
        <v>27</v>
      </c>
    </row>
    <row r="25" spans="1:22" ht="15" x14ac:dyDescent="0.25">
      <c r="A25" t="s">
        <v>22</v>
      </c>
      <c r="B25" t="str">
        <f>[1]ETL_Incremental!C25</f>
        <v>ASSESSMENTS</v>
      </c>
      <c r="C25" t="str">
        <f>[1]ETL_Incremental!E25</f>
        <v>SEND_INFO_CONSENT_IND</v>
      </c>
      <c r="D25" t="str">
        <f>[1]ETL_Incremental!H25</f>
        <v>StringType()</v>
      </c>
      <c r="E25" s="7" t="str">
        <f t="shared" si="0"/>
        <v>DOHDA_ASSESSMENTS</v>
      </c>
      <c r="F25" s="7" t="str">
        <f t="shared" si="1"/>
        <v>SEND_INFO_CONSENT_IND</v>
      </c>
      <c r="G25" s="7" t="s">
        <v>28</v>
      </c>
      <c r="H25" s="7" t="str">
        <f t="shared" si="2"/>
        <v>DOHDA_ASSESSMENTS</v>
      </c>
      <c r="I25" s="7" t="str">
        <f t="shared" si="3"/>
        <v>SEND_INFO_CONSENT_IND</v>
      </c>
      <c r="J25" s="7" t="str">
        <f t="shared" si="4"/>
        <v>VARCHAR</v>
      </c>
      <c r="K25" s="7" t="str">
        <f>TRIM([1]ETL_Incremental!G25)</f>
        <v>VARCHAR(10)</v>
      </c>
      <c r="L25" s="7" t="str">
        <f>TRIM([1]ETL_Incremental!I25)</f>
        <v/>
      </c>
      <c r="M25" s="7" t="str">
        <f t="shared" si="7"/>
        <v>NULLIF(TRIM(SEND_INFO_CONSENT_IND),'')</v>
      </c>
      <c r="N25" s="7" t="str">
        <f>TRIM([1]ETL_Incremental!J25)</f>
        <v/>
      </c>
      <c r="O25" s="8" t="str">
        <f>IF(TRIM([1]Classification!$G25)="","NOT CONFIDENTIAL",TRIM([1]Classification!$G25))</f>
        <v>NOT CONFIDENTIAL</v>
      </c>
      <c r="P25" s="7" t="str">
        <f t="shared" si="5"/>
        <v>Y</v>
      </c>
      <c r="Q25" s="7" t="s">
        <v>24</v>
      </c>
      <c r="R25" s="9">
        <v>2958465</v>
      </c>
      <c r="S25" s="7" t="s">
        <v>25</v>
      </c>
      <c r="T25" s="7" t="s">
        <v>26</v>
      </c>
      <c r="U25" s="7" t="str">
        <f t="shared" si="6"/>
        <v>DOHDA_ASSESSMENTS_V</v>
      </c>
      <c r="V25" s="7" t="s">
        <v>27</v>
      </c>
    </row>
    <row r="26" spans="1:22" ht="15" x14ac:dyDescent="0.25">
      <c r="A26" t="s">
        <v>22</v>
      </c>
      <c r="B26" t="str">
        <f>[1]ETL_Incremental!C26</f>
        <v>ASSESSMENTS</v>
      </c>
      <c r="C26" t="str">
        <f>[1]ETL_Incremental!E26</f>
        <v>RECEIVE_LETTER_FOR_CLIENT_IND</v>
      </c>
      <c r="D26" t="str">
        <f>[1]ETL_Incremental!H26</f>
        <v>StringType()</v>
      </c>
      <c r="E26" s="7" t="str">
        <f t="shared" si="0"/>
        <v>DOHDA_ASSESSMENTS</v>
      </c>
      <c r="F26" s="7" t="str">
        <f t="shared" si="1"/>
        <v>RECEIVE_LETTER_FOR_CLIENT_IND</v>
      </c>
      <c r="G26" s="7" t="s">
        <v>28</v>
      </c>
      <c r="H26" s="7" t="str">
        <f t="shared" si="2"/>
        <v>DOHDA_ASSESSMENTS</v>
      </c>
      <c r="I26" s="7" t="str">
        <f t="shared" si="3"/>
        <v>RECEIVE_LETTER_FOR_CLIENT_IND</v>
      </c>
      <c r="J26" s="7" t="str">
        <f t="shared" si="4"/>
        <v>VARCHAR</v>
      </c>
      <c r="K26" s="7" t="str">
        <f>TRIM([1]ETL_Incremental!G26)</f>
        <v>CHAR(1)</v>
      </c>
      <c r="L26" s="7" t="str">
        <f>TRIM([1]ETL_Incremental!I26)</f>
        <v/>
      </c>
      <c r="M26" s="7" t="str">
        <f t="shared" si="7"/>
        <v>NULLIF(TRIM(RECEIVE_LETTER_FOR_CLIENT_IND),'')</v>
      </c>
      <c r="N26" s="7" t="str">
        <f>TRIM([1]ETL_Incremental!J26)</f>
        <v/>
      </c>
      <c r="O26" s="8" t="str">
        <f>IF(TRIM([1]Classification!$G26)="","NOT CONFIDENTIAL",TRIM([1]Classification!$G26))</f>
        <v>NOT CONFIDENTIAL</v>
      </c>
      <c r="P26" s="7" t="str">
        <f t="shared" si="5"/>
        <v>Y</v>
      </c>
      <c r="Q26" s="7" t="s">
        <v>24</v>
      </c>
      <c r="R26" s="9">
        <v>2958465</v>
      </c>
      <c r="S26" s="7" t="s">
        <v>25</v>
      </c>
      <c r="T26" s="7" t="s">
        <v>26</v>
      </c>
      <c r="U26" s="7" t="str">
        <f t="shared" si="6"/>
        <v>DOHDA_ASSESSMENTS_V</v>
      </c>
      <c r="V26" s="7" t="s">
        <v>27</v>
      </c>
    </row>
    <row r="27" spans="1:22" ht="15" x14ac:dyDescent="0.25">
      <c r="A27" t="s">
        <v>22</v>
      </c>
      <c r="B27" t="str">
        <f>[1]ETL_Incremental!C27</f>
        <v>ASSESSMENTS</v>
      </c>
      <c r="C27" t="str">
        <f>[1]ETL_Incremental!E27</f>
        <v>INADQT_HOUSING_IND</v>
      </c>
      <c r="D27" t="str">
        <f>[1]ETL_Incremental!H27</f>
        <v>StringType()</v>
      </c>
      <c r="E27" s="7" t="str">
        <f t="shared" si="0"/>
        <v>DOHDA_ASSESSMENTS</v>
      </c>
      <c r="F27" s="7" t="str">
        <f t="shared" si="1"/>
        <v>INADQT_HOUSING_IND</v>
      </c>
      <c r="G27" s="7" t="s">
        <v>23</v>
      </c>
      <c r="H27" s="7" t="str">
        <f t="shared" si="2"/>
        <v>DOHDA_ASSESSMENTS</v>
      </c>
      <c r="I27" s="7" t="str">
        <f t="shared" si="3"/>
        <v>INADQT_HOUSING_IND</v>
      </c>
      <c r="J27" s="7" t="str">
        <f t="shared" si="4"/>
        <v>VARCHAR</v>
      </c>
      <c r="K27" s="7" t="str">
        <f>TRIM([1]ETL_Incremental!G27)</f>
        <v>VARCHAR(1)</v>
      </c>
      <c r="L27" s="7" t="str">
        <f>TRIM([1]ETL_Incremental!I27)</f>
        <v/>
      </c>
      <c r="M27" s="7" t="str">
        <f t="shared" si="7"/>
        <v>NULLIF(TRIM(INADQT_HOUSING_IND),'')</v>
      </c>
      <c r="N27" s="7" t="str">
        <f>TRIM([1]ETL_Incremental!J27)</f>
        <v/>
      </c>
      <c r="O27" s="8" t="str">
        <f>IF(TRIM([1]Classification!$G27)="","NOT CONFIDENTIAL",TRIM([1]Classification!$G27))</f>
        <v>NOT CONFIDENTIAL</v>
      </c>
      <c r="P27" s="7" t="str">
        <f t="shared" si="5"/>
        <v>Y</v>
      </c>
      <c r="Q27" s="7" t="s">
        <v>24</v>
      </c>
      <c r="R27" s="9">
        <v>2958465</v>
      </c>
      <c r="S27" s="7" t="s">
        <v>25</v>
      </c>
      <c r="T27" s="7" t="s">
        <v>26</v>
      </c>
      <c r="U27" s="7" t="str">
        <f t="shared" si="6"/>
        <v>DOHDA_ASSESSMENTS_V</v>
      </c>
      <c r="V27" s="7" t="s">
        <v>27</v>
      </c>
    </row>
    <row r="28" spans="1:22" ht="15" x14ac:dyDescent="0.25">
      <c r="A28" t="s">
        <v>22</v>
      </c>
      <c r="B28" t="str">
        <f>[1]ETL_Incremental!C28</f>
        <v>ASSESSMENTS</v>
      </c>
      <c r="C28" t="str">
        <f>[1]ETL_Incremental!E28</f>
        <v>DRV_HOMELESS_IND</v>
      </c>
      <c r="D28" t="str">
        <f>[1]ETL_Incremental!H28</f>
        <v>StringType()</v>
      </c>
      <c r="E28" s="7" t="str">
        <f t="shared" si="0"/>
        <v>DOHDA_ASSESSMENTS</v>
      </c>
      <c r="F28" s="7" t="str">
        <f t="shared" si="1"/>
        <v>DRV_HOMELESS_IND</v>
      </c>
      <c r="G28" s="7" t="s">
        <v>23</v>
      </c>
      <c r="H28" s="7" t="str">
        <f t="shared" si="2"/>
        <v>DOHDA_ASSESSMENTS</v>
      </c>
      <c r="I28" s="7" t="str">
        <f t="shared" si="3"/>
        <v>DRV_HOMELESS_IND</v>
      </c>
      <c r="J28" s="7" t="str">
        <f t="shared" si="4"/>
        <v>VARCHAR</v>
      </c>
      <c r="K28" s="7" t="str">
        <f>TRIM([1]ETL_Incremental!G28)</f>
        <v>VARCHAR(1)</v>
      </c>
      <c r="L28" s="7" t="str">
        <f>TRIM([1]ETL_Incremental!I28)</f>
        <v/>
      </c>
      <c r="M28" s="7" t="str">
        <f t="shared" si="7"/>
        <v>NULLIF(TRIM(DRV_HOMELESS_IND),'')</v>
      </c>
      <c r="N28" s="7" t="str">
        <f>TRIM([1]ETL_Incremental!J28)</f>
        <v/>
      </c>
      <c r="O28" s="8" t="str">
        <f>IF(TRIM([1]Classification!$G28)="","NOT CONFIDENTIAL",TRIM([1]Classification!$G28))</f>
        <v>NOT CONFIDENTIAL</v>
      </c>
      <c r="P28" s="7" t="str">
        <f t="shared" si="5"/>
        <v>Y</v>
      </c>
      <c r="Q28" s="7" t="s">
        <v>24</v>
      </c>
      <c r="R28" s="9">
        <v>2958465</v>
      </c>
      <c r="S28" s="7" t="s">
        <v>25</v>
      </c>
      <c r="T28" s="7" t="s">
        <v>26</v>
      </c>
      <c r="U28" s="7" t="str">
        <f t="shared" si="6"/>
        <v>DOHDA_ASSESSMENTS_V</v>
      </c>
      <c r="V28" s="7" t="s">
        <v>27</v>
      </c>
    </row>
    <row r="29" spans="1:22" ht="15" x14ac:dyDescent="0.25">
      <c r="A29" t="s">
        <v>22</v>
      </c>
      <c r="B29" t="str">
        <f>[1]ETL_Incremental!C29</f>
        <v>ASSESSMENTS</v>
      </c>
      <c r="C29" t="str">
        <f>[1]ETL_Incremental!E29</f>
        <v>CLIENTS_IN_CARE_IND</v>
      </c>
      <c r="D29" t="str">
        <f>[1]ETL_Incremental!H29</f>
        <v>StringType()</v>
      </c>
      <c r="E29" s="7" t="str">
        <f t="shared" si="0"/>
        <v>DOHDA_ASSESSMENTS</v>
      </c>
      <c r="F29" s="7" t="str">
        <f t="shared" si="1"/>
        <v>CLIENTS_IN_CARE_IND</v>
      </c>
      <c r="G29" s="7" t="s">
        <v>23</v>
      </c>
      <c r="H29" s="7" t="str">
        <f t="shared" si="2"/>
        <v>DOHDA_ASSESSMENTS</v>
      </c>
      <c r="I29" s="7" t="str">
        <f t="shared" si="3"/>
        <v>CLIENTS_IN_CARE_IND</v>
      </c>
      <c r="J29" s="7" t="str">
        <f t="shared" si="4"/>
        <v>VARCHAR</v>
      </c>
      <c r="K29" s="7" t="str">
        <f>TRIM([1]ETL_Incremental!G29)</f>
        <v>CHAR(1)</v>
      </c>
      <c r="L29" s="7" t="str">
        <f>TRIM([1]ETL_Incremental!I29)</f>
        <v/>
      </c>
      <c r="M29" s="7" t="str">
        <f t="shared" si="7"/>
        <v>NULLIF(TRIM(CLIENTS_IN_CARE_IND),'')</v>
      </c>
      <c r="N29" s="7" t="str">
        <f>TRIM([1]ETL_Incremental!J29)</f>
        <v/>
      </c>
      <c r="O29" s="8" t="str">
        <f>IF(TRIM([1]Classification!$G29)="","NOT CONFIDENTIAL",TRIM([1]Classification!$G29))</f>
        <v>NOT CONFIDENTIAL</v>
      </c>
      <c r="P29" s="7" t="str">
        <f t="shared" si="5"/>
        <v>Y</v>
      </c>
      <c r="Q29" s="7" t="s">
        <v>24</v>
      </c>
      <c r="R29" s="9">
        <v>2958465</v>
      </c>
      <c r="S29" s="7" t="s">
        <v>25</v>
      </c>
      <c r="T29" s="7" t="s">
        <v>26</v>
      </c>
      <c r="U29" s="7" t="str">
        <f t="shared" si="6"/>
        <v>DOHDA_ASSESSMENTS_V</v>
      </c>
      <c r="V29" s="7" t="s">
        <v>27</v>
      </c>
    </row>
    <row r="30" spans="1:22" ht="15" x14ac:dyDescent="0.25">
      <c r="A30" t="s">
        <v>22</v>
      </c>
      <c r="B30" t="str">
        <f>[1]ETL_Incremental!C30</f>
        <v>ASSESSMENTS</v>
      </c>
      <c r="C30" t="str">
        <f>[1]ETL_Incremental!E30</f>
        <v>CURRENT_CARE_TYPE</v>
      </c>
      <c r="D30" t="str">
        <f>[1]ETL_Incremental!H30</f>
        <v>StringType()</v>
      </c>
      <c r="E30" s="7" t="str">
        <f t="shared" si="0"/>
        <v>DOHDA_ASSESSMENTS</v>
      </c>
      <c r="F30" s="7" t="str">
        <f t="shared" si="1"/>
        <v>CURRENT_CARE_TYPE</v>
      </c>
      <c r="G30" s="7" t="s">
        <v>23</v>
      </c>
      <c r="H30" s="7" t="str">
        <f t="shared" si="2"/>
        <v>DOHDA_ASSESSMENTS</v>
      </c>
      <c r="I30" s="7" t="str">
        <f t="shared" si="3"/>
        <v>CURRENT_CARE_TYPE</v>
      </c>
      <c r="J30" s="7" t="str">
        <f t="shared" si="4"/>
        <v>VARCHAR</v>
      </c>
      <c r="K30" s="7" t="str">
        <f>TRIM([1]ETL_Incremental!G30)</f>
        <v>VARCHAR(4000)</v>
      </c>
      <c r="L30" s="7" t="str">
        <f>TRIM([1]ETL_Incremental!I30)</f>
        <v/>
      </c>
      <c r="M30" s="7" t="str">
        <f t="shared" si="7"/>
        <v>NULLIF(TRIM(CURRENT_CARE_TYPE),'')</v>
      </c>
      <c r="N30" s="7" t="str">
        <f>TRIM([1]ETL_Incremental!J30)</f>
        <v/>
      </c>
      <c r="O30" s="8" t="str">
        <f>IF(TRIM([1]Classification!$G30)="","NOT CONFIDENTIAL",TRIM([1]Classification!$G30))</f>
        <v>NOT CONFIDENTIAL</v>
      </c>
      <c r="P30" s="7" t="str">
        <f t="shared" si="5"/>
        <v>Y</v>
      </c>
      <c r="Q30" s="7" t="s">
        <v>24</v>
      </c>
      <c r="R30" s="9">
        <v>2958465</v>
      </c>
      <c r="S30" s="7" t="s">
        <v>25</v>
      </c>
      <c r="T30" s="7" t="s">
        <v>26</v>
      </c>
      <c r="U30" s="7" t="str">
        <f t="shared" si="6"/>
        <v>DOHDA_ASSESSMENTS_V</v>
      </c>
      <c r="V30" s="7" t="s">
        <v>27</v>
      </c>
    </row>
    <row r="31" spans="1:22" ht="15" x14ac:dyDescent="0.25">
      <c r="A31" t="s">
        <v>22</v>
      </c>
      <c r="B31" t="str">
        <f>[1]ETL_Incremental!C31</f>
        <v>ASSESSMENTS</v>
      </c>
      <c r="C31" t="str">
        <f>[1]ETL_Incremental!E31</f>
        <v>HISTORY_CARE_TYPE</v>
      </c>
      <c r="D31" t="str">
        <f>[1]ETL_Incremental!H31</f>
        <v>StringType()</v>
      </c>
      <c r="E31" s="7" t="str">
        <f t="shared" si="0"/>
        <v>DOHDA_ASSESSMENTS</v>
      </c>
      <c r="F31" s="7" t="str">
        <f t="shared" si="1"/>
        <v>HISTORY_CARE_TYPE</v>
      </c>
      <c r="G31" s="7" t="s">
        <v>23</v>
      </c>
      <c r="H31" s="7" t="str">
        <f t="shared" si="2"/>
        <v>DOHDA_ASSESSMENTS</v>
      </c>
      <c r="I31" s="7" t="str">
        <f t="shared" si="3"/>
        <v>HISTORY_CARE_TYPE</v>
      </c>
      <c r="J31" s="7" t="str">
        <f t="shared" si="4"/>
        <v>VARCHAR</v>
      </c>
      <c r="K31" s="7" t="str">
        <f>TRIM([1]ETL_Incremental!G31)</f>
        <v>VARCHAR(4000)</v>
      </c>
      <c r="L31" s="7" t="str">
        <f>TRIM([1]ETL_Incremental!I31)</f>
        <v/>
      </c>
      <c r="M31" s="7" t="str">
        <f t="shared" si="7"/>
        <v>NULLIF(TRIM(HISTORY_CARE_TYPE),'')</v>
      </c>
      <c r="N31" s="7" t="str">
        <f>TRIM([1]ETL_Incremental!J31)</f>
        <v/>
      </c>
      <c r="O31" s="8" t="str">
        <f>IF(TRIM([1]Classification!$G31)="","NOT CONFIDENTIAL",TRIM([1]Classification!$G31))</f>
        <v>NOT CONFIDENTIAL</v>
      </c>
      <c r="P31" s="7" t="str">
        <f t="shared" si="5"/>
        <v>Y</v>
      </c>
      <c r="Q31" s="7" t="s">
        <v>24</v>
      </c>
      <c r="R31" s="9">
        <v>2958465</v>
      </c>
      <c r="S31" s="7" t="s">
        <v>25</v>
      </c>
      <c r="T31" s="7" t="s">
        <v>26</v>
      </c>
      <c r="U31" s="7" t="str">
        <f t="shared" si="6"/>
        <v>DOHDA_ASSESSMENTS_V</v>
      </c>
      <c r="V31" s="7" t="s">
        <v>27</v>
      </c>
    </row>
    <row r="32" spans="1:22" ht="15" x14ac:dyDescent="0.25">
      <c r="A32" t="s">
        <v>22</v>
      </c>
      <c r="B32" t="str">
        <f>[1]ETL_Incremental!C32</f>
        <v>ASSESSMENTS</v>
      </c>
      <c r="C32" t="str">
        <f>[1]ETL_Incremental!E32</f>
        <v>RESI_CARE_RECOMD</v>
      </c>
      <c r="D32" t="str">
        <f>[1]ETL_Incremental!H32</f>
        <v>StringType()</v>
      </c>
      <c r="E32" s="7" t="str">
        <f t="shared" si="0"/>
        <v>DOHDA_ASSESSMENTS</v>
      </c>
      <c r="F32" s="7" t="str">
        <f t="shared" si="1"/>
        <v>RESI_CARE_RECOMD</v>
      </c>
      <c r="G32" s="7" t="s">
        <v>23</v>
      </c>
      <c r="H32" s="7" t="str">
        <f t="shared" si="2"/>
        <v>DOHDA_ASSESSMENTS</v>
      </c>
      <c r="I32" s="7" t="str">
        <f t="shared" si="3"/>
        <v>RESI_CARE_RECOMD</v>
      </c>
      <c r="J32" s="7" t="str">
        <f t="shared" si="4"/>
        <v>DECIMAL(22, 0)</v>
      </c>
      <c r="K32" s="7" t="str">
        <f>TRIM([1]ETL_Incremental!G32)</f>
        <v>DECIMAL(22, 0)</v>
      </c>
      <c r="L32" s="7" t="str">
        <f>TRIM([1]ETL_Incremental!I32)</f>
        <v/>
      </c>
      <c r="M32" s="7" t="str">
        <f t="shared" si="7"/>
        <v>CAST(NULLIF(TRIM(RESI_CARE_RECOMD),'') AS DECIMAL(22, 0))</v>
      </c>
      <c r="N32" s="7" t="str">
        <f>TRIM([1]ETL_Incremental!J32)</f>
        <v/>
      </c>
      <c r="O32" s="8" t="str">
        <f>IF(TRIM([1]Classification!$G32)="","NOT CONFIDENTIAL",TRIM([1]Classification!$G32))</f>
        <v>NOT CONFIDENTIAL</v>
      </c>
      <c r="P32" s="7" t="str">
        <f t="shared" si="5"/>
        <v>Y</v>
      </c>
      <c r="Q32" s="7" t="s">
        <v>24</v>
      </c>
      <c r="R32" s="9">
        <v>2958465</v>
      </c>
      <c r="S32" s="7" t="s">
        <v>25</v>
      </c>
      <c r="T32" s="7" t="s">
        <v>26</v>
      </c>
      <c r="U32" s="7" t="str">
        <f t="shared" si="6"/>
        <v>DOHDA_ASSESSMENTS_V</v>
      </c>
      <c r="V32" s="7" t="s">
        <v>27</v>
      </c>
    </row>
    <row r="33" spans="1:22" ht="15" x14ac:dyDescent="0.25">
      <c r="A33" t="s">
        <v>22</v>
      </c>
      <c r="B33" t="str">
        <f>[1]ETL_Incremental!C33</f>
        <v>ASSESSMENTS</v>
      </c>
      <c r="C33" t="str">
        <f>[1]ETL_Incremental!E33</f>
        <v>HOME_CARE_RECOMD</v>
      </c>
      <c r="D33" t="str">
        <f>[1]ETL_Incremental!H33</f>
        <v>StringType()</v>
      </c>
      <c r="E33" s="7" t="str">
        <f t="shared" si="0"/>
        <v>DOHDA_ASSESSMENTS</v>
      </c>
      <c r="F33" s="7" t="str">
        <f t="shared" si="1"/>
        <v>HOME_CARE_RECOMD</v>
      </c>
      <c r="G33" s="7" t="s">
        <v>23</v>
      </c>
      <c r="H33" s="7" t="str">
        <f t="shared" si="2"/>
        <v>DOHDA_ASSESSMENTS</v>
      </c>
      <c r="I33" s="7" t="str">
        <f t="shared" si="3"/>
        <v>HOME_CARE_RECOMD</v>
      </c>
      <c r="J33" s="7" t="str">
        <f t="shared" si="4"/>
        <v>DECIMAL(22, 0)</v>
      </c>
      <c r="K33" s="7" t="str">
        <f>TRIM([1]ETL_Incremental!G33)</f>
        <v>DECIMAL(22, 0)</v>
      </c>
      <c r="L33" s="7" t="str">
        <f>TRIM([1]ETL_Incremental!I33)</f>
        <v/>
      </c>
      <c r="M33" s="7" t="str">
        <f t="shared" si="7"/>
        <v>CAST(NULLIF(TRIM(HOME_CARE_RECOMD),'') AS DECIMAL(22, 0))</v>
      </c>
      <c r="N33" s="7" t="str">
        <f>TRIM([1]ETL_Incremental!J33)</f>
        <v/>
      </c>
      <c r="O33" s="8" t="str">
        <f>IF(TRIM([1]Classification!$G33)="","NOT CONFIDENTIAL",TRIM([1]Classification!$G33))</f>
        <v>NOT CONFIDENTIAL</v>
      </c>
      <c r="P33" s="7" t="str">
        <f t="shared" si="5"/>
        <v>Y</v>
      </c>
      <c r="Q33" s="7" t="s">
        <v>24</v>
      </c>
      <c r="R33" s="9">
        <v>2958465</v>
      </c>
      <c r="S33" s="7" t="s">
        <v>25</v>
      </c>
      <c r="T33" s="7" t="s">
        <v>26</v>
      </c>
      <c r="U33" s="7" t="str">
        <f t="shared" si="6"/>
        <v>DOHDA_ASSESSMENTS_V</v>
      </c>
      <c r="V33" s="7" t="s">
        <v>27</v>
      </c>
    </row>
    <row r="34" spans="1:22" ht="15" x14ac:dyDescent="0.25">
      <c r="A34" t="s">
        <v>22</v>
      </c>
      <c r="B34" t="str">
        <f>[1]ETL_Incremental!C34</f>
        <v>ASSESSMENTS</v>
      </c>
      <c r="C34" t="str">
        <f>[1]ETL_Incremental!E34</f>
        <v>CHSP_RECOMD</v>
      </c>
      <c r="D34" t="str">
        <f>[1]ETL_Incremental!H34</f>
        <v>StringType()</v>
      </c>
      <c r="E34" s="7" t="str">
        <f t="shared" si="0"/>
        <v>DOHDA_ASSESSMENTS</v>
      </c>
      <c r="F34" s="7" t="str">
        <f t="shared" si="1"/>
        <v>CHSP_RECOMD</v>
      </c>
      <c r="G34" s="7" t="s">
        <v>23</v>
      </c>
      <c r="H34" s="7" t="str">
        <f t="shared" si="2"/>
        <v>DOHDA_ASSESSMENTS</v>
      </c>
      <c r="I34" s="7" t="str">
        <f t="shared" si="3"/>
        <v>CHSP_RECOMD</v>
      </c>
      <c r="J34" s="7" t="str">
        <f t="shared" si="4"/>
        <v>DECIMAL(22, 0)</v>
      </c>
      <c r="K34" s="7" t="str">
        <f>TRIM([1]ETL_Incremental!G34)</f>
        <v>DECIMAL(22, 0)</v>
      </c>
      <c r="L34" s="7" t="str">
        <f>TRIM([1]ETL_Incremental!I34)</f>
        <v/>
      </c>
      <c r="M34" s="7" t="str">
        <f t="shared" si="7"/>
        <v>CAST(NULLIF(TRIM(CHSP_RECOMD),'') AS DECIMAL(22, 0))</v>
      </c>
      <c r="N34" s="7" t="str">
        <f>TRIM([1]ETL_Incremental!J34)</f>
        <v/>
      </c>
      <c r="O34" s="8" t="str">
        <f>IF(TRIM([1]Classification!$G34)="","NOT CONFIDENTIAL",TRIM([1]Classification!$G34))</f>
        <v>NOT CONFIDENTIAL</v>
      </c>
      <c r="P34" s="7" t="str">
        <f t="shared" si="5"/>
        <v>Y</v>
      </c>
      <c r="Q34" s="7" t="s">
        <v>24</v>
      </c>
      <c r="R34" s="9">
        <v>2958465</v>
      </c>
      <c r="S34" s="7" t="s">
        <v>25</v>
      </c>
      <c r="T34" s="7" t="s">
        <v>26</v>
      </c>
      <c r="U34" s="7" t="str">
        <f t="shared" si="6"/>
        <v>DOHDA_ASSESSMENTS_V</v>
      </c>
      <c r="V34" s="7" t="s">
        <v>27</v>
      </c>
    </row>
    <row r="35" spans="1:22" ht="15" x14ac:dyDescent="0.25">
      <c r="A35" t="s">
        <v>22</v>
      </c>
      <c r="B35" t="str">
        <f>[1]ETL_Incremental!C35</f>
        <v>ASSESSMENTS</v>
      </c>
      <c r="C35" t="str">
        <f>[1]ETL_Incremental!E35</f>
        <v>MULTI_PURPOSE_CARE_RECOMD</v>
      </c>
      <c r="D35" t="str">
        <f>[1]ETL_Incremental!H35</f>
        <v>StringType()</v>
      </c>
      <c r="E35" s="7" t="str">
        <f t="shared" si="0"/>
        <v>DOHDA_ASSESSMENTS</v>
      </c>
      <c r="F35" s="7" t="str">
        <f t="shared" si="1"/>
        <v>MULTI_PURPOSE_CARE_RECOMD</v>
      </c>
      <c r="G35" s="7" t="s">
        <v>23</v>
      </c>
      <c r="H35" s="7" t="str">
        <f t="shared" si="2"/>
        <v>DOHDA_ASSESSMENTS</v>
      </c>
      <c r="I35" s="7" t="str">
        <f t="shared" si="3"/>
        <v>MULTI_PURPOSE_CARE_RECOMD</v>
      </c>
      <c r="J35" s="7" t="str">
        <f t="shared" si="4"/>
        <v>DECIMAL(22, 0)</v>
      </c>
      <c r="K35" s="7" t="str">
        <f>TRIM([1]ETL_Incremental!G35)</f>
        <v>DECIMAL(22, 0)</v>
      </c>
      <c r="L35" s="7" t="str">
        <f>TRIM([1]ETL_Incremental!I35)</f>
        <v/>
      </c>
      <c r="M35" s="7" t="str">
        <f t="shared" si="7"/>
        <v>CAST(NULLIF(TRIM(MULTI_PURPOSE_CARE_RECOMD),'') AS DECIMAL(22, 0))</v>
      </c>
      <c r="N35" s="7" t="str">
        <f>TRIM([1]ETL_Incremental!J35)</f>
        <v/>
      </c>
      <c r="O35" s="8" t="str">
        <f>IF(TRIM([1]Classification!$G35)="","NOT CONFIDENTIAL",TRIM([1]Classification!$G35))</f>
        <v>NOT CONFIDENTIAL</v>
      </c>
      <c r="P35" s="7" t="str">
        <f t="shared" si="5"/>
        <v>Y</v>
      </c>
      <c r="Q35" s="7" t="s">
        <v>24</v>
      </c>
      <c r="R35" s="9">
        <v>2958465</v>
      </c>
      <c r="S35" s="7" t="s">
        <v>25</v>
      </c>
      <c r="T35" s="7" t="s">
        <v>26</v>
      </c>
      <c r="U35" s="7" t="str">
        <f t="shared" si="6"/>
        <v>DOHDA_ASSESSMENTS_V</v>
      </c>
      <c r="V35" s="7" t="s">
        <v>27</v>
      </c>
    </row>
    <row r="36" spans="1:22" ht="15" x14ac:dyDescent="0.25">
      <c r="A36" t="s">
        <v>22</v>
      </c>
      <c r="B36" t="str">
        <f>[1]ETL_Incremental!C36</f>
        <v>ASSESSMENTS</v>
      </c>
      <c r="C36" t="str">
        <f>[1]ETL_Incremental!E36</f>
        <v>SHORT_TERM_RESTORATIVE_CARE_RECOMD</v>
      </c>
      <c r="D36" t="str">
        <f>[1]ETL_Incremental!H36</f>
        <v>StringType()</v>
      </c>
      <c r="E36" s="7" t="str">
        <f t="shared" si="0"/>
        <v>DOHDA_ASSESSMENTS</v>
      </c>
      <c r="F36" s="7" t="str">
        <f t="shared" si="1"/>
        <v>SHORT_TERM_RESTORATIVE_CARE_RECOMD</v>
      </c>
      <c r="G36" s="7" t="s">
        <v>23</v>
      </c>
      <c r="H36" s="7" t="str">
        <f t="shared" si="2"/>
        <v>DOHDA_ASSESSMENTS</v>
      </c>
      <c r="I36" s="7" t="str">
        <f t="shared" si="3"/>
        <v>SHORT_TERM_RESTORATIVE_CARE_RECOMD</v>
      </c>
      <c r="J36" s="7" t="str">
        <f t="shared" si="4"/>
        <v>DECIMAL(22, 0)</v>
      </c>
      <c r="K36" s="7" t="str">
        <f>TRIM([1]ETL_Incremental!G36)</f>
        <v>DECIMAL(22, 0)</v>
      </c>
      <c r="L36" s="7" t="str">
        <f>TRIM([1]ETL_Incremental!I36)</f>
        <v/>
      </c>
      <c r="M36" s="7" t="str">
        <f t="shared" si="7"/>
        <v>CAST(NULLIF(TRIM(SHORT_TERM_RESTORATIVE_CARE_RECOMD),'') AS DECIMAL(22, 0))</v>
      </c>
      <c r="N36" s="7" t="str">
        <f>TRIM([1]ETL_Incremental!J36)</f>
        <v/>
      </c>
      <c r="O36" s="8" t="str">
        <f>IF(TRIM([1]Classification!$G36)="","NOT CONFIDENTIAL",TRIM([1]Classification!$G36))</f>
        <v>NOT CONFIDENTIAL</v>
      </c>
      <c r="P36" s="7" t="str">
        <f t="shared" si="5"/>
        <v>Y</v>
      </c>
      <c r="Q36" s="7" t="s">
        <v>24</v>
      </c>
      <c r="R36" s="9">
        <v>2958465</v>
      </c>
      <c r="S36" s="7" t="s">
        <v>25</v>
      </c>
      <c r="T36" s="7" t="s">
        <v>26</v>
      </c>
      <c r="U36" s="7" t="str">
        <f t="shared" si="6"/>
        <v>DOHDA_ASSESSMENTS_V</v>
      </c>
      <c r="V36" s="7" t="s">
        <v>27</v>
      </c>
    </row>
    <row r="37" spans="1:22" ht="15" x14ac:dyDescent="0.25">
      <c r="A37" t="s">
        <v>22</v>
      </c>
      <c r="B37" t="str">
        <f>[1]ETL_Incremental!C37</f>
        <v>ASSESSMENTS</v>
      </c>
      <c r="C37" t="str">
        <f>[1]ETL_Incremental!E37</f>
        <v>TRANSITION_CARE_RECOMD</v>
      </c>
      <c r="D37" t="str">
        <f>[1]ETL_Incremental!H37</f>
        <v>StringType()</v>
      </c>
      <c r="E37" s="7" t="str">
        <f t="shared" si="0"/>
        <v>DOHDA_ASSESSMENTS</v>
      </c>
      <c r="F37" s="7" t="str">
        <f t="shared" si="1"/>
        <v>TRANSITION_CARE_RECOMD</v>
      </c>
      <c r="G37" s="7" t="s">
        <v>23</v>
      </c>
      <c r="H37" s="7" t="str">
        <f t="shared" si="2"/>
        <v>DOHDA_ASSESSMENTS</v>
      </c>
      <c r="I37" s="7" t="str">
        <f t="shared" si="3"/>
        <v>TRANSITION_CARE_RECOMD</v>
      </c>
      <c r="J37" s="7" t="str">
        <f t="shared" si="4"/>
        <v>DECIMAL(22, 0)</v>
      </c>
      <c r="K37" s="7" t="str">
        <f>TRIM([1]ETL_Incremental!G37)</f>
        <v>DECIMAL(22, 0)</v>
      </c>
      <c r="L37" s="7" t="str">
        <f>TRIM([1]ETL_Incremental!I37)</f>
        <v/>
      </c>
      <c r="M37" s="7" t="str">
        <f t="shared" si="7"/>
        <v>CAST(NULLIF(TRIM(TRANSITION_CARE_RECOMD),'') AS DECIMAL(22, 0))</v>
      </c>
      <c r="N37" s="7" t="str">
        <f>TRIM([1]ETL_Incremental!J37)</f>
        <v/>
      </c>
      <c r="O37" s="8" t="str">
        <f>IF(TRIM([1]Classification!$G37)="","NOT CONFIDENTIAL",TRIM([1]Classification!$G37))</f>
        <v>NOT CONFIDENTIAL</v>
      </c>
      <c r="P37" s="7" t="str">
        <f t="shared" si="5"/>
        <v>Y</v>
      </c>
      <c r="Q37" s="7" t="s">
        <v>24</v>
      </c>
      <c r="R37" s="9">
        <v>2958465</v>
      </c>
      <c r="S37" s="7" t="s">
        <v>25</v>
      </c>
      <c r="T37" s="7" t="s">
        <v>26</v>
      </c>
      <c r="U37" s="7" t="str">
        <f t="shared" si="6"/>
        <v>DOHDA_ASSESSMENTS_V</v>
      </c>
      <c r="V37" s="7" t="s">
        <v>27</v>
      </c>
    </row>
    <row r="38" spans="1:22" ht="15" x14ac:dyDescent="0.25">
      <c r="A38" t="s">
        <v>22</v>
      </c>
      <c r="B38" t="str">
        <f>[1]ETL_Incremental!C38</f>
        <v>ASSESSMENTS</v>
      </c>
      <c r="C38" t="str">
        <f>[1]ETL_Incremental!E38</f>
        <v>CURRENT_APPROVED_CARE</v>
      </c>
      <c r="D38" t="str">
        <f>[1]ETL_Incremental!H38</f>
        <v>StringType()</v>
      </c>
      <c r="E38" s="7" t="str">
        <f t="shared" si="0"/>
        <v>DOHDA_ASSESSMENTS</v>
      </c>
      <c r="F38" s="7" t="str">
        <f t="shared" si="1"/>
        <v>CURRENT_APPROVED_CARE</v>
      </c>
      <c r="G38" s="7" t="s">
        <v>23</v>
      </c>
      <c r="H38" s="7" t="str">
        <f t="shared" si="2"/>
        <v>DOHDA_ASSESSMENTS</v>
      </c>
      <c r="I38" s="7" t="str">
        <f t="shared" si="3"/>
        <v>CURRENT_APPROVED_CARE</v>
      </c>
      <c r="J38" s="7" t="str">
        <f t="shared" si="4"/>
        <v>VARCHAR</v>
      </c>
      <c r="K38" s="7" t="str">
        <f>TRIM([1]ETL_Incremental!G38)</f>
        <v>VARCHAR(4000)</v>
      </c>
      <c r="L38" s="7" t="str">
        <f>TRIM([1]ETL_Incremental!I38)</f>
        <v/>
      </c>
      <c r="M38" s="7" t="str">
        <f t="shared" si="7"/>
        <v>NULLIF(TRIM(CURRENT_APPROVED_CARE),'')</v>
      </c>
      <c r="N38" s="7" t="str">
        <f>TRIM([1]ETL_Incremental!J38)</f>
        <v/>
      </c>
      <c r="O38" s="8" t="str">
        <f>IF(TRIM([1]Classification!$G38)="","NOT CONFIDENTIAL",TRIM([1]Classification!$G38))</f>
        <v>NOT CONFIDENTIAL</v>
      </c>
      <c r="P38" s="7" t="str">
        <f t="shared" si="5"/>
        <v>Y</v>
      </c>
      <c r="Q38" s="7" t="s">
        <v>24</v>
      </c>
      <c r="R38" s="9">
        <v>2958465</v>
      </c>
      <c r="S38" s="7" t="s">
        <v>25</v>
      </c>
      <c r="T38" s="7" t="s">
        <v>26</v>
      </c>
      <c r="U38" s="7" t="str">
        <f t="shared" si="6"/>
        <v>DOHDA_ASSESSMENTS_V</v>
      </c>
      <c r="V38" s="7" t="s">
        <v>27</v>
      </c>
    </row>
    <row r="39" spans="1:22" ht="15" x14ac:dyDescent="0.25">
      <c r="A39" t="s">
        <v>22</v>
      </c>
      <c r="B39" t="str">
        <f>[1]ETL_Incremental!C39</f>
        <v>ASSESSMENTS</v>
      </c>
      <c r="C39" t="str">
        <f>[1]ETL_Incremental!E39</f>
        <v>PERM_RESI_ASS_PRIORITY</v>
      </c>
      <c r="D39" t="str">
        <f>[1]ETL_Incremental!H39</f>
        <v>StringType()</v>
      </c>
      <c r="E39" s="7" t="str">
        <f t="shared" si="0"/>
        <v>DOHDA_ASSESSMENTS</v>
      </c>
      <c r="F39" s="7" t="str">
        <f t="shared" si="1"/>
        <v>PERM_RESI_ASS_PRIORITY</v>
      </c>
      <c r="G39" s="7" t="s">
        <v>23</v>
      </c>
      <c r="H39" s="7" t="str">
        <f t="shared" si="2"/>
        <v>DOHDA_ASSESSMENTS</v>
      </c>
      <c r="I39" s="7" t="str">
        <f t="shared" si="3"/>
        <v>PERM_RESI_ASS_PRIORITY</v>
      </c>
      <c r="J39" s="7" t="str">
        <f t="shared" si="4"/>
        <v>VARCHAR</v>
      </c>
      <c r="K39" s="7" t="str">
        <f>TRIM([1]ETL_Incremental!G39)</f>
        <v>VARCHAR(30)</v>
      </c>
      <c r="L39" s="7" t="str">
        <f>TRIM([1]ETL_Incremental!I39)</f>
        <v/>
      </c>
      <c r="M39" s="7" t="str">
        <f t="shared" si="7"/>
        <v>NULLIF(TRIM(PERM_RESI_ASS_PRIORITY),'')</v>
      </c>
      <c r="N39" s="7" t="str">
        <f>TRIM([1]ETL_Incremental!J39)</f>
        <v/>
      </c>
      <c r="O39" s="8" t="str">
        <f>IF(TRIM([1]Classification!$G39)="","NOT CONFIDENTIAL",TRIM([1]Classification!$G39))</f>
        <v>NOT CONFIDENTIAL</v>
      </c>
      <c r="P39" s="7" t="str">
        <f t="shared" si="5"/>
        <v>Y</v>
      </c>
      <c r="Q39" s="7" t="s">
        <v>24</v>
      </c>
      <c r="R39" s="9">
        <v>2958465</v>
      </c>
      <c r="S39" s="7" t="s">
        <v>25</v>
      </c>
      <c r="T39" s="7" t="s">
        <v>26</v>
      </c>
      <c r="U39" s="7" t="str">
        <f t="shared" si="6"/>
        <v>DOHDA_ASSESSMENTS_V</v>
      </c>
      <c r="V39" s="7" t="s">
        <v>27</v>
      </c>
    </row>
    <row r="40" spans="1:22" ht="15" x14ac:dyDescent="0.25">
      <c r="A40" t="s">
        <v>22</v>
      </c>
      <c r="B40" t="str">
        <f>[1]ETL_Incremental!C40</f>
        <v>ASSESSMENTS</v>
      </c>
      <c r="C40" t="str">
        <f>[1]ETL_Incremental!E40</f>
        <v>PR_ADDR_FLOOR_NUM</v>
      </c>
      <c r="D40" t="str">
        <f>[1]ETL_Incremental!H40</f>
        <v>StringType()</v>
      </c>
      <c r="E40" s="7" t="str">
        <f t="shared" si="0"/>
        <v>DOHDA_ASSESSMENTS</v>
      </c>
      <c r="F40" s="7" t="str">
        <f t="shared" si="1"/>
        <v>PR_ADDR_FLOOR_NUM</v>
      </c>
      <c r="G40" s="7" t="s">
        <v>23</v>
      </c>
      <c r="H40" s="7" t="str">
        <f t="shared" si="2"/>
        <v>DOHDA_ASSESSMENTS</v>
      </c>
      <c r="I40" s="7" t="str">
        <f t="shared" si="3"/>
        <v>PR_ADDR_FLOOR_NUM</v>
      </c>
      <c r="J40" s="7" t="str">
        <f t="shared" si="4"/>
        <v>VARCHAR</v>
      </c>
      <c r="K40" s="7" t="str">
        <f>TRIM([1]ETL_Incremental!G40)</f>
        <v>VARCHAR(10)</v>
      </c>
      <c r="L40" s="7" t="str">
        <f>TRIM([1]ETL_Incremental!I40)</f>
        <v/>
      </c>
      <c r="M40" s="7" t="str">
        <f t="shared" si="7"/>
        <v>NULLIF(TRIM(PR_ADDR_FLOOR_NUM),'')</v>
      </c>
      <c r="N40" s="7" t="str">
        <f>TRIM([1]ETL_Incremental!J40)</f>
        <v/>
      </c>
      <c r="O40" s="8" t="str">
        <f>IF(TRIM([1]Classification!$G40)="","NOT CONFIDENTIAL",TRIM([1]Classification!$G40))</f>
        <v>PERSONAL_CONTACTINFO</v>
      </c>
      <c r="P40" s="7" t="str">
        <f t="shared" si="5"/>
        <v>Y</v>
      </c>
      <c r="Q40" s="7" t="s">
        <v>24</v>
      </c>
      <c r="R40" s="9">
        <v>2958465</v>
      </c>
      <c r="S40" s="7" t="s">
        <v>25</v>
      </c>
      <c r="T40" s="7" t="s">
        <v>26</v>
      </c>
      <c r="U40" s="7" t="str">
        <f t="shared" si="6"/>
        <v>DOHDA_ASSESSMENTS_V</v>
      </c>
      <c r="V40" s="7" t="s">
        <v>27</v>
      </c>
    </row>
    <row r="41" spans="1:22" ht="15" x14ac:dyDescent="0.25">
      <c r="A41" t="s">
        <v>22</v>
      </c>
      <c r="B41" t="str">
        <f>[1]ETL_Incremental!C41</f>
        <v>ASSESSMENTS</v>
      </c>
      <c r="C41" t="str">
        <f>[1]ETL_Incremental!E41</f>
        <v>PR_ADDR_POSTCODE</v>
      </c>
      <c r="D41" t="str">
        <f>[1]ETL_Incremental!H41</f>
        <v>StringType()</v>
      </c>
      <c r="E41" s="7" t="str">
        <f t="shared" si="0"/>
        <v>DOHDA_ASSESSMENTS</v>
      </c>
      <c r="F41" s="7" t="str">
        <f t="shared" si="1"/>
        <v>PR_ADDR_POSTCODE</v>
      </c>
      <c r="G41" s="7" t="s">
        <v>23</v>
      </c>
      <c r="H41" s="7" t="str">
        <f t="shared" si="2"/>
        <v>DOHDA_ASSESSMENTS</v>
      </c>
      <c r="I41" s="7" t="str">
        <f t="shared" si="3"/>
        <v>PR_ADDR_POSTCODE</v>
      </c>
      <c r="J41" s="7" t="str">
        <f t="shared" si="4"/>
        <v>VARCHAR</v>
      </c>
      <c r="K41" s="7" t="str">
        <f>TRIM([1]ETL_Incremental!G41)</f>
        <v>VARCHAR(30)</v>
      </c>
      <c r="L41" s="7" t="str">
        <f>TRIM([1]ETL_Incremental!I41)</f>
        <v/>
      </c>
      <c r="M41" s="7" t="str">
        <f t="shared" si="7"/>
        <v>NULLIF(TRIM(PR_ADDR_POSTCODE),'')</v>
      </c>
      <c r="N41" s="7" t="str">
        <f>TRIM([1]ETL_Incremental!J41)</f>
        <v/>
      </c>
      <c r="O41" s="8" t="str">
        <f>IF(TRIM([1]Classification!$G41)="","NOT CONFIDENTIAL",TRIM([1]Classification!$G41))</f>
        <v>PERSONAL_CONTACTINFO</v>
      </c>
      <c r="P41" s="7" t="str">
        <f t="shared" si="5"/>
        <v>Y</v>
      </c>
      <c r="Q41" s="7" t="s">
        <v>24</v>
      </c>
      <c r="R41" s="9">
        <v>2958465</v>
      </c>
      <c r="S41" s="7" t="s">
        <v>25</v>
      </c>
      <c r="T41" s="7" t="s">
        <v>26</v>
      </c>
      <c r="U41" s="7" t="str">
        <f t="shared" si="6"/>
        <v>DOHDA_ASSESSMENTS_V</v>
      </c>
      <c r="V41" s="7" t="s">
        <v>27</v>
      </c>
    </row>
    <row r="42" spans="1:22" ht="15" x14ac:dyDescent="0.25">
      <c r="A42" t="s">
        <v>22</v>
      </c>
      <c r="B42" t="str">
        <f>[1]ETL_Incremental!C42</f>
        <v>ASSESSMENTS</v>
      </c>
      <c r="C42" t="str">
        <f>[1]ETL_Incremental!E42</f>
        <v>PR_ADDR_STATE_CODE</v>
      </c>
      <c r="D42" t="str">
        <f>[1]ETL_Incremental!H42</f>
        <v>StringType()</v>
      </c>
      <c r="E42" s="7" t="str">
        <f t="shared" si="0"/>
        <v>DOHDA_ASSESSMENTS</v>
      </c>
      <c r="F42" s="7" t="str">
        <f t="shared" si="1"/>
        <v>PR_ADDR_STATE_CODE</v>
      </c>
      <c r="G42" s="7" t="s">
        <v>23</v>
      </c>
      <c r="H42" s="7" t="str">
        <f t="shared" si="2"/>
        <v>DOHDA_ASSESSMENTS</v>
      </c>
      <c r="I42" s="7" t="str">
        <f t="shared" si="3"/>
        <v>PR_ADDR_STATE_CODE</v>
      </c>
      <c r="J42" s="7" t="str">
        <f t="shared" si="4"/>
        <v>VARCHAR</v>
      </c>
      <c r="K42" s="7" t="str">
        <f>TRIM([1]ETL_Incremental!G42)</f>
        <v>VARCHAR(10)</v>
      </c>
      <c r="L42" s="7" t="str">
        <f>TRIM([1]ETL_Incremental!I42)</f>
        <v/>
      </c>
      <c r="M42" s="7" t="str">
        <f t="shared" si="7"/>
        <v>NULLIF(TRIM(PR_ADDR_STATE_CODE),'')</v>
      </c>
      <c r="N42" s="7" t="str">
        <f>TRIM([1]ETL_Incremental!J42)</f>
        <v/>
      </c>
      <c r="O42" s="8" t="str">
        <f>IF(TRIM([1]Classification!$G42)="","NOT CONFIDENTIAL",TRIM([1]Classification!$G42))</f>
        <v>PERSONAL_CONTACTINFO</v>
      </c>
      <c r="P42" s="7" t="str">
        <f t="shared" si="5"/>
        <v>Y</v>
      </c>
      <c r="Q42" s="7" t="s">
        <v>24</v>
      </c>
      <c r="R42" s="9">
        <v>2958465</v>
      </c>
      <c r="S42" s="7" t="s">
        <v>25</v>
      </c>
      <c r="T42" s="7" t="s">
        <v>26</v>
      </c>
      <c r="U42" s="7" t="str">
        <f t="shared" si="6"/>
        <v>DOHDA_ASSESSMENTS_V</v>
      </c>
      <c r="V42" s="7" t="s">
        <v>27</v>
      </c>
    </row>
    <row r="43" spans="1:22" ht="15" x14ac:dyDescent="0.25">
      <c r="A43" t="s">
        <v>22</v>
      </c>
      <c r="B43" t="str">
        <f>[1]ETL_Incremental!C43</f>
        <v>ASSESSMENTS</v>
      </c>
      <c r="C43" t="str">
        <f>[1]ETL_Incremental!E43</f>
        <v>PR_ADDR_STREET_END_NUM</v>
      </c>
      <c r="D43" t="str">
        <f>[1]ETL_Incremental!H43</f>
        <v>StringType()</v>
      </c>
      <c r="E43" s="7" t="str">
        <f t="shared" si="0"/>
        <v>DOHDA_ASSESSMENTS</v>
      </c>
      <c r="F43" s="7" t="str">
        <f t="shared" si="1"/>
        <v>PR_ADDR_STREET_END_NUM</v>
      </c>
      <c r="G43" s="7" t="s">
        <v>23</v>
      </c>
      <c r="H43" s="7" t="str">
        <f t="shared" si="2"/>
        <v>DOHDA_ASSESSMENTS</v>
      </c>
      <c r="I43" s="7" t="str">
        <f t="shared" si="3"/>
        <v>PR_ADDR_STREET_END_NUM</v>
      </c>
      <c r="J43" s="7" t="str">
        <f t="shared" si="4"/>
        <v>VARCHAR</v>
      </c>
      <c r="K43" s="7" t="str">
        <f>TRIM([1]ETL_Incremental!G43)</f>
        <v>VARCHAR(10)</v>
      </c>
      <c r="L43" s="7" t="str">
        <f>TRIM([1]ETL_Incremental!I43)</f>
        <v/>
      </c>
      <c r="M43" s="7" t="str">
        <f t="shared" si="7"/>
        <v>NULLIF(TRIM(PR_ADDR_STREET_END_NUM),'')</v>
      </c>
      <c r="N43" s="7" t="str">
        <f>TRIM([1]ETL_Incremental!J43)</f>
        <v/>
      </c>
      <c r="O43" s="8" t="str">
        <f>IF(TRIM([1]Classification!$G43)="","NOT CONFIDENTIAL",TRIM([1]Classification!$G43))</f>
        <v>PERSONAL_CONTACTINFO</v>
      </c>
      <c r="P43" s="7" t="str">
        <f t="shared" si="5"/>
        <v>Y</v>
      </c>
      <c r="Q43" s="7" t="s">
        <v>24</v>
      </c>
      <c r="R43" s="9">
        <v>2958465</v>
      </c>
      <c r="S43" s="7" t="s">
        <v>25</v>
      </c>
      <c r="T43" s="7" t="s">
        <v>26</v>
      </c>
      <c r="U43" s="7" t="str">
        <f t="shared" si="6"/>
        <v>DOHDA_ASSESSMENTS_V</v>
      </c>
      <c r="V43" s="7" t="s">
        <v>27</v>
      </c>
    </row>
    <row r="44" spans="1:22" ht="15" x14ac:dyDescent="0.25">
      <c r="A44" t="s">
        <v>22</v>
      </c>
      <c r="B44" t="str">
        <f>[1]ETL_Incremental!C44</f>
        <v>ASSESSMENTS</v>
      </c>
      <c r="C44" t="str">
        <f>[1]ETL_Incremental!E44</f>
        <v>PR_ADDR_STREET_NAME</v>
      </c>
      <c r="D44" t="str">
        <f>[1]ETL_Incremental!H44</f>
        <v>StringType()</v>
      </c>
      <c r="E44" s="7" t="str">
        <f t="shared" si="0"/>
        <v>DOHDA_ASSESSMENTS</v>
      </c>
      <c r="F44" s="7" t="str">
        <f t="shared" si="1"/>
        <v>PR_ADDR_STREET_NAME</v>
      </c>
      <c r="G44" s="7" t="s">
        <v>23</v>
      </c>
      <c r="H44" s="7" t="str">
        <f t="shared" si="2"/>
        <v>DOHDA_ASSESSMENTS</v>
      </c>
      <c r="I44" s="7" t="str">
        <f t="shared" si="3"/>
        <v>PR_ADDR_STREET_NAME</v>
      </c>
      <c r="J44" s="7" t="str">
        <f t="shared" si="4"/>
        <v>VARCHAR</v>
      </c>
      <c r="K44" s="7" t="str">
        <f>TRIM([1]ETL_Incremental!G44)</f>
        <v>VARCHAR(100)</v>
      </c>
      <c r="L44" s="7" t="str">
        <f>TRIM([1]ETL_Incremental!I44)</f>
        <v/>
      </c>
      <c r="M44" s="7" t="str">
        <f t="shared" si="7"/>
        <v>NULLIF(TRIM(PR_ADDR_STREET_NAME),'')</v>
      </c>
      <c r="N44" s="7" t="str">
        <f>TRIM([1]ETL_Incremental!J44)</f>
        <v/>
      </c>
      <c r="O44" s="8" t="str">
        <f>IF(TRIM([1]Classification!$G44)="","NOT CONFIDENTIAL",TRIM([1]Classification!$G44))</f>
        <v>PERSONAL_CONTACTINFO</v>
      </c>
      <c r="P44" s="7" t="str">
        <f t="shared" si="5"/>
        <v>Y</v>
      </c>
      <c r="Q44" s="7" t="s">
        <v>24</v>
      </c>
      <c r="R44" s="9">
        <v>2958465</v>
      </c>
      <c r="S44" s="7" t="s">
        <v>25</v>
      </c>
      <c r="T44" s="7" t="s">
        <v>26</v>
      </c>
      <c r="U44" s="7" t="str">
        <f t="shared" si="6"/>
        <v>DOHDA_ASSESSMENTS_V</v>
      </c>
      <c r="V44" s="7" t="s">
        <v>27</v>
      </c>
    </row>
    <row r="45" spans="1:22" ht="15" x14ac:dyDescent="0.25">
      <c r="A45" t="s">
        <v>22</v>
      </c>
      <c r="B45" t="str">
        <f>[1]ETL_Incremental!C45</f>
        <v>ASSESSMENTS</v>
      </c>
      <c r="C45" t="str">
        <f>[1]ETL_Incremental!E45</f>
        <v>PR_ADDR_STREET_START_NUM</v>
      </c>
      <c r="D45" t="str">
        <f>[1]ETL_Incremental!H45</f>
        <v>StringType()</v>
      </c>
      <c r="E45" s="7" t="str">
        <f t="shared" si="0"/>
        <v>DOHDA_ASSESSMENTS</v>
      </c>
      <c r="F45" s="7" t="str">
        <f t="shared" si="1"/>
        <v>PR_ADDR_STREET_START_NUM</v>
      </c>
      <c r="G45" s="7" t="s">
        <v>23</v>
      </c>
      <c r="H45" s="7" t="str">
        <f t="shared" si="2"/>
        <v>DOHDA_ASSESSMENTS</v>
      </c>
      <c r="I45" s="7" t="str">
        <f t="shared" si="3"/>
        <v>PR_ADDR_STREET_START_NUM</v>
      </c>
      <c r="J45" s="7" t="str">
        <f t="shared" si="4"/>
        <v>VARCHAR</v>
      </c>
      <c r="K45" s="7" t="str">
        <f>TRIM([1]ETL_Incremental!G45)</f>
        <v>VARCHAR(10)</v>
      </c>
      <c r="L45" s="7" t="str">
        <f>TRIM([1]ETL_Incremental!I45)</f>
        <v/>
      </c>
      <c r="M45" s="7" t="str">
        <f t="shared" si="7"/>
        <v>NULLIF(TRIM(PR_ADDR_STREET_START_NUM),'')</v>
      </c>
      <c r="N45" s="7" t="str">
        <f>TRIM([1]ETL_Incremental!J45)</f>
        <v/>
      </c>
      <c r="O45" s="8" t="str">
        <f>IF(TRIM([1]Classification!$G45)="","NOT CONFIDENTIAL",TRIM([1]Classification!$G45))</f>
        <v>PERSONAL_CONTACTINFO</v>
      </c>
      <c r="P45" s="7" t="str">
        <f t="shared" si="5"/>
        <v>Y</v>
      </c>
      <c r="Q45" s="7" t="s">
        <v>24</v>
      </c>
      <c r="R45" s="9">
        <v>2958465</v>
      </c>
      <c r="S45" s="7" t="s">
        <v>25</v>
      </c>
      <c r="T45" s="7" t="s">
        <v>26</v>
      </c>
      <c r="U45" s="7" t="str">
        <f t="shared" si="6"/>
        <v>DOHDA_ASSESSMENTS_V</v>
      </c>
      <c r="V45" s="7" t="s">
        <v>27</v>
      </c>
    </row>
    <row r="46" spans="1:22" ht="15" x14ac:dyDescent="0.25">
      <c r="A46" t="s">
        <v>22</v>
      </c>
      <c r="B46" t="str">
        <f>[1]ETL_Incremental!C46</f>
        <v>ASSESSMENTS</v>
      </c>
      <c r="C46" t="str">
        <f>[1]ETL_Incremental!E46</f>
        <v>PR_ADDR_SUBURB_NAME</v>
      </c>
      <c r="D46" t="str">
        <f>[1]ETL_Incremental!H46</f>
        <v>StringType()</v>
      </c>
      <c r="E46" s="7" t="str">
        <f t="shared" si="0"/>
        <v>DOHDA_ASSESSMENTS</v>
      </c>
      <c r="F46" s="7" t="str">
        <f t="shared" si="1"/>
        <v>PR_ADDR_SUBURB_NAME</v>
      </c>
      <c r="G46" s="7" t="s">
        <v>23</v>
      </c>
      <c r="H46" s="7" t="str">
        <f t="shared" si="2"/>
        <v>DOHDA_ASSESSMENTS</v>
      </c>
      <c r="I46" s="7" t="str">
        <f t="shared" si="3"/>
        <v>PR_ADDR_SUBURB_NAME</v>
      </c>
      <c r="J46" s="7" t="str">
        <f t="shared" si="4"/>
        <v>VARCHAR</v>
      </c>
      <c r="K46" s="7" t="str">
        <f>TRIM([1]ETL_Incremental!G46)</f>
        <v>VARCHAR(50)</v>
      </c>
      <c r="L46" s="7" t="str">
        <f>TRIM([1]ETL_Incremental!I46)</f>
        <v/>
      </c>
      <c r="M46" s="7" t="str">
        <f t="shared" si="7"/>
        <v>NULLIF(TRIM(PR_ADDR_SUBURB_NAME),'')</v>
      </c>
      <c r="N46" s="7" t="str">
        <f>TRIM([1]ETL_Incremental!J46)</f>
        <v/>
      </c>
      <c r="O46" s="8" t="str">
        <f>IF(TRIM([1]Classification!$G46)="","NOT CONFIDENTIAL",TRIM([1]Classification!$G46))</f>
        <v>PERSONAL_CONTACTINFO</v>
      </c>
      <c r="P46" s="7" t="str">
        <f t="shared" si="5"/>
        <v>Y</v>
      </c>
      <c r="Q46" s="7" t="s">
        <v>24</v>
      </c>
      <c r="R46" s="9">
        <v>2958465</v>
      </c>
      <c r="S46" s="7" t="s">
        <v>25</v>
      </c>
      <c r="T46" s="7" t="s">
        <v>26</v>
      </c>
      <c r="U46" s="7" t="str">
        <f t="shared" si="6"/>
        <v>DOHDA_ASSESSMENTS_V</v>
      </c>
      <c r="V46" s="7" t="s">
        <v>27</v>
      </c>
    </row>
    <row r="47" spans="1:22" ht="15" x14ac:dyDescent="0.25">
      <c r="A47" t="s">
        <v>22</v>
      </c>
      <c r="B47" t="str">
        <f>[1]ETL_Incremental!C47</f>
        <v>ASSESSMENTS</v>
      </c>
      <c r="C47" t="str">
        <f>[1]ETL_Incremental!E47</f>
        <v>PR_ADDR_UNIT_NUM</v>
      </c>
      <c r="D47" t="str">
        <f>[1]ETL_Incremental!H47</f>
        <v>StringType()</v>
      </c>
      <c r="E47" s="7" t="str">
        <f t="shared" si="0"/>
        <v>DOHDA_ASSESSMENTS</v>
      </c>
      <c r="F47" s="7" t="str">
        <f t="shared" si="1"/>
        <v>PR_ADDR_UNIT_NUM</v>
      </c>
      <c r="G47" s="7" t="s">
        <v>23</v>
      </c>
      <c r="H47" s="7" t="str">
        <f t="shared" si="2"/>
        <v>DOHDA_ASSESSMENTS</v>
      </c>
      <c r="I47" s="7" t="str">
        <f t="shared" si="3"/>
        <v>PR_ADDR_UNIT_NUM</v>
      </c>
      <c r="J47" s="7" t="str">
        <f t="shared" si="4"/>
        <v>VARCHAR</v>
      </c>
      <c r="K47" s="7" t="str">
        <f>TRIM([1]ETL_Incremental!G47)</f>
        <v>VARCHAR(10)</v>
      </c>
      <c r="L47" s="7" t="str">
        <f>TRIM([1]ETL_Incremental!I47)</f>
        <v/>
      </c>
      <c r="M47" s="7" t="str">
        <f t="shared" si="7"/>
        <v>NULLIF(TRIM(PR_ADDR_UNIT_NUM),'')</v>
      </c>
      <c r="N47" s="7" t="str">
        <f>TRIM([1]ETL_Incremental!J47)</f>
        <v/>
      </c>
      <c r="O47" s="8" t="str">
        <f>IF(TRIM([1]Classification!$G47)="","NOT CONFIDENTIAL",TRIM([1]Classification!$G47))</f>
        <v>PERSONAL_CONTACTINFO</v>
      </c>
      <c r="P47" s="7" t="str">
        <f t="shared" si="5"/>
        <v>Y</v>
      </c>
      <c r="Q47" s="7" t="s">
        <v>24</v>
      </c>
      <c r="R47" s="9">
        <v>2958465</v>
      </c>
      <c r="S47" s="7" t="s">
        <v>25</v>
      </c>
      <c r="T47" s="7" t="s">
        <v>26</v>
      </c>
      <c r="U47" s="7" t="str">
        <f t="shared" si="6"/>
        <v>DOHDA_ASSESSMENTS_V</v>
      </c>
      <c r="V47" s="7" t="s">
        <v>27</v>
      </c>
    </row>
    <row r="48" spans="1:22" ht="15" x14ac:dyDescent="0.25">
      <c r="A48" t="s">
        <v>22</v>
      </c>
      <c r="B48" t="str">
        <f>[1]ETL_Incremental!C48</f>
        <v>ASSESSMENTS</v>
      </c>
      <c r="C48" t="str">
        <f>[1]ETL_Incremental!E48</f>
        <v>RECIP_MMM_2019</v>
      </c>
      <c r="D48" t="str">
        <f>[1]ETL_Incremental!H48</f>
        <v>StringType()</v>
      </c>
      <c r="E48" s="7" t="str">
        <f t="shared" si="0"/>
        <v>DOHDA_ASSESSMENTS</v>
      </c>
      <c r="F48" s="7" t="str">
        <f t="shared" si="1"/>
        <v>RECIP_MMM_2019</v>
      </c>
      <c r="G48" s="7" t="s">
        <v>23</v>
      </c>
      <c r="H48" s="7" t="str">
        <f t="shared" si="2"/>
        <v>DOHDA_ASSESSMENTS</v>
      </c>
      <c r="I48" s="7" t="str">
        <f t="shared" si="3"/>
        <v>RECIP_MMM_2019</v>
      </c>
      <c r="J48" s="7" t="str">
        <f t="shared" si="4"/>
        <v>VARCHAR</v>
      </c>
      <c r="K48" s="7" t="str">
        <f>TRIM([1]ETL_Incremental!G48)</f>
        <v>VARCHAR(30)</v>
      </c>
      <c r="L48" s="7" t="str">
        <f>TRIM([1]ETL_Incremental!I48)</f>
        <v/>
      </c>
      <c r="M48" s="7" t="str">
        <f t="shared" si="7"/>
        <v>NULLIF(TRIM(RECIP_MMM_2019),'')</v>
      </c>
      <c r="N48" s="7" t="str">
        <f>TRIM([1]ETL_Incremental!J48)</f>
        <v/>
      </c>
      <c r="O48" s="8" t="str">
        <f>IF(TRIM([1]Classification!$G48)="","NOT CONFIDENTIAL",TRIM([1]Classification!$G48))</f>
        <v>NOT CONFIDENTIAL</v>
      </c>
      <c r="P48" s="7" t="str">
        <f t="shared" si="5"/>
        <v>Y</v>
      </c>
      <c r="Q48" s="7" t="s">
        <v>24</v>
      </c>
      <c r="R48" s="9">
        <v>2958465</v>
      </c>
      <c r="S48" s="7" t="s">
        <v>25</v>
      </c>
      <c r="T48" s="7" t="s">
        <v>26</v>
      </c>
      <c r="U48" s="7" t="str">
        <f t="shared" si="6"/>
        <v>DOHDA_ASSESSMENTS_V</v>
      </c>
      <c r="V48" s="7" t="s">
        <v>27</v>
      </c>
    </row>
    <row r="49" spans="1:22" ht="15" x14ac:dyDescent="0.25">
      <c r="A49" t="s">
        <v>22</v>
      </c>
      <c r="B49" t="str">
        <f>[1]ETL_Incremental!C49</f>
        <v>ASSESSMENTS</v>
      </c>
      <c r="C49" t="str">
        <f>[1]ETL_Incremental!E49</f>
        <v>REP_CONTACT_PHONE_HOME</v>
      </c>
      <c r="D49" t="str">
        <f>[1]ETL_Incremental!H49</f>
        <v>StringType()</v>
      </c>
      <c r="E49" s="7" t="str">
        <f t="shared" si="0"/>
        <v>DOHDA_ASSESSMENTS</v>
      </c>
      <c r="F49" s="7" t="str">
        <f t="shared" si="1"/>
        <v>REP_CONTACT_PHONE_HOME</v>
      </c>
      <c r="G49" s="7" t="s">
        <v>23</v>
      </c>
      <c r="H49" s="7" t="str">
        <f t="shared" si="2"/>
        <v>DOHDA_ASSESSMENTS</v>
      </c>
      <c r="I49" s="7" t="str">
        <f t="shared" si="3"/>
        <v>REP_CONTACT_PHONE_HOME</v>
      </c>
      <c r="J49" s="7" t="str">
        <f t="shared" si="4"/>
        <v>VARCHAR</v>
      </c>
      <c r="K49" s="7" t="str">
        <f>TRIM([1]ETL_Incremental!G49)</f>
        <v>VARCHAR(40)</v>
      </c>
      <c r="L49" s="7" t="str">
        <f>TRIM([1]ETL_Incremental!I49)</f>
        <v/>
      </c>
      <c r="M49" s="7" t="str">
        <f t="shared" si="7"/>
        <v>NULLIF(TRIM(REP_CONTACT_PHONE_HOME),'')</v>
      </c>
      <c r="N49" s="7" t="str">
        <f>TRIM([1]ETL_Incremental!J49)</f>
        <v/>
      </c>
      <c r="O49" s="8" t="str">
        <f>IF(TRIM([1]Classification!$G49)="","NOT CONFIDENTIAL",TRIM([1]Classification!$G49))</f>
        <v>PERSONAL_CONTACTINFO</v>
      </c>
      <c r="P49" s="7" t="str">
        <f t="shared" si="5"/>
        <v>Y</v>
      </c>
      <c r="Q49" s="7" t="s">
        <v>24</v>
      </c>
      <c r="R49" s="9">
        <v>2958465</v>
      </c>
      <c r="S49" s="7" t="s">
        <v>25</v>
      </c>
      <c r="T49" s="7" t="s">
        <v>26</v>
      </c>
      <c r="U49" s="7" t="str">
        <f t="shared" si="6"/>
        <v>DOHDA_ASSESSMENTS_V</v>
      </c>
      <c r="V49" s="7" t="s">
        <v>27</v>
      </c>
    </row>
    <row r="50" spans="1:22" ht="15" x14ac:dyDescent="0.25">
      <c r="A50" t="s">
        <v>22</v>
      </c>
      <c r="B50" t="str">
        <f>[1]ETL_Incremental!C50</f>
        <v>ASSESSMENTS</v>
      </c>
      <c r="C50" t="str">
        <f>[1]ETL_Incremental!E50</f>
        <v>REP_CONTACT_PHONE_MOBILE</v>
      </c>
      <c r="D50" t="str">
        <f>[1]ETL_Incremental!H50</f>
        <v>StringType()</v>
      </c>
      <c r="E50" s="7" t="str">
        <f t="shared" si="0"/>
        <v>DOHDA_ASSESSMENTS</v>
      </c>
      <c r="F50" s="7" t="str">
        <f t="shared" si="1"/>
        <v>REP_CONTACT_PHONE_MOBILE</v>
      </c>
      <c r="G50" s="7" t="s">
        <v>23</v>
      </c>
      <c r="H50" s="7" t="str">
        <f t="shared" si="2"/>
        <v>DOHDA_ASSESSMENTS</v>
      </c>
      <c r="I50" s="7" t="str">
        <f t="shared" si="3"/>
        <v>REP_CONTACT_PHONE_MOBILE</v>
      </c>
      <c r="J50" s="7" t="str">
        <f t="shared" si="4"/>
        <v>VARCHAR</v>
      </c>
      <c r="K50" s="7" t="str">
        <f>TRIM([1]ETL_Incremental!G50)</f>
        <v>VARCHAR(40)</v>
      </c>
      <c r="L50" s="7" t="str">
        <f>TRIM([1]ETL_Incremental!I50)</f>
        <v/>
      </c>
      <c r="M50" s="7" t="str">
        <f t="shared" si="7"/>
        <v>NULLIF(TRIM(REP_CONTACT_PHONE_MOBILE),'')</v>
      </c>
      <c r="N50" s="7" t="str">
        <f>TRIM([1]ETL_Incremental!J50)</f>
        <v/>
      </c>
      <c r="O50" s="8" t="str">
        <f>IF(TRIM([1]Classification!$G50)="","NOT CONFIDENTIAL",TRIM([1]Classification!$G50))</f>
        <v>PERSONAL_CONTACTINFO</v>
      </c>
      <c r="P50" s="7" t="str">
        <f t="shared" si="5"/>
        <v>Y</v>
      </c>
      <c r="Q50" s="7" t="s">
        <v>24</v>
      </c>
      <c r="R50" s="9">
        <v>2958465</v>
      </c>
      <c r="S50" s="7" t="s">
        <v>25</v>
      </c>
      <c r="T50" s="7" t="s">
        <v>26</v>
      </c>
      <c r="U50" s="7" t="str">
        <f t="shared" si="6"/>
        <v>DOHDA_ASSESSMENTS_V</v>
      </c>
      <c r="V50" s="7" t="s">
        <v>27</v>
      </c>
    </row>
    <row r="51" spans="1:22" ht="15" x14ac:dyDescent="0.25">
      <c r="A51" t="s">
        <v>22</v>
      </c>
      <c r="B51" t="str">
        <f>[1]ETL_Incremental!C51</f>
        <v>ASSESSMENTS</v>
      </c>
      <c r="C51" t="str">
        <f>[1]ETL_Incremental!E51</f>
        <v>REP_EMAIL</v>
      </c>
      <c r="D51" t="str">
        <f>[1]ETL_Incremental!H51</f>
        <v>StringType()</v>
      </c>
      <c r="E51" s="7" t="str">
        <f t="shared" si="0"/>
        <v>DOHDA_ASSESSMENTS</v>
      </c>
      <c r="F51" s="7" t="str">
        <f t="shared" si="1"/>
        <v>REP_EMAIL</v>
      </c>
      <c r="G51" s="7" t="s">
        <v>23</v>
      </c>
      <c r="H51" s="7" t="str">
        <f t="shared" si="2"/>
        <v>DOHDA_ASSESSMENTS</v>
      </c>
      <c r="I51" s="7" t="str">
        <f t="shared" si="3"/>
        <v>REP_EMAIL</v>
      </c>
      <c r="J51" s="7" t="str">
        <f t="shared" si="4"/>
        <v>VARCHAR</v>
      </c>
      <c r="K51" s="7" t="str">
        <f>TRIM([1]ETL_Incremental!G51)</f>
        <v>VARCHAR(350)</v>
      </c>
      <c r="L51" s="7" t="str">
        <f>TRIM([1]ETL_Incremental!I51)</f>
        <v/>
      </c>
      <c r="M51" s="7" t="str">
        <f t="shared" si="7"/>
        <v>NULLIF(TRIM(REP_EMAIL),'')</v>
      </c>
      <c r="N51" s="7" t="str">
        <f>TRIM([1]ETL_Incremental!J51)</f>
        <v/>
      </c>
      <c r="O51" s="8" t="str">
        <f>IF(TRIM([1]Classification!$G51)="","NOT CONFIDENTIAL",TRIM([1]Classification!$G51))</f>
        <v>PERSONAL_CONTACTINFO</v>
      </c>
      <c r="P51" s="7" t="str">
        <f t="shared" si="5"/>
        <v>Y</v>
      </c>
      <c r="Q51" s="7" t="s">
        <v>24</v>
      </c>
      <c r="R51" s="9">
        <v>2958465</v>
      </c>
      <c r="S51" s="7" t="s">
        <v>25</v>
      </c>
      <c r="T51" s="7" t="s">
        <v>26</v>
      </c>
      <c r="U51" s="7" t="str">
        <f t="shared" si="6"/>
        <v>DOHDA_ASSESSMENTS_V</v>
      </c>
      <c r="V51" s="7" t="s">
        <v>27</v>
      </c>
    </row>
    <row r="52" spans="1:22" ht="15" x14ac:dyDescent="0.25">
      <c r="A52" t="s">
        <v>22</v>
      </c>
      <c r="B52" t="str">
        <f>[1]ETL_Incremental!C52</f>
        <v>ASSESSMENTS</v>
      </c>
      <c r="C52" t="str">
        <f>[1]ETL_Incremental!E52</f>
        <v>REP_LAST_NAME</v>
      </c>
      <c r="D52" t="str">
        <f>[1]ETL_Incremental!H52</f>
        <v>StringType()</v>
      </c>
      <c r="E52" s="7" t="str">
        <f t="shared" si="0"/>
        <v>DOHDA_ASSESSMENTS</v>
      </c>
      <c r="F52" s="7" t="str">
        <f t="shared" si="1"/>
        <v>REP_LAST_NAME</v>
      </c>
      <c r="G52" s="7" t="s">
        <v>23</v>
      </c>
      <c r="H52" s="7" t="str">
        <f t="shared" si="2"/>
        <v>DOHDA_ASSESSMENTS</v>
      </c>
      <c r="I52" s="7" t="str">
        <f t="shared" si="3"/>
        <v>REP_LAST_NAME</v>
      </c>
      <c r="J52" s="7" t="str">
        <f t="shared" si="4"/>
        <v>VARCHAR</v>
      </c>
      <c r="K52" s="7" t="str">
        <f>TRIM([1]ETL_Incremental!G52)</f>
        <v>VARCHAR(50)</v>
      </c>
      <c r="L52" s="7" t="str">
        <f>TRIM([1]ETL_Incremental!I52)</f>
        <v/>
      </c>
      <c r="M52" s="7" t="str">
        <f t="shared" si="7"/>
        <v>NULLIF(TRIM(REP_LAST_NAME),'')</v>
      </c>
      <c r="N52" s="7" t="str">
        <f>TRIM([1]ETL_Incremental!J52)</f>
        <v/>
      </c>
      <c r="O52" s="8" t="str">
        <f>IF(TRIM([1]Classification!$G52)="","NOT CONFIDENTIAL",TRIM([1]Classification!$G52))</f>
        <v>PERSONAL_CONTACTINFO</v>
      </c>
      <c r="P52" s="7" t="str">
        <f t="shared" si="5"/>
        <v>Y</v>
      </c>
      <c r="Q52" s="7" t="s">
        <v>24</v>
      </c>
      <c r="R52" s="9">
        <v>2958465</v>
      </c>
      <c r="S52" s="7" t="s">
        <v>25</v>
      </c>
      <c r="T52" s="7" t="s">
        <v>26</v>
      </c>
      <c r="U52" s="7" t="str">
        <f t="shared" si="6"/>
        <v>DOHDA_ASSESSMENTS_V</v>
      </c>
      <c r="V52" s="7" t="s">
        <v>27</v>
      </c>
    </row>
    <row r="53" spans="1:22" ht="15" x14ac:dyDescent="0.25">
      <c r="A53" t="s">
        <v>22</v>
      </c>
      <c r="B53" t="str">
        <f>[1]ETL_Incremental!C53</f>
        <v>ASSESSMENTS</v>
      </c>
      <c r="C53" t="str">
        <f>[1]ETL_Incremental!E53</f>
        <v>REP_FIRST_NAME</v>
      </c>
      <c r="D53" t="str">
        <f>[1]ETL_Incremental!H53</f>
        <v>StringType()</v>
      </c>
      <c r="E53" s="7" t="str">
        <f t="shared" si="0"/>
        <v>DOHDA_ASSESSMENTS</v>
      </c>
      <c r="F53" s="7" t="str">
        <f t="shared" si="1"/>
        <v>REP_FIRST_NAME</v>
      </c>
      <c r="G53" s="7" t="s">
        <v>23</v>
      </c>
      <c r="H53" s="7" t="str">
        <f t="shared" si="2"/>
        <v>DOHDA_ASSESSMENTS</v>
      </c>
      <c r="I53" s="7" t="str">
        <f t="shared" si="3"/>
        <v>REP_FIRST_NAME</v>
      </c>
      <c r="J53" s="7" t="str">
        <f t="shared" si="4"/>
        <v>VARCHAR</v>
      </c>
      <c r="K53" s="7" t="str">
        <f>TRIM([1]ETL_Incremental!G53)</f>
        <v>VARCHAR(50)</v>
      </c>
      <c r="L53" s="7" t="str">
        <f>TRIM([1]ETL_Incremental!I53)</f>
        <v/>
      </c>
      <c r="M53" s="7" t="str">
        <f t="shared" si="7"/>
        <v>NULLIF(TRIM(REP_FIRST_NAME),'')</v>
      </c>
      <c r="N53" s="7" t="str">
        <f>TRIM([1]ETL_Incremental!J53)</f>
        <v/>
      </c>
      <c r="O53" s="8" t="str">
        <f>IF(TRIM([1]Classification!$G53)="","NOT CONFIDENTIAL",TRIM([1]Classification!$G53))</f>
        <v>PERSONAL_CONTACTINFO</v>
      </c>
      <c r="P53" s="7" t="str">
        <f t="shared" si="5"/>
        <v>Y</v>
      </c>
      <c r="Q53" s="7" t="s">
        <v>24</v>
      </c>
      <c r="R53" s="9">
        <v>2958465</v>
      </c>
      <c r="S53" s="7" t="s">
        <v>25</v>
      </c>
      <c r="T53" s="7" t="s">
        <v>26</v>
      </c>
      <c r="U53" s="7" t="str">
        <f t="shared" si="6"/>
        <v>DOHDA_ASSESSMENTS_V</v>
      </c>
      <c r="V53" s="7" t="s">
        <v>27</v>
      </c>
    </row>
    <row r="54" spans="1:22" ht="15" x14ac:dyDescent="0.25">
      <c r="A54" t="s">
        <v>22</v>
      </c>
      <c r="B54" t="str">
        <f>[1]ETL_Incremental!C54</f>
        <v>ASSESSMENTS</v>
      </c>
      <c r="C54" t="str">
        <f>[1]ETL_Incremental!E54</f>
        <v>REPRESENTATIVE_RELATIONSHIP</v>
      </c>
      <c r="D54" t="str">
        <f>[1]ETL_Incremental!H54</f>
        <v>StringType()</v>
      </c>
      <c r="E54" s="7" t="str">
        <f t="shared" si="0"/>
        <v>DOHDA_ASSESSMENTS</v>
      </c>
      <c r="F54" s="7" t="str">
        <f t="shared" si="1"/>
        <v>REPRESENTATIVE_RELATIONSHIP</v>
      </c>
      <c r="G54" s="7" t="s">
        <v>23</v>
      </c>
      <c r="H54" s="7" t="str">
        <f t="shared" si="2"/>
        <v>DOHDA_ASSESSMENTS</v>
      </c>
      <c r="I54" s="7" t="str">
        <f t="shared" si="3"/>
        <v>REPRESENTATIVE_RELATIONSHIP</v>
      </c>
      <c r="J54" s="7" t="str">
        <f t="shared" si="4"/>
        <v>VARCHAR</v>
      </c>
      <c r="K54" s="7" t="str">
        <f>TRIM([1]ETL_Incremental!G54)</f>
        <v>VARCHAR(30)</v>
      </c>
      <c r="L54" s="7" t="str">
        <f>TRIM([1]ETL_Incremental!I54)</f>
        <v/>
      </c>
      <c r="M54" s="7" t="str">
        <f t="shared" si="7"/>
        <v>NULLIF(TRIM(REPRESENTATIVE_RELATIONSHIP),'')</v>
      </c>
      <c r="N54" s="7" t="str">
        <f>TRIM([1]ETL_Incremental!J54)</f>
        <v/>
      </c>
      <c r="O54" s="8" t="str">
        <f>IF(TRIM([1]Classification!$G54)="","NOT CONFIDENTIAL",TRIM([1]Classification!$G54))</f>
        <v>NOT CONFIDENTIAL</v>
      </c>
      <c r="P54" s="7" t="str">
        <f t="shared" si="5"/>
        <v>Y</v>
      </c>
      <c r="Q54" s="7" t="s">
        <v>24</v>
      </c>
      <c r="R54" s="9">
        <v>2958465</v>
      </c>
      <c r="S54" s="7" t="s">
        <v>25</v>
      </c>
      <c r="T54" s="7" t="s">
        <v>26</v>
      </c>
      <c r="U54" s="7" t="str">
        <f t="shared" si="6"/>
        <v>DOHDA_ASSESSMENTS_V</v>
      </c>
      <c r="V54" s="7" t="s">
        <v>27</v>
      </c>
    </row>
    <row r="55" spans="1:22" ht="15" x14ac:dyDescent="0.25">
      <c r="A55" t="s">
        <v>22</v>
      </c>
      <c r="B55" t="str">
        <f>[1]ETL_Incremental!C55</f>
        <v>CLIENTS</v>
      </c>
      <c r="C55" t="str">
        <f>[1]ETL_Incremental!E55</f>
        <v>CALENDAR_YEAR_QUARTER</v>
      </c>
      <c r="D55" t="str">
        <f>[1]ETL_Incremental!H55</f>
        <v>StringType()</v>
      </c>
      <c r="E55" s="7" t="str">
        <f t="shared" si="0"/>
        <v>DOHDA_CLIENTS</v>
      </c>
      <c r="F55" s="7" t="str">
        <f t="shared" si="1"/>
        <v>CALENDAR_YEAR_QUARTER</v>
      </c>
      <c r="G55" s="7" t="s">
        <v>23</v>
      </c>
      <c r="H55" s="7" t="str">
        <f t="shared" si="2"/>
        <v>DOHDA_CLIENTS</v>
      </c>
      <c r="I55" s="7" t="str">
        <f t="shared" si="3"/>
        <v>CALENDAR_YEAR_QUARTER</v>
      </c>
      <c r="J55" s="7" t="str">
        <f t="shared" si="4"/>
        <v>VARCHAR</v>
      </c>
      <c r="K55" s="7" t="str">
        <f>TRIM([1]ETL_Incremental!G55)</f>
        <v>VARCHAR(50)</v>
      </c>
      <c r="L55" s="7" t="str">
        <f>TRIM([1]ETL_Incremental!I55)</f>
        <v/>
      </c>
      <c r="M55" s="7" t="str">
        <f t="shared" si="7"/>
        <v>NULLIF(TRIM(CALENDAR_YEAR_QUARTER),'')</v>
      </c>
      <c r="N55" s="7" t="str">
        <f>TRIM([1]ETL_Incremental!J55)</f>
        <v/>
      </c>
      <c r="O55" s="8" t="str">
        <f>IF(TRIM([1]Classification!$G55)="","NOT CONFIDENTIAL",TRIM([1]Classification!$G55))</f>
        <v>NOT CONFIDENTIAL</v>
      </c>
      <c r="P55" s="7" t="str">
        <f t="shared" si="5"/>
        <v>Y</v>
      </c>
      <c r="Q55" s="7" t="s">
        <v>24</v>
      </c>
      <c r="R55" s="9">
        <v>2958465</v>
      </c>
      <c r="S55" s="7" t="s">
        <v>25</v>
      </c>
      <c r="T55" s="7" t="s">
        <v>26</v>
      </c>
      <c r="U55" s="7" t="str">
        <f t="shared" si="6"/>
        <v>DOHDA_CLIENTS_V</v>
      </c>
      <c r="V55" s="7" t="s">
        <v>27</v>
      </c>
    </row>
    <row r="56" spans="1:22" ht="15" x14ac:dyDescent="0.25">
      <c r="A56" t="s">
        <v>22</v>
      </c>
      <c r="B56" t="str">
        <f>[1]ETL_Incremental!C56</f>
        <v>CLIENTS</v>
      </c>
      <c r="C56" t="str">
        <f>[1]ETL_Incremental!E56</f>
        <v>PROVIDER_ID</v>
      </c>
      <c r="D56" t="str">
        <f>[1]ETL_Incremental!H56</f>
        <v>StringType()</v>
      </c>
      <c r="E56" s="7" t="str">
        <f t="shared" si="0"/>
        <v>DOHDA_CLIENTS</v>
      </c>
      <c r="F56" s="7" t="str">
        <f t="shared" si="1"/>
        <v>PROVIDER_ID</v>
      </c>
      <c r="G56" s="7" t="s">
        <v>23</v>
      </c>
      <c r="H56" s="7" t="str">
        <f t="shared" si="2"/>
        <v>DOHDA_CLIENTS</v>
      </c>
      <c r="I56" s="7" t="str">
        <f t="shared" si="3"/>
        <v>PROVIDER_ID</v>
      </c>
      <c r="J56" s="7" t="str">
        <f t="shared" si="4"/>
        <v>VARCHAR</v>
      </c>
      <c r="K56" s="7" t="str">
        <f>TRIM([1]ETL_Incremental!G56)</f>
        <v>VARCHAR(20)</v>
      </c>
      <c r="L56" s="7" t="str">
        <f>TRIM([1]ETL_Incremental!I56)</f>
        <v/>
      </c>
      <c r="M56" s="7" t="str">
        <f t="shared" si="7"/>
        <v>NULLIF(TRIM(PROVIDER_ID),'')</v>
      </c>
      <c r="N56" s="7" t="str">
        <f>TRIM([1]ETL_Incremental!J56)</f>
        <v/>
      </c>
      <c r="O56" s="8" t="str">
        <f>IF(TRIM([1]Classification!$G56)="","NOT CONFIDENTIAL",TRIM([1]Classification!$G56))</f>
        <v>NOT CONFIDENTIAL</v>
      </c>
      <c r="P56" s="7" t="str">
        <f t="shared" si="5"/>
        <v>Y</v>
      </c>
      <c r="Q56" s="7" t="s">
        <v>24</v>
      </c>
      <c r="R56" s="9">
        <v>2958465</v>
      </c>
      <c r="S56" s="7" t="s">
        <v>25</v>
      </c>
      <c r="T56" s="7" t="s">
        <v>26</v>
      </c>
      <c r="U56" s="7" t="str">
        <f t="shared" si="6"/>
        <v>DOHDA_CLIENTS_V</v>
      </c>
      <c r="V56" s="7" t="s">
        <v>27</v>
      </c>
    </row>
    <row r="57" spans="1:22" ht="15" x14ac:dyDescent="0.25">
      <c r="A57" t="s">
        <v>22</v>
      </c>
      <c r="B57" t="str">
        <f>[1]ETL_Incremental!C57</f>
        <v>CLIENTS</v>
      </c>
      <c r="C57" t="str">
        <f>[1]ETL_Incremental!E57</f>
        <v>PROVIDER_NAME</v>
      </c>
      <c r="D57" t="str">
        <f>[1]ETL_Incremental!H57</f>
        <v>StringType()</v>
      </c>
      <c r="E57" s="7" t="str">
        <f t="shared" si="0"/>
        <v>DOHDA_CLIENTS</v>
      </c>
      <c r="F57" s="7" t="str">
        <f t="shared" si="1"/>
        <v>PROVIDER_NAME</v>
      </c>
      <c r="G57" s="7" t="s">
        <v>23</v>
      </c>
      <c r="H57" s="7" t="str">
        <f t="shared" si="2"/>
        <v>DOHDA_CLIENTS</v>
      </c>
      <c r="I57" s="7" t="str">
        <f t="shared" si="3"/>
        <v>PROVIDER_NAME</v>
      </c>
      <c r="J57" s="7" t="str">
        <f t="shared" si="4"/>
        <v>VARCHAR</v>
      </c>
      <c r="K57" s="7" t="str">
        <f>TRIM([1]ETL_Incremental!G57)</f>
        <v>VARCHAR(240)</v>
      </c>
      <c r="L57" s="7" t="str">
        <f>TRIM([1]ETL_Incremental!I57)</f>
        <v/>
      </c>
      <c r="M57" s="7" t="str">
        <f t="shared" si="7"/>
        <v>NULLIF(TRIM(PROVIDER_NAME),'')</v>
      </c>
      <c r="N57" s="7" t="str">
        <f>TRIM([1]ETL_Incremental!J57)</f>
        <v/>
      </c>
      <c r="O57" s="8" t="str">
        <f>IF(TRIM([1]Classification!$G57)="","NOT CONFIDENTIAL",TRIM([1]Classification!$G57))</f>
        <v>PERSONAL_PROVIDERINFO</v>
      </c>
      <c r="P57" s="7" t="str">
        <f t="shared" si="5"/>
        <v>Y</v>
      </c>
      <c r="Q57" s="7" t="s">
        <v>24</v>
      </c>
      <c r="R57" s="9">
        <v>2958465</v>
      </c>
      <c r="S57" s="7" t="s">
        <v>25</v>
      </c>
      <c r="T57" s="7" t="s">
        <v>26</v>
      </c>
      <c r="U57" s="7" t="str">
        <f t="shared" si="6"/>
        <v>DOHDA_CLIENTS_V</v>
      </c>
      <c r="V57" s="7" t="s">
        <v>27</v>
      </c>
    </row>
    <row r="58" spans="1:22" ht="15" x14ac:dyDescent="0.25">
      <c r="A58" t="s">
        <v>22</v>
      </c>
      <c r="B58" t="str">
        <f>[1]ETL_Incremental!C58</f>
        <v>CLIENTS</v>
      </c>
      <c r="C58" t="str">
        <f>[1]ETL_Incremental!E58</f>
        <v>SERVICE_ID</v>
      </c>
      <c r="D58" t="str">
        <f>[1]ETL_Incremental!H58</f>
        <v>StringType()</v>
      </c>
      <c r="E58" s="7" t="str">
        <f t="shared" si="0"/>
        <v>DOHDA_CLIENTS</v>
      </c>
      <c r="F58" s="7" t="str">
        <f t="shared" si="1"/>
        <v>SERVICE_ID</v>
      </c>
      <c r="G58" s="7" t="s">
        <v>23</v>
      </c>
      <c r="H58" s="7" t="str">
        <f t="shared" si="2"/>
        <v>DOHDA_CLIENTS</v>
      </c>
      <c r="I58" s="7" t="str">
        <f t="shared" si="3"/>
        <v>SERVICE_ID</v>
      </c>
      <c r="J58" s="7" t="str">
        <f t="shared" si="4"/>
        <v>VARCHAR</v>
      </c>
      <c r="K58" s="7" t="str">
        <f>TRIM([1]ETL_Incremental!G58)</f>
        <v>VARCHAR(20)</v>
      </c>
      <c r="L58" s="7" t="str">
        <f>TRIM([1]ETL_Incremental!I58)</f>
        <v/>
      </c>
      <c r="M58" s="7" t="str">
        <f t="shared" si="7"/>
        <v>NULLIF(TRIM(SERVICE_ID),'')</v>
      </c>
      <c r="N58" s="7" t="str">
        <f>TRIM([1]ETL_Incremental!J58)</f>
        <v/>
      </c>
      <c r="O58" s="8" t="str">
        <f>IF(TRIM([1]Classification!$G58)="","NOT CONFIDENTIAL",TRIM([1]Classification!$G58))</f>
        <v>NOT CONFIDENTIAL</v>
      </c>
      <c r="P58" s="7" t="str">
        <f t="shared" si="5"/>
        <v>Y</v>
      </c>
      <c r="Q58" s="7" t="s">
        <v>24</v>
      </c>
      <c r="R58" s="9">
        <v>2958465</v>
      </c>
      <c r="S58" s="7" t="s">
        <v>25</v>
      </c>
      <c r="T58" s="7" t="s">
        <v>26</v>
      </c>
      <c r="U58" s="7" t="str">
        <f t="shared" si="6"/>
        <v>DOHDA_CLIENTS_V</v>
      </c>
      <c r="V58" s="7" t="s">
        <v>27</v>
      </c>
    </row>
    <row r="59" spans="1:22" ht="15" x14ac:dyDescent="0.25">
      <c r="A59" t="s">
        <v>22</v>
      </c>
      <c r="B59" t="str">
        <f>[1]ETL_Incremental!C59</f>
        <v>CLIENTS</v>
      </c>
      <c r="C59" t="str">
        <f>[1]ETL_Incremental!E59</f>
        <v>SERVICE_NAME</v>
      </c>
      <c r="D59" t="str">
        <f>[1]ETL_Incremental!H59</f>
        <v>StringType()</v>
      </c>
      <c r="E59" s="7" t="str">
        <f t="shared" si="0"/>
        <v>DOHDA_CLIENTS</v>
      </c>
      <c r="F59" s="7" t="str">
        <f t="shared" si="1"/>
        <v>SERVICE_NAME</v>
      </c>
      <c r="G59" s="7" t="s">
        <v>23</v>
      </c>
      <c r="H59" s="7" t="str">
        <f t="shared" si="2"/>
        <v>DOHDA_CLIENTS</v>
      </c>
      <c r="I59" s="7" t="str">
        <f t="shared" si="3"/>
        <v>SERVICE_NAME</v>
      </c>
      <c r="J59" s="7" t="str">
        <f t="shared" si="4"/>
        <v>VARCHAR</v>
      </c>
      <c r="K59" s="7" t="str">
        <f>TRIM([1]ETL_Incremental!G59)</f>
        <v>VARCHAR(255)</v>
      </c>
      <c r="L59" s="7" t="str">
        <f>TRIM([1]ETL_Incremental!I59)</f>
        <v/>
      </c>
      <c r="M59" s="7" t="str">
        <f t="shared" si="7"/>
        <v>NULLIF(TRIM(SERVICE_NAME),'')</v>
      </c>
      <c r="N59" s="7" t="str">
        <f>TRIM([1]ETL_Incremental!J59)</f>
        <v/>
      </c>
      <c r="O59" s="8" t="str">
        <f>IF(TRIM([1]Classification!$G59)="","NOT CONFIDENTIAL",TRIM([1]Classification!$G59))</f>
        <v>PERSONAL_PROVIDERINFO</v>
      </c>
      <c r="P59" s="7" t="str">
        <f t="shared" si="5"/>
        <v>Y</v>
      </c>
      <c r="Q59" s="7" t="s">
        <v>24</v>
      </c>
      <c r="R59" s="9">
        <v>2958465</v>
      </c>
      <c r="S59" s="7" t="s">
        <v>25</v>
      </c>
      <c r="T59" s="7" t="s">
        <v>26</v>
      </c>
      <c r="U59" s="7" t="str">
        <f t="shared" si="6"/>
        <v>DOHDA_CLIENTS_V</v>
      </c>
      <c r="V59" s="7" t="s">
        <v>27</v>
      </c>
    </row>
    <row r="60" spans="1:22" ht="15" x14ac:dyDescent="0.25">
      <c r="A60" t="s">
        <v>22</v>
      </c>
      <c r="B60" t="str">
        <f>[1]ETL_Incremental!C60</f>
        <v>CLIENTS</v>
      </c>
      <c r="C60" t="str">
        <f>[1]ETL_Incremental!E60</f>
        <v>SERVICE_PHYSICAL_ADDRESS_1</v>
      </c>
      <c r="D60" t="str">
        <f>[1]ETL_Incremental!H60</f>
        <v>StringType()</v>
      </c>
      <c r="E60" s="7" t="str">
        <f t="shared" si="0"/>
        <v>DOHDA_CLIENTS</v>
      </c>
      <c r="F60" s="7" t="str">
        <f t="shared" si="1"/>
        <v>SERVICE_PHYSICAL_ADDRESS_1</v>
      </c>
      <c r="G60" s="7" t="s">
        <v>23</v>
      </c>
      <c r="H60" s="7" t="str">
        <f t="shared" si="2"/>
        <v>DOHDA_CLIENTS</v>
      </c>
      <c r="I60" s="7" t="str">
        <f t="shared" si="3"/>
        <v>SERVICE_PHYSICAL_ADDRESS_1</v>
      </c>
      <c r="J60" s="7" t="str">
        <f t="shared" si="4"/>
        <v>VARCHAR</v>
      </c>
      <c r="K60" s="7" t="str">
        <f>TRIM([1]ETL_Incremental!G60)</f>
        <v>VARCHAR(100)</v>
      </c>
      <c r="L60" s="7" t="str">
        <f>TRIM([1]ETL_Incremental!I60)</f>
        <v/>
      </c>
      <c r="M60" s="7" t="str">
        <f t="shared" si="7"/>
        <v>NULLIF(TRIM(SERVICE_PHYSICAL_ADDRESS_1),'')</v>
      </c>
      <c r="N60" s="7" t="str">
        <f>TRIM([1]ETL_Incremental!J60)</f>
        <v/>
      </c>
      <c r="O60" s="8" t="str">
        <f>IF(TRIM([1]Classification!$G60)="","NOT CONFIDENTIAL",TRIM([1]Classification!$G60))</f>
        <v>PERSONAL_PROVIDERINFO</v>
      </c>
      <c r="P60" s="7" t="str">
        <f t="shared" si="5"/>
        <v>Y</v>
      </c>
      <c r="Q60" s="7" t="s">
        <v>24</v>
      </c>
      <c r="R60" s="9">
        <v>2958465</v>
      </c>
      <c r="S60" s="7" t="s">
        <v>25</v>
      </c>
      <c r="T60" s="7" t="s">
        <v>26</v>
      </c>
      <c r="U60" s="7" t="str">
        <f t="shared" si="6"/>
        <v>DOHDA_CLIENTS_V</v>
      </c>
      <c r="V60" s="7" t="s">
        <v>27</v>
      </c>
    </row>
    <row r="61" spans="1:22" ht="15" x14ac:dyDescent="0.25">
      <c r="A61" t="s">
        <v>22</v>
      </c>
      <c r="B61" t="str">
        <f>[1]ETL_Incremental!C61</f>
        <v>CLIENTS</v>
      </c>
      <c r="C61" t="str">
        <f>[1]ETL_Incremental!E61</f>
        <v>SERVICE_PHYSICAL_ADDRESS_2</v>
      </c>
      <c r="D61" t="str">
        <f>[1]ETL_Incremental!H61</f>
        <v>StringType()</v>
      </c>
      <c r="E61" s="7" t="str">
        <f t="shared" si="0"/>
        <v>DOHDA_CLIENTS</v>
      </c>
      <c r="F61" s="7" t="str">
        <f t="shared" si="1"/>
        <v>SERVICE_PHYSICAL_ADDRESS_2</v>
      </c>
      <c r="G61" s="7" t="s">
        <v>23</v>
      </c>
      <c r="H61" s="7" t="str">
        <f t="shared" si="2"/>
        <v>DOHDA_CLIENTS</v>
      </c>
      <c r="I61" s="7" t="str">
        <f t="shared" si="3"/>
        <v>SERVICE_PHYSICAL_ADDRESS_2</v>
      </c>
      <c r="J61" s="7" t="str">
        <f t="shared" si="4"/>
        <v>VARCHAR</v>
      </c>
      <c r="K61" s="7" t="str">
        <f>TRIM([1]ETL_Incremental!G61)</f>
        <v>VARCHAR(100)</v>
      </c>
      <c r="L61" s="7" t="str">
        <f>TRIM([1]ETL_Incremental!I61)</f>
        <v/>
      </c>
      <c r="M61" s="7" t="str">
        <f t="shared" si="7"/>
        <v>NULLIF(TRIM(SERVICE_PHYSICAL_ADDRESS_2),'')</v>
      </c>
      <c r="N61" s="7" t="str">
        <f>TRIM([1]ETL_Incremental!J61)</f>
        <v/>
      </c>
      <c r="O61" s="8" t="str">
        <f>IF(TRIM([1]Classification!$G61)="","NOT CONFIDENTIAL",TRIM([1]Classification!$G61))</f>
        <v>PERSONAL_PROVIDERINFO</v>
      </c>
      <c r="P61" s="7" t="str">
        <f t="shared" si="5"/>
        <v>Y</v>
      </c>
      <c r="Q61" s="7" t="s">
        <v>24</v>
      </c>
      <c r="R61" s="9">
        <v>2958465</v>
      </c>
      <c r="S61" s="7" t="s">
        <v>25</v>
      </c>
      <c r="T61" s="7" t="s">
        <v>26</v>
      </c>
      <c r="U61" s="7" t="str">
        <f t="shared" si="6"/>
        <v>DOHDA_CLIENTS_V</v>
      </c>
      <c r="V61" s="7" t="s">
        <v>27</v>
      </c>
    </row>
    <row r="62" spans="1:22" ht="15" x14ac:dyDescent="0.25">
      <c r="A62" t="s">
        <v>22</v>
      </c>
      <c r="B62" t="str">
        <f>[1]ETL_Incremental!C62</f>
        <v>CLIENTS</v>
      </c>
      <c r="C62" t="str">
        <f>[1]ETL_Incremental!E62</f>
        <v>SERVICE_PHYSICAL_SUBURB</v>
      </c>
      <c r="D62" t="str">
        <f>[1]ETL_Incremental!H62</f>
        <v>StringType()</v>
      </c>
      <c r="E62" s="7" t="str">
        <f t="shared" si="0"/>
        <v>DOHDA_CLIENTS</v>
      </c>
      <c r="F62" s="7" t="str">
        <f t="shared" si="1"/>
        <v>SERVICE_PHYSICAL_SUBURB</v>
      </c>
      <c r="G62" s="7" t="s">
        <v>23</v>
      </c>
      <c r="H62" s="7" t="str">
        <f t="shared" si="2"/>
        <v>DOHDA_CLIENTS</v>
      </c>
      <c r="I62" s="7" t="str">
        <f t="shared" si="3"/>
        <v>SERVICE_PHYSICAL_SUBURB</v>
      </c>
      <c r="J62" s="7" t="str">
        <f t="shared" si="4"/>
        <v>VARCHAR</v>
      </c>
      <c r="K62" s="7" t="str">
        <f>TRIM([1]ETL_Incremental!G62)</f>
        <v>VARCHAR(50)</v>
      </c>
      <c r="L62" s="7" t="str">
        <f>TRIM([1]ETL_Incremental!I62)</f>
        <v/>
      </c>
      <c r="M62" s="7" t="str">
        <f t="shared" si="7"/>
        <v>NULLIF(TRIM(SERVICE_PHYSICAL_SUBURB),'')</v>
      </c>
      <c r="N62" s="7" t="str">
        <f>TRIM([1]ETL_Incremental!J62)</f>
        <v/>
      </c>
      <c r="O62" s="8" t="str">
        <f>IF(TRIM([1]Classification!$G62)="","NOT CONFIDENTIAL",TRIM([1]Classification!$G62))</f>
        <v>PERSONAL_PROVIDERINFO</v>
      </c>
      <c r="P62" s="7" t="str">
        <f t="shared" si="5"/>
        <v>Y</v>
      </c>
      <c r="Q62" s="7" t="s">
        <v>24</v>
      </c>
      <c r="R62" s="9">
        <v>2958465</v>
      </c>
      <c r="S62" s="7" t="s">
        <v>25</v>
      </c>
      <c r="T62" s="7" t="s">
        <v>26</v>
      </c>
      <c r="U62" s="7" t="str">
        <f t="shared" si="6"/>
        <v>DOHDA_CLIENTS_V</v>
      </c>
      <c r="V62" s="7" t="s">
        <v>27</v>
      </c>
    </row>
    <row r="63" spans="1:22" ht="15" x14ac:dyDescent="0.25">
      <c r="A63" t="s">
        <v>22</v>
      </c>
      <c r="B63" t="str">
        <f>[1]ETL_Incremental!C63</f>
        <v>CLIENTS</v>
      </c>
      <c r="C63" t="str">
        <f>[1]ETL_Incremental!E63</f>
        <v>SERVICE_PHYSICAL_POSTCODE</v>
      </c>
      <c r="D63" t="str">
        <f>[1]ETL_Incremental!H63</f>
        <v>StringType()</v>
      </c>
      <c r="E63" s="7" t="str">
        <f t="shared" si="0"/>
        <v>DOHDA_CLIENTS</v>
      </c>
      <c r="F63" s="7" t="str">
        <f t="shared" si="1"/>
        <v>SERVICE_PHYSICAL_POSTCODE</v>
      </c>
      <c r="G63" s="7" t="s">
        <v>23</v>
      </c>
      <c r="H63" s="7" t="str">
        <f t="shared" si="2"/>
        <v>DOHDA_CLIENTS</v>
      </c>
      <c r="I63" s="7" t="str">
        <f t="shared" si="3"/>
        <v>SERVICE_PHYSICAL_POSTCODE</v>
      </c>
      <c r="J63" s="7" t="str">
        <f t="shared" si="4"/>
        <v>VARCHAR</v>
      </c>
      <c r="K63" s="7" t="str">
        <f>TRIM([1]ETL_Incremental!G63)</f>
        <v>VARCHAR(10)</v>
      </c>
      <c r="L63" s="7" t="str">
        <f>TRIM([1]ETL_Incremental!I63)</f>
        <v/>
      </c>
      <c r="M63" s="7" t="str">
        <f t="shared" si="7"/>
        <v>NULLIF(TRIM(SERVICE_PHYSICAL_POSTCODE),'')</v>
      </c>
      <c r="N63" s="7" t="str">
        <f>TRIM([1]ETL_Incremental!J63)</f>
        <v/>
      </c>
      <c r="O63" s="8" t="str">
        <f>IF(TRIM([1]Classification!$G63)="","NOT CONFIDENTIAL",TRIM([1]Classification!$G63))</f>
        <v>PERSONAL_PROVIDERINFO</v>
      </c>
      <c r="P63" s="7" t="str">
        <f t="shared" si="5"/>
        <v>Y</v>
      </c>
      <c r="Q63" s="7" t="s">
        <v>24</v>
      </c>
      <c r="R63" s="9">
        <v>2958465</v>
      </c>
      <c r="S63" s="7" t="s">
        <v>25</v>
      </c>
      <c r="T63" s="7" t="s">
        <v>26</v>
      </c>
      <c r="U63" s="7" t="str">
        <f t="shared" si="6"/>
        <v>DOHDA_CLIENTS_V</v>
      </c>
      <c r="V63" s="7" t="s">
        <v>27</v>
      </c>
    </row>
    <row r="64" spans="1:22" ht="15" x14ac:dyDescent="0.25">
      <c r="A64" t="s">
        <v>22</v>
      </c>
      <c r="B64" t="str">
        <f>[1]ETL_Incremental!C64</f>
        <v>CLIENTS</v>
      </c>
      <c r="C64" t="str">
        <f>[1]ETL_Incremental!E64</f>
        <v>SERVICE_PHYSICAL_STATE</v>
      </c>
      <c r="D64" t="str">
        <f>[1]ETL_Incremental!H64</f>
        <v>StringType()</v>
      </c>
      <c r="E64" s="7" t="str">
        <f t="shared" si="0"/>
        <v>DOHDA_CLIENTS</v>
      </c>
      <c r="F64" s="7" t="str">
        <f t="shared" si="1"/>
        <v>SERVICE_PHYSICAL_STATE</v>
      </c>
      <c r="G64" s="7" t="s">
        <v>23</v>
      </c>
      <c r="H64" s="7" t="str">
        <f t="shared" si="2"/>
        <v>DOHDA_CLIENTS</v>
      </c>
      <c r="I64" s="7" t="str">
        <f t="shared" si="3"/>
        <v>SERVICE_PHYSICAL_STATE</v>
      </c>
      <c r="J64" s="7" t="str">
        <f t="shared" si="4"/>
        <v>VARCHAR</v>
      </c>
      <c r="K64" s="7" t="str">
        <f>TRIM([1]ETL_Incremental!G64)</f>
        <v>VARCHAR(3)</v>
      </c>
      <c r="L64" s="7" t="str">
        <f>TRIM([1]ETL_Incremental!I64)</f>
        <v/>
      </c>
      <c r="M64" s="7" t="str">
        <f t="shared" si="7"/>
        <v>NULLIF(TRIM(SERVICE_PHYSICAL_STATE),'')</v>
      </c>
      <c r="N64" s="7" t="str">
        <f>TRIM([1]ETL_Incremental!J64)</f>
        <v/>
      </c>
      <c r="O64" s="8" t="str">
        <f>IF(TRIM([1]Classification!$G64)="","NOT CONFIDENTIAL",TRIM([1]Classification!$G64))</f>
        <v>PERSONAL_CONTACTINFO</v>
      </c>
      <c r="P64" s="7" t="str">
        <f t="shared" si="5"/>
        <v>Y</v>
      </c>
      <c r="Q64" s="7" t="s">
        <v>24</v>
      </c>
      <c r="R64" s="9">
        <v>2958465</v>
      </c>
      <c r="S64" s="7" t="s">
        <v>25</v>
      </c>
      <c r="T64" s="7" t="s">
        <v>26</v>
      </c>
      <c r="U64" s="7" t="str">
        <f t="shared" si="6"/>
        <v>DOHDA_CLIENTS_V</v>
      </c>
      <c r="V64" s="7" t="s">
        <v>27</v>
      </c>
    </row>
    <row r="65" spans="1:22" ht="15" x14ac:dyDescent="0.25">
      <c r="A65" t="s">
        <v>22</v>
      </c>
      <c r="B65" t="str">
        <f>[1]ETL_Incremental!C65</f>
        <v>CLIENTS</v>
      </c>
      <c r="C65" t="str">
        <f>[1]ETL_Incremental!E65</f>
        <v>SERVICE_POSTAL_ADDRESS_1</v>
      </c>
      <c r="D65" t="str">
        <f>[1]ETL_Incremental!H65</f>
        <v>StringType()</v>
      </c>
      <c r="E65" s="7" t="str">
        <f t="shared" si="0"/>
        <v>DOHDA_CLIENTS</v>
      </c>
      <c r="F65" s="7" t="str">
        <f t="shared" si="1"/>
        <v>SERVICE_POSTAL_ADDRESS_1</v>
      </c>
      <c r="G65" s="7" t="s">
        <v>23</v>
      </c>
      <c r="H65" s="7" t="str">
        <f t="shared" si="2"/>
        <v>DOHDA_CLIENTS</v>
      </c>
      <c r="I65" s="7" t="str">
        <f t="shared" si="3"/>
        <v>SERVICE_POSTAL_ADDRESS_1</v>
      </c>
      <c r="J65" s="7" t="str">
        <f t="shared" si="4"/>
        <v>VARCHAR</v>
      </c>
      <c r="K65" s="7" t="str">
        <f>TRIM([1]ETL_Incremental!G65)</f>
        <v>VARCHAR(100)</v>
      </c>
      <c r="L65" s="7" t="str">
        <f>TRIM([1]ETL_Incremental!I65)</f>
        <v/>
      </c>
      <c r="M65" s="7" t="str">
        <f t="shared" si="7"/>
        <v>NULLIF(TRIM(SERVICE_POSTAL_ADDRESS_1),'')</v>
      </c>
      <c r="N65" s="7" t="str">
        <f>TRIM([1]ETL_Incremental!J65)</f>
        <v/>
      </c>
      <c r="O65" s="8" t="str">
        <f>IF(TRIM([1]Classification!$G65)="","NOT CONFIDENTIAL",TRIM([1]Classification!$G65))</f>
        <v>PERSONAL_CONTACTINFO</v>
      </c>
      <c r="P65" s="7" t="str">
        <f t="shared" si="5"/>
        <v>Y</v>
      </c>
      <c r="Q65" s="7" t="s">
        <v>24</v>
      </c>
      <c r="R65" s="9">
        <v>2958465</v>
      </c>
      <c r="S65" s="7" t="s">
        <v>25</v>
      </c>
      <c r="T65" s="7" t="s">
        <v>26</v>
      </c>
      <c r="U65" s="7" t="str">
        <f t="shared" si="6"/>
        <v>DOHDA_CLIENTS_V</v>
      </c>
      <c r="V65" s="7" t="s">
        <v>27</v>
      </c>
    </row>
    <row r="66" spans="1:22" ht="15" x14ac:dyDescent="0.25">
      <c r="A66" t="s">
        <v>22</v>
      </c>
      <c r="B66" t="str">
        <f>[1]ETL_Incremental!C66</f>
        <v>CLIENTS</v>
      </c>
      <c r="C66" t="str">
        <f>[1]ETL_Incremental!E66</f>
        <v>SERVICE_POSTAL_ADDRESS_2</v>
      </c>
      <c r="D66" t="str">
        <f>[1]ETL_Incremental!H66</f>
        <v>StringType()</v>
      </c>
      <c r="E66" s="7" t="str">
        <f t="shared" ref="E66:E129" si="9">CONCATENATE($A66,"_",B66)</f>
        <v>DOHDA_CLIENTS</v>
      </c>
      <c r="F66" s="7" t="str">
        <f t="shared" ref="F66:F129" si="10">IF($C66="Start_Date","STRT_DT",
 IF($C66="End_Date","END_DT",
 IF($C66="Record_Deleted_Flag","RCRD_DEL_IND",
 IF($C66="IsDeleted","RCRD_DEL_IND",
 $C66
))))</f>
        <v>SERVICE_POSTAL_ADDRESS_2</v>
      </c>
      <c r="G66" s="7" t="s">
        <v>23</v>
      </c>
      <c r="H66" s="7" t="str">
        <f t="shared" ref="H66:H129" si="11">CONCATENATE($A66,"_",$B66)</f>
        <v>DOHDA_CLIENTS</v>
      </c>
      <c r="I66" s="7" t="str">
        <f t="shared" ref="I66:I129" si="12">IF($C66="Start_Date","STRT_DT",
 IF($C66="End_Date","END_DT",
 IF($C66="Record_Deleted_Flag","RCRD_DEL_IND",
 IF($C66="IsDeleted","RCRD_DEL_IND",
 $C66
))))</f>
        <v>SERVICE_POSTAL_ADDRESS_2</v>
      </c>
      <c r="J66" s="7" t="str">
        <f t="shared" ref="J66:J129" si="13">IF(LEFT(TRIM($K66),7)="VARCHAR","VARCHAR",
 IF(LEFT(TRIM($K66),4)="CHAR","VARCHAR",
 IF(TRIM($K66)="TIMESTAMP(6)","TIMESTAMP",
 IF(TRIM($K66)="DATE","DATE",
 IF(TRIM($K66)="BYTEINT","SMALLINT",
 IF(TRIM($K66)="SMALLINT","SMALLINT",
 IF(TRIM($K66)="INTEGER","INTEGER",
 IF(TRIM($K66)="BIGINT","INTEGER",
 IF(LEFT(TRIM($K66),7)="DECIMAL",TRIM($K66),
 IF(TRIM($K66)="BOOLEAN","BOOLEAN",
 IF(TRIM($K66)="DOUBLE","DOUBLE",
 IF(TRIM($K66)="FLOAT","FLOAT",
 IF(TRIM($K66)="REAL","REAL",
 IF(LEFT(TRIM($K66),6)="STRUCT","VARIANT",
 IF(LEFT(TRIM($K66),5)="ARRAY","VARIANT",
 IF(LEFT(TRIM($K66),3)="MAP","VARIANT",
 IF(LEFT(TRIM($K66),3)="ROW","VARIANT",
 "NONE"
)))))))))))))))))</f>
        <v>VARCHAR</v>
      </c>
      <c r="K66" s="7" t="str">
        <f>TRIM([1]ETL_Incremental!G66)</f>
        <v>VARCHAR(100)</v>
      </c>
      <c r="L66" s="7" t="str">
        <f>TRIM([1]ETL_Incremental!I66)</f>
        <v/>
      </c>
      <c r="M66" s="7" t="str">
        <f t="shared" si="7"/>
        <v>NULLIF(TRIM(SERVICE_POSTAL_ADDRESS_2),'')</v>
      </c>
      <c r="N66" s="7" t="str">
        <f>TRIM([1]ETL_Incremental!J66)</f>
        <v/>
      </c>
      <c r="O66" s="8" t="str">
        <f>IF(TRIM([1]Classification!$G66)="","NOT CONFIDENTIAL",TRIM([1]Classification!$G66))</f>
        <v>PERSONAL_CONTACTINFO</v>
      </c>
      <c r="P66" s="7" t="str">
        <f t="shared" ref="P66:P129" si="14">IF($C66="Start_Date","N",
 IF($C66="End_Date","N",
 IF($C66="Record_Deleted_Flag","N",
 IF($C66="IsDeleted","N",
 "Y"
))))</f>
        <v>Y</v>
      </c>
      <c r="Q66" s="7" t="s">
        <v>24</v>
      </c>
      <c r="R66" s="9">
        <v>2958465</v>
      </c>
      <c r="S66" s="7" t="s">
        <v>25</v>
      </c>
      <c r="T66" s="7" t="s">
        <v>26</v>
      </c>
      <c r="U66" s="7" t="str">
        <f t="shared" ref="U66:U129" si="15">CONCATENATE(A66,"_",B66,"_V")</f>
        <v>DOHDA_CLIENTS_V</v>
      </c>
      <c r="V66" s="7" t="s">
        <v>27</v>
      </c>
    </row>
    <row r="67" spans="1:22" ht="15" x14ac:dyDescent="0.25">
      <c r="A67" t="s">
        <v>22</v>
      </c>
      <c r="B67" t="str">
        <f>[1]ETL_Incremental!C67</f>
        <v>CLIENTS</v>
      </c>
      <c r="C67" t="str">
        <f>[1]ETL_Incremental!E67</f>
        <v>SERVICE_POSTAL_SUBURB</v>
      </c>
      <c r="D67" t="str">
        <f>[1]ETL_Incremental!H67</f>
        <v>StringType()</v>
      </c>
      <c r="E67" s="7" t="str">
        <f t="shared" si="9"/>
        <v>DOHDA_CLIENTS</v>
      </c>
      <c r="F67" s="7" t="str">
        <f t="shared" si="10"/>
        <v>SERVICE_POSTAL_SUBURB</v>
      </c>
      <c r="G67" s="7" t="s">
        <v>23</v>
      </c>
      <c r="H67" s="7" t="str">
        <f t="shared" si="11"/>
        <v>DOHDA_CLIENTS</v>
      </c>
      <c r="I67" s="7" t="str">
        <f t="shared" si="12"/>
        <v>SERVICE_POSTAL_SUBURB</v>
      </c>
      <c r="J67" s="7" t="str">
        <f t="shared" si="13"/>
        <v>VARCHAR</v>
      </c>
      <c r="K67" s="7" t="str">
        <f>TRIM([1]ETL_Incremental!G67)</f>
        <v>VARCHAR(50)</v>
      </c>
      <c r="L67" s="7" t="str">
        <f>TRIM([1]ETL_Incremental!I67)</f>
        <v/>
      </c>
      <c r="M67" s="7" t="str">
        <f t="shared" ref="M67:M130" si="16">IF(AND(LEFT($K67,7)="VARCHAR", OR(RIGHT($I67,2)="DT", RIGHT($I67,4)="DATE")), "TO_VARCHAR(TRY_TO_DATE("&amp;I67&amp;"::STRING, 'DD/MON/YY'), 'DD-MM-YYYY')",
 IF(LEFT($K67,7)="VARCHAR","NULLIF(TRIM("&amp;$I67&amp;"),'')",
 IF(LEFT($K67,4)="CHAR","NULLIF(TRIM("&amp;$I67&amp;"),'')",
 IF(LEFT($K67,7)="DECIMAL","CAST(NULLIF(TRIM("&amp;$I67&amp;"),'') AS "&amp;$K67&amp;")",
 IF($K67="TIMESTAMP(6)","TO_TIMESTAMP_NTZ(NULLIF(TRIM("&amp;$I67&amp;"),''),'YYYY-MM-DD HH24:MI:SS.FF6')",
 IF($K67="DATE","TO_DATE(NULLIF(TRIM("&amp;$I67&amp;"),'') , 'YYYY-MM-DD')",
 IF($K67="BIGINT","CAST(NULLIF(TRIM("&amp;$I67&amp;"),'') AS INTEGER)",
 IF($K67="BYTEINT","CAST(NULLIF(TRIM("&amp;$I67&amp;"),'') AS SMALLINT)",
 IF($K67="SMALLINT","CAST(NULLIF(TRIM("&amp;$I67&amp;"),'') AS SMALLINT)",
 IF($K67="INTEGER","CAST(NULLIF(TRIM("&amp;$I67&amp;"),'') AS INTEGER)",
 IF($K67="BOOLEAN","CAST(NULLIF(TRIM("&amp;$I67&amp;"),'') AS BOOLEAN)",
 IF($K67="DOUBLE","CAST(NULLIF(TRIM("&amp;$I67&amp;"),'') AS DOUBLE)",
 IF($K67="FLOAT","CAST(NULLIF(TRIM("&amp;$I67&amp;"),'') AS FLOAT)",
 IF($K67="REAL","CAST(NULLIF(TRIM("&amp;$I67&amp;"),'') AS REAL)",
 IF(OR($K67="STRUCT",$K67="ARRAY",$K67="MAP",$K67="ROW"),"CAST(NULLIF(TRIM("&amp;$I67&amp;"),'') AS VARIANT)",
 "NONE"
)))))))))))))))</f>
        <v>NULLIF(TRIM(SERVICE_POSTAL_SUBURB),'')</v>
      </c>
      <c r="N67" s="7" t="str">
        <f>TRIM([1]ETL_Incremental!J67)</f>
        <v/>
      </c>
      <c r="O67" s="8" t="str">
        <f>IF(TRIM([1]Classification!$G67)="","NOT CONFIDENTIAL",TRIM([1]Classification!$G67))</f>
        <v>PERSONAL_CONTACTINFO</v>
      </c>
      <c r="P67" s="7" t="str">
        <f t="shared" si="14"/>
        <v>Y</v>
      </c>
      <c r="Q67" s="7" t="s">
        <v>24</v>
      </c>
      <c r="R67" s="9">
        <v>2958465</v>
      </c>
      <c r="S67" s="7" t="s">
        <v>25</v>
      </c>
      <c r="T67" s="7" t="s">
        <v>26</v>
      </c>
      <c r="U67" s="7" t="str">
        <f t="shared" si="15"/>
        <v>DOHDA_CLIENTS_V</v>
      </c>
      <c r="V67" s="7" t="s">
        <v>27</v>
      </c>
    </row>
    <row r="68" spans="1:22" ht="15" x14ac:dyDescent="0.25">
      <c r="A68" t="s">
        <v>22</v>
      </c>
      <c r="B68" t="str">
        <f>[1]ETL_Incremental!C68</f>
        <v>CLIENTS</v>
      </c>
      <c r="C68" t="str">
        <f>[1]ETL_Incremental!E68</f>
        <v>SERVICE_POSTAL_POSTCODE</v>
      </c>
      <c r="D68" t="str">
        <f>[1]ETL_Incremental!H68</f>
        <v>StringType()</v>
      </c>
      <c r="E68" s="7" t="str">
        <f t="shared" si="9"/>
        <v>DOHDA_CLIENTS</v>
      </c>
      <c r="F68" s="7" t="str">
        <f t="shared" si="10"/>
        <v>SERVICE_POSTAL_POSTCODE</v>
      </c>
      <c r="G68" s="7" t="s">
        <v>23</v>
      </c>
      <c r="H68" s="7" t="str">
        <f t="shared" si="11"/>
        <v>DOHDA_CLIENTS</v>
      </c>
      <c r="I68" s="7" t="str">
        <f t="shared" si="12"/>
        <v>SERVICE_POSTAL_POSTCODE</v>
      </c>
      <c r="J68" s="7" t="str">
        <f t="shared" si="13"/>
        <v>VARCHAR</v>
      </c>
      <c r="K68" s="7" t="str">
        <f>TRIM([1]ETL_Incremental!G68)</f>
        <v>VARCHAR(10)</v>
      </c>
      <c r="L68" s="7" t="str">
        <f>TRIM([1]ETL_Incremental!I68)</f>
        <v/>
      </c>
      <c r="M68" s="7" t="str">
        <f t="shared" si="16"/>
        <v>NULLIF(TRIM(SERVICE_POSTAL_POSTCODE),'')</v>
      </c>
      <c r="N68" s="7" t="str">
        <f>TRIM([1]ETL_Incremental!J68)</f>
        <v/>
      </c>
      <c r="O68" s="8" t="str">
        <f>IF(TRIM([1]Classification!$G68)="","NOT CONFIDENTIAL",TRIM([1]Classification!$G68))</f>
        <v>PERSONAL_CONTACTINFO</v>
      </c>
      <c r="P68" s="7" t="str">
        <f t="shared" si="14"/>
        <v>Y</v>
      </c>
      <c r="Q68" s="7" t="s">
        <v>24</v>
      </c>
      <c r="R68" s="9">
        <v>2958465</v>
      </c>
      <c r="S68" s="7" t="s">
        <v>25</v>
      </c>
      <c r="T68" s="7" t="s">
        <v>26</v>
      </c>
      <c r="U68" s="7" t="str">
        <f t="shared" si="15"/>
        <v>DOHDA_CLIENTS_V</v>
      </c>
      <c r="V68" s="7" t="s">
        <v>27</v>
      </c>
    </row>
    <row r="69" spans="1:22" ht="15" x14ac:dyDescent="0.25">
      <c r="A69" t="s">
        <v>22</v>
      </c>
      <c r="B69" t="str">
        <f>[1]ETL_Incremental!C69</f>
        <v>CLIENTS</v>
      </c>
      <c r="C69" t="str">
        <f>[1]ETL_Incremental!E69</f>
        <v>SERVICE_POSTAL_STATE</v>
      </c>
      <c r="D69" t="str">
        <f>[1]ETL_Incremental!H69</f>
        <v>StringType()</v>
      </c>
      <c r="E69" s="7" t="str">
        <f t="shared" si="9"/>
        <v>DOHDA_CLIENTS</v>
      </c>
      <c r="F69" s="7" t="str">
        <f t="shared" si="10"/>
        <v>SERVICE_POSTAL_STATE</v>
      </c>
      <c r="G69" s="7" t="s">
        <v>23</v>
      </c>
      <c r="H69" s="7" t="str">
        <f t="shared" si="11"/>
        <v>DOHDA_CLIENTS</v>
      </c>
      <c r="I69" s="7" t="str">
        <f t="shared" si="12"/>
        <v>SERVICE_POSTAL_STATE</v>
      </c>
      <c r="J69" s="7" t="str">
        <f t="shared" si="13"/>
        <v>VARCHAR</v>
      </c>
      <c r="K69" s="7" t="str">
        <f>TRIM([1]ETL_Incremental!G69)</f>
        <v>VARCHAR(20)</v>
      </c>
      <c r="L69" s="7" t="str">
        <f>TRIM([1]ETL_Incremental!I69)</f>
        <v/>
      </c>
      <c r="M69" s="7" t="str">
        <f t="shared" si="16"/>
        <v>NULLIF(TRIM(SERVICE_POSTAL_STATE),'')</v>
      </c>
      <c r="N69" s="7" t="str">
        <f>TRIM([1]ETL_Incremental!J69)</f>
        <v/>
      </c>
      <c r="O69" s="8" t="str">
        <f>IF(TRIM([1]Classification!$G69)="","NOT CONFIDENTIAL",TRIM([1]Classification!$G69))</f>
        <v>PERSONAL_CONTACTINFO</v>
      </c>
      <c r="P69" s="7" t="str">
        <f t="shared" si="14"/>
        <v>Y</v>
      </c>
      <c r="Q69" s="7" t="s">
        <v>24</v>
      </c>
      <c r="R69" s="9">
        <v>2958465</v>
      </c>
      <c r="S69" s="7" t="s">
        <v>25</v>
      </c>
      <c r="T69" s="7" t="s">
        <v>26</v>
      </c>
      <c r="U69" s="7" t="str">
        <f t="shared" si="15"/>
        <v>DOHDA_CLIENTS_V</v>
      </c>
      <c r="V69" s="7" t="s">
        <v>27</v>
      </c>
    </row>
    <row r="70" spans="1:22" ht="15" x14ac:dyDescent="0.25">
      <c r="A70" t="s">
        <v>22</v>
      </c>
      <c r="B70" t="str">
        <f>[1]ETL_Incremental!C70</f>
        <v>CLIENTS</v>
      </c>
      <c r="C70" t="str">
        <f>[1]ETL_Incremental!E70</f>
        <v>ACMPS_RECIPIENT_ID</v>
      </c>
      <c r="D70" t="str">
        <f>[1]ETL_Incremental!H70</f>
        <v>StringType()</v>
      </c>
      <c r="E70" s="7" t="str">
        <f t="shared" si="9"/>
        <v>DOHDA_CLIENTS</v>
      </c>
      <c r="F70" s="7" t="str">
        <f t="shared" si="10"/>
        <v>ACMPS_RECIPIENT_ID</v>
      </c>
      <c r="G70" s="7" t="s">
        <v>23</v>
      </c>
      <c r="H70" s="7" t="str">
        <f t="shared" si="11"/>
        <v>DOHDA_CLIENTS</v>
      </c>
      <c r="I70" s="7" t="str">
        <f t="shared" si="12"/>
        <v>ACMPS_RECIPIENT_ID</v>
      </c>
      <c r="J70" s="7" t="str">
        <f t="shared" si="13"/>
        <v>VARCHAR</v>
      </c>
      <c r="K70" s="7" t="str">
        <f>TRIM([1]ETL_Incremental!G70)</f>
        <v>VARCHAR(20)</v>
      </c>
      <c r="L70" s="7" t="str">
        <f>TRIM([1]ETL_Incremental!I70)</f>
        <v/>
      </c>
      <c r="M70" s="7" t="str">
        <f t="shared" si="16"/>
        <v>NULLIF(TRIM(ACMPS_RECIPIENT_ID),'')</v>
      </c>
      <c r="N70" s="7" t="str">
        <f>TRIM([1]ETL_Incremental!J70)</f>
        <v>Y</v>
      </c>
      <c r="O70" s="8" t="str">
        <f>IF(TRIM([1]Classification!$G70)="","NOT CONFIDENTIAL",TRIM([1]Classification!$G70))</f>
        <v>NOT CONFIDENTIAL</v>
      </c>
      <c r="P70" s="7" t="str">
        <f t="shared" si="14"/>
        <v>Y</v>
      </c>
      <c r="Q70" s="7" t="s">
        <v>24</v>
      </c>
      <c r="R70" s="9">
        <v>2958465</v>
      </c>
      <c r="S70" s="7" t="s">
        <v>25</v>
      </c>
      <c r="T70" s="7" t="s">
        <v>26</v>
      </c>
      <c r="U70" s="7" t="str">
        <f t="shared" si="15"/>
        <v>DOHDA_CLIENTS_V</v>
      </c>
      <c r="V70" s="7" t="s">
        <v>27</v>
      </c>
    </row>
    <row r="71" spans="1:22" ht="15" x14ac:dyDescent="0.25">
      <c r="A71" t="s">
        <v>22</v>
      </c>
      <c r="B71" t="str">
        <f>[1]ETL_Incremental!C71</f>
        <v>CLIENTS</v>
      </c>
      <c r="C71" t="str">
        <f>[1]ETL_Incremental!E71</f>
        <v>AGED_CARE_USER_ID</v>
      </c>
      <c r="D71" t="str">
        <f>[1]ETL_Incremental!H71</f>
        <v>StringType()</v>
      </c>
      <c r="E71" s="7" t="str">
        <f t="shared" si="9"/>
        <v>DOHDA_CLIENTS</v>
      </c>
      <c r="F71" s="7" t="str">
        <f t="shared" si="10"/>
        <v>AGED_CARE_USER_ID</v>
      </c>
      <c r="G71" s="7" t="s">
        <v>23</v>
      </c>
      <c r="H71" s="7" t="str">
        <f t="shared" si="11"/>
        <v>DOHDA_CLIENTS</v>
      </c>
      <c r="I71" s="7" t="str">
        <f t="shared" si="12"/>
        <v>AGED_CARE_USER_ID</v>
      </c>
      <c r="J71" s="7" t="str">
        <f t="shared" si="13"/>
        <v>VARCHAR</v>
      </c>
      <c r="K71" s="7" t="str">
        <f>TRIM([1]ETL_Incremental!G71)</f>
        <v>VARCHAR(10)</v>
      </c>
      <c r="L71" s="7" t="str">
        <f>TRIM([1]ETL_Incremental!I71)</f>
        <v/>
      </c>
      <c r="M71" s="7" t="str">
        <f t="shared" si="16"/>
        <v>NULLIF(TRIM(AGED_CARE_USER_ID),'')</v>
      </c>
      <c r="N71" s="7" t="str">
        <f>TRIM([1]ETL_Incremental!J71)</f>
        <v>Y</v>
      </c>
      <c r="O71" s="8" t="str">
        <f>IF(TRIM([1]Classification!$G71)="","NOT CONFIDENTIAL",TRIM([1]Classification!$G71))</f>
        <v>NOT CONFIDENTIAL</v>
      </c>
      <c r="P71" s="7" t="str">
        <f t="shared" si="14"/>
        <v>Y</v>
      </c>
      <c r="Q71" s="7" t="s">
        <v>24</v>
      </c>
      <c r="R71" s="9">
        <v>2958465</v>
      </c>
      <c r="S71" s="7" t="s">
        <v>25</v>
      </c>
      <c r="T71" s="7" t="s">
        <v>26</v>
      </c>
      <c r="U71" s="7" t="str">
        <f t="shared" si="15"/>
        <v>DOHDA_CLIENTS_V</v>
      </c>
      <c r="V71" s="7" t="s">
        <v>27</v>
      </c>
    </row>
    <row r="72" spans="1:22" ht="15" x14ac:dyDescent="0.25">
      <c r="A72" t="s">
        <v>22</v>
      </c>
      <c r="B72" t="str">
        <f>[1]ETL_Incremental!C72</f>
        <v>CLIENTS</v>
      </c>
      <c r="C72" t="str">
        <f>[1]ETL_Incremental!E72</f>
        <v>SPARC_RECIPIENT_ID</v>
      </c>
      <c r="D72" t="str">
        <f>[1]ETL_Incremental!H72</f>
        <v>StringType()</v>
      </c>
      <c r="E72" s="7" t="str">
        <f t="shared" si="9"/>
        <v>DOHDA_CLIENTS</v>
      </c>
      <c r="F72" s="7" t="str">
        <f t="shared" si="10"/>
        <v>SPARC_RECIPIENT_ID</v>
      </c>
      <c r="G72" s="7" t="s">
        <v>23</v>
      </c>
      <c r="H72" s="7" t="str">
        <f t="shared" si="11"/>
        <v>DOHDA_CLIENTS</v>
      </c>
      <c r="I72" s="7" t="str">
        <f t="shared" si="12"/>
        <v>SPARC_RECIPIENT_ID</v>
      </c>
      <c r="J72" s="7" t="str">
        <f t="shared" si="13"/>
        <v>VARCHAR</v>
      </c>
      <c r="K72" s="7" t="str">
        <f>TRIM([1]ETL_Incremental!G72)</f>
        <v>VARCHAR(15)</v>
      </c>
      <c r="L72" s="7" t="str">
        <f>TRIM([1]ETL_Incremental!I72)</f>
        <v/>
      </c>
      <c r="M72" s="7" t="str">
        <f t="shared" si="16"/>
        <v>NULLIF(TRIM(SPARC_RECIPIENT_ID),'')</v>
      </c>
      <c r="N72" s="7" t="str">
        <f>TRIM([1]ETL_Incremental!J72)</f>
        <v/>
      </c>
      <c r="O72" s="8" t="str">
        <f>IF(TRIM([1]Classification!$G72)="","NOT CONFIDENTIAL",TRIM([1]Classification!$G72))</f>
        <v>NOT CONFIDENTIAL</v>
      </c>
      <c r="P72" s="7" t="str">
        <f t="shared" si="14"/>
        <v>Y</v>
      </c>
      <c r="Q72" s="7" t="s">
        <v>24</v>
      </c>
      <c r="R72" s="9">
        <v>2958465</v>
      </c>
      <c r="S72" s="7" t="s">
        <v>25</v>
      </c>
      <c r="T72" s="7" t="s">
        <v>26</v>
      </c>
      <c r="U72" s="7" t="str">
        <f t="shared" si="15"/>
        <v>DOHDA_CLIENTS_V</v>
      </c>
      <c r="V72" s="7" t="s">
        <v>27</v>
      </c>
    </row>
    <row r="73" spans="1:22" ht="15" x14ac:dyDescent="0.25">
      <c r="A73" t="s">
        <v>22</v>
      </c>
      <c r="B73" t="str">
        <f>[1]ETL_Incremental!C73</f>
        <v>CLIENTS</v>
      </c>
      <c r="C73" t="str">
        <f>[1]ETL_Incremental!E73</f>
        <v>AGED_CARE_USER_STATUS</v>
      </c>
      <c r="D73" t="str">
        <f>[1]ETL_Incremental!H73</f>
        <v>StringType()</v>
      </c>
      <c r="E73" s="7" t="str">
        <f t="shared" si="9"/>
        <v>DOHDA_CLIENTS</v>
      </c>
      <c r="F73" s="7" t="str">
        <f t="shared" si="10"/>
        <v>AGED_CARE_USER_STATUS</v>
      </c>
      <c r="G73" s="7" t="s">
        <v>23</v>
      </c>
      <c r="H73" s="7" t="str">
        <f t="shared" si="11"/>
        <v>DOHDA_CLIENTS</v>
      </c>
      <c r="I73" s="7" t="str">
        <f t="shared" si="12"/>
        <v>AGED_CARE_USER_STATUS</v>
      </c>
      <c r="J73" s="7" t="str">
        <f t="shared" si="13"/>
        <v>VARCHAR</v>
      </c>
      <c r="K73" s="7" t="str">
        <f>TRIM([1]ETL_Incremental!G73)</f>
        <v>VARCHAR(30)</v>
      </c>
      <c r="L73" s="7" t="str">
        <f>TRIM([1]ETL_Incremental!I73)</f>
        <v/>
      </c>
      <c r="M73" s="7" t="str">
        <f t="shared" si="16"/>
        <v>NULLIF(TRIM(AGED_CARE_USER_STATUS),'')</v>
      </c>
      <c r="N73" s="7" t="str">
        <f>TRIM([1]ETL_Incremental!J73)</f>
        <v/>
      </c>
      <c r="O73" s="8" t="str">
        <f>IF(TRIM([1]Classification!$G73)="","NOT CONFIDENTIAL",TRIM([1]Classification!$G73))</f>
        <v>NOT CONFIDENTIAL</v>
      </c>
      <c r="P73" s="7" t="str">
        <f t="shared" si="14"/>
        <v>Y</v>
      </c>
      <c r="Q73" s="7" t="s">
        <v>24</v>
      </c>
      <c r="R73" s="9">
        <v>2958465</v>
      </c>
      <c r="S73" s="7" t="s">
        <v>25</v>
      </c>
      <c r="T73" s="7" t="s">
        <v>26</v>
      </c>
      <c r="U73" s="7" t="str">
        <f t="shared" si="15"/>
        <v>DOHDA_CLIENTS_V</v>
      </c>
      <c r="V73" s="7" t="s">
        <v>27</v>
      </c>
    </row>
    <row r="74" spans="1:22" ht="15" x14ac:dyDescent="0.25">
      <c r="A74" t="s">
        <v>22</v>
      </c>
      <c r="B74" t="str">
        <f>[1]ETL_Incremental!C74</f>
        <v>CLIENTS</v>
      </c>
      <c r="C74" t="str">
        <f>[1]ETL_Incremental!E74</f>
        <v>DEATH_DT</v>
      </c>
      <c r="D74" t="str">
        <f>[1]ETL_Incremental!H74</f>
        <v>StringType()</v>
      </c>
      <c r="E74" s="7" t="str">
        <f t="shared" si="9"/>
        <v>DOHDA_CLIENTS</v>
      </c>
      <c r="F74" s="7" t="str">
        <f t="shared" si="10"/>
        <v>DEATH_DT</v>
      </c>
      <c r="G74" s="7" t="s">
        <v>28</v>
      </c>
      <c r="H74" s="7" t="str">
        <f t="shared" si="11"/>
        <v>DOHDA_CLIENTS</v>
      </c>
      <c r="I74" s="7" t="str">
        <f t="shared" si="12"/>
        <v>DEATH_DT</v>
      </c>
      <c r="J74" s="7" t="s">
        <v>29</v>
      </c>
      <c r="K74" s="7" t="str">
        <f>TRIM([1]ETL_Incremental!G74)</f>
        <v>VARCHAR(7)</v>
      </c>
      <c r="L74" s="7" t="s">
        <v>30</v>
      </c>
      <c r="M74" s="7" t="str">
        <f>"TO_DATE(NULLIF(TRIM("&amp;$I74&amp;"),''), 'DD/MON/YY')"</f>
        <v>TO_DATE(NULLIF(TRIM(DEATH_DT),''), 'DD/MON/YY')</v>
      </c>
      <c r="N74" s="7" t="str">
        <f>TRIM([1]ETL_Incremental!J74)</f>
        <v/>
      </c>
      <c r="O74" s="8" t="str">
        <f>IF(TRIM([1]Classification!$G74)="","NOT CONFIDENTIAL",TRIM([1]Classification!$G74))</f>
        <v>NOT CONFIDENTIAL</v>
      </c>
      <c r="P74" s="7" t="str">
        <f t="shared" si="14"/>
        <v>Y</v>
      </c>
      <c r="Q74" s="7" t="s">
        <v>24</v>
      </c>
      <c r="R74" s="9">
        <v>2958465</v>
      </c>
      <c r="S74" s="7" t="s">
        <v>25</v>
      </c>
      <c r="T74" s="7" t="s">
        <v>26</v>
      </c>
      <c r="U74" s="7" t="str">
        <f t="shared" si="15"/>
        <v>DOHDA_CLIENTS_V</v>
      </c>
      <c r="V74" s="7" t="s">
        <v>27</v>
      </c>
    </row>
    <row r="75" spans="1:22" ht="15" x14ac:dyDescent="0.25">
      <c r="A75" t="s">
        <v>22</v>
      </c>
      <c r="B75" t="str">
        <f>[1]ETL_Incremental!C75</f>
        <v>CLIENTS</v>
      </c>
      <c r="C75" t="str">
        <f>[1]ETL_Incremental!E75</f>
        <v>SERVICE_TYPE</v>
      </c>
      <c r="D75" t="str">
        <f>[1]ETL_Incremental!H75</f>
        <v>StringType()</v>
      </c>
      <c r="E75" s="7" t="str">
        <f t="shared" si="9"/>
        <v>DOHDA_CLIENTS</v>
      </c>
      <c r="F75" s="7" t="str">
        <f t="shared" si="10"/>
        <v>SERVICE_TYPE</v>
      </c>
      <c r="G75" s="7" t="s">
        <v>23</v>
      </c>
      <c r="H75" s="7" t="str">
        <f t="shared" si="11"/>
        <v>DOHDA_CLIENTS</v>
      </c>
      <c r="I75" s="7" t="str">
        <f t="shared" si="12"/>
        <v>SERVICE_TYPE</v>
      </c>
      <c r="J75" s="7" t="str">
        <f t="shared" si="13"/>
        <v>VARCHAR</v>
      </c>
      <c r="K75" s="7" t="str">
        <f>TRIM([1]ETL_Incremental!G75)</f>
        <v>VARCHAR(80)</v>
      </c>
      <c r="L75" s="7" t="str">
        <f>TRIM([1]ETL_Incremental!I75)</f>
        <v/>
      </c>
      <c r="M75" s="7" t="str">
        <f t="shared" si="16"/>
        <v>NULLIF(TRIM(SERVICE_TYPE),'')</v>
      </c>
      <c r="N75" s="7" t="str">
        <f>TRIM([1]ETL_Incremental!J75)</f>
        <v/>
      </c>
      <c r="O75" s="8" t="str">
        <f>IF(TRIM([1]Classification!$G75)="","NOT CONFIDENTIAL",TRIM([1]Classification!$G75))</f>
        <v>NOT CONFIDENTIAL</v>
      </c>
      <c r="P75" s="7" t="str">
        <f t="shared" si="14"/>
        <v>Y</v>
      </c>
      <c r="Q75" s="7" t="s">
        <v>24</v>
      </c>
      <c r="R75" s="9">
        <v>2958465</v>
      </c>
      <c r="S75" s="7" t="s">
        <v>25</v>
      </c>
      <c r="T75" s="7" t="s">
        <v>26</v>
      </c>
      <c r="U75" s="7" t="str">
        <f t="shared" si="15"/>
        <v>DOHDA_CLIENTS_V</v>
      </c>
      <c r="V75" s="7" t="s">
        <v>27</v>
      </c>
    </row>
    <row r="76" spans="1:22" ht="15" x14ac:dyDescent="0.25">
      <c r="A76" t="s">
        <v>22</v>
      </c>
      <c r="B76" t="str">
        <f>[1]ETL_Incremental!C76</f>
        <v>CLIENTS</v>
      </c>
      <c r="C76" t="str">
        <f>[1]ETL_Incremental!E76</f>
        <v>DATE_OF_BIRTH</v>
      </c>
      <c r="D76" t="str">
        <f>[1]ETL_Incremental!H76</f>
        <v>StringType()</v>
      </c>
      <c r="E76" s="7" t="str">
        <f t="shared" si="9"/>
        <v>DOHDA_CLIENTS</v>
      </c>
      <c r="F76" s="7" t="str">
        <f t="shared" si="10"/>
        <v>DATE_OF_BIRTH</v>
      </c>
      <c r="G76" s="7" t="s">
        <v>23</v>
      </c>
      <c r="H76" s="7" t="str">
        <f t="shared" si="11"/>
        <v>DOHDA_CLIENTS</v>
      </c>
      <c r="I76" s="7" t="str">
        <f t="shared" si="12"/>
        <v>DATE_OF_BIRTH</v>
      </c>
      <c r="J76" s="7" t="s">
        <v>29</v>
      </c>
      <c r="K76" s="7" t="str">
        <f>TRIM([1]ETL_Incremental!G76)</f>
        <v>VARCHAR(7)</v>
      </c>
      <c r="L76" s="7" t="s">
        <v>30</v>
      </c>
      <c r="M76" s="7" t="s">
        <v>32</v>
      </c>
      <c r="N76" s="7" t="str">
        <f>TRIM([1]ETL_Incremental!J76)</f>
        <v/>
      </c>
      <c r="O76" s="8" t="str">
        <f>IF(TRIM([1]Classification!$G76)="","NOT CONFIDENTIAL",TRIM([1]Classification!$G76))</f>
        <v>PERSONAL_OTHERINFO</v>
      </c>
      <c r="P76" s="7" t="str">
        <f t="shared" si="14"/>
        <v>Y</v>
      </c>
      <c r="Q76" s="7" t="s">
        <v>24</v>
      </c>
      <c r="R76" s="9">
        <v>2958465</v>
      </c>
      <c r="S76" s="7" t="s">
        <v>25</v>
      </c>
      <c r="T76" s="7" t="s">
        <v>26</v>
      </c>
      <c r="U76" s="7" t="str">
        <f t="shared" si="15"/>
        <v>DOHDA_CLIENTS_V</v>
      </c>
      <c r="V76" s="7" t="s">
        <v>27</v>
      </c>
    </row>
    <row r="77" spans="1:22" ht="15" x14ac:dyDescent="0.25">
      <c r="A77" t="s">
        <v>22</v>
      </c>
      <c r="B77" t="str">
        <f>[1]ETL_Incremental!C77</f>
        <v>CLIENTS</v>
      </c>
      <c r="C77" t="str">
        <f>[1]ETL_Incremental!E77</f>
        <v>FIRST_NAME</v>
      </c>
      <c r="D77" t="str">
        <f>[1]ETL_Incremental!H77</f>
        <v>StringType()</v>
      </c>
      <c r="E77" s="7" t="str">
        <f t="shared" si="9"/>
        <v>DOHDA_CLIENTS</v>
      </c>
      <c r="F77" s="7" t="str">
        <f t="shared" si="10"/>
        <v>FIRST_NAME</v>
      </c>
      <c r="G77" s="7" t="s">
        <v>23</v>
      </c>
      <c r="H77" s="7" t="str">
        <f t="shared" si="11"/>
        <v>DOHDA_CLIENTS</v>
      </c>
      <c r="I77" s="7" t="str">
        <f t="shared" si="12"/>
        <v>FIRST_NAME</v>
      </c>
      <c r="J77" s="7" t="str">
        <f t="shared" si="13"/>
        <v>VARCHAR</v>
      </c>
      <c r="K77" s="7" t="str">
        <f>TRIM([1]ETL_Incremental!G77)</f>
        <v>VARCHAR(50)</v>
      </c>
      <c r="L77" s="7" t="str">
        <f>TRIM([1]ETL_Incremental!I77)</f>
        <v/>
      </c>
      <c r="M77" s="7" t="str">
        <f t="shared" si="16"/>
        <v>NULLIF(TRIM(FIRST_NAME),'')</v>
      </c>
      <c r="N77" s="7" t="str">
        <f>TRIM([1]ETL_Incremental!J77)</f>
        <v/>
      </c>
      <c r="O77" s="8" t="str">
        <f>IF(TRIM([1]Classification!$G77)="","NOT CONFIDENTIAL",TRIM([1]Classification!$G77))</f>
        <v>PERSONAL_CONTACTINFO</v>
      </c>
      <c r="P77" s="7" t="str">
        <f t="shared" si="14"/>
        <v>Y</v>
      </c>
      <c r="Q77" s="7" t="s">
        <v>24</v>
      </c>
      <c r="R77" s="9">
        <v>2958465</v>
      </c>
      <c r="S77" s="7" t="s">
        <v>25</v>
      </c>
      <c r="T77" s="7" t="s">
        <v>26</v>
      </c>
      <c r="U77" s="7" t="str">
        <f t="shared" si="15"/>
        <v>DOHDA_CLIENTS_V</v>
      </c>
      <c r="V77" s="7" t="s">
        <v>27</v>
      </c>
    </row>
    <row r="78" spans="1:22" ht="15" x14ac:dyDescent="0.25">
      <c r="A78" t="s">
        <v>22</v>
      </c>
      <c r="B78" t="str">
        <f>[1]ETL_Incremental!C78</f>
        <v>CLIENTS</v>
      </c>
      <c r="C78" t="str">
        <f>[1]ETL_Incremental!E78</f>
        <v>MIDDLE_NAME</v>
      </c>
      <c r="D78" t="str">
        <f>[1]ETL_Incremental!H78</f>
        <v>StringType()</v>
      </c>
      <c r="E78" s="7" t="str">
        <f t="shared" si="9"/>
        <v>DOHDA_CLIENTS</v>
      </c>
      <c r="F78" s="7" t="str">
        <f t="shared" si="10"/>
        <v>MIDDLE_NAME</v>
      </c>
      <c r="G78" s="7" t="s">
        <v>23</v>
      </c>
      <c r="H78" s="7" t="str">
        <f t="shared" si="11"/>
        <v>DOHDA_CLIENTS</v>
      </c>
      <c r="I78" s="7" t="str">
        <f t="shared" si="12"/>
        <v>MIDDLE_NAME</v>
      </c>
      <c r="J78" s="7" t="str">
        <f t="shared" si="13"/>
        <v>VARCHAR</v>
      </c>
      <c r="K78" s="7" t="str">
        <f>TRIM([1]ETL_Incremental!G78)</f>
        <v>VARCHAR(50)</v>
      </c>
      <c r="L78" s="7" t="str">
        <f>TRIM([1]ETL_Incremental!I78)</f>
        <v/>
      </c>
      <c r="M78" s="7" t="str">
        <f t="shared" si="16"/>
        <v>NULLIF(TRIM(MIDDLE_NAME),'')</v>
      </c>
      <c r="N78" s="7" t="str">
        <f>TRIM([1]ETL_Incremental!J78)</f>
        <v/>
      </c>
      <c r="O78" s="8" t="str">
        <f>IF(TRIM([1]Classification!$G78)="","NOT CONFIDENTIAL",TRIM([1]Classification!$G78))</f>
        <v>PERSONAL_CONTACTINFO</v>
      </c>
      <c r="P78" s="7" t="str">
        <f t="shared" si="14"/>
        <v>Y</v>
      </c>
      <c r="Q78" s="7" t="s">
        <v>24</v>
      </c>
      <c r="R78" s="9">
        <v>2958465</v>
      </c>
      <c r="S78" s="7" t="s">
        <v>25</v>
      </c>
      <c r="T78" s="7" t="s">
        <v>26</v>
      </c>
      <c r="U78" s="7" t="str">
        <f t="shared" si="15"/>
        <v>DOHDA_CLIENTS_V</v>
      </c>
      <c r="V78" s="7" t="s">
        <v>27</v>
      </c>
    </row>
    <row r="79" spans="1:22" ht="15" x14ac:dyDescent="0.25">
      <c r="A79" t="s">
        <v>22</v>
      </c>
      <c r="B79" t="str">
        <f>[1]ETL_Incremental!C79</f>
        <v>CLIENTS</v>
      </c>
      <c r="C79" t="str">
        <f>[1]ETL_Incremental!E79</f>
        <v>SURNAME</v>
      </c>
      <c r="D79" t="str">
        <f>[1]ETL_Incremental!H79</f>
        <v>StringType()</v>
      </c>
      <c r="E79" s="7" t="str">
        <f t="shared" si="9"/>
        <v>DOHDA_CLIENTS</v>
      </c>
      <c r="F79" s="7" t="str">
        <f t="shared" si="10"/>
        <v>SURNAME</v>
      </c>
      <c r="G79" s="7" t="s">
        <v>23</v>
      </c>
      <c r="H79" s="7" t="str">
        <f t="shared" si="11"/>
        <v>DOHDA_CLIENTS</v>
      </c>
      <c r="I79" s="7" t="str">
        <f t="shared" si="12"/>
        <v>SURNAME</v>
      </c>
      <c r="J79" s="7" t="str">
        <f t="shared" si="13"/>
        <v>VARCHAR</v>
      </c>
      <c r="K79" s="7" t="str">
        <f>TRIM([1]ETL_Incremental!G79)</f>
        <v>VARCHAR(50)</v>
      </c>
      <c r="L79" s="7" t="str">
        <f>TRIM([1]ETL_Incremental!I79)</f>
        <v/>
      </c>
      <c r="M79" s="7" t="str">
        <f t="shared" si="16"/>
        <v>NULLIF(TRIM(SURNAME),'')</v>
      </c>
      <c r="N79" s="7" t="str">
        <f>TRIM([1]ETL_Incremental!J79)</f>
        <v/>
      </c>
      <c r="O79" s="8" t="str">
        <f>IF(TRIM([1]Classification!$G79)="","NOT CONFIDENTIAL",TRIM([1]Classification!$G79))</f>
        <v>PERSONAL_CONTACTINFO</v>
      </c>
      <c r="P79" s="7" t="str">
        <f t="shared" si="14"/>
        <v>Y</v>
      </c>
      <c r="Q79" s="7" t="s">
        <v>24</v>
      </c>
      <c r="R79" s="9">
        <v>2958465</v>
      </c>
      <c r="S79" s="7" t="s">
        <v>25</v>
      </c>
      <c r="T79" s="7" t="s">
        <v>26</v>
      </c>
      <c r="U79" s="7" t="str">
        <f t="shared" si="15"/>
        <v>DOHDA_CLIENTS_V</v>
      </c>
      <c r="V79" s="7" t="s">
        <v>27</v>
      </c>
    </row>
    <row r="80" spans="1:22" ht="15" x14ac:dyDescent="0.25">
      <c r="A80" t="s">
        <v>22</v>
      </c>
      <c r="B80" t="str">
        <f>[1]ETL_Incremental!C80</f>
        <v>CLIENTS</v>
      </c>
      <c r="C80" t="str">
        <f>[1]ETL_Incremental!E80</f>
        <v>GENDER</v>
      </c>
      <c r="D80" t="str">
        <f>[1]ETL_Incremental!H80</f>
        <v>StringType()</v>
      </c>
      <c r="E80" s="7" t="str">
        <f t="shared" si="9"/>
        <v>DOHDA_CLIENTS</v>
      </c>
      <c r="F80" s="7" t="str">
        <f t="shared" si="10"/>
        <v>GENDER</v>
      </c>
      <c r="G80" s="7" t="s">
        <v>23</v>
      </c>
      <c r="H80" s="7" t="str">
        <f t="shared" si="11"/>
        <v>DOHDA_CLIENTS</v>
      </c>
      <c r="I80" s="7" t="str">
        <f t="shared" si="12"/>
        <v>GENDER</v>
      </c>
      <c r="J80" s="7" t="str">
        <f t="shared" si="13"/>
        <v>VARCHAR</v>
      </c>
      <c r="K80" s="7" t="str">
        <f>TRIM([1]ETL_Incremental!G80)</f>
        <v>VARCHAR(50)</v>
      </c>
      <c r="L80" s="7" t="str">
        <f>TRIM([1]ETL_Incremental!I80)</f>
        <v/>
      </c>
      <c r="M80" s="7" t="str">
        <f t="shared" si="16"/>
        <v>NULLIF(TRIM(GENDER),'')</v>
      </c>
      <c r="N80" s="7" t="str">
        <f>TRIM([1]ETL_Incremental!J80)</f>
        <v/>
      </c>
      <c r="O80" s="8" t="str">
        <f>IF(TRIM([1]Classification!$G80)="","NOT CONFIDENTIAL",TRIM([1]Classification!$G80))</f>
        <v>NOT CONFIDENTIAL</v>
      </c>
      <c r="P80" s="7" t="str">
        <f t="shared" si="14"/>
        <v>Y</v>
      </c>
      <c r="Q80" s="7" t="s">
        <v>24</v>
      </c>
      <c r="R80" s="9">
        <v>2958465</v>
      </c>
      <c r="S80" s="7" t="s">
        <v>25</v>
      </c>
      <c r="T80" s="7" t="s">
        <v>26</v>
      </c>
      <c r="U80" s="7" t="str">
        <f t="shared" si="15"/>
        <v>DOHDA_CLIENTS_V</v>
      </c>
      <c r="V80" s="7" t="s">
        <v>27</v>
      </c>
    </row>
    <row r="81" spans="1:22" ht="15" x14ac:dyDescent="0.25">
      <c r="A81" t="s">
        <v>22</v>
      </c>
      <c r="B81" t="str">
        <f>[1]ETL_Incremental!C81</f>
        <v>CLIENTS</v>
      </c>
      <c r="C81" t="str">
        <f>[1]ETL_Incremental!E81</f>
        <v>CLIENTS_ADDRESS_LINE_1</v>
      </c>
      <c r="D81" t="str">
        <f>[1]ETL_Incremental!H81</f>
        <v>StringType()</v>
      </c>
      <c r="E81" s="7" t="str">
        <f t="shared" si="9"/>
        <v>DOHDA_CLIENTS</v>
      </c>
      <c r="F81" s="7" t="str">
        <f t="shared" si="10"/>
        <v>CLIENTS_ADDRESS_LINE_1</v>
      </c>
      <c r="G81" s="7" t="s">
        <v>23</v>
      </c>
      <c r="H81" s="7" t="str">
        <f t="shared" si="11"/>
        <v>DOHDA_CLIENTS</v>
      </c>
      <c r="I81" s="7" t="str">
        <f t="shared" si="12"/>
        <v>CLIENTS_ADDRESS_LINE_1</v>
      </c>
      <c r="J81" s="7" t="str">
        <f t="shared" si="13"/>
        <v>VARCHAR</v>
      </c>
      <c r="K81" s="7" t="str">
        <f>TRIM([1]ETL_Incremental!G81)</f>
        <v>VARCHAR(100)</v>
      </c>
      <c r="L81" s="7" t="str">
        <f>TRIM([1]ETL_Incremental!I81)</f>
        <v/>
      </c>
      <c r="M81" s="7" t="str">
        <f t="shared" si="16"/>
        <v>NULLIF(TRIM(CLIENTS_ADDRESS_LINE_1),'')</v>
      </c>
      <c r="N81" s="7" t="str">
        <f>TRIM([1]ETL_Incremental!J81)</f>
        <v/>
      </c>
      <c r="O81" s="8" t="str">
        <f>IF(TRIM([1]Classification!$G81)="","NOT CONFIDENTIAL",TRIM([1]Classification!$G81))</f>
        <v>PERSONAL_CONTACTINFO</v>
      </c>
      <c r="P81" s="7" t="str">
        <f t="shared" si="14"/>
        <v>Y</v>
      </c>
      <c r="Q81" s="7" t="s">
        <v>24</v>
      </c>
      <c r="R81" s="9">
        <v>2958465</v>
      </c>
      <c r="S81" s="7" t="s">
        <v>25</v>
      </c>
      <c r="T81" s="7" t="s">
        <v>26</v>
      </c>
      <c r="U81" s="7" t="str">
        <f t="shared" si="15"/>
        <v>DOHDA_CLIENTS_V</v>
      </c>
      <c r="V81" s="7" t="s">
        <v>27</v>
      </c>
    </row>
    <row r="82" spans="1:22" ht="15" x14ac:dyDescent="0.25">
      <c r="A82" t="s">
        <v>22</v>
      </c>
      <c r="B82" t="str">
        <f>[1]ETL_Incremental!C82</f>
        <v>CLIENTS</v>
      </c>
      <c r="C82" t="str">
        <f>[1]ETL_Incremental!E82</f>
        <v>CLIENTS_ADDRESS_LINE_2</v>
      </c>
      <c r="D82" t="str">
        <f>[1]ETL_Incremental!H82</f>
        <v>StringType()</v>
      </c>
      <c r="E82" s="7" t="str">
        <f t="shared" si="9"/>
        <v>DOHDA_CLIENTS</v>
      </c>
      <c r="F82" s="7" t="str">
        <f t="shared" si="10"/>
        <v>CLIENTS_ADDRESS_LINE_2</v>
      </c>
      <c r="G82" s="7" t="s">
        <v>23</v>
      </c>
      <c r="H82" s="7" t="str">
        <f t="shared" si="11"/>
        <v>DOHDA_CLIENTS</v>
      </c>
      <c r="I82" s="7" t="str">
        <f t="shared" si="12"/>
        <v>CLIENTS_ADDRESS_LINE_2</v>
      </c>
      <c r="J82" s="7" t="str">
        <f t="shared" si="13"/>
        <v>VARCHAR</v>
      </c>
      <c r="K82" s="7" t="str">
        <f>TRIM([1]ETL_Incremental!G82)</f>
        <v>VARCHAR(100)</v>
      </c>
      <c r="L82" s="7" t="str">
        <f>TRIM([1]ETL_Incremental!I82)</f>
        <v/>
      </c>
      <c r="M82" s="7" t="str">
        <f t="shared" si="16"/>
        <v>NULLIF(TRIM(CLIENTS_ADDRESS_LINE_2),'')</v>
      </c>
      <c r="N82" s="7" t="str">
        <f>TRIM([1]ETL_Incremental!J82)</f>
        <v/>
      </c>
      <c r="O82" s="8" t="str">
        <f>IF(TRIM([1]Classification!$G82)="","NOT CONFIDENTIAL",TRIM([1]Classification!$G82))</f>
        <v>PERSONAL_CONTACTINFO</v>
      </c>
      <c r="P82" s="7" t="str">
        <f t="shared" si="14"/>
        <v>Y</v>
      </c>
      <c r="Q82" s="7" t="s">
        <v>24</v>
      </c>
      <c r="R82" s="9">
        <v>2958465</v>
      </c>
      <c r="S82" s="7" t="s">
        <v>25</v>
      </c>
      <c r="T82" s="7" t="s">
        <v>26</v>
      </c>
      <c r="U82" s="7" t="str">
        <f t="shared" si="15"/>
        <v>DOHDA_CLIENTS_V</v>
      </c>
      <c r="V82" s="7" t="s">
        <v>27</v>
      </c>
    </row>
    <row r="83" spans="1:22" ht="15" x14ac:dyDescent="0.25">
      <c r="A83" t="s">
        <v>22</v>
      </c>
      <c r="B83" t="str">
        <f>[1]ETL_Incremental!C83</f>
        <v>CLIENTS</v>
      </c>
      <c r="C83" t="str">
        <f>[1]ETL_Incremental!E83</f>
        <v>CLIENTS_SUBURB</v>
      </c>
      <c r="D83" t="str">
        <f>[1]ETL_Incremental!H83</f>
        <v>StringType()</v>
      </c>
      <c r="E83" s="7" t="str">
        <f t="shared" si="9"/>
        <v>DOHDA_CLIENTS</v>
      </c>
      <c r="F83" s="7" t="str">
        <f t="shared" si="10"/>
        <v>CLIENTS_SUBURB</v>
      </c>
      <c r="G83" s="7" t="s">
        <v>23</v>
      </c>
      <c r="H83" s="7" t="str">
        <f t="shared" si="11"/>
        <v>DOHDA_CLIENTS</v>
      </c>
      <c r="I83" s="7" t="str">
        <f t="shared" si="12"/>
        <v>CLIENTS_SUBURB</v>
      </c>
      <c r="J83" s="7" t="str">
        <f t="shared" si="13"/>
        <v>VARCHAR</v>
      </c>
      <c r="K83" s="7" t="str">
        <f>TRIM([1]ETL_Incremental!G83)</f>
        <v>VARCHAR(50)</v>
      </c>
      <c r="L83" s="7" t="str">
        <f>TRIM([1]ETL_Incremental!I83)</f>
        <v/>
      </c>
      <c r="M83" s="7" t="str">
        <f t="shared" si="16"/>
        <v>NULLIF(TRIM(CLIENTS_SUBURB),'')</v>
      </c>
      <c r="N83" s="7" t="str">
        <f>TRIM([1]ETL_Incremental!J83)</f>
        <v/>
      </c>
      <c r="O83" s="8" t="str">
        <f>IF(TRIM([1]Classification!$G83)="","NOT CONFIDENTIAL",TRIM([1]Classification!$G83))</f>
        <v>PERSONAL_CONTACTINFO</v>
      </c>
      <c r="P83" s="7" t="str">
        <f t="shared" si="14"/>
        <v>Y</v>
      </c>
      <c r="Q83" s="7" t="s">
        <v>24</v>
      </c>
      <c r="R83" s="9">
        <v>2958465</v>
      </c>
      <c r="S83" s="7" t="s">
        <v>25</v>
      </c>
      <c r="T83" s="7" t="s">
        <v>26</v>
      </c>
      <c r="U83" s="7" t="str">
        <f t="shared" si="15"/>
        <v>DOHDA_CLIENTS_V</v>
      </c>
      <c r="V83" s="7" t="s">
        <v>27</v>
      </c>
    </row>
    <row r="84" spans="1:22" ht="15" x14ac:dyDescent="0.25">
      <c r="A84" t="s">
        <v>22</v>
      </c>
      <c r="B84" t="str">
        <f>[1]ETL_Incremental!C84</f>
        <v>CLIENTS</v>
      </c>
      <c r="C84" t="str">
        <f>[1]ETL_Incremental!E84</f>
        <v>CLIENTS_POSTCODE</v>
      </c>
      <c r="D84" t="str">
        <f>[1]ETL_Incremental!H84</f>
        <v>StringType()</v>
      </c>
      <c r="E84" s="7" t="str">
        <f t="shared" si="9"/>
        <v>DOHDA_CLIENTS</v>
      </c>
      <c r="F84" s="7" t="str">
        <f t="shared" si="10"/>
        <v>CLIENTS_POSTCODE</v>
      </c>
      <c r="G84" s="7" t="s">
        <v>23</v>
      </c>
      <c r="H84" s="7" t="str">
        <f t="shared" si="11"/>
        <v>DOHDA_CLIENTS</v>
      </c>
      <c r="I84" s="7" t="str">
        <f t="shared" si="12"/>
        <v>CLIENTS_POSTCODE</v>
      </c>
      <c r="J84" s="7" t="str">
        <f t="shared" si="13"/>
        <v>VARCHAR</v>
      </c>
      <c r="K84" s="7" t="str">
        <f>TRIM([1]ETL_Incremental!G84)</f>
        <v>VARCHAR(20)</v>
      </c>
      <c r="L84" s="7" t="str">
        <f>TRIM([1]ETL_Incremental!I84)</f>
        <v/>
      </c>
      <c r="M84" s="7" t="str">
        <f t="shared" si="16"/>
        <v>NULLIF(TRIM(CLIENTS_POSTCODE),'')</v>
      </c>
      <c r="N84" s="7" t="str">
        <f>TRIM([1]ETL_Incremental!J84)</f>
        <v/>
      </c>
      <c r="O84" s="8" t="str">
        <f>IF(TRIM([1]Classification!$G84)="","NOT CONFIDENTIAL",TRIM([1]Classification!$G84))</f>
        <v>PERSONAL_CONTACTINFO</v>
      </c>
      <c r="P84" s="7" t="str">
        <f t="shared" si="14"/>
        <v>Y</v>
      </c>
      <c r="Q84" s="7" t="s">
        <v>24</v>
      </c>
      <c r="R84" s="9">
        <v>2958465</v>
      </c>
      <c r="S84" s="7" t="s">
        <v>25</v>
      </c>
      <c r="T84" s="7" t="s">
        <v>26</v>
      </c>
      <c r="U84" s="7" t="str">
        <f t="shared" si="15"/>
        <v>DOHDA_CLIENTS_V</v>
      </c>
      <c r="V84" s="7" t="s">
        <v>27</v>
      </c>
    </row>
    <row r="85" spans="1:22" ht="15" x14ac:dyDescent="0.25">
      <c r="A85" t="s">
        <v>22</v>
      </c>
      <c r="B85" t="str">
        <f>[1]ETL_Incremental!C85</f>
        <v>CLIENTS</v>
      </c>
      <c r="C85" t="str">
        <f>[1]ETL_Incremental!E85</f>
        <v>CLIENT_STATE</v>
      </c>
      <c r="D85" t="str">
        <f>[1]ETL_Incremental!H85</f>
        <v>StringType()</v>
      </c>
      <c r="E85" s="7" t="str">
        <f t="shared" si="9"/>
        <v>DOHDA_CLIENTS</v>
      </c>
      <c r="F85" s="7" t="str">
        <f t="shared" si="10"/>
        <v>CLIENT_STATE</v>
      </c>
      <c r="G85" s="7" t="s">
        <v>23</v>
      </c>
      <c r="H85" s="7" t="str">
        <f t="shared" si="11"/>
        <v>DOHDA_CLIENTS</v>
      </c>
      <c r="I85" s="7" t="str">
        <f t="shared" si="12"/>
        <v>CLIENT_STATE</v>
      </c>
      <c r="J85" s="7" t="str">
        <f t="shared" si="13"/>
        <v>VARCHAR</v>
      </c>
      <c r="K85" s="7" t="str">
        <f>TRIM([1]ETL_Incremental!G85)</f>
        <v>VARCHAR(100)</v>
      </c>
      <c r="L85" s="7" t="str">
        <f>TRIM([1]ETL_Incremental!I85)</f>
        <v/>
      </c>
      <c r="M85" s="7" t="str">
        <f t="shared" si="16"/>
        <v>NULLIF(TRIM(CLIENT_STATE),'')</v>
      </c>
      <c r="N85" s="7" t="str">
        <f>TRIM([1]ETL_Incremental!J85)</f>
        <v/>
      </c>
      <c r="O85" s="8" t="str">
        <f>IF(TRIM([1]Classification!$G85)="","NOT CONFIDENTIAL",TRIM([1]Classification!$G85))</f>
        <v>PERSONAL_CONTACTINFO</v>
      </c>
      <c r="P85" s="7" t="str">
        <f t="shared" si="14"/>
        <v>Y</v>
      </c>
      <c r="Q85" s="7" t="s">
        <v>24</v>
      </c>
      <c r="R85" s="9">
        <v>2958465</v>
      </c>
      <c r="S85" s="7" t="s">
        <v>25</v>
      </c>
      <c r="T85" s="7" t="s">
        <v>26</v>
      </c>
      <c r="U85" s="7" t="str">
        <f t="shared" si="15"/>
        <v>DOHDA_CLIENTS_V</v>
      </c>
      <c r="V85" s="7" t="s">
        <v>27</v>
      </c>
    </row>
    <row r="86" spans="1:22" ht="15" x14ac:dyDescent="0.25">
      <c r="A86" t="s">
        <v>22</v>
      </c>
      <c r="B86" t="str">
        <f>[1]ETL_Incremental!C86</f>
        <v>CLIENTS</v>
      </c>
      <c r="C86" t="str">
        <f>[1]ETL_Incremental!E86</f>
        <v>ATSI</v>
      </c>
      <c r="D86" t="str">
        <f>[1]ETL_Incremental!H86</f>
        <v>StringType()</v>
      </c>
      <c r="E86" s="7" t="str">
        <f t="shared" si="9"/>
        <v>DOHDA_CLIENTS</v>
      </c>
      <c r="F86" s="7" t="str">
        <f t="shared" si="10"/>
        <v>ATSI</v>
      </c>
      <c r="G86" s="7" t="s">
        <v>23</v>
      </c>
      <c r="H86" s="7" t="str">
        <f t="shared" si="11"/>
        <v>DOHDA_CLIENTS</v>
      </c>
      <c r="I86" s="7" t="str">
        <f t="shared" si="12"/>
        <v>ATSI</v>
      </c>
      <c r="J86" s="7" t="str">
        <f t="shared" si="13"/>
        <v>VARCHAR</v>
      </c>
      <c r="K86" s="7" t="str">
        <f>TRIM([1]ETL_Incremental!G86)</f>
        <v>VARCHAR(75)</v>
      </c>
      <c r="L86" s="7" t="str">
        <f>TRIM([1]ETL_Incremental!I86)</f>
        <v/>
      </c>
      <c r="M86" s="7" t="str">
        <f t="shared" si="16"/>
        <v>NULLIF(TRIM(ATSI),'')</v>
      </c>
      <c r="N86" s="7" t="str">
        <f>TRIM([1]ETL_Incremental!J86)</f>
        <v/>
      </c>
      <c r="O86" s="8" t="str">
        <f>IF(TRIM([1]Classification!$G86)="","NOT CONFIDENTIAL",TRIM([1]Classification!$G86))</f>
        <v>NOT CONFIDENTIAL</v>
      </c>
      <c r="P86" s="7" t="str">
        <f t="shared" si="14"/>
        <v>Y</v>
      </c>
      <c r="Q86" s="7" t="s">
        <v>24</v>
      </c>
      <c r="R86" s="9">
        <v>2958465</v>
      </c>
      <c r="S86" s="7" t="s">
        <v>25</v>
      </c>
      <c r="T86" s="7" t="s">
        <v>26</v>
      </c>
      <c r="U86" s="7" t="str">
        <f t="shared" si="15"/>
        <v>DOHDA_CLIENTS_V</v>
      </c>
      <c r="V86" s="7" t="s">
        <v>27</v>
      </c>
    </row>
    <row r="87" spans="1:22" ht="15" x14ac:dyDescent="0.25">
      <c r="A87" t="s">
        <v>22</v>
      </c>
      <c r="B87" t="str">
        <f>[1]ETL_Incremental!C87</f>
        <v>CLIENTS</v>
      </c>
      <c r="C87" t="str">
        <f>[1]ETL_Incremental!E87</f>
        <v>ATSI_CODE</v>
      </c>
      <c r="D87" t="str">
        <f>[1]ETL_Incremental!H87</f>
        <v>StringType()</v>
      </c>
      <c r="E87" s="7" t="str">
        <f t="shared" si="9"/>
        <v>DOHDA_CLIENTS</v>
      </c>
      <c r="F87" s="7" t="str">
        <f t="shared" si="10"/>
        <v>ATSI_CODE</v>
      </c>
      <c r="G87" s="7" t="s">
        <v>23</v>
      </c>
      <c r="H87" s="7" t="str">
        <f t="shared" si="11"/>
        <v>DOHDA_CLIENTS</v>
      </c>
      <c r="I87" s="7" t="str">
        <f t="shared" si="12"/>
        <v>ATSI_CODE</v>
      </c>
      <c r="J87" s="7" t="str">
        <f t="shared" si="13"/>
        <v>VARCHAR</v>
      </c>
      <c r="K87" s="7" t="str">
        <f>TRIM([1]ETL_Incremental!G87)</f>
        <v>VARCHAR(10)</v>
      </c>
      <c r="L87" s="7" t="str">
        <f>TRIM([1]ETL_Incremental!I87)</f>
        <v/>
      </c>
      <c r="M87" s="7" t="str">
        <f t="shared" si="16"/>
        <v>NULLIF(TRIM(ATSI_CODE),'')</v>
      </c>
      <c r="N87" s="7" t="str">
        <f>TRIM([1]ETL_Incremental!J87)</f>
        <v/>
      </c>
      <c r="O87" s="8" t="str">
        <f>IF(TRIM([1]Classification!$G87)="","NOT CONFIDENTIAL",TRIM([1]Classification!$G87))</f>
        <v>NOT CONFIDENTIAL</v>
      </c>
      <c r="P87" s="7" t="str">
        <f t="shared" si="14"/>
        <v>Y</v>
      </c>
      <c r="Q87" s="7" t="s">
        <v>24</v>
      </c>
      <c r="R87" s="9">
        <v>2958465</v>
      </c>
      <c r="S87" s="7" t="s">
        <v>25</v>
      </c>
      <c r="T87" s="7" t="s">
        <v>26</v>
      </c>
      <c r="U87" s="7" t="str">
        <f t="shared" si="15"/>
        <v>DOHDA_CLIENTS_V</v>
      </c>
      <c r="V87" s="7" t="s">
        <v>27</v>
      </c>
    </row>
    <row r="88" spans="1:22" ht="15" x14ac:dyDescent="0.25">
      <c r="A88" t="s">
        <v>22</v>
      </c>
      <c r="B88" t="str">
        <f>[1]ETL_Incremental!C88</f>
        <v>CLIENTS</v>
      </c>
      <c r="C88" t="str">
        <f>[1]ETL_Incremental!E88</f>
        <v>INDIGENOUS_STATUS</v>
      </c>
      <c r="D88" t="str">
        <f>[1]ETL_Incremental!H88</f>
        <v>StringType()</v>
      </c>
      <c r="E88" s="7" t="str">
        <f t="shared" si="9"/>
        <v>DOHDA_CLIENTS</v>
      </c>
      <c r="F88" s="7" t="str">
        <f t="shared" si="10"/>
        <v>INDIGENOUS_STATUS</v>
      </c>
      <c r="G88" s="7" t="s">
        <v>23</v>
      </c>
      <c r="H88" s="7" t="str">
        <f t="shared" si="11"/>
        <v>DOHDA_CLIENTS</v>
      </c>
      <c r="I88" s="7" t="str">
        <f t="shared" si="12"/>
        <v>INDIGENOUS_STATUS</v>
      </c>
      <c r="J88" s="7" t="str">
        <f t="shared" si="13"/>
        <v>VARCHAR</v>
      </c>
      <c r="K88" s="7" t="str">
        <f>TRIM([1]ETL_Incremental!G88)</f>
        <v>VARCHAR(28)</v>
      </c>
      <c r="L88" s="7" t="str">
        <f>TRIM([1]ETL_Incremental!I88)</f>
        <v/>
      </c>
      <c r="M88" s="7" t="str">
        <f t="shared" si="16"/>
        <v>NULLIF(TRIM(INDIGENOUS_STATUS),'')</v>
      </c>
      <c r="N88" s="7" t="str">
        <f>TRIM([1]ETL_Incremental!J88)</f>
        <v/>
      </c>
      <c r="O88" s="8" t="str">
        <f>IF(TRIM([1]Classification!$G88)="","NOT CONFIDENTIAL",TRIM([1]Classification!$G88))</f>
        <v>PERSONAL_SENSITIVE_OTHERINFO</v>
      </c>
      <c r="P88" s="7" t="str">
        <f t="shared" si="14"/>
        <v>Y</v>
      </c>
      <c r="Q88" s="7" t="s">
        <v>24</v>
      </c>
      <c r="R88" s="9">
        <v>2958465</v>
      </c>
      <c r="S88" s="7" t="s">
        <v>25</v>
      </c>
      <c r="T88" s="7" t="s">
        <v>26</v>
      </c>
      <c r="U88" s="7" t="str">
        <f t="shared" si="15"/>
        <v>DOHDA_CLIENTS_V</v>
      </c>
      <c r="V88" s="7" t="s">
        <v>27</v>
      </c>
    </row>
    <row r="89" spans="1:22" ht="15" x14ac:dyDescent="0.25">
      <c r="A89" t="s">
        <v>22</v>
      </c>
      <c r="B89" t="str">
        <f>[1]ETL_Incremental!C89</f>
        <v>CLIENTS</v>
      </c>
      <c r="C89" t="str">
        <f>[1]ETL_Incremental!E89</f>
        <v>PREFERRED_LANGUAGE</v>
      </c>
      <c r="D89" t="str">
        <f>[1]ETL_Incremental!H89</f>
        <v>StringType()</v>
      </c>
      <c r="E89" s="7" t="str">
        <f t="shared" si="9"/>
        <v>DOHDA_CLIENTS</v>
      </c>
      <c r="F89" s="7" t="str">
        <f t="shared" si="10"/>
        <v>PREFERRED_LANGUAGE</v>
      </c>
      <c r="G89" s="7" t="s">
        <v>23</v>
      </c>
      <c r="H89" s="7" t="str">
        <f t="shared" si="11"/>
        <v>DOHDA_CLIENTS</v>
      </c>
      <c r="I89" s="7" t="str">
        <f t="shared" si="12"/>
        <v>PREFERRED_LANGUAGE</v>
      </c>
      <c r="J89" s="7" t="str">
        <f t="shared" si="13"/>
        <v>VARCHAR</v>
      </c>
      <c r="K89" s="7" t="str">
        <f>TRIM([1]ETL_Incremental!G89)</f>
        <v>VARCHAR(150)</v>
      </c>
      <c r="L89" s="7" t="str">
        <f>TRIM([1]ETL_Incremental!I89)</f>
        <v/>
      </c>
      <c r="M89" s="7" t="str">
        <f t="shared" si="16"/>
        <v>NULLIF(TRIM(PREFERRED_LANGUAGE),'')</v>
      </c>
      <c r="N89" s="7" t="str">
        <f>TRIM([1]ETL_Incremental!J89)</f>
        <v/>
      </c>
      <c r="O89" s="8" t="str">
        <f>IF(TRIM([1]Classification!$G89)="","NOT CONFIDENTIAL",TRIM([1]Classification!$G89))</f>
        <v>PERSONAL_OTHERINFO</v>
      </c>
      <c r="P89" s="7" t="str">
        <f t="shared" si="14"/>
        <v>Y</v>
      </c>
      <c r="Q89" s="7" t="s">
        <v>24</v>
      </c>
      <c r="R89" s="9">
        <v>2958465</v>
      </c>
      <c r="S89" s="7" t="s">
        <v>25</v>
      </c>
      <c r="T89" s="7" t="s">
        <v>26</v>
      </c>
      <c r="U89" s="7" t="str">
        <f t="shared" si="15"/>
        <v>DOHDA_CLIENTS_V</v>
      </c>
      <c r="V89" s="7" t="s">
        <v>27</v>
      </c>
    </row>
    <row r="90" spans="1:22" ht="15" x14ac:dyDescent="0.25">
      <c r="A90" t="s">
        <v>22</v>
      </c>
      <c r="B90" t="str">
        <f>[1]ETL_Incremental!C90</f>
        <v>CLIENTS</v>
      </c>
      <c r="C90" t="str">
        <f>[1]ETL_Incremental!E90</f>
        <v>AGE_AT_ADMISSION</v>
      </c>
      <c r="D90" t="str">
        <f>[1]ETL_Incremental!H90</f>
        <v>StringType()</v>
      </c>
      <c r="E90" s="7" t="str">
        <f t="shared" si="9"/>
        <v>DOHDA_CLIENTS</v>
      </c>
      <c r="F90" s="7" t="str">
        <f t="shared" si="10"/>
        <v>AGE_AT_ADMISSION</v>
      </c>
      <c r="G90" s="7" t="s">
        <v>23</v>
      </c>
      <c r="H90" s="7" t="str">
        <f t="shared" si="11"/>
        <v>DOHDA_CLIENTS</v>
      </c>
      <c r="I90" s="7" t="str">
        <f t="shared" si="12"/>
        <v>AGE_AT_ADMISSION</v>
      </c>
      <c r="J90" s="7" t="str">
        <f t="shared" si="13"/>
        <v>DECIMAL(22, 0)</v>
      </c>
      <c r="K90" s="7" t="str">
        <f>TRIM([1]ETL_Incremental!G90)</f>
        <v>DECIMAL(22, 0)</v>
      </c>
      <c r="L90" s="7" t="str">
        <f>TRIM([1]ETL_Incremental!I90)</f>
        <v/>
      </c>
      <c r="M90" s="7" t="str">
        <f t="shared" si="16"/>
        <v>CAST(NULLIF(TRIM(AGE_AT_ADMISSION),'') AS DECIMAL(22, 0))</v>
      </c>
      <c r="N90" s="7" t="str">
        <f>TRIM([1]ETL_Incremental!J90)</f>
        <v/>
      </c>
      <c r="O90" s="8" t="str">
        <f>IF(TRIM([1]Classification!$G90)="","NOT CONFIDENTIAL",TRIM([1]Classification!$G90))</f>
        <v>NOT CONFIDENTIAL</v>
      </c>
      <c r="P90" s="7" t="str">
        <f t="shared" si="14"/>
        <v>Y</v>
      </c>
      <c r="Q90" s="7" t="s">
        <v>24</v>
      </c>
      <c r="R90" s="9">
        <v>2958465</v>
      </c>
      <c r="S90" s="7" t="s">
        <v>25</v>
      </c>
      <c r="T90" s="7" t="s">
        <v>26</v>
      </c>
      <c r="U90" s="7" t="str">
        <f t="shared" si="15"/>
        <v>DOHDA_CLIENTS_V</v>
      </c>
      <c r="V90" s="7" t="s">
        <v>27</v>
      </c>
    </row>
    <row r="91" spans="1:22" ht="15" x14ac:dyDescent="0.25">
      <c r="A91" t="s">
        <v>22</v>
      </c>
      <c r="B91" t="str">
        <f>[1]ETL_Incremental!C91</f>
        <v>CLIENTS</v>
      </c>
      <c r="C91" t="str">
        <f>[1]ETL_Incremental!E91</f>
        <v>ADMISSION_TYPE</v>
      </c>
      <c r="D91" t="str">
        <f>[1]ETL_Incremental!H91</f>
        <v>StringType()</v>
      </c>
      <c r="E91" s="7" t="str">
        <f t="shared" si="9"/>
        <v>DOHDA_CLIENTS</v>
      </c>
      <c r="F91" s="7" t="str">
        <f t="shared" si="10"/>
        <v>ADMISSION_TYPE</v>
      </c>
      <c r="G91" s="7" t="s">
        <v>23</v>
      </c>
      <c r="H91" s="7" t="str">
        <f t="shared" si="11"/>
        <v>DOHDA_CLIENTS</v>
      </c>
      <c r="I91" s="7" t="str">
        <f t="shared" si="12"/>
        <v>ADMISSION_TYPE</v>
      </c>
      <c r="J91" s="7" t="str">
        <f t="shared" si="13"/>
        <v>VARCHAR</v>
      </c>
      <c r="K91" s="7" t="str">
        <f>TRIM([1]ETL_Incremental!G91)</f>
        <v>VARCHAR(20)</v>
      </c>
      <c r="L91" s="7" t="str">
        <f>TRIM([1]ETL_Incremental!I91)</f>
        <v/>
      </c>
      <c r="M91" s="7" t="str">
        <f t="shared" si="16"/>
        <v>NULLIF(TRIM(ADMISSION_TYPE),'')</v>
      </c>
      <c r="N91" s="7" t="str">
        <f>TRIM([1]ETL_Incremental!J91)</f>
        <v/>
      </c>
      <c r="O91" s="8" t="str">
        <f>IF(TRIM([1]Classification!$G91)="","NOT CONFIDENTIAL",TRIM([1]Classification!$G91))</f>
        <v>NOT CONFIDENTIAL</v>
      </c>
      <c r="P91" s="7" t="str">
        <f t="shared" si="14"/>
        <v>Y</v>
      </c>
      <c r="Q91" s="7" t="s">
        <v>24</v>
      </c>
      <c r="R91" s="9">
        <v>2958465</v>
      </c>
      <c r="S91" s="7" t="s">
        <v>25</v>
      </c>
      <c r="T91" s="7" t="s">
        <v>26</v>
      </c>
      <c r="U91" s="7" t="str">
        <f t="shared" si="15"/>
        <v>DOHDA_CLIENTS_V</v>
      </c>
      <c r="V91" s="7" t="s">
        <v>27</v>
      </c>
    </row>
    <row r="92" spans="1:22" ht="15" x14ac:dyDescent="0.25">
      <c r="A92" t="s">
        <v>22</v>
      </c>
      <c r="B92" t="str">
        <f>[1]ETL_Incremental!C92</f>
        <v>CLIENTS</v>
      </c>
      <c r="C92" t="str">
        <f>[1]ETL_Incremental!E92</f>
        <v>ADMISSION_DATE</v>
      </c>
      <c r="D92" t="str">
        <f>[1]ETL_Incremental!H92</f>
        <v>StringType()</v>
      </c>
      <c r="E92" s="7" t="str">
        <f t="shared" si="9"/>
        <v>DOHDA_CLIENTS</v>
      </c>
      <c r="F92" s="7" t="str">
        <f t="shared" si="10"/>
        <v>ADMISSION_DATE</v>
      </c>
      <c r="G92" s="7" t="s">
        <v>28</v>
      </c>
      <c r="H92" s="7" t="str">
        <f t="shared" si="11"/>
        <v>DOHDA_CLIENTS</v>
      </c>
      <c r="I92" s="7" t="str">
        <f t="shared" si="12"/>
        <v>ADMISSION_DATE</v>
      </c>
      <c r="J92" s="7" t="s">
        <v>29</v>
      </c>
      <c r="K92" s="7" t="str">
        <f>TRIM([1]ETL_Incremental!G92)</f>
        <v>VARCHAR(7)</v>
      </c>
      <c r="L92" s="7" t="s">
        <v>30</v>
      </c>
      <c r="M92" s="7" t="str">
        <f t="shared" ref="M92:M93" si="17">"TO_DATE(NULLIF(TRIM("&amp;$I92&amp;"),''), 'DD/MON/YY')"</f>
        <v>TO_DATE(NULLIF(TRIM(ADMISSION_DATE),''), 'DD/MON/YY')</v>
      </c>
      <c r="N92" s="7" t="str">
        <f>TRIM([1]ETL_Incremental!J92)</f>
        <v/>
      </c>
      <c r="O92" s="8" t="str">
        <f>IF(TRIM([1]Classification!$G92)="","NOT CONFIDENTIAL",TRIM([1]Classification!$G92))</f>
        <v>NOT CONFIDENTIAL</v>
      </c>
      <c r="P92" s="7" t="str">
        <f t="shared" si="14"/>
        <v>Y</v>
      </c>
      <c r="Q92" s="7" t="s">
        <v>24</v>
      </c>
      <c r="R92" s="9">
        <v>2958465</v>
      </c>
      <c r="S92" s="7" t="s">
        <v>25</v>
      </c>
      <c r="T92" s="7" t="s">
        <v>26</v>
      </c>
      <c r="U92" s="7" t="str">
        <f t="shared" si="15"/>
        <v>DOHDA_CLIENTS_V</v>
      </c>
      <c r="V92" s="7" t="s">
        <v>27</v>
      </c>
    </row>
    <row r="93" spans="1:22" ht="15" x14ac:dyDescent="0.25">
      <c r="A93" t="s">
        <v>22</v>
      </c>
      <c r="B93" t="str">
        <f>[1]ETL_Incremental!C93</f>
        <v>CLIENTS</v>
      </c>
      <c r="C93" t="str">
        <f>[1]ETL_Incremental!E93</f>
        <v>DISCHARGE_DATE</v>
      </c>
      <c r="D93" t="str">
        <f>[1]ETL_Incremental!H93</f>
        <v>StringType()</v>
      </c>
      <c r="E93" s="7" t="str">
        <f t="shared" si="9"/>
        <v>DOHDA_CLIENTS</v>
      </c>
      <c r="F93" s="7" t="str">
        <f t="shared" si="10"/>
        <v>DISCHARGE_DATE</v>
      </c>
      <c r="G93" s="7" t="s">
        <v>28</v>
      </c>
      <c r="H93" s="7" t="str">
        <f t="shared" si="11"/>
        <v>DOHDA_CLIENTS</v>
      </c>
      <c r="I93" s="7" t="str">
        <f t="shared" si="12"/>
        <v>DISCHARGE_DATE</v>
      </c>
      <c r="J93" s="7" t="s">
        <v>29</v>
      </c>
      <c r="K93" s="7" t="str">
        <f>TRIM([1]ETL_Incremental!G93)</f>
        <v>VARCHAR(7)</v>
      </c>
      <c r="L93" s="7" t="s">
        <v>30</v>
      </c>
      <c r="M93" s="7" t="str">
        <f t="shared" si="17"/>
        <v>TO_DATE(NULLIF(TRIM(DISCHARGE_DATE),''), 'DD/MON/YY')</v>
      </c>
      <c r="N93" s="7" t="str">
        <f>TRIM([1]ETL_Incremental!J93)</f>
        <v/>
      </c>
      <c r="O93" s="8" t="str">
        <f>IF(TRIM([1]Classification!$G93)="","NOT CONFIDENTIAL",TRIM([1]Classification!$G93))</f>
        <v>NOT CONFIDENTIAL</v>
      </c>
      <c r="P93" s="7" t="str">
        <f t="shared" si="14"/>
        <v>Y</v>
      </c>
      <c r="Q93" s="7" t="s">
        <v>24</v>
      </c>
      <c r="R93" s="9">
        <v>2958465</v>
      </c>
      <c r="S93" s="7" t="s">
        <v>25</v>
      </c>
      <c r="T93" s="7" t="s">
        <v>26</v>
      </c>
      <c r="U93" s="7" t="str">
        <f t="shared" si="15"/>
        <v>DOHDA_CLIENTS_V</v>
      </c>
      <c r="V93" s="7" t="s">
        <v>27</v>
      </c>
    </row>
    <row r="94" spans="1:22" ht="15" x14ac:dyDescent="0.25">
      <c r="A94" t="s">
        <v>22</v>
      </c>
      <c r="B94" t="str">
        <f>[1]ETL_Incremental!C94</f>
        <v>CLIENTS</v>
      </c>
      <c r="C94" t="str">
        <f>[1]ETL_Incremental!E94</f>
        <v>DISCHARGE_REASON</v>
      </c>
      <c r="D94" t="str">
        <f>[1]ETL_Incremental!H94</f>
        <v>StringType()</v>
      </c>
      <c r="E94" s="7" t="str">
        <f t="shared" si="9"/>
        <v>DOHDA_CLIENTS</v>
      </c>
      <c r="F94" s="7" t="str">
        <f t="shared" si="10"/>
        <v>DISCHARGE_REASON</v>
      </c>
      <c r="G94" s="7" t="s">
        <v>23</v>
      </c>
      <c r="H94" s="7" t="str">
        <f t="shared" si="11"/>
        <v>DOHDA_CLIENTS</v>
      </c>
      <c r="I94" s="7" t="str">
        <f t="shared" si="12"/>
        <v>DISCHARGE_REASON</v>
      </c>
      <c r="J94" s="7" t="str">
        <f t="shared" si="13"/>
        <v>VARCHAR</v>
      </c>
      <c r="K94" s="7" t="str">
        <f>TRIM([1]ETL_Incremental!G94)</f>
        <v>VARCHAR(100)</v>
      </c>
      <c r="L94" s="7" t="str">
        <f>TRIM([1]ETL_Incremental!I94)</f>
        <v/>
      </c>
      <c r="M94" s="7" t="str">
        <f t="shared" si="16"/>
        <v>NULLIF(TRIM(DISCHARGE_REASON),'')</v>
      </c>
      <c r="N94" s="7" t="str">
        <f>TRIM([1]ETL_Incremental!J94)</f>
        <v/>
      </c>
      <c r="O94" s="8" t="str">
        <f>IF(TRIM([1]Classification!$G94)="","NOT CONFIDENTIAL",TRIM([1]Classification!$G94))</f>
        <v>NOT CONFIDENTIAL</v>
      </c>
      <c r="P94" s="7" t="str">
        <f t="shared" si="14"/>
        <v>Y</v>
      </c>
      <c r="Q94" s="7" t="s">
        <v>24</v>
      </c>
      <c r="R94" s="9">
        <v>2958465</v>
      </c>
      <c r="S94" s="7" t="s">
        <v>25</v>
      </c>
      <c r="T94" s="7" t="s">
        <v>26</v>
      </c>
      <c r="U94" s="7" t="str">
        <f t="shared" si="15"/>
        <v>DOHDA_CLIENTS_V</v>
      </c>
      <c r="V94" s="7" t="s">
        <v>27</v>
      </c>
    </row>
    <row r="95" spans="1:22" ht="15" x14ac:dyDescent="0.25">
      <c r="A95" t="s">
        <v>22</v>
      </c>
      <c r="B95" t="str">
        <f>[1]ETL_Incremental!C95</f>
        <v>CLIENTS</v>
      </c>
      <c r="C95" t="str">
        <f>[1]ETL_Incremental!E95</f>
        <v>FIRST_ADMISSION_IND</v>
      </c>
      <c r="D95" t="str">
        <f>[1]ETL_Incremental!H95</f>
        <v>StringType()</v>
      </c>
      <c r="E95" s="7" t="str">
        <f t="shared" si="9"/>
        <v>DOHDA_CLIENTS</v>
      </c>
      <c r="F95" s="7" t="str">
        <f t="shared" si="10"/>
        <v>FIRST_ADMISSION_IND</v>
      </c>
      <c r="G95" s="7" t="s">
        <v>23</v>
      </c>
      <c r="H95" s="7" t="str">
        <f t="shared" si="11"/>
        <v>DOHDA_CLIENTS</v>
      </c>
      <c r="I95" s="7" t="str">
        <f t="shared" si="12"/>
        <v>FIRST_ADMISSION_IND</v>
      </c>
      <c r="J95" s="7" t="str">
        <f t="shared" si="13"/>
        <v>VARCHAR</v>
      </c>
      <c r="K95" s="7" t="str">
        <f>TRIM([1]ETL_Incremental!G95)</f>
        <v>VARCHAR(1)</v>
      </c>
      <c r="L95" s="7" t="str">
        <f>TRIM([1]ETL_Incremental!I95)</f>
        <v/>
      </c>
      <c r="M95" s="7" t="str">
        <f t="shared" si="16"/>
        <v>NULLIF(TRIM(FIRST_ADMISSION_IND),'')</v>
      </c>
      <c r="N95" s="7" t="str">
        <f>TRIM([1]ETL_Incremental!J95)</f>
        <v/>
      </c>
      <c r="O95" s="8" t="str">
        <f>IF(TRIM([1]Classification!$G95)="","NOT CONFIDENTIAL",TRIM([1]Classification!$G95))</f>
        <v>NOT CONFIDENTIAL</v>
      </c>
      <c r="P95" s="7" t="str">
        <f t="shared" si="14"/>
        <v>Y</v>
      </c>
      <c r="Q95" s="7" t="s">
        <v>24</v>
      </c>
      <c r="R95" s="9">
        <v>2958465</v>
      </c>
      <c r="S95" s="7" t="s">
        <v>25</v>
      </c>
      <c r="T95" s="7" t="s">
        <v>26</v>
      </c>
      <c r="U95" s="7" t="str">
        <f t="shared" si="15"/>
        <v>DOHDA_CLIENTS_V</v>
      </c>
      <c r="V95" s="7" t="s">
        <v>27</v>
      </c>
    </row>
    <row r="96" spans="1:22" ht="15" x14ac:dyDescent="0.25">
      <c r="A96" t="s">
        <v>22</v>
      </c>
      <c r="B96" t="str">
        <f>[1]ETL_Incremental!C96</f>
        <v>CLIENTS</v>
      </c>
      <c r="C96" t="str">
        <f>[1]ETL_Incremental!E96</f>
        <v>LAST_DISCHARGE_IND</v>
      </c>
      <c r="D96" t="str">
        <f>[1]ETL_Incremental!H96</f>
        <v>StringType()</v>
      </c>
      <c r="E96" s="7" t="str">
        <f t="shared" si="9"/>
        <v>DOHDA_CLIENTS</v>
      </c>
      <c r="F96" s="7" t="str">
        <f t="shared" si="10"/>
        <v>LAST_DISCHARGE_IND</v>
      </c>
      <c r="G96" s="7" t="s">
        <v>23</v>
      </c>
      <c r="H96" s="7" t="str">
        <f t="shared" si="11"/>
        <v>DOHDA_CLIENTS</v>
      </c>
      <c r="I96" s="7" t="str">
        <f t="shared" si="12"/>
        <v>LAST_DISCHARGE_IND</v>
      </c>
      <c r="J96" s="7" t="str">
        <f t="shared" si="13"/>
        <v>VARCHAR</v>
      </c>
      <c r="K96" s="7" t="str">
        <f>TRIM([1]ETL_Incremental!G96)</f>
        <v>VARCHAR(1)</v>
      </c>
      <c r="L96" s="7" t="str">
        <f>TRIM([1]ETL_Incremental!I96)</f>
        <v/>
      </c>
      <c r="M96" s="7" t="str">
        <f t="shared" si="16"/>
        <v>NULLIF(TRIM(LAST_DISCHARGE_IND),'')</v>
      </c>
      <c r="N96" s="7" t="str">
        <f>TRIM([1]ETL_Incremental!J96)</f>
        <v/>
      </c>
      <c r="O96" s="8" t="str">
        <f>IF(TRIM([1]Classification!$G96)="","NOT CONFIDENTIAL",TRIM([1]Classification!$G96))</f>
        <v>NOT CONFIDENTIAL</v>
      </c>
      <c r="P96" s="7" t="str">
        <f t="shared" si="14"/>
        <v>Y</v>
      </c>
      <c r="Q96" s="7" t="s">
        <v>24</v>
      </c>
      <c r="R96" s="9">
        <v>2958465</v>
      </c>
      <c r="S96" s="7" t="s">
        <v>25</v>
      </c>
      <c r="T96" s="7" t="s">
        <v>26</v>
      </c>
      <c r="U96" s="7" t="str">
        <f t="shared" si="15"/>
        <v>DOHDA_CLIENTS_V</v>
      </c>
      <c r="V96" s="7" t="s">
        <v>27</v>
      </c>
    </row>
    <row r="97" spans="1:22" ht="15" x14ac:dyDescent="0.25">
      <c r="A97" t="s">
        <v>22</v>
      </c>
      <c r="B97" t="str">
        <f>[1]ETL_Incremental!C97</f>
        <v>CLIENTS</v>
      </c>
      <c r="C97" t="str">
        <f>[1]ETL_Incremental!E97</f>
        <v>FIRST_PERM_RESI_ADMISSION_DATE</v>
      </c>
      <c r="D97" t="str">
        <f>[1]ETL_Incremental!H97</f>
        <v>StringType()</v>
      </c>
      <c r="E97" s="7" t="str">
        <f t="shared" si="9"/>
        <v>DOHDA_CLIENTS</v>
      </c>
      <c r="F97" s="7" t="str">
        <f t="shared" si="10"/>
        <v>FIRST_PERM_RESI_ADMISSION_DATE</v>
      </c>
      <c r="G97" s="7" t="s">
        <v>28</v>
      </c>
      <c r="H97" s="7" t="str">
        <f t="shared" si="11"/>
        <v>DOHDA_CLIENTS</v>
      </c>
      <c r="I97" s="7" t="str">
        <f t="shared" si="12"/>
        <v>FIRST_PERM_RESI_ADMISSION_DATE</v>
      </c>
      <c r="J97" s="7" t="s">
        <v>29</v>
      </c>
      <c r="K97" s="7" t="str">
        <f>TRIM([1]ETL_Incremental!G97)</f>
        <v>VARCHAR(7)</v>
      </c>
      <c r="L97" s="7" t="s">
        <v>30</v>
      </c>
      <c r="M97" s="7" t="str">
        <f t="shared" ref="M97:M98" si="18">"TO_DATE(NULLIF(TRIM("&amp;$I97&amp;"),''), 'DD/MON/YY')"</f>
        <v>TO_DATE(NULLIF(TRIM(FIRST_PERM_RESI_ADMISSION_DATE),''), 'DD/MON/YY')</v>
      </c>
      <c r="N97" s="7" t="str">
        <f>TRIM([1]ETL_Incremental!J97)</f>
        <v/>
      </c>
      <c r="O97" s="8" t="str">
        <f>IF(TRIM([1]Classification!$G97)="","NOT CONFIDENTIAL",TRIM([1]Classification!$G97))</f>
        <v>NOT CONFIDENTIAL</v>
      </c>
      <c r="P97" s="7" t="str">
        <f t="shared" si="14"/>
        <v>Y</v>
      </c>
      <c r="Q97" s="7" t="s">
        <v>24</v>
      </c>
      <c r="R97" s="9">
        <v>2958465</v>
      </c>
      <c r="S97" s="7" t="s">
        <v>25</v>
      </c>
      <c r="T97" s="7" t="s">
        <v>26</v>
      </c>
      <c r="U97" s="7" t="str">
        <f t="shared" si="15"/>
        <v>DOHDA_CLIENTS_V</v>
      </c>
      <c r="V97" s="7" t="s">
        <v>27</v>
      </c>
    </row>
    <row r="98" spans="1:22" ht="15" x14ac:dyDescent="0.25">
      <c r="A98" t="s">
        <v>22</v>
      </c>
      <c r="B98" t="str">
        <f>[1]ETL_Incremental!C98</f>
        <v>CLIENTS</v>
      </c>
      <c r="C98" t="str">
        <f>[1]ETL_Incremental!E98</f>
        <v>FIRST_PERM_RESI_DISCHARGE_DATE</v>
      </c>
      <c r="D98" t="str">
        <f>[1]ETL_Incremental!H98</f>
        <v>StringType()</v>
      </c>
      <c r="E98" s="7" t="str">
        <f t="shared" si="9"/>
        <v>DOHDA_CLIENTS</v>
      </c>
      <c r="F98" s="7" t="str">
        <f t="shared" si="10"/>
        <v>FIRST_PERM_RESI_DISCHARGE_DATE</v>
      </c>
      <c r="G98" s="7" t="s">
        <v>28</v>
      </c>
      <c r="H98" s="7" t="str">
        <f t="shared" si="11"/>
        <v>DOHDA_CLIENTS</v>
      </c>
      <c r="I98" s="7" t="str">
        <f t="shared" si="12"/>
        <v>FIRST_PERM_RESI_DISCHARGE_DATE</v>
      </c>
      <c r="J98" s="7" t="s">
        <v>29</v>
      </c>
      <c r="K98" s="7" t="str">
        <f>TRIM([1]ETL_Incremental!G98)</f>
        <v>VARCHAR(7)</v>
      </c>
      <c r="L98" s="7" t="s">
        <v>30</v>
      </c>
      <c r="M98" s="7" t="str">
        <f t="shared" si="18"/>
        <v>TO_DATE(NULLIF(TRIM(FIRST_PERM_RESI_DISCHARGE_DATE),''), 'DD/MON/YY')</v>
      </c>
      <c r="N98" s="7" t="str">
        <f>TRIM([1]ETL_Incremental!J98)</f>
        <v/>
      </c>
      <c r="O98" s="8" t="str">
        <f>IF(TRIM([1]Classification!$G98)="","NOT CONFIDENTIAL",TRIM([1]Classification!$G98))</f>
        <v>NOT CONFIDENTIAL</v>
      </c>
      <c r="P98" s="7" t="str">
        <f t="shared" si="14"/>
        <v>Y</v>
      </c>
      <c r="Q98" s="7" t="s">
        <v>24</v>
      </c>
      <c r="R98" s="9">
        <v>2958465</v>
      </c>
      <c r="S98" s="7" t="s">
        <v>25</v>
      </c>
      <c r="T98" s="7" t="s">
        <v>26</v>
      </c>
      <c r="U98" s="7" t="str">
        <f t="shared" si="15"/>
        <v>DOHDA_CLIENTS_V</v>
      </c>
      <c r="V98" s="7" t="s">
        <v>27</v>
      </c>
    </row>
    <row r="99" spans="1:22" ht="15" x14ac:dyDescent="0.25">
      <c r="A99" t="s">
        <v>22</v>
      </c>
      <c r="B99" t="str">
        <f>[1]ETL_Incremental!C99</f>
        <v>CLIENTS</v>
      </c>
      <c r="C99" t="str">
        <f>[1]ETL_Incremental!E99</f>
        <v>INADEQUATE_HOUSING_INDICATOR</v>
      </c>
      <c r="D99" t="str">
        <f>[1]ETL_Incremental!H99</f>
        <v>StringType()</v>
      </c>
      <c r="E99" s="7" t="str">
        <f t="shared" si="9"/>
        <v>DOHDA_CLIENTS</v>
      </c>
      <c r="F99" s="7" t="str">
        <f t="shared" si="10"/>
        <v>INADEQUATE_HOUSING_INDICATOR</v>
      </c>
      <c r="G99" s="7" t="s">
        <v>23</v>
      </c>
      <c r="H99" s="7" t="str">
        <f t="shared" si="11"/>
        <v>DOHDA_CLIENTS</v>
      </c>
      <c r="I99" s="7" t="str">
        <f t="shared" si="12"/>
        <v>INADEQUATE_HOUSING_INDICATOR</v>
      </c>
      <c r="J99" s="7" t="str">
        <f t="shared" si="13"/>
        <v>VARCHAR</v>
      </c>
      <c r="K99" s="7" t="str">
        <f>TRIM([1]ETL_Incremental!G99)</f>
        <v>VARCHAR(1)</v>
      </c>
      <c r="L99" s="7" t="str">
        <f>TRIM([1]ETL_Incremental!I99)</f>
        <v/>
      </c>
      <c r="M99" s="7" t="str">
        <f t="shared" si="16"/>
        <v>NULLIF(TRIM(INADEQUATE_HOUSING_INDICATOR),'')</v>
      </c>
      <c r="N99" s="7" t="str">
        <f>TRIM([1]ETL_Incremental!J99)</f>
        <v/>
      </c>
      <c r="O99" s="8" t="str">
        <f>IF(TRIM([1]Classification!$G99)="","NOT CONFIDENTIAL",TRIM([1]Classification!$G99))</f>
        <v>NOT CONFIDENTIAL</v>
      </c>
      <c r="P99" s="7" t="str">
        <f t="shared" si="14"/>
        <v>Y</v>
      </c>
      <c r="Q99" s="7" t="s">
        <v>24</v>
      </c>
      <c r="R99" s="9">
        <v>2958465</v>
      </c>
      <c r="S99" s="7" t="s">
        <v>25</v>
      </c>
      <c r="T99" s="7" t="s">
        <v>26</v>
      </c>
      <c r="U99" s="7" t="str">
        <f t="shared" si="15"/>
        <v>DOHDA_CLIENTS_V</v>
      </c>
      <c r="V99" s="7" t="s">
        <v>27</v>
      </c>
    </row>
    <row r="100" spans="1:22" ht="15" x14ac:dyDescent="0.25">
      <c r="A100" t="s">
        <v>22</v>
      </c>
      <c r="B100" t="str">
        <f>[1]ETL_Incremental!C100</f>
        <v>CLIENTS</v>
      </c>
      <c r="C100" t="str">
        <f>[1]ETL_Incremental!E100</f>
        <v>SERVICE_CONTACT_PHONE</v>
      </c>
      <c r="D100" t="str">
        <f>[1]ETL_Incremental!H100</f>
        <v>StringType()</v>
      </c>
      <c r="E100" s="7" t="str">
        <f t="shared" si="9"/>
        <v>DOHDA_CLIENTS</v>
      </c>
      <c r="F100" s="7" t="str">
        <f t="shared" si="10"/>
        <v>SERVICE_CONTACT_PHONE</v>
      </c>
      <c r="G100" s="7" t="s">
        <v>23</v>
      </c>
      <c r="H100" s="7" t="str">
        <f t="shared" si="11"/>
        <v>DOHDA_CLIENTS</v>
      </c>
      <c r="I100" s="7" t="str">
        <f t="shared" si="12"/>
        <v>SERVICE_CONTACT_PHONE</v>
      </c>
      <c r="J100" s="7" t="str">
        <f t="shared" si="13"/>
        <v>VARCHAR</v>
      </c>
      <c r="K100" s="7" t="str">
        <f>TRIM([1]ETL_Incremental!G100)</f>
        <v>VARCHAR(20)</v>
      </c>
      <c r="L100" s="7" t="str">
        <f>TRIM([1]ETL_Incremental!I100)</f>
        <v/>
      </c>
      <c r="M100" s="7" t="str">
        <f t="shared" si="16"/>
        <v>NULLIF(TRIM(SERVICE_CONTACT_PHONE),'')</v>
      </c>
      <c r="N100" s="7" t="str">
        <f>TRIM([1]ETL_Incremental!J100)</f>
        <v/>
      </c>
      <c r="O100" s="8" t="str">
        <f>IF(TRIM([1]Classification!$G100)="","NOT CONFIDENTIAL",TRIM([1]Classification!$G100))</f>
        <v>PERSONAL_PROVIDERINFO</v>
      </c>
      <c r="P100" s="7" t="str">
        <f t="shared" si="14"/>
        <v>Y</v>
      </c>
      <c r="Q100" s="7" t="s">
        <v>24</v>
      </c>
      <c r="R100" s="9">
        <v>2958465</v>
      </c>
      <c r="S100" s="7" t="s">
        <v>25</v>
      </c>
      <c r="T100" s="7" t="s">
        <v>26</v>
      </c>
      <c r="U100" s="7" t="str">
        <f t="shared" si="15"/>
        <v>DOHDA_CLIENTS_V</v>
      </c>
      <c r="V100" s="7" t="s">
        <v>27</v>
      </c>
    </row>
    <row r="101" spans="1:22" ht="15" x14ac:dyDescent="0.25">
      <c r="A101" t="s">
        <v>22</v>
      </c>
      <c r="B101" t="str">
        <f>[1]ETL_Incremental!C101</f>
        <v>CLIENTS</v>
      </c>
      <c r="C101" t="str">
        <f>[1]ETL_Incremental!E101</f>
        <v>PROVIDER_CONTACT_PHONE</v>
      </c>
      <c r="D101" t="str">
        <f>[1]ETL_Incremental!H101</f>
        <v>StringType()</v>
      </c>
      <c r="E101" s="7" t="str">
        <f t="shared" si="9"/>
        <v>DOHDA_CLIENTS</v>
      </c>
      <c r="F101" s="7" t="str">
        <f t="shared" si="10"/>
        <v>PROVIDER_CONTACT_PHONE</v>
      </c>
      <c r="G101" s="7" t="s">
        <v>23</v>
      </c>
      <c r="H101" s="7" t="str">
        <f t="shared" si="11"/>
        <v>DOHDA_CLIENTS</v>
      </c>
      <c r="I101" s="7" t="str">
        <f t="shared" si="12"/>
        <v>PROVIDER_CONTACT_PHONE</v>
      </c>
      <c r="J101" s="7" t="str">
        <f t="shared" si="13"/>
        <v>VARCHAR</v>
      </c>
      <c r="K101" s="7" t="str">
        <f>TRIM([1]ETL_Incremental!G101)</f>
        <v>VARCHAR(50)</v>
      </c>
      <c r="L101" s="7" t="str">
        <f>TRIM([1]ETL_Incremental!I101)</f>
        <v/>
      </c>
      <c r="M101" s="7" t="str">
        <f t="shared" si="16"/>
        <v>NULLIF(TRIM(PROVIDER_CONTACT_PHONE),'')</v>
      </c>
      <c r="N101" s="7" t="str">
        <f>TRIM([1]ETL_Incremental!J101)</f>
        <v/>
      </c>
      <c r="O101" s="8" t="str">
        <f>IF(TRIM([1]Classification!$G101)="","NOT CONFIDENTIAL",TRIM([1]Classification!$G101))</f>
        <v>PERSONAL_PROVIDERINFO</v>
      </c>
      <c r="P101" s="7" t="str">
        <f t="shared" si="14"/>
        <v>Y</v>
      </c>
      <c r="Q101" s="7" t="s">
        <v>24</v>
      </c>
      <c r="R101" s="9">
        <v>2958465</v>
      </c>
      <c r="S101" s="7" t="s">
        <v>25</v>
      </c>
      <c r="T101" s="7" t="s">
        <v>26</v>
      </c>
      <c r="U101" s="7" t="str">
        <f t="shared" si="15"/>
        <v>DOHDA_CLIENTS_V</v>
      </c>
      <c r="V101" s="7" t="s">
        <v>27</v>
      </c>
    </row>
    <row r="102" spans="1:22" ht="15" x14ac:dyDescent="0.25">
      <c r="A102" t="s">
        <v>22</v>
      </c>
      <c r="B102" t="str">
        <f>[1]ETL_Incremental!C102</f>
        <v>CLIENTS</v>
      </c>
      <c r="C102" t="str">
        <f>[1]ETL_Incremental!E102</f>
        <v>SERVICE_CONTACT_EMAIL</v>
      </c>
      <c r="D102" t="str">
        <f>[1]ETL_Incremental!H102</f>
        <v>StringType()</v>
      </c>
      <c r="E102" s="7" t="str">
        <f t="shared" si="9"/>
        <v>DOHDA_CLIENTS</v>
      </c>
      <c r="F102" s="7" t="str">
        <f t="shared" si="10"/>
        <v>SERVICE_CONTACT_EMAIL</v>
      </c>
      <c r="G102" s="7" t="s">
        <v>23</v>
      </c>
      <c r="H102" s="7" t="str">
        <f t="shared" si="11"/>
        <v>DOHDA_CLIENTS</v>
      </c>
      <c r="I102" s="7" t="str">
        <f t="shared" si="12"/>
        <v>SERVICE_CONTACT_EMAIL</v>
      </c>
      <c r="J102" s="7" t="str">
        <f t="shared" si="13"/>
        <v>VARCHAR</v>
      </c>
      <c r="K102" s="7" t="str">
        <f>TRIM([1]ETL_Incremental!G102)</f>
        <v>VARCHAR(80)</v>
      </c>
      <c r="L102" s="7" t="str">
        <f>TRIM([1]ETL_Incremental!I102)</f>
        <v/>
      </c>
      <c r="M102" s="7" t="str">
        <f t="shared" si="16"/>
        <v>NULLIF(TRIM(SERVICE_CONTACT_EMAIL),'')</v>
      </c>
      <c r="N102" s="7" t="str">
        <f>TRIM([1]ETL_Incremental!J102)</f>
        <v/>
      </c>
      <c r="O102" s="8" t="str">
        <f>IF(TRIM([1]Classification!$G102)="","NOT CONFIDENTIAL",TRIM([1]Classification!$G102))</f>
        <v>PERSONAL_PROVIDERINFO</v>
      </c>
      <c r="P102" s="7" t="str">
        <f t="shared" si="14"/>
        <v>Y</v>
      </c>
      <c r="Q102" s="7" t="s">
        <v>24</v>
      </c>
      <c r="R102" s="9">
        <v>2958465</v>
      </c>
      <c r="S102" s="7" t="s">
        <v>25</v>
      </c>
      <c r="T102" s="7" t="s">
        <v>26</v>
      </c>
      <c r="U102" s="7" t="str">
        <f t="shared" si="15"/>
        <v>DOHDA_CLIENTS_V</v>
      </c>
      <c r="V102" s="7" t="s">
        <v>27</v>
      </c>
    </row>
    <row r="103" spans="1:22" ht="15" x14ac:dyDescent="0.25">
      <c r="A103" t="s">
        <v>22</v>
      </c>
      <c r="B103" t="str">
        <f>[1]ETL_Incremental!C103</f>
        <v>CLIENTS</v>
      </c>
      <c r="C103" t="str">
        <f>[1]ETL_Incremental!E103</f>
        <v>RECIPIENT_HOME_PHONE_NUM</v>
      </c>
      <c r="D103" t="str">
        <f>[1]ETL_Incremental!H103</f>
        <v>StringType()</v>
      </c>
      <c r="E103" s="7" t="str">
        <f t="shared" si="9"/>
        <v>DOHDA_CLIENTS</v>
      </c>
      <c r="F103" s="7" t="str">
        <f t="shared" si="10"/>
        <v>RECIPIENT_HOME_PHONE_NUM</v>
      </c>
      <c r="G103" s="7" t="s">
        <v>23</v>
      </c>
      <c r="H103" s="7" t="str">
        <f t="shared" si="11"/>
        <v>DOHDA_CLIENTS</v>
      </c>
      <c r="I103" s="7" t="str">
        <f t="shared" si="12"/>
        <v>RECIPIENT_HOME_PHONE_NUM</v>
      </c>
      <c r="J103" s="7" t="str">
        <f t="shared" si="13"/>
        <v>VARCHAR</v>
      </c>
      <c r="K103" s="7" t="str">
        <f>TRIM([1]ETL_Incremental!G103)</f>
        <v>VARCHAR(40)</v>
      </c>
      <c r="L103" s="7" t="str">
        <f>TRIM([1]ETL_Incremental!I103)</f>
        <v/>
      </c>
      <c r="M103" s="7" t="str">
        <f t="shared" si="16"/>
        <v>NULLIF(TRIM(RECIPIENT_HOME_PHONE_NUM),'')</v>
      </c>
      <c r="N103" s="7" t="str">
        <f>TRIM([1]ETL_Incremental!J103)</f>
        <v/>
      </c>
      <c r="O103" s="8" t="str">
        <f>IF(TRIM([1]Classification!$G103)="","NOT CONFIDENTIAL",TRIM([1]Classification!$G103))</f>
        <v>PERSONAL_CONTACTINFO</v>
      </c>
      <c r="P103" s="7" t="str">
        <f t="shared" si="14"/>
        <v>Y</v>
      </c>
      <c r="Q103" s="7" t="s">
        <v>24</v>
      </c>
      <c r="R103" s="9">
        <v>2958465</v>
      </c>
      <c r="S103" s="7" t="s">
        <v>25</v>
      </c>
      <c r="T103" s="7" t="s">
        <v>26</v>
      </c>
      <c r="U103" s="7" t="str">
        <f t="shared" si="15"/>
        <v>DOHDA_CLIENTS_V</v>
      </c>
      <c r="V103" s="7" t="s">
        <v>27</v>
      </c>
    </row>
    <row r="104" spans="1:22" ht="15" x14ac:dyDescent="0.25">
      <c r="A104" t="s">
        <v>22</v>
      </c>
      <c r="B104" t="str">
        <f>[1]ETL_Incremental!C104</f>
        <v>CLIENTS</v>
      </c>
      <c r="C104" t="str">
        <f>[1]ETL_Incremental!E104</f>
        <v>RECIPIENT_MOBILE_PHONE_NUM</v>
      </c>
      <c r="D104" t="str">
        <f>[1]ETL_Incremental!H104</f>
        <v>StringType()</v>
      </c>
      <c r="E104" s="7" t="str">
        <f t="shared" si="9"/>
        <v>DOHDA_CLIENTS</v>
      </c>
      <c r="F104" s="7" t="str">
        <f t="shared" si="10"/>
        <v>RECIPIENT_MOBILE_PHONE_NUM</v>
      </c>
      <c r="G104" s="7" t="s">
        <v>23</v>
      </c>
      <c r="H104" s="7" t="str">
        <f t="shared" si="11"/>
        <v>DOHDA_CLIENTS</v>
      </c>
      <c r="I104" s="7" t="str">
        <f t="shared" si="12"/>
        <v>RECIPIENT_MOBILE_PHONE_NUM</v>
      </c>
      <c r="J104" s="7" t="str">
        <f t="shared" si="13"/>
        <v>VARCHAR</v>
      </c>
      <c r="K104" s="7" t="str">
        <f>TRIM([1]ETL_Incremental!G104)</f>
        <v>VARCHAR(40)</v>
      </c>
      <c r="L104" s="7" t="str">
        <f>TRIM([1]ETL_Incremental!I104)</f>
        <v/>
      </c>
      <c r="M104" s="7" t="str">
        <f t="shared" si="16"/>
        <v>NULLIF(TRIM(RECIPIENT_MOBILE_PHONE_NUM),'')</v>
      </c>
      <c r="N104" s="7" t="str">
        <f>TRIM([1]ETL_Incremental!J104)</f>
        <v/>
      </c>
      <c r="O104" s="8" t="str">
        <f>IF(TRIM([1]Classification!$G104)="","NOT CONFIDENTIAL",TRIM([1]Classification!$G104))</f>
        <v>PERSONAL_CONTACTINFO</v>
      </c>
      <c r="P104" s="7" t="str">
        <f t="shared" si="14"/>
        <v>Y</v>
      </c>
      <c r="Q104" s="7" t="s">
        <v>24</v>
      </c>
      <c r="R104" s="9">
        <v>2958465</v>
      </c>
      <c r="S104" s="7" t="s">
        <v>25</v>
      </c>
      <c r="T104" s="7" t="s">
        <v>26</v>
      </c>
      <c r="U104" s="7" t="str">
        <f t="shared" si="15"/>
        <v>DOHDA_CLIENTS_V</v>
      </c>
      <c r="V104" s="7" t="s">
        <v>27</v>
      </c>
    </row>
    <row r="105" spans="1:22" ht="15" x14ac:dyDescent="0.25">
      <c r="A105" t="s">
        <v>22</v>
      </c>
      <c r="B105" t="str">
        <f>[1]ETL_Incremental!C105</f>
        <v>CLIENTS</v>
      </c>
      <c r="C105" t="str">
        <f>[1]ETL_Incremental!E105</f>
        <v>RECIP_MMM_2019</v>
      </c>
      <c r="D105" t="str">
        <f>[1]ETL_Incremental!H105</f>
        <v>StringType()</v>
      </c>
      <c r="E105" s="7" t="str">
        <f t="shared" si="9"/>
        <v>DOHDA_CLIENTS</v>
      </c>
      <c r="F105" s="7" t="str">
        <f t="shared" si="10"/>
        <v>RECIP_MMM_2019</v>
      </c>
      <c r="G105" s="7" t="s">
        <v>23</v>
      </c>
      <c r="H105" s="7" t="str">
        <f t="shared" si="11"/>
        <v>DOHDA_CLIENTS</v>
      </c>
      <c r="I105" s="7" t="str">
        <f t="shared" si="12"/>
        <v>RECIP_MMM_2019</v>
      </c>
      <c r="J105" s="7" t="str">
        <f t="shared" si="13"/>
        <v>VARCHAR</v>
      </c>
      <c r="K105" s="7" t="str">
        <f>TRIM([1]ETL_Incremental!G105)</f>
        <v>VARCHAR(1)</v>
      </c>
      <c r="L105" s="7" t="str">
        <f>TRIM([1]ETL_Incremental!I105)</f>
        <v/>
      </c>
      <c r="M105" s="7" t="str">
        <f t="shared" si="16"/>
        <v>NULLIF(TRIM(RECIP_MMM_2019),'')</v>
      </c>
      <c r="N105" s="7" t="str">
        <f>TRIM([1]ETL_Incremental!J105)</f>
        <v/>
      </c>
      <c r="O105" s="8" t="str">
        <f>IF(TRIM([1]Classification!$G105)="","NOT CONFIDENTIAL",TRIM([1]Classification!$G105))</f>
        <v>NOT CONFIDENTIAL</v>
      </c>
      <c r="P105" s="7" t="str">
        <f t="shared" si="14"/>
        <v>Y</v>
      </c>
      <c r="Q105" s="7" t="s">
        <v>24</v>
      </c>
      <c r="R105" s="9">
        <v>2958465</v>
      </c>
      <c r="S105" s="7" t="s">
        <v>25</v>
      </c>
      <c r="T105" s="7" t="s">
        <v>26</v>
      </c>
      <c r="U105" s="7" t="str">
        <f t="shared" si="15"/>
        <v>DOHDA_CLIENTS_V</v>
      </c>
      <c r="V105" s="7" t="s">
        <v>27</v>
      </c>
    </row>
    <row r="106" spans="1:22" ht="15" x14ac:dyDescent="0.25">
      <c r="A106" t="s">
        <v>22</v>
      </c>
      <c r="B106" t="str">
        <f>[1]ETL_Incremental!C106</f>
        <v>CLIENTS</v>
      </c>
      <c r="C106" t="str">
        <f>[1]ETL_Incremental!E106</f>
        <v>LGA_NAME</v>
      </c>
      <c r="D106" t="str">
        <f>[1]ETL_Incremental!H106</f>
        <v>StringType()</v>
      </c>
      <c r="E106" s="7" t="str">
        <f t="shared" si="9"/>
        <v>DOHDA_CLIENTS</v>
      </c>
      <c r="F106" s="7" t="str">
        <f t="shared" si="10"/>
        <v>LGA_NAME</v>
      </c>
      <c r="G106" s="7" t="s">
        <v>23</v>
      </c>
      <c r="H106" s="7" t="str">
        <f t="shared" si="11"/>
        <v>DOHDA_CLIENTS</v>
      </c>
      <c r="I106" s="7" t="str">
        <f t="shared" si="12"/>
        <v>LGA_NAME</v>
      </c>
      <c r="J106" s="7" t="str">
        <f t="shared" si="13"/>
        <v>VARCHAR</v>
      </c>
      <c r="K106" s="7" t="str">
        <f>TRIM([1]ETL_Incremental!G106)</f>
        <v>VARCHAR(50)</v>
      </c>
      <c r="L106" s="7" t="str">
        <f>TRIM([1]ETL_Incremental!I106)</f>
        <v/>
      </c>
      <c r="M106" s="7" t="str">
        <f t="shared" si="16"/>
        <v>NULLIF(TRIM(LGA_NAME),'')</v>
      </c>
      <c r="N106" s="7" t="str">
        <f>TRIM([1]ETL_Incremental!J106)</f>
        <v/>
      </c>
      <c r="O106" s="8" t="str">
        <f>IF(TRIM([1]Classification!$G106)="","NOT CONFIDENTIAL",TRIM([1]Classification!$G106))</f>
        <v>NOT CONFIDENTIAL</v>
      </c>
      <c r="P106" s="7" t="str">
        <f t="shared" si="14"/>
        <v>Y</v>
      </c>
      <c r="Q106" s="7" t="s">
        <v>24</v>
      </c>
      <c r="R106" s="9">
        <v>2958465</v>
      </c>
      <c r="S106" s="7" t="s">
        <v>25</v>
      </c>
      <c r="T106" s="7" t="s">
        <v>26</v>
      </c>
      <c r="U106" s="7" t="str">
        <f t="shared" si="15"/>
        <v>DOHDA_CLIENTS_V</v>
      </c>
      <c r="V106" s="7" t="s">
        <v>27</v>
      </c>
    </row>
    <row r="107" spans="1:22" ht="15" x14ac:dyDescent="0.25">
      <c r="A107" t="s">
        <v>22</v>
      </c>
      <c r="B107" t="str">
        <f>[1]ETL_Incremental!C107</f>
        <v>CLIENTS</v>
      </c>
      <c r="C107" t="str">
        <f>[1]ETL_Incremental!E107</f>
        <v>LGA_CODE</v>
      </c>
      <c r="D107" t="str">
        <f>[1]ETL_Incremental!H107</f>
        <v>StringType()</v>
      </c>
      <c r="E107" s="7" t="str">
        <f t="shared" si="9"/>
        <v>DOHDA_CLIENTS</v>
      </c>
      <c r="F107" s="7" t="str">
        <f t="shared" si="10"/>
        <v>LGA_CODE</v>
      </c>
      <c r="G107" s="7" t="s">
        <v>23</v>
      </c>
      <c r="H107" s="7" t="str">
        <f t="shared" si="11"/>
        <v>DOHDA_CLIENTS</v>
      </c>
      <c r="I107" s="7" t="str">
        <f t="shared" si="12"/>
        <v>LGA_CODE</v>
      </c>
      <c r="J107" s="7" t="str">
        <f t="shared" si="13"/>
        <v>VARCHAR</v>
      </c>
      <c r="K107" s="7" t="str">
        <f>TRIM([1]ETL_Incremental!G107)</f>
        <v>VARCHAR(5)</v>
      </c>
      <c r="L107" s="7" t="str">
        <f>TRIM([1]ETL_Incremental!I107)</f>
        <v/>
      </c>
      <c r="M107" s="7" t="str">
        <f t="shared" si="16"/>
        <v>NULLIF(TRIM(LGA_CODE),'')</v>
      </c>
      <c r="N107" s="7" t="str">
        <f>TRIM([1]ETL_Incremental!J107)</f>
        <v/>
      </c>
      <c r="O107" s="8" t="str">
        <f>IF(TRIM([1]Classification!$G107)="","NOT CONFIDENTIAL",TRIM([1]Classification!$G107))</f>
        <v>NOT CONFIDENTIAL</v>
      </c>
      <c r="P107" s="7" t="str">
        <f t="shared" si="14"/>
        <v>Y</v>
      </c>
      <c r="Q107" s="7" t="s">
        <v>24</v>
      </c>
      <c r="R107" s="9">
        <v>2958465</v>
      </c>
      <c r="S107" s="7" t="s">
        <v>25</v>
      </c>
      <c r="T107" s="7" t="s">
        <v>26</v>
      </c>
      <c r="U107" s="7" t="str">
        <f t="shared" si="15"/>
        <v>DOHDA_CLIENTS_V</v>
      </c>
      <c r="V107" s="7" t="s">
        <v>27</v>
      </c>
    </row>
    <row r="108" spans="1:22" ht="15" x14ac:dyDescent="0.25">
      <c r="A108" t="s">
        <v>22</v>
      </c>
      <c r="B108" t="str">
        <f>[1]ETL_Incremental!C108</f>
        <v>CLIENTS</v>
      </c>
      <c r="C108" t="str">
        <f>[1]ETL_Incremental!E108</f>
        <v>ACPR_CODE</v>
      </c>
      <c r="D108" t="str">
        <f>[1]ETL_Incremental!H108</f>
        <v>StringType()</v>
      </c>
      <c r="E108" s="7" t="str">
        <f t="shared" si="9"/>
        <v>DOHDA_CLIENTS</v>
      </c>
      <c r="F108" s="7" t="str">
        <f t="shared" si="10"/>
        <v>ACPR_CODE</v>
      </c>
      <c r="G108" s="7" t="s">
        <v>23</v>
      </c>
      <c r="H108" s="7" t="str">
        <f t="shared" si="11"/>
        <v>DOHDA_CLIENTS</v>
      </c>
      <c r="I108" s="7" t="str">
        <f t="shared" si="12"/>
        <v>ACPR_CODE</v>
      </c>
      <c r="J108" s="7" t="str">
        <f t="shared" si="13"/>
        <v>VARCHAR</v>
      </c>
      <c r="K108" s="7" t="str">
        <f>TRIM([1]ETL_Incremental!G108)</f>
        <v>VARCHAR(5)</v>
      </c>
      <c r="L108" s="7" t="str">
        <f>TRIM([1]ETL_Incremental!I108)</f>
        <v/>
      </c>
      <c r="M108" s="7" t="str">
        <f t="shared" si="16"/>
        <v>NULLIF(TRIM(ACPR_CODE),'')</v>
      </c>
      <c r="N108" s="7" t="str">
        <f>TRIM([1]ETL_Incremental!J108)</f>
        <v/>
      </c>
      <c r="O108" s="8" t="str">
        <f>IF(TRIM([1]Classification!$G108)="","NOT CONFIDENTIAL",TRIM([1]Classification!$G108))</f>
        <v>NOT CONFIDENTIAL</v>
      </c>
      <c r="P108" s="7" t="str">
        <f t="shared" si="14"/>
        <v>Y</v>
      </c>
      <c r="Q108" s="7" t="s">
        <v>24</v>
      </c>
      <c r="R108" s="9">
        <v>2958465</v>
      </c>
      <c r="S108" s="7" t="s">
        <v>25</v>
      </c>
      <c r="T108" s="7" t="s">
        <v>26</v>
      </c>
      <c r="U108" s="7" t="str">
        <f t="shared" si="15"/>
        <v>DOHDA_CLIENTS_V</v>
      </c>
      <c r="V108" s="7" t="s">
        <v>27</v>
      </c>
    </row>
    <row r="109" spans="1:22" ht="15" x14ac:dyDescent="0.25">
      <c r="A109" t="s">
        <v>22</v>
      </c>
      <c r="B109" t="str">
        <f>[1]ETL_Incremental!C109</f>
        <v>CLIENTS</v>
      </c>
      <c r="C109" t="str">
        <f>[1]ETL_Incremental!E109</f>
        <v>ACPR_NAME</v>
      </c>
      <c r="D109" t="str">
        <f>[1]ETL_Incremental!H109</f>
        <v>StringType()</v>
      </c>
      <c r="E109" s="7" t="str">
        <f t="shared" si="9"/>
        <v>DOHDA_CLIENTS</v>
      </c>
      <c r="F109" s="7" t="str">
        <f t="shared" si="10"/>
        <v>ACPR_NAME</v>
      </c>
      <c r="G109" s="7" t="s">
        <v>23</v>
      </c>
      <c r="H109" s="7" t="str">
        <f t="shared" si="11"/>
        <v>DOHDA_CLIENTS</v>
      </c>
      <c r="I109" s="7" t="str">
        <f t="shared" si="12"/>
        <v>ACPR_NAME</v>
      </c>
      <c r="J109" s="7" t="str">
        <f t="shared" si="13"/>
        <v>VARCHAR</v>
      </c>
      <c r="K109" s="7" t="str">
        <f>TRIM([1]ETL_Incremental!G109)</f>
        <v>VARCHAR(50)</v>
      </c>
      <c r="L109" s="7" t="str">
        <f>TRIM([1]ETL_Incremental!I109)</f>
        <v/>
      </c>
      <c r="M109" s="7" t="str">
        <f t="shared" si="16"/>
        <v>NULLIF(TRIM(ACPR_NAME),'')</v>
      </c>
      <c r="N109" s="7" t="str">
        <f>TRIM([1]ETL_Incremental!J109)</f>
        <v/>
      </c>
      <c r="O109" s="8" t="str">
        <f>IF(TRIM([1]Classification!$G109)="","NOT CONFIDENTIAL",TRIM([1]Classification!$G109))</f>
        <v>NOT CONFIDENTIAL</v>
      </c>
      <c r="P109" s="7" t="str">
        <f t="shared" si="14"/>
        <v>Y</v>
      </c>
      <c r="Q109" s="7" t="s">
        <v>24</v>
      </c>
      <c r="R109" s="9">
        <v>2958465</v>
      </c>
      <c r="S109" s="7" t="s">
        <v>25</v>
      </c>
      <c r="T109" s="7" t="s">
        <v>26</v>
      </c>
      <c r="U109" s="7" t="str">
        <f t="shared" si="15"/>
        <v>DOHDA_CLIENTS_V</v>
      </c>
      <c r="V109" s="7" t="s">
        <v>27</v>
      </c>
    </row>
    <row r="110" spans="1:22" ht="15" x14ac:dyDescent="0.25">
      <c r="A110" t="s">
        <v>22</v>
      </c>
      <c r="B110" t="str">
        <f>[1]ETL_Incremental!C110</f>
        <v>PAYMENTS</v>
      </c>
      <c r="C110" t="str">
        <f>[1]ETL_Incremental!E110</f>
        <v>ACMPS_RECIPIENT_ID</v>
      </c>
      <c r="D110" t="str">
        <f>[1]ETL_Incremental!H110</f>
        <v>StringType()</v>
      </c>
      <c r="E110" s="7" t="str">
        <f t="shared" si="9"/>
        <v>DOHDA_PAYMENTS</v>
      </c>
      <c r="F110" s="7" t="str">
        <f t="shared" si="10"/>
        <v>ACMPS_RECIPIENT_ID</v>
      </c>
      <c r="G110" s="7" t="s">
        <v>23</v>
      </c>
      <c r="H110" s="7" t="str">
        <f t="shared" si="11"/>
        <v>DOHDA_PAYMENTS</v>
      </c>
      <c r="I110" s="7" t="str">
        <f t="shared" si="12"/>
        <v>ACMPS_RECIPIENT_ID</v>
      </c>
      <c r="J110" s="7" t="str">
        <f t="shared" si="13"/>
        <v>VARCHAR</v>
      </c>
      <c r="K110" s="7" t="str">
        <f>TRIM([1]ETL_Incremental!G110)</f>
        <v>VARCHAR(50)</v>
      </c>
      <c r="L110" s="7" t="str">
        <f>TRIM([1]ETL_Incremental!I110)</f>
        <v/>
      </c>
      <c r="M110" s="7" t="str">
        <f t="shared" si="16"/>
        <v>NULLIF(TRIM(ACMPS_RECIPIENT_ID),'')</v>
      </c>
      <c r="N110" s="7" t="str">
        <f>TRIM([1]ETL_Incremental!J110)</f>
        <v>Y</v>
      </c>
      <c r="O110" s="8" t="str">
        <f>IF(TRIM([1]Classification!$G110)="","NOT CONFIDENTIAL",TRIM([1]Classification!$G110))</f>
        <v>NOT CONFIDENTIAL</v>
      </c>
      <c r="P110" s="7" t="str">
        <f t="shared" si="14"/>
        <v>Y</v>
      </c>
      <c r="Q110" s="7" t="s">
        <v>24</v>
      </c>
      <c r="R110" s="9">
        <v>2958465</v>
      </c>
      <c r="S110" s="7" t="s">
        <v>25</v>
      </c>
      <c r="T110" s="7" t="s">
        <v>26</v>
      </c>
      <c r="U110" s="7" t="str">
        <f t="shared" si="15"/>
        <v>DOHDA_PAYMENTS_V</v>
      </c>
      <c r="V110" s="7" t="s">
        <v>27</v>
      </c>
    </row>
    <row r="111" spans="1:22" ht="15" x14ac:dyDescent="0.25">
      <c r="A111" t="s">
        <v>22</v>
      </c>
      <c r="B111" t="str">
        <f>[1]ETL_Incremental!C111</f>
        <v>PAYMENTS</v>
      </c>
      <c r="C111" t="str">
        <f>[1]ETL_Incremental!E111</f>
        <v>AGED_CARE_USER_ID</v>
      </c>
      <c r="D111" t="str">
        <f>[1]ETL_Incremental!H111</f>
        <v>StringType()</v>
      </c>
      <c r="E111" s="7" t="str">
        <f t="shared" si="9"/>
        <v>DOHDA_PAYMENTS</v>
      </c>
      <c r="F111" s="7" t="str">
        <f t="shared" si="10"/>
        <v>AGED_CARE_USER_ID</v>
      </c>
      <c r="G111" s="7" t="s">
        <v>23</v>
      </c>
      <c r="H111" s="7" t="str">
        <f t="shared" si="11"/>
        <v>DOHDA_PAYMENTS</v>
      </c>
      <c r="I111" s="7" t="str">
        <f t="shared" si="12"/>
        <v>AGED_CARE_USER_ID</v>
      </c>
      <c r="J111" s="7" t="str">
        <f t="shared" si="13"/>
        <v>VARCHAR</v>
      </c>
      <c r="K111" s="7" t="str">
        <f>TRIM([1]ETL_Incremental!G111)</f>
        <v>VARCHAR(20)</v>
      </c>
      <c r="L111" s="7" t="str">
        <f>TRIM([1]ETL_Incremental!I111)</f>
        <v/>
      </c>
      <c r="M111" s="7" t="str">
        <f t="shared" si="16"/>
        <v>NULLIF(TRIM(AGED_CARE_USER_ID),'')</v>
      </c>
      <c r="N111" s="7" t="str">
        <f>TRIM([1]ETL_Incremental!J111)</f>
        <v>Y</v>
      </c>
      <c r="O111" s="8" t="str">
        <f>IF(TRIM([1]Classification!$G111)="","NOT CONFIDENTIAL",TRIM([1]Classification!$G111))</f>
        <v>NOT CONFIDENTIAL</v>
      </c>
      <c r="P111" s="7" t="str">
        <f t="shared" si="14"/>
        <v>Y</v>
      </c>
      <c r="Q111" s="7" t="s">
        <v>24</v>
      </c>
      <c r="R111" s="9">
        <v>2958465</v>
      </c>
      <c r="S111" s="7" t="s">
        <v>25</v>
      </c>
      <c r="T111" s="7" t="s">
        <v>26</v>
      </c>
      <c r="U111" s="7" t="str">
        <f t="shared" si="15"/>
        <v>DOHDA_PAYMENTS_V</v>
      </c>
      <c r="V111" s="7" t="s">
        <v>27</v>
      </c>
    </row>
    <row r="112" spans="1:22" ht="15" x14ac:dyDescent="0.25">
      <c r="A112" t="s">
        <v>22</v>
      </c>
      <c r="B112" t="str">
        <f>[1]ETL_Incremental!C112</f>
        <v>PAYMENTS</v>
      </c>
      <c r="C112" t="str">
        <f>[1]ETL_Incremental!E112</f>
        <v>SPARC_RECIPIENT_ID</v>
      </c>
      <c r="D112" t="str">
        <f>[1]ETL_Incremental!H112</f>
        <v>StringType()</v>
      </c>
      <c r="E112" s="7" t="str">
        <f t="shared" si="9"/>
        <v>DOHDA_PAYMENTS</v>
      </c>
      <c r="F112" s="7" t="str">
        <f t="shared" si="10"/>
        <v>SPARC_RECIPIENT_ID</v>
      </c>
      <c r="G112" s="7" t="s">
        <v>23</v>
      </c>
      <c r="H112" s="7" t="str">
        <f t="shared" si="11"/>
        <v>DOHDA_PAYMENTS</v>
      </c>
      <c r="I112" s="7" t="str">
        <f t="shared" si="12"/>
        <v>SPARC_RECIPIENT_ID</v>
      </c>
      <c r="J112" s="7" t="str">
        <f t="shared" si="13"/>
        <v>VARCHAR</v>
      </c>
      <c r="K112" s="7" t="str">
        <f>TRIM([1]ETL_Incremental!G112)</f>
        <v>VARCHAR(240)</v>
      </c>
      <c r="L112" s="7" t="str">
        <f>TRIM([1]ETL_Incremental!I112)</f>
        <v/>
      </c>
      <c r="M112" s="7" t="str">
        <f t="shared" si="16"/>
        <v>NULLIF(TRIM(SPARC_RECIPIENT_ID),'')</v>
      </c>
      <c r="N112" s="7" t="str">
        <f>TRIM([1]ETL_Incremental!J112)</f>
        <v/>
      </c>
      <c r="O112" s="8" t="str">
        <f>IF(TRIM([1]Classification!$G112)="","NOT CONFIDENTIAL",TRIM([1]Classification!$G112))</f>
        <v>NOT CONFIDENTIAL</v>
      </c>
      <c r="P112" s="7" t="str">
        <f t="shared" si="14"/>
        <v>Y</v>
      </c>
      <c r="Q112" s="7" t="s">
        <v>24</v>
      </c>
      <c r="R112" s="9">
        <v>2958465</v>
      </c>
      <c r="S112" s="7" t="s">
        <v>25</v>
      </c>
      <c r="T112" s="7" t="s">
        <v>26</v>
      </c>
      <c r="U112" s="7" t="str">
        <f t="shared" si="15"/>
        <v>DOHDA_PAYMENTS_V</v>
      </c>
      <c r="V112" s="7" t="s">
        <v>27</v>
      </c>
    </row>
    <row r="113" spans="1:22" ht="15" x14ac:dyDescent="0.25">
      <c r="A113" t="s">
        <v>22</v>
      </c>
      <c r="B113" t="str">
        <f>[1]ETL_Incremental!C113</f>
        <v>PAYMENTS</v>
      </c>
      <c r="C113" t="str">
        <f>[1]ETL_Incremental!E113</f>
        <v>PROVIDER_ID</v>
      </c>
      <c r="D113" t="str">
        <f>[1]ETL_Incremental!H113</f>
        <v>StringType()</v>
      </c>
      <c r="E113" s="7" t="str">
        <f t="shared" si="9"/>
        <v>DOHDA_PAYMENTS</v>
      </c>
      <c r="F113" s="7" t="str">
        <f t="shared" si="10"/>
        <v>PROVIDER_ID</v>
      </c>
      <c r="G113" s="7" t="s">
        <v>23</v>
      </c>
      <c r="H113" s="7" t="str">
        <f t="shared" si="11"/>
        <v>DOHDA_PAYMENTS</v>
      </c>
      <c r="I113" s="7" t="str">
        <f t="shared" si="12"/>
        <v>PROVIDER_ID</v>
      </c>
      <c r="J113" s="7" t="str">
        <f t="shared" si="13"/>
        <v>VARCHAR</v>
      </c>
      <c r="K113" s="7" t="str">
        <f>TRIM([1]ETL_Incremental!G113)</f>
        <v>VARCHAR(20)</v>
      </c>
      <c r="L113" s="7" t="str">
        <f>TRIM([1]ETL_Incremental!I113)</f>
        <v/>
      </c>
      <c r="M113" s="7" t="str">
        <f t="shared" si="16"/>
        <v>NULLIF(TRIM(PROVIDER_ID),'')</v>
      </c>
      <c r="N113" s="7" t="str">
        <f>TRIM([1]ETL_Incremental!J113)</f>
        <v/>
      </c>
      <c r="O113" s="8" t="str">
        <f>IF(TRIM([1]Classification!$G113)="","NOT CONFIDENTIAL",TRIM([1]Classification!$G113))</f>
        <v>NOT CONFIDENTIAL</v>
      </c>
      <c r="P113" s="7" t="str">
        <f t="shared" si="14"/>
        <v>Y</v>
      </c>
      <c r="Q113" s="7" t="s">
        <v>24</v>
      </c>
      <c r="R113" s="9">
        <v>2958465</v>
      </c>
      <c r="S113" s="7" t="s">
        <v>25</v>
      </c>
      <c r="T113" s="7" t="s">
        <v>26</v>
      </c>
      <c r="U113" s="7" t="str">
        <f t="shared" si="15"/>
        <v>DOHDA_PAYMENTS_V</v>
      </c>
      <c r="V113" s="7" t="s">
        <v>27</v>
      </c>
    </row>
    <row r="114" spans="1:22" ht="15" x14ac:dyDescent="0.25">
      <c r="A114" t="s">
        <v>22</v>
      </c>
      <c r="B114" t="str">
        <f>[1]ETL_Incremental!C114</f>
        <v>PAYMENTS</v>
      </c>
      <c r="C114" t="str">
        <f>[1]ETL_Incremental!E114</f>
        <v>SERVICE_ID</v>
      </c>
      <c r="D114" t="str">
        <f>[1]ETL_Incremental!H114</f>
        <v>StringType()</v>
      </c>
      <c r="E114" s="7" t="str">
        <f t="shared" si="9"/>
        <v>DOHDA_PAYMENTS</v>
      </c>
      <c r="F114" s="7" t="str">
        <f t="shared" si="10"/>
        <v>SERVICE_ID</v>
      </c>
      <c r="G114" s="7" t="s">
        <v>23</v>
      </c>
      <c r="H114" s="7" t="str">
        <f t="shared" si="11"/>
        <v>DOHDA_PAYMENTS</v>
      </c>
      <c r="I114" s="7" t="str">
        <f t="shared" si="12"/>
        <v>SERVICE_ID</v>
      </c>
      <c r="J114" s="7" t="str">
        <f t="shared" si="13"/>
        <v>VARCHAR</v>
      </c>
      <c r="K114" s="7" t="str">
        <f>TRIM([1]ETL_Incremental!G114)</f>
        <v>VARCHAR(20)</v>
      </c>
      <c r="L114" s="7" t="str">
        <f>TRIM([1]ETL_Incremental!I114)</f>
        <v/>
      </c>
      <c r="M114" s="7" t="str">
        <f t="shared" si="16"/>
        <v>NULLIF(TRIM(SERVICE_ID),'')</v>
      </c>
      <c r="N114" s="7" t="str">
        <f>TRIM([1]ETL_Incremental!J114)</f>
        <v/>
      </c>
      <c r="O114" s="8" t="str">
        <f>IF(TRIM([1]Classification!$G114)="","NOT CONFIDENTIAL",TRIM([1]Classification!$G114))</f>
        <v>NOT CONFIDENTIAL</v>
      </c>
      <c r="P114" s="7" t="str">
        <f t="shared" si="14"/>
        <v>Y</v>
      </c>
      <c r="Q114" s="7" t="s">
        <v>24</v>
      </c>
      <c r="R114" s="9">
        <v>2958465</v>
      </c>
      <c r="S114" s="7" t="s">
        <v>25</v>
      </c>
      <c r="T114" s="7" t="s">
        <v>26</v>
      </c>
      <c r="U114" s="7" t="str">
        <f t="shared" si="15"/>
        <v>DOHDA_PAYMENTS_V</v>
      </c>
      <c r="V114" s="7" t="s">
        <v>27</v>
      </c>
    </row>
    <row r="115" spans="1:22" ht="15" x14ac:dyDescent="0.25">
      <c r="A115" t="s">
        <v>22</v>
      </c>
      <c r="B115" t="str">
        <f>[1]ETL_Incremental!C115</f>
        <v>PAYMENTS</v>
      </c>
      <c r="C115" t="str">
        <f>[1]ETL_Incremental!E115</f>
        <v>RACS_ID</v>
      </c>
      <c r="D115" t="str">
        <f>[1]ETL_Incremental!H115</f>
        <v>StringType()</v>
      </c>
      <c r="E115" s="7" t="str">
        <f t="shared" si="9"/>
        <v>DOHDA_PAYMENTS</v>
      </c>
      <c r="F115" s="7" t="str">
        <f t="shared" si="10"/>
        <v>RACS_ID</v>
      </c>
      <c r="G115" s="7" t="s">
        <v>23</v>
      </c>
      <c r="H115" s="7" t="str">
        <f t="shared" si="11"/>
        <v>DOHDA_PAYMENTS</v>
      </c>
      <c r="I115" s="7" t="str">
        <f t="shared" si="12"/>
        <v>RACS_ID</v>
      </c>
      <c r="J115" s="7" t="str">
        <f t="shared" si="13"/>
        <v>VARCHAR</v>
      </c>
      <c r="K115" s="7" t="str">
        <f>TRIM([1]ETL_Incremental!G115)</f>
        <v>VARCHAR(5)</v>
      </c>
      <c r="L115" s="7" t="str">
        <f>TRIM([1]ETL_Incremental!I115)</f>
        <v/>
      </c>
      <c r="M115" s="7" t="str">
        <f t="shared" si="16"/>
        <v>NULLIF(TRIM(RACS_ID),'')</v>
      </c>
      <c r="N115" s="7" t="str">
        <f>TRIM([1]ETL_Incremental!J115)</f>
        <v/>
      </c>
      <c r="O115" s="8" t="str">
        <f>IF(TRIM([1]Classification!$G115)="","NOT CONFIDENTIAL",TRIM([1]Classification!$G115))</f>
        <v>NOT CONFIDENTIAL</v>
      </c>
      <c r="P115" s="7" t="str">
        <f t="shared" si="14"/>
        <v>Y</v>
      </c>
      <c r="Q115" s="7" t="s">
        <v>24</v>
      </c>
      <c r="R115" s="9">
        <v>2958465</v>
      </c>
      <c r="S115" s="7" t="s">
        <v>25</v>
      </c>
      <c r="T115" s="7" t="s">
        <v>26</v>
      </c>
      <c r="U115" s="7" t="str">
        <f t="shared" si="15"/>
        <v>DOHDA_PAYMENTS_V</v>
      </c>
      <c r="V115" s="7" t="s">
        <v>27</v>
      </c>
    </row>
    <row r="116" spans="1:22" ht="15" x14ac:dyDescent="0.25">
      <c r="A116" t="s">
        <v>22</v>
      </c>
      <c r="B116" t="str">
        <f>[1]ETL_Incremental!C116</f>
        <v>PAYMENTS</v>
      </c>
      <c r="C116" t="str">
        <f>[1]ETL_Incremental!E116</f>
        <v>SERVICE_TYPE</v>
      </c>
      <c r="D116" t="str">
        <f>[1]ETL_Incremental!H116</f>
        <v>StringType()</v>
      </c>
      <c r="E116" s="7" t="str">
        <f t="shared" si="9"/>
        <v>DOHDA_PAYMENTS</v>
      </c>
      <c r="F116" s="7" t="str">
        <f t="shared" si="10"/>
        <v>SERVICE_TYPE</v>
      </c>
      <c r="G116" s="7" t="s">
        <v>23</v>
      </c>
      <c r="H116" s="7" t="str">
        <f t="shared" si="11"/>
        <v>DOHDA_PAYMENTS</v>
      </c>
      <c r="I116" s="7" t="str">
        <f t="shared" si="12"/>
        <v>SERVICE_TYPE</v>
      </c>
      <c r="J116" s="7" t="str">
        <f t="shared" si="13"/>
        <v>VARCHAR</v>
      </c>
      <c r="K116" s="7" t="str">
        <f>TRIM([1]ETL_Incremental!G116)</f>
        <v>VARCHAR(80)</v>
      </c>
      <c r="L116" s="7" t="str">
        <f>TRIM([1]ETL_Incremental!I116)</f>
        <v/>
      </c>
      <c r="M116" s="7" t="str">
        <f t="shared" si="16"/>
        <v>NULLIF(TRIM(SERVICE_TYPE),'')</v>
      </c>
      <c r="N116" s="7" t="str">
        <f>TRIM([1]ETL_Incremental!J116)</f>
        <v/>
      </c>
      <c r="O116" s="8" t="str">
        <f>IF(TRIM([1]Classification!$G116)="","NOT CONFIDENTIAL",TRIM([1]Classification!$G116))</f>
        <v>NOT CONFIDENTIAL</v>
      </c>
      <c r="P116" s="7" t="str">
        <f t="shared" si="14"/>
        <v>Y</v>
      </c>
      <c r="Q116" s="7" t="s">
        <v>24</v>
      </c>
      <c r="R116" s="9">
        <v>2958465</v>
      </c>
      <c r="S116" s="7" t="s">
        <v>25</v>
      </c>
      <c r="T116" s="7" t="s">
        <v>26</v>
      </c>
      <c r="U116" s="7" t="str">
        <f t="shared" si="15"/>
        <v>DOHDA_PAYMENTS_V</v>
      </c>
      <c r="V116" s="7" t="s">
        <v>27</v>
      </c>
    </row>
    <row r="117" spans="1:22" ht="15" x14ac:dyDescent="0.25">
      <c r="A117" t="s">
        <v>22</v>
      </c>
      <c r="B117" t="str">
        <f>[1]ETL_Incremental!C117</f>
        <v>PAYMENTS</v>
      </c>
      <c r="C117" t="str">
        <f>[1]ETL_Incremental!E117</f>
        <v>ENTITLEMENT_MONTH</v>
      </c>
      <c r="D117" t="str">
        <f>[1]ETL_Incremental!H117</f>
        <v>StringType()</v>
      </c>
      <c r="E117" s="7" t="str">
        <f t="shared" si="9"/>
        <v>DOHDA_PAYMENTS</v>
      </c>
      <c r="F117" s="7" t="str">
        <f t="shared" si="10"/>
        <v>ENTITLEMENT_MONTH</v>
      </c>
      <c r="G117" s="7" t="s">
        <v>23</v>
      </c>
      <c r="H117" s="7" t="str">
        <f t="shared" si="11"/>
        <v>DOHDA_PAYMENTS</v>
      </c>
      <c r="I117" s="7" t="str">
        <f t="shared" si="12"/>
        <v>ENTITLEMENT_MONTH</v>
      </c>
      <c r="J117" s="7" t="str">
        <f t="shared" si="13"/>
        <v>VARCHAR</v>
      </c>
      <c r="K117" s="7" t="str">
        <f>TRIM([1]ETL_Incremental!G117)</f>
        <v>VARCHAR(50)</v>
      </c>
      <c r="L117" s="7" t="str">
        <f>TRIM([1]ETL_Incremental!I117)</f>
        <v/>
      </c>
      <c r="M117" s="7" t="str">
        <f t="shared" si="16"/>
        <v>NULLIF(TRIM(ENTITLEMENT_MONTH),'')</v>
      </c>
      <c r="N117" s="7" t="str">
        <f>TRIM([1]ETL_Incremental!J117)</f>
        <v/>
      </c>
      <c r="O117" s="8" t="str">
        <f>IF(TRIM([1]Classification!$G117)="","NOT CONFIDENTIAL",TRIM([1]Classification!$G117))</f>
        <v>NOT CONFIDENTIAL</v>
      </c>
      <c r="P117" s="7" t="str">
        <f t="shared" si="14"/>
        <v>Y</v>
      </c>
      <c r="Q117" s="7" t="s">
        <v>24</v>
      </c>
      <c r="R117" s="9">
        <v>2958465</v>
      </c>
      <c r="S117" s="7" t="s">
        <v>25</v>
      </c>
      <c r="T117" s="7" t="s">
        <v>26</v>
      </c>
      <c r="U117" s="7" t="str">
        <f t="shared" si="15"/>
        <v>DOHDA_PAYMENTS_V</v>
      </c>
      <c r="V117" s="7" t="s">
        <v>27</v>
      </c>
    </row>
    <row r="118" spans="1:22" ht="15" x14ac:dyDescent="0.25">
      <c r="A118" t="s">
        <v>22</v>
      </c>
      <c r="B118" t="str">
        <f>[1]ETL_Incremental!C118</f>
        <v>PAYMENTS</v>
      </c>
      <c r="C118" t="str">
        <f>[1]ETL_Incremental!E118</f>
        <v>ADMISSION_TYPE</v>
      </c>
      <c r="D118" t="str">
        <f>[1]ETL_Incremental!H118</f>
        <v>StringType()</v>
      </c>
      <c r="E118" s="7" t="str">
        <f t="shared" si="9"/>
        <v>DOHDA_PAYMENTS</v>
      </c>
      <c r="F118" s="7" t="str">
        <f t="shared" si="10"/>
        <v>ADMISSION_TYPE</v>
      </c>
      <c r="G118" s="7" t="s">
        <v>23</v>
      </c>
      <c r="H118" s="7" t="str">
        <f t="shared" si="11"/>
        <v>DOHDA_PAYMENTS</v>
      </c>
      <c r="I118" s="7" t="str">
        <f t="shared" si="12"/>
        <v>ADMISSION_TYPE</v>
      </c>
      <c r="J118" s="7" t="str">
        <f t="shared" si="13"/>
        <v>VARCHAR</v>
      </c>
      <c r="K118" s="7" t="str">
        <f>TRIM([1]ETL_Incremental!G118)</f>
        <v>VARCHAR(20)</v>
      </c>
      <c r="L118" s="7" t="str">
        <f>TRIM([1]ETL_Incremental!I118)</f>
        <v/>
      </c>
      <c r="M118" s="7" t="str">
        <f t="shared" si="16"/>
        <v>NULLIF(TRIM(ADMISSION_TYPE),'')</v>
      </c>
      <c r="N118" s="7" t="str">
        <f>TRIM([1]ETL_Incremental!J118)</f>
        <v/>
      </c>
      <c r="O118" s="8" t="str">
        <f>IF(TRIM([1]Classification!$G118)="","NOT CONFIDENTIAL",TRIM([1]Classification!$G118))</f>
        <v>NOT CONFIDENTIAL</v>
      </c>
      <c r="P118" s="7" t="str">
        <f t="shared" si="14"/>
        <v>Y</v>
      </c>
      <c r="Q118" s="7" t="s">
        <v>24</v>
      </c>
      <c r="R118" s="9">
        <v>2958465</v>
      </c>
      <c r="S118" s="7" t="s">
        <v>25</v>
      </c>
      <c r="T118" s="7" t="s">
        <v>26</v>
      </c>
      <c r="U118" s="7" t="str">
        <f t="shared" si="15"/>
        <v>DOHDA_PAYMENTS_V</v>
      </c>
      <c r="V118" s="7" t="s">
        <v>27</v>
      </c>
    </row>
    <row r="119" spans="1:22" ht="15" x14ac:dyDescent="0.25">
      <c r="A119" t="s">
        <v>22</v>
      </c>
      <c r="B119" t="str">
        <f>[1]ETL_Incremental!C119</f>
        <v>PAYMENTS</v>
      </c>
      <c r="C119" t="str">
        <f>[1]ETL_Incremental!E119</f>
        <v>PAYMENT_TYPE_LEVEL_1</v>
      </c>
      <c r="D119" t="str">
        <f>[1]ETL_Incremental!H119</f>
        <v>StringType()</v>
      </c>
      <c r="E119" s="7" t="str">
        <f t="shared" si="9"/>
        <v>DOHDA_PAYMENTS</v>
      </c>
      <c r="F119" s="7" t="str">
        <f t="shared" si="10"/>
        <v>PAYMENT_TYPE_LEVEL_1</v>
      </c>
      <c r="G119" s="7" t="s">
        <v>23</v>
      </c>
      <c r="H119" s="7" t="str">
        <f t="shared" si="11"/>
        <v>DOHDA_PAYMENTS</v>
      </c>
      <c r="I119" s="7" t="str">
        <f t="shared" si="12"/>
        <v>PAYMENT_TYPE_LEVEL_1</v>
      </c>
      <c r="J119" s="7" t="str">
        <f t="shared" si="13"/>
        <v>VARCHAR</v>
      </c>
      <c r="K119" s="7" t="str">
        <f>TRIM([1]ETL_Incremental!G119)</f>
        <v>VARCHAR(30)</v>
      </c>
      <c r="L119" s="7" t="str">
        <f>TRIM([1]ETL_Incremental!I119)</f>
        <v/>
      </c>
      <c r="M119" s="7" t="str">
        <f t="shared" si="16"/>
        <v>NULLIF(TRIM(PAYMENT_TYPE_LEVEL_1),'')</v>
      </c>
      <c r="N119" s="7" t="str">
        <f>TRIM([1]ETL_Incremental!J119)</f>
        <v/>
      </c>
      <c r="O119" s="8" t="str">
        <f>IF(TRIM([1]Classification!$G119)="","NOT CONFIDENTIAL",TRIM([1]Classification!$G119))</f>
        <v>NOT CONFIDENTIAL</v>
      </c>
      <c r="P119" s="7" t="str">
        <f t="shared" si="14"/>
        <v>Y</v>
      </c>
      <c r="Q119" s="7" t="s">
        <v>24</v>
      </c>
      <c r="R119" s="9">
        <v>2958465</v>
      </c>
      <c r="S119" s="7" t="s">
        <v>25</v>
      </c>
      <c r="T119" s="7" t="s">
        <v>26</v>
      </c>
      <c r="U119" s="7" t="str">
        <f t="shared" si="15"/>
        <v>DOHDA_PAYMENTS_V</v>
      </c>
      <c r="V119" s="7" t="s">
        <v>27</v>
      </c>
    </row>
    <row r="120" spans="1:22" ht="15" x14ac:dyDescent="0.25">
      <c r="A120" t="s">
        <v>22</v>
      </c>
      <c r="B120" t="str">
        <f>[1]ETL_Incremental!C120</f>
        <v>PAYMENTS</v>
      </c>
      <c r="C120" t="str">
        <f>[1]ETL_Incremental!E120</f>
        <v>PAYMENT_TYPE_LEVEL_2</v>
      </c>
      <c r="D120" t="str">
        <f>[1]ETL_Incremental!H120</f>
        <v>StringType()</v>
      </c>
      <c r="E120" s="7" t="str">
        <f t="shared" si="9"/>
        <v>DOHDA_PAYMENTS</v>
      </c>
      <c r="F120" s="7" t="str">
        <f t="shared" si="10"/>
        <v>PAYMENT_TYPE_LEVEL_2</v>
      </c>
      <c r="G120" s="7" t="s">
        <v>23</v>
      </c>
      <c r="H120" s="7" t="str">
        <f t="shared" si="11"/>
        <v>DOHDA_PAYMENTS</v>
      </c>
      <c r="I120" s="7" t="str">
        <f t="shared" si="12"/>
        <v>PAYMENT_TYPE_LEVEL_2</v>
      </c>
      <c r="J120" s="7" t="str">
        <f t="shared" si="13"/>
        <v>VARCHAR</v>
      </c>
      <c r="K120" s="7" t="str">
        <f>TRIM([1]ETL_Incremental!G120)</f>
        <v>VARCHAR(100)</v>
      </c>
      <c r="L120" s="7" t="str">
        <f>TRIM([1]ETL_Incremental!I120)</f>
        <v/>
      </c>
      <c r="M120" s="7" t="str">
        <f t="shared" si="16"/>
        <v>NULLIF(TRIM(PAYMENT_TYPE_LEVEL_2),'')</v>
      </c>
      <c r="N120" s="7" t="str">
        <f>TRIM([1]ETL_Incremental!J120)</f>
        <v/>
      </c>
      <c r="O120" s="8" t="str">
        <f>IF(TRIM([1]Classification!$G120)="","NOT CONFIDENTIAL",TRIM([1]Classification!$G120))</f>
        <v>NOT CONFIDENTIAL</v>
      </c>
      <c r="P120" s="7" t="str">
        <f t="shared" si="14"/>
        <v>Y</v>
      </c>
      <c r="Q120" s="7" t="s">
        <v>24</v>
      </c>
      <c r="R120" s="9">
        <v>2958465</v>
      </c>
      <c r="S120" s="7" t="s">
        <v>25</v>
      </c>
      <c r="T120" s="7" t="s">
        <v>26</v>
      </c>
      <c r="U120" s="7" t="str">
        <f t="shared" si="15"/>
        <v>DOHDA_PAYMENTS_V</v>
      </c>
      <c r="V120" s="7" t="s">
        <v>27</v>
      </c>
    </row>
    <row r="121" spans="1:22" ht="15" x14ac:dyDescent="0.25">
      <c r="A121" t="s">
        <v>22</v>
      </c>
      <c r="B121" t="str">
        <f>[1]ETL_Incremental!C121</f>
        <v>PAYMENTS</v>
      </c>
      <c r="C121" t="str">
        <f>[1]ETL_Incremental!E121</f>
        <v>CLAIM_AMT</v>
      </c>
      <c r="D121" t="str">
        <f>[1]ETL_Incremental!H121</f>
        <v>StringType()</v>
      </c>
      <c r="E121" s="7" t="str">
        <f t="shared" si="9"/>
        <v>DOHDA_PAYMENTS</v>
      </c>
      <c r="F121" s="7" t="str">
        <f t="shared" si="10"/>
        <v>CLAIM_AMT</v>
      </c>
      <c r="G121" s="7" t="s">
        <v>23</v>
      </c>
      <c r="H121" s="7" t="str">
        <f t="shared" si="11"/>
        <v>DOHDA_PAYMENTS</v>
      </c>
      <c r="I121" s="7" t="str">
        <f t="shared" si="12"/>
        <v>CLAIM_AMT</v>
      </c>
      <c r="J121" s="7" t="str">
        <f t="shared" si="13"/>
        <v>VARCHAR</v>
      </c>
      <c r="K121" s="7" t="str">
        <f>TRIM([1]ETL_Incremental!G121)</f>
        <v>VARCHAR(22)</v>
      </c>
      <c r="L121" s="7" t="str">
        <f>TRIM([1]ETL_Incremental!I121)</f>
        <v/>
      </c>
      <c r="M121" s="7" t="str">
        <f t="shared" si="16"/>
        <v>NULLIF(TRIM(CLAIM_AMT),'')</v>
      </c>
      <c r="N121" s="7" t="str">
        <f>TRIM([1]ETL_Incremental!J121)</f>
        <v/>
      </c>
      <c r="O121" s="8" t="str">
        <f>IF(TRIM([1]Classification!$G121)="","NOT CONFIDENTIAL",TRIM([1]Classification!$G121))</f>
        <v>NOT CONFIDENTIAL</v>
      </c>
      <c r="P121" s="7" t="str">
        <f t="shared" si="14"/>
        <v>Y</v>
      </c>
      <c r="Q121" s="7" t="s">
        <v>24</v>
      </c>
      <c r="R121" s="9">
        <v>2958465</v>
      </c>
      <c r="S121" s="7" t="s">
        <v>25</v>
      </c>
      <c r="T121" s="7" t="s">
        <v>26</v>
      </c>
      <c r="U121" s="7" t="str">
        <f t="shared" si="15"/>
        <v>DOHDA_PAYMENTS_V</v>
      </c>
      <c r="V121" s="7" t="s">
        <v>27</v>
      </c>
    </row>
    <row r="122" spans="1:22" ht="15" x14ac:dyDescent="0.25">
      <c r="A122" t="s">
        <v>22</v>
      </c>
      <c r="B122" t="str">
        <f>[1]ETL_Incremental!C122</f>
        <v>PAYMENTS</v>
      </c>
      <c r="C122" t="str">
        <f>[1]ETL_Incremental!E122</f>
        <v>TOTAL_PAID_DAYS</v>
      </c>
      <c r="D122" t="str">
        <f>[1]ETL_Incremental!H122</f>
        <v>StringType()</v>
      </c>
      <c r="E122" s="7" t="str">
        <f t="shared" si="9"/>
        <v>DOHDA_PAYMENTS</v>
      </c>
      <c r="F122" s="7" t="str">
        <f t="shared" si="10"/>
        <v>TOTAL_PAID_DAYS</v>
      </c>
      <c r="G122" s="7" t="s">
        <v>23</v>
      </c>
      <c r="H122" s="7" t="str">
        <f t="shared" si="11"/>
        <v>DOHDA_PAYMENTS</v>
      </c>
      <c r="I122" s="7" t="str">
        <f t="shared" si="12"/>
        <v>TOTAL_PAID_DAYS</v>
      </c>
      <c r="J122" s="7" t="str">
        <f t="shared" si="13"/>
        <v>VARCHAR</v>
      </c>
      <c r="K122" s="7" t="str">
        <f>TRIM([1]ETL_Incremental!G122)</f>
        <v>VARCHAR(22)</v>
      </c>
      <c r="L122" s="7" t="str">
        <f>TRIM([1]ETL_Incremental!I122)</f>
        <v/>
      </c>
      <c r="M122" s="7" t="str">
        <f t="shared" si="16"/>
        <v>NULLIF(TRIM(TOTAL_PAID_DAYS),'')</v>
      </c>
      <c r="N122" s="7" t="str">
        <f>TRIM([1]ETL_Incremental!J122)</f>
        <v/>
      </c>
      <c r="O122" s="8" t="str">
        <f>IF(TRIM([1]Classification!$G122)="","NOT CONFIDENTIAL",TRIM([1]Classification!$G122))</f>
        <v>NOT CONFIDENTIAL</v>
      </c>
      <c r="P122" s="7" t="str">
        <f t="shared" si="14"/>
        <v>Y</v>
      </c>
      <c r="Q122" s="7" t="s">
        <v>24</v>
      </c>
      <c r="R122" s="9">
        <v>2958465</v>
      </c>
      <c r="S122" s="7" t="s">
        <v>25</v>
      </c>
      <c r="T122" s="7" t="s">
        <v>26</v>
      </c>
      <c r="U122" s="7" t="str">
        <f t="shared" si="15"/>
        <v>DOHDA_PAYMENTS_V</v>
      </c>
      <c r="V122" s="7" t="s">
        <v>27</v>
      </c>
    </row>
    <row r="123" spans="1:22" ht="15" x14ac:dyDescent="0.25">
      <c r="A123" t="s">
        <v>22</v>
      </c>
      <c r="B123" t="str">
        <f>[1]ETL_Incremental!C123</f>
        <v>PAYMENTS</v>
      </c>
      <c r="C123" t="str">
        <f>[1]ETL_Incremental!E123</f>
        <v>SUBSIDY_OR_SUPPLEMENT_RATE</v>
      </c>
      <c r="D123" t="str">
        <f>[1]ETL_Incremental!H123</f>
        <v>StringType()</v>
      </c>
      <c r="E123" s="7" t="str">
        <f t="shared" si="9"/>
        <v>DOHDA_PAYMENTS</v>
      </c>
      <c r="F123" s="7" t="str">
        <f t="shared" si="10"/>
        <v>SUBSIDY_OR_SUPPLEMENT_RATE</v>
      </c>
      <c r="G123" s="7" t="s">
        <v>23</v>
      </c>
      <c r="H123" s="7" t="str">
        <f t="shared" si="11"/>
        <v>DOHDA_PAYMENTS</v>
      </c>
      <c r="I123" s="7" t="str">
        <f t="shared" si="12"/>
        <v>SUBSIDY_OR_SUPPLEMENT_RATE</v>
      </c>
      <c r="J123" s="7" t="str">
        <f t="shared" si="13"/>
        <v>VARCHAR</v>
      </c>
      <c r="K123" s="7" t="str">
        <f>TRIM([1]ETL_Incremental!G123)</f>
        <v>VARCHAR(22)</v>
      </c>
      <c r="L123" s="7" t="str">
        <f>TRIM([1]ETL_Incremental!I123)</f>
        <v/>
      </c>
      <c r="M123" s="7" t="str">
        <f t="shared" si="16"/>
        <v>NULLIF(TRIM(SUBSIDY_OR_SUPPLEMENT_RATE),'')</v>
      </c>
      <c r="N123" s="7" t="str">
        <f>TRIM([1]ETL_Incremental!J123)</f>
        <v/>
      </c>
      <c r="O123" s="8" t="str">
        <f>IF(TRIM([1]Classification!$G123)="","NOT CONFIDENTIAL",TRIM([1]Classification!$G123))</f>
        <v>NOT CONFIDENTIAL</v>
      </c>
      <c r="P123" s="7" t="str">
        <f t="shared" si="14"/>
        <v>Y</v>
      </c>
      <c r="Q123" s="7" t="s">
        <v>24</v>
      </c>
      <c r="R123" s="9">
        <v>2958465</v>
      </c>
      <c r="S123" s="7" t="s">
        <v>25</v>
      </c>
      <c r="T123" s="7" t="s">
        <v>26</v>
      </c>
      <c r="U123" s="7" t="str">
        <f t="shared" si="15"/>
        <v>DOHDA_PAYMENTS_V</v>
      </c>
      <c r="V123" s="7" t="s">
        <v>27</v>
      </c>
    </row>
    <row r="124" spans="1:22" ht="15" x14ac:dyDescent="0.25">
      <c r="A124" t="s">
        <v>22</v>
      </c>
      <c r="B124" t="str">
        <f>[1]ETL_Incremental!C124</f>
        <v>REMOVED_CLIENTS</v>
      </c>
      <c r="C124" t="str">
        <f>[1]ETL_Incremental!E124</f>
        <v>CALENDAR_YEAR_QUARTER</v>
      </c>
      <c r="D124" t="str">
        <f>[1]ETL_Incremental!H124</f>
        <v>StringType()</v>
      </c>
      <c r="E124" s="7" t="str">
        <f t="shared" si="9"/>
        <v>DOHDA_REMOVED_CLIENTS</v>
      </c>
      <c r="F124" s="7" t="str">
        <f t="shared" si="10"/>
        <v>CALENDAR_YEAR_QUARTER</v>
      </c>
      <c r="G124" s="7" t="s">
        <v>23</v>
      </c>
      <c r="H124" s="7" t="str">
        <f t="shared" si="11"/>
        <v>DOHDA_REMOVED_CLIENTS</v>
      </c>
      <c r="I124" s="7" t="str">
        <f t="shared" si="12"/>
        <v>CALENDAR_YEAR_QUARTER</v>
      </c>
      <c r="J124" s="7" t="str">
        <f t="shared" si="13"/>
        <v>VARCHAR</v>
      </c>
      <c r="K124" s="7" t="str">
        <f>TRIM([1]ETL_Incremental!G124)</f>
        <v>VARCHAR(50)</v>
      </c>
      <c r="L124" s="7" t="str">
        <f>TRIM([1]ETL_Incremental!I124)</f>
        <v/>
      </c>
      <c r="M124" s="7" t="str">
        <f t="shared" si="16"/>
        <v>NULLIF(TRIM(CALENDAR_YEAR_QUARTER),'')</v>
      </c>
      <c r="N124" s="7" t="str">
        <f>TRIM([1]ETL_Incremental!J124)</f>
        <v/>
      </c>
      <c r="O124" s="8" t="str">
        <f>IF(TRIM([1]Classification!$G124)="","NOT CONFIDENTIAL",TRIM([1]Classification!$G124))</f>
        <v>NOT CONFIDENTIAL</v>
      </c>
      <c r="P124" s="7" t="str">
        <f t="shared" si="14"/>
        <v>Y</v>
      </c>
      <c r="Q124" s="7" t="s">
        <v>24</v>
      </c>
      <c r="R124" s="9">
        <v>2958465</v>
      </c>
      <c r="S124" s="7" t="s">
        <v>25</v>
      </c>
      <c r="T124" s="7" t="s">
        <v>26</v>
      </c>
      <c r="U124" s="7" t="str">
        <f t="shared" si="15"/>
        <v>DOHDA_REMOVED_CLIENTS_V</v>
      </c>
      <c r="V124" s="7" t="s">
        <v>27</v>
      </c>
    </row>
    <row r="125" spans="1:22" ht="15" x14ac:dyDescent="0.25">
      <c r="A125" t="s">
        <v>22</v>
      </c>
      <c r="B125" t="str">
        <f>[1]ETL_Incremental!C125</f>
        <v>REMOVED_CLIENTS</v>
      </c>
      <c r="C125" t="str">
        <f>[1]ETL_Incremental!E125</f>
        <v>ACMPS_RECIPIENT_ID</v>
      </c>
      <c r="D125" t="str">
        <f>[1]ETL_Incremental!H125</f>
        <v>StringType()</v>
      </c>
      <c r="E125" s="7" t="str">
        <f t="shared" si="9"/>
        <v>DOHDA_REMOVED_CLIENTS</v>
      </c>
      <c r="F125" s="7" t="str">
        <f t="shared" si="10"/>
        <v>ACMPS_RECIPIENT_ID</v>
      </c>
      <c r="G125" s="7" t="s">
        <v>23</v>
      </c>
      <c r="H125" s="7" t="str">
        <f t="shared" si="11"/>
        <v>DOHDA_REMOVED_CLIENTS</v>
      </c>
      <c r="I125" s="7" t="str">
        <f t="shared" si="12"/>
        <v>ACMPS_RECIPIENT_ID</v>
      </c>
      <c r="J125" s="7" t="str">
        <f t="shared" si="13"/>
        <v>VARCHAR</v>
      </c>
      <c r="K125" s="7" t="str">
        <f>TRIM([1]ETL_Incremental!G125)</f>
        <v>VARCHAR(20)</v>
      </c>
      <c r="L125" s="7" t="str">
        <f>TRIM([1]ETL_Incremental!I125)</f>
        <v/>
      </c>
      <c r="M125" s="7" t="str">
        <f t="shared" si="16"/>
        <v>NULLIF(TRIM(ACMPS_RECIPIENT_ID),'')</v>
      </c>
      <c r="N125" s="7" t="str">
        <f>TRIM([1]ETL_Incremental!J125)</f>
        <v>Y</v>
      </c>
      <c r="O125" s="8" t="str">
        <f>IF(TRIM([1]Classification!$G125)="","NOT CONFIDENTIAL",TRIM([1]Classification!$G125))</f>
        <v>NOT CONFIDENTIAL</v>
      </c>
      <c r="P125" s="7" t="str">
        <f t="shared" si="14"/>
        <v>Y</v>
      </c>
      <c r="Q125" s="7" t="s">
        <v>24</v>
      </c>
      <c r="R125" s="9">
        <v>2958465</v>
      </c>
      <c r="S125" s="7" t="s">
        <v>25</v>
      </c>
      <c r="T125" s="7" t="s">
        <v>26</v>
      </c>
      <c r="U125" s="7" t="str">
        <f t="shared" si="15"/>
        <v>DOHDA_REMOVED_CLIENTS_V</v>
      </c>
      <c r="V125" s="7" t="s">
        <v>27</v>
      </c>
    </row>
    <row r="126" spans="1:22" ht="15" x14ac:dyDescent="0.25">
      <c r="A126" t="s">
        <v>22</v>
      </c>
      <c r="B126" t="str">
        <f>[1]ETL_Incremental!C126</f>
        <v>REMOVED_CLIENTS</v>
      </c>
      <c r="C126" t="str">
        <f>[1]ETL_Incremental!E126</f>
        <v>AGED_CARE_USER_ID</v>
      </c>
      <c r="D126" t="str">
        <f>[1]ETL_Incremental!H126</f>
        <v>StringType()</v>
      </c>
      <c r="E126" s="7" t="str">
        <f t="shared" si="9"/>
        <v>DOHDA_REMOVED_CLIENTS</v>
      </c>
      <c r="F126" s="7" t="str">
        <f t="shared" si="10"/>
        <v>AGED_CARE_USER_ID</v>
      </c>
      <c r="G126" s="7" t="s">
        <v>23</v>
      </c>
      <c r="H126" s="7" t="str">
        <f t="shared" si="11"/>
        <v>DOHDA_REMOVED_CLIENTS</v>
      </c>
      <c r="I126" s="7" t="str">
        <f t="shared" si="12"/>
        <v>AGED_CARE_USER_ID</v>
      </c>
      <c r="J126" s="7" t="str">
        <f t="shared" si="13"/>
        <v>VARCHAR</v>
      </c>
      <c r="K126" s="7" t="str">
        <f>TRIM([1]ETL_Incremental!G126)</f>
        <v>VARCHAR(10)</v>
      </c>
      <c r="L126" s="7" t="str">
        <f>TRIM([1]ETL_Incremental!I126)</f>
        <v/>
      </c>
      <c r="M126" s="7" t="str">
        <f t="shared" si="16"/>
        <v>NULLIF(TRIM(AGED_CARE_USER_ID),'')</v>
      </c>
      <c r="N126" s="7" t="str">
        <f>TRIM([1]ETL_Incremental!J126)</f>
        <v>Y</v>
      </c>
      <c r="O126" s="8" t="str">
        <f>IF(TRIM([1]Classification!$G126)="","NOT CONFIDENTIAL",TRIM([1]Classification!$G126))</f>
        <v>NOT CONFIDENTIAL</v>
      </c>
      <c r="P126" s="7" t="str">
        <f t="shared" si="14"/>
        <v>Y</v>
      </c>
      <c r="Q126" s="7" t="s">
        <v>24</v>
      </c>
      <c r="R126" s="9">
        <v>2958465</v>
      </c>
      <c r="S126" s="7" t="s">
        <v>25</v>
      </c>
      <c r="T126" s="7" t="s">
        <v>26</v>
      </c>
      <c r="U126" s="7" t="str">
        <f t="shared" si="15"/>
        <v>DOHDA_REMOVED_CLIENTS_V</v>
      </c>
      <c r="V126" s="7" t="s">
        <v>27</v>
      </c>
    </row>
    <row r="127" spans="1:22" ht="15" x14ac:dyDescent="0.25">
      <c r="A127" t="s">
        <v>22</v>
      </c>
      <c r="B127" t="str">
        <f>[1]ETL_Incremental!C127</f>
        <v>REMOVED_CLIENTS</v>
      </c>
      <c r="C127" t="str">
        <f>[1]ETL_Incremental!E127</f>
        <v>SPARC_RECIPIENT_ID</v>
      </c>
      <c r="D127" t="str">
        <f>[1]ETL_Incremental!H127</f>
        <v>StringType()</v>
      </c>
      <c r="E127" s="7" t="str">
        <f t="shared" si="9"/>
        <v>DOHDA_REMOVED_CLIENTS</v>
      </c>
      <c r="F127" s="7" t="str">
        <f t="shared" si="10"/>
        <v>SPARC_RECIPIENT_ID</v>
      </c>
      <c r="G127" s="7" t="s">
        <v>23</v>
      </c>
      <c r="H127" s="7" t="str">
        <f t="shared" si="11"/>
        <v>DOHDA_REMOVED_CLIENTS</v>
      </c>
      <c r="I127" s="7" t="str">
        <f t="shared" si="12"/>
        <v>SPARC_RECIPIENT_ID</v>
      </c>
      <c r="J127" s="7" t="str">
        <f t="shared" si="13"/>
        <v>VARCHAR</v>
      </c>
      <c r="K127" s="7" t="str">
        <f>TRIM([1]ETL_Incremental!G127)</f>
        <v>VARCHAR(15)</v>
      </c>
      <c r="L127" s="7" t="str">
        <f>TRIM([1]ETL_Incremental!I127)</f>
        <v/>
      </c>
      <c r="M127" s="7" t="str">
        <f t="shared" si="16"/>
        <v>NULLIF(TRIM(SPARC_RECIPIENT_ID),'')</v>
      </c>
      <c r="N127" s="7" t="str">
        <f>TRIM([1]ETL_Incremental!J127)</f>
        <v/>
      </c>
      <c r="O127" s="8" t="str">
        <f>IF(TRIM([1]Classification!$G127)="","NOT CONFIDENTIAL",TRIM([1]Classification!$G127))</f>
        <v>NOT CONFIDENTIAL</v>
      </c>
      <c r="P127" s="7" t="str">
        <f t="shared" si="14"/>
        <v>Y</v>
      </c>
      <c r="Q127" s="7" t="s">
        <v>24</v>
      </c>
      <c r="R127" s="9">
        <v>2958465</v>
      </c>
      <c r="S127" s="7" t="s">
        <v>25</v>
      </c>
      <c r="T127" s="7" t="s">
        <v>26</v>
      </c>
      <c r="U127" s="7" t="str">
        <f t="shared" si="15"/>
        <v>DOHDA_REMOVED_CLIENTS_V</v>
      </c>
      <c r="V127" s="7" t="s">
        <v>27</v>
      </c>
    </row>
    <row r="128" spans="1:22" ht="15" x14ac:dyDescent="0.25">
      <c r="A128" t="s">
        <v>22</v>
      </c>
      <c r="B128" t="str">
        <f>[1]ETL_Incremental!C128</f>
        <v>REMOVED_CLIENTS</v>
      </c>
      <c r="C128" t="str">
        <f>[1]ETL_Incremental!E128</f>
        <v>FIRST_NAME</v>
      </c>
      <c r="D128" t="str">
        <f>[1]ETL_Incremental!H128</f>
        <v>StringType()</v>
      </c>
      <c r="E128" s="7" t="str">
        <f t="shared" si="9"/>
        <v>DOHDA_REMOVED_CLIENTS</v>
      </c>
      <c r="F128" s="7" t="str">
        <f t="shared" si="10"/>
        <v>FIRST_NAME</v>
      </c>
      <c r="G128" s="7" t="s">
        <v>23</v>
      </c>
      <c r="H128" s="7" t="str">
        <f t="shared" si="11"/>
        <v>DOHDA_REMOVED_CLIENTS</v>
      </c>
      <c r="I128" s="7" t="str">
        <f t="shared" si="12"/>
        <v>FIRST_NAME</v>
      </c>
      <c r="J128" s="7" t="str">
        <f t="shared" si="13"/>
        <v>VARCHAR</v>
      </c>
      <c r="K128" s="7" t="str">
        <f>TRIM([1]ETL_Incremental!G128)</f>
        <v>VARCHAR(50)</v>
      </c>
      <c r="L128" s="7" t="str">
        <f>TRIM([1]ETL_Incremental!I128)</f>
        <v/>
      </c>
      <c r="M128" s="7" t="str">
        <f t="shared" si="16"/>
        <v>NULLIF(TRIM(FIRST_NAME),'')</v>
      </c>
      <c r="N128" s="7" t="str">
        <f>TRIM([1]ETL_Incremental!J128)</f>
        <v/>
      </c>
      <c r="O128" s="8" t="str">
        <f>IF(TRIM([1]Classification!$G128)="","NOT CONFIDENTIAL",TRIM([1]Classification!$G128))</f>
        <v>PERSONAL_IDENTITYINFODIRECT</v>
      </c>
      <c r="P128" s="7" t="str">
        <f t="shared" si="14"/>
        <v>Y</v>
      </c>
      <c r="Q128" s="7" t="s">
        <v>24</v>
      </c>
      <c r="R128" s="9">
        <v>2958465</v>
      </c>
      <c r="S128" s="7" t="s">
        <v>25</v>
      </c>
      <c r="T128" s="7" t="s">
        <v>26</v>
      </c>
      <c r="U128" s="7" t="str">
        <f t="shared" si="15"/>
        <v>DOHDA_REMOVED_CLIENTS_V</v>
      </c>
      <c r="V128" s="7" t="s">
        <v>27</v>
      </c>
    </row>
    <row r="129" spans="1:22" ht="15" x14ac:dyDescent="0.25">
      <c r="A129" t="s">
        <v>22</v>
      </c>
      <c r="B129" t="str">
        <f>[1]ETL_Incremental!C129</f>
        <v>REMOVED_CLIENTS</v>
      </c>
      <c r="C129" t="str">
        <f>[1]ETL_Incremental!E129</f>
        <v>MIDDLE_NAME</v>
      </c>
      <c r="D129" t="str">
        <f>[1]ETL_Incremental!H129</f>
        <v>StringType()</v>
      </c>
      <c r="E129" s="7" t="str">
        <f t="shared" si="9"/>
        <v>DOHDA_REMOVED_CLIENTS</v>
      </c>
      <c r="F129" s="7" t="str">
        <f t="shared" si="10"/>
        <v>MIDDLE_NAME</v>
      </c>
      <c r="G129" s="7" t="s">
        <v>23</v>
      </c>
      <c r="H129" s="7" t="str">
        <f t="shared" si="11"/>
        <v>DOHDA_REMOVED_CLIENTS</v>
      </c>
      <c r="I129" s="7" t="str">
        <f t="shared" si="12"/>
        <v>MIDDLE_NAME</v>
      </c>
      <c r="J129" s="7" t="str">
        <f t="shared" si="13"/>
        <v>VARCHAR</v>
      </c>
      <c r="K129" s="7" t="str">
        <f>TRIM([1]ETL_Incremental!G129)</f>
        <v>VARCHAR(50)</v>
      </c>
      <c r="L129" s="7" t="str">
        <f>TRIM([1]ETL_Incremental!I129)</f>
        <v/>
      </c>
      <c r="M129" s="7" t="str">
        <f t="shared" si="16"/>
        <v>NULLIF(TRIM(MIDDLE_NAME),'')</v>
      </c>
      <c r="N129" s="7" t="str">
        <f>TRIM([1]ETL_Incremental!J129)</f>
        <v/>
      </c>
      <c r="O129" s="8" t="str">
        <f>IF(TRIM([1]Classification!$G129)="","NOT CONFIDENTIAL",TRIM([1]Classification!$G129))</f>
        <v>PERSONAL_IDENTITYINFODIRECT</v>
      </c>
      <c r="P129" s="7" t="str">
        <f t="shared" si="14"/>
        <v>Y</v>
      </c>
      <c r="Q129" s="7" t="s">
        <v>24</v>
      </c>
      <c r="R129" s="9">
        <v>2958465</v>
      </c>
      <c r="S129" s="7" t="s">
        <v>25</v>
      </c>
      <c r="T129" s="7" t="s">
        <v>26</v>
      </c>
      <c r="U129" s="7" t="str">
        <f t="shared" si="15"/>
        <v>DOHDA_REMOVED_CLIENTS_V</v>
      </c>
      <c r="V129" s="7" t="s">
        <v>27</v>
      </c>
    </row>
    <row r="130" spans="1:22" ht="15" x14ac:dyDescent="0.25">
      <c r="A130" t="s">
        <v>22</v>
      </c>
      <c r="B130" t="str">
        <f>[1]ETL_Incremental!C130</f>
        <v>REMOVED_CLIENTS</v>
      </c>
      <c r="C130" t="str">
        <f>[1]ETL_Incremental!E130</f>
        <v>SURNAME</v>
      </c>
      <c r="D130" t="str">
        <f>[1]ETL_Incremental!H130</f>
        <v>StringType()</v>
      </c>
      <c r="E130" s="7" t="str">
        <f t="shared" ref="E130:E171" si="19">CONCATENATE($A130,"_",B130)</f>
        <v>DOHDA_REMOVED_CLIENTS</v>
      </c>
      <c r="F130" s="7" t="str">
        <f t="shared" ref="F130:F135" si="20">IF($C130="Start_Date","STRT_DT",
 IF($C130="End_Date","END_DT",
 IF($C130="Record_Deleted_Flag","RCRD_DEL_IND",
 IF($C130="IsDeleted","RCRD_DEL_IND",
 $C130
))))</f>
        <v>SURNAME</v>
      </c>
      <c r="G130" s="7" t="s">
        <v>23</v>
      </c>
      <c r="H130" s="7" t="str">
        <f t="shared" ref="H130:H133" si="21">CONCATENATE($A130,"_",$B130)</f>
        <v>DOHDA_REMOVED_CLIENTS</v>
      </c>
      <c r="I130" s="7" t="str">
        <f t="shared" ref="I130:I135" si="22">IF($C130="Start_Date","STRT_DT",
 IF($C130="End_Date","END_DT",
 IF($C130="Record_Deleted_Flag","RCRD_DEL_IND",
 IF($C130="IsDeleted","RCRD_DEL_IND",
 $C130
))))</f>
        <v>SURNAME</v>
      </c>
      <c r="J130" s="7" t="str">
        <f t="shared" ref="J130:J135" si="23">IF(LEFT(TRIM($K130),7)="VARCHAR","VARCHAR",
 IF(LEFT(TRIM($K130),4)="CHAR","VARCHAR",
 IF(TRIM($K130)="TIMESTAMP(6)","TIMESTAMP",
 IF(TRIM($K130)="DATE","DATE",
 IF(TRIM($K130)="BYTEINT","SMALLINT",
 IF(TRIM($K130)="SMALLINT","SMALLINT",
 IF(TRIM($K130)="INTEGER","INTEGER",
 IF(TRIM($K130)="BIGINT","INTEGER",
 IF(LEFT(TRIM($K130),7)="DECIMAL",TRIM($K130),
 IF(TRIM($K130)="BOOLEAN","BOOLEAN",
 IF(TRIM($K130)="DOUBLE","DOUBLE",
 IF(TRIM($K130)="FLOAT","FLOAT",
 IF(TRIM($K130)="REAL","REAL",
 IF(LEFT(TRIM($K130),6)="STRUCT","VARIANT",
 IF(LEFT(TRIM($K130),5)="ARRAY","VARIANT",
 IF(LEFT(TRIM($K130),3)="MAP","VARIANT",
 IF(LEFT(TRIM($K130),3)="ROW","VARIANT",
 "NONE"
)))))))))))))))))</f>
        <v>VARCHAR</v>
      </c>
      <c r="K130" s="7" t="str">
        <f>TRIM([1]ETL_Incremental!G130)</f>
        <v>VARCHAR(50)</v>
      </c>
      <c r="L130" s="7" t="str">
        <f>TRIM([1]ETL_Incremental!I130)</f>
        <v/>
      </c>
      <c r="M130" s="7" t="str">
        <f t="shared" si="16"/>
        <v>NULLIF(TRIM(SURNAME),'')</v>
      </c>
      <c r="N130" s="7" t="str">
        <f>TRIM([1]ETL_Incremental!J130)</f>
        <v/>
      </c>
      <c r="O130" s="8" t="str">
        <f>IF(TRIM([1]Classification!$G130)="","NOT CONFIDENTIAL",TRIM([1]Classification!$G130))</f>
        <v>PERSONAL_IDENTITYINFODIRECT</v>
      </c>
      <c r="P130" s="7" t="str">
        <f t="shared" ref="P130:P135" si="24">IF($C130="Start_Date","N",
 IF($C130="End_Date","N",
 IF($C130="Record_Deleted_Flag","N",
 IF($C130="IsDeleted","N",
 "Y"
))))</f>
        <v>Y</v>
      </c>
      <c r="Q130" s="7" t="s">
        <v>24</v>
      </c>
      <c r="R130" s="9">
        <v>2958465</v>
      </c>
      <c r="S130" s="7" t="s">
        <v>25</v>
      </c>
      <c r="T130" s="7" t="s">
        <v>26</v>
      </c>
      <c r="U130" s="7" t="str">
        <f t="shared" ref="U130:U169" si="25">CONCATENATE(A130,"_",B130,"_V")</f>
        <v>DOHDA_REMOVED_CLIENTS_V</v>
      </c>
      <c r="V130" s="7" t="s">
        <v>27</v>
      </c>
    </row>
    <row r="131" spans="1:22" ht="15" x14ac:dyDescent="0.25">
      <c r="A131" t="s">
        <v>22</v>
      </c>
      <c r="B131" t="str">
        <f>[1]ETL_Incremental!C131</f>
        <v>REMOVED_CLIENTS</v>
      </c>
      <c r="C131" t="str">
        <f>[1]ETL_Incremental!E131</f>
        <v>DATE_OF_BIRTH</v>
      </c>
      <c r="D131" t="str">
        <f>[1]ETL_Incremental!H131</f>
        <v>StringType()</v>
      </c>
      <c r="E131" s="7" t="str">
        <f t="shared" si="19"/>
        <v>DOHDA_REMOVED_CLIENTS</v>
      </c>
      <c r="F131" s="7" t="str">
        <f t="shared" si="20"/>
        <v>DATE_OF_BIRTH</v>
      </c>
      <c r="G131" s="7" t="s">
        <v>23</v>
      </c>
      <c r="H131" s="7" t="str">
        <f t="shared" si="21"/>
        <v>DOHDA_REMOVED_CLIENTS</v>
      </c>
      <c r="I131" s="7" t="str">
        <f t="shared" si="22"/>
        <v>DATE_OF_BIRTH</v>
      </c>
      <c r="J131" s="7" t="s">
        <v>29</v>
      </c>
      <c r="K131" s="7" t="str">
        <f>TRIM([1]ETL_Incremental!G131)</f>
        <v>VARCHAR(7)</v>
      </c>
      <c r="L131" s="7" t="s">
        <v>30</v>
      </c>
      <c r="M131" s="7" t="s">
        <v>32</v>
      </c>
      <c r="N131" s="7" t="str">
        <f>TRIM([1]ETL_Incremental!J131)</f>
        <v/>
      </c>
      <c r="O131" s="8" t="str">
        <f>IF(TRIM([1]Classification!$G131)="","NOT CONFIDENTIAL",TRIM([1]Classification!$G131))</f>
        <v>PERSONAL_OTHERINFO</v>
      </c>
      <c r="P131" s="7" t="str">
        <f t="shared" si="24"/>
        <v>Y</v>
      </c>
      <c r="Q131" s="7" t="s">
        <v>24</v>
      </c>
      <c r="R131" s="9">
        <v>2958465</v>
      </c>
      <c r="S131" s="7" t="s">
        <v>25</v>
      </c>
      <c r="T131" s="7" t="s">
        <v>26</v>
      </c>
      <c r="U131" s="7" t="str">
        <f t="shared" si="25"/>
        <v>DOHDA_REMOVED_CLIENTS_V</v>
      </c>
      <c r="V131" s="7" t="s">
        <v>27</v>
      </c>
    </row>
    <row r="132" spans="1:22" ht="15" x14ac:dyDescent="0.25">
      <c r="A132" t="s">
        <v>22</v>
      </c>
      <c r="B132" t="str">
        <f>[1]ETL_Incremental!C132</f>
        <v>REMOVED_CLIENTS</v>
      </c>
      <c r="C132" t="str">
        <f>[1]ETL_Incremental!E132</f>
        <v>GENDER</v>
      </c>
      <c r="D132" t="str">
        <f>[1]ETL_Incremental!H132</f>
        <v>StringType()</v>
      </c>
      <c r="E132" s="7" t="str">
        <f t="shared" si="19"/>
        <v>DOHDA_REMOVED_CLIENTS</v>
      </c>
      <c r="F132" s="7" t="str">
        <f t="shared" si="20"/>
        <v>GENDER</v>
      </c>
      <c r="G132" s="7" t="s">
        <v>23</v>
      </c>
      <c r="H132" s="7" t="str">
        <f t="shared" si="21"/>
        <v>DOHDA_REMOVED_CLIENTS</v>
      </c>
      <c r="I132" s="7" t="str">
        <f t="shared" si="22"/>
        <v>GENDER</v>
      </c>
      <c r="J132" s="7" t="str">
        <f t="shared" si="23"/>
        <v>VARCHAR</v>
      </c>
      <c r="K132" s="7" t="str">
        <f>TRIM([1]ETL_Incremental!G132)</f>
        <v>VARCHAR(50)</v>
      </c>
      <c r="L132" s="7" t="str">
        <f>TRIM([1]ETL_Incremental!I132)</f>
        <v/>
      </c>
      <c r="M132" s="7" t="str">
        <f t="shared" ref="M132:M136" si="26">IF(AND(LEFT($K132,7)="VARCHAR", OR(RIGHT($I132,2)="DT", RIGHT($I132,4)="DATE")), "TO_VARCHAR(TRY_TO_DATE("&amp;I132&amp;"::STRING, 'DD/MON/YY'), 'DD-MM-YYYY')",
 IF(LEFT($K132,7)="VARCHAR","NULLIF(TRIM("&amp;$I132&amp;"),'')",
 IF(LEFT($K132,4)="CHAR","NULLIF(TRIM("&amp;$I132&amp;"),'')",
 IF(LEFT($K132,7)="DECIMAL","CAST(NULLIF(TRIM("&amp;$I132&amp;"),'') AS "&amp;$K132&amp;")",
 IF($K132="TIMESTAMP(6)","TO_TIMESTAMP_NTZ(NULLIF(TRIM("&amp;$I132&amp;"),''),'YYYY-MM-DD HH24:MI:SS.FF6')",
 IF($K132="DATE","TO_DATE(NULLIF(TRIM("&amp;$I132&amp;"),'') , 'YYYY-MM-DD')",
 IF($K132="BIGINT","CAST(NULLIF(TRIM("&amp;$I132&amp;"),'') AS INTEGER)",
 IF($K132="BYTEINT","CAST(NULLIF(TRIM("&amp;$I132&amp;"),'') AS SMALLINT)",
 IF($K132="SMALLINT","CAST(NULLIF(TRIM("&amp;$I132&amp;"),'') AS SMALLINT)",
 IF($K132="INTEGER","CAST(NULLIF(TRIM("&amp;$I132&amp;"),'') AS INTEGER)",
 IF($K132="BOOLEAN","CAST(NULLIF(TRIM("&amp;$I132&amp;"),'') AS BOOLEAN)",
 IF($K132="DOUBLE","CAST(NULLIF(TRIM("&amp;$I132&amp;"),'') AS DOUBLE)",
 IF($K132="FLOAT","CAST(NULLIF(TRIM("&amp;$I132&amp;"),'') AS FLOAT)",
 IF($K132="REAL","CAST(NULLIF(TRIM("&amp;$I132&amp;"),'') AS REAL)",
 IF(OR($K132="STRUCT",$K132="ARRAY",$K132="MAP",$K132="ROW"),"CAST(NULLIF(TRIM("&amp;$I132&amp;"),'') AS VARIANT)",
 "NONE"
)))))))))))))))</f>
        <v>NULLIF(TRIM(GENDER),'')</v>
      </c>
      <c r="N132" s="7" t="str">
        <f>TRIM([1]ETL_Incremental!J132)</f>
        <v/>
      </c>
      <c r="O132" s="8" t="str">
        <f>IF(TRIM([1]Classification!$G132)="","NOT CONFIDENTIAL",TRIM([1]Classification!$G132))</f>
        <v>NOT CONFIDENTIAL</v>
      </c>
      <c r="P132" s="7" t="str">
        <f t="shared" si="24"/>
        <v>Y</v>
      </c>
      <c r="Q132" s="7" t="s">
        <v>24</v>
      </c>
      <c r="R132" s="9">
        <v>2958465</v>
      </c>
      <c r="S132" s="7" t="s">
        <v>25</v>
      </c>
      <c r="T132" s="7" t="s">
        <v>26</v>
      </c>
      <c r="U132" s="7" t="str">
        <f t="shared" si="25"/>
        <v>DOHDA_REMOVED_CLIENTS_V</v>
      </c>
      <c r="V132" s="7" t="s">
        <v>27</v>
      </c>
    </row>
    <row r="133" spans="1:22" ht="15" x14ac:dyDescent="0.25">
      <c r="A133" t="s">
        <v>22</v>
      </c>
      <c r="B133" t="str">
        <f>[1]ETL_Incremental!C133</f>
        <v>REMOVED_CLIENTS</v>
      </c>
      <c r="C133" t="str">
        <f>[1]ETL_Incremental!E133</f>
        <v>DISCHARGE_REASON</v>
      </c>
      <c r="D133" t="str">
        <f>[1]ETL_Incremental!H133</f>
        <v>StringType()</v>
      </c>
      <c r="E133" s="7" t="str">
        <f t="shared" si="19"/>
        <v>DOHDA_REMOVED_CLIENTS</v>
      </c>
      <c r="F133" s="7" t="str">
        <f t="shared" si="20"/>
        <v>DISCHARGE_REASON</v>
      </c>
      <c r="G133" s="7" t="s">
        <v>23</v>
      </c>
      <c r="H133" s="7" t="str">
        <f t="shared" si="21"/>
        <v>DOHDA_REMOVED_CLIENTS</v>
      </c>
      <c r="I133" s="7" t="str">
        <f t="shared" si="22"/>
        <v>DISCHARGE_REASON</v>
      </c>
      <c r="J133" s="7" t="str">
        <f t="shared" si="23"/>
        <v>VARCHAR</v>
      </c>
      <c r="K133" s="7" t="str">
        <f>TRIM([1]ETL_Incremental!G133)</f>
        <v>VARCHAR(100)</v>
      </c>
      <c r="L133" s="7" t="str">
        <f>TRIM([1]ETL_Incremental!I133)</f>
        <v/>
      </c>
      <c r="M133" s="7" t="str">
        <f t="shared" si="26"/>
        <v>NULLIF(TRIM(DISCHARGE_REASON),'')</v>
      </c>
      <c r="N133" s="7" t="str">
        <f>TRIM([1]ETL_Incremental!J133)</f>
        <v/>
      </c>
      <c r="O133" s="8" t="str">
        <f>IF(TRIM([1]Classification!$G133)="","NOT CONFIDENTIAL",TRIM([1]Classification!$G133))</f>
        <v>NOT CONFIDENTIAL</v>
      </c>
      <c r="P133" s="7" t="str">
        <f t="shared" si="24"/>
        <v>Y</v>
      </c>
      <c r="Q133" s="7" t="s">
        <v>24</v>
      </c>
      <c r="R133" s="9">
        <v>2958465</v>
      </c>
      <c r="S133" s="7" t="s">
        <v>25</v>
      </c>
      <c r="T133" s="7" t="s">
        <v>26</v>
      </c>
      <c r="U133" s="7" t="str">
        <f t="shared" si="25"/>
        <v>DOHDA_REMOVED_CLIENTS_V</v>
      </c>
      <c r="V133" s="7" t="s">
        <v>27</v>
      </c>
    </row>
    <row r="134" spans="1:22" ht="15" x14ac:dyDescent="0.25">
      <c r="A134" t="s">
        <v>22</v>
      </c>
      <c r="B134" t="str">
        <f>[1]ETL_Incremental!C134</f>
        <v>REMOVED_CLIENTS</v>
      </c>
      <c r="C134" t="str">
        <f>[1]ETL_Incremental!E134</f>
        <v>DISCHARGE_DATE</v>
      </c>
      <c r="D134" t="str">
        <f>[1]ETL_Incremental!H134</f>
        <v>StringType()</v>
      </c>
      <c r="E134" s="7" t="str">
        <f>CONCATENATE($A135,"_",B134)</f>
        <v>DOHDA_REMOVED_CLIENTS</v>
      </c>
      <c r="F134" s="7" t="str">
        <f t="shared" si="20"/>
        <v>DISCHARGE_DATE</v>
      </c>
      <c r="G134" s="7" t="s">
        <v>28</v>
      </c>
      <c r="H134" s="7" t="str">
        <f>CONCATENATE($A135,"_",$B134)</f>
        <v>DOHDA_REMOVED_CLIENTS</v>
      </c>
      <c r="I134" s="7" t="str">
        <f t="shared" si="22"/>
        <v>DISCHARGE_DATE</v>
      </c>
      <c r="J134" s="7" t="s">
        <v>29</v>
      </c>
      <c r="K134" s="7" t="str">
        <f>TRIM([1]ETL_Incremental!G134)</f>
        <v>VARCHAR(7)</v>
      </c>
      <c r="L134" s="7" t="s">
        <v>30</v>
      </c>
      <c r="M134" s="7" t="str">
        <f>"TO_DATE(NULLIF(TRIM("&amp;$I134&amp;"),''), 'DD/MON/YY')"</f>
        <v>TO_DATE(NULLIF(TRIM(DISCHARGE_DATE),''), 'DD/MON/YY')</v>
      </c>
      <c r="N134" s="7" t="str">
        <f>TRIM([1]ETL_Incremental!J134)</f>
        <v/>
      </c>
      <c r="O134" s="8" t="str">
        <f>IF(TRIM([1]Classification!$G134)="","NOT CONFIDENTIAL",TRIM([1]Classification!$G134))</f>
        <v>NOT CONFIDENTIAL</v>
      </c>
      <c r="P134" s="7" t="str">
        <f t="shared" si="24"/>
        <v>Y</v>
      </c>
      <c r="Q134" s="7" t="s">
        <v>24</v>
      </c>
      <c r="R134" s="9">
        <v>2958465</v>
      </c>
      <c r="S134" s="7" t="s">
        <v>25</v>
      </c>
      <c r="T134" s="7" t="s">
        <v>26</v>
      </c>
      <c r="U134" s="7" t="str">
        <f>CONCATENATE(A135,"_",B134,"_V")</f>
        <v>DOHDA_REMOVED_CLIENTS_V</v>
      </c>
      <c r="V134" s="7" t="s">
        <v>27</v>
      </c>
    </row>
    <row r="135" spans="1:22" ht="15" x14ac:dyDescent="0.25">
      <c r="A135" t="s">
        <v>22</v>
      </c>
      <c r="B135" t="str">
        <f>[1]ETL_Incremental!C135</f>
        <v>REMOVED_CLIENTS</v>
      </c>
      <c r="C135" t="str">
        <f>[1]ETL_Incremental!E135</f>
        <v>INADEQUATE_HOUSING_INDICATOR</v>
      </c>
      <c r="D135" t="str">
        <f>[1]ETL_Incremental!H135</f>
        <v>StringType()</v>
      </c>
      <c r="E135" s="7" t="str">
        <f t="shared" si="19"/>
        <v>DOHDA_REMOVED_CLIENTS</v>
      </c>
      <c r="F135" s="7" t="str">
        <f t="shared" si="20"/>
        <v>INADEQUATE_HOUSING_INDICATOR</v>
      </c>
      <c r="G135" s="7" t="s">
        <v>23</v>
      </c>
      <c r="H135" s="7" t="str">
        <f>CONCATENATE($A135,"_",$B135)</f>
        <v>DOHDA_REMOVED_CLIENTS</v>
      </c>
      <c r="I135" s="7" t="str">
        <f t="shared" si="22"/>
        <v>INADEQUATE_HOUSING_INDICATOR</v>
      </c>
      <c r="J135" s="7" t="str">
        <f t="shared" si="23"/>
        <v>VARCHAR</v>
      </c>
      <c r="K135" s="7" t="str">
        <f>TRIM([1]ETL_Incremental!G135)</f>
        <v>VARCHAR(1)</v>
      </c>
      <c r="L135" s="7" t="str">
        <f>TRIM([1]ETL_Incremental!I135)</f>
        <v/>
      </c>
      <c r="M135" s="7" t="str">
        <f t="shared" si="26"/>
        <v>NULLIF(TRIM(INADEQUATE_HOUSING_INDICATOR),'')</v>
      </c>
      <c r="N135" s="7" t="str">
        <f>TRIM([1]ETL_Incremental!J135)</f>
        <v/>
      </c>
      <c r="O135" s="8" t="str">
        <f>IF(TRIM([1]Classification!$G135)="","NOT CONFIDENTIAL",TRIM([1]Classification!$G135))</f>
        <v>NOT CONFIDENTIAL</v>
      </c>
      <c r="P135" s="7" t="str">
        <f t="shared" si="24"/>
        <v>Y</v>
      </c>
      <c r="Q135" s="7" t="s">
        <v>24</v>
      </c>
      <c r="R135" s="9">
        <v>2958465</v>
      </c>
      <c r="S135" s="7" t="s">
        <v>25</v>
      </c>
      <c r="T135" s="7" t="s">
        <v>26</v>
      </c>
      <c r="U135" s="7" t="str">
        <f>CONCATENATE(A135,"_",B135,"_V")</f>
        <v>DOHDA_REMOVED_CLIENTS_V</v>
      </c>
      <c r="V135" s="7" t="s">
        <v>27</v>
      </c>
    </row>
    <row r="136" spans="1:22" ht="15" x14ac:dyDescent="0.25">
      <c r="A136"/>
      <c r="B136"/>
      <c r="D136"/>
      <c r="O136" s="8"/>
      <c r="R136" s="9"/>
    </row>
    <row r="137" spans="1:22" ht="15" x14ac:dyDescent="0.25">
      <c r="A137"/>
      <c r="B137"/>
      <c r="D137"/>
      <c r="O137" s="8"/>
      <c r="R137" s="9"/>
    </row>
    <row r="138" spans="1:22" ht="15" x14ac:dyDescent="0.25">
      <c r="A138"/>
      <c r="B138"/>
      <c r="D138"/>
      <c r="O138" s="8"/>
      <c r="R138" s="9"/>
    </row>
    <row r="139" spans="1:22" ht="15" x14ac:dyDescent="0.25">
      <c r="A139"/>
      <c r="B139"/>
      <c r="D139"/>
      <c r="O139" s="8"/>
      <c r="R139" s="9"/>
    </row>
    <row r="140" spans="1:22" ht="15" x14ac:dyDescent="0.25">
      <c r="A140"/>
      <c r="B140"/>
      <c r="D140"/>
      <c r="O140" s="8"/>
      <c r="R140" s="9"/>
    </row>
    <row r="141" spans="1:22" ht="15" x14ac:dyDescent="0.25">
      <c r="A141"/>
      <c r="B141"/>
      <c r="D141"/>
      <c r="O141" s="8"/>
      <c r="R141" s="9"/>
    </row>
    <row r="142" spans="1:22" ht="15" x14ac:dyDescent="0.25">
      <c r="A142"/>
      <c r="B142"/>
      <c r="D142"/>
      <c r="O142" s="8"/>
      <c r="R142" s="9"/>
    </row>
    <row r="143" spans="1:22" ht="15" x14ac:dyDescent="0.25">
      <c r="A143"/>
      <c r="B143"/>
      <c r="D143"/>
      <c r="O143" s="8"/>
      <c r="R143" s="9"/>
    </row>
    <row r="144" spans="1:22" ht="15" x14ac:dyDescent="0.25">
      <c r="A144"/>
      <c r="B144"/>
      <c r="D144"/>
      <c r="O144" s="8"/>
      <c r="R144" s="9"/>
    </row>
    <row r="145" spans="1:18" ht="15" x14ac:dyDescent="0.25">
      <c r="A145"/>
      <c r="B145"/>
      <c r="D145"/>
      <c r="O145" s="8"/>
      <c r="R145" s="9"/>
    </row>
    <row r="146" spans="1:18" ht="15" x14ac:dyDescent="0.25">
      <c r="A146"/>
      <c r="B146"/>
      <c r="D146"/>
      <c r="O146" s="8"/>
      <c r="R146" s="9"/>
    </row>
    <row r="147" spans="1:18" ht="15" x14ac:dyDescent="0.25">
      <c r="A147"/>
      <c r="B147"/>
      <c r="D147"/>
      <c r="O147" s="8"/>
      <c r="R147" s="9"/>
    </row>
    <row r="148" spans="1:18" ht="15" x14ac:dyDescent="0.25">
      <c r="A148"/>
      <c r="B148"/>
      <c r="D148"/>
      <c r="O148" s="8"/>
      <c r="R148" s="9"/>
    </row>
    <row r="149" spans="1:18" ht="15" x14ac:dyDescent="0.25">
      <c r="A149"/>
      <c r="B149"/>
      <c r="D149"/>
      <c r="O149" s="8"/>
      <c r="R149" s="9"/>
    </row>
    <row r="150" spans="1:18" ht="15" x14ac:dyDescent="0.25">
      <c r="A150"/>
      <c r="B150"/>
      <c r="D150"/>
      <c r="O150" s="8"/>
      <c r="R150" s="9"/>
    </row>
    <row r="151" spans="1:18" ht="15" x14ac:dyDescent="0.25">
      <c r="A151"/>
      <c r="B151"/>
      <c r="D151"/>
      <c r="K151" s="10"/>
      <c r="O151" s="8"/>
      <c r="R151" s="9"/>
    </row>
    <row r="152" spans="1:18" ht="15" x14ac:dyDescent="0.25">
      <c r="A152"/>
      <c r="B152"/>
      <c r="D152"/>
      <c r="K152" s="10"/>
      <c r="O152" s="8"/>
      <c r="R152" s="9"/>
    </row>
    <row r="153" spans="1:18" ht="15" x14ac:dyDescent="0.25">
      <c r="A153"/>
      <c r="B153"/>
      <c r="D153"/>
      <c r="O153" s="8"/>
      <c r="R153" s="9"/>
    </row>
    <row r="154" spans="1:18" ht="15" x14ac:dyDescent="0.25">
      <c r="A154"/>
      <c r="B154"/>
      <c r="D154"/>
      <c r="O154" s="8"/>
      <c r="R154" s="9"/>
    </row>
    <row r="155" spans="1:18" ht="15" x14ac:dyDescent="0.25">
      <c r="A155"/>
      <c r="B155"/>
      <c r="D155"/>
      <c r="O155" s="8"/>
      <c r="R155" s="9"/>
    </row>
    <row r="156" spans="1:18" ht="15" x14ac:dyDescent="0.25">
      <c r="A156"/>
      <c r="B156"/>
      <c r="D156"/>
      <c r="O156" s="8"/>
      <c r="R156" s="9"/>
    </row>
    <row r="157" spans="1:18" ht="15" x14ac:dyDescent="0.25">
      <c r="A157"/>
      <c r="B157"/>
      <c r="D157"/>
      <c r="O157" s="8"/>
      <c r="R157" s="9"/>
    </row>
    <row r="158" spans="1:18" ht="15" x14ac:dyDescent="0.25">
      <c r="A158"/>
      <c r="B158"/>
      <c r="D158"/>
      <c r="O158" s="8"/>
      <c r="R158" s="9"/>
    </row>
    <row r="159" spans="1:18" ht="15" x14ac:dyDescent="0.25">
      <c r="A159"/>
      <c r="B159"/>
      <c r="D159"/>
      <c r="O159" s="8"/>
      <c r="R159" s="9"/>
    </row>
    <row r="160" spans="1:18" ht="15" x14ac:dyDescent="0.25">
      <c r="A160"/>
      <c r="B160"/>
      <c r="D160"/>
      <c r="O160" s="8"/>
      <c r="R160" s="9"/>
    </row>
    <row r="161" spans="1:18" ht="15" x14ac:dyDescent="0.25">
      <c r="A161"/>
      <c r="B161"/>
      <c r="D161"/>
      <c r="O161" s="8"/>
      <c r="R161" s="9"/>
    </row>
    <row r="162" spans="1:18" ht="15" x14ac:dyDescent="0.25">
      <c r="A162"/>
      <c r="B162"/>
      <c r="D162"/>
      <c r="O162" s="8"/>
      <c r="R162" s="9"/>
    </row>
    <row r="163" spans="1:18" ht="15" x14ac:dyDescent="0.25">
      <c r="A163"/>
      <c r="B163"/>
      <c r="D163"/>
      <c r="O163" s="8"/>
      <c r="R163" s="9"/>
    </row>
    <row r="164" spans="1:18" ht="15" x14ac:dyDescent="0.25">
      <c r="A164"/>
      <c r="B164"/>
      <c r="D164"/>
      <c r="O164" s="8"/>
      <c r="R164" s="9"/>
    </row>
    <row r="165" spans="1:18" ht="15" x14ac:dyDescent="0.25">
      <c r="A165"/>
      <c r="B165"/>
      <c r="D165"/>
      <c r="O165" s="8"/>
      <c r="R165" s="9"/>
    </row>
    <row r="166" spans="1:18" ht="15" x14ac:dyDescent="0.25">
      <c r="A166"/>
      <c r="B166"/>
      <c r="D166"/>
      <c r="O166" s="8"/>
      <c r="R166" s="9"/>
    </row>
    <row r="167" spans="1:18" ht="15" x14ac:dyDescent="0.25">
      <c r="A167"/>
      <c r="B167"/>
      <c r="D167"/>
      <c r="O167" s="8"/>
      <c r="R167" s="9"/>
    </row>
    <row r="168" spans="1:18" ht="15" x14ac:dyDescent="0.25">
      <c r="A168"/>
      <c r="B168"/>
      <c r="D168"/>
      <c r="O168" s="8"/>
      <c r="R168" s="9"/>
    </row>
    <row r="169" spans="1:18" ht="15" x14ac:dyDescent="0.25">
      <c r="A169"/>
      <c r="B169"/>
      <c r="D169"/>
      <c r="O169" s="8"/>
      <c r="R169" s="9"/>
    </row>
    <row r="170" spans="1:18" ht="15" x14ac:dyDescent="0.25">
      <c r="A170"/>
      <c r="B170"/>
      <c r="D170"/>
      <c r="O170" s="8"/>
      <c r="R170" s="9"/>
    </row>
    <row r="171" spans="1:18" ht="15" x14ac:dyDescent="0.25">
      <c r="A171"/>
      <c r="B171"/>
      <c r="D171"/>
      <c r="O171" s="8"/>
      <c r="R171" s="9"/>
    </row>
    <row r="172" spans="1:18" ht="15" x14ac:dyDescent="0.25">
      <c r="A172"/>
      <c r="B172"/>
      <c r="D172"/>
      <c r="O172" s="8"/>
      <c r="R172" s="9"/>
    </row>
    <row r="173" spans="1:18" ht="15" x14ac:dyDescent="0.25">
      <c r="A173"/>
      <c r="B173"/>
      <c r="D173"/>
      <c r="O173" s="8"/>
      <c r="R173" s="9"/>
    </row>
    <row r="174" spans="1:18" ht="15" x14ac:dyDescent="0.25">
      <c r="A174"/>
      <c r="B174"/>
      <c r="D174"/>
      <c r="O174" s="8"/>
      <c r="R174" s="9"/>
    </row>
    <row r="175" spans="1:18" ht="15" x14ac:dyDescent="0.25">
      <c r="A175"/>
      <c r="B175"/>
      <c r="D175"/>
      <c r="O175" s="8"/>
      <c r="R175" s="9"/>
    </row>
    <row r="176" spans="1:18" ht="15" x14ac:dyDescent="0.25">
      <c r="A176"/>
      <c r="B176"/>
      <c r="D176"/>
      <c r="O176" s="8"/>
      <c r="R176" s="9"/>
    </row>
    <row r="177" spans="1:18" ht="15" x14ac:dyDescent="0.25">
      <c r="A177"/>
      <c r="B177"/>
      <c r="D177"/>
      <c r="O177" s="8"/>
      <c r="R177" s="9"/>
    </row>
    <row r="178" spans="1:18" ht="15" x14ac:dyDescent="0.25">
      <c r="A178"/>
      <c r="B178"/>
      <c r="D178"/>
      <c r="O178" s="8"/>
      <c r="R178" s="9"/>
    </row>
    <row r="179" spans="1:18" ht="15" x14ac:dyDescent="0.25">
      <c r="A179"/>
      <c r="B179"/>
      <c r="D179"/>
      <c r="O179" s="8"/>
      <c r="R179" s="9"/>
    </row>
    <row r="180" spans="1:18" ht="15" x14ac:dyDescent="0.25">
      <c r="A180"/>
      <c r="B180"/>
      <c r="D180"/>
      <c r="O180" s="8"/>
      <c r="R180" s="9"/>
    </row>
    <row r="181" spans="1:18" ht="15" x14ac:dyDescent="0.25">
      <c r="A181"/>
      <c r="B181"/>
      <c r="D181"/>
      <c r="K181" s="10"/>
      <c r="O181" s="8"/>
      <c r="R181" s="9"/>
    </row>
    <row r="182" spans="1:18" ht="15" x14ac:dyDescent="0.25">
      <c r="A182"/>
      <c r="B182"/>
      <c r="D182"/>
      <c r="K182" s="10"/>
      <c r="O182" s="8"/>
      <c r="R182" s="9"/>
    </row>
    <row r="183" spans="1:18" ht="15" x14ac:dyDescent="0.25">
      <c r="A183"/>
      <c r="B183"/>
      <c r="D183"/>
      <c r="K183" s="10"/>
      <c r="O183" s="8"/>
      <c r="R183" s="9"/>
    </row>
    <row r="184" spans="1:18" ht="15" x14ac:dyDescent="0.25">
      <c r="A184"/>
      <c r="B184"/>
      <c r="D184"/>
      <c r="K184" s="10"/>
      <c r="O184" s="8"/>
      <c r="R184" s="9"/>
    </row>
    <row r="185" spans="1:18" ht="15" x14ac:dyDescent="0.25">
      <c r="A185"/>
      <c r="B185"/>
      <c r="D185"/>
      <c r="O185" s="8"/>
      <c r="R185" s="9"/>
    </row>
    <row r="186" spans="1:18" ht="15" x14ac:dyDescent="0.25">
      <c r="A186"/>
      <c r="B186"/>
      <c r="D186"/>
      <c r="O186" s="8"/>
      <c r="R186" s="9"/>
    </row>
    <row r="187" spans="1:18" ht="15" x14ac:dyDescent="0.25">
      <c r="A187"/>
      <c r="B187"/>
      <c r="D187"/>
      <c r="O187" s="8"/>
      <c r="R187" s="9"/>
    </row>
    <row r="188" spans="1:18" ht="15" x14ac:dyDescent="0.25">
      <c r="A188"/>
      <c r="B188"/>
      <c r="D188"/>
      <c r="O188" s="8"/>
      <c r="R188" s="9"/>
    </row>
    <row r="189" spans="1:18" ht="15" x14ac:dyDescent="0.25">
      <c r="A189"/>
      <c r="B189"/>
      <c r="D189"/>
      <c r="O189" s="8"/>
      <c r="R189" s="9"/>
    </row>
    <row r="190" spans="1:18" ht="15" x14ac:dyDescent="0.25">
      <c r="A190"/>
      <c r="B190"/>
      <c r="D190"/>
      <c r="O190" s="8"/>
      <c r="R190" s="9"/>
    </row>
    <row r="191" spans="1:18" ht="15" x14ac:dyDescent="0.25">
      <c r="A191"/>
      <c r="B191"/>
      <c r="D191"/>
      <c r="O191" s="8"/>
      <c r="R191" s="9"/>
    </row>
    <row r="192" spans="1:18" ht="15" x14ac:dyDescent="0.25">
      <c r="A192"/>
      <c r="B192"/>
      <c r="D192"/>
      <c r="O192" s="8"/>
      <c r="R192" s="9"/>
    </row>
    <row r="193" spans="1:18" ht="15" x14ac:dyDescent="0.25">
      <c r="A193"/>
      <c r="B193"/>
      <c r="D193"/>
      <c r="O193" s="8"/>
      <c r="R193" s="9"/>
    </row>
    <row r="194" spans="1:18" ht="15" x14ac:dyDescent="0.25">
      <c r="A194"/>
      <c r="B194"/>
      <c r="D194"/>
      <c r="O194" s="8"/>
      <c r="R194" s="9"/>
    </row>
    <row r="195" spans="1:18" ht="15" x14ac:dyDescent="0.25">
      <c r="A195"/>
      <c r="B195"/>
      <c r="D195"/>
      <c r="O195" s="8"/>
      <c r="R195" s="9"/>
    </row>
    <row r="196" spans="1:18" ht="15" x14ac:dyDescent="0.25">
      <c r="A196"/>
      <c r="B196"/>
      <c r="D196"/>
      <c r="K196" s="10"/>
      <c r="O196" s="8"/>
      <c r="R196" s="9"/>
    </row>
    <row r="197" spans="1:18" ht="15" x14ac:dyDescent="0.25">
      <c r="A197"/>
      <c r="B197"/>
      <c r="D197"/>
      <c r="K197" s="10"/>
      <c r="O197" s="8"/>
      <c r="R197" s="9"/>
    </row>
    <row r="198" spans="1:18" ht="15" x14ac:dyDescent="0.25">
      <c r="A198"/>
      <c r="B198"/>
      <c r="D198"/>
      <c r="O198" s="8"/>
      <c r="R198" s="9"/>
    </row>
    <row r="199" spans="1:18" ht="15" x14ac:dyDescent="0.25">
      <c r="A199"/>
      <c r="B199"/>
      <c r="D199"/>
      <c r="O199" s="8"/>
      <c r="R199" s="9"/>
    </row>
    <row r="200" spans="1:18" ht="15" x14ac:dyDescent="0.25">
      <c r="A200"/>
      <c r="B200"/>
      <c r="D200"/>
      <c r="O200" s="8"/>
      <c r="R200" s="9"/>
    </row>
    <row r="201" spans="1:18" ht="15" x14ac:dyDescent="0.25">
      <c r="A201"/>
      <c r="B201"/>
      <c r="D201"/>
      <c r="O201" s="8"/>
      <c r="R201" s="9"/>
    </row>
    <row r="202" spans="1:18" ht="15" x14ac:dyDescent="0.25">
      <c r="A202"/>
      <c r="B202"/>
      <c r="D202"/>
      <c r="O202" s="8"/>
      <c r="R202" s="9"/>
    </row>
    <row r="203" spans="1:18" ht="15" x14ac:dyDescent="0.25">
      <c r="A203"/>
      <c r="B203"/>
      <c r="D203"/>
      <c r="O203" s="8"/>
      <c r="R203" s="9"/>
    </row>
    <row r="204" spans="1:18" ht="15" x14ac:dyDescent="0.25">
      <c r="A204"/>
      <c r="B204"/>
      <c r="D204"/>
      <c r="O204" s="8"/>
      <c r="R204" s="9"/>
    </row>
    <row r="205" spans="1:18" ht="15" x14ac:dyDescent="0.25">
      <c r="A205"/>
      <c r="B205"/>
      <c r="D205"/>
      <c r="O205" s="8"/>
      <c r="R205" s="9"/>
    </row>
    <row r="206" spans="1:18" ht="15" x14ac:dyDescent="0.25">
      <c r="A206"/>
      <c r="B206"/>
      <c r="D206"/>
      <c r="O206" s="8"/>
      <c r="R206" s="9"/>
    </row>
    <row r="207" spans="1:18" ht="15" x14ac:dyDescent="0.25">
      <c r="A207"/>
      <c r="B207"/>
      <c r="D207"/>
      <c r="O207" s="8"/>
      <c r="R207" s="9"/>
    </row>
    <row r="208" spans="1:18" ht="15" x14ac:dyDescent="0.25">
      <c r="A208"/>
      <c r="B208"/>
      <c r="D208"/>
      <c r="O208" s="8"/>
      <c r="R208" s="9"/>
    </row>
    <row r="209" spans="1:18" ht="15" x14ac:dyDescent="0.25">
      <c r="A209"/>
      <c r="B209"/>
      <c r="D209"/>
      <c r="O209" s="8"/>
      <c r="R209" s="9"/>
    </row>
    <row r="210" spans="1:18" ht="15" x14ac:dyDescent="0.25">
      <c r="A210"/>
      <c r="B210"/>
      <c r="D210"/>
      <c r="O210" s="8"/>
      <c r="R210" s="9"/>
    </row>
    <row r="211" spans="1:18" ht="15" x14ac:dyDescent="0.25">
      <c r="A211"/>
      <c r="B211"/>
      <c r="D211"/>
      <c r="O211" s="8"/>
      <c r="R211" s="9"/>
    </row>
    <row r="212" spans="1:18" ht="15" x14ac:dyDescent="0.25">
      <c r="A212"/>
      <c r="B212"/>
      <c r="D212"/>
      <c r="O212" s="8"/>
      <c r="R212" s="9"/>
    </row>
    <row r="213" spans="1:18" ht="15" x14ac:dyDescent="0.25">
      <c r="A213"/>
      <c r="B213"/>
      <c r="D213"/>
      <c r="O213" s="8"/>
      <c r="R213" s="9"/>
    </row>
    <row r="214" spans="1:18" ht="15" x14ac:dyDescent="0.25">
      <c r="A214"/>
      <c r="B214"/>
      <c r="D214"/>
      <c r="O214" s="8"/>
      <c r="R214" s="9"/>
    </row>
    <row r="215" spans="1:18" ht="15" x14ac:dyDescent="0.25">
      <c r="A215"/>
      <c r="B215"/>
      <c r="D215"/>
      <c r="O215" s="8"/>
      <c r="R215" s="9"/>
    </row>
    <row r="216" spans="1:18" ht="15" x14ac:dyDescent="0.25">
      <c r="A216"/>
      <c r="B216"/>
      <c r="D216"/>
      <c r="K216" s="10"/>
      <c r="O216" s="8"/>
      <c r="R216" s="9"/>
    </row>
    <row r="217" spans="1:18" ht="15" x14ac:dyDescent="0.25">
      <c r="A217"/>
      <c r="B217"/>
      <c r="D217"/>
      <c r="K217" s="10"/>
      <c r="O217" s="8"/>
      <c r="R217" s="9"/>
    </row>
    <row r="218" spans="1:18" ht="15" x14ac:dyDescent="0.25">
      <c r="A218"/>
      <c r="B218"/>
      <c r="D218"/>
      <c r="O218" s="8"/>
      <c r="R218" s="9"/>
    </row>
    <row r="219" spans="1:18" ht="15" x14ac:dyDescent="0.25">
      <c r="A219"/>
      <c r="B219"/>
      <c r="D219"/>
      <c r="O219" s="8"/>
      <c r="R219" s="9"/>
    </row>
    <row r="220" spans="1:18" ht="15" x14ac:dyDescent="0.25">
      <c r="A220"/>
      <c r="B220"/>
      <c r="D220"/>
      <c r="O220" s="8"/>
      <c r="R220" s="9"/>
    </row>
    <row r="221" spans="1:18" ht="15" x14ac:dyDescent="0.25">
      <c r="A221"/>
      <c r="B221"/>
      <c r="D221"/>
      <c r="O221" s="8"/>
      <c r="R221" s="9"/>
    </row>
    <row r="222" spans="1:18" ht="15" x14ac:dyDescent="0.25">
      <c r="A222"/>
      <c r="B222"/>
      <c r="D222"/>
      <c r="O222" s="8"/>
      <c r="R222" s="9"/>
    </row>
    <row r="223" spans="1:18" ht="15" x14ac:dyDescent="0.25">
      <c r="A223"/>
      <c r="B223"/>
      <c r="D223"/>
      <c r="K223" s="10"/>
      <c r="O223" s="8"/>
      <c r="R223" s="9"/>
    </row>
    <row r="224" spans="1:18" ht="15" x14ac:dyDescent="0.25">
      <c r="A224"/>
      <c r="B224"/>
      <c r="D224"/>
      <c r="K224" s="10"/>
      <c r="O224" s="8"/>
      <c r="R224" s="9"/>
    </row>
    <row r="225" spans="1:18" ht="15" x14ac:dyDescent="0.25">
      <c r="A225"/>
      <c r="B225"/>
      <c r="D225"/>
      <c r="O225" s="8"/>
      <c r="R225" s="9"/>
    </row>
    <row r="226" spans="1:18" ht="15" x14ac:dyDescent="0.25">
      <c r="A226"/>
      <c r="B226"/>
      <c r="D226"/>
      <c r="O226" s="8"/>
      <c r="R226" s="9"/>
    </row>
    <row r="227" spans="1:18" ht="15" x14ac:dyDescent="0.25">
      <c r="A227"/>
      <c r="B227"/>
      <c r="D227"/>
      <c r="O227" s="8"/>
      <c r="R227" s="9"/>
    </row>
    <row r="228" spans="1:18" ht="15" x14ac:dyDescent="0.25">
      <c r="A228"/>
      <c r="B228"/>
      <c r="D228"/>
      <c r="O228" s="8"/>
      <c r="R228" s="9"/>
    </row>
    <row r="229" spans="1:18" ht="15" x14ac:dyDescent="0.25">
      <c r="A229"/>
      <c r="B229"/>
      <c r="D229"/>
      <c r="O229" s="8"/>
      <c r="R229" s="9"/>
    </row>
    <row r="230" spans="1:18" ht="15" x14ac:dyDescent="0.25">
      <c r="A230"/>
      <c r="B230"/>
      <c r="D230"/>
      <c r="O230" s="8"/>
      <c r="R230" s="9"/>
    </row>
    <row r="231" spans="1:18" ht="15" x14ac:dyDescent="0.25">
      <c r="A231"/>
      <c r="B231"/>
      <c r="D231"/>
      <c r="O231" s="8"/>
      <c r="R231" s="9"/>
    </row>
    <row r="232" spans="1:18" ht="15" x14ac:dyDescent="0.25">
      <c r="A232"/>
      <c r="B232"/>
      <c r="D232"/>
      <c r="O232" s="8"/>
      <c r="R232" s="9"/>
    </row>
    <row r="233" spans="1:18" ht="15" x14ac:dyDescent="0.25">
      <c r="A233"/>
      <c r="B233"/>
      <c r="D233"/>
      <c r="O233" s="8"/>
      <c r="R233" s="9"/>
    </row>
    <row r="234" spans="1:18" ht="15" x14ac:dyDescent="0.25">
      <c r="A234"/>
      <c r="B234"/>
      <c r="D234"/>
      <c r="O234" s="8"/>
      <c r="R234" s="9"/>
    </row>
    <row r="235" spans="1:18" ht="15" x14ac:dyDescent="0.25">
      <c r="A235"/>
      <c r="B235"/>
      <c r="D235"/>
      <c r="O235" s="8"/>
      <c r="R235" s="9"/>
    </row>
    <row r="236" spans="1:18" ht="15" x14ac:dyDescent="0.25">
      <c r="A236"/>
      <c r="B236"/>
      <c r="D236"/>
      <c r="O236" s="8"/>
      <c r="R236" s="9"/>
    </row>
    <row r="237" spans="1:18" ht="15" x14ac:dyDescent="0.25">
      <c r="A237"/>
      <c r="B237"/>
      <c r="D237"/>
      <c r="O237" s="8"/>
      <c r="R237" s="9"/>
    </row>
    <row r="238" spans="1:18" ht="15" x14ac:dyDescent="0.25">
      <c r="A238"/>
      <c r="B238"/>
      <c r="D238"/>
      <c r="O238" s="8"/>
      <c r="R238" s="9"/>
    </row>
    <row r="239" spans="1:18" ht="15" x14ac:dyDescent="0.25">
      <c r="A239"/>
      <c r="B239"/>
      <c r="D239"/>
      <c r="O239" s="8"/>
      <c r="R239" s="9"/>
    </row>
    <row r="240" spans="1:18" ht="15" x14ac:dyDescent="0.25">
      <c r="A240"/>
      <c r="B240"/>
      <c r="D240"/>
      <c r="O240" s="8"/>
      <c r="R240" s="9"/>
    </row>
    <row r="241" spans="1:18" ht="15" x14ac:dyDescent="0.25">
      <c r="A241"/>
      <c r="B241"/>
      <c r="D241"/>
      <c r="O241" s="8"/>
      <c r="R241" s="9"/>
    </row>
    <row r="242" spans="1:18" ht="15" x14ac:dyDescent="0.25">
      <c r="A242"/>
      <c r="B242"/>
      <c r="D242"/>
      <c r="O242" s="8"/>
      <c r="R242" s="9"/>
    </row>
    <row r="243" spans="1:18" ht="15" x14ac:dyDescent="0.25">
      <c r="A243"/>
      <c r="B243"/>
      <c r="D243"/>
      <c r="N243" s="10"/>
      <c r="O243" s="8"/>
      <c r="R243" s="9"/>
    </row>
    <row r="244" spans="1:18" ht="15" x14ac:dyDescent="0.25">
      <c r="A244"/>
      <c r="B244"/>
      <c r="D244"/>
      <c r="O244" s="8"/>
      <c r="R244" s="9"/>
    </row>
    <row r="245" spans="1:18" ht="15" x14ac:dyDescent="0.25">
      <c r="A245"/>
      <c r="B245"/>
      <c r="D245"/>
      <c r="O245" s="8"/>
      <c r="R245" s="9"/>
    </row>
    <row r="246" spans="1:18" ht="15" x14ac:dyDescent="0.25">
      <c r="A246"/>
      <c r="B246"/>
      <c r="D246"/>
      <c r="O246" s="8"/>
      <c r="R246" s="9"/>
    </row>
    <row r="247" spans="1:18" ht="15" x14ac:dyDescent="0.25">
      <c r="A247"/>
      <c r="B247"/>
      <c r="D247"/>
      <c r="O247" s="8"/>
      <c r="R247" s="9"/>
    </row>
    <row r="248" spans="1:18" ht="15" x14ac:dyDescent="0.25">
      <c r="A248"/>
      <c r="B248"/>
      <c r="D248"/>
      <c r="O248" s="8"/>
      <c r="R248" s="9"/>
    </row>
    <row r="249" spans="1:18" ht="15" x14ac:dyDescent="0.25">
      <c r="A249"/>
      <c r="B249"/>
      <c r="D249"/>
      <c r="O249" s="8"/>
      <c r="R249" s="9"/>
    </row>
    <row r="250" spans="1:18" ht="15" x14ac:dyDescent="0.25">
      <c r="A250"/>
      <c r="B250"/>
      <c r="D250"/>
      <c r="N250" s="10"/>
      <c r="O250" s="8"/>
      <c r="R250" s="9"/>
    </row>
    <row r="251" spans="1:18" ht="15" x14ac:dyDescent="0.25">
      <c r="A251"/>
      <c r="B251"/>
      <c r="D251"/>
      <c r="O251" s="8"/>
      <c r="R251" s="9"/>
    </row>
    <row r="252" spans="1:18" ht="15" x14ac:dyDescent="0.25">
      <c r="A252"/>
      <c r="B252"/>
      <c r="D252"/>
      <c r="O252" s="8"/>
      <c r="R252" s="9"/>
    </row>
    <row r="253" spans="1:18" ht="15" x14ac:dyDescent="0.25">
      <c r="A253"/>
      <c r="B253"/>
      <c r="D253"/>
      <c r="O253" s="8"/>
      <c r="R253" s="9"/>
    </row>
    <row r="254" spans="1:18" ht="15" x14ac:dyDescent="0.25">
      <c r="A254"/>
      <c r="B254"/>
      <c r="D254"/>
      <c r="O254" s="8"/>
      <c r="R254" s="9"/>
    </row>
    <row r="255" spans="1:18" ht="15" x14ac:dyDescent="0.25">
      <c r="A255"/>
      <c r="B255"/>
      <c r="D255"/>
      <c r="O255" s="8"/>
      <c r="R255" s="9"/>
    </row>
    <row r="256" spans="1:18" ht="15" x14ac:dyDescent="0.25">
      <c r="A256"/>
      <c r="B256"/>
      <c r="D256"/>
      <c r="O256" s="8"/>
      <c r="R256" s="9"/>
    </row>
    <row r="257" spans="1:18" ht="15" x14ac:dyDescent="0.25">
      <c r="A257"/>
      <c r="B257"/>
      <c r="D257"/>
      <c r="O257" s="8"/>
      <c r="R257" s="9"/>
    </row>
    <row r="258" spans="1:18" ht="15" x14ac:dyDescent="0.25">
      <c r="A258"/>
      <c r="B258"/>
      <c r="D258"/>
      <c r="K258" s="10"/>
      <c r="O258" s="8"/>
      <c r="R258" s="9"/>
    </row>
    <row r="259" spans="1:18" ht="15" x14ac:dyDescent="0.25">
      <c r="A259"/>
      <c r="B259"/>
      <c r="D259"/>
      <c r="O259" s="8"/>
      <c r="R259" s="9"/>
    </row>
    <row r="260" spans="1:18" ht="15" x14ac:dyDescent="0.25">
      <c r="A260"/>
      <c r="B260"/>
      <c r="D260"/>
      <c r="O260" s="8"/>
      <c r="R260" s="9"/>
    </row>
    <row r="261" spans="1:18" ht="15" x14ac:dyDescent="0.25">
      <c r="A261"/>
      <c r="B261"/>
      <c r="D261"/>
      <c r="O261" s="8"/>
      <c r="R261" s="9"/>
    </row>
    <row r="262" spans="1:18" ht="15" x14ac:dyDescent="0.25">
      <c r="A262"/>
      <c r="B262"/>
      <c r="D262"/>
      <c r="O262" s="8"/>
      <c r="R262" s="9"/>
    </row>
    <row r="263" spans="1:18" ht="15" x14ac:dyDescent="0.25">
      <c r="A263"/>
      <c r="B263"/>
      <c r="D263"/>
      <c r="O263" s="8"/>
      <c r="R263" s="9"/>
    </row>
    <row r="264" spans="1:18" ht="15" x14ac:dyDescent="0.25">
      <c r="A264"/>
      <c r="B264"/>
      <c r="D264"/>
      <c r="O264" s="8"/>
      <c r="R264" s="9"/>
    </row>
    <row r="265" spans="1:18" ht="15" x14ac:dyDescent="0.25">
      <c r="A265"/>
      <c r="B265"/>
      <c r="D265"/>
      <c r="O265" s="8"/>
      <c r="R265" s="9"/>
    </row>
    <row r="266" spans="1:18" ht="15" x14ac:dyDescent="0.25">
      <c r="A266"/>
      <c r="B266"/>
      <c r="D266"/>
      <c r="O266" s="8"/>
      <c r="R266" s="9"/>
    </row>
    <row r="267" spans="1:18" ht="15" x14ac:dyDescent="0.25">
      <c r="A267"/>
      <c r="B267"/>
      <c r="D267"/>
      <c r="O267" s="8"/>
      <c r="R267" s="9"/>
    </row>
    <row r="268" spans="1:18" ht="15" x14ac:dyDescent="0.25">
      <c r="A268"/>
      <c r="B268"/>
      <c r="D268"/>
      <c r="O268" s="8"/>
      <c r="R268" s="9"/>
    </row>
    <row r="269" spans="1:18" ht="15" x14ac:dyDescent="0.25">
      <c r="A269"/>
      <c r="B269"/>
      <c r="D269"/>
      <c r="O269" s="8"/>
      <c r="R269" s="9"/>
    </row>
    <row r="270" spans="1:18" ht="15" x14ac:dyDescent="0.25">
      <c r="A270"/>
      <c r="B270"/>
      <c r="D270"/>
      <c r="O270" s="8"/>
      <c r="R270" s="9"/>
    </row>
    <row r="271" spans="1:18" ht="15" x14ac:dyDescent="0.25">
      <c r="A271"/>
      <c r="B271"/>
      <c r="D271"/>
      <c r="O271" s="8"/>
      <c r="R271" s="9"/>
    </row>
    <row r="272" spans="1:18" ht="15" x14ac:dyDescent="0.25">
      <c r="A272"/>
      <c r="B272"/>
      <c r="D272"/>
      <c r="O272" s="8"/>
      <c r="R272" s="9"/>
    </row>
    <row r="273" spans="1:18" ht="15" x14ac:dyDescent="0.25">
      <c r="A273"/>
      <c r="B273"/>
      <c r="D273"/>
      <c r="O273" s="8"/>
      <c r="R273" s="9"/>
    </row>
    <row r="274" spans="1:18" ht="15" x14ac:dyDescent="0.25">
      <c r="A274"/>
      <c r="B274"/>
      <c r="D274"/>
      <c r="O274" s="8"/>
      <c r="R274" s="9"/>
    </row>
    <row r="275" spans="1:18" ht="15" x14ac:dyDescent="0.25">
      <c r="A275"/>
      <c r="B275"/>
      <c r="D275"/>
      <c r="O275" s="8"/>
      <c r="R275" s="9"/>
    </row>
    <row r="276" spans="1:18" ht="15" x14ac:dyDescent="0.25">
      <c r="A276"/>
      <c r="B276"/>
      <c r="D276"/>
      <c r="O276" s="8"/>
      <c r="R276" s="9"/>
    </row>
    <row r="277" spans="1:18" ht="15" x14ac:dyDescent="0.25">
      <c r="A277"/>
      <c r="B277"/>
      <c r="D277"/>
      <c r="O277" s="8"/>
      <c r="R277" s="9"/>
    </row>
    <row r="278" spans="1:18" ht="15" x14ac:dyDescent="0.25">
      <c r="A278"/>
      <c r="B278"/>
      <c r="D278"/>
      <c r="O278" s="8"/>
      <c r="R278" s="9"/>
    </row>
    <row r="279" spans="1:18" ht="15" x14ac:dyDescent="0.25">
      <c r="A279"/>
      <c r="B279"/>
      <c r="D279"/>
      <c r="O279" s="8"/>
      <c r="R279" s="9"/>
    </row>
    <row r="280" spans="1:18" ht="15" x14ac:dyDescent="0.25">
      <c r="A280"/>
      <c r="B280"/>
      <c r="D280"/>
      <c r="O280" s="8"/>
      <c r="R280" s="9"/>
    </row>
    <row r="281" spans="1:18" ht="15" x14ac:dyDescent="0.25">
      <c r="A281"/>
      <c r="B281"/>
      <c r="D281"/>
      <c r="O281" s="8"/>
      <c r="R281" s="9"/>
    </row>
    <row r="282" spans="1:18" ht="15" x14ac:dyDescent="0.25">
      <c r="A282"/>
      <c r="B282"/>
      <c r="D282"/>
      <c r="O282" s="8"/>
      <c r="R282" s="9"/>
    </row>
    <row r="283" spans="1:18" ht="15" x14ac:dyDescent="0.25">
      <c r="A283"/>
      <c r="B283"/>
      <c r="D283"/>
      <c r="O283" s="8"/>
      <c r="R283" s="9"/>
    </row>
    <row r="284" spans="1:18" ht="15" x14ac:dyDescent="0.25">
      <c r="A284"/>
      <c r="B284"/>
      <c r="D284"/>
      <c r="O284" s="8"/>
      <c r="R284" s="9"/>
    </row>
    <row r="285" spans="1:18" ht="15" x14ac:dyDescent="0.25">
      <c r="A285"/>
      <c r="B285"/>
      <c r="D285"/>
      <c r="O285" s="8"/>
      <c r="R285" s="9"/>
    </row>
    <row r="286" spans="1:18" ht="15" x14ac:dyDescent="0.25">
      <c r="A286"/>
      <c r="B286"/>
      <c r="D286"/>
      <c r="O286" s="8"/>
      <c r="R286" s="9"/>
    </row>
    <row r="287" spans="1:18" ht="15" x14ac:dyDescent="0.25">
      <c r="A287"/>
      <c r="B287"/>
      <c r="D287"/>
      <c r="O287" s="8"/>
      <c r="R287" s="9"/>
    </row>
    <row r="288" spans="1:18" ht="15" x14ac:dyDescent="0.25">
      <c r="A288"/>
      <c r="B288"/>
      <c r="D288"/>
      <c r="O288" s="8"/>
      <c r="R288" s="9"/>
    </row>
    <row r="289" spans="1:18" ht="15" x14ac:dyDescent="0.25">
      <c r="A289"/>
      <c r="B289"/>
      <c r="D289"/>
      <c r="O289" s="8"/>
      <c r="R289" s="9"/>
    </row>
    <row r="290" spans="1:18" ht="15" x14ac:dyDescent="0.25">
      <c r="A290"/>
      <c r="B290"/>
      <c r="D290"/>
      <c r="O290" s="8"/>
      <c r="R290" s="9"/>
    </row>
    <row r="291" spans="1:18" ht="15" x14ac:dyDescent="0.25">
      <c r="A291"/>
      <c r="B291"/>
      <c r="D291"/>
      <c r="O291" s="8"/>
      <c r="R291" s="9"/>
    </row>
    <row r="292" spans="1:18" ht="15" x14ac:dyDescent="0.25">
      <c r="A292"/>
      <c r="B292"/>
      <c r="D292"/>
      <c r="O292" s="8"/>
      <c r="R292" s="9"/>
    </row>
    <row r="293" spans="1:18" ht="15" x14ac:dyDescent="0.25">
      <c r="A293"/>
      <c r="B293"/>
      <c r="D293"/>
      <c r="O293" s="8"/>
      <c r="R293" s="9"/>
    </row>
    <row r="294" spans="1:18" ht="15" x14ac:dyDescent="0.25">
      <c r="A294"/>
      <c r="B294"/>
      <c r="D294"/>
      <c r="O294" s="8"/>
      <c r="R294" s="9"/>
    </row>
    <row r="295" spans="1:18" ht="15" x14ac:dyDescent="0.25">
      <c r="A295"/>
      <c r="B295"/>
      <c r="D295"/>
      <c r="K295" s="10"/>
      <c r="O295" s="8"/>
      <c r="R295" s="9"/>
    </row>
    <row r="296" spans="1:18" ht="15" x14ac:dyDescent="0.25">
      <c r="A296"/>
      <c r="B296"/>
      <c r="D296"/>
      <c r="K296" s="10"/>
      <c r="O296" s="8"/>
      <c r="R296" s="9"/>
    </row>
    <row r="297" spans="1:18" ht="15" x14ac:dyDescent="0.25">
      <c r="A297"/>
      <c r="B297"/>
      <c r="D297"/>
      <c r="O297" s="8"/>
      <c r="R297" s="9"/>
    </row>
    <row r="298" spans="1:18" ht="15" x14ac:dyDescent="0.25">
      <c r="A298"/>
      <c r="B298"/>
      <c r="D298"/>
      <c r="O298" s="8"/>
      <c r="R298" s="9"/>
    </row>
    <row r="299" spans="1:18" ht="15" x14ac:dyDescent="0.25">
      <c r="A299"/>
      <c r="B299"/>
      <c r="D299"/>
      <c r="O299" s="8"/>
      <c r="R299" s="9"/>
    </row>
    <row r="300" spans="1:18" ht="15" x14ac:dyDescent="0.25">
      <c r="A300"/>
      <c r="B300"/>
      <c r="D300"/>
      <c r="O300" s="8"/>
      <c r="R300" s="9"/>
    </row>
    <row r="301" spans="1:18" ht="15" x14ac:dyDescent="0.25">
      <c r="A301"/>
      <c r="B301"/>
      <c r="D301"/>
      <c r="O301" s="8"/>
      <c r="R301" s="9"/>
    </row>
    <row r="302" spans="1:18" ht="15" x14ac:dyDescent="0.25">
      <c r="A302"/>
      <c r="B302"/>
      <c r="D302"/>
      <c r="O302" s="8"/>
      <c r="R302" s="9"/>
    </row>
    <row r="303" spans="1:18" ht="15" x14ac:dyDescent="0.25">
      <c r="A303"/>
      <c r="B303"/>
      <c r="D303"/>
      <c r="O303" s="8"/>
      <c r="R303" s="9"/>
    </row>
    <row r="304" spans="1:18" ht="15" x14ac:dyDescent="0.25">
      <c r="A304"/>
      <c r="B304"/>
      <c r="D304"/>
      <c r="O304" s="8"/>
      <c r="R304" s="9"/>
    </row>
    <row r="305" spans="1:18" ht="15" x14ac:dyDescent="0.25">
      <c r="A305"/>
      <c r="B305"/>
      <c r="D305"/>
      <c r="O305" s="8"/>
      <c r="R305" s="9"/>
    </row>
    <row r="306" spans="1:18" ht="15" x14ac:dyDescent="0.25">
      <c r="A306"/>
      <c r="B306"/>
      <c r="D306"/>
      <c r="O306" s="8"/>
      <c r="R306" s="9"/>
    </row>
    <row r="307" spans="1:18" ht="15" x14ac:dyDescent="0.25">
      <c r="A307"/>
      <c r="B307"/>
      <c r="D307"/>
      <c r="O307" s="8"/>
      <c r="R307" s="9"/>
    </row>
    <row r="308" spans="1:18" ht="15" x14ac:dyDescent="0.25">
      <c r="A308"/>
      <c r="B308"/>
      <c r="D308"/>
      <c r="O308" s="8"/>
      <c r="R308" s="9"/>
    </row>
    <row r="309" spans="1:18" ht="15" x14ac:dyDescent="0.25">
      <c r="A309"/>
      <c r="B309"/>
      <c r="D309"/>
      <c r="O309" s="8"/>
      <c r="R309" s="9"/>
    </row>
    <row r="310" spans="1:18" ht="15" x14ac:dyDescent="0.25">
      <c r="A310"/>
      <c r="B310"/>
      <c r="D310"/>
      <c r="O310" s="8"/>
      <c r="R310" s="9"/>
    </row>
    <row r="311" spans="1:18" ht="15" x14ac:dyDescent="0.25">
      <c r="A311"/>
      <c r="B311"/>
      <c r="D311"/>
      <c r="O311" s="8"/>
      <c r="R311" s="9"/>
    </row>
    <row r="312" spans="1:18" ht="15" x14ac:dyDescent="0.25">
      <c r="A312"/>
      <c r="B312"/>
      <c r="D312"/>
      <c r="O312" s="8"/>
      <c r="R312" s="9"/>
    </row>
    <row r="313" spans="1:18" ht="15" x14ac:dyDescent="0.25">
      <c r="A313"/>
      <c r="B313"/>
      <c r="D313"/>
      <c r="O313" s="8"/>
      <c r="R313" s="9"/>
    </row>
    <row r="314" spans="1:18" ht="15" x14ac:dyDescent="0.25">
      <c r="A314"/>
      <c r="B314"/>
      <c r="D314"/>
      <c r="O314" s="8"/>
      <c r="R314" s="9"/>
    </row>
    <row r="315" spans="1:18" ht="15" x14ac:dyDescent="0.25">
      <c r="A315"/>
      <c r="B315"/>
      <c r="D315"/>
      <c r="K315" s="10"/>
      <c r="O315" s="8"/>
      <c r="R315" s="9"/>
    </row>
    <row r="316" spans="1:18" ht="15" x14ac:dyDescent="0.25">
      <c r="A316"/>
      <c r="B316"/>
      <c r="D316"/>
      <c r="K316" s="10"/>
      <c r="O316" s="8"/>
      <c r="R316" s="9"/>
    </row>
    <row r="317" spans="1:18" ht="15" x14ac:dyDescent="0.25">
      <c r="A317"/>
      <c r="B317"/>
      <c r="D317"/>
      <c r="O317" s="8"/>
      <c r="R317" s="9"/>
    </row>
    <row r="318" spans="1:18" ht="15" x14ac:dyDescent="0.25">
      <c r="A318"/>
      <c r="B318"/>
      <c r="D318"/>
      <c r="O318" s="8"/>
      <c r="R318" s="9"/>
    </row>
    <row r="319" spans="1:18" ht="15" x14ac:dyDescent="0.25">
      <c r="A319"/>
      <c r="B319"/>
      <c r="D319"/>
      <c r="O319" s="8"/>
      <c r="R319" s="9"/>
    </row>
    <row r="320" spans="1:18" ht="15" x14ac:dyDescent="0.25">
      <c r="A320"/>
      <c r="B320"/>
      <c r="D320"/>
      <c r="O320" s="8"/>
      <c r="R320" s="9"/>
    </row>
    <row r="321" spans="1:18" ht="15" x14ac:dyDescent="0.25">
      <c r="A321"/>
      <c r="B321"/>
      <c r="D321"/>
      <c r="O321" s="8"/>
      <c r="R321" s="9"/>
    </row>
    <row r="322" spans="1:18" ht="15" x14ac:dyDescent="0.25">
      <c r="A322"/>
      <c r="B322"/>
      <c r="D322"/>
      <c r="O322" s="8"/>
      <c r="R322" s="9"/>
    </row>
    <row r="323" spans="1:18" ht="15" x14ac:dyDescent="0.25">
      <c r="A323"/>
      <c r="B323"/>
      <c r="D323"/>
      <c r="O323" s="8"/>
      <c r="R323" s="9"/>
    </row>
    <row r="324" spans="1:18" ht="15" x14ac:dyDescent="0.25">
      <c r="A324"/>
      <c r="B324"/>
      <c r="D324"/>
      <c r="O324" s="8"/>
      <c r="R324" s="9"/>
    </row>
    <row r="325" spans="1:18" ht="15" x14ac:dyDescent="0.25">
      <c r="A325"/>
      <c r="B325"/>
      <c r="D325"/>
      <c r="O325" s="8"/>
      <c r="R325" s="9"/>
    </row>
    <row r="326" spans="1:18" ht="15" x14ac:dyDescent="0.25">
      <c r="A326"/>
      <c r="B326"/>
      <c r="D326"/>
      <c r="O326" s="8"/>
      <c r="R326" s="9"/>
    </row>
    <row r="327" spans="1:18" ht="15" x14ac:dyDescent="0.25">
      <c r="A327"/>
      <c r="B327"/>
      <c r="D327"/>
      <c r="O327" s="8"/>
      <c r="R327" s="9"/>
    </row>
    <row r="328" spans="1:18" ht="15" x14ac:dyDescent="0.25">
      <c r="A328"/>
      <c r="B328"/>
      <c r="D328"/>
      <c r="O328" s="8"/>
      <c r="R328" s="9"/>
    </row>
    <row r="329" spans="1:18" ht="15" x14ac:dyDescent="0.25">
      <c r="A329"/>
      <c r="B329"/>
      <c r="D329"/>
      <c r="O329" s="8"/>
      <c r="R329" s="9"/>
    </row>
    <row r="330" spans="1:18" ht="15" x14ac:dyDescent="0.25">
      <c r="A330"/>
      <c r="B330"/>
      <c r="D330"/>
      <c r="O330" s="8"/>
      <c r="R330" s="9"/>
    </row>
    <row r="331" spans="1:18" ht="15" x14ac:dyDescent="0.25">
      <c r="A331"/>
      <c r="B331"/>
      <c r="D331"/>
      <c r="O331" s="8"/>
      <c r="R331" s="9"/>
    </row>
    <row r="332" spans="1:18" ht="15" x14ac:dyDescent="0.25">
      <c r="A332"/>
      <c r="B332"/>
      <c r="D332"/>
      <c r="O332" s="8"/>
      <c r="R332" s="9"/>
    </row>
    <row r="333" spans="1:18" ht="15" x14ac:dyDescent="0.25">
      <c r="A333"/>
      <c r="B333"/>
      <c r="D333"/>
      <c r="O333" s="8"/>
      <c r="R333" s="9"/>
    </row>
    <row r="334" spans="1:18" ht="15" x14ac:dyDescent="0.25">
      <c r="A334"/>
      <c r="B334"/>
      <c r="D334"/>
      <c r="O334" s="8"/>
      <c r="R334" s="9"/>
    </row>
    <row r="335" spans="1:18" ht="15" x14ac:dyDescent="0.25">
      <c r="A335"/>
      <c r="B335"/>
      <c r="D335"/>
      <c r="O335" s="8"/>
      <c r="R335" s="9"/>
    </row>
    <row r="336" spans="1:18" ht="15" x14ac:dyDescent="0.25">
      <c r="A336"/>
      <c r="B336"/>
      <c r="D336"/>
      <c r="O336" s="8"/>
      <c r="R336" s="9"/>
    </row>
    <row r="337" spans="1:18" ht="15" x14ac:dyDescent="0.25">
      <c r="A337"/>
      <c r="B337"/>
      <c r="D337"/>
      <c r="O337" s="8"/>
      <c r="R337" s="9"/>
    </row>
    <row r="338" spans="1:18" ht="15" x14ac:dyDescent="0.25">
      <c r="A338"/>
      <c r="B338"/>
      <c r="D338"/>
      <c r="K338" s="10"/>
      <c r="O338" s="8"/>
      <c r="R338" s="9"/>
    </row>
    <row r="339" spans="1:18" ht="15" x14ac:dyDescent="0.25">
      <c r="A339"/>
      <c r="B339"/>
      <c r="D339"/>
      <c r="K339" s="10"/>
      <c r="O339" s="8"/>
      <c r="R339" s="9"/>
    </row>
    <row r="340" spans="1:18" ht="15" x14ac:dyDescent="0.25">
      <c r="A340"/>
      <c r="B340"/>
      <c r="D340"/>
      <c r="O340" s="8"/>
      <c r="R340" s="9"/>
    </row>
    <row r="341" spans="1:18" ht="15" x14ac:dyDescent="0.25">
      <c r="A341"/>
      <c r="B341"/>
      <c r="D341"/>
      <c r="O341" s="8"/>
      <c r="R341" s="9"/>
    </row>
    <row r="342" spans="1:18" ht="15" x14ac:dyDescent="0.25">
      <c r="A342"/>
      <c r="B342"/>
      <c r="D342"/>
      <c r="O342" s="8"/>
      <c r="R342" s="9"/>
    </row>
    <row r="343" spans="1:18" ht="15" x14ac:dyDescent="0.25">
      <c r="A343"/>
      <c r="B343"/>
      <c r="D343"/>
      <c r="O343" s="8"/>
      <c r="R343" s="9"/>
    </row>
    <row r="344" spans="1:18" ht="15" x14ac:dyDescent="0.25">
      <c r="A344"/>
      <c r="B344"/>
      <c r="D344"/>
      <c r="O344" s="8"/>
      <c r="R344" s="9"/>
    </row>
    <row r="345" spans="1:18" ht="15" x14ac:dyDescent="0.25">
      <c r="A345"/>
      <c r="B345"/>
      <c r="D345"/>
      <c r="O345" s="8"/>
      <c r="R345" s="9"/>
    </row>
    <row r="346" spans="1:18" ht="15" x14ac:dyDescent="0.25">
      <c r="A346"/>
      <c r="B346"/>
      <c r="D346"/>
      <c r="O346" s="8"/>
      <c r="R346" s="9"/>
    </row>
    <row r="347" spans="1:18" ht="15" x14ac:dyDescent="0.25">
      <c r="A347"/>
      <c r="B347"/>
      <c r="D347"/>
      <c r="O347" s="8"/>
      <c r="R347" s="9"/>
    </row>
    <row r="348" spans="1:18" ht="15" x14ac:dyDescent="0.25">
      <c r="A348"/>
      <c r="B348"/>
      <c r="D348"/>
      <c r="O348" s="8"/>
      <c r="R348" s="9"/>
    </row>
    <row r="349" spans="1:18" ht="15" x14ac:dyDescent="0.25">
      <c r="A349"/>
      <c r="B349"/>
      <c r="D349"/>
      <c r="O349" s="8"/>
      <c r="R349" s="9"/>
    </row>
    <row r="350" spans="1:18" ht="15" x14ac:dyDescent="0.25">
      <c r="A350"/>
      <c r="B350"/>
      <c r="D350"/>
      <c r="O350" s="8"/>
      <c r="R350" s="9"/>
    </row>
    <row r="351" spans="1:18" ht="15" x14ac:dyDescent="0.25">
      <c r="A351"/>
      <c r="B351"/>
      <c r="D351"/>
      <c r="O351" s="8"/>
      <c r="R351" s="9"/>
    </row>
    <row r="352" spans="1:18" ht="15" x14ac:dyDescent="0.25">
      <c r="A352"/>
      <c r="B352"/>
      <c r="D352"/>
      <c r="O352" s="8"/>
      <c r="R352" s="9"/>
    </row>
    <row r="353" spans="1:18" ht="15" x14ac:dyDescent="0.25">
      <c r="A353"/>
      <c r="B353"/>
      <c r="D353"/>
      <c r="O353" s="8"/>
      <c r="R353" s="9"/>
    </row>
    <row r="354" spans="1:18" ht="15" x14ac:dyDescent="0.25">
      <c r="A354"/>
      <c r="B354"/>
      <c r="D354"/>
      <c r="O354" s="8"/>
      <c r="R354" s="9"/>
    </row>
    <row r="355" spans="1:18" ht="15" x14ac:dyDescent="0.25">
      <c r="A355"/>
      <c r="B355"/>
      <c r="D355"/>
      <c r="O355" s="8"/>
      <c r="R355" s="9"/>
    </row>
    <row r="356" spans="1:18" ht="15" x14ac:dyDescent="0.25">
      <c r="A356"/>
      <c r="B356"/>
      <c r="D356"/>
      <c r="O356" s="8"/>
      <c r="R356" s="9"/>
    </row>
    <row r="357" spans="1:18" ht="15" x14ac:dyDescent="0.25">
      <c r="A357"/>
      <c r="B357"/>
      <c r="D357"/>
      <c r="O357" s="8"/>
      <c r="R357" s="9"/>
    </row>
    <row r="358" spans="1:18" ht="15" x14ac:dyDescent="0.25">
      <c r="A358"/>
      <c r="B358"/>
      <c r="D358"/>
      <c r="O358" s="8"/>
      <c r="R358" s="9"/>
    </row>
    <row r="359" spans="1:18" ht="15" x14ac:dyDescent="0.25">
      <c r="A359"/>
      <c r="B359"/>
      <c r="D359"/>
      <c r="O359" s="8"/>
      <c r="R359" s="9"/>
    </row>
    <row r="360" spans="1:18" ht="15" x14ac:dyDescent="0.25">
      <c r="A360"/>
      <c r="B360"/>
      <c r="D360"/>
      <c r="O360" s="8"/>
      <c r="R360" s="9"/>
    </row>
    <row r="361" spans="1:18" ht="15" x14ac:dyDescent="0.25">
      <c r="A361"/>
      <c r="B361"/>
      <c r="D361"/>
      <c r="K361" s="10"/>
      <c r="O361" s="8"/>
      <c r="R361" s="9"/>
    </row>
    <row r="362" spans="1:18" ht="15" x14ac:dyDescent="0.25">
      <c r="A362"/>
      <c r="B362"/>
      <c r="D362"/>
      <c r="K362" s="10"/>
      <c r="O362" s="8"/>
      <c r="R362" s="9"/>
    </row>
    <row r="363" spans="1:18" ht="15" x14ac:dyDescent="0.25">
      <c r="A363"/>
      <c r="B363"/>
      <c r="D363"/>
      <c r="O363" s="8"/>
      <c r="R363" s="9"/>
    </row>
    <row r="364" spans="1:18" ht="15" x14ac:dyDescent="0.25">
      <c r="A364"/>
      <c r="B364"/>
      <c r="D364"/>
      <c r="O364" s="8"/>
      <c r="R364" s="9"/>
    </row>
    <row r="365" spans="1:18" ht="15" x14ac:dyDescent="0.25">
      <c r="A365"/>
      <c r="B365"/>
      <c r="D365"/>
      <c r="O365" s="8"/>
      <c r="R365" s="9"/>
    </row>
    <row r="366" spans="1:18" ht="15" x14ac:dyDescent="0.25">
      <c r="A366"/>
      <c r="B366"/>
      <c r="D366"/>
      <c r="O366" s="8"/>
      <c r="R366" s="9"/>
    </row>
    <row r="367" spans="1:18" ht="15" x14ac:dyDescent="0.25">
      <c r="A367"/>
      <c r="B367"/>
      <c r="D367"/>
      <c r="O367" s="8"/>
      <c r="R367" s="9"/>
    </row>
    <row r="368" spans="1:18" ht="15" x14ac:dyDescent="0.25">
      <c r="A368"/>
      <c r="B368"/>
      <c r="D368"/>
      <c r="O368" s="8"/>
      <c r="R368" s="9"/>
    </row>
    <row r="369" spans="1:18" ht="15" x14ac:dyDescent="0.25">
      <c r="A369"/>
      <c r="B369"/>
      <c r="D369"/>
      <c r="O369" s="8"/>
      <c r="R369" s="9"/>
    </row>
    <row r="370" spans="1:18" ht="15" x14ac:dyDescent="0.25">
      <c r="A370"/>
      <c r="B370"/>
      <c r="D370"/>
      <c r="O370" s="8"/>
      <c r="R370" s="9"/>
    </row>
    <row r="371" spans="1:18" ht="15" x14ac:dyDescent="0.25">
      <c r="A371"/>
      <c r="B371"/>
      <c r="D371"/>
      <c r="O371" s="8"/>
      <c r="R371" s="9"/>
    </row>
    <row r="372" spans="1:18" ht="15" x14ac:dyDescent="0.25">
      <c r="A372"/>
      <c r="B372"/>
      <c r="D372"/>
      <c r="O372" s="8"/>
      <c r="R372" s="9"/>
    </row>
    <row r="373" spans="1:18" ht="15" x14ac:dyDescent="0.25">
      <c r="A373"/>
      <c r="B373"/>
      <c r="D373"/>
      <c r="O373" s="8"/>
      <c r="R373" s="9"/>
    </row>
    <row r="374" spans="1:18" ht="15" x14ac:dyDescent="0.25">
      <c r="A374"/>
      <c r="B374"/>
      <c r="D374"/>
      <c r="O374" s="8"/>
      <c r="R374" s="9"/>
    </row>
    <row r="375" spans="1:18" ht="15" x14ac:dyDescent="0.25">
      <c r="A375"/>
      <c r="B375"/>
      <c r="D375"/>
      <c r="O375" s="8"/>
      <c r="R375" s="9"/>
    </row>
    <row r="376" spans="1:18" ht="15" x14ac:dyDescent="0.25">
      <c r="A376"/>
      <c r="B376"/>
      <c r="D376"/>
      <c r="O376" s="8"/>
      <c r="R376" s="9"/>
    </row>
    <row r="377" spans="1:18" ht="15" x14ac:dyDescent="0.25">
      <c r="A377"/>
      <c r="B377"/>
      <c r="D377"/>
      <c r="O377" s="8"/>
      <c r="R377" s="9"/>
    </row>
    <row r="378" spans="1:18" ht="15" x14ac:dyDescent="0.25">
      <c r="A378"/>
      <c r="B378"/>
      <c r="D378"/>
      <c r="O378" s="8"/>
      <c r="R378" s="9"/>
    </row>
    <row r="379" spans="1:18" ht="15" x14ac:dyDescent="0.25">
      <c r="A379"/>
      <c r="B379"/>
      <c r="D379"/>
      <c r="O379" s="8"/>
      <c r="R379" s="9"/>
    </row>
    <row r="380" spans="1:18" ht="15" x14ac:dyDescent="0.25">
      <c r="A380"/>
      <c r="B380"/>
      <c r="D380"/>
      <c r="O380" s="8"/>
      <c r="R380" s="9"/>
    </row>
    <row r="381" spans="1:18" ht="15" x14ac:dyDescent="0.25">
      <c r="A381"/>
      <c r="B381"/>
      <c r="D381"/>
      <c r="O381" s="8"/>
      <c r="R381" s="9"/>
    </row>
    <row r="382" spans="1:18" ht="15" x14ac:dyDescent="0.25">
      <c r="A382"/>
      <c r="B382"/>
      <c r="D382"/>
      <c r="O382" s="8"/>
      <c r="R382" s="9"/>
    </row>
    <row r="383" spans="1:18" ht="15" x14ac:dyDescent="0.25">
      <c r="A383"/>
      <c r="B383"/>
      <c r="D383"/>
      <c r="O383" s="8"/>
      <c r="R383" s="9"/>
    </row>
    <row r="384" spans="1:18" ht="15" x14ac:dyDescent="0.25">
      <c r="A384"/>
      <c r="B384"/>
      <c r="D384"/>
      <c r="O384" s="8"/>
      <c r="R384" s="9"/>
    </row>
    <row r="385" spans="1:18" ht="15" x14ac:dyDescent="0.25">
      <c r="A385"/>
      <c r="B385"/>
      <c r="D385"/>
      <c r="O385" s="8"/>
      <c r="R385" s="9"/>
    </row>
    <row r="386" spans="1:18" ht="15" x14ac:dyDescent="0.25">
      <c r="A386"/>
      <c r="B386"/>
      <c r="D386"/>
      <c r="O386" s="8"/>
      <c r="R386" s="9"/>
    </row>
    <row r="387" spans="1:18" ht="15" x14ac:dyDescent="0.25">
      <c r="A387"/>
      <c r="B387"/>
      <c r="D387"/>
      <c r="O387" s="8"/>
      <c r="R387" s="9"/>
    </row>
    <row r="388" spans="1:18" ht="15" x14ac:dyDescent="0.25">
      <c r="A388"/>
      <c r="B388"/>
      <c r="D388"/>
      <c r="O388" s="8"/>
      <c r="R388" s="9"/>
    </row>
    <row r="389" spans="1:18" ht="15" x14ac:dyDescent="0.25">
      <c r="A389"/>
      <c r="B389"/>
      <c r="D389"/>
      <c r="K389" s="10"/>
      <c r="O389" s="8"/>
      <c r="R389" s="9"/>
    </row>
    <row r="390" spans="1:18" ht="15" x14ac:dyDescent="0.25">
      <c r="A390"/>
      <c r="B390"/>
      <c r="D390"/>
      <c r="K390" s="10"/>
      <c r="O390" s="8"/>
      <c r="R390" s="9"/>
    </row>
    <row r="391" spans="1:18" ht="15" x14ac:dyDescent="0.25">
      <c r="A391"/>
      <c r="B391"/>
      <c r="D391"/>
      <c r="O391" s="8"/>
      <c r="R391" s="9"/>
    </row>
    <row r="392" spans="1:18" ht="15" x14ac:dyDescent="0.25">
      <c r="A392"/>
      <c r="B392"/>
      <c r="D392"/>
      <c r="O392" s="8"/>
      <c r="R392" s="9"/>
    </row>
    <row r="393" spans="1:18" ht="15" x14ac:dyDescent="0.25">
      <c r="A393"/>
      <c r="B393"/>
      <c r="D393"/>
      <c r="O393" s="8"/>
      <c r="R393" s="9"/>
    </row>
    <row r="394" spans="1:18" ht="15" x14ac:dyDescent="0.25">
      <c r="A394"/>
      <c r="B394"/>
      <c r="D394"/>
      <c r="O394" s="8"/>
      <c r="R394" s="9"/>
    </row>
    <row r="395" spans="1:18" ht="15" x14ac:dyDescent="0.25">
      <c r="A395"/>
      <c r="B395"/>
      <c r="D395"/>
      <c r="O395" s="8"/>
      <c r="R395" s="9"/>
    </row>
    <row r="396" spans="1:18" ht="15" x14ac:dyDescent="0.25">
      <c r="A396"/>
      <c r="B396"/>
      <c r="D396"/>
      <c r="O396" s="8"/>
      <c r="R396" s="9"/>
    </row>
    <row r="397" spans="1:18" ht="15" x14ac:dyDescent="0.25">
      <c r="A397"/>
      <c r="B397"/>
      <c r="D397"/>
      <c r="O397" s="8"/>
      <c r="R397" s="9"/>
    </row>
    <row r="398" spans="1:18" ht="15" x14ac:dyDescent="0.25">
      <c r="A398"/>
      <c r="B398"/>
      <c r="D398"/>
      <c r="O398" s="8"/>
      <c r="R398" s="9"/>
    </row>
    <row r="399" spans="1:18" ht="15" x14ac:dyDescent="0.25">
      <c r="A399"/>
      <c r="B399"/>
      <c r="D399"/>
      <c r="O399" s="8"/>
      <c r="R399" s="9"/>
    </row>
    <row r="400" spans="1:18" ht="15" x14ac:dyDescent="0.25">
      <c r="A400"/>
      <c r="B400"/>
      <c r="D400"/>
      <c r="O400" s="8"/>
      <c r="R400" s="9"/>
    </row>
    <row r="401" spans="1:18" ht="15" x14ac:dyDescent="0.25">
      <c r="A401"/>
      <c r="B401"/>
      <c r="D401"/>
      <c r="O401" s="8"/>
      <c r="R401" s="9"/>
    </row>
    <row r="402" spans="1:18" ht="15" x14ac:dyDescent="0.25">
      <c r="A402"/>
      <c r="B402"/>
      <c r="D402"/>
      <c r="O402" s="8"/>
      <c r="R402" s="9"/>
    </row>
    <row r="403" spans="1:18" ht="15" x14ac:dyDescent="0.25">
      <c r="A403"/>
      <c r="B403"/>
      <c r="D403"/>
      <c r="O403" s="8"/>
      <c r="R403" s="9"/>
    </row>
    <row r="404" spans="1:18" ht="15" x14ac:dyDescent="0.25">
      <c r="A404"/>
      <c r="B404"/>
      <c r="D404"/>
      <c r="O404" s="8"/>
      <c r="R404" s="9"/>
    </row>
    <row r="405" spans="1:18" ht="15" x14ac:dyDescent="0.25">
      <c r="A405"/>
      <c r="B405"/>
      <c r="D405"/>
      <c r="O405" s="8"/>
      <c r="R405" s="9"/>
    </row>
    <row r="406" spans="1:18" ht="15" x14ac:dyDescent="0.25">
      <c r="A406"/>
      <c r="B406"/>
      <c r="D406"/>
      <c r="K406" s="10"/>
      <c r="O406" s="8"/>
      <c r="R406" s="9"/>
    </row>
    <row r="407" spans="1:18" ht="15" x14ac:dyDescent="0.25">
      <c r="A407"/>
      <c r="B407"/>
      <c r="D407"/>
      <c r="K407" s="10"/>
      <c r="O407" s="8"/>
      <c r="R407" s="9"/>
    </row>
    <row r="408" spans="1:18" ht="15" x14ac:dyDescent="0.25">
      <c r="A408"/>
      <c r="B408"/>
      <c r="D408"/>
      <c r="O408" s="8"/>
      <c r="R408" s="9"/>
    </row>
    <row r="409" spans="1:18" ht="15" x14ac:dyDescent="0.25">
      <c r="A409"/>
      <c r="B409"/>
      <c r="D409"/>
      <c r="O409" s="8"/>
      <c r="R409" s="9"/>
    </row>
    <row r="410" spans="1:18" ht="15" x14ac:dyDescent="0.25">
      <c r="A410"/>
      <c r="B410"/>
      <c r="D410"/>
      <c r="O410" s="8"/>
      <c r="R410" s="9"/>
    </row>
    <row r="411" spans="1:18" ht="15" x14ac:dyDescent="0.25">
      <c r="A411"/>
      <c r="B411"/>
      <c r="D411"/>
      <c r="O411" s="8"/>
      <c r="R411" s="9"/>
    </row>
    <row r="412" spans="1:18" ht="15" x14ac:dyDescent="0.25">
      <c r="A412"/>
      <c r="B412"/>
      <c r="D412"/>
      <c r="O412" s="8"/>
      <c r="R412" s="9"/>
    </row>
    <row r="413" spans="1:18" ht="15" x14ac:dyDescent="0.25">
      <c r="A413"/>
      <c r="B413"/>
      <c r="D413"/>
      <c r="O413" s="8"/>
      <c r="R413" s="9"/>
    </row>
    <row r="414" spans="1:18" ht="15" x14ac:dyDescent="0.25">
      <c r="A414"/>
      <c r="B414"/>
      <c r="D414"/>
      <c r="O414" s="8"/>
      <c r="R414" s="9"/>
    </row>
    <row r="415" spans="1:18" ht="15" x14ac:dyDescent="0.25">
      <c r="A415"/>
      <c r="B415"/>
      <c r="D415"/>
      <c r="O415" s="8"/>
      <c r="R415" s="9"/>
    </row>
    <row r="416" spans="1:18" ht="15" x14ac:dyDescent="0.25">
      <c r="A416"/>
      <c r="B416"/>
      <c r="D416"/>
      <c r="O416" s="8"/>
      <c r="R416" s="9"/>
    </row>
    <row r="417" spans="1:18" ht="15" x14ac:dyDescent="0.25">
      <c r="A417"/>
      <c r="B417"/>
      <c r="D417"/>
      <c r="O417" s="8"/>
      <c r="R417" s="9"/>
    </row>
    <row r="418" spans="1:18" ht="15" x14ac:dyDescent="0.25">
      <c r="A418"/>
      <c r="B418"/>
      <c r="D418"/>
      <c r="O418" s="8"/>
      <c r="R418" s="9"/>
    </row>
    <row r="419" spans="1:18" ht="15" x14ac:dyDescent="0.25">
      <c r="A419"/>
      <c r="B419"/>
      <c r="D419"/>
      <c r="O419" s="8"/>
      <c r="R419" s="9"/>
    </row>
    <row r="420" spans="1:18" ht="15" x14ac:dyDescent="0.25">
      <c r="A420"/>
      <c r="B420"/>
      <c r="D420"/>
      <c r="O420" s="8"/>
      <c r="R420" s="9"/>
    </row>
    <row r="421" spans="1:18" ht="15" x14ac:dyDescent="0.25">
      <c r="A421"/>
      <c r="B421"/>
      <c r="D421"/>
      <c r="O421" s="8"/>
      <c r="R421" s="9"/>
    </row>
    <row r="422" spans="1:18" ht="15" x14ac:dyDescent="0.25">
      <c r="A422"/>
      <c r="B422"/>
      <c r="D422"/>
      <c r="O422" s="8"/>
      <c r="R422" s="9"/>
    </row>
    <row r="423" spans="1:18" ht="15" x14ac:dyDescent="0.25">
      <c r="A423"/>
      <c r="B423"/>
      <c r="D423"/>
      <c r="O423" s="8"/>
      <c r="R423" s="9"/>
    </row>
    <row r="424" spans="1:18" ht="15" x14ac:dyDescent="0.25">
      <c r="A424"/>
      <c r="B424"/>
      <c r="D424"/>
      <c r="O424" s="8"/>
      <c r="R424" s="9"/>
    </row>
    <row r="425" spans="1:18" ht="15" x14ac:dyDescent="0.25">
      <c r="A425"/>
      <c r="B425"/>
      <c r="D425"/>
      <c r="O425" s="8"/>
      <c r="R425" s="9"/>
    </row>
    <row r="426" spans="1:18" ht="15" x14ac:dyDescent="0.25">
      <c r="A426"/>
      <c r="B426"/>
      <c r="D426"/>
      <c r="O426" s="8"/>
      <c r="R426" s="9"/>
    </row>
    <row r="427" spans="1:18" ht="15" x14ac:dyDescent="0.25">
      <c r="A427"/>
      <c r="B427"/>
      <c r="D427"/>
      <c r="O427" s="8"/>
      <c r="R427" s="9"/>
    </row>
    <row r="428" spans="1:18" ht="15" x14ac:dyDescent="0.25">
      <c r="A428"/>
      <c r="B428"/>
      <c r="D428"/>
      <c r="O428" s="8"/>
      <c r="R428" s="9"/>
    </row>
    <row r="429" spans="1:18" ht="15" x14ac:dyDescent="0.25">
      <c r="A429"/>
      <c r="B429"/>
      <c r="D429"/>
      <c r="K429" s="10"/>
      <c r="O429" s="8"/>
      <c r="R429" s="9"/>
    </row>
    <row r="430" spans="1:18" ht="15" x14ac:dyDescent="0.25">
      <c r="A430"/>
      <c r="B430"/>
      <c r="D430"/>
      <c r="K430" s="10"/>
      <c r="O430" s="8"/>
      <c r="R430" s="9"/>
    </row>
    <row r="431" spans="1:18" ht="15" x14ac:dyDescent="0.25">
      <c r="A431"/>
      <c r="B431"/>
      <c r="D431"/>
      <c r="O431" s="8"/>
      <c r="R431" s="9"/>
    </row>
    <row r="432" spans="1:18" ht="15" x14ac:dyDescent="0.25">
      <c r="A432"/>
      <c r="B432"/>
      <c r="D432"/>
      <c r="O432" s="8"/>
      <c r="R432" s="9"/>
    </row>
    <row r="433" spans="1:18" ht="15" x14ac:dyDescent="0.25">
      <c r="A433"/>
      <c r="B433"/>
      <c r="D433"/>
      <c r="O433" s="8"/>
      <c r="R433" s="9"/>
    </row>
    <row r="434" spans="1:18" ht="15" x14ac:dyDescent="0.25">
      <c r="A434"/>
      <c r="B434"/>
      <c r="D434"/>
      <c r="O434" s="8"/>
      <c r="R434" s="9"/>
    </row>
    <row r="435" spans="1:18" ht="15" x14ac:dyDescent="0.25">
      <c r="A435"/>
      <c r="B435"/>
      <c r="D435"/>
      <c r="O435" s="8"/>
      <c r="R435" s="9"/>
    </row>
    <row r="436" spans="1:18" ht="15" x14ac:dyDescent="0.25">
      <c r="A436"/>
      <c r="B436"/>
      <c r="D436"/>
      <c r="O436" s="8"/>
      <c r="R436" s="9"/>
    </row>
    <row r="437" spans="1:18" ht="15" x14ac:dyDescent="0.25">
      <c r="A437"/>
      <c r="B437"/>
      <c r="D437"/>
      <c r="O437" s="8"/>
      <c r="R437" s="9"/>
    </row>
    <row r="438" spans="1:18" ht="15" x14ac:dyDescent="0.25">
      <c r="A438"/>
      <c r="B438"/>
      <c r="D438"/>
      <c r="O438" s="8"/>
      <c r="R438" s="9"/>
    </row>
    <row r="439" spans="1:18" ht="15" x14ac:dyDescent="0.25">
      <c r="A439"/>
      <c r="B439"/>
      <c r="D439"/>
      <c r="O439" s="8"/>
      <c r="R439" s="9"/>
    </row>
    <row r="440" spans="1:18" ht="15" x14ac:dyDescent="0.25">
      <c r="A440"/>
      <c r="B440"/>
      <c r="D440"/>
      <c r="O440" s="8"/>
      <c r="R440" s="9"/>
    </row>
    <row r="441" spans="1:18" ht="15" x14ac:dyDescent="0.25">
      <c r="A441"/>
      <c r="B441"/>
      <c r="D441"/>
      <c r="O441" s="8"/>
      <c r="R441" s="9"/>
    </row>
    <row r="442" spans="1:18" ht="15" x14ac:dyDescent="0.25">
      <c r="A442"/>
      <c r="B442"/>
      <c r="D442"/>
      <c r="O442" s="8"/>
      <c r="R442" s="9"/>
    </row>
    <row r="443" spans="1:18" ht="15" x14ac:dyDescent="0.25">
      <c r="A443"/>
      <c r="B443"/>
      <c r="D443"/>
      <c r="O443" s="8"/>
      <c r="R443" s="9"/>
    </row>
    <row r="444" spans="1:18" ht="15" x14ac:dyDescent="0.25">
      <c r="A444"/>
      <c r="B444"/>
      <c r="D444"/>
      <c r="O444" s="8"/>
      <c r="R444" s="9"/>
    </row>
    <row r="445" spans="1:18" ht="15" x14ac:dyDescent="0.25">
      <c r="A445"/>
      <c r="B445"/>
      <c r="D445"/>
      <c r="O445" s="8"/>
      <c r="R445" s="9"/>
    </row>
    <row r="446" spans="1:18" ht="15" x14ac:dyDescent="0.25">
      <c r="A446"/>
      <c r="B446"/>
      <c r="D446"/>
      <c r="O446" s="8"/>
      <c r="R446" s="9"/>
    </row>
    <row r="447" spans="1:18" ht="15" x14ac:dyDescent="0.25">
      <c r="A447"/>
      <c r="B447"/>
      <c r="D447"/>
      <c r="O447" s="8"/>
      <c r="R447" s="9"/>
    </row>
    <row r="448" spans="1:18" ht="15" x14ac:dyDescent="0.25">
      <c r="A448"/>
      <c r="B448"/>
      <c r="D448"/>
      <c r="O448" s="8"/>
      <c r="R448" s="9"/>
    </row>
    <row r="449" spans="1:18" ht="15" x14ac:dyDescent="0.25">
      <c r="A449"/>
      <c r="B449"/>
      <c r="D449"/>
      <c r="O449" s="8"/>
      <c r="R449" s="9"/>
    </row>
    <row r="450" spans="1:18" ht="15" x14ac:dyDescent="0.25">
      <c r="A450"/>
      <c r="B450"/>
      <c r="D450"/>
      <c r="O450" s="8"/>
      <c r="R450" s="9"/>
    </row>
    <row r="451" spans="1:18" ht="15" x14ac:dyDescent="0.25">
      <c r="A451"/>
      <c r="B451"/>
      <c r="D451"/>
      <c r="O451" s="8"/>
      <c r="R451" s="9"/>
    </row>
    <row r="452" spans="1:18" ht="15" x14ac:dyDescent="0.25">
      <c r="A452"/>
      <c r="B452"/>
      <c r="D452"/>
      <c r="K452" s="10"/>
      <c r="O452" s="8"/>
      <c r="R452" s="9"/>
    </row>
    <row r="453" spans="1:18" ht="15" x14ac:dyDescent="0.25">
      <c r="A453"/>
      <c r="B453"/>
      <c r="D453"/>
      <c r="K453" s="10"/>
      <c r="O453" s="8"/>
      <c r="R453" s="9"/>
    </row>
    <row r="454" spans="1:18" ht="15" x14ac:dyDescent="0.25">
      <c r="A454"/>
      <c r="B454"/>
      <c r="D454"/>
      <c r="O454" s="8"/>
      <c r="R454" s="9"/>
    </row>
    <row r="455" spans="1:18" ht="15" x14ac:dyDescent="0.25">
      <c r="A455"/>
      <c r="B455"/>
      <c r="D455"/>
      <c r="O455" s="8"/>
      <c r="R455" s="9"/>
    </row>
    <row r="456" spans="1:18" ht="15" x14ac:dyDescent="0.25">
      <c r="A456"/>
      <c r="B456"/>
      <c r="D456"/>
      <c r="O456" s="8"/>
      <c r="R456" s="9"/>
    </row>
    <row r="457" spans="1:18" ht="15" x14ac:dyDescent="0.25">
      <c r="A457"/>
      <c r="B457"/>
      <c r="D457"/>
      <c r="O457" s="8"/>
      <c r="R457" s="9"/>
    </row>
    <row r="458" spans="1:18" ht="15" x14ac:dyDescent="0.25">
      <c r="A458"/>
      <c r="B458"/>
      <c r="D458"/>
      <c r="O458" s="8"/>
      <c r="R458" s="9"/>
    </row>
    <row r="459" spans="1:18" ht="15" x14ac:dyDescent="0.25">
      <c r="A459"/>
      <c r="B459"/>
      <c r="D459"/>
      <c r="O459" s="8"/>
      <c r="R459" s="9"/>
    </row>
    <row r="460" spans="1:18" ht="15" x14ac:dyDescent="0.25">
      <c r="A460"/>
      <c r="B460"/>
      <c r="D460"/>
      <c r="O460" s="8"/>
      <c r="R460" s="9"/>
    </row>
    <row r="461" spans="1:18" ht="15" x14ac:dyDescent="0.25">
      <c r="A461"/>
      <c r="B461"/>
      <c r="D461"/>
      <c r="O461" s="8"/>
      <c r="R461" s="9"/>
    </row>
    <row r="462" spans="1:18" ht="15" x14ac:dyDescent="0.25">
      <c r="A462"/>
      <c r="B462"/>
      <c r="D462"/>
      <c r="O462" s="8"/>
      <c r="R462" s="9"/>
    </row>
    <row r="463" spans="1:18" ht="15" x14ac:dyDescent="0.25">
      <c r="A463"/>
      <c r="B463"/>
      <c r="D463"/>
      <c r="O463" s="8"/>
      <c r="R463" s="9"/>
    </row>
    <row r="464" spans="1:18" ht="15" x14ac:dyDescent="0.25">
      <c r="A464"/>
      <c r="B464"/>
      <c r="D464"/>
      <c r="O464" s="8"/>
      <c r="R464" s="9"/>
    </row>
    <row r="465" spans="1:18" ht="15" x14ac:dyDescent="0.25">
      <c r="A465"/>
      <c r="B465"/>
      <c r="D465"/>
      <c r="O465" s="8"/>
      <c r="R465" s="9"/>
    </row>
    <row r="466" spans="1:18" ht="15" x14ac:dyDescent="0.25">
      <c r="A466"/>
      <c r="B466"/>
      <c r="D466"/>
      <c r="O466" s="8"/>
      <c r="R466" s="9"/>
    </row>
    <row r="467" spans="1:18" ht="15" x14ac:dyDescent="0.25">
      <c r="A467"/>
      <c r="B467"/>
      <c r="D467"/>
      <c r="O467" s="8"/>
      <c r="R467" s="9"/>
    </row>
    <row r="468" spans="1:18" ht="15" x14ac:dyDescent="0.25">
      <c r="A468"/>
      <c r="B468"/>
      <c r="D468"/>
      <c r="O468" s="8"/>
      <c r="R468" s="9"/>
    </row>
    <row r="469" spans="1:18" ht="15" x14ac:dyDescent="0.25">
      <c r="A469"/>
      <c r="B469"/>
      <c r="D469"/>
      <c r="O469" s="8"/>
      <c r="R469" s="9"/>
    </row>
    <row r="470" spans="1:18" ht="15" x14ac:dyDescent="0.25">
      <c r="A470"/>
      <c r="B470"/>
      <c r="D470"/>
      <c r="O470" s="8"/>
      <c r="R470" s="9"/>
    </row>
    <row r="471" spans="1:18" ht="15" x14ac:dyDescent="0.25">
      <c r="A471"/>
      <c r="B471"/>
      <c r="D471"/>
      <c r="O471" s="8"/>
      <c r="R471" s="9"/>
    </row>
    <row r="472" spans="1:18" ht="15" x14ac:dyDescent="0.25">
      <c r="A472"/>
      <c r="B472"/>
      <c r="D472"/>
      <c r="O472" s="8"/>
      <c r="R472" s="9"/>
    </row>
    <row r="473" spans="1:18" ht="15" x14ac:dyDescent="0.25">
      <c r="A473"/>
      <c r="B473"/>
      <c r="D473"/>
      <c r="O473" s="8"/>
      <c r="R473" s="9"/>
    </row>
    <row r="474" spans="1:18" ht="15" x14ac:dyDescent="0.25">
      <c r="A474"/>
      <c r="B474"/>
      <c r="D474"/>
      <c r="O474" s="8"/>
      <c r="R474" s="9"/>
    </row>
    <row r="475" spans="1:18" ht="15" x14ac:dyDescent="0.25">
      <c r="A475"/>
      <c r="B475"/>
      <c r="D475"/>
      <c r="K475" s="10"/>
      <c r="O475" s="8"/>
      <c r="R475" s="9"/>
    </row>
    <row r="476" spans="1:18" ht="15" x14ac:dyDescent="0.25">
      <c r="A476"/>
      <c r="B476"/>
      <c r="D476"/>
      <c r="K476" s="10"/>
      <c r="O476" s="8"/>
      <c r="R476" s="9"/>
    </row>
    <row r="477" spans="1:18" ht="15" x14ac:dyDescent="0.25">
      <c r="A477"/>
      <c r="B477"/>
      <c r="D477"/>
      <c r="O477" s="8"/>
      <c r="R477" s="9"/>
    </row>
    <row r="478" spans="1:18" ht="15" x14ac:dyDescent="0.25">
      <c r="A478"/>
      <c r="B478"/>
      <c r="D478"/>
      <c r="O478" s="8"/>
      <c r="R478" s="9"/>
    </row>
    <row r="479" spans="1:18" ht="15" x14ac:dyDescent="0.25">
      <c r="A479"/>
      <c r="B479"/>
      <c r="D479"/>
      <c r="O479" s="8"/>
      <c r="R479" s="9"/>
    </row>
    <row r="480" spans="1:18" ht="15" x14ac:dyDescent="0.25">
      <c r="A480"/>
      <c r="B480"/>
      <c r="D480"/>
      <c r="O480" s="8"/>
      <c r="R480" s="9"/>
    </row>
    <row r="481" spans="1:18" ht="15" x14ac:dyDescent="0.25">
      <c r="A481"/>
      <c r="B481"/>
      <c r="D481"/>
      <c r="O481" s="8"/>
      <c r="R481" s="9"/>
    </row>
    <row r="482" spans="1:18" ht="15" x14ac:dyDescent="0.25">
      <c r="A482"/>
      <c r="B482"/>
      <c r="D482"/>
      <c r="O482" s="8"/>
      <c r="R482" s="9"/>
    </row>
    <row r="483" spans="1:18" ht="15" x14ac:dyDescent="0.25">
      <c r="A483"/>
      <c r="B483"/>
      <c r="D483"/>
      <c r="O483" s="8"/>
      <c r="R483" s="9"/>
    </row>
    <row r="484" spans="1:18" ht="15" x14ac:dyDescent="0.25">
      <c r="A484"/>
      <c r="B484"/>
      <c r="D484"/>
      <c r="O484" s="8"/>
      <c r="R484" s="9"/>
    </row>
    <row r="485" spans="1:18" ht="15" x14ac:dyDescent="0.25">
      <c r="A485"/>
      <c r="B485"/>
      <c r="D485"/>
      <c r="O485" s="8"/>
      <c r="R485" s="9"/>
    </row>
    <row r="486" spans="1:18" ht="15" x14ac:dyDescent="0.25">
      <c r="A486"/>
      <c r="B486"/>
      <c r="D486"/>
      <c r="O486" s="8"/>
      <c r="R486" s="9"/>
    </row>
    <row r="487" spans="1:18" ht="15" x14ac:dyDescent="0.25">
      <c r="A487"/>
      <c r="B487"/>
      <c r="D487"/>
      <c r="O487" s="8"/>
      <c r="R487" s="9"/>
    </row>
    <row r="488" spans="1:18" ht="15" x14ac:dyDescent="0.25">
      <c r="A488"/>
      <c r="B488"/>
      <c r="D488"/>
      <c r="O488" s="8"/>
      <c r="R488" s="9"/>
    </row>
    <row r="489" spans="1:18" ht="15" x14ac:dyDescent="0.25">
      <c r="A489"/>
      <c r="B489"/>
      <c r="D489"/>
      <c r="O489" s="8"/>
      <c r="R489" s="9"/>
    </row>
    <row r="490" spans="1:18" ht="15" x14ac:dyDescent="0.25">
      <c r="A490"/>
      <c r="B490"/>
      <c r="D490"/>
      <c r="O490" s="8"/>
      <c r="R490" s="9"/>
    </row>
    <row r="491" spans="1:18" ht="15" x14ac:dyDescent="0.25">
      <c r="A491"/>
      <c r="B491"/>
      <c r="D491"/>
      <c r="O491" s="8"/>
      <c r="R491" s="9"/>
    </row>
    <row r="492" spans="1:18" ht="15" x14ac:dyDescent="0.25">
      <c r="A492"/>
      <c r="B492"/>
      <c r="D492"/>
      <c r="O492" s="8"/>
      <c r="R492" s="9"/>
    </row>
    <row r="493" spans="1:18" ht="15" x14ac:dyDescent="0.25">
      <c r="A493"/>
      <c r="B493"/>
      <c r="D493"/>
      <c r="O493" s="8"/>
      <c r="R493" s="9"/>
    </row>
    <row r="494" spans="1:18" ht="15" x14ac:dyDescent="0.25">
      <c r="A494"/>
      <c r="B494"/>
      <c r="D494"/>
      <c r="O494" s="8"/>
      <c r="R494" s="9"/>
    </row>
    <row r="495" spans="1:18" ht="15" x14ac:dyDescent="0.25">
      <c r="A495"/>
      <c r="B495"/>
      <c r="D495"/>
      <c r="O495" s="8"/>
      <c r="R495" s="9"/>
    </row>
    <row r="496" spans="1:18" ht="15" x14ac:dyDescent="0.25">
      <c r="A496"/>
      <c r="B496"/>
      <c r="D496"/>
      <c r="O496" s="8"/>
      <c r="R496" s="9"/>
    </row>
    <row r="497" spans="1:18" ht="15" x14ac:dyDescent="0.25">
      <c r="A497"/>
      <c r="B497"/>
      <c r="D497"/>
      <c r="K497" s="10"/>
      <c r="O497" s="8"/>
      <c r="R497" s="9"/>
    </row>
    <row r="498" spans="1:18" ht="15" x14ac:dyDescent="0.25">
      <c r="A498"/>
      <c r="B498"/>
      <c r="D498"/>
      <c r="K498" s="10"/>
      <c r="O498" s="8"/>
      <c r="R498" s="9"/>
    </row>
    <row r="499" spans="1:18" ht="15" x14ac:dyDescent="0.25">
      <c r="A499"/>
      <c r="B499"/>
      <c r="D499"/>
      <c r="O499" s="8"/>
      <c r="R499" s="9"/>
    </row>
    <row r="500" spans="1:18" ht="15" x14ac:dyDescent="0.25">
      <c r="A500"/>
      <c r="B500"/>
      <c r="D500"/>
      <c r="O500" s="8"/>
      <c r="R500" s="9"/>
    </row>
    <row r="501" spans="1:18" ht="15" x14ac:dyDescent="0.25">
      <c r="A501"/>
      <c r="B501"/>
      <c r="D501"/>
      <c r="O501" s="8"/>
      <c r="R501" s="9"/>
    </row>
    <row r="502" spans="1:18" ht="15" x14ac:dyDescent="0.25">
      <c r="A502"/>
      <c r="B502"/>
      <c r="D502"/>
      <c r="O502" s="8"/>
      <c r="R502" s="9"/>
    </row>
    <row r="503" spans="1:18" ht="15" x14ac:dyDescent="0.25">
      <c r="A503"/>
      <c r="B503"/>
      <c r="D503"/>
      <c r="O503" s="8"/>
      <c r="R503" s="9"/>
    </row>
    <row r="504" spans="1:18" ht="15" x14ac:dyDescent="0.25">
      <c r="A504"/>
      <c r="B504"/>
      <c r="D504"/>
      <c r="O504" s="8"/>
      <c r="R504" s="9"/>
    </row>
    <row r="505" spans="1:18" ht="15" x14ac:dyDescent="0.25">
      <c r="A505"/>
      <c r="B505"/>
      <c r="D505"/>
      <c r="O505" s="8"/>
      <c r="R505" s="9"/>
    </row>
    <row r="506" spans="1:18" ht="15" x14ac:dyDescent="0.25">
      <c r="A506"/>
      <c r="B506"/>
      <c r="D506"/>
      <c r="O506" s="8"/>
      <c r="R506" s="9"/>
    </row>
    <row r="507" spans="1:18" ht="15" x14ac:dyDescent="0.25">
      <c r="A507"/>
      <c r="B507"/>
      <c r="D507"/>
      <c r="O507" s="8"/>
      <c r="R507" s="9"/>
    </row>
    <row r="508" spans="1:18" ht="15" x14ac:dyDescent="0.25">
      <c r="A508"/>
      <c r="B508"/>
      <c r="D508"/>
      <c r="O508" s="8"/>
      <c r="R508" s="9"/>
    </row>
    <row r="509" spans="1:18" ht="15" x14ac:dyDescent="0.25">
      <c r="A509"/>
      <c r="B509"/>
      <c r="D509"/>
      <c r="O509" s="8"/>
      <c r="R509" s="9"/>
    </row>
    <row r="510" spans="1:18" ht="15" x14ac:dyDescent="0.25">
      <c r="A510"/>
      <c r="B510"/>
      <c r="D510"/>
      <c r="O510" s="8"/>
      <c r="R510" s="9"/>
    </row>
    <row r="511" spans="1:18" ht="15" x14ac:dyDescent="0.25">
      <c r="A511"/>
      <c r="B511"/>
      <c r="D511"/>
      <c r="O511" s="8"/>
      <c r="R511" s="9"/>
    </row>
    <row r="512" spans="1:18" ht="15" x14ac:dyDescent="0.25">
      <c r="A512"/>
      <c r="B512"/>
      <c r="D512"/>
      <c r="O512" s="8"/>
      <c r="R512" s="9"/>
    </row>
    <row r="513" spans="1:18" ht="15" x14ac:dyDescent="0.25">
      <c r="A513"/>
      <c r="B513"/>
      <c r="D513"/>
      <c r="O513" s="8"/>
      <c r="R513" s="9"/>
    </row>
    <row r="514" spans="1:18" ht="15" x14ac:dyDescent="0.25">
      <c r="A514"/>
      <c r="B514"/>
      <c r="D514"/>
      <c r="O514" s="8"/>
      <c r="R514" s="9"/>
    </row>
    <row r="515" spans="1:18" ht="15" x14ac:dyDescent="0.25">
      <c r="A515"/>
      <c r="B515"/>
      <c r="D515"/>
      <c r="O515" s="8"/>
      <c r="R515" s="9"/>
    </row>
    <row r="516" spans="1:18" ht="15" x14ac:dyDescent="0.25">
      <c r="A516"/>
      <c r="B516"/>
      <c r="D516"/>
      <c r="O516" s="8"/>
      <c r="R516" s="9"/>
    </row>
    <row r="517" spans="1:18" ht="15" x14ac:dyDescent="0.25">
      <c r="A517"/>
      <c r="B517"/>
      <c r="D517"/>
      <c r="O517" s="8"/>
      <c r="R517" s="9"/>
    </row>
    <row r="518" spans="1:18" ht="15" x14ac:dyDescent="0.25">
      <c r="A518"/>
      <c r="B518"/>
      <c r="D518"/>
      <c r="O518" s="8"/>
      <c r="R518" s="9"/>
    </row>
    <row r="519" spans="1:18" ht="15" x14ac:dyDescent="0.25">
      <c r="A519"/>
      <c r="B519"/>
      <c r="D519"/>
      <c r="O519" s="8"/>
      <c r="R519" s="9"/>
    </row>
    <row r="520" spans="1:18" ht="15" x14ac:dyDescent="0.25">
      <c r="A520"/>
      <c r="B520"/>
      <c r="D520"/>
      <c r="K520" s="10"/>
      <c r="O520" s="8"/>
      <c r="R520" s="9"/>
    </row>
    <row r="521" spans="1:18" ht="15" x14ac:dyDescent="0.25">
      <c r="A521"/>
      <c r="B521"/>
      <c r="D521"/>
      <c r="K521" s="10"/>
      <c r="O521" s="8"/>
      <c r="R521" s="9"/>
    </row>
    <row r="522" spans="1:18" ht="15" x14ac:dyDescent="0.25">
      <c r="A522"/>
      <c r="B522"/>
      <c r="D522"/>
      <c r="O522" s="8"/>
      <c r="R522" s="9"/>
    </row>
    <row r="523" spans="1:18" ht="15" x14ac:dyDescent="0.25">
      <c r="A523"/>
      <c r="B523"/>
      <c r="D523"/>
      <c r="O523" s="8"/>
      <c r="R523" s="9"/>
    </row>
    <row r="524" spans="1:18" ht="15" x14ac:dyDescent="0.25">
      <c r="A524"/>
      <c r="B524"/>
      <c r="D524"/>
      <c r="O524" s="8"/>
      <c r="R524" s="9"/>
    </row>
    <row r="525" spans="1:18" ht="15" x14ac:dyDescent="0.25">
      <c r="A525"/>
      <c r="B525"/>
      <c r="D525"/>
      <c r="O525" s="8"/>
      <c r="R525" s="9"/>
    </row>
    <row r="526" spans="1:18" ht="15" x14ac:dyDescent="0.25">
      <c r="A526"/>
      <c r="B526"/>
      <c r="D526"/>
      <c r="O526" s="8"/>
      <c r="R526" s="9"/>
    </row>
    <row r="527" spans="1:18" ht="15" x14ac:dyDescent="0.25">
      <c r="A527"/>
      <c r="B527"/>
      <c r="D527"/>
      <c r="O527" s="8"/>
      <c r="R527" s="9"/>
    </row>
    <row r="528" spans="1:18" ht="15" x14ac:dyDescent="0.25">
      <c r="A528"/>
      <c r="B528"/>
      <c r="D528"/>
      <c r="O528" s="8"/>
      <c r="R528" s="9"/>
    </row>
    <row r="529" spans="1:18" ht="15" x14ac:dyDescent="0.25">
      <c r="A529"/>
      <c r="B529"/>
      <c r="D529"/>
      <c r="O529" s="8"/>
      <c r="R529" s="9"/>
    </row>
    <row r="530" spans="1:18" ht="15" x14ac:dyDescent="0.25">
      <c r="A530"/>
      <c r="B530"/>
      <c r="D530"/>
      <c r="O530" s="8"/>
      <c r="R530" s="9"/>
    </row>
    <row r="531" spans="1:18" ht="15" x14ac:dyDescent="0.25">
      <c r="A531"/>
      <c r="B531"/>
      <c r="D531"/>
      <c r="O531" s="8"/>
      <c r="R531" s="9"/>
    </row>
    <row r="532" spans="1:18" ht="15" x14ac:dyDescent="0.25">
      <c r="A532"/>
      <c r="B532"/>
      <c r="D532"/>
      <c r="O532" s="8"/>
      <c r="R532" s="9"/>
    </row>
    <row r="533" spans="1:18" ht="15" x14ac:dyDescent="0.25">
      <c r="A533"/>
      <c r="B533"/>
      <c r="D533"/>
      <c r="O533" s="8"/>
      <c r="R533" s="9"/>
    </row>
    <row r="534" spans="1:18" ht="15" x14ac:dyDescent="0.25">
      <c r="A534"/>
      <c r="B534"/>
      <c r="D534"/>
      <c r="O534" s="8"/>
      <c r="R534" s="9"/>
    </row>
    <row r="535" spans="1:18" ht="15" x14ac:dyDescent="0.25">
      <c r="A535"/>
      <c r="B535"/>
      <c r="D535"/>
      <c r="O535" s="8"/>
      <c r="R535" s="9"/>
    </row>
    <row r="536" spans="1:18" ht="15" x14ac:dyDescent="0.25">
      <c r="A536"/>
      <c r="B536"/>
      <c r="D536"/>
      <c r="O536" s="8"/>
      <c r="R536" s="9"/>
    </row>
    <row r="537" spans="1:18" ht="15" x14ac:dyDescent="0.25">
      <c r="A537"/>
      <c r="B537"/>
      <c r="D537"/>
      <c r="O537" s="8"/>
      <c r="R537" s="9"/>
    </row>
    <row r="538" spans="1:18" ht="15" x14ac:dyDescent="0.25">
      <c r="A538"/>
      <c r="B538"/>
      <c r="D538"/>
      <c r="O538" s="8"/>
      <c r="R538" s="9"/>
    </row>
    <row r="539" spans="1:18" ht="15" x14ac:dyDescent="0.25">
      <c r="A539"/>
      <c r="B539"/>
      <c r="D539"/>
      <c r="O539" s="8"/>
      <c r="R539" s="9"/>
    </row>
    <row r="540" spans="1:18" ht="15" x14ac:dyDescent="0.25">
      <c r="A540"/>
      <c r="B540"/>
      <c r="D540"/>
      <c r="O540" s="8"/>
      <c r="R540" s="9"/>
    </row>
    <row r="541" spans="1:18" ht="15" x14ac:dyDescent="0.25">
      <c r="A541"/>
      <c r="B541"/>
      <c r="D541"/>
      <c r="O541" s="8"/>
      <c r="R541" s="9"/>
    </row>
    <row r="542" spans="1:18" ht="15" x14ac:dyDescent="0.25">
      <c r="A542"/>
      <c r="B542"/>
      <c r="D542"/>
      <c r="O542" s="8"/>
      <c r="R542" s="9"/>
    </row>
    <row r="543" spans="1:18" ht="15" x14ac:dyDescent="0.25">
      <c r="A543"/>
      <c r="B543"/>
      <c r="D543"/>
      <c r="K543" s="10"/>
      <c r="O543" s="8"/>
      <c r="R543" s="9"/>
    </row>
    <row r="544" spans="1:18" ht="15" x14ac:dyDescent="0.25">
      <c r="A544"/>
      <c r="B544"/>
      <c r="D544"/>
      <c r="K544" s="10"/>
      <c r="O544" s="8"/>
      <c r="R544" s="9"/>
    </row>
    <row r="545" spans="1:18" ht="15" x14ac:dyDescent="0.25">
      <c r="A545"/>
      <c r="B545"/>
      <c r="D545"/>
      <c r="O545" s="8"/>
      <c r="R545" s="9"/>
    </row>
    <row r="546" spans="1:18" ht="15" x14ac:dyDescent="0.25">
      <c r="A546"/>
      <c r="B546"/>
      <c r="D546"/>
      <c r="O546" s="8"/>
      <c r="R546" s="9"/>
    </row>
    <row r="547" spans="1:18" ht="15" x14ac:dyDescent="0.25">
      <c r="A547"/>
      <c r="B547"/>
      <c r="D547"/>
      <c r="O547" s="8"/>
      <c r="R547" s="9"/>
    </row>
    <row r="548" spans="1:18" ht="15" x14ac:dyDescent="0.25">
      <c r="A548"/>
      <c r="B548"/>
      <c r="D548"/>
      <c r="O548" s="8"/>
      <c r="R548" s="9"/>
    </row>
    <row r="549" spans="1:18" ht="15" x14ac:dyDescent="0.25">
      <c r="A549"/>
      <c r="B549"/>
      <c r="D549"/>
      <c r="O549" s="8"/>
      <c r="R549" s="9"/>
    </row>
    <row r="550" spans="1:18" ht="15" x14ac:dyDescent="0.25">
      <c r="A550"/>
      <c r="B550"/>
      <c r="D550"/>
      <c r="O550" s="8"/>
      <c r="R550" s="9"/>
    </row>
    <row r="551" spans="1:18" ht="15" x14ac:dyDescent="0.25">
      <c r="A551"/>
      <c r="B551"/>
      <c r="D551"/>
      <c r="O551" s="8"/>
      <c r="R551" s="9"/>
    </row>
    <row r="552" spans="1:18" ht="15" x14ac:dyDescent="0.25">
      <c r="A552"/>
      <c r="B552"/>
      <c r="D552"/>
      <c r="O552" s="8"/>
      <c r="R552" s="9"/>
    </row>
    <row r="553" spans="1:18" ht="15" x14ac:dyDescent="0.25">
      <c r="A553"/>
      <c r="B553"/>
      <c r="D553"/>
      <c r="O553" s="8"/>
      <c r="R553" s="9"/>
    </row>
    <row r="554" spans="1:18" ht="15" x14ac:dyDescent="0.25">
      <c r="A554"/>
      <c r="B554"/>
      <c r="D554"/>
      <c r="O554" s="8"/>
      <c r="R554" s="9"/>
    </row>
    <row r="555" spans="1:18" ht="15" x14ac:dyDescent="0.25">
      <c r="A555"/>
      <c r="B555"/>
      <c r="D555"/>
      <c r="O555" s="8"/>
      <c r="R555" s="9"/>
    </row>
    <row r="556" spans="1:18" ht="15" x14ac:dyDescent="0.25">
      <c r="A556"/>
      <c r="B556"/>
      <c r="D556"/>
      <c r="O556" s="8"/>
      <c r="R556" s="9"/>
    </row>
    <row r="557" spans="1:18" ht="15" x14ac:dyDescent="0.25">
      <c r="A557"/>
      <c r="B557"/>
      <c r="D557"/>
      <c r="O557" s="8"/>
      <c r="R557" s="9"/>
    </row>
    <row r="558" spans="1:18" ht="15" x14ac:dyDescent="0.25">
      <c r="A558"/>
      <c r="B558"/>
      <c r="D558"/>
      <c r="O558" s="8"/>
      <c r="R558" s="9"/>
    </row>
    <row r="559" spans="1:18" ht="15" x14ac:dyDescent="0.25">
      <c r="A559"/>
      <c r="B559"/>
      <c r="D559"/>
      <c r="O559" s="8"/>
      <c r="R559" s="9"/>
    </row>
    <row r="560" spans="1:18" ht="15" x14ac:dyDescent="0.25">
      <c r="A560"/>
      <c r="B560"/>
      <c r="D560"/>
      <c r="O560" s="8"/>
      <c r="R560" s="9"/>
    </row>
    <row r="561" spans="1:18" ht="15" x14ac:dyDescent="0.25">
      <c r="A561"/>
      <c r="B561"/>
      <c r="D561"/>
      <c r="O561" s="8"/>
      <c r="R561" s="9"/>
    </row>
    <row r="562" spans="1:18" ht="15" x14ac:dyDescent="0.25">
      <c r="A562"/>
      <c r="B562"/>
      <c r="D562"/>
      <c r="O562" s="8"/>
      <c r="R562" s="9"/>
    </row>
    <row r="563" spans="1:18" ht="15" x14ac:dyDescent="0.25">
      <c r="A563"/>
      <c r="B563"/>
      <c r="D563"/>
      <c r="O563" s="8"/>
      <c r="R563" s="9"/>
    </row>
    <row r="564" spans="1:18" ht="15" x14ac:dyDescent="0.25">
      <c r="A564"/>
      <c r="B564"/>
      <c r="D564"/>
      <c r="O564" s="8"/>
      <c r="R564" s="9"/>
    </row>
    <row r="565" spans="1:18" ht="15" x14ac:dyDescent="0.25">
      <c r="A565"/>
      <c r="B565"/>
      <c r="D565"/>
      <c r="O565" s="8"/>
      <c r="R565" s="9"/>
    </row>
    <row r="566" spans="1:18" ht="15" x14ac:dyDescent="0.25">
      <c r="A566"/>
      <c r="B566"/>
      <c r="D566"/>
      <c r="K566" s="10"/>
      <c r="O566" s="8"/>
      <c r="R566" s="9"/>
    </row>
    <row r="567" spans="1:18" ht="15" x14ac:dyDescent="0.25">
      <c r="A567"/>
      <c r="B567"/>
      <c r="D567"/>
      <c r="K567" s="10"/>
      <c r="O567" s="8"/>
      <c r="R567" s="9"/>
    </row>
    <row r="568" spans="1:18" ht="15" x14ac:dyDescent="0.25">
      <c r="A568"/>
      <c r="B568"/>
      <c r="D568"/>
      <c r="O568" s="8"/>
      <c r="R568" s="9"/>
    </row>
    <row r="569" spans="1:18" ht="15" x14ac:dyDescent="0.25">
      <c r="A569"/>
      <c r="B569"/>
      <c r="D569"/>
      <c r="O569" s="8"/>
      <c r="R569" s="9"/>
    </row>
    <row r="570" spans="1:18" ht="15" x14ac:dyDescent="0.25">
      <c r="A570"/>
      <c r="B570"/>
      <c r="D570"/>
      <c r="O570" s="8"/>
      <c r="R570" s="9"/>
    </row>
    <row r="571" spans="1:18" ht="15" x14ac:dyDescent="0.25">
      <c r="A571"/>
      <c r="B571"/>
      <c r="D571"/>
      <c r="O571" s="8"/>
      <c r="R571" s="9"/>
    </row>
    <row r="572" spans="1:18" ht="15" x14ac:dyDescent="0.25">
      <c r="A572"/>
      <c r="B572"/>
      <c r="D572"/>
      <c r="O572" s="8"/>
      <c r="R572" s="9"/>
    </row>
    <row r="573" spans="1:18" ht="15" x14ac:dyDescent="0.25">
      <c r="A573"/>
      <c r="B573"/>
      <c r="D573"/>
      <c r="O573" s="8"/>
      <c r="R573" s="9"/>
    </row>
    <row r="574" spans="1:18" ht="15" x14ac:dyDescent="0.25">
      <c r="A574"/>
      <c r="B574"/>
      <c r="D574"/>
      <c r="O574" s="8"/>
      <c r="R574" s="9"/>
    </row>
    <row r="575" spans="1:18" ht="15" x14ac:dyDescent="0.25">
      <c r="A575"/>
      <c r="B575"/>
      <c r="D575"/>
      <c r="O575" s="8"/>
      <c r="R575" s="9"/>
    </row>
    <row r="576" spans="1:18" ht="15" x14ac:dyDescent="0.25">
      <c r="A576"/>
      <c r="B576"/>
      <c r="D576"/>
      <c r="O576" s="8"/>
      <c r="R576" s="9"/>
    </row>
    <row r="577" spans="1:18" ht="15" x14ac:dyDescent="0.25">
      <c r="A577"/>
      <c r="B577"/>
      <c r="D577"/>
      <c r="O577" s="8"/>
      <c r="R577" s="9"/>
    </row>
    <row r="578" spans="1:18" ht="15" x14ac:dyDescent="0.25">
      <c r="A578"/>
      <c r="B578"/>
      <c r="D578"/>
      <c r="O578" s="8"/>
      <c r="R578" s="9"/>
    </row>
    <row r="579" spans="1:18" ht="15" x14ac:dyDescent="0.25">
      <c r="A579"/>
      <c r="B579"/>
      <c r="D579"/>
      <c r="O579" s="8"/>
      <c r="R579" s="9"/>
    </row>
    <row r="580" spans="1:18" ht="15" x14ac:dyDescent="0.25">
      <c r="A580"/>
      <c r="B580"/>
      <c r="D580"/>
      <c r="O580" s="8"/>
      <c r="R580" s="9"/>
    </row>
    <row r="581" spans="1:18" ht="15" x14ac:dyDescent="0.25">
      <c r="A581"/>
      <c r="B581"/>
      <c r="D581"/>
      <c r="O581" s="8"/>
      <c r="R581" s="9"/>
    </row>
    <row r="582" spans="1:18" ht="15" x14ac:dyDescent="0.25">
      <c r="A582"/>
      <c r="B582"/>
      <c r="D582"/>
      <c r="O582" s="8"/>
      <c r="R582" s="9"/>
    </row>
    <row r="583" spans="1:18" ht="15" x14ac:dyDescent="0.25">
      <c r="A583"/>
      <c r="B583"/>
      <c r="D583"/>
      <c r="O583" s="8"/>
      <c r="R583" s="9"/>
    </row>
    <row r="584" spans="1:18" ht="15" x14ac:dyDescent="0.25">
      <c r="A584"/>
      <c r="B584"/>
      <c r="D584"/>
      <c r="O584" s="8"/>
      <c r="R584" s="9"/>
    </row>
    <row r="585" spans="1:18" ht="15" x14ac:dyDescent="0.25">
      <c r="A585"/>
      <c r="B585"/>
      <c r="D585"/>
      <c r="O585" s="8"/>
      <c r="R585" s="9"/>
    </row>
    <row r="586" spans="1:18" ht="15" x14ac:dyDescent="0.25">
      <c r="A586"/>
      <c r="B586"/>
      <c r="D586"/>
      <c r="O586" s="8"/>
      <c r="R586" s="9"/>
    </row>
    <row r="587" spans="1:18" ht="15" x14ac:dyDescent="0.25">
      <c r="A587"/>
      <c r="B587"/>
      <c r="D587"/>
      <c r="O587" s="8"/>
      <c r="R587" s="9"/>
    </row>
    <row r="588" spans="1:18" ht="15" x14ac:dyDescent="0.25">
      <c r="A588"/>
      <c r="B588"/>
      <c r="D588"/>
      <c r="K588" s="10"/>
      <c r="O588" s="8"/>
      <c r="R588" s="9"/>
    </row>
    <row r="589" spans="1:18" ht="15" x14ac:dyDescent="0.25">
      <c r="A589"/>
      <c r="B589"/>
      <c r="D589"/>
      <c r="K589" s="10"/>
      <c r="O589" s="8"/>
      <c r="R589" s="9"/>
    </row>
    <row r="590" spans="1:18" ht="15" x14ac:dyDescent="0.25">
      <c r="A590"/>
      <c r="B590"/>
      <c r="D590"/>
      <c r="O590" s="8"/>
      <c r="R590" s="9"/>
    </row>
    <row r="591" spans="1:18" ht="15" x14ac:dyDescent="0.25">
      <c r="A591"/>
      <c r="B591"/>
      <c r="D591"/>
      <c r="O591" s="8"/>
      <c r="R591" s="9"/>
    </row>
    <row r="592" spans="1:18" ht="15" x14ac:dyDescent="0.25">
      <c r="A592"/>
      <c r="B592"/>
      <c r="D592"/>
      <c r="O592" s="8"/>
      <c r="R592" s="9"/>
    </row>
    <row r="593" spans="1:18" ht="15" x14ac:dyDescent="0.25">
      <c r="A593"/>
      <c r="B593"/>
      <c r="D593"/>
      <c r="O593" s="8"/>
      <c r="R593" s="9"/>
    </row>
    <row r="594" spans="1:18" ht="15" x14ac:dyDescent="0.25">
      <c r="A594"/>
      <c r="B594"/>
      <c r="D594"/>
      <c r="O594" s="8"/>
      <c r="R594" s="9"/>
    </row>
    <row r="595" spans="1:18" ht="15" x14ac:dyDescent="0.25">
      <c r="A595"/>
      <c r="B595"/>
      <c r="D595"/>
      <c r="O595" s="8"/>
      <c r="R595" s="9"/>
    </row>
    <row r="596" spans="1:18" ht="15" x14ac:dyDescent="0.25">
      <c r="A596"/>
      <c r="B596"/>
      <c r="D596"/>
      <c r="O596" s="8"/>
      <c r="R596" s="9"/>
    </row>
    <row r="597" spans="1:18" ht="15" x14ac:dyDescent="0.25">
      <c r="A597"/>
      <c r="B597"/>
      <c r="D597"/>
      <c r="O597" s="8"/>
      <c r="R597" s="9"/>
    </row>
    <row r="598" spans="1:18" ht="15" x14ac:dyDescent="0.25">
      <c r="A598"/>
      <c r="B598"/>
      <c r="D598"/>
      <c r="O598" s="8"/>
      <c r="R598" s="9"/>
    </row>
    <row r="599" spans="1:18" ht="15" x14ac:dyDescent="0.25">
      <c r="A599"/>
      <c r="B599"/>
      <c r="D599"/>
      <c r="O599" s="8"/>
      <c r="R599" s="9"/>
    </row>
    <row r="600" spans="1:18" ht="15" x14ac:dyDescent="0.25">
      <c r="A600"/>
      <c r="B600"/>
      <c r="D600"/>
      <c r="O600" s="8"/>
      <c r="R600" s="9"/>
    </row>
    <row r="601" spans="1:18" ht="15" x14ac:dyDescent="0.25">
      <c r="A601"/>
      <c r="B601"/>
      <c r="D601"/>
      <c r="O601" s="8"/>
      <c r="R601" s="9"/>
    </row>
    <row r="602" spans="1:18" ht="15" x14ac:dyDescent="0.25">
      <c r="A602"/>
      <c r="B602"/>
      <c r="D602"/>
      <c r="O602" s="8"/>
      <c r="R602" s="9"/>
    </row>
    <row r="603" spans="1:18" ht="15" x14ac:dyDescent="0.25">
      <c r="A603"/>
      <c r="B603"/>
      <c r="D603"/>
      <c r="O603" s="8"/>
      <c r="R603" s="9"/>
    </row>
    <row r="604" spans="1:18" ht="15" x14ac:dyDescent="0.25">
      <c r="A604"/>
      <c r="B604"/>
      <c r="D604"/>
      <c r="O604" s="8"/>
      <c r="R604" s="9"/>
    </row>
    <row r="605" spans="1:18" ht="15" x14ac:dyDescent="0.25">
      <c r="A605"/>
      <c r="B605"/>
      <c r="D605"/>
      <c r="O605" s="8"/>
      <c r="R605" s="9"/>
    </row>
    <row r="606" spans="1:18" ht="15" x14ac:dyDescent="0.25">
      <c r="A606"/>
      <c r="B606"/>
      <c r="D606"/>
      <c r="O606" s="8"/>
      <c r="R606" s="9"/>
    </row>
    <row r="607" spans="1:18" ht="15" x14ac:dyDescent="0.25">
      <c r="A607"/>
      <c r="B607"/>
      <c r="D607"/>
      <c r="O607" s="8"/>
      <c r="R607" s="9"/>
    </row>
    <row r="608" spans="1:18" ht="15" x14ac:dyDescent="0.25">
      <c r="A608"/>
      <c r="B608"/>
      <c r="D608"/>
      <c r="O608" s="8"/>
      <c r="R608" s="9"/>
    </row>
    <row r="609" spans="1:18" ht="15" x14ac:dyDescent="0.25">
      <c r="A609"/>
      <c r="B609"/>
      <c r="D609"/>
      <c r="O609" s="8"/>
      <c r="R609" s="9"/>
    </row>
    <row r="610" spans="1:18" ht="15" x14ac:dyDescent="0.25">
      <c r="A610"/>
      <c r="B610"/>
      <c r="D610"/>
      <c r="O610" s="8"/>
      <c r="R610" s="9"/>
    </row>
    <row r="611" spans="1:18" ht="15" x14ac:dyDescent="0.25">
      <c r="A611"/>
      <c r="B611"/>
      <c r="D611"/>
      <c r="K611" s="10"/>
      <c r="O611" s="8"/>
      <c r="R611" s="9"/>
    </row>
    <row r="612" spans="1:18" ht="15" x14ac:dyDescent="0.25">
      <c r="A612"/>
      <c r="B612"/>
      <c r="D612"/>
      <c r="K612" s="10"/>
      <c r="O612" s="8"/>
      <c r="R612" s="9"/>
    </row>
    <row r="613" spans="1:18" ht="15" x14ac:dyDescent="0.25">
      <c r="A613"/>
      <c r="B613"/>
      <c r="D613"/>
      <c r="O613" s="8"/>
      <c r="R613" s="9"/>
    </row>
    <row r="614" spans="1:18" ht="15" x14ac:dyDescent="0.25">
      <c r="A614"/>
      <c r="B614"/>
      <c r="D614"/>
      <c r="O614" s="8"/>
      <c r="R614" s="9"/>
    </row>
    <row r="615" spans="1:18" ht="15" x14ac:dyDescent="0.25">
      <c r="A615"/>
      <c r="B615"/>
      <c r="D615"/>
      <c r="O615" s="8"/>
      <c r="R615" s="9"/>
    </row>
    <row r="616" spans="1:18" ht="15" x14ac:dyDescent="0.25">
      <c r="A616"/>
      <c r="B616"/>
      <c r="D616"/>
      <c r="O616" s="8"/>
      <c r="R616" s="9"/>
    </row>
    <row r="617" spans="1:18" ht="15" x14ac:dyDescent="0.25">
      <c r="A617"/>
      <c r="B617"/>
      <c r="D617"/>
      <c r="O617" s="8"/>
      <c r="R617" s="9"/>
    </row>
    <row r="618" spans="1:18" ht="15" x14ac:dyDescent="0.25">
      <c r="A618"/>
      <c r="B618"/>
      <c r="D618"/>
      <c r="O618" s="8"/>
      <c r="R618" s="9"/>
    </row>
    <row r="619" spans="1:18" ht="15" x14ac:dyDescent="0.25">
      <c r="A619"/>
      <c r="B619"/>
      <c r="D619"/>
      <c r="O619" s="8"/>
      <c r="R619" s="9"/>
    </row>
    <row r="620" spans="1:18" ht="15" x14ac:dyDescent="0.25">
      <c r="A620"/>
      <c r="B620"/>
      <c r="D620"/>
      <c r="O620" s="8"/>
      <c r="R620" s="9"/>
    </row>
    <row r="621" spans="1:18" ht="15" x14ac:dyDescent="0.25">
      <c r="A621"/>
      <c r="B621"/>
      <c r="D621"/>
      <c r="O621" s="8"/>
      <c r="R621" s="9"/>
    </row>
    <row r="622" spans="1:18" ht="15" x14ac:dyDescent="0.25">
      <c r="A622"/>
      <c r="B622"/>
      <c r="D622"/>
      <c r="O622" s="8"/>
      <c r="R622" s="9"/>
    </row>
    <row r="623" spans="1:18" ht="15" x14ac:dyDescent="0.25">
      <c r="A623"/>
      <c r="B623"/>
      <c r="D623"/>
      <c r="O623" s="8"/>
      <c r="R623" s="9"/>
    </row>
    <row r="624" spans="1:18" ht="15" x14ac:dyDescent="0.25">
      <c r="A624"/>
      <c r="B624"/>
      <c r="D624"/>
      <c r="O624" s="8"/>
      <c r="R624" s="9"/>
    </row>
    <row r="625" spans="1:18" ht="15" x14ac:dyDescent="0.25">
      <c r="A625"/>
      <c r="B625"/>
      <c r="D625"/>
      <c r="O625" s="8"/>
      <c r="R625" s="9"/>
    </row>
    <row r="626" spans="1:18" ht="15" x14ac:dyDescent="0.25">
      <c r="A626"/>
      <c r="B626"/>
      <c r="D626"/>
      <c r="O626" s="8"/>
      <c r="R626" s="9"/>
    </row>
    <row r="627" spans="1:18" ht="15" x14ac:dyDescent="0.25">
      <c r="A627"/>
      <c r="B627"/>
      <c r="D627"/>
      <c r="O627" s="8"/>
      <c r="R627" s="9"/>
    </row>
    <row r="628" spans="1:18" ht="15" x14ac:dyDescent="0.25">
      <c r="A628"/>
      <c r="B628"/>
      <c r="D628"/>
      <c r="O628" s="8"/>
      <c r="R628" s="9"/>
    </row>
    <row r="629" spans="1:18" ht="15" x14ac:dyDescent="0.25">
      <c r="A629"/>
      <c r="B629"/>
      <c r="D629"/>
      <c r="O629" s="8"/>
      <c r="R629" s="9"/>
    </row>
    <row r="630" spans="1:18" ht="15" x14ac:dyDescent="0.25">
      <c r="A630"/>
      <c r="B630"/>
      <c r="D630"/>
      <c r="O630" s="8"/>
      <c r="R630" s="9"/>
    </row>
    <row r="631" spans="1:18" ht="15" x14ac:dyDescent="0.25">
      <c r="A631"/>
      <c r="B631"/>
      <c r="D631"/>
      <c r="O631" s="8"/>
      <c r="R631" s="9"/>
    </row>
    <row r="632" spans="1:18" ht="15" x14ac:dyDescent="0.25">
      <c r="A632"/>
      <c r="B632"/>
      <c r="D632"/>
      <c r="K632" s="10"/>
      <c r="O632" s="8"/>
      <c r="R632" s="9"/>
    </row>
    <row r="633" spans="1:18" ht="15" x14ac:dyDescent="0.25">
      <c r="A633"/>
      <c r="B633"/>
      <c r="D633"/>
      <c r="K633" s="10"/>
      <c r="O633" s="8"/>
      <c r="R633" s="9"/>
    </row>
    <row r="634" spans="1:18" ht="15" x14ac:dyDescent="0.25">
      <c r="A634"/>
      <c r="B634"/>
      <c r="D634"/>
      <c r="O634" s="8"/>
      <c r="R634" s="9"/>
    </row>
    <row r="635" spans="1:18" ht="15" x14ac:dyDescent="0.25">
      <c r="A635"/>
      <c r="B635"/>
      <c r="D635"/>
      <c r="O635" s="8"/>
      <c r="R635" s="9"/>
    </row>
    <row r="636" spans="1:18" ht="15" x14ac:dyDescent="0.25">
      <c r="A636"/>
      <c r="B636"/>
      <c r="D636"/>
      <c r="O636" s="8"/>
      <c r="R636" s="9"/>
    </row>
    <row r="637" spans="1:18" ht="15" x14ac:dyDescent="0.25">
      <c r="A637"/>
      <c r="B637"/>
      <c r="D637"/>
      <c r="O637" s="8"/>
      <c r="R637" s="9"/>
    </row>
    <row r="638" spans="1:18" ht="15" x14ac:dyDescent="0.25">
      <c r="A638"/>
      <c r="B638"/>
      <c r="D638"/>
      <c r="O638" s="8"/>
      <c r="R638" s="9"/>
    </row>
    <row r="639" spans="1:18" ht="15" x14ac:dyDescent="0.25">
      <c r="A639"/>
      <c r="B639"/>
      <c r="D639"/>
      <c r="O639" s="8"/>
      <c r="R639" s="9"/>
    </row>
    <row r="640" spans="1:18" ht="15" x14ac:dyDescent="0.25">
      <c r="A640"/>
      <c r="B640"/>
      <c r="D640"/>
      <c r="O640" s="8"/>
      <c r="R640" s="9"/>
    </row>
    <row r="641" spans="1:18" ht="15" x14ac:dyDescent="0.25">
      <c r="A641"/>
      <c r="B641"/>
      <c r="D641"/>
      <c r="O641" s="8"/>
      <c r="R641" s="9"/>
    </row>
    <row r="642" spans="1:18" ht="15" x14ac:dyDescent="0.25">
      <c r="A642"/>
      <c r="B642"/>
      <c r="D642"/>
      <c r="O642" s="8"/>
      <c r="R642" s="9"/>
    </row>
    <row r="643" spans="1:18" ht="15" x14ac:dyDescent="0.25">
      <c r="A643"/>
      <c r="B643"/>
      <c r="D643"/>
      <c r="O643" s="8"/>
      <c r="R643" s="9"/>
    </row>
    <row r="644" spans="1:18" ht="15" x14ac:dyDescent="0.25">
      <c r="A644"/>
      <c r="B644"/>
      <c r="D644"/>
      <c r="O644" s="8"/>
      <c r="R644" s="9"/>
    </row>
    <row r="645" spans="1:18" ht="15" x14ac:dyDescent="0.25">
      <c r="A645"/>
      <c r="B645"/>
      <c r="D645"/>
      <c r="O645" s="8"/>
      <c r="R645" s="9"/>
    </row>
    <row r="646" spans="1:18" ht="15" x14ac:dyDescent="0.25">
      <c r="A646"/>
      <c r="B646"/>
      <c r="D646"/>
      <c r="O646" s="8"/>
      <c r="R646" s="9"/>
    </row>
    <row r="647" spans="1:18" ht="15" x14ac:dyDescent="0.25">
      <c r="A647"/>
      <c r="B647"/>
      <c r="D647"/>
      <c r="O647" s="8"/>
      <c r="R647" s="9"/>
    </row>
    <row r="648" spans="1:18" ht="15" x14ac:dyDescent="0.25">
      <c r="A648"/>
      <c r="B648"/>
      <c r="D648"/>
      <c r="O648" s="8"/>
      <c r="R648" s="9"/>
    </row>
    <row r="649" spans="1:18" ht="15" x14ac:dyDescent="0.25">
      <c r="A649"/>
      <c r="B649"/>
      <c r="D649"/>
      <c r="O649" s="8"/>
      <c r="R649" s="9"/>
    </row>
    <row r="650" spans="1:18" ht="15" x14ac:dyDescent="0.25">
      <c r="A650"/>
      <c r="B650"/>
      <c r="D650"/>
      <c r="O650" s="8"/>
      <c r="R650" s="9"/>
    </row>
    <row r="651" spans="1:18" ht="15" x14ac:dyDescent="0.25">
      <c r="A651"/>
      <c r="B651"/>
      <c r="D651"/>
      <c r="O651" s="8"/>
      <c r="R651" s="9"/>
    </row>
    <row r="652" spans="1:18" ht="15" x14ac:dyDescent="0.25">
      <c r="A652"/>
      <c r="B652"/>
      <c r="D652"/>
      <c r="O652" s="8"/>
      <c r="R652" s="9"/>
    </row>
    <row r="653" spans="1:18" ht="15" x14ac:dyDescent="0.25">
      <c r="A653"/>
      <c r="B653"/>
      <c r="D653"/>
      <c r="O653" s="8"/>
      <c r="R653" s="9"/>
    </row>
    <row r="654" spans="1:18" ht="15" x14ac:dyDescent="0.25">
      <c r="A654"/>
      <c r="B654"/>
      <c r="D654"/>
      <c r="K654" s="10"/>
      <c r="O654" s="8"/>
      <c r="R654" s="9"/>
    </row>
    <row r="655" spans="1:18" ht="15" x14ac:dyDescent="0.25">
      <c r="A655"/>
      <c r="B655"/>
      <c r="D655"/>
      <c r="K655" s="10"/>
      <c r="O655" s="8"/>
      <c r="R655" s="9"/>
    </row>
    <row r="656" spans="1:18" ht="15" x14ac:dyDescent="0.25">
      <c r="A656"/>
      <c r="B656"/>
      <c r="D656"/>
      <c r="O656" s="8"/>
      <c r="R656" s="9"/>
    </row>
    <row r="657" spans="1:18" ht="15" x14ac:dyDescent="0.25">
      <c r="A657"/>
      <c r="B657"/>
      <c r="D657"/>
      <c r="O657" s="8"/>
      <c r="R657" s="9"/>
    </row>
    <row r="658" spans="1:18" ht="15" x14ac:dyDescent="0.25">
      <c r="A658"/>
      <c r="B658"/>
      <c r="D658"/>
      <c r="O658" s="8"/>
      <c r="R658" s="9"/>
    </row>
    <row r="659" spans="1:18" ht="15" x14ac:dyDescent="0.25">
      <c r="A659"/>
      <c r="B659"/>
      <c r="D659"/>
      <c r="O659" s="8"/>
      <c r="R659" s="9"/>
    </row>
    <row r="660" spans="1:18" ht="15" x14ac:dyDescent="0.25">
      <c r="A660"/>
      <c r="B660"/>
      <c r="D660"/>
      <c r="O660" s="8"/>
      <c r="R660" s="9"/>
    </row>
    <row r="661" spans="1:18" ht="15" x14ac:dyDescent="0.25">
      <c r="A661"/>
      <c r="B661"/>
      <c r="D661"/>
      <c r="O661" s="8"/>
      <c r="R661" s="9"/>
    </row>
    <row r="662" spans="1:18" ht="15" x14ac:dyDescent="0.25">
      <c r="A662"/>
      <c r="B662"/>
      <c r="D662"/>
      <c r="O662" s="8"/>
      <c r="R662" s="9"/>
    </row>
    <row r="663" spans="1:18" ht="15" x14ac:dyDescent="0.25">
      <c r="A663"/>
      <c r="B663"/>
      <c r="D663"/>
      <c r="O663" s="8"/>
      <c r="R663" s="9"/>
    </row>
    <row r="664" spans="1:18" ht="15" x14ac:dyDescent="0.25">
      <c r="A664"/>
      <c r="B664"/>
      <c r="D664"/>
      <c r="O664" s="8"/>
      <c r="R664" s="9"/>
    </row>
    <row r="665" spans="1:18" ht="15" x14ac:dyDescent="0.25">
      <c r="A665"/>
      <c r="B665"/>
      <c r="D665"/>
      <c r="O665" s="8"/>
      <c r="R665" s="9"/>
    </row>
    <row r="666" spans="1:18" ht="15" x14ac:dyDescent="0.25">
      <c r="A666"/>
      <c r="B666"/>
      <c r="D666"/>
      <c r="O666" s="8"/>
      <c r="R666" s="9"/>
    </row>
    <row r="667" spans="1:18" ht="15" x14ac:dyDescent="0.25">
      <c r="A667"/>
      <c r="B667"/>
      <c r="D667"/>
      <c r="O667" s="8"/>
      <c r="R667" s="9"/>
    </row>
    <row r="668" spans="1:18" ht="15" x14ac:dyDescent="0.25">
      <c r="A668"/>
      <c r="B668"/>
      <c r="D668"/>
      <c r="O668" s="8"/>
      <c r="R668" s="9"/>
    </row>
    <row r="669" spans="1:18" ht="15" x14ac:dyDescent="0.25">
      <c r="A669"/>
      <c r="B669"/>
      <c r="D669"/>
      <c r="O669" s="8"/>
      <c r="R669" s="9"/>
    </row>
    <row r="670" spans="1:18" ht="15" x14ac:dyDescent="0.25">
      <c r="A670"/>
      <c r="B670"/>
      <c r="D670"/>
      <c r="O670" s="8"/>
      <c r="R670" s="9"/>
    </row>
    <row r="671" spans="1:18" ht="15" x14ac:dyDescent="0.25">
      <c r="A671"/>
      <c r="B671"/>
      <c r="D671"/>
      <c r="O671" s="8"/>
      <c r="R671" s="9"/>
    </row>
    <row r="672" spans="1:18" ht="15" x14ac:dyDescent="0.25">
      <c r="A672"/>
      <c r="B672"/>
      <c r="D672"/>
      <c r="O672" s="8"/>
      <c r="R672" s="9"/>
    </row>
    <row r="673" spans="1:18" ht="15" x14ac:dyDescent="0.25">
      <c r="A673"/>
      <c r="B673"/>
      <c r="D673"/>
      <c r="O673" s="8"/>
      <c r="R673" s="9"/>
    </row>
    <row r="674" spans="1:18" ht="15" x14ac:dyDescent="0.25">
      <c r="A674"/>
      <c r="B674"/>
      <c r="D674"/>
      <c r="O674" s="8"/>
      <c r="R674" s="9"/>
    </row>
    <row r="675" spans="1:18" ht="15" x14ac:dyDescent="0.25">
      <c r="A675"/>
      <c r="B675"/>
      <c r="D675"/>
      <c r="O675" s="8"/>
      <c r="R675" s="9"/>
    </row>
    <row r="676" spans="1:18" ht="15" x14ac:dyDescent="0.25">
      <c r="A676"/>
      <c r="B676"/>
      <c r="D676"/>
      <c r="O676" s="8"/>
      <c r="R676" s="9"/>
    </row>
    <row r="677" spans="1:18" ht="15" x14ac:dyDescent="0.25">
      <c r="A677"/>
      <c r="B677"/>
      <c r="D677"/>
      <c r="K677" s="10"/>
      <c r="O677" s="8"/>
      <c r="R677" s="9"/>
    </row>
    <row r="678" spans="1:18" ht="15" x14ac:dyDescent="0.25">
      <c r="A678"/>
      <c r="B678"/>
      <c r="D678"/>
      <c r="K678" s="10"/>
      <c r="O678" s="8"/>
      <c r="R678" s="9"/>
    </row>
    <row r="679" spans="1:18" ht="15" x14ac:dyDescent="0.25">
      <c r="A679"/>
      <c r="B679"/>
      <c r="D679"/>
      <c r="O679" s="8"/>
      <c r="R679" s="9"/>
    </row>
    <row r="680" spans="1:18" ht="15" x14ac:dyDescent="0.25">
      <c r="A680"/>
      <c r="B680"/>
      <c r="D680"/>
      <c r="O680" s="8"/>
      <c r="R680" s="9"/>
    </row>
    <row r="681" spans="1:18" ht="15" x14ac:dyDescent="0.25">
      <c r="A681"/>
      <c r="B681"/>
      <c r="D681"/>
      <c r="O681" s="8"/>
      <c r="R681" s="9"/>
    </row>
    <row r="682" spans="1:18" ht="15" x14ac:dyDescent="0.25">
      <c r="A682"/>
      <c r="B682"/>
      <c r="D682"/>
      <c r="O682" s="8"/>
      <c r="R682" s="9"/>
    </row>
    <row r="683" spans="1:18" ht="15" x14ac:dyDescent="0.25">
      <c r="A683"/>
      <c r="B683"/>
      <c r="D683"/>
      <c r="O683" s="8"/>
      <c r="R683" s="9"/>
    </row>
    <row r="684" spans="1:18" ht="15" x14ac:dyDescent="0.25">
      <c r="A684"/>
      <c r="B684"/>
      <c r="D684"/>
      <c r="O684" s="8"/>
      <c r="R684" s="9"/>
    </row>
    <row r="685" spans="1:18" ht="15" x14ac:dyDescent="0.25">
      <c r="A685"/>
      <c r="B685"/>
      <c r="D685"/>
      <c r="O685" s="8"/>
      <c r="R685" s="9"/>
    </row>
    <row r="686" spans="1:18" ht="15" x14ac:dyDescent="0.25">
      <c r="A686"/>
      <c r="B686"/>
      <c r="D686"/>
      <c r="O686" s="8"/>
      <c r="R686" s="9"/>
    </row>
    <row r="687" spans="1:18" ht="15" x14ac:dyDescent="0.25">
      <c r="A687"/>
      <c r="B687"/>
      <c r="D687"/>
      <c r="O687" s="8"/>
      <c r="R687" s="9"/>
    </row>
    <row r="688" spans="1:18" ht="15" x14ac:dyDescent="0.25">
      <c r="A688"/>
      <c r="B688"/>
      <c r="D688"/>
      <c r="O688" s="8"/>
      <c r="R688" s="9"/>
    </row>
    <row r="689" spans="1:18" ht="15" x14ac:dyDescent="0.25">
      <c r="A689"/>
      <c r="B689"/>
      <c r="D689"/>
      <c r="O689" s="8"/>
      <c r="R689" s="9"/>
    </row>
    <row r="690" spans="1:18" ht="15" x14ac:dyDescent="0.25">
      <c r="A690"/>
      <c r="B690"/>
      <c r="D690"/>
      <c r="O690" s="8"/>
      <c r="R690" s="9"/>
    </row>
    <row r="691" spans="1:18" ht="15" x14ac:dyDescent="0.25">
      <c r="A691"/>
      <c r="B691"/>
      <c r="D691"/>
      <c r="O691" s="8"/>
      <c r="R691" s="9"/>
    </row>
    <row r="692" spans="1:18" ht="15" x14ac:dyDescent="0.25">
      <c r="A692"/>
      <c r="B692"/>
      <c r="D692"/>
      <c r="O692" s="8"/>
      <c r="R692" s="9"/>
    </row>
    <row r="693" spans="1:18" ht="15" x14ac:dyDescent="0.25">
      <c r="A693"/>
      <c r="B693"/>
      <c r="D693"/>
      <c r="O693" s="8"/>
      <c r="R693" s="9"/>
    </row>
    <row r="694" spans="1:18" ht="15" x14ac:dyDescent="0.25">
      <c r="A694"/>
      <c r="B694"/>
      <c r="D694"/>
      <c r="O694" s="8"/>
      <c r="R694" s="9"/>
    </row>
    <row r="695" spans="1:18" ht="15" x14ac:dyDescent="0.25">
      <c r="A695"/>
      <c r="B695"/>
      <c r="D695"/>
      <c r="O695" s="8"/>
      <c r="R695" s="9"/>
    </row>
    <row r="696" spans="1:18" ht="15" x14ac:dyDescent="0.25">
      <c r="A696"/>
      <c r="B696"/>
      <c r="D696"/>
      <c r="O696" s="8"/>
      <c r="R696" s="9"/>
    </row>
    <row r="697" spans="1:18" ht="15" x14ac:dyDescent="0.25">
      <c r="A697"/>
      <c r="B697"/>
      <c r="D697"/>
      <c r="O697" s="8"/>
      <c r="R697" s="9"/>
    </row>
    <row r="698" spans="1:18" ht="15" x14ac:dyDescent="0.25">
      <c r="A698"/>
      <c r="B698"/>
      <c r="D698"/>
      <c r="O698" s="8"/>
      <c r="R698" s="9"/>
    </row>
    <row r="699" spans="1:18" ht="15" x14ac:dyDescent="0.25">
      <c r="A699"/>
      <c r="B699"/>
      <c r="D699"/>
      <c r="O699" s="8"/>
      <c r="R699" s="9"/>
    </row>
    <row r="700" spans="1:18" ht="15" x14ac:dyDescent="0.25">
      <c r="A700"/>
      <c r="B700"/>
      <c r="D700"/>
      <c r="K700" s="10"/>
      <c r="O700" s="8"/>
      <c r="R700" s="9"/>
    </row>
    <row r="701" spans="1:18" ht="15" x14ac:dyDescent="0.25">
      <c r="A701"/>
      <c r="B701"/>
      <c r="D701"/>
      <c r="K701" s="10"/>
      <c r="O701" s="8"/>
      <c r="R701" s="9"/>
    </row>
    <row r="702" spans="1:18" ht="15" x14ac:dyDescent="0.25">
      <c r="A702"/>
      <c r="B702"/>
      <c r="D702"/>
      <c r="O702" s="8"/>
      <c r="R702" s="9"/>
    </row>
    <row r="703" spans="1:18" ht="15" x14ac:dyDescent="0.25">
      <c r="A703"/>
      <c r="B703"/>
      <c r="D703"/>
      <c r="O703" s="8"/>
      <c r="R703" s="9"/>
    </row>
    <row r="704" spans="1:18" ht="15" x14ac:dyDescent="0.25">
      <c r="A704"/>
      <c r="B704"/>
      <c r="D704"/>
      <c r="O704" s="8"/>
      <c r="R704" s="9"/>
    </row>
    <row r="705" spans="1:18" ht="15" x14ac:dyDescent="0.25">
      <c r="A705"/>
      <c r="B705"/>
      <c r="D705"/>
      <c r="O705" s="8"/>
      <c r="R705" s="9"/>
    </row>
    <row r="706" spans="1:18" ht="15" x14ac:dyDescent="0.25">
      <c r="A706"/>
      <c r="B706"/>
      <c r="D706"/>
      <c r="O706" s="8"/>
      <c r="R706" s="9"/>
    </row>
    <row r="707" spans="1:18" ht="15" x14ac:dyDescent="0.25">
      <c r="A707"/>
      <c r="B707"/>
      <c r="D707"/>
      <c r="O707" s="8"/>
      <c r="R707" s="9"/>
    </row>
    <row r="708" spans="1:18" ht="15" x14ac:dyDescent="0.25">
      <c r="A708"/>
      <c r="B708"/>
      <c r="D708"/>
      <c r="O708" s="8"/>
      <c r="R708" s="9"/>
    </row>
    <row r="709" spans="1:18" ht="15" x14ac:dyDescent="0.25">
      <c r="A709"/>
      <c r="B709"/>
      <c r="D709"/>
      <c r="O709" s="8"/>
      <c r="R709" s="9"/>
    </row>
    <row r="710" spans="1:18" ht="15" x14ac:dyDescent="0.25">
      <c r="A710"/>
      <c r="B710"/>
      <c r="D710"/>
      <c r="O710" s="8"/>
      <c r="R710" s="9"/>
    </row>
    <row r="711" spans="1:18" ht="15" x14ac:dyDescent="0.25">
      <c r="A711"/>
      <c r="B711"/>
      <c r="D711"/>
      <c r="O711" s="8"/>
      <c r="R711" s="9"/>
    </row>
    <row r="712" spans="1:18" ht="15" x14ac:dyDescent="0.25">
      <c r="A712"/>
      <c r="B712"/>
      <c r="D712"/>
      <c r="O712" s="8"/>
      <c r="R712" s="9"/>
    </row>
    <row r="713" spans="1:18" ht="15" x14ac:dyDescent="0.25">
      <c r="A713"/>
      <c r="B713"/>
      <c r="D713"/>
      <c r="O713" s="8"/>
      <c r="R713" s="9"/>
    </row>
    <row r="714" spans="1:18" ht="15" x14ac:dyDescent="0.25">
      <c r="A714"/>
      <c r="B714"/>
      <c r="D714"/>
      <c r="O714" s="8"/>
      <c r="R714" s="9"/>
    </row>
    <row r="715" spans="1:18" ht="15" x14ac:dyDescent="0.25">
      <c r="A715"/>
      <c r="B715"/>
      <c r="D715"/>
      <c r="O715" s="8"/>
      <c r="R715" s="9"/>
    </row>
    <row r="716" spans="1:18" ht="15" x14ac:dyDescent="0.25">
      <c r="A716"/>
      <c r="B716"/>
      <c r="D716"/>
      <c r="O716" s="8"/>
      <c r="R716" s="9"/>
    </row>
    <row r="717" spans="1:18" ht="15" x14ac:dyDescent="0.25">
      <c r="A717"/>
      <c r="B717"/>
      <c r="D717"/>
      <c r="O717" s="8"/>
      <c r="R717" s="9"/>
    </row>
    <row r="718" spans="1:18" ht="15" x14ac:dyDescent="0.25">
      <c r="A718"/>
      <c r="B718"/>
      <c r="D718"/>
      <c r="O718" s="8"/>
      <c r="R718" s="9"/>
    </row>
    <row r="719" spans="1:18" ht="15" x14ac:dyDescent="0.25">
      <c r="A719"/>
      <c r="B719"/>
      <c r="D719"/>
      <c r="O719" s="8"/>
      <c r="R719" s="9"/>
    </row>
    <row r="720" spans="1:18" ht="15" x14ac:dyDescent="0.25">
      <c r="A720"/>
      <c r="B720"/>
      <c r="D720"/>
      <c r="O720" s="8"/>
      <c r="R720" s="9"/>
    </row>
    <row r="721" spans="1:18" ht="15" x14ac:dyDescent="0.25">
      <c r="A721"/>
      <c r="B721"/>
      <c r="D721"/>
      <c r="O721" s="8"/>
      <c r="R721" s="9"/>
    </row>
    <row r="722" spans="1:18" ht="15" x14ac:dyDescent="0.25">
      <c r="A722"/>
      <c r="B722"/>
      <c r="D722"/>
      <c r="K722" s="10"/>
      <c r="O722" s="8"/>
      <c r="R722" s="9"/>
    </row>
    <row r="723" spans="1:18" ht="15" x14ac:dyDescent="0.25">
      <c r="A723"/>
      <c r="B723"/>
      <c r="D723"/>
      <c r="K723" s="10"/>
      <c r="O723" s="8"/>
      <c r="R723" s="9"/>
    </row>
    <row r="724" spans="1:18" ht="15" x14ac:dyDescent="0.25">
      <c r="A724"/>
      <c r="B724"/>
      <c r="D724"/>
      <c r="O724" s="8"/>
      <c r="R724" s="9"/>
    </row>
    <row r="725" spans="1:18" ht="15" x14ac:dyDescent="0.25">
      <c r="A725"/>
      <c r="B725"/>
      <c r="D725"/>
      <c r="O725" s="8"/>
      <c r="R725" s="9"/>
    </row>
    <row r="726" spans="1:18" ht="15" x14ac:dyDescent="0.25">
      <c r="A726"/>
      <c r="B726"/>
      <c r="D726"/>
      <c r="O726" s="8"/>
      <c r="R726" s="9"/>
    </row>
    <row r="727" spans="1:18" ht="15" x14ac:dyDescent="0.25">
      <c r="A727"/>
      <c r="B727"/>
      <c r="D727"/>
      <c r="O727" s="8"/>
      <c r="R727" s="9"/>
    </row>
    <row r="728" spans="1:18" ht="15" x14ac:dyDescent="0.25">
      <c r="A728"/>
      <c r="B728"/>
      <c r="D728"/>
      <c r="O728" s="8"/>
      <c r="R728" s="9"/>
    </row>
    <row r="729" spans="1:18" ht="15" x14ac:dyDescent="0.25">
      <c r="A729"/>
      <c r="B729"/>
      <c r="D729"/>
      <c r="O729" s="8"/>
      <c r="R729" s="9"/>
    </row>
    <row r="730" spans="1:18" ht="15" x14ac:dyDescent="0.25">
      <c r="A730"/>
      <c r="B730"/>
      <c r="D730"/>
      <c r="O730" s="8"/>
      <c r="R730" s="9"/>
    </row>
    <row r="731" spans="1:18" ht="15" x14ac:dyDescent="0.25">
      <c r="A731"/>
      <c r="B731"/>
      <c r="D731"/>
      <c r="O731" s="8"/>
      <c r="R731" s="9"/>
    </row>
    <row r="732" spans="1:18" ht="15" x14ac:dyDescent="0.25">
      <c r="A732"/>
      <c r="B732"/>
      <c r="D732"/>
      <c r="O732" s="8"/>
      <c r="R732" s="9"/>
    </row>
    <row r="733" spans="1:18" ht="15" x14ac:dyDescent="0.25">
      <c r="A733"/>
      <c r="B733"/>
      <c r="D733"/>
      <c r="O733" s="8"/>
      <c r="R733" s="9"/>
    </row>
    <row r="734" spans="1:18" ht="15" x14ac:dyDescent="0.25">
      <c r="A734"/>
      <c r="B734"/>
      <c r="D734"/>
      <c r="O734" s="8"/>
      <c r="R734" s="9"/>
    </row>
    <row r="735" spans="1:18" ht="15" x14ac:dyDescent="0.25">
      <c r="A735"/>
      <c r="B735"/>
      <c r="D735"/>
      <c r="O735" s="8"/>
      <c r="R735" s="9"/>
    </row>
    <row r="736" spans="1:18" ht="15" x14ac:dyDescent="0.25">
      <c r="A736"/>
      <c r="B736"/>
      <c r="D736"/>
      <c r="O736" s="8"/>
      <c r="R736" s="9"/>
    </row>
    <row r="737" spans="1:18" ht="15" x14ac:dyDescent="0.25">
      <c r="A737"/>
      <c r="B737"/>
      <c r="D737"/>
      <c r="O737" s="8"/>
      <c r="R737" s="9"/>
    </row>
    <row r="738" spans="1:18" ht="15" x14ac:dyDescent="0.25">
      <c r="A738"/>
      <c r="B738"/>
      <c r="D738"/>
      <c r="O738" s="8"/>
      <c r="R738" s="9"/>
    </row>
    <row r="739" spans="1:18" ht="15" x14ac:dyDescent="0.25">
      <c r="A739"/>
      <c r="B739"/>
      <c r="D739"/>
      <c r="O739" s="8"/>
      <c r="R739" s="9"/>
    </row>
    <row r="740" spans="1:18" ht="15" x14ac:dyDescent="0.25">
      <c r="A740"/>
      <c r="B740"/>
      <c r="D740"/>
      <c r="O740" s="8"/>
      <c r="R740" s="9"/>
    </row>
    <row r="741" spans="1:18" ht="15" x14ac:dyDescent="0.25">
      <c r="A741"/>
      <c r="B741"/>
      <c r="D741"/>
      <c r="O741" s="8"/>
      <c r="R741" s="9"/>
    </row>
    <row r="742" spans="1:18" ht="15" x14ac:dyDescent="0.25">
      <c r="A742"/>
      <c r="B742"/>
      <c r="D742"/>
      <c r="O742" s="8"/>
      <c r="R742" s="9"/>
    </row>
    <row r="743" spans="1:18" ht="15" x14ac:dyDescent="0.25">
      <c r="A743"/>
      <c r="B743"/>
      <c r="D743"/>
      <c r="O743" s="8"/>
      <c r="R743" s="9"/>
    </row>
    <row r="744" spans="1:18" ht="15" x14ac:dyDescent="0.25">
      <c r="A744"/>
      <c r="B744"/>
      <c r="D744"/>
      <c r="O744" s="8"/>
      <c r="R744" s="9"/>
    </row>
    <row r="745" spans="1:18" ht="15" x14ac:dyDescent="0.25">
      <c r="A745"/>
      <c r="B745"/>
      <c r="D745"/>
      <c r="K745" s="10"/>
      <c r="O745" s="8"/>
      <c r="R745" s="9"/>
    </row>
    <row r="746" spans="1:18" ht="15" x14ac:dyDescent="0.25">
      <c r="A746"/>
      <c r="B746"/>
      <c r="D746"/>
      <c r="K746" s="10"/>
      <c r="O746" s="8"/>
      <c r="R746" s="9"/>
    </row>
    <row r="747" spans="1:18" ht="15" x14ac:dyDescent="0.25">
      <c r="A747"/>
      <c r="B747"/>
      <c r="D747"/>
      <c r="O747" s="8"/>
      <c r="R747" s="9"/>
    </row>
    <row r="748" spans="1:18" ht="15" x14ac:dyDescent="0.25">
      <c r="A748"/>
      <c r="B748"/>
      <c r="D748"/>
      <c r="O748" s="8"/>
      <c r="R748" s="9"/>
    </row>
    <row r="749" spans="1:18" ht="15" x14ac:dyDescent="0.25">
      <c r="A749"/>
      <c r="B749"/>
      <c r="D749"/>
      <c r="O749" s="8"/>
      <c r="R749" s="9"/>
    </row>
    <row r="750" spans="1:18" ht="15" x14ac:dyDescent="0.25">
      <c r="A750"/>
      <c r="B750"/>
      <c r="D750"/>
      <c r="O750" s="8"/>
      <c r="R750" s="9"/>
    </row>
    <row r="751" spans="1:18" ht="15" x14ac:dyDescent="0.25">
      <c r="A751"/>
      <c r="B751"/>
      <c r="D751"/>
      <c r="O751" s="8"/>
      <c r="R751" s="9"/>
    </row>
    <row r="752" spans="1:18" ht="15" x14ac:dyDescent="0.25">
      <c r="A752"/>
      <c r="B752"/>
      <c r="D752"/>
      <c r="O752" s="8"/>
      <c r="R752" s="9"/>
    </row>
    <row r="753" spans="1:18" ht="15" x14ac:dyDescent="0.25">
      <c r="A753"/>
      <c r="B753"/>
      <c r="D753"/>
      <c r="O753" s="8"/>
      <c r="R753" s="9"/>
    </row>
    <row r="754" spans="1:18" ht="15" x14ac:dyDescent="0.25">
      <c r="A754"/>
      <c r="B754"/>
      <c r="D754"/>
      <c r="O754" s="8"/>
      <c r="R754" s="9"/>
    </row>
    <row r="755" spans="1:18" ht="15" x14ac:dyDescent="0.25">
      <c r="A755"/>
      <c r="B755"/>
      <c r="D755"/>
      <c r="O755" s="8"/>
      <c r="R755" s="9"/>
    </row>
    <row r="756" spans="1:18" ht="15" x14ac:dyDescent="0.25">
      <c r="A756"/>
      <c r="B756"/>
      <c r="D756"/>
      <c r="O756" s="8"/>
      <c r="R756" s="9"/>
    </row>
    <row r="757" spans="1:18" ht="15" x14ac:dyDescent="0.25">
      <c r="A757"/>
      <c r="B757"/>
      <c r="D757"/>
      <c r="O757" s="8"/>
      <c r="R757" s="9"/>
    </row>
    <row r="758" spans="1:18" ht="15" x14ac:dyDescent="0.25">
      <c r="A758"/>
      <c r="B758"/>
      <c r="D758"/>
      <c r="O758" s="8"/>
      <c r="R758" s="9"/>
    </row>
    <row r="759" spans="1:18" ht="15" x14ac:dyDescent="0.25">
      <c r="A759"/>
      <c r="B759"/>
      <c r="D759"/>
      <c r="O759" s="8"/>
      <c r="R759" s="9"/>
    </row>
    <row r="760" spans="1:18" ht="15" x14ac:dyDescent="0.25">
      <c r="A760"/>
      <c r="B760"/>
      <c r="D760"/>
      <c r="O760" s="8"/>
      <c r="R760" s="9"/>
    </row>
    <row r="761" spans="1:18" ht="15" x14ac:dyDescent="0.25">
      <c r="A761"/>
      <c r="B761"/>
      <c r="D761"/>
      <c r="O761" s="8"/>
      <c r="R761" s="9"/>
    </row>
    <row r="762" spans="1:18" ht="15" x14ac:dyDescent="0.25">
      <c r="A762"/>
      <c r="B762"/>
      <c r="D762"/>
      <c r="O762" s="8"/>
      <c r="R762" s="9"/>
    </row>
    <row r="763" spans="1:18" ht="15" x14ac:dyDescent="0.25">
      <c r="A763"/>
      <c r="B763"/>
      <c r="D763"/>
      <c r="O763" s="8"/>
      <c r="R763" s="9"/>
    </row>
    <row r="764" spans="1:18" ht="15" x14ac:dyDescent="0.25">
      <c r="A764"/>
      <c r="B764"/>
      <c r="D764"/>
      <c r="O764" s="8"/>
      <c r="R764" s="9"/>
    </row>
    <row r="765" spans="1:18" ht="15" x14ac:dyDescent="0.25">
      <c r="A765"/>
      <c r="B765"/>
      <c r="D765"/>
      <c r="O765" s="8"/>
      <c r="R765" s="9"/>
    </row>
    <row r="766" spans="1:18" ht="15" x14ac:dyDescent="0.25">
      <c r="A766"/>
      <c r="B766"/>
      <c r="D766"/>
      <c r="O766" s="8"/>
      <c r="R766" s="9"/>
    </row>
    <row r="767" spans="1:18" ht="15" x14ac:dyDescent="0.25">
      <c r="A767"/>
      <c r="B767"/>
      <c r="D767"/>
      <c r="O767" s="8"/>
      <c r="R767" s="9"/>
    </row>
    <row r="768" spans="1:18" ht="15" x14ac:dyDescent="0.25">
      <c r="A768"/>
      <c r="B768"/>
      <c r="D768"/>
      <c r="O768" s="8"/>
      <c r="R768" s="9"/>
    </row>
    <row r="769" spans="1:18" ht="15" x14ac:dyDescent="0.25">
      <c r="A769"/>
      <c r="B769"/>
      <c r="D769"/>
      <c r="O769" s="8"/>
      <c r="R769" s="9"/>
    </row>
    <row r="770" spans="1:18" ht="15" x14ac:dyDescent="0.25">
      <c r="A770"/>
      <c r="B770"/>
      <c r="D770"/>
      <c r="O770" s="8"/>
      <c r="R770" s="9"/>
    </row>
    <row r="771" spans="1:18" ht="15" x14ac:dyDescent="0.25">
      <c r="A771"/>
      <c r="B771"/>
      <c r="D771"/>
      <c r="K771" s="10"/>
      <c r="O771" s="8"/>
      <c r="R771" s="9"/>
    </row>
    <row r="772" spans="1:18" ht="15" x14ac:dyDescent="0.25">
      <c r="A772"/>
      <c r="B772"/>
      <c r="D772"/>
      <c r="K772" s="10"/>
      <c r="O772" s="8"/>
      <c r="R772" s="9"/>
    </row>
    <row r="773" spans="1:18" ht="15" x14ac:dyDescent="0.25">
      <c r="A773"/>
      <c r="B773"/>
      <c r="D773"/>
      <c r="O773" s="8"/>
      <c r="R773" s="9"/>
    </row>
    <row r="774" spans="1:18" ht="15" x14ac:dyDescent="0.25">
      <c r="A774"/>
      <c r="B774"/>
      <c r="D774"/>
      <c r="O774" s="8"/>
      <c r="R774" s="9"/>
    </row>
    <row r="775" spans="1:18" ht="15" x14ac:dyDescent="0.25">
      <c r="A775"/>
      <c r="B775"/>
      <c r="D775"/>
      <c r="O775" s="8"/>
      <c r="R775" s="9"/>
    </row>
    <row r="776" spans="1:18" ht="15" x14ac:dyDescent="0.25">
      <c r="A776"/>
      <c r="B776"/>
      <c r="D776"/>
      <c r="O776" s="8"/>
      <c r="R776" s="9"/>
    </row>
    <row r="777" spans="1:18" ht="15" x14ac:dyDescent="0.25">
      <c r="A777"/>
      <c r="B777"/>
      <c r="D777"/>
      <c r="O777" s="8"/>
      <c r="R777" s="9"/>
    </row>
    <row r="778" spans="1:18" ht="15" x14ac:dyDescent="0.25">
      <c r="A778"/>
      <c r="B778"/>
      <c r="D778"/>
      <c r="O778" s="8"/>
      <c r="R778" s="9"/>
    </row>
    <row r="779" spans="1:18" ht="15" x14ac:dyDescent="0.25">
      <c r="A779"/>
      <c r="B779"/>
      <c r="D779"/>
      <c r="O779" s="8"/>
      <c r="R779" s="9"/>
    </row>
    <row r="780" spans="1:18" ht="15" x14ac:dyDescent="0.25">
      <c r="A780"/>
      <c r="B780"/>
      <c r="D780"/>
      <c r="O780" s="8"/>
      <c r="R780" s="9"/>
    </row>
    <row r="781" spans="1:18" ht="15" x14ac:dyDescent="0.25">
      <c r="A781"/>
      <c r="B781"/>
      <c r="D781"/>
      <c r="O781" s="8"/>
      <c r="R781" s="9"/>
    </row>
    <row r="782" spans="1:18" ht="15" x14ac:dyDescent="0.25">
      <c r="A782"/>
      <c r="B782"/>
      <c r="D782"/>
      <c r="O782" s="8"/>
      <c r="R782" s="9"/>
    </row>
    <row r="783" spans="1:18" ht="15" x14ac:dyDescent="0.25">
      <c r="A783"/>
      <c r="B783"/>
      <c r="D783"/>
      <c r="O783" s="8"/>
      <c r="R783" s="9"/>
    </row>
    <row r="784" spans="1:18" ht="15" x14ac:dyDescent="0.25">
      <c r="A784"/>
      <c r="B784"/>
      <c r="D784"/>
      <c r="O784" s="8"/>
      <c r="R784" s="9"/>
    </row>
    <row r="785" spans="1:18" ht="15" x14ac:dyDescent="0.25">
      <c r="A785"/>
      <c r="B785"/>
      <c r="D785"/>
      <c r="O785" s="8"/>
      <c r="R785" s="9"/>
    </row>
    <row r="786" spans="1:18" ht="15" x14ac:dyDescent="0.25">
      <c r="A786"/>
      <c r="B786"/>
      <c r="D786"/>
      <c r="O786" s="8"/>
      <c r="R786" s="9"/>
    </row>
    <row r="787" spans="1:18" ht="15" x14ac:dyDescent="0.25">
      <c r="A787"/>
      <c r="B787"/>
      <c r="D787"/>
      <c r="O787" s="8"/>
      <c r="R787" s="9"/>
    </row>
    <row r="788" spans="1:18" ht="15" x14ac:dyDescent="0.25">
      <c r="A788"/>
      <c r="B788"/>
      <c r="D788"/>
      <c r="O788" s="8"/>
      <c r="R788" s="9"/>
    </row>
    <row r="789" spans="1:18" ht="15" x14ac:dyDescent="0.25">
      <c r="A789"/>
      <c r="B789"/>
      <c r="D789"/>
      <c r="O789" s="8"/>
      <c r="R789" s="9"/>
    </row>
    <row r="790" spans="1:18" ht="15" x14ac:dyDescent="0.25">
      <c r="A790"/>
      <c r="B790"/>
      <c r="D790"/>
      <c r="O790" s="8"/>
      <c r="R790" s="9"/>
    </row>
    <row r="791" spans="1:18" ht="15" x14ac:dyDescent="0.25">
      <c r="A791"/>
      <c r="B791"/>
      <c r="D791"/>
      <c r="O791" s="8"/>
      <c r="R791" s="9"/>
    </row>
    <row r="792" spans="1:18" ht="15" x14ac:dyDescent="0.25">
      <c r="A792"/>
      <c r="B792"/>
      <c r="D792"/>
      <c r="K792" s="10"/>
      <c r="O792" s="8"/>
      <c r="R792" s="9"/>
    </row>
    <row r="793" spans="1:18" ht="15" x14ac:dyDescent="0.25">
      <c r="A793"/>
      <c r="B793"/>
      <c r="D793"/>
      <c r="K793" s="10"/>
      <c r="O793" s="8"/>
      <c r="R793" s="9"/>
    </row>
    <row r="794" spans="1:18" ht="15" x14ac:dyDescent="0.25">
      <c r="A794"/>
      <c r="B794"/>
      <c r="D794"/>
      <c r="O794" s="8"/>
      <c r="R794" s="9"/>
    </row>
    <row r="795" spans="1:18" ht="15" x14ac:dyDescent="0.25">
      <c r="A795"/>
      <c r="B795"/>
      <c r="D795"/>
      <c r="O795" s="8"/>
      <c r="R795" s="9"/>
    </row>
    <row r="796" spans="1:18" ht="15" x14ac:dyDescent="0.25">
      <c r="A796"/>
      <c r="B796"/>
      <c r="D796"/>
      <c r="O796" s="8"/>
      <c r="R796" s="9"/>
    </row>
    <row r="797" spans="1:18" ht="15" x14ac:dyDescent="0.25">
      <c r="A797"/>
      <c r="B797"/>
      <c r="D797"/>
      <c r="O797" s="8"/>
      <c r="R797" s="9"/>
    </row>
    <row r="798" spans="1:18" ht="15" x14ac:dyDescent="0.25">
      <c r="A798"/>
      <c r="B798"/>
      <c r="D798"/>
      <c r="O798" s="8"/>
      <c r="R798" s="9"/>
    </row>
    <row r="799" spans="1:18" ht="15" x14ac:dyDescent="0.25">
      <c r="A799"/>
      <c r="B799"/>
      <c r="D799"/>
      <c r="O799" s="8"/>
      <c r="R799" s="9"/>
    </row>
    <row r="800" spans="1:18" ht="15" x14ac:dyDescent="0.25">
      <c r="A800"/>
      <c r="B800"/>
      <c r="D800"/>
      <c r="K800" s="10"/>
      <c r="O800" s="8"/>
      <c r="R800" s="9"/>
    </row>
    <row r="801" spans="1:18" ht="15" x14ac:dyDescent="0.25">
      <c r="A801"/>
      <c r="B801"/>
      <c r="D801"/>
      <c r="K801" s="10"/>
      <c r="O801" s="8"/>
      <c r="R801" s="9"/>
    </row>
    <row r="802" spans="1:18" ht="15" x14ac:dyDescent="0.25">
      <c r="A802"/>
      <c r="B802"/>
      <c r="D802"/>
      <c r="O802" s="8"/>
      <c r="R802" s="9"/>
    </row>
    <row r="803" spans="1:18" ht="15" x14ac:dyDescent="0.25">
      <c r="A803"/>
      <c r="B803"/>
      <c r="D803"/>
      <c r="O803" s="8"/>
      <c r="R803" s="9"/>
    </row>
    <row r="804" spans="1:18" ht="15" x14ac:dyDescent="0.25">
      <c r="A804"/>
      <c r="B804"/>
      <c r="D804"/>
      <c r="O804" s="8"/>
      <c r="R804" s="9"/>
    </row>
    <row r="805" spans="1:18" ht="15" x14ac:dyDescent="0.25">
      <c r="A805"/>
      <c r="B805"/>
      <c r="D805"/>
      <c r="O805" s="8"/>
      <c r="R805" s="9"/>
    </row>
    <row r="806" spans="1:18" ht="15" x14ac:dyDescent="0.25">
      <c r="A806"/>
      <c r="B806"/>
      <c r="D806"/>
      <c r="O806" s="8"/>
      <c r="R806" s="9"/>
    </row>
    <row r="807" spans="1:18" ht="15" x14ac:dyDescent="0.25">
      <c r="A807"/>
      <c r="B807"/>
      <c r="D807"/>
      <c r="O807" s="8"/>
      <c r="R807" s="9"/>
    </row>
    <row r="808" spans="1:18" ht="15" x14ac:dyDescent="0.25">
      <c r="A808"/>
      <c r="B808"/>
      <c r="D808"/>
      <c r="O808" s="8"/>
      <c r="R808" s="9"/>
    </row>
    <row r="809" spans="1:18" ht="15" x14ac:dyDescent="0.25">
      <c r="A809"/>
      <c r="B809"/>
      <c r="D809"/>
      <c r="O809" s="8"/>
      <c r="R809" s="9"/>
    </row>
    <row r="810" spans="1:18" ht="15" x14ac:dyDescent="0.25">
      <c r="A810"/>
      <c r="B810"/>
      <c r="D810"/>
      <c r="O810" s="8"/>
      <c r="R810" s="9"/>
    </row>
    <row r="811" spans="1:18" ht="15" x14ac:dyDescent="0.25">
      <c r="A811"/>
      <c r="B811"/>
      <c r="D811"/>
      <c r="O811" s="8"/>
      <c r="R811" s="9"/>
    </row>
    <row r="812" spans="1:18" ht="15" x14ac:dyDescent="0.25">
      <c r="A812"/>
      <c r="B812"/>
      <c r="D812"/>
      <c r="O812" s="8"/>
      <c r="R812" s="9"/>
    </row>
    <row r="813" spans="1:18" ht="15" x14ac:dyDescent="0.25">
      <c r="A813"/>
      <c r="B813"/>
      <c r="D813"/>
      <c r="O813" s="8"/>
      <c r="R813" s="9"/>
    </row>
    <row r="814" spans="1:18" ht="15" x14ac:dyDescent="0.25">
      <c r="A814"/>
      <c r="B814"/>
      <c r="D814"/>
      <c r="O814" s="8"/>
      <c r="R814" s="9"/>
    </row>
    <row r="815" spans="1:18" ht="15" x14ac:dyDescent="0.25">
      <c r="A815"/>
      <c r="B815"/>
      <c r="D815"/>
      <c r="O815" s="8"/>
      <c r="R815" s="9"/>
    </row>
    <row r="816" spans="1:18" ht="15" x14ac:dyDescent="0.25">
      <c r="A816"/>
      <c r="B816"/>
      <c r="D816"/>
      <c r="K816" s="10"/>
      <c r="O816" s="8"/>
      <c r="R816" s="9"/>
    </row>
    <row r="817" spans="1:18" ht="15" x14ac:dyDescent="0.25">
      <c r="A817"/>
      <c r="B817"/>
      <c r="D817"/>
      <c r="K817" s="10"/>
      <c r="O817" s="8"/>
      <c r="R817" s="9"/>
    </row>
    <row r="818" spans="1:18" ht="15" x14ac:dyDescent="0.25">
      <c r="A818"/>
      <c r="B818"/>
      <c r="D818"/>
      <c r="O818" s="8"/>
      <c r="R818" s="9"/>
    </row>
    <row r="819" spans="1:18" ht="15" x14ac:dyDescent="0.25">
      <c r="A819"/>
      <c r="B819"/>
      <c r="D819"/>
      <c r="O819" s="8"/>
      <c r="R819" s="9"/>
    </row>
    <row r="820" spans="1:18" ht="15" x14ac:dyDescent="0.25">
      <c r="A820"/>
      <c r="B820"/>
      <c r="D820"/>
      <c r="O820" s="8"/>
      <c r="R820" s="9"/>
    </row>
    <row r="821" spans="1:18" ht="15" x14ac:dyDescent="0.25">
      <c r="A821"/>
      <c r="B821"/>
      <c r="D821"/>
      <c r="O821" s="8"/>
      <c r="R821" s="9"/>
    </row>
    <row r="822" spans="1:18" ht="15" x14ac:dyDescent="0.25">
      <c r="A822"/>
      <c r="B822"/>
      <c r="D822"/>
      <c r="O822" s="8"/>
      <c r="R822" s="9"/>
    </row>
    <row r="823" spans="1:18" ht="15" x14ac:dyDescent="0.25">
      <c r="A823"/>
      <c r="B823"/>
      <c r="D823"/>
      <c r="O823" s="8"/>
      <c r="R823" s="9"/>
    </row>
    <row r="824" spans="1:18" ht="15" x14ac:dyDescent="0.25">
      <c r="A824"/>
      <c r="B824"/>
      <c r="D824"/>
      <c r="O824" s="8"/>
      <c r="R824" s="9"/>
    </row>
    <row r="825" spans="1:18" ht="15" x14ac:dyDescent="0.25">
      <c r="A825"/>
      <c r="B825"/>
      <c r="D825"/>
      <c r="O825" s="8"/>
      <c r="R825" s="9"/>
    </row>
    <row r="826" spans="1:18" ht="15" x14ac:dyDescent="0.25">
      <c r="A826"/>
      <c r="B826"/>
      <c r="D826"/>
      <c r="O826" s="8"/>
      <c r="R826" s="9"/>
    </row>
    <row r="827" spans="1:18" ht="15" x14ac:dyDescent="0.25">
      <c r="A827"/>
      <c r="B827"/>
      <c r="D827"/>
      <c r="O827" s="8"/>
      <c r="R827" s="9"/>
    </row>
    <row r="828" spans="1:18" ht="15" x14ac:dyDescent="0.25">
      <c r="A828"/>
      <c r="B828"/>
      <c r="D828"/>
      <c r="O828" s="8"/>
      <c r="R828" s="9"/>
    </row>
    <row r="829" spans="1:18" ht="15" x14ac:dyDescent="0.25">
      <c r="A829"/>
      <c r="B829"/>
      <c r="D829"/>
      <c r="O829" s="8"/>
      <c r="R829" s="9"/>
    </row>
    <row r="830" spans="1:18" ht="15" x14ac:dyDescent="0.25">
      <c r="A830"/>
      <c r="B830"/>
      <c r="D830"/>
      <c r="O830" s="8"/>
      <c r="R830" s="9"/>
    </row>
    <row r="831" spans="1:18" ht="15" x14ac:dyDescent="0.25">
      <c r="A831"/>
      <c r="B831"/>
      <c r="D831"/>
      <c r="O831" s="8"/>
      <c r="R831" s="9"/>
    </row>
    <row r="832" spans="1:18" ht="15" x14ac:dyDescent="0.25">
      <c r="A832"/>
      <c r="B832"/>
      <c r="D832"/>
      <c r="O832" s="8"/>
      <c r="R832" s="9"/>
    </row>
    <row r="833" spans="1:18" ht="15" x14ac:dyDescent="0.25">
      <c r="A833"/>
      <c r="B833"/>
      <c r="D833"/>
      <c r="O833" s="8"/>
      <c r="R833" s="9"/>
    </row>
    <row r="834" spans="1:18" ht="15" x14ac:dyDescent="0.25">
      <c r="A834"/>
      <c r="B834"/>
      <c r="D834"/>
      <c r="O834" s="8"/>
      <c r="R834" s="9"/>
    </row>
    <row r="835" spans="1:18" ht="15" x14ac:dyDescent="0.25">
      <c r="A835"/>
      <c r="B835"/>
      <c r="D835"/>
      <c r="O835" s="8"/>
      <c r="R835" s="9"/>
    </row>
    <row r="836" spans="1:18" ht="15" x14ac:dyDescent="0.25">
      <c r="A836"/>
      <c r="B836"/>
      <c r="D836"/>
      <c r="O836" s="8"/>
      <c r="R836" s="9"/>
    </row>
    <row r="837" spans="1:18" ht="15" x14ac:dyDescent="0.25">
      <c r="A837"/>
      <c r="B837"/>
      <c r="D837"/>
      <c r="O837" s="8"/>
      <c r="R837" s="9"/>
    </row>
    <row r="838" spans="1:18" ht="15" x14ac:dyDescent="0.25">
      <c r="A838"/>
      <c r="B838"/>
      <c r="D838"/>
      <c r="O838" s="8"/>
      <c r="R838" s="9"/>
    </row>
    <row r="839" spans="1:18" ht="15" x14ac:dyDescent="0.25">
      <c r="A839"/>
      <c r="B839"/>
      <c r="D839"/>
      <c r="K839" s="10"/>
      <c r="O839" s="8"/>
      <c r="R839" s="9"/>
    </row>
    <row r="840" spans="1:18" ht="15" x14ac:dyDescent="0.25">
      <c r="A840"/>
      <c r="B840"/>
      <c r="D840"/>
      <c r="K840" s="10"/>
      <c r="O840" s="8"/>
      <c r="R840" s="9"/>
    </row>
    <row r="841" spans="1:18" ht="15" x14ac:dyDescent="0.25">
      <c r="A841"/>
      <c r="B841"/>
      <c r="D841"/>
      <c r="O841" s="8"/>
      <c r="R841" s="9"/>
    </row>
    <row r="842" spans="1:18" ht="15" x14ac:dyDescent="0.25">
      <c r="A842"/>
      <c r="B842"/>
      <c r="D842"/>
      <c r="O842" s="8"/>
      <c r="R842" s="9"/>
    </row>
    <row r="843" spans="1:18" ht="15" x14ac:dyDescent="0.25">
      <c r="A843"/>
      <c r="B843"/>
      <c r="D843"/>
      <c r="O843" s="8"/>
      <c r="R843" s="9"/>
    </row>
    <row r="844" spans="1:18" ht="15" x14ac:dyDescent="0.25">
      <c r="A844"/>
      <c r="B844"/>
      <c r="D844"/>
      <c r="O844" s="8"/>
      <c r="R844" s="9"/>
    </row>
    <row r="845" spans="1:18" ht="15" x14ac:dyDescent="0.25">
      <c r="A845"/>
      <c r="B845"/>
      <c r="D845"/>
      <c r="O845" s="8"/>
      <c r="R845" s="9"/>
    </row>
    <row r="846" spans="1:18" ht="15" x14ac:dyDescent="0.25">
      <c r="A846"/>
      <c r="B846"/>
      <c r="D846"/>
      <c r="O846" s="8"/>
      <c r="R846" s="9"/>
    </row>
    <row r="847" spans="1:18" ht="15" x14ac:dyDescent="0.25">
      <c r="A847"/>
      <c r="B847"/>
      <c r="D847"/>
      <c r="O847" s="8"/>
      <c r="R847" s="9"/>
    </row>
    <row r="848" spans="1:18" ht="15" x14ac:dyDescent="0.25">
      <c r="A848"/>
      <c r="B848"/>
      <c r="D848"/>
      <c r="O848" s="8"/>
      <c r="R848" s="9"/>
    </row>
    <row r="849" spans="1:18" ht="15" x14ac:dyDescent="0.25">
      <c r="A849"/>
      <c r="B849"/>
      <c r="D849"/>
      <c r="O849" s="8"/>
      <c r="R849" s="9"/>
    </row>
    <row r="850" spans="1:18" ht="15" x14ac:dyDescent="0.25">
      <c r="A850"/>
      <c r="B850"/>
      <c r="D850"/>
      <c r="O850" s="8"/>
      <c r="R850" s="9"/>
    </row>
    <row r="851" spans="1:18" ht="15" x14ac:dyDescent="0.25">
      <c r="A851"/>
      <c r="B851"/>
      <c r="D851"/>
      <c r="O851" s="8"/>
      <c r="R851" s="9"/>
    </row>
    <row r="852" spans="1:18" ht="15" x14ac:dyDescent="0.25">
      <c r="A852"/>
      <c r="B852"/>
      <c r="D852"/>
      <c r="O852" s="8"/>
      <c r="R852" s="9"/>
    </row>
    <row r="853" spans="1:18" ht="15" x14ac:dyDescent="0.25">
      <c r="A853"/>
      <c r="B853"/>
      <c r="D853"/>
      <c r="O853" s="8"/>
      <c r="R853" s="9"/>
    </row>
    <row r="854" spans="1:18" ht="15" x14ac:dyDescent="0.25">
      <c r="A854"/>
      <c r="B854"/>
      <c r="D854"/>
      <c r="O854" s="8"/>
      <c r="R854" s="9"/>
    </row>
    <row r="855" spans="1:18" ht="15" x14ac:dyDescent="0.25">
      <c r="A855"/>
      <c r="B855"/>
      <c r="D855"/>
      <c r="O855" s="8"/>
      <c r="R855" s="9"/>
    </row>
    <row r="856" spans="1:18" ht="15" x14ac:dyDescent="0.25">
      <c r="A856"/>
      <c r="B856"/>
      <c r="D856"/>
      <c r="O856" s="8"/>
      <c r="R856" s="9"/>
    </row>
    <row r="857" spans="1:18" ht="15" x14ac:dyDescent="0.25">
      <c r="A857"/>
      <c r="B857"/>
      <c r="D857"/>
      <c r="O857" s="8"/>
      <c r="R857" s="9"/>
    </row>
    <row r="858" spans="1:18" ht="15" x14ac:dyDescent="0.25">
      <c r="A858"/>
      <c r="B858"/>
      <c r="D858"/>
      <c r="O858" s="8"/>
      <c r="R858" s="9"/>
    </row>
    <row r="859" spans="1:18" ht="15" x14ac:dyDescent="0.25">
      <c r="A859"/>
      <c r="B859"/>
      <c r="D859"/>
      <c r="O859" s="8"/>
      <c r="R859" s="9"/>
    </row>
    <row r="860" spans="1:18" ht="15" x14ac:dyDescent="0.25">
      <c r="A860"/>
      <c r="B860"/>
      <c r="D860"/>
      <c r="O860" s="8"/>
      <c r="R860" s="9"/>
    </row>
    <row r="861" spans="1:18" ht="15" x14ac:dyDescent="0.25">
      <c r="A861"/>
      <c r="B861"/>
      <c r="D861"/>
      <c r="O861" s="8"/>
      <c r="R861" s="9"/>
    </row>
    <row r="862" spans="1:18" ht="15" x14ac:dyDescent="0.25">
      <c r="A862"/>
      <c r="B862"/>
      <c r="D862"/>
      <c r="O862" s="8"/>
      <c r="R862" s="9"/>
    </row>
    <row r="863" spans="1:18" ht="15" x14ac:dyDescent="0.25">
      <c r="A863"/>
      <c r="B863"/>
      <c r="D863"/>
      <c r="O863" s="8"/>
      <c r="R863" s="9"/>
    </row>
    <row r="864" spans="1:18" ht="15" x14ac:dyDescent="0.25">
      <c r="A864"/>
      <c r="B864"/>
      <c r="D864"/>
      <c r="O864" s="8"/>
      <c r="R864" s="9"/>
    </row>
    <row r="865" spans="1:18" ht="15" x14ac:dyDescent="0.25">
      <c r="A865"/>
      <c r="B865"/>
      <c r="D865"/>
      <c r="K865" s="10"/>
      <c r="O865" s="8"/>
      <c r="R865" s="9"/>
    </row>
    <row r="866" spans="1:18" ht="15" x14ac:dyDescent="0.25">
      <c r="A866"/>
      <c r="B866"/>
      <c r="D866"/>
      <c r="K866" s="10"/>
      <c r="O866" s="8"/>
      <c r="R866" s="9"/>
    </row>
    <row r="867" spans="1:18" ht="15" x14ac:dyDescent="0.25">
      <c r="A867"/>
      <c r="B867"/>
      <c r="D867"/>
      <c r="O867" s="8"/>
      <c r="R867" s="9"/>
    </row>
    <row r="868" spans="1:18" ht="15" x14ac:dyDescent="0.25">
      <c r="A868"/>
      <c r="B868"/>
      <c r="D868"/>
      <c r="O868" s="8"/>
      <c r="R868" s="9"/>
    </row>
    <row r="869" spans="1:18" ht="15" x14ac:dyDescent="0.25">
      <c r="A869"/>
      <c r="B869"/>
      <c r="D869"/>
      <c r="O869" s="8"/>
      <c r="R869" s="9"/>
    </row>
    <row r="870" spans="1:18" ht="15" x14ac:dyDescent="0.25">
      <c r="A870"/>
      <c r="B870"/>
      <c r="D870"/>
      <c r="O870" s="8"/>
      <c r="R870" s="9"/>
    </row>
    <row r="871" spans="1:18" ht="15" x14ac:dyDescent="0.25">
      <c r="A871"/>
      <c r="B871"/>
      <c r="D871"/>
      <c r="O871" s="8"/>
      <c r="R871" s="9"/>
    </row>
    <row r="872" spans="1:18" ht="15" x14ac:dyDescent="0.25">
      <c r="A872"/>
      <c r="B872"/>
      <c r="D872"/>
      <c r="O872" s="8"/>
      <c r="R872" s="9"/>
    </row>
    <row r="873" spans="1:18" ht="15" x14ac:dyDescent="0.25">
      <c r="A873"/>
      <c r="B873"/>
      <c r="D873"/>
      <c r="O873" s="8"/>
      <c r="R873" s="9"/>
    </row>
    <row r="874" spans="1:18" ht="15" x14ac:dyDescent="0.25">
      <c r="A874"/>
      <c r="B874"/>
      <c r="D874"/>
      <c r="O874" s="8"/>
      <c r="R874" s="9"/>
    </row>
    <row r="875" spans="1:18" ht="15" x14ac:dyDescent="0.25">
      <c r="A875"/>
      <c r="B875"/>
      <c r="D875"/>
      <c r="O875" s="8"/>
      <c r="R875" s="9"/>
    </row>
    <row r="876" spans="1:18" ht="15" x14ac:dyDescent="0.25">
      <c r="A876"/>
      <c r="B876"/>
      <c r="D876"/>
      <c r="O876" s="8"/>
      <c r="R876" s="9"/>
    </row>
    <row r="877" spans="1:18" ht="15" x14ac:dyDescent="0.25">
      <c r="A877"/>
      <c r="B877"/>
      <c r="D877"/>
      <c r="O877" s="8"/>
      <c r="R877" s="9"/>
    </row>
    <row r="878" spans="1:18" ht="15" x14ac:dyDescent="0.25">
      <c r="A878"/>
      <c r="B878"/>
      <c r="D878"/>
      <c r="O878" s="8"/>
      <c r="R878" s="9"/>
    </row>
    <row r="879" spans="1:18" ht="15" x14ac:dyDescent="0.25">
      <c r="A879"/>
      <c r="B879"/>
      <c r="D879"/>
      <c r="O879" s="8"/>
      <c r="R879" s="9"/>
    </row>
    <row r="880" spans="1:18" ht="15" x14ac:dyDescent="0.25">
      <c r="A880"/>
      <c r="B880"/>
      <c r="D880"/>
      <c r="O880" s="8"/>
      <c r="R880" s="9"/>
    </row>
    <row r="881" spans="1:18" ht="15" x14ac:dyDescent="0.25">
      <c r="A881"/>
      <c r="B881"/>
      <c r="D881"/>
      <c r="O881" s="8"/>
      <c r="R881" s="9"/>
    </row>
    <row r="882" spans="1:18" ht="15" x14ac:dyDescent="0.25">
      <c r="A882"/>
      <c r="B882"/>
      <c r="D882"/>
      <c r="O882" s="8"/>
      <c r="R882" s="9"/>
    </row>
    <row r="883" spans="1:18" ht="15" x14ac:dyDescent="0.25">
      <c r="A883"/>
      <c r="B883"/>
      <c r="D883"/>
      <c r="O883" s="8"/>
      <c r="R883" s="9"/>
    </row>
    <row r="884" spans="1:18" ht="15" x14ac:dyDescent="0.25">
      <c r="A884"/>
      <c r="B884"/>
      <c r="D884"/>
      <c r="K884" s="10"/>
      <c r="O884" s="8"/>
      <c r="R884" s="9"/>
    </row>
    <row r="885" spans="1:18" ht="15" x14ac:dyDescent="0.25">
      <c r="A885"/>
      <c r="B885"/>
      <c r="D885"/>
      <c r="K885" s="10"/>
      <c r="O885" s="8"/>
      <c r="R885" s="9"/>
    </row>
    <row r="886" spans="1:18" ht="15" x14ac:dyDescent="0.25">
      <c r="A886"/>
      <c r="B886"/>
      <c r="D886"/>
      <c r="O886" s="8"/>
      <c r="R886" s="9"/>
    </row>
    <row r="887" spans="1:18" ht="15" x14ac:dyDescent="0.25">
      <c r="A887"/>
      <c r="B887"/>
      <c r="D887"/>
      <c r="O887" s="8"/>
      <c r="R887" s="9"/>
    </row>
    <row r="888" spans="1:18" ht="15" x14ac:dyDescent="0.25">
      <c r="A888"/>
      <c r="B888"/>
      <c r="D888"/>
      <c r="O888" s="8"/>
      <c r="R888" s="9"/>
    </row>
    <row r="889" spans="1:18" ht="15" x14ac:dyDescent="0.25">
      <c r="A889"/>
      <c r="B889"/>
      <c r="D889"/>
      <c r="O889" s="8"/>
      <c r="R889" s="9"/>
    </row>
    <row r="890" spans="1:18" ht="15" x14ac:dyDescent="0.25">
      <c r="A890"/>
      <c r="B890"/>
      <c r="D890"/>
      <c r="O890" s="8"/>
      <c r="R890" s="9"/>
    </row>
    <row r="891" spans="1:18" ht="15" x14ac:dyDescent="0.25">
      <c r="A891"/>
      <c r="B891"/>
      <c r="D891"/>
      <c r="O891" s="8"/>
      <c r="R891" s="9"/>
    </row>
    <row r="892" spans="1:18" ht="15" x14ac:dyDescent="0.25">
      <c r="A892"/>
      <c r="B892"/>
      <c r="D892"/>
      <c r="O892" s="8"/>
      <c r="R892" s="9"/>
    </row>
    <row r="893" spans="1:18" ht="15" x14ac:dyDescent="0.25">
      <c r="A893"/>
      <c r="B893"/>
      <c r="D893"/>
      <c r="O893" s="8"/>
      <c r="R893" s="9"/>
    </row>
    <row r="894" spans="1:18" ht="15" x14ac:dyDescent="0.25">
      <c r="A894"/>
      <c r="B894"/>
      <c r="D894"/>
      <c r="O894" s="8"/>
      <c r="R894" s="9"/>
    </row>
    <row r="895" spans="1:18" ht="15" x14ac:dyDescent="0.25">
      <c r="A895"/>
      <c r="B895"/>
      <c r="D895"/>
      <c r="O895" s="8"/>
      <c r="R895" s="9"/>
    </row>
    <row r="896" spans="1:18" ht="15" x14ac:dyDescent="0.25">
      <c r="A896"/>
      <c r="B896"/>
      <c r="D896"/>
      <c r="O896" s="8"/>
      <c r="R896" s="9"/>
    </row>
    <row r="897" spans="1:18" ht="15" x14ac:dyDescent="0.25">
      <c r="A897"/>
      <c r="B897"/>
      <c r="D897"/>
      <c r="O897" s="8"/>
      <c r="R897" s="9"/>
    </row>
    <row r="898" spans="1:18" ht="15" x14ac:dyDescent="0.25">
      <c r="A898"/>
      <c r="B898"/>
      <c r="D898"/>
      <c r="O898" s="8"/>
      <c r="R898" s="9"/>
    </row>
    <row r="899" spans="1:18" ht="15" x14ac:dyDescent="0.25">
      <c r="A899"/>
      <c r="B899"/>
      <c r="D899"/>
      <c r="O899" s="8"/>
      <c r="R899" s="9"/>
    </row>
    <row r="900" spans="1:18" ht="15" x14ac:dyDescent="0.25">
      <c r="A900"/>
      <c r="B900"/>
      <c r="D900"/>
      <c r="O900" s="8"/>
      <c r="R900" s="9"/>
    </row>
    <row r="901" spans="1:18" ht="15" x14ac:dyDescent="0.25">
      <c r="A901"/>
      <c r="B901"/>
      <c r="D901"/>
      <c r="O901" s="8"/>
      <c r="R901" s="9"/>
    </row>
    <row r="902" spans="1:18" ht="15" x14ac:dyDescent="0.25">
      <c r="A902"/>
      <c r="B902"/>
      <c r="D902"/>
      <c r="O902" s="8"/>
      <c r="R902" s="9"/>
    </row>
    <row r="903" spans="1:18" ht="15" x14ac:dyDescent="0.25">
      <c r="A903"/>
      <c r="B903"/>
      <c r="D903"/>
      <c r="O903" s="8"/>
      <c r="R903" s="9"/>
    </row>
    <row r="904" spans="1:18" ht="15" x14ac:dyDescent="0.25">
      <c r="A904"/>
      <c r="B904"/>
      <c r="D904"/>
      <c r="O904" s="8"/>
      <c r="R904" s="9"/>
    </row>
    <row r="905" spans="1:18" ht="15" x14ac:dyDescent="0.25">
      <c r="A905"/>
      <c r="B905"/>
      <c r="D905"/>
      <c r="O905" s="8"/>
      <c r="R905" s="9"/>
    </row>
    <row r="906" spans="1:18" ht="15" x14ac:dyDescent="0.25">
      <c r="A906"/>
      <c r="B906"/>
      <c r="D906"/>
      <c r="K906" s="10"/>
      <c r="O906" s="8"/>
      <c r="R906" s="9"/>
    </row>
    <row r="907" spans="1:18" ht="15" x14ac:dyDescent="0.25">
      <c r="A907"/>
      <c r="B907"/>
      <c r="D907"/>
      <c r="K907" s="10"/>
      <c r="O907" s="8"/>
      <c r="R907" s="9"/>
    </row>
    <row r="908" spans="1:18" ht="15" x14ac:dyDescent="0.25">
      <c r="A908"/>
      <c r="B908"/>
      <c r="D908"/>
      <c r="O908" s="8"/>
      <c r="R908" s="9"/>
    </row>
    <row r="909" spans="1:18" ht="15" x14ac:dyDescent="0.25">
      <c r="A909"/>
      <c r="B909"/>
      <c r="D909"/>
      <c r="O909" s="8"/>
      <c r="R909" s="9"/>
    </row>
    <row r="910" spans="1:18" ht="15" x14ac:dyDescent="0.25">
      <c r="A910"/>
      <c r="B910"/>
      <c r="D910"/>
      <c r="O910" s="8"/>
      <c r="R910" s="9"/>
    </row>
    <row r="911" spans="1:18" ht="15" x14ac:dyDescent="0.25">
      <c r="A911"/>
      <c r="B911"/>
      <c r="D911"/>
      <c r="O911" s="8"/>
      <c r="R911" s="9"/>
    </row>
    <row r="912" spans="1:18" ht="15" x14ac:dyDescent="0.25">
      <c r="A912"/>
      <c r="B912"/>
      <c r="D912"/>
      <c r="O912" s="8"/>
      <c r="R912" s="9"/>
    </row>
    <row r="913" spans="1:18" ht="15" x14ac:dyDescent="0.25">
      <c r="A913"/>
      <c r="B913"/>
      <c r="D913"/>
      <c r="O913" s="8"/>
      <c r="R913" s="9"/>
    </row>
    <row r="914" spans="1:18" ht="15" x14ac:dyDescent="0.25">
      <c r="A914"/>
      <c r="B914"/>
      <c r="D914"/>
      <c r="O914" s="8"/>
      <c r="R914" s="9"/>
    </row>
    <row r="915" spans="1:18" ht="15" x14ac:dyDescent="0.25">
      <c r="A915"/>
      <c r="B915"/>
      <c r="D915"/>
      <c r="O915" s="8"/>
      <c r="R915" s="9"/>
    </row>
    <row r="916" spans="1:18" ht="15" x14ac:dyDescent="0.25">
      <c r="A916"/>
      <c r="B916"/>
      <c r="D916"/>
      <c r="O916" s="8"/>
      <c r="R916" s="9"/>
    </row>
    <row r="917" spans="1:18" ht="15" x14ac:dyDescent="0.25">
      <c r="A917"/>
      <c r="B917"/>
      <c r="D917"/>
      <c r="O917" s="8"/>
      <c r="R917" s="9"/>
    </row>
    <row r="918" spans="1:18" ht="15" x14ac:dyDescent="0.25">
      <c r="A918"/>
      <c r="B918"/>
      <c r="D918"/>
      <c r="O918" s="8"/>
      <c r="R918" s="9"/>
    </row>
    <row r="919" spans="1:18" ht="15" x14ac:dyDescent="0.25">
      <c r="A919"/>
      <c r="B919"/>
      <c r="D919"/>
      <c r="O919" s="8"/>
      <c r="R919" s="9"/>
    </row>
    <row r="920" spans="1:18" ht="15" x14ac:dyDescent="0.25">
      <c r="A920"/>
      <c r="B920"/>
      <c r="D920"/>
      <c r="O920" s="8"/>
      <c r="R920" s="9"/>
    </row>
    <row r="921" spans="1:18" ht="15" x14ac:dyDescent="0.25">
      <c r="A921"/>
      <c r="B921"/>
      <c r="D921"/>
      <c r="O921" s="8"/>
      <c r="R921" s="9"/>
    </row>
    <row r="922" spans="1:18" ht="15" x14ac:dyDescent="0.25">
      <c r="A922"/>
      <c r="B922"/>
      <c r="D922"/>
      <c r="O922" s="8"/>
      <c r="R922" s="9"/>
    </row>
    <row r="923" spans="1:18" ht="15" x14ac:dyDescent="0.25">
      <c r="A923"/>
      <c r="B923"/>
      <c r="D923"/>
      <c r="O923" s="8"/>
      <c r="R923" s="9"/>
    </row>
    <row r="924" spans="1:18" ht="15" x14ac:dyDescent="0.25">
      <c r="A924"/>
      <c r="B924"/>
      <c r="D924"/>
      <c r="O924" s="8"/>
      <c r="R924" s="9"/>
    </row>
    <row r="925" spans="1:18" ht="15" x14ac:dyDescent="0.25">
      <c r="A925"/>
      <c r="B925"/>
      <c r="D925"/>
      <c r="O925" s="8"/>
      <c r="R925" s="9"/>
    </row>
    <row r="926" spans="1:18" ht="15" x14ac:dyDescent="0.25">
      <c r="A926"/>
      <c r="B926"/>
      <c r="D926"/>
      <c r="O926" s="8"/>
      <c r="R926" s="9"/>
    </row>
    <row r="927" spans="1:18" ht="15" x14ac:dyDescent="0.25">
      <c r="A927"/>
      <c r="B927"/>
      <c r="D927"/>
      <c r="K927" s="10"/>
      <c r="O927" s="8"/>
      <c r="R927" s="9"/>
    </row>
    <row r="928" spans="1:18" ht="15" x14ac:dyDescent="0.25">
      <c r="A928"/>
      <c r="B928"/>
      <c r="D928"/>
      <c r="K928" s="10"/>
      <c r="O928" s="8"/>
      <c r="R928" s="9"/>
    </row>
    <row r="929" spans="1:18" ht="15" x14ac:dyDescent="0.25">
      <c r="A929"/>
      <c r="B929"/>
      <c r="D929"/>
      <c r="O929" s="8"/>
      <c r="R929" s="9"/>
    </row>
    <row r="930" spans="1:18" ht="15" x14ac:dyDescent="0.25">
      <c r="A930"/>
      <c r="B930"/>
      <c r="D930"/>
      <c r="O930" s="8"/>
      <c r="R930" s="9"/>
    </row>
    <row r="931" spans="1:18" ht="15" x14ac:dyDescent="0.25">
      <c r="A931"/>
      <c r="B931"/>
      <c r="D931"/>
      <c r="O931" s="8"/>
      <c r="R931" s="9"/>
    </row>
    <row r="932" spans="1:18" ht="15" x14ac:dyDescent="0.25">
      <c r="A932"/>
      <c r="B932"/>
      <c r="D932"/>
      <c r="O932" s="8"/>
      <c r="R932" s="9"/>
    </row>
    <row r="933" spans="1:18" ht="15" x14ac:dyDescent="0.25">
      <c r="A933"/>
      <c r="B933"/>
      <c r="D933"/>
      <c r="O933" s="8"/>
      <c r="R933" s="9"/>
    </row>
    <row r="934" spans="1:18" ht="15" x14ac:dyDescent="0.25">
      <c r="A934"/>
      <c r="B934"/>
      <c r="D934"/>
      <c r="O934" s="8"/>
      <c r="R934" s="9"/>
    </row>
    <row r="935" spans="1:18" ht="15" x14ac:dyDescent="0.25">
      <c r="A935"/>
      <c r="B935"/>
      <c r="D935"/>
      <c r="O935" s="8"/>
      <c r="R935" s="9"/>
    </row>
    <row r="936" spans="1:18" ht="15" x14ac:dyDescent="0.25">
      <c r="A936"/>
      <c r="B936"/>
      <c r="D936"/>
      <c r="O936" s="8"/>
      <c r="R936" s="9"/>
    </row>
    <row r="937" spans="1:18" ht="15" x14ac:dyDescent="0.25">
      <c r="A937"/>
      <c r="B937"/>
      <c r="D937"/>
      <c r="O937" s="8"/>
      <c r="R937" s="9"/>
    </row>
    <row r="938" spans="1:18" ht="15" x14ac:dyDescent="0.25">
      <c r="A938"/>
      <c r="B938"/>
      <c r="D938"/>
      <c r="O938" s="8"/>
      <c r="R938" s="9"/>
    </row>
    <row r="939" spans="1:18" ht="15" x14ac:dyDescent="0.25">
      <c r="A939"/>
      <c r="B939"/>
      <c r="D939"/>
      <c r="O939" s="8"/>
      <c r="R939" s="9"/>
    </row>
    <row r="940" spans="1:18" ht="15" x14ac:dyDescent="0.25">
      <c r="A940"/>
      <c r="B940"/>
      <c r="D940"/>
      <c r="O940" s="8"/>
      <c r="R940" s="9"/>
    </row>
    <row r="941" spans="1:18" ht="15" x14ac:dyDescent="0.25">
      <c r="A941"/>
      <c r="B941"/>
      <c r="D941"/>
      <c r="O941" s="8"/>
      <c r="R941" s="9"/>
    </row>
    <row r="942" spans="1:18" ht="15" x14ac:dyDescent="0.25">
      <c r="A942"/>
      <c r="B942"/>
      <c r="D942"/>
      <c r="O942" s="8"/>
      <c r="R942" s="9"/>
    </row>
    <row r="943" spans="1:18" ht="15" x14ac:dyDescent="0.25">
      <c r="A943"/>
      <c r="B943"/>
      <c r="D943"/>
      <c r="O943" s="8"/>
      <c r="R943" s="9"/>
    </row>
    <row r="944" spans="1:18" ht="15" x14ac:dyDescent="0.25">
      <c r="A944"/>
      <c r="B944"/>
      <c r="D944"/>
      <c r="O944" s="8"/>
      <c r="R944" s="9"/>
    </row>
    <row r="945" spans="1:18" ht="15" x14ac:dyDescent="0.25">
      <c r="A945"/>
      <c r="B945"/>
      <c r="D945"/>
      <c r="O945" s="8"/>
      <c r="R945" s="9"/>
    </row>
    <row r="946" spans="1:18" ht="15" x14ac:dyDescent="0.25">
      <c r="A946"/>
      <c r="B946"/>
      <c r="D946"/>
      <c r="O946" s="8"/>
      <c r="R946" s="9"/>
    </row>
    <row r="947" spans="1:18" ht="15" x14ac:dyDescent="0.25">
      <c r="A947"/>
      <c r="B947"/>
      <c r="D947"/>
      <c r="O947" s="8"/>
      <c r="R947" s="9"/>
    </row>
    <row r="948" spans="1:18" ht="15" x14ac:dyDescent="0.25">
      <c r="A948"/>
      <c r="B948"/>
      <c r="D948"/>
      <c r="O948" s="8"/>
      <c r="R948" s="9"/>
    </row>
    <row r="949" spans="1:18" ht="15" x14ac:dyDescent="0.25">
      <c r="A949"/>
      <c r="B949"/>
      <c r="D949"/>
      <c r="O949" s="8"/>
      <c r="R949" s="9"/>
    </row>
    <row r="950" spans="1:18" ht="15" x14ac:dyDescent="0.25">
      <c r="A950"/>
      <c r="B950"/>
      <c r="D950"/>
      <c r="K950" s="10"/>
      <c r="O950" s="8"/>
      <c r="R950" s="9"/>
    </row>
    <row r="951" spans="1:18" ht="15" x14ac:dyDescent="0.25">
      <c r="A951"/>
      <c r="B951"/>
      <c r="D951"/>
      <c r="K951" s="10"/>
      <c r="O951" s="8"/>
      <c r="R951" s="9"/>
    </row>
    <row r="952" spans="1:18" ht="15" x14ac:dyDescent="0.25">
      <c r="A952"/>
      <c r="B952"/>
      <c r="D952"/>
      <c r="O952" s="8"/>
      <c r="R952" s="9"/>
    </row>
    <row r="953" spans="1:18" ht="15" x14ac:dyDescent="0.25">
      <c r="A953"/>
      <c r="B953"/>
      <c r="D953"/>
      <c r="O953" s="8"/>
      <c r="R953" s="9"/>
    </row>
    <row r="954" spans="1:18" ht="15" x14ac:dyDescent="0.25">
      <c r="A954"/>
      <c r="B954"/>
      <c r="D954"/>
      <c r="O954" s="8"/>
      <c r="R954" s="9"/>
    </row>
    <row r="955" spans="1:18" ht="15" x14ac:dyDescent="0.25">
      <c r="A955"/>
      <c r="B955"/>
      <c r="D955"/>
      <c r="O955" s="8"/>
      <c r="R955" s="9"/>
    </row>
    <row r="956" spans="1:18" ht="15" x14ac:dyDescent="0.25">
      <c r="A956"/>
      <c r="B956"/>
      <c r="D956"/>
      <c r="O956" s="8"/>
      <c r="R956" s="9"/>
    </row>
    <row r="957" spans="1:18" ht="15" x14ac:dyDescent="0.25">
      <c r="A957"/>
      <c r="B957"/>
      <c r="D957"/>
      <c r="O957" s="8"/>
      <c r="R957" s="9"/>
    </row>
    <row r="958" spans="1:18" ht="15" x14ac:dyDescent="0.25">
      <c r="A958"/>
      <c r="B958"/>
      <c r="D958"/>
      <c r="O958" s="8"/>
      <c r="R958" s="9"/>
    </row>
    <row r="959" spans="1:18" ht="15" x14ac:dyDescent="0.25">
      <c r="A959"/>
      <c r="B959"/>
      <c r="D959"/>
      <c r="O959" s="8"/>
      <c r="R959" s="9"/>
    </row>
    <row r="960" spans="1:18" ht="15" x14ac:dyDescent="0.25">
      <c r="A960"/>
      <c r="B960"/>
      <c r="D960"/>
      <c r="O960" s="8"/>
      <c r="R960" s="9"/>
    </row>
    <row r="961" spans="1:18" ht="15" x14ac:dyDescent="0.25">
      <c r="A961"/>
      <c r="B961"/>
      <c r="D961"/>
      <c r="O961" s="8"/>
      <c r="R961" s="9"/>
    </row>
    <row r="962" spans="1:18" ht="15" x14ac:dyDescent="0.25">
      <c r="A962"/>
      <c r="B962"/>
      <c r="D962"/>
      <c r="O962" s="8"/>
      <c r="R962" s="9"/>
    </row>
    <row r="963" spans="1:18" ht="15" x14ac:dyDescent="0.25">
      <c r="A963"/>
      <c r="B963"/>
      <c r="D963"/>
      <c r="O963" s="8"/>
      <c r="R963" s="9"/>
    </row>
    <row r="964" spans="1:18" ht="15" x14ac:dyDescent="0.25">
      <c r="A964"/>
      <c r="B964"/>
      <c r="D964"/>
      <c r="O964" s="8"/>
      <c r="R964" s="9"/>
    </row>
    <row r="965" spans="1:18" ht="15" x14ac:dyDescent="0.25">
      <c r="A965"/>
      <c r="B965"/>
      <c r="D965"/>
      <c r="O965" s="8"/>
      <c r="R965" s="9"/>
    </row>
    <row r="966" spans="1:18" ht="15" x14ac:dyDescent="0.25">
      <c r="A966"/>
      <c r="B966"/>
      <c r="D966"/>
      <c r="O966" s="8"/>
      <c r="R966" s="9"/>
    </row>
    <row r="967" spans="1:18" ht="15" x14ac:dyDescent="0.25">
      <c r="A967"/>
      <c r="B967"/>
      <c r="D967"/>
      <c r="O967" s="8"/>
      <c r="R967" s="9"/>
    </row>
    <row r="968" spans="1:18" ht="15" x14ac:dyDescent="0.25">
      <c r="A968"/>
      <c r="B968"/>
      <c r="D968"/>
      <c r="O968" s="8"/>
      <c r="R968" s="9"/>
    </row>
    <row r="969" spans="1:18" ht="15" x14ac:dyDescent="0.25">
      <c r="A969"/>
      <c r="B969"/>
      <c r="D969"/>
      <c r="O969" s="8"/>
      <c r="R969" s="9"/>
    </row>
    <row r="970" spans="1:18" ht="15" x14ac:dyDescent="0.25">
      <c r="A970"/>
      <c r="B970"/>
      <c r="D970"/>
      <c r="O970" s="8"/>
      <c r="R970" s="9"/>
    </row>
    <row r="971" spans="1:18" ht="15" x14ac:dyDescent="0.25">
      <c r="A971"/>
      <c r="B971"/>
      <c r="D971"/>
      <c r="O971" s="8"/>
      <c r="R971" s="9"/>
    </row>
    <row r="972" spans="1:18" ht="15" x14ac:dyDescent="0.25">
      <c r="A972"/>
      <c r="B972"/>
      <c r="D972"/>
      <c r="K972" s="10"/>
      <c r="O972" s="8"/>
      <c r="R972" s="9"/>
    </row>
    <row r="973" spans="1:18" ht="15" x14ac:dyDescent="0.25">
      <c r="A973"/>
      <c r="B973"/>
      <c r="D973"/>
      <c r="K973" s="10"/>
      <c r="O973" s="8"/>
      <c r="R973" s="9"/>
    </row>
    <row r="974" spans="1:18" ht="15" x14ac:dyDescent="0.25">
      <c r="A974"/>
      <c r="B974"/>
      <c r="D974"/>
      <c r="O974" s="8"/>
      <c r="R974" s="9"/>
    </row>
    <row r="975" spans="1:18" ht="15" x14ac:dyDescent="0.25">
      <c r="A975"/>
      <c r="B975"/>
      <c r="D975"/>
      <c r="O975" s="8"/>
      <c r="R975" s="9"/>
    </row>
    <row r="976" spans="1:18" ht="15" x14ac:dyDescent="0.25">
      <c r="A976"/>
      <c r="B976"/>
      <c r="D976"/>
      <c r="O976" s="8"/>
      <c r="R976" s="9"/>
    </row>
    <row r="977" spans="1:18" ht="15" x14ac:dyDescent="0.25">
      <c r="A977"/>
      <c r="B977"/>
      <c r="D977"/>
      <c r="O977" s="8"/>
      <c r="R977" s="9"/>
    </row>
    <row r="978" spans="1:18" ht="15" x14ac:dyDescent="0.25">
      <c r="A978"/>
      <c r="B978"/>
      <c r="D978"/>
      <c r="O978" s="8"/>
      <c r="R978" s="9"/>
    </row>
    <row r="979" spans="1:18" ht="15" x14ac:dyDescent="0.25">
      <c r="A979"/>
      <c r="B979"/>
      <c r="D979"/>
      <c r="O979" s="8"/>
      <c r="R979" s="9"/>
    </row>
    <row r="980" spans="1:18" ht="15" x14ac:dyDescent="0.25">
      <c r="A980"/>
      <c r="B980"/>
      <c r="D980"/>
      <c r="O980" s="8"/>
      <c r="R980" s="9"/>
    </row>
    <row r="981" spans="1:18" ht="15" x14ac:dyDescent="0.25">
      <c r="A981"/>
      <c r="B981"/>
      <c r="D981"/>
      <c r="O981" s="8"/>
      <c r="R981" s="9"/>
    </row>
    <row r="982" spans="1:18" ht="15" x14ac:dyDescent="0.25">
      <c r="A982"/>
      <c r="B982"/>
      <c r="D982"/>
      <c r="O982" s="8"/>
      <c r="R982" s="9"/>
    </row>
    <row r="983" spans="1:18" ht="15" x14ac:dyDescent="0.25">
      <c r="A983"/>
      <c r="B983"/>
      <c r="D983"/>
      <c r="O983" s="8"/>
      <c r="R983" s="9"/>
    </row>
    <row r="984" spans="1:18" ht="15" x14ac:dyDescent="0.25">
      <c r="A984"/>
      <c r="B984"/>
      <c r="D984"/>
      <c r="O984" s="8"/>
      <c r="R984" s="9"/>
    </row>
    <row r="985" spans="1:18" ht="15" x14ac:dyDescent="0.25">
      <c r="A985"/>
      <c r="B985"/>
      <c r="D985"/>
      <c r="O985" s="8"/>
      <c r="R985" s="9"/>
    </row>
    <row r="986" spans="1:18" ht="15" x14ac:dyDescent="0.25">
      <c r="A986"/>
      <c r="B986"/>
      <c r="D986"/>
      <c r="O986" s="8"/>
      <c r="R986" s="9"/>
    </row>
    <row r="987" spans="1:18" ht="15" x14ac:dyDescent="0.25">
      <c r="A987"/>
      <c r="B987"/>
      <c r="D987"/>
      <c r="O987" s="8"/>
      <c r="R987" s="9"/>
    </row>
    <row r="988" spans="1:18" ht="15" x14ac:dyDescent="0.25">
      <c r="A988"/>
      <c r="B988"/>
      <c r="D988"/>
      <c r="O988" s="8"/>
      <c r="R988" s="9"/>
    </row>
    <row r="989" spans="1:18" ht="15" x14ac:dyDescent="0.25">
      <c r="A989"/>
      <c r="B989"/>
      <c r="D989"/>
      <c r="O989" s="8"/>
      <c r="R989" s="9"/>
    </row>
    <row r="990" spans="1:18" ht="15" x14ac:dyDescent="0.25">
      <c r="A990"/>
      <c r="B990"/>
      <c r="D990"/>
      <c r="O990" s="8"/>
      <c r="R990" s="9"/>
    </row>
    <row r="991" spans="1:18" ht="15" x14ac:dyDescent="0.25">
      <c r="A991"/>
      <c r="B991"/>
      <c r="D991"/>
      <c r="O991" s="8"/>
      <c r="R991" s="9"/>
    </row>
    <row r="992" spans="1:18" ht="15" x14ac:dyDescent="0.25">
      <c r="A992"/>
      <c r="B992"/>
      <c r="D992"/>
      <c r="O992" s="8"/>
      <c r="R992" s="9"/>
    </row>
    <row r="993" spans="1:18" ht="15" x14ac:dyDescent="0.25">
      <c r="A993"/>
      <c r="B993"/>
      <c r="D993"/>
      <c r="O993" s="8"/>
      <c r="R993" s="9"/>
    </row>
    <row r="994" spans="1:18" ht="15" x14ac:dyDescent="0.25">
      <c r="A994"/>
      <c r="B994"/>
      <c r="D994"/>
      <c r="O994" s="8"/>
      <c r="R994" s="9"/>
    </row>
    <row r="995" spans="1:18" ht="15" x14ac:dyDescent="0.25">
      <c r="A995"/>
      <c r="B995"/>
      <c r="D995"/>
      <c r="K995" s="10"/>
      <c r="O995" s="8"/>
      <c r="R995" s="9"/>
    </row>
    <row r="996" spans="1:18" ht="15" x14ac:dyDescent="0.25">
      <c r="A996"/>
      <c r="B996"/>
      <c r="D996"/>
      <c r="K996" s="10"/>
      <c r="O996" s="8"/>
      <c r="R996" s="9"/>
    </row>
    <row r="997" spans="1:18" ht="15" x14ac:dyDescent="0.25">
      <c r="A997"/>
      <c r="B997"/>
      <c r="D997"/>
      <c r="O997" s="8"/>
      <c r="R997" s="9"/>
    </row>
    <row r="998" spans="1:18" ht="15" x14ac:dyDescent="0.25">
      <c r="A998"/>
      <c r="B998"/>
      <c r="D998"/>
      <c r="O998" s="8"/>
      <c r="R998" s="9"/>
    </row>
    <row r="999" spans="1:18" ht="15" x14ac:dyDescent="0.25">
      <c r="A999"/>
      <c r="B999"/>
      <c r="D999"/>
      <c r="O999" s="8"/>
      <c r="R999" s="9"/>
    </row>
    <row r="1000" spans="1:18" ht="15" x14ac:dyDescent="0.25">
      <c r="A1000"/>
      <c r="B1000"/>
      <c r="D1000"/>
      <c r="O1000" s="8"/>
      <c r="R1000" s="9"/>
    </row>
    <row r="1001" spans="1:18" ht="15" x14ac:dyDescent="0.25">
      <c r="A1001"/>
      <c r="B1001"/>
      <c r="D1001"/>
      <c r="O1001" s="8"/>
      <c r="R1001" s="9"/>
    </row>
    <row r="1002" spans="1:18" ht="15" x14ac:dyDescent="0.25">
      <c r="A1002"/>
      <c r="B1002"/>
      <c r="D1002"/>
      <c r="O1002" s="8"/>
      <c r="R1002" s="9"/>
    </row>
    <row r="1003" spans="1:18" ht="15" x14ac:dyDescent="0.25">
      <c r="A1003"/>
      <c r="B1003"/>
      <c r="D1003"/>
      <c r="O1003" s="8"/>
      <c r="R1003" s="9"/>
    </row>
    <row r="1004" spans="1:18" ht="15" x14ac:dyDescent="0.25">
      <c r="A1004"/>
      <c r="B1004"/>
      <c r="D1004"/>
      <c r="O1004" s="8"/>
      <c r="R1004" s="9"/>
    </row>
    <row r="1005" spans="1:18" ht="15" x14ac:dyDescent="0.25">
      <c r="A1005"/>
      <c r="B1005"/>
      <c r="D1005"/>
      <c r="O1005" s="8"/>
      <c r="R1005" s="9"/>
    </row>
    <row r="1006" spans="1:18" ht="15" x14ac:dyDescent="0.25">
      <c r="A1006"/>
      <c r="B1006"/>
      <c r="D1006"/>
      <c r="O1006" s="8"/>
      <c r="R1006" s="9"/>
    </row>
    <row r="1007" spans="1:18" ht="15" x14ac:dyDescent="0.25">
      <c r="A1007"/>
      <c r="B1007"/>
      <c r="D1007"/>
      <c r="O1007" s="8"/>
      <c r="R1007" s="9"/>
    </row>
    <row r="1008" spans="1:18" ht="15" x14ac:dyDescent="0.25">
      <c r="A1008"/>
      <c r="B1008"/>
      <c r="D1008"/>
      <c r="O1008" s="8"/>
      <c r="R1008" s="9"/>
    </row>
    <row r="1009" spans="1:18" ht="15" x14ac:dyDescent="0.25">
      <c r="A1009"/>
      <c r="B1009"/>
      <c r="D1009"/>
      <c r="O1009" s="8"/>
      <c r="R1009" s="9"/>
    </row>
    <row r="1010" spans="1:18" ht="15" x14ac:dyDescent="0.25">
      <c r="A1010"/>
      <c r="B1010"/>
      <c r="D1010"/>
      <c r="O1010" s="8"/>
      <c r="R1010" s="9"/>
    </row>
    <row r="1011" spans="1:18" ht="15" x14ac:dyDescent="0.25">
      <c r="A1011"/>
      <c r="B1011"/>
      <c r="D1011"/>
      <c r="O1011" s="8"/>
      <c r="R1011" s="9"/>
    </row>
    <row r="1012" spans="1:18" ht="15" x14ac:dyDescent="0.25">
      <c r="A1012"/>
      <c r="B1012"/>
      <c r="D1012"/>
      <c r="O1012" s="8"/>
      <c r="R1012" s="9"/>
    </row>
    <row r="1013" spans="1:18" ht="15" x14ac:dyDescent="0.25">
      <c r="A1013"/>
      <c r="B1013"/>
      <c r="D1013"/>
      <c r="O1013" s="8"/>
      <c r="R1013" s="9"/>
    </row>
    <row r="1014" spans="1:18" ht="15" x14ac:dyDescent="0.25">
      <c r="A1014"/>
      <c r="B1014"/>
      <c r="D1014"/>
      <c r="O1014" s="8"/>
      <c r="R1014" s="9"/>
    </row>
    <row r="1015" spans="1:18" ht="15" x14ac:dyDescent="0.25">
      <c r="A1015"/>
      <c r="B1015"/>
      <c r="D1015"/>
      <c r="O1015" s="8"/>
      <c r="R1015" s="9"/>
    </row>
    <row r="1016" spans="1:18" ht="15" x14ac:dyDescent="0.25">
      <c r="A1016"/>
      <c r="B1016"/>
      <c r="D1016"/>
      <c r="O1016" s="8"/>
      <c r="R1016" s="9"/>
    </row>
    <row r="1017" spans="1:18" ht="15" x14ac:dyDescent="0.25">
      <c r="A1017"/>
      <c r="B1017"/>
      <c r="D1017"/>
      <c r="O1017" s="8"/>
      <c r="R1017" s="9"/>
    </row>
    <row r="1018" spans="1:18" ht="15" x14ac:dyDescent="0.25">
      <c r="A1018"/>
      <c r="B1018"/>
      <c r="D1018"/>
      <c r="K1018" s="10"/>
      <c r="O1018" s="8"/>
      <c r="R1018" s="9"/>
    </row>
    <row r="1019" spans="1:18" ht="15" x14ac:dyDescent="0.25">
      <c r="A1019"/>
      <c r="B1019"/>
      <c r="D1019"/>
      <c r="K1019" s="10"/>
      <c r="O1019" s="8"/>
      <c r="R1019" s="9"/>
    </row>
    <row r="1020" spans="1:18" ht="15" x14ac:dyDescent="0.25">
      <c r="A1020"/>
      <c r="B1020"/>
      <c r="D1020"/>
      <c r="O1020" s="8"/>
      <c r="R1020" s="9"/>
    </row>
    <row r="1021" spans="1:18" ht="15" x14ac:dyDescent="0.25">
      <c r="A1021"/>
      <c r="B1021"/>
      <c r="D1021"/>
      <c r="O1021" s="8"/>
      <c r="R1021" s="9"/>
    </row>
    <row r="1022" spans="1:18" ht="15" x14ac:dyDescent="0.25">
      <c r="A1022"/>
      <c r="B1022"/>
      <c r="D1022"/>
      <c r="O1022" s="8"/>
      <c r="R1022" s="9"/>
    </row>
    <row r="1023" spans="1:18" ht="15" x14ac:dyDescent="0.25">
      <c r="A1023"/>
      <c r="B1023"/>
      <c r="D1023"/>
      <c r="O1023" s="8"/>
      <c r="R1023" s="9"/>
    </row>
    <row r="1024" spans="1:18" ht="15" x14ac:dyDescent="0.25">
      <c r="A1024"/>
      <c r="B1024"/>
      <c r="D1024"/>
      <c r="O1024" s="8"/>
      <c r="R1024" s="9"/>
    </row>
    <row r="1025" spans="1:18" ht="15" x14ac:dyDescent="0.25">
      <c r="A1025"/>
      <c r="B1025"/>
      <c r="D1025"/>
      <c r="O1025" s="8"/>
      <c r="R1025" s="9"/>
    </row>
    <row r="1026" spans="1:18" ht="15" x14ac:dyDescent="0.25">
      <c r="A1026"/>
      <c r="B1026"/>
      <c r="D1026"/>
      <c r="O1026" s="8"/>
      <c r="R1026" s="9"/>
    </row>
    <row r="1027" spans="1:18" ht="15" x14ac:dyDescent="0.25">
      <c r="A1027"/>
      <c r="B1027"/>
      <c r="D1027"/>
      <c r="O1027" s="8"/>
      <c r="R1027" s="9"/>
    </row>
    <row r="1028" spans="1:18" ht="15" x14ac:dyDescent="0.25">
      <c r="A1028"/>
      <c r="B1028"/>
      <c r="D1028"/>
      <c r="O1028" s="8"/>
      <c r="R1028" s="9"/>
    </row>
    <row r="1029" spans="1:18" ht="15" x14ac:dyDescent="0.25">
      <c r="A1029"/>
      <c r="B1029"/>
      <c r="D1029"/>
      <c r="O1029" s="8"/>
      <c r="R1029" s="9"/>
    </row>
    <row r="1030" spans="1:18" ht="15" x14ac:dyDescent="0.25">
      <c r="A1030"/>
      <c r="B1030"/>
      <c r="D1030"/>
      <c r="O1030" s="8"/>
      <c r="R1030" s="9"/>
    </row>
    <row r="1031" spans="1:18" ht="15" x14ac:dyDescent="0.25">
      <c r="A1031"/>
      <c r="B1031"/>
      <c r="D1031"/>
      <c r="O1031" s="8"/>
      <c r="R1031" s="9"/>
    </row>
    <row r="1032" spans="1:18" ht="15" x14ac:dyDescent="0.25">
      <c r="A1032"/>
      <c r="B1032"/>
      <c r="D1032"/>
      <c r="O1032" s="8"/>
      <c r="R1032" s="9"/>
    </row>
    <row r="1033" spans="1:18" ht="15" x14ac:dyDescent="0.25">
      <c r="A1033"/>
      <c r="B1033"/>
      <c r="D1033"/>
      <c r="O1033" s="8"/>
      <c r="R1033" s="9"/>
    </row>
    <row r="1034" spans="1:18" ht="15" x14ac:dyDescent="0.25">
      <c r="A1034"/>
      <c r="B1034"/>
      <c r="D1034"/>
      <c r="O1034" s="8"/>
      <c r="R1034" s="9"/>
    </row>
    <row r="1035" spans="1:18" ht="15" x14ac:dyDescent="0.25">
      <c r="A1035"/>
      <c r="B1035"/>
      <c r="D1035"/>
      <c r="O1035" s="8"/>
      <c r="R1035" s="9"/>
    </row>
    <row r="1036" spans="1:18" ht="15" x14ac:dyDescent="0.25">
      <c r="A1036"/>
      <c r="B1036"/>
      <c r="D1036"/>
      <c r="O1036" s="8"/>
      <c r="R1036" s="9"/>
    </row>
    <row r="1037" spans="1:18" ht="15" x14ac:dyDescent="0.25">
      <c r="A1037"/>
      <c r="B1037"/>
      <c r="D1037"/>
      <c r="O1037" s="8"/>
      <c r="R1037" s="9"/>
    </row>
    <row r="1038" spans="1:18" ht="15" x14ac:dyDescent="0.25">
      <c r="A1038"/>
      <c r="B1038"/>
      <c r="D1038"/>
      <c r="O1038" s="8"/>
      <c r="R1038" s="9"/>
    </row>
    <row r="1039" spans="1:18" ht="15" x14ac:dyDescent="0.25">
      <c r="A1039"/>
      <c r="B1039"/>
      <c r="D1039"/>
      <c r="O1039" s="8"/>
      <c r="R1039" s="9"/>
    </row>
    <row r="1040" spans="1:18" ht="15" x14ac:dyDescent="0.25">
      <c r="A1040"/>
      <c r="B1040"/>
      <c r="D1040"/>
      <c r="O1040" s="8"/>
      <c r="R1040" s="9"/>
    </row>
    <row r="1041" spans="1:18" ht="15" x14ac:dyDescent="0.25">
      <c r="A1041"/>
      <c r="B1041"/>
      <c r="D1041"/>
      <c r="K1041" s="10"/>
      <c r="O1041" s="8"/>
      <c r="R1041" s="9"/>
    </row>
    <row r="1042" spans="1:18" ht="15" x14ac:dyDescent="0.25">
      <c r="A1042"/>
      <c r="B1042"/>
      <c r="D1042"/>
      <c r="K1042" s="10"/>
      <c r="O1042" s="8"/>
      <c r="R1042" s="9"/>
    </row>
    <row r="1043" spans="1:18" ht="15" x14ac:dyDescent="0.25">
      <c r="A1043"/>
      <c r="B1043"/>
      <c r="D1043"/>
      <c r="O1043" s="8"/>
      <c r="R1043" s="9"/>
    </row>
    <row r="1044" spans="1:18" ht="15" x14ac:dyDescent="0.25">
      <c r="A1044"/>
      <c r="B1044"/>
      <c r="D1044"/>
      <c r="O1044" s="8"/>
      <c r="R1044" s="9"/>
    </row>
    <row r="1045" spans="1:18" ht="15" x14ac:dyDescent="0.25">
      <c r="A1045"/>
      <c r="B1045"/>
      <c r="D1045"/>
      <c r="O1045" s="8"/>
      <c r="R1045" s="9"/>
    </row>
    <row r="1046" spans="1:18" ht="15" x14ac:dyDescent="0.25">
      <c r="A1046"/>
      <c r="B1046"/>
      <c r="D1046"/>
      <c r="O1046" s="8"/>
      <c r="R1046" s="9"/>
    </row>
    <row r="1047" spans="1:18" ht="15" x14ac:dyDescent="0.25">
      <c r="A1047"/>
      <c r="B1047"/>
      <c r="D1047"/>
      <c r="O1047" s="8"/>
      <c r="R1047" s="9"/>
    </row>
    <row r="1048" spans="1:18" ht="15" x14ac:dyDescent="0.25">
      <c r="A1048"/>
      <c r="B1048"/>
      <c r="D1048"/>
      <c r="O1048" s="8"/>
      <c r="R1048" s="9"/>
    </row>
    <row r="1049" spans="1:18" ht="15" x14ac:dyDescent="0.25">
      <c r="A1049"/>
      <c r="B1049"/>
      <c r="D1049"/>
      <c r="O1049" s="8"/>
      <c r="R1049" s="9"/>
    </row>
    <row r="1050" spans="1:18" ht="15" x14ac:dyDescent="0.25">
      <c r="A1050"/>
      <c r="B1050"/>
      <c r="D1050"/>
      <c r="O1050" s="8"/>
      <c r="R1050" s="9"/>
    </row>
    <row r="1051" spans="1:18" ht="15" x14ac:dyDescent="0.25">
      <c r="A1051"/>
      <c r="B1051"/>
      <c r="D1051"/>
      <c r="O1051" s="8"/>
      <c r="R1051" s="9"/>
    </row>
    <row r="1052" spans="1:18" ht="15" x14ac:dyDescent="0.25">
      <c r="A1052"/>
      <c r="B1052"/>
      <c r="D1052"/>
      <c r="O1052" s="8"/>
      <c r="R1052" s="9"/>
    </row>
    <row r="1053" spans="1:18" ht="15" x14ac:dyDescent="0.25">
      <c r="A1053"/>
      <c r="B1053"/>
      <c r="D1053"/>
      <c r="O1053" s="8"/>
      <c r="R1053" s="9"/>
    </row>
    <row r="1054" spans="1:18" ht="15" x14ac:dyDescent="0.25">
      <c r="A1054"/>
      <c r="B1054"/>
      <c r="D1054"/>
      <c r="O1054" s="8"/>
      <c r="R1054" s="9"/>
    </row>
    <row r="1055" spans="1:18" ht="15" x14ac:dyDescent="0.25">
      <c r="A1055"/>
      <c r="B1055"/>
      <c r="D1055"/>
      <c r="O1055" s="8"/>
      <c r="R1055" s="9"/>
    </row>
    <row r="1056" spans="1:18" ht="15" x14ac:dyDescent="0.25">
      <c r="A1056"/>
      <c r="B1056"/>
      <c r="D1056"/>
      <c r="O1056" s="8"/>
      <c r="R1056" s="9"/>
    </row>
    <row r="1057" spans="1:18" ht="15" x14ac:dyDescent="0.25">
      <c r="A1057"/>
      <c r="B1057"/>
      <c r="D1057"/>
      <c r="O1057" s="8"/>
      <c r="R1057" s="9"/>
    </row>
    <row r="1058" spans="1:18" ht="15" x14ac:dyDescent="0.25">
      <c r="A1058"/>
      <c r="B1058"/>
      <c r="D1058"/>
      <c r="O1058" s="8"/>
      <c r="R1058" s="9"/>
    </row>
    <row r="1059" spans="1:18" ht="15" x14ac:dyDescent="0.25">
      <c r="A1059"/>
      <c r="B1059"/>
      <c r="D1059"/>
      <c r="O1059" s="8"/>
      <c r="R1059" s="9"/>
    </row>
    <row r="1060" spans="1:18" ht="15" x14ac:dyDescent="0.25">
      <c r="A1060"/>
      <c r="B1060"/>
      <c r="D1060"/>
      <c r="O1060" s="8"/>
      <c r="R1060" s="9"/>
    </row>
    <row r="1061" spans="1:18" ht="15" x14ac:dyDescent="0.25">
      <c r="A1061"/>
      <c r="B1061"/>
      <c r="D1061"/>
      <c r="O1061" s="8"/>
      <c r="R1061" s="9"/>
    </row>
    <row r="1062" spans="1:18" ht="15" x14ac:dyDescent="0.25">
      <c r="A1062"/>
      <c r="B1062"/>
      <c r="D1062"/>
      <c r="O1062" s="8"/>
      <c r="R1062" s="9"/>
    </row>
    <row r="1063" spans="1:18" ht="15" x14ac:dyDescent="0.25">
      <c r="A1063"/>
      <c r="B1063"/>
      <c r="D1063"/>
      <c r="K1063" s="10"/>
      <c r="O1063" s="8"/>
      <c r="R1063" s="9"/>
    </row>
    <row r="1064" spans="1:18" ht="15" x14ac:dyDescent="0.25">
      <c r="A1064"/>
      <c r="B1064"/>
      <c r="D1064"/>
      <c r="K1064" s="10"/>
      <c r="O1064" s="8"/>
      <c r="R1064" s="9"/>
    </row>
    <row r="1065" spans="1:18" ht="15" x14ac:dyDescent="0.25">
      <c r="A1065"/>
      <c r="B1065"/>
      <c r="D1065"/>
      <c r="O1065" s="8"/>
      <c r="R1065" s="9"/>
    </row>
    <row r="1066" spans="1:18" ht="15" x14ac:dyDescent="0.25">
      <c r="A1066"/>
      <c r="B1066"/>
      <c r="D1066"/>
      <c r="O1066" s="8"/>
      <c r="R1066" s="9"/>
    </row>
    <row r="1067" spans="1:18" ht="15" x14ac:dyDescent="0.25">
      <c r="A1067"/>
      <c r="B1067"/>
      <c r="D1067"/>
      <c r="O1067" s="8"/>
      <c r="R1067" s="9"/>
    </row>
    <row r="1068" spans="1:18" ht="15" x14ac:dyDescent="0.25">
      <c r="A1068"/>
      <c r="B1068"/>
      <c r="D1068"/>
      <c r="O1068" s="8"/>
      <c r="R1068" s="9"/>
    </row>
    <row r="1069" spans="1:18" ht="15" x14ac:dyDescent="0.25">
      <c r="A1069"/>
      <c r="B1069"/>
      <c r="D1069"/>
      <c r="O1069" s="8"/>
      <c r="R1069" s="9"/>
    </row>
    <row r="1070" spans="1:18" ht="15" x14ac:dyDescent="0.25">
      <c r="A1070"/>
      <c r="B1070"/>
      <c r="D1070"/>
      <c r="O1070" s="8"/>
      <c r="R1070" s="9"/>
    </row>
    <row r="1071" spans="1:18" ht="15" x14ac:dyDescent="0.25">
      <c r="A1071"/>
      <c r="B1071"/>
      <c r="D1071"/>
      <c r="O1071" s="8"/>
      <c r="R1071" s="9"/>
    </row>
    <row r="1072" spans="1:18" ht="15" x14ac:dyDescent="0.25">
      <c r="A1072"/>
      <c r="B1072"/>
      <c r="D1072"/>
      <c r="O1072" s="8"/>
      <c r="R1072" s="9"/>
    </row>
    <row r="1073" spans="1:18" ht="15" x14ac:dyDescent="0.25">
      <c r="A1073"/>
      <c r="B1073"/>
      <c r="D1073"/>
      <c r="O1073" s="8"/>
      <c r="R1073" s="9"/>
    </row>
    <row r="1074" spans="1:18" ht="15" x14ac:dyDescent="0.25">
      <c r="A1074"/>
      <c r="B1074"/>
      <c r="D1074"/>
      <c r="O1074" s="8"/>
      <c r="R1074" s="9"/>
    </row>
    <row r="1075" spans="1:18" ht="15" x14ac:dyDescent="0.25">
      <c r="A1075"/>
      <c r="B1075"/>
      <c r="D1075"/>
      <c r="O1075" s="8"/>
      <c r="R1075" s="9"/>
    </row>
    <row r="1076" spans="1:18" ht="15" x14ac:dyDescent="0.25">
      <c r="A1076"/>
      <c r="B1076"/>
      <c r="D1076"/>
      <c r="O1076" s="8"/>
      <c r="R1076" s="9"/>
    </row>
    <row r="1077" spans="1:18" ht="15" x14ac:dyDescent="0.25">
      <c r="A1077"/>
      <c r="B1077"/>
      <c r="D1077"/>
      <c r="O1077" s="8"/>
      <c r="R1077" s="9"/>
    </row>
    <row r="1078" spans="1:18" ht="15" x14ac:dyDescent="0.25">
      <c r="A1078"/>
      <c r="B1078"/>
      <c r="D1078"/>
      <c r="O1078" s="8"/>
      <c r="R1078" s="9"/>
    </row>
    <row r="1079" spans="1:18" ht="15" x14ac:dyDescent="0.25">
      <c r="A1079"/>
      <c r="B1079"/>
      <c r="D1079"/>
      <c r="O1079" s="8"/>
      <c r="R1079" s="9"/>
    </row>
    <row r="1080" spans="1:18" ht="15" x14ac:dyDescent="0.25">
      <c r="A1080"/>
      <c r="B1080"/>
      <c r="D1080"/>
      <c r="O1080" s="8"/>
      <c r="R1080" s="9"/>
    </row>
    <row r="1081" spans="1:18" ht="15" x14ac:dyDescent="0.25">
      <c r="A1081"/>
      <c r="B1081"/>
      <c r="D1081"/>
      <c r="O1081" s="8"/>
      <c r="R1081" s="9"/>
    </row>
    <row r="1082" spans="1:18" ht="15" x14ac:dyDescent="0.25">
      <c r="A1082"/>
      <c r="B1082"/>
      <c r="D1082"/>
      <c r="O1082" s="8"/>
      <c r="R1082" s="9"/>
    </row>
    <row r="1083" spans="1:18" ht="15" x14ac:dyDescent="0.25">
      <c r="A1083"/>
      <c r="B1083"/>
      <c r="D1083"/>
      <c r="O1083" s="8"/>
      <c r="R1083" s="9"/>
    </row>
    <row r="1084" spans="1:18" ht="15" x14ac:dyDescent="0.25">
      <c r="A1084"/>
      <c r="B1084"/>
      <c r="D1084"/>
      <c r="O1084" s="8"/>
      <c r="R1084" s="9"/>
    </row>
    <row r="1085" spans="1:18" ht="15" x14ac:dyDescent="0.25">
      <c r="A1085"/>
      <c r="B1085"/>
      <c r="D1085"/>
      <c r="O1085" s="8"/>
      <c r="R1085" s="9"/>
    </row>
    <row r="1086" spans="1:18" ht="15" x14ac:dyDescent="0.25">
      <c r="A1086"/>
      <c r="B1086"/>
      <c r="D1086"/>
      <c r="K1086" s="10"/>
      <c r="O1086" s="8"/>
      <c r="R1086" s="9"/>
    </row>
    <row r="1087" spans="1:18" ht="15" x14ac:dyDescent="0.25">
      <c r="A1087"/>
      <c r="B1087"/>
      <c r="D1087"/>
      <c r="K1087" s="10"/>
      <c r="O1087" s="8"/>
      <c r="R1087" s="9"/>
    </row>
    <row r="1088" spans="1:18" ht="15" x14ac:dyDescent="0.25">
      <c r="A1088"/>
      <c r="B1088"/>
      <c r="D1088"/>
      <c r="O1088" s="8"/>
      <c r="R1088" s="9"/>
    </row>
    <row r="1089" spans="1:18" ht="15" x14ac:dyDescent="0.25">
      <c r="A1089"/>
      <c r="B1089"/>
      <c r="D1089"/>
      <c r="O1089" s="8"/>
      <c r="R1089" s="9"/>
    </row>
    <row r="1090" spans="1:18" ht="15" x14ac:dyDescent="0.25">
      <c r="A1090"/>
      <c r="B1090"/>
      <c r="D1090"/>
      <c r="O1090" s="8"/>
      <c r="R1090" s="9"/>
    </row>
    <row r="1091" spans="1:18" ht="15" x14ac:dyDescent="0.25">
      <c r="A1091"/>
      <c r="B1091"/>
      <c r="D1091"/>
      <c r="O1091" s="8"/>
      <c r="R1091" s="9"/>
    </row>
    <row r="1092" spans="1:18" ht="15" x14ac:dyDescent="0.25">
      <c r="A1092"/>
      <c r="B1092"/>
      <c r="D1092"/>
      <c r="O1092" s="8"/>
      <c r="R1092" s="9"/>
    </row>
    <row r="1093" spans="1:18" ht="15" x14ac:dyDescent="0.25">
      <c r="A1093"/>
      <c r="B1093"/>
      <c r="D1093"/>
      <c r="O1093" s="8"/>
      <c r="R1093" s="9"/>
    </row>
    <row r="1094" spans="1:18" ht="15" x14ac:dyDescent="0.25">
      <c r="A1094"/>
      <c r="B1094"/>
      <c r="D1094"/>
      <c r="O1094" s="8"/>
      <c r="R1094" s="9"/>
    </row>
    <row r="1095" spans="1:18" ht="15" x14ac:dyDescent="0.25">
      <c r="A1095"/>
      <c r="B1095"/>
      <c r="D1095"/>
      <c r="O1095" s="8"/>
      <c r="R1095" s="9"/>
    </row>
    <row r="1096" spans="1:18" ht="15" x14ac:dyDescent="0.25">
      <c r="A1096"/>
      <c r="B1096"/>
      <c r="D1096"/>
      <c r="O1096" s="8"/>
      <c r="R1096" s="9"/>
    </row>
    <row r="1097" spans="1:18" ht="15" x14ac:dyDescent="0.25">
      <c r="A1097"/>
      <c r="B1097"/>
      <c r="D1097"/>
      <c r="O1097" s="8"/>
      <c r="R1097" s="9"/>
    </row>
    <row r="1098" spans="1:18" ht="15" x14ac:dyDescent="0.25">
      <c r="A1098"/>
      <c r="B1098"/>
      <c r="D1098"/>
      <c r="O1098" s="8"/>
      <c r="R1098" s="9"/>
    </row>
    <row r="1099" spans="1:18" ht="15" x14ac:dyDescent="0.25">
      <c r="A1099"/>
      <c r="B1099"/>
      <c r="D1099"/>
      <c r="O1099" s="8"/>
      <c r="R1099" s="9"/>
    </row>
    <row r="1100" spans="1:18" ht="15" x14ac:dyDescent="0.25">
      <c r="A1100"/>
      <c r="B1100"/>
      <c r="D1100"/>
      <c r="O1100" s="8"/>
      <c r="R1100" s="9"/>
    </row>
    <row r="1101" spans="1:18" ht="15" x14ac:dyDescent="0.25">
      <c r="A1101"/>
      <c r="B1101"/>
      <c r="D1101"/>
      <c r="O1101" s="8"/>
      <c r="R1101" s="9"/>
    </row>
    <row r="1102" spans="1:18" ht="15" x14ac:dyDescent="0.25">
      <c r="A1102"/>
      <c r="B1102"/>
      <c r="D1102"/>
      <c r="O1102" s="8"/>
      <c r="R1102" s="9"/>
    </row>
    <row r="1103" spans="1:18" ht="15" x14ac:dyDescent="0.25">
      <c r="A1103"/>
      <c r="B1103"/>
      <c r="D1103"/>
      <c r="O1103" s="8"/>
      <c r="R1103" s="9"/>
    </row>
    <row r="1104" spans="1:18" ht="15" x14ac:dyDescent="0.25">
      <c r="A1104"/>
      <c r="B1104"/>
      <c r="D1104"/>
      <c r="O1104" s="8"/>
      <c r="R1104" s="9"/>
    </row>
    <row r="1105" spans="1:18" ht="15" x14ac:dyDescent="0.25">
      <c r="A1105"/>
      <c r="B1105"/>
      <c r="D1105"/>
      <c r="O1105" s="8"/>
      <c r="R1105" s="9"/>
    </row>
    <row r="1106" spans="1:18" ht="15" x14ac:dyDescent="0.25">
      <c r="A1106"/>
      <c r="B1106"/>
      <c r="D1106"/>
      <c r="O1106" s="8"/>
      <c r="R1106" s="9"/>
    </row>
    <row r="1107" spans="1:18" ht="15" x14ac:dyDescent="0.25">
      <c r="A1107"/>
      <c r="B1107"/>
      <c r="D1107"/>
      <c r="O1107" s="8"/>
      <c r="R1107" s="9"/>
    </row>
    <row r="1108" spans="1:18" ht="15" x14ac:dyDescent="0.25">
      <c r="A1108"/>
      <c r="B1108"/>
      <c r="D1108"/>
      <c r="K1108" s="10"/>
      <c r="O1108" s="8"/>
      <c r="R1108" s="9"/>
    </row>
    <row r="1109" spans="1:18" ht="15" x14ac:dyDescent="0.25">
      <c r="A1109"/>
      <c r="B1109"/>
      <c r="D1109"/>
      <c r="K1109" s="10"/>
      <c r="O1109" s="8"/>
      <c r="R1109" s="9"/>
    </row>
    <row r="1110" spans="1:18" ht="15" x14ac:dyDescent="0.25">
      <c r="A1110"/>
      <c r="B1110"/>
      <c r="D1110"/>
      <c r="O1110" s="8"/>
      <c r="R1110" s="9"/>
    </row>
    <row r="1111" spans="1:18" ht="15" x14ac:dyDescent="0.25">
      <c r="A1111"/>
      <c r="B1111"/>
      <c r="D1111"/>
      <c r="O1111" s="8"/>
      <c r="R1111" s="9"/>
    </row>
    <row r="1112" spans="1:18" ht="15" x14ac:dyDescent="0.25">
      <c r="A1112"/>
      <c r="B1112"/>
      <c r="D1112"/>
      <c r="O1112" s="8"/>
      <c r="R1112" s="9"/>
    </row>
    <row r="1113" spans="1:18" ht="15" x14ac:dyDescent="0.25">
      <c r="A1113"/>
      <c r="B1113"/>
      <c r="D1113"/>
      <c r="O1113" s="8"/>
      <c r="R1113" s="9"/>
    </row>
    <row r="1114" spans="1:18" ht="15" x14ac:dyDescent="0.25">
      <c r="A1114"/>
      <c r="B1114"/>
      <c r="D1114"/>
      <c r="O1114" s="8"/>
      <c r="R1114" s="9"/>
    </row>
    <row r="1115" spans="1:18" ht="15" x14ac:dyDescent="0.25">
      <c r="A1115"/>
      <c r="B1115"/>
      <c r="D1115"/>
      <c r="O1115" s="8"/>
      <c r="R1115" s="9"/>
    </row>
    <row r="1116" spans="1:18" ht="15" x14ac:dyDescent="0.25">
      <c r="A1116"/>
      <c r="B1116"/>
      <c r="D1116"/>
      <c r="O1116" s="8"/>
      <c r="R1116" s="9"/>
    </row>
    <row r="1117" spans="1:18" ht="15" x14ac:dyDescent="0.25">
      <c r="A1117"/>
      <c r="B1117"/>
      <c r="D1117"/>
      <c r="O1117" s="8"/>
      <c r="R1117" s="9"/>
    </row>
    <row r="1118" spans="1:18" ht="15" x14ac:dyDescent="0.25">
      <c r="A1118"/>
      <c r="B1118"/>
      <c r="D1118"/>
      <c r="O1118" s="8"/>
      <c r="R1118" s="9"/>
    </row>
    <row r="1119" spans="1:18" ht="15" x14ac:dyDescent="0.25">
      <c r="A1119"/>
      <c r="B1119"/>
      <c r="D1119"/>
      <c r="O1119" s="8"/>
      <c r="R1119" s="9"/>
    </row>
    <row r="1120" spans="1:18" ht="15" x14ac:dyDescent="0.25">
      <c r="A1120"/>
      <c r="B1120"/>
      <c r="D1120"/>
      <c r="O1120" s="8"/>
      <c r="R1120" s="9"/>
    </row>
    <row r="1121" spans="1:18" ht="15" x14ac:dyDescent="0.25">
      <c r="A1121"/>
      <c r="B1121"/>
      <c r="D1121"/>
      <c r="O1121" s="8"/>
      <c r="R1121" s="9"/>
    </row>
    <row r="1122" spans="1:18" ht="15" x14ac:dyDescent="0.25">
      <c r="A1122"/>
      <c r="B1122"/>
      <c r="D1122"/>
      <c r="O1122" s="8"/>
      <c r="R1122" s="9"/>
    </row>
    <row r="1123" spans="1:18" ht="15" x14ac:dyDescent="0.25">
      <c r="A1123"/>
      <c r="B1123"/>
      <c r="D1123"/>
      <c r="O1123" s="8"/>
      <c r="R1123" s="9"/>
    </row>
    <row r="1124" spans="1:18" ht="15" x14ac:dyDescent="0.25">
      <c r="A1124"/>
      <c r="B1124"/>
      <c r="D1124"/>
      <c r="O1124" s="8"/>
      <c r="R1124" s="9"/>
    </row>
    <row r="1125" spans="1:18" ht="15" x14ac:dyDescent="0.25">
      <c r="A1125"/>
      <c r="B1125"/>
      <c r="D1125"/>
      <c r="O1125" s="8"/>
      <c r="R1125" s="9"/>
    </row>
    <row r="1126" spans="1:18" ht="15" x14ac:dyDescent="0.25">
      <c r="A1126"/>
      <c r="B1126"/>
      <c r="D1126"/>
      <c r="O1126" s="8"/>
      <c r="R1126" s="9"/>
    </row>
    <row r="1127" spans="1:18" ht="15" x14ac:dyDescent="0.25">
      <c r="A1127"/>
      <c r="B1127"/>
      <c r="D1127"/>
      <c r="O1127" s="8"/>
      <c r="R1127" s="9"/>
    </row>
    <row r="1128" spans="1:18" ht="15" x14ac:dyDescent="0.25">
      <c r="A1128"/>
      <c r="B1128"/>
      <c r="D1128"/>
      <c r="O1128" s="8"/>
      <c r="R1128" s="9"/>
    </row>
    <row r="1129" spans="1:18" ht="15" x14ac:dyDescent="0.25">
      <c r="A1129"/>
      <c r="B1129"/>
      <c r="D1129"/>
      <c r="O1129" s="8"/>
      <c r="R1129" s="9"/>
    </row>
    <row r="1130" spans="1:18" ht="15" x14ac:dyDescent="0.25">
      <c r="A1130"/>
      <c r="B1130"/>
      <c r="D1130"/>
      <c r="O1130" s="8"/>
      <c r="R1130" s="9"/>
    </row>
    <row r="1131" spans="1:18" ht="15" x14ac:dyDescent="0.25">
      <c r="A1131"/>
      <c r="B1131"/>
      <c r="D1131"/>
      <c r="K1131" s="10"/>
      <c r="O1131" s="8"/>
      <c r="R1131" s="9"/>
    </row>
    <row r="1132" spans="1:18" ht="15" x14ac:dyDescent="0.25">
      <c r="A1132"/>
      <c r="B1132"/>
      <c r="D1132"/>
      <c r="K1132" s="10"/>
      <c r="O1132" s="8"/>
      <c r="R1132" s="9"/>
    </row>
    <row r="1133" spans="1:18" ht="15" x14ac:dyDescent="0.25">
      <c r="A1133"/>
      <c r="B1133"/>
      <c r="D1133"/>
      <c r="O1133" s="8"/>
      <c r="R1133" s="9"/>
    </row>
    <row r="1134" spans="1:18" ht="15" x14ac:dyDescent="0.25">
      <c r="A1134"/>
      <c r="B1134"/>
      <c r="D1134"/>
      <c r="O1134" s="8"/>
      <c r="R1134" s="9"/>
    </row>
    <row r="1135" spans="1:18" ht="15" x14ac:dyDescent="0.25">
      <c r="A1135"/>
      <c r="B1135"/>
      <c r="D1135"/>
      <c r="O1135" s="8"/>
      <c r="R1135" s="9"/>
    </row>
    <row r="1136" spans="1:18" ht="15" x14ac:dyDescent="0.25">
      <c r="A1136"/>
      <c r="B1136"/>
      <c r="D1136"/>
      <c r="O1136" s="8"/>
      <c r="R1136" s="9"/>
    </row>
    <row r="1137" spans="1:18" ht="15" x14ac:dyDescent="0.25">
      <c r="A1137"/>
      <c r="B1137"/>
      <c r="D1137"/>
      <c r="O1137" s="8"/>
      <c r="R1137" s="9"/>
    </row>
    <row r="1138" spans="1:18" ht="15" x14ac:dyDescent="0.25">
      <c r="A1138"/>
      <c r="B1138"/>
      <c r="D1138"/>
      <c r="O1138" s="8"/>
      <c r="R1138" s="9"/>
    </row>
    <row r="1139" spans="1:18" ht="15" x14ac:dyDescent="0.25">
      <c r="A1139"/>
      <c r="B1139"/>
      <c r="D1139"/>
      <c r="O1139" s="8"/>
      <c r="R1139" s="9"/>
    </row>
    <row r="1140" spans="1:18" ht="15" x14ac:dyDescent="0.25">
      <c r="A1140"/>
      <c r="B1140"/>
      <c r="D1140"/>
      <c r="O1140" s="8"/>
      <c r="R1140" s="9"/>
    </row>
    <row r="1141" spans="1:18" ht="15" x14ac:dyDescent="0.25">
      <c r="A1141"/>
      <c r="B1141"/>
      <c r="D1141"/>
      <c r="O1141" s="8"/>
      <c r="R1141" s="9"/>
    </row>
    <row r="1142" spans="1:18" ht="15" x14ac:dyDescent="0.25">
      <c r="A1142"/>
      <c r="B1142"/>
      <c r="D1142"/>
      <c r="O1142" s="8"/>
      <c r="R1142" s="9"/>
    </row>
    <row r="1143" spans="1:18" ht="15" x14ac:dyDescent="0.25">
      <c r="A1143"/>
      <c r="B1143"/>
      <c r="D1143"/>
      <c r="O1143" s="8"/>
      <c r="R1143" s="9"/>
    </row>
    <row r="1144" spans="1:18" ht="15" x14ac:dyDescent="0.25">
      <c r="A1144"/>
      <c r="B1144"/>
      <c r="D1144"/>
      <c r="O1144" s="8"/>
      <c r="R1144" s="9"/>
    </row>
    <row r="1145" spans="1:18" ht="15" x14ac:dyDescent="0.25">
      <c r="A1145"/>
      <c r="B1145"/>
      <c r="D1145"/>
      <c r="O1145" s="8"/>
      <c r="R1145" s="9"/>
    </row>
    <row r="1146" spans="1:18" ht="15" x14ac:dyDescent="0.25">
      <c r="A1146"/>
      <c r="B1146"/>
      <c r="D1146"/>
      <c r="O1146" s="8"/>
      <c r="R1146" s="9"/>
    </row>
    <row r="1147" spans="1:18" ht="15" x14ac:dyDescent="0.25">
      <c r="A1147"/>
      <c r="B1147"/>
      <c r="D1147"/>
      <c r="O1147" s="8"/>
      <c r="R1147" s="9"/>
    </row>
    <row r="1148" spans="1:18" ht="15" x14ac:dyDescent="0.25">
      <c r="A1148"/>
      <c r="B1148"/>
      <c r="D1148"/>
      <c r="O1148" s="8"/>
      <c r="R1148" s="9"/>
    </row>
    <row r="1149" spans="1:18" ht="15" x14ac:dyDescent="0.25">
      <c r="A1149"/>
      <c r="B1149"/>
      <c r="D1149"/>
      <c r="O1149" s="8"/>
      <c r="R1149" s="9"/>
    </row>
    <row r="1150" spans="1:18" ht="15" x14ac:dyDescent="0.25">
      <c r="A1150"/>
      <c r="B1150"/>
      <c r="D1150"/>
      <c r="O1150" s="8"/>
      <c r="R1150" s="9"/>
    </row>
    <row r="1151" spans="1:18" ht="15" x14ac:dyDescent="0.25">
      <c r="A1151"/>
      <c r="B1151"/>
      <c r="D1151"/>
      <c r="O1151" s="8"/>
      <c r="R1151" s="9"/>
    </row>
    <row r="1152" spans="1:18" ht="15" x14ac:dyDescent="0.25">
      <c r="A1152"/>
      <c r="B1152"/>
      <c r="D1152"/>
      <c r="O1152" s="8"/>
      <c r="R1152" s="9"/>
    </row>
    <row r="1153" spans="1:18" ht="15" x14ac:dyDescent="0.25">
      <c r="A1153"/>
      <c r="B1153"/>
      <c r="D1153"/>
      <c r="O1153" s="8"/>
      <c r="R1153" s="9"/>
    </row>
    <row r="1154" spans="1:18" ht="15" x14ac:dyDescent="0.25">
      <c r="A1154"/>
      <c r="B1154"/>
      <c r="D1154"/>
      <c r="K1154" s="10"/>
      <c r="O1154" s="8"/>
      <c r="R1154" s="9"/>
    </row>
    <row r="1155" spans="1:18" ht="15" x14ac:dyDescent="0.25">
      <c r="A1155"/>
      <c r="B1155"/>
      <c r="D1155"/>
      <c r="K1155" s="10"/>
      <c r="O1155" s="8"/>
      <c r="R1155" s="9"/>
    </row>
    <row r="1156" spans="1:18" ht="15" x14ac:dyDescent="0.25">
      <c r="A1156"/>
      <c r="B1156"/>
      <c r="D1156"/>
      <c r="O1156" s="8"/>
      <c r="R1156" s="9"/>
    </row>
    <row r="1157" spans="1:18" ht="15" x14ac:dyDescent="0.25">
      <c r="A1157"/>
      <c r="B1157"/>
      <c r="D1157"/>
      <c r="O1157" s="8"/>
      <c r="R1157" s="9"/>
    </row>
    <row r="1158" spans="1:18" ht="15" x14ac:dyDescent="0.25">
      <c r="A1158"/>
      <c r="B1158"/>
      <c r="D1158"/>
      <c r="O1158" s="8"/>
      <c r="R1158" s="9"/>
    </row>
    <row r="1159" spans="1:18" ht="15" x14ac:dyDescent="0.25">
      <c r="A1159"/>
      <c r="B1159"/>
      <c r="D1159"/>
      <c r="O1159" s="8"/>
      <c r="R1159" s="9"/>
    </row>
    <row r="1160" spans="1:18" ht="15" x14ac:dyDescent="0.25">
      <c r="A1160"/>
      <c r="B1160"/>
      <c r="D1160"/>
      <c r="O1160" s="8"/>
      <c r="R1160" s="9"/>
    </row>
    <row r="1161" spans="1:18" ht="15" x14ac:dyDescent="0.25">
      <c r="A1161"/>
      <c r="B1161"/>
      <c r="D1161"/>
      <c r="K1161" s="10"/>
      <c r="O1161" s="8"/>
      <c r="R1161" s="9"/>
    </row>
    <row r="1162" spans="1:18" ht="15" x14ac:dyDescent="0.25">
      <c r="A1162"/>
      <c r="B1162"/>
      <c r="D1162"/>
      <c r="K1162" s="10"/>
      <c r="O1162" s="8"/>
      <c r="R1162" s="9"/>
    </row>
    <row r="1163" spans="1:18" ht="15" x14ac:dyDescent="0.25">
      <c r="A1163"/>
      <c r="B1163"/>
      <c r="D1163"/>
      <c r="O1163" s="8"/>
      <c r="R1163" s="9"/>
    </row>
    <row r="1164" spans="1:18" ht="15" x14ac:dyDescent="0.25">
      <c r="A1164"/>
      <c r="B1164"/>
      <c r="D1164"/>
      <c r="O1164" s="8"/>
      <c r="R1164" s="9"/>
    </row>
    <row r="1165" spans="1:18" ht="15" x14ac:dyDescent="0.25">
      <c r="A1165"/>
      <c r="B1165"/>
      <c r="D1165"/>
      <c r="O1165" s="8"/>
      <c r="R1165" s="9"/>
    </row>
    <row r="1166" spans="1:18" ht="15" x14ac:dyDescent="0.25">
      <c r="A1166"/>
      <c r="B1166"/>
      <c r="D1166"/>
      <c r="O1166" s="8"/>
      <c r="R1166" s="9"/>
    </row>
    <row r="1167" spans="1:18" ht="15" x14ac:dyDescent="0.25">
      <c r="A1167"/>
      <c r="B1167"/>
      <c r="D1167"/>
      <c r="O1167" s="8"/>
      <c r="R1167" s="9"/>
    </row>
    <row r="1168" spans="1:18" ht="15" x14ac:dyDescent="0.25">
      <c r="A1168"/>
      <c r="B1168"/>
      <c r="D1168"/>
      <c r="O1168" s="8"/>
      <c r="R1168" s="9"/>
    </row>
    <row r="1169" spans="1:18" ht="15" x14ac:dyDescent="0.25">
      <c r="A1169"/>
      <c r="B1169"/>
      <c r="D1169"/>
      <c r="O1169" s="8"/>
      <c r="R1169" s="9"/>
    </row>
    <row r="1170" spans="1:18" ht="15" x14ac:dyDescent="0.25">
      <c r="A1170"/>
      <c r="B1170"/>
      <c r="D1170"/>
      <c r="O1170" s="8"/>
      <c r="R1170" s="9"/>
    </row>
    <row r="1171" spans="1:18" ht="15" x14ac:dyDescent="0.25">
      <c r="A1171"/>
      <c r="B1171"/>
      <c r="D1171"/>
      <c r="O1171" s="8"/>
      <c r="R1171" s="9"/>
    </row>
    <row r="1172" spans="1:18" ht="15" x14ac:dyDescent="0.25">
      <c r="A1172"/>
      <c r="B1172"/>
      <c r="D1172"/>
      <c r="O1172" s="8"/>
      <c r="R1172" s="9"/>
    </row>
    <row r="1173" spans="1:18" ht="15" x14ac:dyDescent="0.25">
      <c r="A1173"/>
      <c r="B1173"/>
      <c r="D1173"/>
      <c r="O1173" s="8"/>
      <c r="R1173" s="9"/>
    </row>
    <row r="1174" spans="1:18" ht="15" x14ac:dyDescent="0.25">
      <c r="A1174"/>
      <c r="B1174"/>
      <c r="D1174"/>
      <c r="O1174" s="8"/>
      <c r="R1174" s="9"/>
    </row>
    <row r="1175" spans="1:18" ht="15" x14ac:dyDescent="0.25">
      <c r="A1175"/>
      <c r="B1175"/>
      <c r="D1175"/>
      <c r="O1175" s="8"/>
      <c r="R1175" s="9"/>
    </row>
    <row r="1176" spans="1:18" ht="15" x14ac:dyDescent="0.25">
      <c r="A1176"/>
      <c r="B1176"/>
      <c r="D1176"/>
      <c r="O1176" s="8"/>
      <c r="R1176" s="9"/>
    </row>
    <row r="1177" spans="1:18" ht="15" x14ac:dyDescent="0.25">
      <c r="A1177"/>
      <c r="B1177"/>
      <c r="D1177"/>
      <c r="O1177" s="8"/>
      <c r="R1177" s="9"/>
    </row>
    <row r="1178" spans="1:18" ht="15" x14ac:dyDescent="0.25">
      <c r="A1178"/>
      <c r="B1178"/>
      <c r="D1178"/>
      <c r="K1178" s="10"/>
      <c r="O1178" s="8"/>
      <c r="R1178" s="9"/>
    </row>
    <row r="1179" spans="1:18" ht="15" x14ac:dyDescent="0.25">
      <c r="A1179"/>
      <c r="B1179"/>
      <c r="D1179"/>
      <c r="K1179" s="10"/>
      <c r="O1179" s="8"/>
      <c r="R1179" s="9"/>
    </row>
    <row r="1180" spans="1:18" ht="15" x14ac:dyDescent="0.25">
      <c r="A1180"/>
      <c r="B1180"/>
      <c r="D1180"/>
      <c r="O1180" s="8"/>
      <c r="R1180" s="9"/>
    </row>
    <row r="1181" spans="1:18" ht="15" x14ac:dyDescent="0.25">
      <c r="A1181"/>
      <c r="B1181"/>
      <c r="D1181"/>
      <c r="O1181" s="8"/>
      <c r="R1181" s="9"/>
    </row>
    <row r="1182" spans="1:18" ht="15" x14ac:dyDescent="0.25">
      <c r="A1182"/>
      <c r="B1182"/>
      <c r="D1182"/>
      <c r="O1182" s="8"/>
      <c r="R1182" s="9"/>
    </row>
    <row r="1183" spans="1:18" ht="15" x14ac:dyDescent="0.25">
      <c r="A1183"/>
      <c r="B1183"/>
      <c r="D1183"/>
      <c r="O1183" s="8"/>
      <c r="R1183" s="9"/>
    </row>
    <row r="1184" spans="1:18" ht="15" x14ac:dyDescent="0.25">
      <c r="A1184"/>
      <c r="B1184"/>
      <c r="D1184"/>
      <c r="O1184" s="8"/>
      <c r="R1184" s="9"/>
    </row>
    <row r="1185" spans="1:18" ht="15" x14ac:dyDescent="0.25">
      <c r="A1185"/>
      <c r="B1185"/>
      <c r="D1185"/>
      <c r="O1185" s="8"/>
      <c r="R1185" s="9"/>
    </row>
    <row r="1186" spans="1:18" ht="15" x14ac:dyDescent="0.25">
      <c r="A1186"/>
      <c r="B1186"/>
      <c r="D1186"/>
      <c r="O1186" s="8"/>
      <c r="R1186" s="9"/>
    </row>
    <row r="1187" spans="1:18" ht="15" x14ac:dyDescent="0.25">
      <c r="A1187"/>
      <c r="B1187"/>
      <c r="D1187"/>
      <c r="O1187" s="8"/>
      <c r="R1187" s="9"/>
    </row>
    <row r="1188" spans="1:18" ht="15" x14ac:dyDescent="0.25">
      <c r="A1188"/>
      <c r="B1188"/>
      <c r="D1188"/>
      <c r="O1188" s="8"/>
      <c r="R1188" s="9"/>
    </row>
    <row r="1189" spans="1:18" ht="15" x14ac:dyDescent="0.25">
      <c r="A1189"/>
      <c r="B1189"/>
      <c r="D1189"/>
      <c r="O1189" s="8"/>
      <c r="R1189" s="9"/>
    </row>
    <row r="1190" spans="1:18" ht="15" x14ac:dyDescent="0.25">
      <c r="A1190"/>
      <c r="B1190"/>
      <c r="D1190"/>
      <c r="O1190" s="8"/>
      <c r="R1190" s="9"/>
    </row>
    <row r="1191" spans="1:18" ht="15" x14ac:dyDescent="0.25">
      <c r="A1191"/>
      <c r="B1191"/>
      <c r="D1191"/>
      <c r="O1191" s="8"/>
      <c r="R1191" s="9"/>
    </row>
    <row r="1192" spans="1:18" ht="15" x14ac:dyDescent="0.25">
      <c r="A1192"/>
      <c r="B1192"/>
      <c r="D1192"/>
      <c r="O1192" s="8"/>
      <c r="R1192" s="9"/>
    </row>
    <row r="1193" spans="1:18" ht="15" x14ac:dyDescent="0.25">
      <c r="A1193"/>
      <c r="B1193"/>
      <c r="D1193"/>
      <c r="O1193" s="8"/>
      <c r="R1193" s="9"/>
    </row>
    <row r="1194" spans="1:18" ht="15" x14ac:dyDescent="0.25">
      <c r="A1194"/>
      <c r="B1194"/>
      <c r="D1194"/>
      <c r="O1194" s="8"/>
      <c r="R1194" s="9"/>
    </row>
    <row r="1195" spans="1:18" ht="15" x14ac:dyDescent="0.25">
      <c r="A1195"/>
      <c r="B1195"/>
      <c r="D1195"/>
      <c r="O1195" s="8"/>
      <c r="R1195" s="9"/>
    </row>
    <row r="1196" spans="1:18" ht="15" x14ac:dyDescent="0.25">
      <c r="A1196"/>
      <c r="B1196"/>
      <c r="D1196"/>
      <c r="O1196" s="8"/>
      <c r="R1196" s="9"/>
    </row>
    <row r="1197" spans="1:18" ht="15" x14ac:dyDescent="0.25">
      <c r="A1197"/>
      <c r="B1197"/>
      <c r="D1197"/>
      <c r="O1197" s="8"/>
      <c r="R1197" s="9"/>
    </row>
    <row r="1198" spans="1:18" ht="15" x14ac:dyDescent="0.25">
      <c r="A1198"/>
      <c r="B1198"/>
      <c r="D1198"/>
      <c r="O1198" s="8"/>
      <c r="R1198" s="9"/>
    </row>
    <row r="1199" spans="1:18" ht="15" x14ac:dyDescent="0.25">
      <c r="A1199"/>
      <c r="B1199"/>
      <c r="D1199"/>
      <c r="O1199" s="8"/>
      <c r="R1199" s="9"/>
    </row>
    <row r="1200" spans="1:18" ht="15" x14ac:dyDescent="0.25">
      <c r="A1200"/>
      <c r="B1200"/>
      <c r="D1200"/>
      <c r="O1200" s="8"/>
      <c r="R1200" s="9"/>
    </row>
    <row r="1201" spans="1:18" ht="15" x14ac:dyDescent="0.25">
      <c r="A1201"/>
      <c r="B1201"/>
      <c r="D1201"/>
      <c r="K1201" s="10"/>
      <c r="O1201" s="8"/>
      <c r="R1201" s="9"/>
    </row>
    <row r="1202" spans="1:18" ht="15" x14ac:dyDescent="0.25">
      <c r="A1202"/>
      <c r="B1202"/>
      <c r="D1202"/>
      <c r="K1202" s="10"/>
      <c r="O1202" s="8"/>
      <c r="R1202" s="9"/>
    </row>
    <row r="1203" spans="1:18" ht="15" x14ac:dyDescent="0.25">
      <c r="A1203"/>
      <c r="B1203"/>
      <c r="D1203"/>
      <c r="O1203" s="8"/>
      <c r="R1203" s="9"/>
    </row>
    <row r="1204" spans="1:18" ht="15" x14ac:dyDescent="0.25">
      <c r="A1204"/>
      <c r="B1204"/>
      <c r="D1204"/>
      <c r="O1204" s="8"/>
      <c r="R1204" s="9"/>
    </row>
    <row r="1205" spans="1:18" ht="15" x14ac:dyDescent="0.25">
      <c r="A1205"/>
      <c r="B1205"/>
      <c r="D1205"/>
      <c r="O1205" s="8"/>
      <c r="R1205" s="9"/>
    </row>
    <row r="1206" spans="1:18" ht="15" x14ac:dyDescent="0.25">
      <c r="A1206"/>
      <c r="B1206"/>
      <c r="D1206"/>
      <c r="O1206" s="8"/>
      <c r="R1206" s="9"/>
    </row>
    <row r="1207" spans="1:18" ht="15" x14ac:dyDescent="0.25">
      <c r="A1207"/>
      <c r="B1207"/>
      <c r="D1207"/>
      <c r="O1207" s="8"/>
      <c r="R1207" s="9"/>
    </row>
    <row r="1208" spans="1:18" ht="15" x14ac:dyDescent="0.25">
      <c r="A1208"/>
      <c r="B1208"/>
      <c r="D1208"/>
      <c r="O1208" s="8"/>
      <c r="R1208" s="9"/>
    </row>
    <row r="1209" spans="1:18" ht="15" x14ac:dyDescent="0.25">
      <c r="A1209"/>
      <c r="B1209"/>
      <c r="D1209"/>
      <c r="O1209" s="8"/>
      <c r="R1209" s="9"/>
    </row>
    <row r="1210" spans="1:18" ht="15" x14ac:dyDescent="0.25">
      <c r="A1210"/>
      <c r="B1210"/>
      <c r="D1210"/>
      <c r="O1210" s="8"/>
      <c r="R1210" s="9"/>
    </row>
    <row r="1211" spans="1:18" ht="15" x14ac:dyDescent="0.25">
      <c r="A1211"/>
      <c r="B1211"/>
      <c r="D1211"/>
      <c r="O1211" s="8"/>
      <c r="R1211" s="9"/>
    </row>
    <row r="1212" spans="1:18" ht="15" x14ac:dyDescent="0.25">
      <c r="A1212"/>
      <c r="B1212"/>
      <c r="D1212"/>
      <c r="O1212" s="8"/>
      <c r="R1212" s="9"/>
    </row>
    <row r="1213" spans="1:18" ht="15" x14ac:dyDescent="0.25">
      <c r="A1213"/>
      <c r="B1213"/>
      <c r="D1213"/>
      <c r="O1213" s="8"/>
      <c r="R1213" s="9"/>
    </row>
    <row r="1214" spans="1:18" ht="15" x14ac:dyDescent="0.25">
      <c r="A1214"/>
      <c r="B1214"/>
      <c r="D1214"/>
      <c r="O1214" s="8"/>
      <c r="R1214" s="9"/>
    </row>
    <row r="1215" spans="1:18" ht="15" x14ac:dyDescent="0.25">
      <c r="A1215"/>
      <c r="B1215"/>
      <c r="D1215"/>
      <c r="O1215" s="8"/>
      <c r="R1215" s="9"/>
    </row>
    <row r="1216" spans="1:18" ht="15" x14ac:dyDescent="0.25">
      <c r="A1216"/>
      <c r="B1216"/>
      <c r="D1216"/>
      <c r="O1216" s="8"/>
      <c r="R1216" s="9"/>
    </row>
    <row r="1217" spans="1:18" ht="15" x14ac:dyDescent="0.25">
      <c r="A1217"/>
      <c r="B1217"/>
      <c r="D1217"/>
      <c r="O1217" s="8"/>
      <c r="R1217" s="9"/>
    </row>
    <row r="1218" spans="1:18" ht="15" x14ac:dyDescent="0.25">
      <c r="A1218"/>
      <c r="B1218"/>
      <c r="D1218"/>
      <c r="O1218" s="8"/>
      <c r="R1218" s="9"/>
    </row>
    <row r="1219" spans="1:18" ht="15" x14ac:dyDescent="0.25">
      <c r="A1219"/>
      <c r="B1219"/>
      <c r="D1219"/>
      <c r="O1219" s="8"/>
      <c r="R1219" s="9"/>
    </row>
    <row r="1220" spans="1:18" ht="15" x14ac:dyDescent="0.25">
      <c r="A1220"/>
      <c r="B1220"/>
      <c r="D1220"/>
      <c r="O1220" s="8"/>
      <c r="R1220" s="9"/>
    </row>
    <row r="1221" spans="1:18" ht="15" x14ac:dyDescent="0.25">
      <c r="A1221"/>
      <c r="B1221"/>
      <c r="D1221"/>
      <c r="O1221" s="8"/>
      <c r="R1221" s="9"/>
    </row>
    <row r="1222" spans="1:18" ht="15" x14ac:dyDescent="0.25">
      <c r="A1222"/>
      <c r="B1222"/>
      <c r="D1222"/>
      <c r="O1222" s="8"/>
      <c r="R1222" s="9"/>
    </row>
    <row r="1223" spans="1:18" ht="15" x14ac:dyDescent="0.25">
      <c r="A1223"/>
      <c r="B1223"/>
      <c r="D1223"/>
      <c r="O1223" s="8"/>
      <c r="R1223" s="9"/>
    </row>
    <row r="1224" spans="1:18" ht="15" x14ac:dyDescent="0.25">
      <c r="A1224"/>
      <c r="B1224"/>
      <c r="D1224"/>
      <c r="K1224" s="10"/>
      <c r="O1224" s="8"/>
      <c r="R1224" s="9"/>
    </row>
    <row r="1225" spans="1:18" ht="15" x14ac:dyDescent="0.25">
      <c r="A1225"/>
      <c r="B1225"/>
      <c r="D1225"/>
      <c r="K1225" s="10"/>
      <c r="O1225" s="8"/>
      <c r="R1225" s="9"/>
    </row>
    <row r="1226" spans="1:18" ht="15" x14ac:dyDescent="0.25">
      <c r="A1226"/>
      <c r="B1226"/>
      <c r="D1226"/>
      <c r="O1226" s="8"/>
      <c r="R1226" s="9"/>
    </row>
    <row r="1227" spans="1:18" ht="15" x14ac:dyDescent="0.25">
      <c r="A1227"/>
      <c r="B1227"/>
      <c r="D1227"/>
      <c r="O1227" s="8"/>
      <c r="R1227" s="9"/>
    </row>
    <row r="1228" spans="1:18" ht="15" x14ac:dyDescent="0.25">
      <c r="A1228"/>
      <c r="B1228"/>
      <c r="D1228"/>
      <c r="O1228" s="8"/>
      <c r="R1228" s="9"/>
    </row>
    <row r="1229" spans="1:18" ht="15" x14ac:dyDescent="0.25">
      <c r="A1229"/>
      <c r="B1229"/>
      <c r="D1229"/>
      <c r="O1229" s="8"/>
      <c r="R1229" s="9"/>
    </row>
    <row r="1230" spans="1:18" ht="15" x14ac:dyDescent="0.25">
      <c r="A1230"/>
      <c r="B1230"/>
      <c r="D1230"/>
      <c r="O1230" s="8"/>
      <c r="R1230" s="9"/>
    </row>
    <row r="1231" spans="1:18" ht="15" x14ac:dyDescent="0.25">
      <c r="A1231"/>
      <c r="B1231"/>
      <c r="D1231"/>
      <c r="O1231" s="8"/>
      <c r="R1231" s="9"/>
    </row>
    <row r="1232" spans="1:18" ht="15" x14ac:dyDescent="0.25">
      <c r="A1232"/>
      <c r="B1232"/>
      <c r="D1232"/>
      <c r="O1232" s="8"/>
      <c r="R1232" s="9"/>
    </row>
    <row r="1233" spans="1:18" ht="15" x14ac:dyDescent="0.25">
      <c r="A1233"/>
      <c r="B1233"/>
      <c r="D1233"/>
      <c r="O1233" s="8"/>
      <c r="R1233" s="9"/>
    </row>
    <row r="1234" spans="1:18" ht="15" x14ac:dyDescent="0.25">
      <c r="A1234"/>
      <c r="B1234"/>
      <c r="D1234"/>
      <c r="O1234" s="8"/>
      <c r="R1234" s="9"/>
    </row>
    <row r="1235" spans="1:18" ht="15" x14ac:dyDescent="0.25">
      <c r="A1235"/>
      <c r="B1235"/>
      <c r="D1235"/>
      <c r="O1235" s="8"/>
      <c r="R1235" s="9"/>
    </row>
    <row r="1236" spans="1:18" ht="15" x14ac:dyDescent="0.25">
      <c r="A1236"/>
      <c r="B1236"/>
      <c r="D1236"/>
      <c r="O1236" s="8"/>
      <c r="R1236" s="9"/>
    </row>
    <row r="1237" spans="1:18" ht="15" x14ac:dyDescent="0.25">
      <c r="A1237"/>
      <c r="B1237"/>
      <c r="D1237"/>
      <c r="O1237" s="8"/>
      <c r="R1237" s="9"/>
    </row>
    <row r="1238" spans="1:18" ht="15" x14ac:dyDescent="0.25">
      <c r="A1238"/>
      <c r="B1238"/>
      <c r="D1238"/>
      <c r="O1238" s="8"/>
      <c r="R1238" s="9"/>
    </row>
    <row r="1239" spans="1:18" ht="15" x14ac:dyDescent="0.25">
      <c r="A1239"/>
      <c r="B1239"/>
      <c r="D1239"/>
      <c r="O1239" s="8"/>
      <c r="R1239" s="9"/>
    </row>
    <row r="1240" spans="1:18" ht="15" x14ac:dyDescent="0.25">
      <c r="A1240"/>
      <c r="B1240"/>
      <c r="D1240"/>
      <c r="O1240" s="8"/>
      <c r="R1240" s="9"/>
    </row>
    <row r="1241" spans="1:18" ht="15" x14ac:dyDescent="0.25">
      <c r="A1241"/>
      <c r="B1241"/>
      <c r="D1241"/>
      <c r="O1241" s="8"/>
      <c r="R1241" s="9"/>
    </row>
    <row r="1242" spans="1:18" ht="15" x14ac:dyDescent="0.25">
      <c r="A1242"/>
      <c r="B1242"/>
      <c r="D1242"/>
      <c r="O1242" s="8"/>
      <c r="R1242" s="9"/>
    </row>
    <row r="1243" spans="1:18" ht="15" x14ac:dyDescent="0.25">
      <c r="A1243"/>
      <c r="B1243"/>
      <c r="D1243"/>
      <c r="O1243" s="8"/>
      <c r="R1243" s="9"/>
    </row>
    <row r="1244" spans="1:18" ht="15" x14ac:dyDescent="0.25">
      <c r="A1244"/>
      <c r="B1244"/>
      <c r="D1244"/>
      <c r="O1244" s="8"/>
      <c r="R1244" s="9"/>
    </row>
    <row r="1245" spans="1:18" ht="15" x14ac:dyDescent="0.25">
      <c r="A1245"/>
      <c r="B1245"/>
      <c r="D1245"/>
      <c r="O1245" s="8"/>
      <c r="R1245" s="9"/>
    </row>
    <row r="1246" spans="1:18" ht="15" x14ac:dyDescent="0.25">
      <c r="A1246"/>
      <c r="B1246"/>
      <c r="D1246"/>
      <c r="O1246" s="8"/>
      <c r="R1246" s="9"/>
    </row>
    <row r="1247" spans="1:18" ht="15" x14ac:dyDescent="0.25">
      <c r="A1247"/>
      <c r="B1247"/>
      <c r="D1247"/>
      <c r="O1247" s="8"/>
      <c r="R1247" s="9"/>
    </row>
    <row r="1248" spans="1:18" ht="15" x14ac:dyDescent="0.25">
      <c r="A1248"/>
      <c r="B1248"/>
      <c r="D1248"/>
      <c r="K1248" s="10"/>
      <c r="O1248" s="8"/>
      <c r="R1248" s="9"/>
    </row>
    <row r="1249" spans="1:18" ht="15" x14ac:dyDescent="0.25">
      <c r="A1249"/>
      <c r="B1249"/>
      <c r="D1249"/>
      <c r="K1249" s="10"/>
      <c r="O1249" s="8"/>
      <c r="R1249" s="9"/>
    </row>
    <row r="1250" spans="1:18" ht="15" x14ac:dyDescent="0.25">
      <c r="A1250"/>
      <c r="B1250"/>
      <c r="D1250"/>
      <c r="O1250" s="8"/>
      <c r="R1250" s="9"/>
    </row>
    <row r="1251" spans="1:18" ht="15" x14ac:dyDescent="0.25">
      <c r="A1251"/>
      <c r="B1251"/>
      <c r="D1251"/>
      <c r="O1251" s="8"/>
      <c r="R1251" s="9"/>
    </row>
    <row r="1252" spans="1:18" ht="15" x14ac:dyDescent="0.25">
      <c r="A1252"/>
      <c r="B1252"/>
      <c r="D1252"/>
      <c r="O1252" s="8"/>
      <c r="R1252" s="9"/>
    </row>
    <row r="1253" spans="1:18" ht="15" x14ac:dyDescent="0.25">
      <c r="A1253"/>
      <c r="B1253"/>
      <c r="D1253"/>
      <c r="O1253" s="8"/>
      <c r="R1253" s="9"/>
    </row>
    <row r="1254" spans="1:18" ht="15" x14ac:dyDescent="0.25">
      <c r="A1254"/>
      <c r="B1254"/>
      <c r="D1254"/>
      <c r="O1254" s="8"/>
      <c r="R1254" s="9"/>
    </row>
    <row r="1255" spans="1:18" ht="15" x14ac:dyDescent="0.25">
      <c r="A1255"/>
      <c r="B1255"/>
      <c r="D1255"/>
      <c r="O1255" s="8"/>
      <c r="R1255" s="9"/>
    </row>
    <row r="1256" spans="1:18" ht="15" x14ac:dyDescent="0.25">
      <c r="A1256"/>
      <c r="B1256"/>
      <c r="D1256"/>
      <c r="O1256" s="8"/>
      <c r="R1256" s="9"/>
    </row>
    <row r="1257" spans="1:18" ht="15" x14ac:dyDescent="0.25">
      <c r="A1257"/>
      <c r="B1257"/>
      <c r="D1257"/>
      <c r="O1257" s="8"/>
      <c r="R1257" s="9"/>
    </row>
    <row r="1258" spans="1:18" ht="15" x14ac:dyDescent="0.25">
      <c r="A1258"/>
      <c r="B1258"/>
      <c r="D1258"/>
      <c r="O1258" s="8"/>
      <c r="R1258" s="9"/>
    </row>
    <row r="1259" spans="1:18" ht="15" x14ac:dyDescent="0.25">
      <c r="A1259"/>
      <c r="B1259"/>
      <c r="D1259"/>
      <c r="O1259" s="8"/>
      <c r="R1259" s="9"/>
    </row>
    <row r="1260" spans="1:18" ht="15" x14ac:dyDescent="0.25">
      <c r="A1260"/>
      <c r="B1260"/>
      <c r="D1260"/>
      <c r="O1260" s="8"/>
      <c r="R1260" s="9"/>
    </row>
    <row r="1261" spans="1:18" ht="15" x14ac:dyDescent="0.25">
      <c r="A1261"/>
      <c r="B1261"/>
      <c r="D1261"/>
      <c r="O1261" s="8"/>
      <c r="R1261" s="9"/>
    </row>
    <row r="1262" spans="1:18" ht="15" x14ac:dyDescent="0.25">
      <c r="A1262"/>
      <c r="B1262"/>
      <c r="D1262"/>
      <c r="O1262" s="8"/>
      <c r="R1262" s="9"/>
    </row>
    <row r="1263" spans="1:18" ht="15" x14ac:dyDescent="0.25">
      <c r="A1263"/>
      <c r="B1263"/>
      <c r="D1263"/>
      <c r="O1263" s="8"/>
      <c r="R1263" s="9"/>
    </row>
    <row r="1264" spans="1:18" ht="15" x14ac:dyDescent="0.25">
      <c r="A1264"/>
      <c r="B1264"/>
      <c r="D1264"/>
      <c r="O1264" s="8"/>
      <c r="R1264" s="9"/>
    </row>
    <row r="1265" spans="1:18" ht="15" x14ac:dyDescent="0.25">
      <c r="A1265"/>
      <c r="B1265"/>
      <c r="D1265"/>
      <c r="O1265" s="8"/>
      <c r="R1265" s="9"/>
    </row>
    <row r="1266" spans="1:18" ht="15" x14ac:dyDescent="0.25">
      <c r="A1266"/>
      <c r="B1266"/>
      <c r="D1266"/>
      <c r="O1266" s="8"/>
      <c r="R1266" s="9"/>
    </row>
    <row r="1267" spans="1:18" ht="15" x14ac:dyDescent="0.25">
      <c r="A1267"/>
      <c r="B1267"/>
      <c r="D1267"/>
      <c r="K1267" s="10"/>
      <c r="O1267" s="8"/>
      <c r="R1267" s="9"/>
    </row>
    <row r="1268" spans="1:18" ht="15" x14ac:dyDescent="0.25">
      <c r="A1268"/>
      <c r="B1268"/>
      <c r="D1268"/>
      <c r="K1268" s="10"/>
      <c r="O1268" s="8"/>
      <c r="R1268" s="9"/>
    </row>
    <row r="1269" spans="1:18" ht="15" x14ac:dyDescent="0.25">
      <c r="A1269"/>
      <c r="B1269"/>
      <c r="D1269"/>
      <c r="O1269" s="8"/>
      <c r="R1269" s="9"/>
    </row>
    <row r="1270" spans="1:18" ht="15" x14ac:dyDescent="0.25">
      <c r="A1270"/>
      <c r="B1270"/>
      <c r="D1270"/>
      <c r="O1270" s="8"/>
      <c r="R1270" s="9"/>
    </row>
    <row r="1271" spans="1:18" ht="15" x14ac:dyDescent="0.25">
      <c r="A1271"/>
      <c r="B1271"/>
      <c r="D1271"/>
      <c r="O1271" s="8"/>
      <c r="R1271" s="9"/>
    </row>
    <row r="1272" spans="1:18" ht="15" x14ac:dyDescent="0.25">
      <c r="A1272"/>
      <c r="B1272"/>
      <c r="D1272"/>
      <c r="O1272" s="8"/>
      <c r="R1272" s="9"/>
    </row>
    <row r="1273" spans="1:18" ht="15" x14ac:dyDescent="0.25">
      <c r="A1273"/>
      <c r="B1273"/>
      <c r="D1273"/>
      <c r="O1273" s="8"/>
      <c r="R1273" s="9"/>
    </row>
    <row r="1274" spans="1:18" ht="15" x14ac:dyDescent="0.25">
      <c r="A1274"/>
      <c r="B1274"/>
      <c r="D1274"/>
      <c r="O1274" s="8"/>
      <c r="R1274" s="9"/>
    </row>
    <row r="1275" spans="1:18" ht="15" x14ac:dyDescent="0.25">
      <c r="A1275"/>
      <c r="B1275"/>
      <c r="D1275"/>
      <c r="O1275" s="8"/>
      <c r="R1275" s="9"/>
    </row>
    <row r="1276" spans="1:18" ht="15" x14ac:dyDescent="0.25">
      <c r="A1276"/>
      <c r="B1276"/>
      <c r="D1276"/>
      <c r="O1276" s="8"/>
      <c r="R1276" s="9"/>
    </row>
    <row r="1277" spans="1:18" ht="15" x14ac:dyDescent="0.25">
      <c r="A1277"/>
      <c r="B1277"/>
      <c r="D1277"/>
      <c r="O1277" s="8"/>
      <c r="R1277" s="9"/>
    </row>
    <row r="1278" spans="1:18" ht="15" x14ac:dyDescent="0.25">
      <c r="A1278"/>
      <c r="B1278"/>
      <c r="D1278"/>
      <c r="O1278" s="8"/>
      <c r="R1278" s="9"/>
    </row>
    <row r="1279" spans="1:18" ht="15" x14ac:dyDescent="0.25">
      <c r="A1279"/>
      <c r="B1279"/>
      <c r="D1279"/>
      <c r="O1279" s="8"/>
      <c r="R1279" s="9"/>
    </row>
    <row r="1280" spans="1:18" ht="15" x14ac:dyDescent="0.25">
      <c r="A1280"/>
      <c r="B1280"/>
      <c r="D1280"/>
      <c r="O1280" s="8"/>
      <c r="R1280" s="9"/>
    </row>
    <row r="1281" spans="1:18" ht="15" x14ac:dyDescent="0.25">
      <c r="A1281"/>
      <c r="B1281"/>
      <c r="D1281"/>
      <c r="O1281" s="8"/>
      <c r="R1281" s="9"/>
    </row>
    <row r="1282" spans="1:18" ht="15" x14ac:dyDescent="0.25">
      <c r="A1282"/>
      <c r="B1282"/>
      <c r="D1282"/>
      <c r="O1282" s="8"/>
      <c r="R1282" s="9"/>
    </row>
    <row r="1283" spans="1:18" ht="15" x14ac:dyDescent="0.25">
      <c r="A1283"/>
      <c r="B1283"/>
      <c r="D1283"/>
      <c r="O1283" s="8"/>
      <c r="R1283" s="9"/>
    </row>
    <row r="1284" spans="1:18" ht="15" x14ac:dyDescent="0.25">
      <c r="A1284"/>
      <c r="B1284"/>
      <c r="D1284"/>
      <c r="O1284" s="8"/>
      <c r="R1284" s="9"/>
    </row>
    <row r="1285" spans="1:18" ht="15" x14ac:dyDescent="0.25">
      <c r="A1285"/>
      <c r="B1285"/>
      <c r="D1285"/>
      <c r="O1285" s="8"/>
      <c r="R1285" s="9"/>
    </row>
    <row r="1286" spans="1:18" ht="15" x14ac:dyDescent="0.25">
      <c r="A1286"/>
      <c r="B1286"/>
      <c r="D1286"/>
      <c r="O1286" s="8"/>
      <c r="R1286" s="9"/>
    </row>
    <row r="1287" spans="1:18" ht="15" x14ac:dyDescent="0.25">
      <c r="A1287"/>
      <c r="B1287"/>
      <c r="D1287"/>
      <c r="O1287" s="8"/>
      <c r="R1287" s="9"/>
    </row>
    <row r="1288" spans="1:18" ht="15" x14ac:dyDescent="0.25">
      <c r="A1288"/>
      <c r="B1288"/>
      <c r="D1288"/>
      <c r="O1288" s="8"/>
      <c r="R1288" s="9"/>
    </row>
    <row r="1289" spans="1:18" ht="15" x14ac:dyDescent="0.25">
      <c r="A1289"/>
      <c r="B1289"/>
      <c r="D1289"/>
      <c r="K1289" s="10"/>
      <c r="O1289" s="8"/>
      <c r="R1289" s="9"/>
    </row>
    <row r="1290" spans="1:18" ht="15" x14ac:dyDescent="0.25">
      <c r="A1290"/>
      <c r="B1290"/>
      <c r="D1290"/>
      <c r="K1290" s="10"/>
      <c r="O1290" s="8"/>
      <c r="R1290" s="9"/>
    </row>
    <row r="1291" spans="1:18" ht="15" x14ac:dyDescent="0.25">
      <c r="A1291"/>
      <c r="B1291"/>
      <c r="D1291"/>
      <c r="O1291" s="8"/>
      <c r="R1291" s="9"/>
    </row>
    <row r="1292" spans="1:18" ht="15" x14ac:dyDescent="0.25">
      <c r="A1292"/>
      <c r="B1292"/>
      <c r="D1292"/>
      <c r="O1292" s="8"/>
      <c r="R1292" s="9"/>
    </row>
    <row r="1293" spans="1:18" ht="15" x14ac:dyDescent="0.25">
      <c r="A1293"/>
      <c r="B1293"/>
      <c r="D1293"/>
      <c r="O1293" s="8"/>
      <c r="R1293" s="9"/>
    </row>
    <row r="1294" spans="1:18" ht="15" x14ac:dyDescent="0.25">
      <c r="A1294"/>
      <c r="B1294"/>
      <c r="D1294"/>
      <c r="O1294" s="8"/>
      <c r="R1294" s="9"/>
    </row>
    <row r="1295" spans="1:18" ht="15" x14ac:dyDescent="0.25">
      <c r="A1295"/>
      <c r="B1295"/>
      <c r="D1295"/>
      <c r="O1295" s="8"/>
      <c r="R1295" s="9"/>
    </row>
    <row r="1296" spans="1:18" ht="15" x14ac:dyDescent="0.25">
      <c r="A1296"/>
      <c r="B1296"/>
      <c r="D1296"/>
      <c r="O1296" s="8"/>
      <c r="R1296" s="9"/>
    </row>
    <row r="1297" spans="1:18" ht="15" x14ac:dyDescent="0.25">
      <c r="A1297"/>
      <c r="B1297"/>
      <c r="D1297"/>
      <c r="O1297" s="8"/>
      <c r="R1297" s="9"/>
    </row>
    <row r="1298" spans="1:18" ht="15" x14ac:dyDescent="0.25">
      <c r="A1298"/>
      <c r="B1298"/>
      <c r="D1298"/>
      <c r="O1298" s="8"/>
      <c r="R1298" s="9"/>
    </row>
    <row r="1299" spans="1:18" ht="15" x14ac:dyDescent="0.25">
      <c r="A1299"/>
      <c r="B1299"/>
      <c r="D1299"/>
      <c r="O1299" s="8"/>
      <c r="R1299" s="9"/>
    </row>
    <row r="1300" spans="1:18" ht="15" x14ac:dyDescent="0.25">
      <c r="A1300"/>
      <c r="B1300"/>
      <c r="D1300"/>
      <c r="O1300" s="8"/>
      <c r="R1300" s="9"/>
    </row>
    <row r="1301" spans="1:18" ht="15" x14ac:dyDescent="0.25">
      <c r="A1301"/>
      <c r="B1301"/>
      <c r="D1301"/>
      <c r="O1301" s="8"/>
      <c r="R1301" s="9"/>
    </row>
    <row r="1302" spans="1:18" ht="15" x14ac:dyDescent="0.25">
      <c r="A1302"/>
      <c r="B1302"/>
      <c r="D1302"/>
      <c r="O1302" s="8"/>
      <c r="R1302" s="9"/>
    </row>
    <row r="1303" spans="1:18" ht="15" x14ac:dyDescent="0.25">
      <c r="A1303"/>
      <c r="B1303"/>
      <c r="D1303"/>
      <c r="O1303" s="8"/>
      <c r="R1303" s="9"/>
    </row>
    <row r="1304" spans="1:18" ht="15" x14ac:dyDescent="0.25">
      <c r="A1304"/>
      <c r="B1304"/>
      <c r="D1304"/>
      <c r="O1304" s="8"/>
      <c r="R1304" s="9"/>
    </row>
    <row r="1305" spans="1:18" ht="15" x14ac:dyDescent="0.25">
      <c r="A1305"/>
      <c r="B1305"/>
      <c r="D1305"/>
      <c r="O1305" s="8"/>
      <c r="R1305" s="9"/>
    </row>
    <row r="1306" spans="1:18" ht="15" x14ac:dyDescent="0.25">
      <c r="A1306"/>
      <c r="B1306"/>
      <c r="D1306"/>
      <c r="O1306" s="8"/>
      <c r="R1306" s="9"/>
    </row>
    <row r="1307" spans="1:18" ht="15" x14ac:dyDescent="0.25">
      <c r="A1307"/>
      <c r="B1307"/>
      <c r="D1307"/>
      <c r="O1307" s="8"/>
      <c r="R1307" s="9"/>
    </row>
    <row r="1308" spans="1:18" ht="15" x14ac:dyDescent="0.25">
      <c r="A1308"/>
      <c r="B1308"/>
      <c r="D1308"/>
      <c r="O1308" s="8"/>
      <c r="R1308" s="9"/>
    </row>
    <row r="1309" spans="1:18" ht="15" x14ac:dyDescent="0.25">
      <c r="A1309"/>
      <c r="B1309"/>
      <c r="D1309"/>
      <c r="O1309" s="8"/>
      <c r="R1309" s="9"/>
    </row>
    <row r="1310" spans="1:18" ht="15" x14ac:dyDescent="0.25">
      <c r="A1310"/>
      <c r="B1310"/>
      <c r="D1310"/>
      <c r="O1310" s="8"/>
      <c r="R1310" s="9"/>
    </row>
    <row r="1311" spans="1:18" ht="15" x14ac:dyDescent="0.25">
      <c r="A1311"/>
      <c r="B1311"/>
      <c r="D1311"/>
      <c r="K1311" s="10"/>
      <c r="O1311" s="8"/>
      <c r="R1311" s="9"/>
    </row>
    <row r="1312" spans="1:18" ht="15" x14ac:dyDescent="0.25">
      <c r="A1312"/>
      <c r="B1312"/>
      <c r="D1312"/>
      <c r="K1312" s="10"/>
      <c r="O1312" s="8"/>
      <c r="R1312" s="9"/>
    </row>
    <row r="1313" spans="1:18" ht="15" x14ac:dyDescent="0.25">
      <c r="A1313"/>
      <c r="B1313"/>
      <c r="D1313"/>
      <c r="O1313" s="8"/>
      <c r="R1313" s="9"/>
    </row>
    <row r="1314" spans="1:18" ht="15" x14ac:dyDescent="0.25">
      <c r="A1314"/>
      <c r="B1314"/>
      <c r="D1314"/>
      <c r="O1314" s="8"/>
      <c r="R1314" s="9"/>
    </row>
    <row r="1315" spans="1:18" ht="15" x14ac:dyDescent="0.25">
      <c r="A1315"/>
      <c r="B1315"/>
      <c r="D1315"/>
      <c r="O1315" s="8"/>
      <c r="R1315" s="9"/>
    </row>
    <row r="1316" spans="1:18" ht="15" x14ac:dyDescent="0.25">
      <c r="A1316"/>
      <c r="B1316"/>
      <c r="D1316"/>
      <c r="O1316" s="8"/>
      <c r="R1316" s="9"/>
    </row>
    <row r="1317" spans="1:18" ht="15" x14ac:dyDescent="0.25">
      <c r="A1317"/>
      <c r="B1317"/>
      <c r="D1317"/>
      <c r="O1317" s="8"/>
      <c r="R1317" s="9"/>
    </row>
    <row r="1318" spans="1:18" ht="15" x14ac:dyDescent="0.25">
      <c r="A1318"/>
      <c r="B1318"/>
      <c r="D1318"/>
      <c r="O1318" s="8"/>
      <c r="R1318" s="9"/>
    </row>
    <row r="1319" spans="1:18" ht="15" x14ac:dyDescent="0.25">
      <c r="A1319"/>
      <c r="B1319"/>
      <c r="D1319"/>
      <c r="O1319" s="8"/>
      <c r="R1319" s="9"/>
    </row>
    <row r="1320" spans="1:18" ht="15" x14ac:dyDescent="0.25">
      <c r="A1320"/>
      <c r="B1320"/>
      <c r="D1320"/>
      <c r="O1320" s="8"/>
      <c r="R1320" s="9"/>
    </row>
    <row r="1321" spans="1:18" ht="15" x14ac:dyDescent="0.25">
      <c r="A1321"/>
      <c r="B1321"/>
      <c r="D1321"/>
      <c r="O1321" s="8"/>
      <c r="R1321" s="9"/>
    </row>
    <row r="1322" spans="1:18" ht="15" x14ac:dyDescent="0.25">
      <c r="A1322"/>
      <c r="B1322"/>
      <c r="D1322"/>
      <c r="O1322" s="8"/>
      <c r="R1322" s="9"/>
    </row>
    <row r="1323" spans="1:18" ht="15" x14ac:dyDescent="0.25">
      <c r="A1323"/>
      <c r="B1323"/>
      <c r="D1323"/>
      <c r="O1323" s="8"/>
      <c r="R1323" s="9"/>
    </row>
    <row r="1324" spans="1:18" ht="15" x14ac:dyDescent="0.25">
      <c r="A1324"/>
      <c r="B1324"/>
      <c r="D1324"/>
      <c r="O1324" s="8"/>
      <c r="R1324" s="9"/>
    </row>
    <row r="1325" spans="1:18" ht="15" x14ac:dyDescent="0.25">
      <c r="A1325"/>
      <c r="B1325"/>
      <c r="D1325"/>
      <c r="O1325" s="8"/>
      <c r="R1325" s="9"/>
    </row>
    <row r="1326" spans="1:18" ht="15" x14ac:dyDescent="0.25">
      <c r="A1326"/>
      <c r="B1326"/>
      <c r="D1326"/>
      <c r="O1326" s="8"/>
      <c r="R1326" s="9"/>
    </row>
    <row r="1327" spans="1:18" ht="15" x14ac:dyDescent="0.25">
      <c r="A1327"/>
      <c r="B1327"/>
      <c r="D1327"/>
      <c r="O1327" s="8"/>
      <c r="R1327" s="9"/>
    </row>
    <row r="1328" spans="1:18" ht="15" x14ac:dyDescent="0.25">
      <c r="A1328"/>
      <c r="B1328"/>
      <c r="D1328"/>
      <c r="O1328" s="8"/>
      <c r="R1328" s="9"/>
    </row>
    <row r="1329" spans="1:18" ht="15" x14ac:dyDescent="0.25">
      <c r="A1329"/>
      <c r="B1329"/>
      <c r="D1329"/>
      <c r="O1329" s="8"/>
      <c r="R1329" s="9"/>
    </row>
    <row r="1330" spans="1:18" ht="15" x14ac:dyDescent="0.25">
      <c r="A1330"/>
      <c r="B1330"/>
      <c r="D1330"/>
      <c r="O1330" s="8"/>
      <c r="R1330" s="9"/>
    </row>
    <row r="1331" spans="1:18" ht="15" x14ac:dyDescent="0.25">
      <c r="A1331"/>
      <c r="B1331"/>
      <c r="D1331"/>
      <c r="O1331" s="8"/>
      <c r="R1331" s="9"/>
    </row>
    <row r="1332" spans="1:18" ht="15" x14ac:dyDescent="0.25">
      <c r="A1332"/>
      <c r="B1332"/>
      <c r="D1332"/>
      <c r="O1332" s="8"/>
      <c r="R1332" s="9"/>
    </row>
    <row r="1333" spans="1:18" ht="15" x14ac:dyDescent="0.25">
      <c r="A1333"/>
      <c r="B1333"/>
      <c r="D1333"/>
      <c r="O1333" s="8"/>
      <c r="R1333" s="9"/>
    </row>
    <row r="1334" spans="1:18" ht="15" x14ac:dyDescent="0.25">
      <c r="A1334"/>
      <c r="B1334"/>
      <c r="D1334"/>
      <c r="O1334" s="8"/>
      <c r="R1334" s="9"/>
    </row>
    <row r="1335" spans="1:18" ht="15" x14ac:dyDescent="0.25">
      <c r="A1335"/>
      <c r="B1335"/>
      <c r="D1335"/>
      <c r="O1335" s="8"/>
      <c r="R1335" s="9"/>
    </row>
    <row r="1336" spans="1:18" ht="15" x14ac:dyDescent="0.25">
      <c r="A1336"/>
      <c r="B1336"/>
      <c r="D1336"/>
      <c r="O1336" s="8"/>
      <c r="R1336" s="9"/>
    </row>
    <row r="1337" spans="1:18" ht="15" x14ac:dyDescent="0.25">
      <c r="A1337"/>
      <c r="B1337"/>
      <c r="D1337"/>
      <c r="O1337" s="8"/>
      <c r="R1337" s="9"/>
    </row>
    <row r="1338" spans="1:18" ht="15" x14ac:dyDescent="0.25">
      <c r="A1338"/>
      <c r="B1338"/>
      <c r="D1338"/>
      <c r="O1338" s="8"/>
      <c r="R1338" s="9"/>
    </row>
    <row r="1339" spans="1:18" ht="15" x14ac:dyDescent="0.25">
      <c r="A1339"/>
      <c r="B1339"/>
      <c r="D1339"/>
      <c r="O1339" s="8"/>
      <c r="R1339" s="9"/>
    </row>
    <row r="1340" spans="1:18" ht="15" x14ac:dyDescent="0.25">
      <c r="A1340"/>
      <c r="B1340"/>
      <c r="D1340"/>
      <c r="O1340" s="8"/>
      <c r="R1340" s="9"/>
    </row>
    <row r="1341" spans="1:18" ht="15" x14ac:dyDescent="0.25">
      <c r="A1341"/>
      <c r="B1341"/>
      <c r="D1341"/>
      <c r="O1341" s="8"/>
      <c r="R1341" s="9"/>
    </row>
    <row r="1342" spans="1:18" ht="15" x14ac:dyDescent="0.25">
      <c r="A1342"/>
      <c r="B1342"/>
      <c r="D1342"/>
      <c r="O1342" s="8"/>
      <c r="R1342" s="9"/>
    </row>
    <row r="1343" spans="1:18" ht="15" x14ac:dyDescent="0.25">
      <c r="A1343"/>
      <c r="B1343"/>
      <c r="D1343"/>
      <c r="O1343" s="8"/>
      <c r="R1343" s="9"/>
    </row>
    <row r="1344" spans="1:18" ht="15" x14ac:dyDescent="0.25">
      <c r="A1344"/>
      <c r="B1344"/>
      <c r="D1344"/>
      <c r="O1344" s="8"/>
      <c r="R1344" s="9"/>
    </row>
    <row r="1345" spans="1:18" ht="15" x14ac:dyDescent="0.25">
      <c r="A1345"/>
      <c r="B1345"/>
      <c r="D1345"/>
      <c r="O1345" s="8"/>
      <c r="R1345" s="9"/>
    </row>
    <row r="1346" spans="1:18" ht="15" x14ac:dyDescent="0.25">
      <c r="A1346"/>
      <c r="B1346"/>
      <c r="D1346"/>
      <c r="O1346" s="8"/>
      <c r="R1346" s="9"/>
    </row>
    <row r="1347" spans="1:18" ht="15" x14ac:dyDescent="0.25">
      <c r="A1347"/>
      <c r="B1347"/>
      <c r="D1347"/>
      <c r="O1347" s="8"/>
      <c r="R1347" s="9"/>
    </row>
    <row r="1348" spans="1:18" ht="15" x14ac:dyDescent="0.25">
      <c r="A1348"/>
      <c r="B1348"/>
      <c r="D1348"/>
      <c r="O1348" s="8"/>
      <c r="R1348" s="9"/>
    </row>
    <row r="1349" spans="1:18" ht="15" x14ac:dyDescent="0.25">
      <c r="A1349"/>
      <c r="B1349"/>
      <c r="D1349"/>
      <c r="K1349" s="10"/>
      <c r="O1349" s="8"/>
      <c r="R1349" s="9"/>
    </row>
    <row r="1350" spans="1:18" ht="15" x14ac:dyDescent="0.25">
      <c r="A1350"/>
      <c r="B1350"/>
      <c r="D1350"/>
      <c r="K1350" s="10"/>
      <c r="O1350" s="8"/>
      <c r="R1350" s="9"/>
    </row>
    <row r="1351" spans="1:18" ht="15" x14ac:dyDescent="0.25">
      <c r="A1351"/>
      <c r="B1351"/>
      <c r="D1351"/>
      <c r="O1351" s="8"/>
      <c r="R1351" s="9"/>
    </row>
    <row r="1352" spans="1:18" ht="15" x14ac:dyDescent="0.25">
      <c r="A1352"/>
      <c r="B1352"/>
      <c r="D1352"/>
      <c r="O1352" s="8"/>
      <c r="R1352" s="9"/>
    </row>
    <row r="1353" spans="1:18" ht="15" x14ac:dyDescent="0.25">
      <c r="A1353"/>
      <c r="B1353"/>
      <c r="D1353"/>
      <c r="O1353" s="8"/>
      <c r="R1353" s="9"/>
    </row>
    <row r="1354" spans="1:18" ht="15" x14ac:dyDescent="0.25">
      <c r="A1354"/>
      <c r="B1354"/>
      <c r="D1354"/>
      <c r="O1354" s="8"/>
      <c r="R1354" s="9"/>
    </row>
    <row r="1355" spans="1:18" ht="15" x14ac:dyDescent="0.25">
      <c r="A1355"/>
      <c r="B1355"/>
      <c r="D1355"/>
      <c r="O1355" s="8"/>
      <c r="R1355" s="9"/>
    </row>
    <row r="1356" spans="1:18" ht="15" x14ac:dyDescent="0.25">
      <c r="A1356"/>
      <c r="B1356"/>
      <c r="D1356"/>
      <c r="O1356" s="8"/>
      <c r="R1356" s="9"/>
    </row>
    <row r="1357" spans="1:18" ht="15" x14ac:dyDescent="0.25">
      <c r="A1357"/>
      <c r="B1357"/>
      <c r="D1357"/>
      <c r="O1357" s="8"/>
      <c r="R1357" s="9"/>
    </row>
    <row r="1358" spans="1:18" ht="15" x14ac:dyDescent="0.25">
      <c r="A1358"/>
      <c r="B1358"/>
      <c r="D1358"/>
      <c r="O1358" s="8"/>
      <c r="R1358" s="9"/>
    </row>
    <row r="1359" spans="1:18" ht="15" x14ac:dyDescent="0.25">
      <c r="A1359"/>
      <c r="B1359"/>
      <c r="D1359"/>
      <c r="O1359" s="8"/>
      <c r="R1359" s="9"/>
    </row>
    <row r="1360" spans="1:18" ht="15" x14ac:dyDescent="0.25">
      <c r="A1360"/>
      <c r="B1360"/>
      <c r="D1360"/>
      <c r="O1360" s="8"/>
      <c r="R1360" s="9"/>
    </row>
    <row r="1361" spans="1:18" ht="15" x14ac:dyDescent="0.25">
      <c r="A1361"/>
      <c r="B1361"/>
      <c r="D1361"/>
      <c r="O1361" s="8"/>
      <c r="R1361" s="9"/>
    </row>
    <row r="1362" spans="1:18" ht="15" x14ac:dyDescent="0.25">
      <c r="A1362"/>
      <c r="B1362"/>
      <c r="D1362"/>
      <c r="O1362" s="8"/>
      <c r="R1362" s="9"/>
    </row>
    <row r="1363" spans="1:18" ht="15" x14ac:dyDescent="0.25">
      <c r="A1363"/>
      <c r="B1363"/>
      <c r="D1363"/>
      <c r="O1363" s="8"/>
      <c r="R1363" s="9"/>
    </row>
    <row r="1364" spans="1:18" ht="15" x14ac:dyDescent="0.25">
      <c r="A1364"/>
      <c r="B1364"/>
      <c r="D1364"/>
      <c r="O1364" s="8"/>
      <c r="R1364" s="9"/>
    </row>
    <row r="1365" spans="1:18" ht="15" x14ac:dyDescent="0.25">
      <c r="A1365"/>
      <c r="B1365"/>
      <c r="D1365"/>
      <c r="O1365" s="8"/>
      <c r="R1365" s="9"/>
    </row>
    <row r="1366" spans="1:18" ht="15" x14ac:dyDescent="0.25">
      <c r="A1366"/>
      <c r="B1366"/>
      <c r="D1366"/>
      <c r="O1366" s="8"/>
      <c r="R1366" s="9"/>
    </row>
    <row r="1367" spans="1:18" ht="15" x14ac:dyDescent="0.25">
      <c r="A1367"/>
      <c r="B1367"/>
      <c r="D1367"/>
      <c r="O1367" s="8"/>
      <c r="R1367" s="9"/>
    </row>
    <row r="1368" spans="1:18" ht="15" x14ac:dyDescent="0.25">
      <c r="A1368"/>
      <c r="B1368"/>
      <c r="D1368"/>
      <c r="O1368" s="8"/>
      <c r="R1368" s="9"/>
    </row>
    <row r="1369" spans="1:18" ht="15" x14ac:dyDescent="0.25">
      <c r="A1369"/>
      <c r="B1369"/>
      <c r="D1369"/>
      <c r="O1369" s="8"/>
      <c r="R1369" s="9"/>
    </row>
    <row r="1370" spans="1:18" ht="15" x14ac:dyDescent="0.25">
      <c r="A1370"/>
      <c r="B1370"/>
      <c r="D1370"/>
      <c r="O1370" s="8"/>
      <c r="R1370" s="9"/>
    </row>
    <row r="1371" spans="1:18" ht="15" x14ac:dyDescent="0.25">
      <c r="A1371"/>
      <c r="B1371"/>
      <c r="D1371"/>
      <c r="O1371" s="8"/>
      <c r="R1371" s="9"/>
    </row>
    <row r="1372" spans="1:18" ht="15" x14ac:dyDescent="0.25">
      <c r="A1372"/>
      <c r="B1372"/>
      <c r="D1372"/>
      <c r="O1372" s="8"/>
      <c r="R1372" s="9"/>
    </row>
    <row r="1373" spans="1:18" ht="15" x14ac:dyDescent="0.25">
      <c r="A1373"/>
      <c r="B1373"/>
      <c r="D1373"/>
      <c r="K1373" s="10"/>
      <c r="O1373" s="8"/>
      <c r="R1373" s="9"/>
    </row>
    <row r="1374" spans="1:18" ht="15" x14ac:dyDescent="0.25">
      <c r="A1374"/>
      <c r="B1374"/>
      <c r="D1374"/>
      <c r="K1374" s="10"/>
      <c r="O1374" s="8"/>
      <c r="R1374" s="9"/>
    </row>
    <row r="1375" spans="1:18" ht="15" x14ac:dyDescent="0.25">
      <c r="A1375"/>
      <c r="B1375"/>
      <c r="D1375"/>
      <c r="O1375" s="8"/>
      <c r="R1375" s="9"/>
    </row>
    <row r="1376" spans="1:18" ht="15" x14ac:dyDescent="0.25">
      <c r="A1376"/>
      <c r="B1376"/>
      <c r="D1376"/>
      <c r="O1376" s="8"/>
      <c r="R1376" s="9"/>
    </row>
    <row r="1377" spans="1:18" ht="15" x14ac:dyDescent="0.25">
      <c r="A1377"/>
      <c r="B1377"/>
      <c r="D1377"/>
      <c r="O1377" s="8"/>
      <c r="R1377" s="9"/>
    </row>
    <row r="1378" spans="1:18" ht="15" x14ac:dyDescent="0.25">
      <c r="A1378"/>
      <c r="B1378"/>
      <c r="D1378"/>
      <c r="O1378" s="8"/>
      <c r="R1378" s="9"/>
    </row>
    <row r="1379" spans="1:18" ht="15" x14ac:dyDescent="0.25">
      <c r="A1379"/>
      <c r="B1379"/>
      <c r="D1379"/>
      <c r="O1379" s="8"/>
      <c r="R1379" s="9"/>
    </row>
    <row r="1380" spans="1:18" ht="15" x14ac:dyDescent="0.25">
      <c r="A1380"/>
      <c r="B1380"/>
      <c r="D1380"/>
      <c r="O1380" s="8"/>
      <c r="R1380" s="9"/>
    </row>
    <row r="1381" spans="1:18" ht="15" x14ac:dyDescent="0.25">
      <c r="A1381"/>
      <c r="B1381"/>
      <c r="D1381"/>
      <c r="O1381" s="8"/>
      <c r="R1381" s="9"/>
    </row>
    <row r="1382" spans="1:18" ht="15" x14ac:dyDescent="0.25">
      <c r="A1382"/>
      <c r="B1382"/>
      <c r="D1382"/>
      <c r="O1382" s="8"/>
      <c r="R1382" s="9"/>
    </row>
    <row r="1383" spans="1:18" ht="15" x14ac:dyDescent="0.25">
      <c r="A1383"/>
      <c r="B1383"/>
      <c r="D1383"/>
      <c r="O1383" s="8"/>
      <c r="R1383" s="9"/>
    </row>
    <row r="1384" spans="1:18" ht="15" x14ac:dyDescent="0.25">
      <c r="A1384"/>
      <c r="B1384"/>
      <c r="D1384"/>
      <c r="O1384" s="8"/>
      <c r="R1384" s="9"/>
    </row>
    <row r="1385" spans="1:18" ht="15" x14ac:dyDescent="0.25">
      <c r="A1385"/>
      <c r="B1385"/>
      <c r="D1385"/>
      <c r="O1385" s="8"/>
      <c r="R1385" s="9"/>
    </row>
    <row r="1386" spans="1:18" ht="15" x14ac:dyDescent="0.25">
      <c r="A1386"/>
      <c r="B1386"/>
      <c r="D1386"/>
      <c r="O1386" s="8"/>
      <c r="R1386" s="9"/>
    </row>
    <row r="1387" spans="1:18" ht="15" x14ac:dyDescent="0.25">
      <c r="A1387"/>
      <c r="B1387"/>
      <c r="D1387"/>
      <c r="O1387" s="8"/>
      <c r="R1387" s="9"/>
    </row>
    <row r="1388" spans="1:18" ht="15" x14ac:dyDescent="0.25">
      <c r="A1388"/>
      <c r="B1388"/>
      <c r="D1388"/>
      <c r="O1388" s="8"/>
      <c r="R1388" s="9"/>
    </row>
    <row r="1389" spans="1:18" ht="15" x14ac:dyDescent="0.25">
      <c r="A1389"/>
      <c r="B1389"/>
      <c r="D1389"/>
      <c r="O1389" s="8"/>
      <c r="R1389" s="9"/>
    </row>
    <row r="1390" spans="1:18" ht="15" x14ac:dyDescent="0.25">
      <c r="A1390"/>
      <c r="B1390"/>
      <c r="D1390"/>
      <c r="O1390" s="8"/>
      <c r="R1390" s="9"/>
    </row>
    <row r="1391" spans="1:18" ht="15" x14ac:dyDescent="0.25">
      <c r="A1391"/>
      <c r="B1391"/>
      <c r="D1391"/>
      <c r="O1391" s="8"/>
      <c r="R1391" s="9"/>
    </row>
    <row r="1392" spans="1:18" ht="15" x14ac:dyDescent="0.25">
      <c r="A1392"/>
      <c r="B1392"/>
      <c r="D1392"/>
      <c r="O1392" s="8"/>
      <c r="R1392" s="9"/>
    </row>
    <row r="1393" spans="1:18" ht="15" x14ac:dyDescent="0.25">
      <c r="A1393"/>
      <c r="B1393"/>
      <c r="D1393"/>
      <c r="O1393" s="8"/>
      <c r="R1393" s="9"/>
    </row>
    <row r="1394" spans="1:18" ht="15" x14ac:dyDescent="0.25">
      <c r="A1394"/>
      <c r="B1394"/>
      <c r="D1394"/>
      <c r="O1394" s="8"/>
      <c r="R1394" s="9"/>
    </row>
    <row r="1395" spans="1:18" ht="15" x14ac:dyDescent="0.25">
      <c r="A1395"/>
      <c r="B1395"/>
      <c r="D1395"/>
      <c r="O1395" s="8"/>
      <c r="R1395" s="9"/>
    </row>
    <row r="1396" spans="1:18" ht="15" x14ac:dyDescent="0.25">
      <c r="A1396"/>
      <c r="B1396"/>
      <c r="D1396"/>
      <c r="O1396" s="8"/>
      <c r="R1396" s="9"/>
    </row>
    <row r="1397" spans="1:18" ht="15" x14ac:dyDescent="0.25">
      <c r="A1397"/>
      <c r="B1397"/>
      <c r="D1397"/>
      <c r="K1397" s="10"/>
      <c r="O1397" s="8"/>
      <c r="R1397" s="9"/>
    </row>
    <row r="1398" spans="1:18" ht="15" x14ac:dyDescent="0.25">
      <c r="A1398"/>
      <c r="B1398"/>
      <c r="D1398"/>
      <c r="K1398" s="10"/>
      <c r="O1398" s="8"/>
      <c r="R1398" s="9"/>
    </row>
    <row r="1399" spans="1:18" ht="15" x14ac:dyDescent="0.25">
      <c r="A1399"/>
      <c r="B1399"/>
      <c r="D1399"/>
      <c r="O1399" s="8"/>
      <c r="R1399" s="9"/>
    </row>
    <row r="1400" spans="1:18" ht="15" x14ac:dyDescent="0.25">
      <c r="A1400"/>
      <c r="B1400"/>
      <c r="D1400"/>
      <c r="O1400" s="8"/>
      <c r="R1400" s="9"/>
    </row>
    <row r="1401" spans="1:18" ht="15" x14ac:dyDescent="0.25">
      <c r="A1401"/>
      <c r="B1401"/>
      <c r="D1401"/>
      <c r="O1401" s="8"/>
      <c r="R1401" s="9"/>
    </row>
    <row r="1402" spans="1:18" ht="15" x14ac:dyDescent="0.25">
      <c r="A1402"/>
      <c r="B1402"/>
      <c r="D1402"/>
      <c r="O1402" s="8"/>
      <c r="R1402" s="9"/>
    </row>
    <row r="1403" spans="1:18" ht="15" x14ac:dyDescent="0.25">
      <c r="A1403"/>
      <c r="B1403"/>
      <c r="D1403"/>
      <c r="O1403" s="8"/>
      <c r="R1403" s="9"/>
    </row>
    <row r="1404" spans="1:18" ht="15" x14ac:dyDescent="0.25">
      <c r="A1404"/>
      <c r="B1404"/>
      <c r="D1404"/>
      <c r="O1404" s="8"/>
      <c r="R1404" s="9"/>
    </row>
    <row r="1405" spans="1:18" ht="15" x14ac:dyDescent="0.25">
      <c r="A1405"/>
      <c r="B1405"/>
      <c r="D1405"/>
      <c r="O1405" s="8"/>
      <c r="R1405" s="9"/>
    </row>
    <row r="1406" spans="1:18" ht="15" x14ac:dyDescent="0.25">
      <c r="A1406"/>
      <c r="B1406"/>
      <c r="D1406"/>
      <c r="O1406" s="8"/>
      <c r="R1406" s="9"/>
    </row>
    <row r="1407" spans="1:18" ht="15" x14ac:dyDescent="0.25">
      <c r="A1407"/>
      <c r="B1407"/>
      <c r="D1407"/>
      <c r="O1407" s="8"/>
      <c r="R1407" s="9"/>
    </row>
    <row r="1408" spans="1:18" ht="15" x14ac:dyDescent="0.25">
      <c r="A1408"/>
      <c r="B1408"/>
      <c r="D1408"/>
      <c r="O1408" s="8"/>
      <c r="R1408" s="9"/>
    </row>
    <row r="1409" spans="1:18" ht="15" x14ac:dyDescent="0.25">
      <c r="A1409"/>
      <c r="B1409"/>
      <c r="D1409"/>
      <c r="O1409" s="8"/>
      <c r="R1409" s="9"/>
    </row>
    <row r="1410" spans="1:18" ht="15" x14ac:dyDescent="0.25">
      <c r="A1410"/>
      <c r="B1410"/>
      <c r="D1410"/>
      <c r="O1410" s="8"/>
      <c r="R1410" s="9"/>
    </row>
    <row r="1411" spans="1:18" ht="15" x14ac:dyDescent="0.25">
      <c r="A1411"/>
      <c r="B1411"/>
      <c r="D1411"/>
      <c r="O1411" s="8"/>
      <c r="R1411" s="9"/>
    </row>
  </sheetData>
  <pageMargins left="0.7" right="0.7" top="0.75" bottom="0.75" header="0.3" footer="0.3"/>
  <legacy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SNFMetadata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Peddisetti, Praveen</dc:creator>
  <cp:lastModifiedBy>Peddisetti, Praveen</cp:lastModifiedBy>
  <dcterms:created xsi:type="dcterms:W3CDTF">2026-02-04T02:33:22Z</dcterms:created>
  <dcterms:modified xsi:type="dcterms:W3CDTF">2026-02-11T02:49:29Z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2b83f8d7-e91f-4eee-a336-52a8061c0503_Enabled">
    <vt:lpwstr>true</vt:lpwstr>
  </property>
  <property fmtid="{D5CDD505-2E9C-101B-9397-08002B2CF9AE}" pid="3" name="MSIP_Label_2b83f8d7-e91f-4eee-a336-52a8061c0503_SetDate">
    <vt:lpwstr>2026-02-04T02:36:29Z</vt:lpwstr>
  </property>
  <property fmtid="{D5CDD505-2E9C-101B-9397-08002B2CF9AE}" pid="4" name="MSIP_Label_2b83f8d7-e91f-4eee-a336-52a8061c0503_Method">
    <vt:lpwstr>Privileged</vt:lpwstr>
  </property>
  <property fmtid="{D5CDD505-2E9C-101B-9397-08002B2CF9AE}" pid="5" name="MSIP_Label_2b83f8d7-e91f-4eee-a336-52a8061c0503_Name">
    <vt:lpwstr>OFFICIAL</vt:lpwstr>
  </property>
  <property fmtid="{D5CDD505-2E9C-101B-9397-08002B2CF9AE}" pid="6" name="MSIP_Label_2b83f8d7-e91f-4eee-a336-52a8061c0503_SiteId">
    <vt:lpwstr>cd778b65-752d-454a-87cf-b9990fe58993</vt:lpwstr>
  </property>
  <property fmtid="{D5CDD505-2E9C-101B-9397-08002B2CF9AE}" pid="7" name="MSIP_Label_2b83f8d7-e91f-4eee-a336-52a8061c0503_ActionId">
    <vt:lpwstr>a03aaf8b-9a87-4e20-8fdc-e58e83ab78c5</vt:lpwstr>
  </property>
  <property fmtid="{D5CDD505-2E9C-101B-9397-08002B2CF9AE}" pid="8" name="MSIP_Label_2b83f8d7-e91f-4eee-a336-52a8061c0503_ContentBits">
    <vt:lpwstr>0</vt:lpwstr>
  </property>
  <property fmtid="{D5CDD505-2E9C-101B-9397-08002B2CF9AE}" pid="9" name="MSIP_Label_2b83f8d7-e91f-4eee-a336-52a8061c0503_Tag">
    <vt:lpwstr>10, 0, 1, 1</vt:lpwstr>
  </property>
</Properties>
</file>