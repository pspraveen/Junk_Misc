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ndisgovau-my.sharepoint.com/personal/tanveer_sattar_ndis_gov_au/Documents/Documents/CDOF06-Datalake/Work/CLK-Centrelink/CLK-Snowflake/"/>
    </mc:Choice>
  </mc:AlternateContent>
  <xr:revisionPtr revIDLastSave="1691" documentId="11_F25DC773A252ABDACC10481C615840F45BDE58EC" xr6:coauthVersionLast="47" xr6:coauthVersionMax="47" xr10:uidLastSave="{22B8AAB2-A504-4AE0-9FDA-8CA30234EC21}"/>
  <bookViews>
    <workbookView xWindow="-120" yWindow="-120" windowWidth="29040" windowHeight="15720" firstSheet="4" activeTab="4" xr2:uid="{00000000-000D-0000-FFFF-FFFF00000000}"/>
  </bookViews>
  <sheets>
    <sheet name="Tables" sheetId="11" r:id="rId1"/>
    <sheet name="INCR" sheetId="9" r:id="rId2"/>
    <sheet name="ETLMetadata" sheetId="4" r:id="rId3"/>
    <sheet name="Classification" sheetId="8" r:id="rId4"/>
    <sheet name="SNFMetadata" sheetId="6" r:id="rId5"/>
    <sheet name="Issues" sheetId="10" r:id="rId6"/>
    <sheet name="Sheet1" sheetId="12" r:id="rId7"/>
    <sheet name="Tables to reload" sheetId="17" r:id="rId8"/>
    <sheet name="ORIG Col Fix" sheetId="15" r:id="rId9"/>
  </sheets>
  <definedNames>
    <definedName name="_xlnm._FilterDatabase" localSheetId="3" hidden="1">Classification!$A$1:$L$1412</definedName>
    <definedName name="_xlnm._FilterDatabase" localSheetId="2" hidden="1">ETLMetadata!$A$1:$P$1412</definedName>
    <definedName name="_xlnm._FilterDatabase" localSheetId="1" hidden="1">INCR!$A$1:$Q$1232</definedName>
    <definedName name="_xlnm._FilterDatabase" localSheetId="4" hidden="1">SNFMetadata!$A$1:$V$1412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7" l="1"/>
  <c r="B4" i="17"/>
  <c r="B5" i="17"/>
  <c r="B6" i="17"/>
  <c r="B7" i="17"/>
  <c r="B8" i="17"/>
  <c r="B9" i="17"/>
  <c r="B10" i="17"/>
  <c r="B11" i="17"/>
  <c r="B12" i="17"/>
  <c r="B13" i="17"/>
  <c r="B14" i="17"/>
  <c r="B15" i="17"/>
  <c r="B16" i="17"/>
  <c r="B17" i="17"/>
  <c r="B18" i="17"/>
  <c r="B19" i="17"/>
  <c r="B20" i="17"/>
  <c r="B21" i="17"/>
  <c r="B22" i="17"/>
  <c r="B23" i="17"/>
  <c r="B24" i="17"/>
  <c r="B25" i="17"/>
  <c r="B26" i="17"/>
  <c r="B27" i="17"/>
  <c r="B28" i="17"/>
  <c r="B2" i="17"/>
  <c r="G2" i="15"/>
  <c r="G3" i="15"/>
  <c r="G4" i="15"/>
  <c r="G5" i="15"/>
  <c r="G6" i="15"/>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D2"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1" i="12"/>
  <c r="B2"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1" i="11"/>
  <c r="G1018" i="8"/>
  <c r="J316" i="6"/>
  <c r="A227" i="6"/>
  <c r="B227" i="6"/>
  <c r="C227" i="6"/>
  <c r="D227" i="6"/>
  <c r="K227" i="6"/>
  <c r="J227" i="6" s="1"/>
  <c r="L227" i="6"/>
  <c r="N227" i="6"/>
  <c r="A228" i="6"/>
  <c r="B228" i="6"/>
  <c r="C228" i="6"/>
  <c r="D228" i="6"/>
  <c r="K228" i="6"/>
  <c r="J228" i="6" s="1"/>
  <c r="L228" i="6"/>
  <c r="N228" i="6"/>
  <c r="A229" i="6"/>
  <c r="B229" i="6"/>
  <c r="C229" i="6"/>
  <c r="D229" i="6"/>
  <c r="K229" i="6"/>
  <c r="J229" i="6" s="1"/>
  <c r="L229" i="6"/>
  <c r="N229" i="6"/>
  <c r="A230" i="6"/>
  <c r="B230" i="6"/>
  <c r="C230" i="6"/>
  <c r="F230" i="6" s="1"/>
  <c r="D230" i="6"/>
  <c r="K230" i="6"/>
  <c r="J230" i="6" s="1"/>
  <c r="L230" i="6"/>
  <c r="N230" i="6"/>
  <c r="A231" i="6"/>
  <c r="B231" i="6"/>
  <c r="C231" i="6"/>
  <c r="I231" i="6" s="1"/>
  <c r="D231" i="6"/>
  <c r="K231" i="6"/>
  <c r="L231" i="6"/>
  <c r="N231" i="6"/>
  <c r="A232" i="6"/>
  <c r="B232" i="6"/>
  <c r="C232" i="6"/>
  <c r="F232" i="6" s="1"/>
  <c r="D232" i="6"/>
  <c r="K232" i="6"/>
  <c r="J232" i="6" s="1"/>
  <c r="L232" i="6"/>
  <c r="N232" i="6"/>
  <c r="A233" i="6"/>
  <c r="B233" i="6"/>
  <c r="C233" i="6"/>
  <c r="D233" i="6"/>
  <c r="K233" i="6"/>
  <c r="L233" i="6"/>
  <c r="N233" i="6"/>
  <c r="A234" i="6"/>
  <c r="B234" i="6"/>
  <c r="C234" i="6"/>
  <c r="P234" i="6" s="1"/>
  <c r="D234" i="6"/>
  <c r="K234" i="6"/>
  <c r="L234" i="6"/>
  <c r="N234" i="6"/>
  <c r="A235" i="6"/>
  <c r="B235" i="6"/>
  <c r="C235" i="6"/>
  <c r="P235" i="6" s="1"/>
  <c r="D235" i="6"/>
  <c r="K235" i="6"/>
  <c r="L235" i="6"/>
  <c r="N235" i="6"/>
  <c r="A236" i="6"/>
  <c r="B236" i="6"/>
  <c r="C236" i="6"/>
  <c r="P236" i="6" s="1"/>
  <c r="D236" i="6"/>
  <c r="K236" i="6"/>
  <c r="L236" i="6"/>
  <c r="N236" i="6"/>
  <c r="A237" i="6"/>
  <c r="B237" i="6"/>
  <c r="C237" i="6"/>
  <c r="D237" i="6"/>
  <c r="K237" i="6"/>
  <c r="L237" i="6"/>
  <c r="N237" i="6"/>
  <c r="A238" i="6"/>
  <c r="B238" i="6"/>
  <c r="C238" i="6"/>
  <c r="D238" i="6"/>
  <c r="K238" i="6"/>
  <c r="J238" i="6" s="1"/>
  <c r="L238" i="6"/>
  <c r="N238" i="6"/>
  <c r="A239" i="6"/>
  <c r="B239" i="6"/>
  <c r="C239" i="6"/>
  <c r="I239" i="6" s="1"/>
  <c r="M239" i="6" s="1"/>
  <c r="D239" i="6"/>
  <c r="K239" i="6"/>
  <c r="J239" i="6" s="1"/>
  <c r="L239" i="6"/>
  <c r="N239" i="6"/>
  <c r="A240" i="6"/>
  <c r="B240" i="6"/>
  <c r="C240" i="6"/>
  <c r="F240" i="6" s="1"/>
  <c r="D240" i="6"/>
  <c r="K240" i="6"/>
  <c r="J240" i="6" s="1"/>
  <c r="L240" i="6"/>
  <c r="N240" i="6"/>
  <c r="A241" i="6"/>
  <c r="B241" i="6"/>
  <c r="C241" i="6"/>
  <c r="P241" i="6" s="1"/>
  <c r="D241" i="6"/>
  <c r="K241" i="6"/>
  <c r="J241" i="6" s="1"/>
  <c r="L241" i="6"/>
  <c r="N241" i="6"/>
  <c r="A242" i="6"/>
  <c r="B242" i="6"/>
  <c r="C242" i="6"/>
  <c r="F242" i="6" s="1"/>
  <c r="D242" i="6"/>
  <c r="K242" i="6"/>
  <c r="J242" i="6" s="1"/>
  <c r="L242" i="6"/>
  <c r="N242" i="6"/>
  <c r="A243" i="6"/>
  <c r="B243" i="6"/>
  <c r="C243" i="6"/>
  <c r="F243" i="6" s="1"/>
  <c r="D243" i="6"/>
  <c r="K243" i="6"/>
  <c r="J243" i="6" s="1"/>
  <c r="L243" i="6"/>
  <c r="N243" i="6"/>
  <c r="A244" i="6"/>
  <c r="B244" i="6"/>
  <c r="C244" i="6"/>
  <c r="P244" i="6" s="1"/>
  <c r="D244" i="6"/>
  <c r="K244" i="6"/>
  <c r="J244" i="6" s="1"/>
  <c r="L244" i="6"/>
  <c r="A245" i="6"/>
  <c r="B245" i="6"/>
  <c r="C245" i="6"/>
  <c r="F245" i="6" s="1"/>
  <c r="D245" i="6"/>
  <c r="K245" i="6"/>
  <c r="J245" i="6" s="1"/>
  <c r="L245" i="6"/>
  <c r="N245" i="6"/>
  <c r="A246" i="6"/>
  <c r="B246" i="6"/>
  <c r="C246" i="6"/>
  <c r="I246" i="6" s="1"/>
  <c r="D246" i="6"/>
  <c r="K246" i="6"/>
  <c r="L246" i="6"/>
  <c r="N246" i="6"/>
  <c r="A247" i="6"/>
  <c r="B247" i="6"/>
  <c r="C247" i="6"/>
  <c r="I247" i="6" s="1"/>
  <c r="M247" i="6" s="1"/>
  <c r="D247" i="6"/>
  <c r="K247" i="6"/>
  <c r="L247" i="6"/>
  <c r="N247" i="6"/>
  <c r="A248" i="6"/>
  <c r="B248" i="6"/>
  <c r="C248" i="6"/>
  <c r="P248" i="6" s="1"/>
  <c r="D248" i="6"/>
  <c r="K248" i="6"/>
  <c r="J248" i="6" s="1"/>
  <c r="L248" i="6"/>
  <c r="N248" i="6"/>
  <c r="A249" i="6"/>
  <c r="B249" i="6"/>
  <c r="C249" i="6"/>
  <c r="I249" i="6" s="1"/>
  <c r="D249" i="6"/>
  <c r="K249" i="6"/>
  <c r="L249" i="6"/>
  <c r="N249" i="6"/>
  <c r="A250" i="6"/>
  <c r="B250" i="6"/>
  <c r="C250" i="6"/>
  <c r="D250" i="6"/>
  <c r="K250" i="6"/>
  <c r="J250" i="6" s="1"/>
  <c r="L250" i="6"/>
  <c r="N250" i="6"/>
  <c r="A251" i="6"/>
  <c r="B251" i="6"/>
  <c r="C251" i="6"/>
  <c r="I251" i="6" s="1"/>
  <c r="D251" i="6"/>
  <c r="K251" i="6"/>
  <c r="L251" i="6"/>
  <c r="A252" i="6"/>
  <c r="B252" i="6"/>
  <c r="C252" i="6"/>
  <c r="F252" i="6" s="1"/>
  <c r="D252" i="6"/>
  <c r="K252" i="6"/>
  <c r="L252" i="6"/>
  <c r="N252" i="6"/>
  <c r="A253" i="6"/>
  <c r="B253" i="6"/>
  <c r="C253" i="6"/>
  <c r="F253" i="6" s="1"/>
  <c r="D253" i="6"/>
  <c r="K253" i="6"/>
  <c r="J253" i="6" s="1"/>
  <c r="L253" i="6"/>
  <c r="N253" i="6"/>
  <c r="A254" i="6"/>
  <c r="B254" i="6"/>
  <c r="C254" i="6"/>
  <c r="D254" i="6"/>
  <c r="K254" i="6"/>
  <c r="L254" i="6"/>
  <c r="N254" i="6"/>
  <c r="A255" i="6"/>
  <c r="B255" i="6"/>
  <c r="C255" i="6"/>
  <c r="F255" i="6" s="1"/>
  <c r="D255" i="6"/>
  <c r="K255" i="6"/>
  <c r="J255" i="6" s="1"/>
  <c r="L255" i="6"/>
  <c r="N255" i="6"/>
  <c r="A256" i="6"/>
  <c r="B256" i="6"/>
  <c r="C256" i="6"/>
  <c r="D256" i="6"/>
  <c r="K256" i="6"/>
  <c r="J256" i="6" s="1"/>
  <c r="L256" i="6"/>
  <c r="N256" i="6"/>
  <c r="A257" i="6"/>
  <c r="B257" i="6"/>
  <c r="C257" i="6"/>
  <c r="D257" i="6"/>
  <c r="K257" i="6"/>
  <c r="J257" i="6" s="1"/>
  <c r="L257" i="6"/>
  <c r="N257" i="6"/>
  <c r="A258" i="6"/>
  <c r="B258" i="6"/>
  <c r="C258" i="6"/>
  <c r="P258" i="6" s="1"/>
  <c r="D258" i="6"/>
  <c r="K258" i="6"/>
  <c r="J258" i="6" s="1"/>
  <c r="L258" i="6"/>
  <c r="N258" i="6"/>
  <c r="A259" i="6"/>
  <c r="B259" i="6"/>
  <c r="C259" i="6"/>
  <c r="F259" i="6" s="1"/>
  <c r="D259" i="6"/>
  <c r="J259" i="6"/>
  <c r="L259" i="6"/>
  <c r="N259" i="6"/>
  <c r="A260" i="6"/>
  <c r="B260" i="6"/>
  <c r="C260" i="6"/>
  <c r="F260" i="6" s="1"/>
  <c r="D260" i="6"/>
  <c r="K260" i="6"/>
  <c r="J260" i="6" s="1"/>
  <c r="L260" i="6"/>
  <c r="N260" i="6"/>
  <c r="A261" i="6"/>
  <c r="B261" i="6"/>
  <c r="C261" i="6"/>
  <c r="F261" i="6" s="1"/>
  <c r="D261" i="6"/>
  <c r="K261" i="6"/>
  <c r="J261" i="6" s="1"/>
  <c r="L261" i="6"/>
  <c r="N261" i="6"/>
  <c r="A262" i="6"/>
  <c r="B262" i="6"/>
  <c r="C262" i="6"/>
  <c r="P262" i="6" s="1"/>
  <c r="D262" i="6"/>
  <c r="K262" i="6"/>
  <c r="L262" i="6"/>
  <c r="N262" i="6"/>
  <c r="A263" i="6"/>
  <c r="B263" i="6"/>
  <c r="C263" i="6"/>
  <c r="P263" i="6" s="1"/>
  <c r="D263" i="6"/>
  <c r="K263" i="6"/>
  <c r="L263" i="6"/>
  <c r="N263" i="6"/>
  <c r="A264" i="6"/>
  <c r="B264" i="6"/>
  <c r="C264" i="6"/>
  <c r="P264" i="6" s="1"/>
  <c r="D264" i="6"/>
  <c r="K264" i="6"/>
  <c r="L264" i="6"/>
  <c r="N264" i="6"/>
  <c r="A265" i="6"/>
  <c r="B265" i="6"/>
  <c r="C265" i="6"/>
  <c r="D265" i="6"/>
  <c r="K265" i="6"/>
  <c r="J265" i="6" s="1"/>
  <c r="L265" i="6"/>
  <c r="N265" i="6"/>
  <c r="A266" i="6"/>
  <c r="B266" i="6"/>
  <c r="C266" i="6"/>
  <c r="D266" i="6"/>
  <c r="K266" i="6"/>
  <c r="L266" i="6"/>
  <c r="N266" i="6"/>
  <c r="A267" i="6"/>
  <c r="B267" i="6"/>
  <c r="C267" i="6"/>
  <c r="F267" i="6" s="1"/>
  <c r="D267" i="6"/>
  <c r="K267" i="6"/>
  <c r="J267" i="6" s="1"/>
  <c r="L267" i="6"/>
  <c r="N267" i="6"/>
  <c r="A268" i="6"/>
  <c r="B268" i="6"/>
  <c r="C268" i="6"/>
  <c r="P268" i="6" s="1"/>
  <c r="D268" i="6"/>
  <c r="K268" i="6"/>
  <c r="J268" i="6" s="1"/>
  <c r="L268" i="6"/>
  <c r="N268" i="6"/>
  <c r="A269" i="6"/>
  <c r="B269" i="6"/>
  <c r="C269" i="6"/>
  <c r="D269" i="6"/>
  <c r="K269" i="6"/>
  <c r="J269" i="6" s="1"/>
  <c r="L269" i="6"/>
  <c r="N269" i="6"/>
  <c r="A270" i="6"/>
  <c r="B270" i="6"/>
  <c r="C270" i="6"/>
  <c r="P270" i="6" s="1"/>
  <c r="D270" i="6"/>
  <c r="K270" i="6"/>
  <c r="J270" i="6" s="1"/>
  <c r="L270" i="6"/>
  <c r="N270" i="6"/>
  <c r="A271" i="6"/>
  <c r="B271" i="6"/>
  <c r="C271" i="6"/>
  <c r="D271" i="6"/>
  <c r="K271" i="6"/>
  <c r="J271" i="6" s="1"/>
  <c r="L271" i="6"/>
  <c r="N271" i="6"/>
  <c r="A272" i="6"/>
  <c r="B272" i="6"/>
  <c r="C272" i="6"/>
  <c r="P272" i="6" s="1"/>
  <c r="D272" i="6"/>
  <c r="K272" i="6"/>
  <c r="J272" i="6" s="1"/>
  <c r="L272" i="6"/>
  <c r="N272" i="6"/>
  <c r="A273" i="6"/>
  <c r="B273" i="6"/>
  <c r="C273" i="6"/>
  <c r="P273" i="6" s="1"/>
  <c r="D273" i="6"/>
  <c r="K273" i="6"/>
  <c r="L273" i="6"/>
  <c r="N273" i="6"/>
  <c r="A274" i="6"/>
  <c r="B274" i="6"/>
  <c r="C274" i="6"/>
  <c r="F274" i="6" s="1"/>
  <c r="D274" i="6"/>
  <c r="K274" i="6"/>
  <c r="L274" i="6"/>
  <c r="N274" i="6"/>
  <c r="A275" i="6"/>
  <c r="B275" i="6"/>
  <c r="C275" i="6"/>
  <c r="D275" i="6"/>
  <c r="K275" i="6"/>
  <c r="L275" i="6"/>
  <c r="N275" i="6"/>
  <c r="A276" i="6"/>
  <c r="B276" i="6"/>
  <c r="C276" i="6"/>
  <c r="F276" i="6" s="1"/>
  <c r="D276" i="6"/>
  <c r="K276" i="6"/>
  <c r="J276" i="6" s="1"/>
  <c r="L276" i="6"/>
  <c r="N276" i="6"/>
  <c r="A277" i="6"/>
  <c r="B277" i="6"/>
  <c r="C277" i="6"/>
  <c r="P277" i="6" s="1"/>
  <c r="D277" i="6"/>
  <c r="K277" i="6"/>
  <c r="J277" i="6" s="1"/>
  <c r="L277" i="6"/>
  <c r="N277" i="6"/>
  <c r="A278" i="6"/>
  <c r="B278" i="6"/>
  <c r="C278" i="6"/>
  <c r="D278" i="6"/>
  <c r="K278" i="6"/>
  <c r="J278" i="6" s="1"/>
  <c r="L278" i="6"/>
  <c r="N278" i="6"/>
  <c r="A279" i="6"/>
  <c r="B279" i="6"/>
  <c r="C279" i="6"/>
  <c r="P279" i="6" s="1"/>
  <c r="D279" i="6"/>
  <c r="K279" i="6"/>
  <c r="J279" i="6" s="1"/>
  <c r="L279" i="6"/>
  <c r="N279" i="6"/>
  <c r="A280" i="6"/>
  <c r="B280" i="6"/>
  <c r="C280" i="6"/>
  <c r="D280" i="6"/>
  <c r="K280" i="6"/>
  <c r="J280" i="6" s="1"/>
  <c r="L280" i="6"/>
  <c r="N280" i="6"/>
  <c r="A281" i="6"/>
  <c r="B281" i="6"/>
  <c r="C281" i="6"/>
  <c r="P281" i="6" s="1"/>
  <c r="D281" i="6"/>
  <c r="K281" i="6"/>
  <c r="L281" i="6"/>
  <c r="N281" i="6"/>
  <c r="A282" i="6"/>
  <c r="B282" i="6"/>
  <c r="C282" i="6"/>
  <c r="I282" i="6" s="1"/>
  <c r="D282" i="6"/>
  <c r="K282" i="6"/>
  <c r="J282" i="6" s="1"/>
  <c r="L282" i="6"/>
  <c r="N282" i="6"/>
  <c r="A283" i="6"/>
  <c r="B283" i="6"/>
  <c r="C283" i="6"/>
  <c r="P283" i="6" s="1"/>
  <c r="D283" i="6"/>
  <c r="K283" i="6"/>
  <c r="J283" i="6" s="1"/>
  <c r="L283" i="6"/>
  <c r="N283" i="6"/>
  <c r="A284" i="6"/>
  <c r="B284" i="6"/>
  <c r="C284" i="6"/>
  <c r="D284" i="6"/>
  <c r="K284" i="6"/>
  <c r="J284" i="6" s="1"/>
  <c r="L284" i="6"/>
  <c r="N284" i="6"/>
  <c r="A285" i="6"/>
  <c r="B285" i="6"/>
  <c r="C285" i="6"/>
  <c r="D285" i="6"/>
  <c r="K285" i="6"/>
  <c r="J285" i="6" s="1"/>
  <c r="L285" i="6"/>
  <c r="N285" i="6"/>
  <c r="A286" i="6"/>
  <c r="B286" i="6"/>
  <c r="C286" i="6"/>
  <c r="D286" i="6"/>
  <c r="K286" i="6"/>
  <c r="J286" i="6" s="1"/>
  <c r="L286" i="6"/>
  <c r="N286" i="6"/>
  <c r="A287" i="6"/>
  <c r="B287" i="6"/>
  <c r="C287" i="6"/>
  <c r="F287" i="6" s="1"/>
  <c r="D287" i="6"/>
  <c r="K287" i="6"/>
  <c r="J287" i="6" s="1"/>
  <c r="L287" i="6"/>
  <c r="N287" i="6"/>
  <c r="A288" i="6"/>
  <c r="B288" i="6"/>
  <c r="C288" i="6"/>
  <c r="D288" i="6"/>
  <c r="K288" i="6"/>
  <c r="J288" i="6" s="1"/>
  <c r="L288" i="6"/>
  <c r="N288" i="6"/>
  <c r="A289" i="6"/>
  <c r="B289" i="6"/>
  <c r="C289" i="6"/>
  <c r="I289" i="6" s="1"/>
  <c r="M289" i="6" s="1"/>
  <c r="D289" i="6"/>
  <c r="K289" i="6"/>
  <c r="J289" i="6" s="1"/>
  <c r="L289" i="6"/>
  <c r="N289" i="6"/>
  <c r="A290" i="6"/>
  <c r="B290" i="6"/>
  <c r="C290" i="6"/>
  <c r="P290" i="6" s="1"/>
  <c r="D290" i="6"/>
  <c r="K290" i="6"/>
  <c r="J290" i="6" s="1"/>
  <c r="L290" i="6"/>
  <c r="N290" i="6"/>
  <c r="A291" i="6"/>
  <c r="B291" i="6"/>
  <c r="C291" i="6"/>
  <c r="D291" i="6"/>
  <c r="K291" i="6"/>
  <c r="J291" i="6" s="1"/>
  <c r="L291" i="6"/>
  <c r="N291" i="6"/>
  <c r="A292" i="6"/>
  <c r="B292" i="6"/>
  <c r="C292" i="6"/>
  <c r="D292" i="6"/>
  <c r="K292" i="6"/>
  <c r="J292" i="6" s="1"/>
  <c r="L292" i="6"/>
  <c r="N292" i="6"/>
  <c r="A293" i="6"/>
  <c r="B293" i="6"/>
  <c r="C293" i="6"/>
  <c r="D293" i="6"/>
  <c r="K293" i="6"/>
  <c r="L293" i="6"/>
  <c r="N293" i="6"/>
  <c r="A294" i="6"/>
  <c r="B294" i="6"/>
  <c r="C294" i="6"/>
  <c r="P294" i="6" s="1"/>
  <c r="D294" i="6"/>
  <c r="K294" i="6"/>
  <c r="J294" i="6" s="1"/>
  <c r="L294" i="6"/>
  <c r="N294" i="6"/>
  <c r="A295" i="6"/>
  <c r="B295" i="6"/>
  <c r="C295" i="6"/>
  <c r="D295" i="6"/>
  <c r="K295" i="6"/>
  <c r="J295" i="6" s="1"/>
  <c r="L295" i="6"/>
  <c r="N295" i="6"/>
  <c r="A296" i="6"/>
  <c r="B296" i="6"/>
  <c r="C296" i="6"/>
  <c r="F296" i="6" s="1"/>
  <c r="D296" i="6"/>
  <c r="J296" i="6"/>
  <c r="L296" i="6"/>
  <c r="N296" i="6"/>
  <c r="A297" i="6"/>
  <c r="B297" i="6"/>
  <c r="C297" i="6"/>
  <c r="F297" i="6" s="1"/>
  <c r="D297" i="6"/>
  <c r="J297" i="6"/>
  <c r="L297" i="6"/>
  <c r="N297" i="6"/>
  <c r="A298" i="6"/>
  <c r="B298" i="6"/>
  <c r="C298" i="6"/>
  <c r="D298" i="6"/>
  <c r="K298" i="6"/>
  <c r="J298" i="6" s="1"/>
  <c r="L298" i="6"/>
  <c r="N298" i="6"/>
  <c r="A299" i="6"/>
  <c r="B299" i="6"/>
  <c r="C299" i="6"/>
  <c r="P299" i="6" s="1"/>
  <c r="D299" i="6"/>
  <c r="K299" i="6"/>
  <c r="L299" i="6"/>
  <c r="N299" i="6"/>
  <c r="A300" i="6"/>
  <c r="B300" i="6"/>
  <c r="C300" i="6"/>
  <c r="F300" i="6" s="1"/>
  <c r="D300" i="6"/>
  <c r="K300" i="6"/>
  <c r="J300" i="6" s="1"/>
  <c r="L300" i="6"/>
  <c r="N300" i="6"/>
  <c r="A301" i="6"/>
  <c r="B301" i="6"/>
  <c r="C301" i="6"/>
  <c r="D301" i="6"/>
  <c r="K301" i="6"/>
  <c r="J301" i="6" s="1"/>
  <c r="L301" i="6"/>
  <c r="N301" i="6"/>
  <c r="A302" i="6"/>
  <c r="B302" i="6"/>
  <c r="C302" i="6"/>
  <c r="I302" i="6" s="1"/>
  <c r="D302" i="6"/>
  <c r="K302" i="6"/>
  <c r="L302" i="6"/>
  <c r="N302" i="6"/>
  <c r="A303" i="6"/>
  <c r="B303" i="6"/>
  <c r="C303" i="6"/>
  <c r="D303" i="6"/>
  <c r="K303" i="6"/>
  <c r="L303" i="6"/>
  <c r="N303" i="6"/>
  <c r="A304" i="6"/>
  <c r="B304" i="6"/>
  <c r="C304" i="6"/>
  <c r="I304" i="6" s="1"/>
  <c r="M304" i="6" s="1"/>
  <c r="D304" i="6"/>
  <c r="K304" i="6"/>
  <c r="L304" i="6"/>
  <c r="N304" i="6"/>
  <c r="A305" i="6"/>
  <c r="B305" i="6"/>
  <c r="C305" i="6"/>
  <c r="F305" i="6" s="1"/>
  <c r="D305" i="6"/>
  <c r="K305" i="6"/>
  <c r="L305" i="6"/>
  <c r="N305" i="6"/>
  <c r="A306" i="6"/>
  <c r="B306" i="6"/>
  <c r="C306" i="6"/>
  <c r="D306" i="6"/>
  <c r="K306" i="6"/>
  <c r="L306" i="6"/>
  <c r="N306" i="6"/>
  <c r="A307" i="6"/>
  <c r="B307" i="6"/>
  <c r="C307" i="6"/>
  <c r="D307" i="6"/>
  <c r="K307" i="6"/>
  <c r="J307" i="6" s="1"/>
  <c r="L307" i="6"/>
  <c r="N307" i="6"/>
  <c r="A308" i="6"/>
  <c r="B308" i="6"/>
  <c r="C308" i="6"/>
  <c r="D308" i="6"/>
  <c r="K308" i="6"/>
  <c r="J308" i="6" s="1"/>
  <c r="L308" i="6"/>
  <c r="N308" i="6"/>
  <c r="A309" i="6"/>
  <c r="B309" i="6"/>
  <c r="C309" i="6"/>
  <c r="D309" i="6"/>
  <c r="K309" i="6"/>
  <c r="L309" i="6"/>
  <c r="N309" i="6"/>
  <c r="A310" i="6"/>
  <c r="B310" i="6"/>
  <c r="C310" i="6"/>
  <c r="I310" i="6" s="1"/>
  <c r="D310" i="6"/>
  <c r="K310" i="6"/>
  <c r="L310" i="6"/>
  <c r="N310" i="6"/>
  <c r="A311" i="6"/>
  <c r="B311" i="6"/>
  <c r="C311" i="6"/>
  <c r="F311" i="6" s="1"/>
  <c r="D311" i="6"/>
  <c r="K311" i="6"/>
  <c r="J311" i="6" s="1"/>
  <c r="L311" i="6"/>
  <c r="N311" i="6"/>
  <c r="A312" i="6"/>
  <c r="B312" i="6"/>
  <c r="C312" i="6"/>
  <c r="F312" i="6" s="1"/>
  <c r="D312" i="6"/>
  <c r="K312" i="6"/>
  <c r="J312" i="6" s="1"/>
  <c r="L312" i="6"/>
  <c r="N312" i="6"/>
  <c r="A313" i="6"/>
  <c r="B313" i="6"/>
  <c r="C313" i="6"/>
  <c r="P313" i="6" s="1"/>
  <c r="D313" i="6"/>
  <c r="K313" i="6"/>
  <c r="J313" i="6" s="1"/>
  <c r="L313" i="6"/>
  <c r="N313" i="6"/>
  <c r="A314" i="6"/>
  <c r="B314" i="6"/>
  <c r="C314" i="6"/>
  <c r="F314" i="6" s="1"/>
  <c r="D314" i="6"/>
  <c r="K314" i="6"/>
  <c r="L314" i="6"/>
  <c r="N314" i="6"/>
  <c r="A315" i="6"/>
  <c r="B315" i="6"/>
  <c r="C315" i="6"/>
  <c r="I315" i="6" s="1"/>
  <c r="D315" i="6"/>
  <c r="K315" i="6"/>
  <c r="L315" i="6"/>
  <c r="N315" i="6"/>
  <c r="A316" i="6"/>
  <c r="B316" i="6"/>
  <c r="C316" i="6"/>
  <c r="F316" i="6" s="1"/>
  <c r="D316" i="6"/>
  <c r="L316" i="6"/>
  <c r="N316" i="6"/>
  <c r="A317" i="6"/>
  <c r="B317" i="6"/>
  <c r="C317" i="6"/>
  <c r="D317" i="6"/>
  <c r="J317" i="6"/>
  <c r="L317" i="6"/>
  <c r="N317" i="6"/>
  <c r="A318" i="6"/>
  <c r="B318" i="6"/>
  <c r="C318" i="6"/>
  <c r="P318" i="6" s="1"/>
  <c r="D318" i="6"/>
  <c r="K318" i="6"/>
  <c r="J318" i="6" s="1"/>
  <c r="L318" i="6"/>
  <c r="N318" i="6"/>
  <c r="A319" i="6"/>
  <c r="B319" i="6"/>
  <c r="C319" i="6"/>
  <c r="F319" i="6" s="1"/>
  <c r="D319" i="6"/>
  <c r="K319" i="6"/>
  <c r="L319" i="6"/>
  <c r="N319" i="6"/>
  <c r="A320" i="6"/>
  <c r="B320" i="6"/>
  <c r="C320" i="6"/>
  <c r="D320" i="6"/>
  <c r="K320" i="6"/>
  <c r="L320" i="6"/>
  <c r="N320" i="6"/>
  <c r="A321" i="6"/>
  <c r="B321" i="6"/>
  <c r="C321" i="6"/>
  <c r="F321" i="6" s="1"/>
  <c r="D321" i="6"/>
  <c r="K321" i="6"/>
  <c r="L321" i="6"/>
  <c r="N321" i="6"/>
  <c r="A322" i="6"/>
  <c r="B322" i="6"/>
  <c r="C322" i="6"/>
  <c r="P322" i="6" s="1"/>
  <c r="D322" i="6"/>
  <c r="K322" i="6"/>
  <c r="J322" i="6" s="1"/>
  <c r="L322" i="6"/>
  <c r="N322" i="6"/>
  <c r="A323" i="6"/>
  <c r="B323" i="6"/>
  <c r="C323" i="6"/>
  <c r="I323" i="6" s="1"/>
  <c r="D323" i="6"/>
  <c r="K323" i="6"/>
  <c r="J323" i="6" s="1"/>
  <c r="L323" i="6"/>
  <c r="N323" i="6"/>
  <c r="A324" i="6"/>
  <c r="B324" i="6"/>
  <c r="C324" i="6"/>
  <c r="F324" i="6" s="1"/>
  <c r="D324" i="6"/>
  <c r="K324" i="6"/>
  <c r="J324" i="6" s="1"/>
  <c r="L324" i="6"/>
  <c r="N324" i="6"/>
  <c r="A325" i="6"/>
  <c r="B325" i="6"/>
  <c r="C325" i="6"/>
  <c r="I325" i="6" s="1"/>
  <c r="M325" i="6" s="1"/>
  <c r="D325" i="6"/>
  <c r="K325" i="6"/>
  <c r="L325" i="6"/>
  <c r="N325" i="6"/>
  <c r="A326" i="6"/>
  <c r="B326" i="6"/>
  <c r="C326" i="6"/>
  <c r="F326" i="6" s="1"/>
  <c r="D326" i="6"/>
  <c r="K326" i="6"/>
  <c r="L326" i="6"/>
  <c r="N326" i="6"/>
  <c r="A327" i="6"/>
  <c r="B327" i="6"/>
  <c r="C327" i="6"/>
  <c r="P327" i="6" s="1"/>
  <c r="D327" i="6"/>
  <c r="K327" i="6"/>
  <c r="L327" i="6"/>
  <c r="N327" i="6"/>
  <c r="A328" i="6"/>
  <c r="B328" i="6"/>
  <c r="C328" i="6"/>
  <c r="D328" i="6"/>
  <c r="K328" i="6"/>
  <c r="L328" i="6"/>
  <c r="N328" i="6"/>
  <c r="A329" i="6"/>
  <c r="B329" i="6"/>
  <c r="C329" i="6"/>
  <c r="F329" i="6" s="1"/>
  <c r="D329" i="6"/>
  <c r="K329" i="6"/>
  <c r="L329" i="6"/>
  <c r="N329" i="6"/>
  <c r="A330" i="6"/>
  <c r="B330" i="6"/>
  <c r="C330" i="6"/>
  <c r="D330" i="6"/>
  <c r="K330" i="6"/>
  <c r="J330" i="6" s="1"/>
  <c r="L330" i="6"/>
  <c r="N330" i="6"/>
  <c r="A331" i="6"/>
  <c r="B331" i="6"/>
  <c r="C331" i="6"/>
  <c r="F331" i="6" s="1"/>
  <c r="D331" i="6"/>
  <c r="K331" i="6"/>
  <c r="L331" i="6"/>
  <c r="N331" i="6"/>
  <c r="A332" i="6"/>
  <c r="B332" i="6"/>
  <c r="C332" i="6"/>
  <c r="D332" i="6"/>
  <c r="K332" i="6"/>
  <c r="L332" i="6"/>
  <c r="N332" i="6"/>
  <c r="A333" i="6"/>
  <c r="B333" i="6"/>
  <c r="C333" i="6"/>
  <c r="D333" i="6"/>
  <c r="K333" i="6"/>
  <c r="J333" i="6" s="1"/>
  <c r="L333" i="6"/>
  <c r="N333" i="6"/>
  <c r="A334" i="6"/>
  <c r="B334" i="6"/>
  <c r="C334" i="6"/>
  <c r="D334" i="6"/>
  <c r="K334" i="6"/>
  <c r="J334" i="6" s="1"/>
  <c r="L334" i="6"/>
  <c r="N334" i="6"/>
  <c r="A335" i="6"/>
  <c r="B335" i="6"/>
  <c r="C335" i="6"/>
  <c r="F335" i="6" s="1"/>
  <c r="D335" i="6"/>
  <c r="K335" i="6"/>
  <c r="J335" i="6" s="1"/>
  <c r="L335" i="6"/>
  <c r="N335" i="6"/>
  <c r="A336" i="6"/>
  <c r="B336" i="6"/>
  <c r="C336" i="6"/>
  <c r="P336" i="6" s="1"/>
  <c r="D336" i="6"/>
  <c r="K336" i="6"/>
  <c r="J336" i="6" s="1"/>
  <c r="L336" i="6"/>
  <c r="N336" i="6"/>
  <c r="A337" i="6"/>
  <c r="B337" i="6"/>
  <c r="C337" i="6"/>
  <c r="P337" i="6" s="1"/>
  <c r="D337" i="6"/>
  <c r="K337" i="6"/>
  <c r="L337" i="6"/>
  <c r="N337" i="6"/>
  <c r="A338" i="6"/>
  <c r="B338" i="6"/>
  <c r="C338" i="6"/>
  <c r="P338" i="6" s="1"/>
  <c r="D338" i="6"/>
  <c r="K338" i="6"/>
  <c r="L338" i="6"/>
  <c r="N338" i="6"/>
  <c r="A339" i="6"/>
  <c r="B339" i="6"/>
  <c r="C339" i="6"/>
  <c r="P339" i="6" s="1"/>
  <c r="D339" i="6"/>
  <c r="J339" i="6"/>
  <c r="L339" i="6"/>
  <c r="N339" i="6"/>
  <c r="A340" i="6"/>
  <c r="B340" i="6"/>
  <c r="C340" i="6"/>
  <c r="P340" i="6" s="1"/>
  <c r="D340" i="6"/>
  <c r="L340" i="6"/>
  <c r="N340" i="6"/>
  <c r="A341" i="6"/>
  <c r="B341" i="6"/>
  <c r="C341" i="6"/>
  <c r="D341" i="6"/>
  <c r="K341" i="6"/>
  <c r="J341" i="6" s="1"/>
  <c r="L341" i="6"/>
  <c r="N341" i="6"/>
  <c r="A342" i="6"/>
  <c r="B342" i="6"/>
  <c r="C342" i="6"/>
  <c r="F342" i="6" s="1"/>
  <c r="D342" i="6"/>
  <c r="K342" i="6"/>
  <c r="J342" i="6" s="1"/>
  <c r="L342" i="6"/>
  <c r="N342" i="6"/>
  <c r="A343" i="6"/>
  <c r="B343" i="6"/>
  <c r="C343" i="6"/>
  <c r="D343" i="6"/>
  <c r="K343" i="6"/>
  <c r="J343" i="6" s="1"/>
  <c r="L343" i="6"/>
  <c r="N343" i="6"/>
  <c r="A344" i="6"/>
  <c r="B344" i="6"/>
  <c r="C344" i="6"/>
  <c r="P344" i="6" s="1"/>
  <c r="D344" i="6"/>
  <c r="K344" i="6"/>
  <c r="J344" i="6" s="1"/>
  <c r="L344" i="6"/>
  <c r="N344" i="6"/>
  <c r="A345" i="6"/>
  <c r="B345" i="6"/>
  <c r="C345" i="6"/>
  <c r="F345" i="6" s="1"/>
  <c r="D345" i="6"/>
  <c r="K345" i="6"/>
  <c r="J345" i="6" s="1"/>
  <c r="L345" i="6"/>
  <c r="N345" i="6"/>
  <c r="A346" i="6"/>
  <c r="B346" i="6"/>
  <c r="C346" i="6"/>
  <c r="P346" i="6" s="1"/>
  <c r="D346" i="6"/>
  <c r="K346" i="6"/>
  <c r="J346" i="6" s="1"/>
  <c r="L346" i="6"/>
  <c r="N346" i="6"/>
  <c r="A347" i="6"/>
  <c r="B347" i="6"/>
  <c r="C347" i="6"/>
  <c r="P347" i="6" s="1"/>
  <c r="D347" i="6"/>
  <c r="K347" i="6"/>
  <c r="L347" i="6"/>
  <c r="N347" i="6"/>
  <c r="A348" i="6"/>
  <c r="B348" i="6"/>
  <c r="C348" i="6"/>
  <c r="D348" i="6"/>
  <c r="K348" i="6"/>
  <c r="J348" i="6" s="1"/>
  <c r="L348" i="6"/>
  <c r="N348" i="6"/>
  <c r="A349" i="6"/>
  <c r="B349" i="6"/>
  <c r="C349" i="6"/>
  <c r="D349" i="6"/>
  <c r="K349" i="6"/>
  <c r="L349" i="6"/>
  <c r="N349" i="6"/>
  <c r="A350" i="6"/>
  <c r="B350" i="6"/>
  <c r="C350" i="6"/>
  <c r="I350" i="6" s="1"/>
  <c r="D350" i="6"/>
  <c r="K350" i="6"/>
  <c r="J350" i="6" s="1"/>
  <c r="L350" i="6"/>
  <c r="N350" i="6"/>
  <c r="A351" i="6"/>
  <c r="B351" i="6"/>
  <c r="C351" i="6"/>
  <c r="F351" i="6" s="1"/>
  <c r="D351" i="6"/>
  <c r="K351" i="6"/>
  <c r="L351" i="6"/>
  <c r="N351" i="6"/>
  <c r="A352" i="6"/>
  <c r="B352" i="6"/>
  <c r="C352" i="6"/>
  <c r="F352" i="6" s="1"/>
  <c r="D352" i="6"/>
  <c r="K352" i="6"/>
  <c r="L352" i="6"/>
  <c r="N352" i="6"/>
  <c r="A353" i="6"/>
  <c r="B353" i="6"/>
  <c r="C353" i="6"/>
  <c r="D353" i="6"/>
  <c r="K353" i="6"/>
  <c r="J353" i="6" s="1"/>
  <c r="L353" i="6"/>
  <c r="N353" i="6"/>
  <c r="A354" i="6"/>
  <c r="B354" i="6"/>
  <c r="C354" i="6"/>
  <c r="P354" i="6" s="1"/>
  <c r="D354" i="6"/>
  <c r="K354" i="6"/>
  <c r="L354" i="6"/>
  <c r="N354" i="6"/>
  <c r="A355" i="6"/>
  <c r="B355" i="6"/>
  <c r="C355" i="6"/>
  <c r="D355" i="6"/>
  <c r="K355" i="6"/>
  <c r="J355" i="6" s="1"/>
  <c r="L355" i="6"/>
  <c r="N355" i="6"/>
  <c r="A356" i="6"/>
  <c r="B356" i="6"/>
  <c r="C356" i="6"/>
  <c r="P356" i="6" s="1"/>
  <c r="D356" i="6"/>
  <c r="K356" i="6"/>
  <c r="L356" i="6"/>
  <c r="N356" i="6"/>
  <c r="A357" i="6"/>
  <c r="B357" i="6"/>
  <c r="C357" i="6"/>
  <c r="I357" i="6" s="1"/>
  <c r="D357" i="6"/>
  <c r="K357" i="6"/>
  <c r="L357" i="6"/>
  <c r="N357" i="6"/>
  <c r="A358" i="6"/>
  <c r="B358" i="6"/>
  <c r="C358" i="6"/>
  <c r="I358" i="6" s="1"/>
  <c r="M358" i="6" s="1"/>
  <c r="D358" i="6"/>
  <c r="K358" i="6"/>
  <c r="L358" i="6"/>
  <c r="N358" i="6"/>
  <c r="A359" i="6"/>
  <c r="B359" i="6"/>
  <c r="C359" i="6"/>
  <c r="I359" i="6" s="1"/>
  <c r="D359" i="6"/>
  <c r="K359" i="6"/>
  <c r="J359" i="6" s="1"/>
  <c r="L359" i="6"/>
  <c r="N359" i="6"/>
  <c r="A360" i="6"/>
  <c r="B360" i="6"/>
  <c r="C360" i="6"/>
  <c r="P360" i="6" s="1"/>
  <c r="D360" i="6"/>
  <c r="K360" i="6"/>
  <c r="L360" i="6"/>
  <c r="N360" i="6"/>
  <c r="A361" i="6"/>
  <c r="B361" i="6"/>
  <c r="C361" i="6"/>
  <c r="F361" i="6" s="1"/>
  <c r="D361" i="6"/>
  <c r="K361" i="6"/>
  <c r="J361" i="6" s="1"/>
  <c r="L361" i="6"/>
  <c r="N361" i="6"/>
  <c r="A362" i="6"/>
  <c r="B362" i="6"/>
  <c r="C362" i="6"/>
  <c r="P362" i="6" s="1"/>
  <c r="D362" i="6"/>
  <c r="J362" i="6"/>
  <c r="L362" i="6"/>
  <c r="N362" i="6"/>
  <c r="A363" i="6"/>
  <c r="B363" i="6"/>
  <c r="C363" i="6"/>
  <c r="P363" i="6" s="1"/>
  <c r="D363" i="6"/>
  <c r="J363" i="6"/>
  <c r="L363" i="6"/>
  <c r="N363" i="6"/>
  <c r="A364" i="6"/>
  <c r="B364" i="6"/>
  <c r="C364" i="6"/>
  <c r="D364" i="6"/>
  <c r="K364" i="6"/>
  <c r="L364" i="6"/>
  <c r="N364" i="6"/>
  <c r="A365" i="6"/>
  <c r="B365" i="6"/>
  <c r="C365" i="6"/>
  <c r="I365" i="6" s="1"/>
  <c r="M365" i="6" s="1"/>
  <c r="D365" i="6"/>
  <c r="K365" i="6"/>
  <c r="J365" i="6" s="1"/>
  <c r="L365" i="6"/>
  <c r="N365" i="6"/>
  <c r="A366" i="6"/>
  <c r="B366" i="6"/>
  <c r="C366" i="6"/>
  <c r="F366" i="6" s="1"/>
  <c r="D366" i="6"/>
  <c r="K366" i="6"/>
  <c r="J366" i="6" s="1"/>
  <c r="L366" i="6"/>
  <c r="N366" i="6"/>
  <c r="A367" i="6"/>
  <c r="B367" i="6"/>
  <c r="C367" i="6"/>
  <c r="P367" i="6" s="1"/>
  <c r="D367" i="6"/>
  <c r="K367" i="6"/>
  <c r="J367" i="6" s="1"/>
  <c r="L367" i="6"/>
  <c r="N367" i="6"/>
  <c r="A368" i="6"/>
  <c r="B368" i="6"/>
  <c r="C368" i="6"/>
  <c r="F368" i="6" s="1"/>
  <c r="D368" i="6"/>
  <c r="K368" i="6"/>
  <c r="J368" i="6" s="1"/>
  <c r="L368" i="6"/>
  <c r="N368" i="6"/>
  <c r="A369" i="6"/>
  <c r="B369" i="6"/>
  <c r="C369" i="6"/>
  <c r="D369" i="6"/>
  <c r="K369" i="6"/>
  <c r="L369" i="6"/>
  <c r="N369" i="6"/>
  <c r="A370" i="6"/>
  <c r="B370" i="6"/>
  <c r="C370" i="6"/>
  <c r="P370" i="6" s="1"/>
  <c r="D370" i="6"/>
  <c r="K370" i="6"/>
  <c r="J370" i="6" s="1"/>
  <c r="L370" i="6"/>
  <c r="N370" i="6"/>
  <c r="A371" i="6"/>
  <c r="B371" i="6"/>
  <c r="C371" i="6"/>
  <c r="P371" i="6" s="1"/>
  <c r="D371" i="6"/>
  <c r="K371" i="6"/>
  <c r="L371" i="6"/>
  <c r="N371" i="6"/>
  <c r="A372" i="6"/>
  <c r="B372" i="6"/>
  <c r="C372" i="6"/>
  <c r="D372" i="6"/>
  <c r="K372" i="6"/>
  <c r="J372" i="6" s="1"/>
  <c r="L372" i="6"/>
  <c r="N372" i="6"/>
  <c r="A373" i="6"/>
  <c r="B373" i="6"/>
  <c r="C373" i="6"/>
  <c r="P373" i="6" s="1"/>
  <c r="D373" i="6"/>
  <c r="K373" i="6"/>
  <c r="J373" i="6" s="1"/>
  <c r="L373" i="6"/>
  <c r="N373" i="6"/>
  <c r="A374" i="6"/>
  <c r="B374" i="6"/>
  <c r="C374" i="6"/>
  <c r="P374" i="6" s="1"/>
  <c r="D374" i="6"/>
  <c r="K374" i="6"/>
  <c r="J374" i="6" s="1"/>
  <c r="L374" i="6"/>
  <c r="N374" i="6"/>
  <c r="A375" i="6"/>
  <c r="B375" i="6"/>
  <c r="C375" i="6"/>
  <c r="D375" i="6"/>
  <c r="K375" i="6"/>
  <c r="J375" i="6" s="1"/>
  <c r="L375" i="6"/>
  <c r="N375" i="6"/>
  <c r="A376" i="6"/>
  <c r="B376" i="6"/>
  <c r="C376" i="6"/>
  <c r="D376" i="6"/>
  <c r="K376" i="6"/>
  <c r="L376" i="6"/>
  <c r="N376" i="6"/>
  <c r="A377" i="6"/>
  <c r="B377" i="6"/>
  <c r="C377" i="6"/>
  <c r="D377" i="6"/>
  <c r="K377" i="6"/>
  <c r="J377" i="6" s="1"/>
  <c r="L377" i="6"/>
  <c r="N377" i="6"/>
  <c r="A378" i="6"/>
  <c r="B378" i="6"/>
  <c r="C378" i="6"/>
  <c r="I378" i="6" s="1"/>
  <c r="D378" i="6"/>
  <c r="K378" i="6"/>
  <c r="J378" i="6" s="1"/>
  <c r="L378" i="6"/>
  <c r="N378" i="6"/>
  <c r="A379" i="6"/>
  <c r="B379" i="6"/>
  <c r="C379" i="6"/>
  <c r="F379" i="6" s="1"/>
  <c r="D379" i="6"/>
  <c r="K379" i="6"/>
  <c r="J379" i="6" s="1"/>
  <c r="L379" i="6"/>
  <c r="N379" i="6"/>
  <c r="A380" i="6"/>
  <c r="B380" i="6"/>
  <c r="C380" i="6"/>
  <c r="D380" i="6"/>
  <c r="K380" i="6"/>
  <c r="L380" i="6"/>
  <c r="N380" i="6"/>
  <c r="A381" i="6"/>
  <c r="B381" i="6"/>
  <c r="C381" i="6"/>
  <c r="D381" i="6"/>
  <c r="K381" i="6"/>
  <c r="J381" i="6" s="1"/>
  <c r="L381" i="6"/>
  <c r="N381" i="6"/>
  <c r="A382" i="6"/>
  <c r="B382" i="6"/>
  <c r="C382" i="6"/>
  <c r="D382" i="6"/>
  <c r="K382" i="6"/>
  <c r="J382" i="6" s="1"/>
  <c r="L382" i="6"/>
  <c r="N382" i="6"/>
  <c r="A383" i="6"/>
  <c r="B383" i="6"/>
  <c r="C383" i="6"/>
  <c r="F383" i="6" s="1"/>
  <c r="D383" i="6"/>
  <c r="K383" i="6"/>
  <c r="J383" i="6" s="1"/>
  <c r="L383" i="6"/>
  <c r="N383" i="6"/>
  <c r="A384" i="6"/>
  <c r="B384" i="6"/>
  <c r="C384" i="6"/>
  <c r="P384" i="6" s="1"/>
  <c r="D384" i="6"/>
  <c r="K384" i="6"/>
  <c r="L384" i="6"/>
  <c r="N384" i="6"/>
  <c r="A385" i="6"/>
  <c r="B385" i="6"/>
  <c r="C385" i="6"/>
  <c r="P385" i="6" s="1"/>
  <c r="D385" i="6"/>
  <c r="K385" i="6"/>
  <c r="J385" i="6" s="1"/>
  <c r="L385" i="6"/>
  <c r="N385" i="6"/>
  <c r="A386" i="6"/>
  <c r="B386" i="6"/>
  <c r="C386" i="6"/>
  <c r="P386" i="6" s="1"/>
  <c r="D386" i="6"/>
  <c r="K386" i="6"/>
  <c r="L386" i="6"/>
  <c r="N386" i="6"/>
  <c r="A387" i="6"/>
  <c r="B387" i="6"/>
  <c r="C387" i="6"/>
  <c r="D387" i="6"/>
  <c r="K387" i="6"/>
  <c r="L387" i="6"/>
  <c r="N387" i="6"/>
  <c r="A388" i="6"/>
  <c r="B388" i="6"/>
  <c r="C388" i="6"/>
  <c r="F388" i="6" s="1"/>
  <c r="D388" i="6"/>
  <c r="K388" i="6"/>
  <c r="J388" i="6" s="1"/>
  <c r="L388" i="6"/>
  <c r="N388" i="6"/>
  <c r="A389" i="6"/>
  <c r="B389" i="6"/>
  <c r="C389" i="6"/>
  <c r="D389" i="6"/>
  <c r="K389" i="6"/>
  <c r="L389" i="6"/>
  <c r="N389" i="6"/>
  <c r="A390" i="6"/>
  <c r="B390" i="6"/>
  <c r="C390" i="6"/>
  <c r="D390" i="6"/>
  <c r="L390" i="6"/>
  <c r="N390" i="6"/>
  <c r="A391" i="6"/>
  <c r="B391" i="6"/>
  <c r="C391" i="6"/>
  <c r="D391" i="6"/>
  <c r="J391" i="6"/>
  <c r="L391" i="6"/>
  <c r="N391" i="6"/>
  <c r="A392" i="6"/>
  <c r="B392" i="6"/>
  <c r="C392" i="6"/>
  <c r="I392" i="6" s="1"/>
  <c r="D392" i="6"/>
  <c r="K392" i="6"/>
  <c r="J392" i="6" s="1"/>
  <c r="L392" i="6"/>
  <c r="N392" i="6"/>
  <c r="A393" i="6"/>
  <c r="B393" i="6"/>
  <c r="C393" i="6"/>
  <c r="D393" i="6"/>
  <c r="K393" i="6"/>
  <c r="L393" i="6"/>
  <c r="N393" i="6"/>
  <c r="A394" i="6"/>
  <c r="B394" i="6"/>
  <c r="C394" i="6"/>
  <c r="D394" i="6"/>
  <c r="K394" i="6"/>
  <c r="J394" i="6" s="1"/>
  <c r="L394" i="6"/>
  <c r="N394" i="6"/>
  <c r="A395" i="6"/>
  <c r="B395" i="6"/>
  <c r="C395" i="6"/>
  <c r="D395" i="6"/>
  <c r="K395" i="6"/>
  <c r="L395" i="6"/>
  <c r="N395" i="6"/>
  <c r="A396" i="6"/>
  <c r="B396" i="6"/>
  <c r="C396" i="6"/>
  <c r="D396" i="6"/>
  <c r="K396" i="6"/>
  <c r="L396" i="6"/>
  <c r="N396" i="6"/>
  <c r="A397" i="6"/>
  <c r="B397" i="6"/>
  <c r="C397" i="6"/>
  <c r="I397" i="6" s="1"/>
  <c r="M397" i="6" s="1"/>
  <c r="D397" i="6"/>
  <c r="K397" i="6"/>
  <c r="L397" i="6"/>
  <c r="N397" i="6"/>
  <c r="A398" i="6"/>
  <c r="B398" i="6"/>
  <c r="C398" i="6"/>
  <c r="P398" i="6" s="1"/>
  <c r="D398" i="6"/>
  <c r="K398" i="6"/>
  <c r="L398" i="6"/>
  <c r="N398" i="6"/>
  <c r="A399" i="6"/>
  <c r="B399" i="6"/>
  <c r="C399" i="6"/>
  <c r="D399" i="6"/>
  <c r="K399" i="6"/>
  <c r="L399" i="6"/>
  <c r="N399" i="6"/>
  <c r="A400" i="6"/>
  <c r="B400" i="6"/>
  <c r="C400" i="6"/>
  <c r="D400" i="6"/>
  <c r="K400" i="6"/>
  <c r="J400" i="6" s="1"/>
  <c r="L400" i="6"/>
  <c r="N400" i="6"/>
  <c r="A401" i="6"/>
  <c r="B401" i="6"/>
  <c r="C401" i="6"/>
  <c r="F401" i="6" s="1"/>
  <c r="D401" i="6"/>
  <c r="K401" i="6"/>
  <c r="L401" i="6"/>
  <c r="N401" i="6"/>
  <c r="A402" i="6"/>
  <c r="B402" i="6"/>
  <c r="C402" i="6"/>
  <c r="D402" i="6"/>
  <c r="K402" i="6"/>
  <c r="L402" i="6"/>
  <c r="N402" i="6"/>
  <c r="A403" i="6"/>
  <c r="B403" i="6"/>
  <c r="C403" i="6"/>
  <c r="D403" i="6"/>
  <c r="K403" i="6"/>
  <c r="J403" i="6" s="1"/>
  <c r="L403" i="6"/>
  <c r="N403" i="6"/>
  <c r="A404" i="6"/>
  <c r="B404" i="6"/>
  <c r="C404" i="6"/>
  <c r="I404" i="6" s="1"/>
  <c r="D404" i="6"/>
  <c r="K404" i="6"/>
  <c r="L404" i="6"/>
  <c r="N404" i="6"/>
  <c r="A405" i="6"/>
  <c r="B405" i="6"/>
  <c r="C405" i="6"/>
  <c r="P405" i="6" s="1"/>
  <c r="D405" i="6"/>
  <c r="K405" i="6"/>
  <c r="L405" i="6"/>
  <c r="N405" i="6"/>
  <c r="A406" i="6"/>
  <c r="B406" i="6"/>
  <c r="C406" i="6"/>
  <c r="F406" i="6" s="1"/>
  <c r="D406" i="6"/>
  <c r="K406" i="6"/>
  <c r="J406" i="6" s="1"/>
  <c r="L406" i="6"/>
  <c r="N406" i="6"/>
  <c r="A407" i="6"/>
  <c r="B407" i="6"/>
  <c r="C407" i="6"/>
  <c r="I407" i="6" s="1"/>
  <c r="M407" i="6" s="1"/>
  <c r="D407" i="6"/>
  <c r="L407" i="6"/>
  <c r="N407" i="6"/>
  <c r="A408" i="6"/>
  <c r="B408" i="6"/>
  <c r="C408" i="6"/>
  <c r="I408" i="6" s="1"/>
  <c r="M408" i="6" s="1"/>
  <c r="D408" i="6"/>
  <c r="L408" i="6"/>
  <c r="N408" i="6"/>
  <c r="A409" i="6"/>
  <c r="B409" i="6"/>
  <c r="C409" i="6"/>
  <c r="D409" i="6"/>
  <c r="K409" i="6"/>
  <c r="L409" i="6"/>
  <c r="N409" i="6"/>
  <c r="A410" i="6"/>
  <c r="B410" i="6"/>
  <c r="C410" i="6"/>
  <c r="D410" i="6"/>
  <c r="K410" i="6"/>
  <c r="L410" i="6"/>
  <c r="N410" i="6"/>
  <c r="A411" i="6"/>
  <c r="B411" i="6"/>
  <c r="C411" i="6"/>
  <c r="D411" i="6"/>
  <c r="K411" i="6"/>
  <c r="J411" i="6" s="1"/>
  <c r="L411" i="6"/>
  <c r="N411" i="6"/>
  <c r="A412" i="6"/>
  <c r="B412" i="6"/>
  <c r="C412" i="6"/>
  <c r="P412" i="6" s="1"/>
  <c r="D412" i="6"/>
  <c r="K412" i="6"/>
  <c r="J412" i="6" s="1"/>
  <c r="L412" i="6"/>
  <c r="N412" i="6"/>
  <c r="A413" i="6"/>
  <c r="B413" i="6"/>
  <c r="C413" i="6"/>
  <c r="D413" i="6"/>
  <c r="K413" i="6"/>
  <c r="J413" i="6" s="1"/>
  <c r="L413" i="6"/>
  <c r="N413" i="6"/>
  <c r="A414" i="6"/>
  <c r="B414" i="6"/>
  <c r="C414" i="6"/>
  <c r="F414" i="6" s="1"/>
  <c r="D414" i="6"/>
  <c r="K414" i="6"/>
  <c r="J414" i="6" s="1"/>
  <c r="L414" i="6"/>
  <c r="N414" i="6"/>
  <c r="A415" i="6"/>
  <c r="B415" i="6"/>
  <c r="C415" i="6"/>
  <c r="F415" i="6" s="1"/>
  <c r="D415" i="6"/>
  <c r="K415" i="6"/>
  <c r="J415" i="6" s="1"/>
  <c r="L415" i="6"/>
  <c r="N415" i="6"/>
  <c r="A416" i="6"/>
  <c r="B416" i="6"/>
  <c r="C416" i="6"/>
  <c r="P416" i="6" s="1"/>
  <c r="D416" i="6"/>
  <c r="K416" i="6"/>
  <c r="J416" i="6" s="1"/>
  <c r="L416" i="6"/>
  <c r="N416" i="6"/>
  <c r="A417" i="6"/>
  <c r="B417" i="6"/>
  <c r="C417" i="6"/>
  <c r="D417" i="6"/>
  <c r="K417" i="6"/>
  <c r="J417" i="6" s="1"/>
  <c r="L417" i="6"/>
  <c r="N417" i="6"/>
  <c r="A418" i="6"/>
  <c r="B418" i="6"/>
  <c r="C418" i="6"/>
  <c r="F418" i="6" s="1"/>
  <c r="D418" i="6"/>
  <c r="K418" i="6"/>
  <c r="J418" i="6" s="1"/>
  <c r="L418" i="6"/>
  <c r="N418" i="6"/>
  <c r="A419" i="6"/>
  <c r="B419" i="6"/>
  <c r="C419" i="6"/>
  <c r="D419" i="6"/>
  <c r="K419" i="6"/>
  <c r="L419" i="6"/>
  <c r="N419" i="6"/>
  <c r="A420" i="6"/>
  <c r="B420" i="6"/>
  <c r="C420" i="6"/>
  <c r="D420" i="6"/>
  <c r="K420" i="6"/>
  <c r="L420" i="6"/>
  <c r="N420" i="6"/>
  <c r="A421" i="6"/>
  <c r="B421" i="6"/>
  <c r="C421" i="6"/>
  <c r="P421" i="6" s="1"/>
  <c r="D421" i="6"/>
  <c r="K421" i="6"/>
  <c r="J421" i="6" s="1"/>
  <c r="L421" i="6"/>
  <c r="N421" i="6"/>
  <c r="A422" i="6"/>
  <c r="B422" i="6"/>
  <c r="C422" i="6"/>
  <c r="P422" i="6" s="1"/>
  <c r="D422" i="6"/>
  <c r="K422" i="6"/>
  <c r="L422" i="6"/>
  <c r="N422" i="6"/>
  <c r="A423" i="6"/>
  <c r="B423" i="6"/>
  <c r="C423" i="6"/>
  <c r="D423" i="6"/>
  <c r="K423" i="6"/>
  <c r="J423" i="6" s="1"/>
  <c r="L423" i="6"/>
  <c r="N423" i="6"/>
  <c r="A424" i="6"/>
  <c r="B424" i="6"/>
  <c r="C424" i="6"/>
  <c r="D424" i="6"/>
  <c r="K424" i="6"/>
  <c r="J424" i="6" s="1"/>
  <c r="L424" i="6"/>
  <c r="N424" i="6"/>
  <c r="A425" i="6"/>
  <c r="B425" i="6"/>
  <c r="C425" i="6"/>
  <c r="P425" i="6" s="1"/>
  <c r="D425" i="6"/>
  <c r="K425" i="6"/>
  <c r="L425" i="6"/>
  <c r="N425" i="6"/>
  <c r="A426" i="6"/>
  <c r="B426" i="6"/>
  <c r="C426" i="6"/>
  <c r="F426" i="6" s="1"/>
  <c r="D426" i="6"/>
  <c r="K426" i="6"/>
  <c r="J426" i="6" s="1"/>
  <c r="L426" i="6"/>
  <c r="N426" i="6"/>
  <c r="A427" i="6"/>
  <c r="B427" i="6"/>
  <c r="C427" i="6"/>
  <c r="I427" i="6" s="1"/>
  <c r="M427" i="6" s="1"/>
  <c r="D427" i="6"/>
  <c r="K427" i="6"/>
  <c r="J427" i="6" s="1"/>
  <c r="L427" i="6"/>
  <c r="N427" i="6"/>
  <c r="A428" i="6"/>
  <c r="B428" i="6"/>
  <c r="C428" i="6"/>
  <c r="D428" i="6"/>
  <c r="K428" i="6"/>
  <c r="J428" i="6" s="1"/>
  <c r="L428" i="6"/>
  <c r="N428" i="6"/>
  <c r="A429" i="6"/>
  <c r="B429" i="6"/>
  <c r="C429" i="6"/>
  <c r="D429" i="6"/>
  <c r="K429" i="6"/>
  <c r="L429" i="6"/>
  <c r="N429" i="6"/>
  <c r="A430" i="6"/>
  <c r="B430" i="6"/>
  <c r="C430" i="6"/>
  <c r="I430" i="6" s="1"/>
  <c r="M430" i="6" s="1"/>
  <c r="D430" i="6"/>
  <c r="L430" i="6"/>
  <c r="N430" i="6"/>
  <c r="A431" i="6"/>
  <c r="B431" i="6"/>
  <c r="C431" i="6"/>
  <c r="I431" i="6" s="1"/>
  <c r="M431" i="6" s="1"/>
  <c r="D431" i="6"/>
  <c r="L431" i="6"/>
  <c r="N431" i="6"/>
  <c r="A432" i="6"/>
  <c r="B432" i="6"/>
  <c r="C432" i="6"/>
  <c r="I432" i="6" s="1"/>
  <c r="D432" i="6"/>
  <c r="K432" i="6"/>
  <c r="J432" i="6" s="1"/>
  <c r="L432" i="6"/>
  <c r="N432" i="6"/>
  <c r="A433" i="6"/>
  <c r="B433" i="6"/>
  <c r="C433" i="6"/>
  <c r="D433" i="6"/>
  <c r="K433" i="6"/>
  <c r="J433" i="6" s="1"/>
  <c r="L433" i="6"/>
  <c r="N433" i="6"/>
  <c r="A434" i="6"/>
  <c r="B434" i="6"/>
  <c r="C434" i="6"/>
  <c r="D434" i="6"/>
  <c r="K434" i="6"/>
  <c r="L434" i="6"/>
  <c r="N434" i="6"/>
  <c r="A435" i="6"/>
  <c r="B435" i="6"/>
  <c r="C435" i="6"/>
  <c r="F435" i="6" s="1"/>
  <c r="D435" i="6"/>
  <c r="K435" i="6"/>
  <c r="J435" i="6" s="1"/>
  <c r="L435" i="6"/>
  <c r="N435" i="6"/>
  <c r="A436" i="6"/>
  <c r="B436" i="6"/>
  <c r="C436" i="6"/>
  <c r="P436" i="6" s="1"/>
  <c r="D436" i="6"/>
  <c r="K436" i="6"/>
  <c r="L436" i="6"/>
  <c r="N436" i="6"/>
  <c r="A437" i="6"/>
  <c r="B437" i="6"/>
  <c r="C437" i="6"/>
  <c r="D437" i="6"/>
  <c r="K437" i="6"/>
  <c r="J437" i="6" s="1"/>
  <c r="L437" i="6"/>
  <c r="N437" i="6"/>
  <c r="A438" i="6"/>
  <c r="B438" i="6"/>
  <c r="C438" i="6"/>
  <c r="D438" i="6"/>
  <c r="K438" i="6"/>
  <c r="J438" i="6" s="1"/>
  <c r="L438" i="6"/>
  <c r="N438" i="6"/>
  <c r="A439" i="6"/>
  <c r="B439" i="6"/>
  <c r="C439" i="6"/>
  <c r="D439" i="6"/>
  <c r="K439" i="6"/>
  <c r="L439" i="6"/>
  <c r="N439" i="6"/>
  <c r="A440" i="6"/>
  <c r="B440" i="6"/>
  <c r="C440" i="6"/>
  <c r="P440" i="6" s="1"/>
  <c r="D440" i="6"/>
  <c r="K440" i="6"/>
  <c r="L440" i="6"/>
  <c r="N440" i="6"/>
  <c r="A441" i="6"/>
  <c r="B441" i="6"/>
  <c r="C441" i="6"/>
  <c r="F441" i="6" s="1"/>
  <c r="D441" i="6"/>
  <c r="K441" i="6"/>
  <c r="L441" i="6"/>
  <c r="N441" i="6"/>
  <c r="A442" i="6"/>
  <c r="B442" i="6"/>
  <c r="C442" i="6"/>
  <c r="F442" i="6" s="1"/>
  <c r="D442" i="6"/>
  <c r="K442" i="6"/>
  <c r="J442" i="6" s="1"/>
  <c r="L442" i="6"/>
  <c r="N442" i="6"/>
  <c r="A443" i="6"/>
  <c r="B443" i="6"/>
  <c r="C443" i="6"/>
  <c r="D443" i="6"/>
  <c r="K443" i="6"/>
  <c r="J443" i="6" s="1"/>
  <c r="L443" i="6"/>
  <c r="N443" i="6"/>
  <c r="A444" i="6"/>
  <c r="B444" i="6"/>
  <c r="C444" i="6"/>
  <c r="D444" i="6"/>
  <c r="K444" i="6"/>
  <c r="L444" i="6"/>
  <c r="N444" i="6"/>
  <c r="A445" i="6"/>
  <c r="B445" i="6"/>
  <c r="C445" i="6"/>
  <c r="D445" i="6"/>
  <c r="K445" i="6"/>
  <c r="J445" i="6" s="1"/>
  <c r="L445" i="6"/>
  <c r="N445" i="6"/>
  <c r="A446" i="6"/>
  <c r="B446" i="6"/>
  <c r="C446" i="6"/>
  <c r="D446" i="6"/>
  <c r="K446" i="6"/>
  <c r="J446" i="6" s="1"/>
  <c r="L446" i="6"/>
  <c r="N446" i="6"/>
  <c r="A447" i="6"/>
  <c r="B447" i="6"/>
  <c r="C447" i="6"/>
  <c r="D447" i="6"/>
  <c r="K447" i="6"/>
  <c r="J447" i="6" s="1"/>
  <c r="L447" i="6"/>
  <c r="N447" i="6"/>
  <c r="A448" i="6"/>
  <c r="B448" i="6"/>
  <c r="C448" i="6"/>
  <c r="F448" i="6" s="1"/>
  <c r="D448" i="6"/>
  <c r="K448" i="6"/>
  <c r="L448" i="6"/>
  <c r="N448" i="6"/>
  <c r="A449" i="6"/>
  <c r="B449" i="6"/>
  <c r="C449" i="6"/>
  <c r="D449" i="6"/>
  <c r="K449" i="6"/>
  <c r="L449" i="6"/>
  <c r="N449" i="6"/>
  <c r="A450" i="6"/>
  <c r="B450" i="6"/>
  <c r="C450" i="6"/>
  <c r="P450" i="6" s="1"/>
  <c r="D450" i="6"/>
  <c r="K450" i="6"/>
  <c r="J450" i="6" s="1"/>
  <c r="L450" i="6"/>
  <c r="N450" i="6"/>
  <c r="A451" i="6"/>
  <c r="B451" i="6"/>
  <c r="C451" i="6"/>
  <c r="D451" i="6"/>
  <c r="K451" i="6"/>
  <c r="L451" i="6"/>
  <c r="N451" i="6"/>
  <c r="A452" i="6"/>
  <c r="B452" i="6"/>
  <c r="C452" i="6"/>
  <c r="D452" i="6"/>
  <c r="K452" i="6"/>
  <c r="J452" i="6" s="1"/>
  <c r="L452" i="6"/>
  <c r="N452" i="6"/>
  <c r="A453" i="6"/>
  <c r="B453" i="6"/>
  <c r="C453" i="6"/>
  <c r="P453" i="6" s="1"/>
  <c r="D453" i="6"/>
  <c r="J453" i="6"/>
  <c r="L453" i="6"/>
  <c r="N453" i="6"/>
  <c r="A454" i="6"/>
  <c r="B454" i="6"/>
  <c r="C454" i="6"/>
  <c r="F454" i="6" s="1"/>
  <c r="D454" i="6"/>
  <c r="L454" i="6"/>
  <c r="N454" i="6"/>
  <c r="A455" i="6"/>
  <c r="B455" i="6"/>
  <c r="C455" i="6"/>
  <c r="I455" i="6" s="1"/>
  <c r="D455" i="6"/>
  <c r="K455" i="6"/>
  <c r="L455" i="6"/>
  <c r="N455" i="6"/>
  <c r="A456" i="6"/>
  <c r="B456" i="6"/>
  <c r="C456" i="6"/>
  <c r="F456" i="6" s="1"/>
  <c r="D456" i="6"/>
  <c r="K456" i="6"/>
  <c r="J456" i="6" s="1"/>
  <c r="L456" i="6"/>
  <c r="N456" i="6"/>
  <c r="A457" i="6"/>
  <c r="B457" i="6"/>
  <c r="C457" i="6"/>
  <c r="P457" i="6" s="1"/>
  <c r="D457" i="6"/>
  <c r="K457" i="6"/>
  <c r="L457" i="6"/>
  <c r="N457" i="6"/>
  <c r="A458" i="6"/>
  <c r="B458" i="6"/>
  <c r="C458" i="6"/>
  <c r="D458" i="6"/>
  <c r="K458" i="6"/>
  <c r="L458" i="6"/>
  <c r="N458" i="6"/>
  <c r="A459" i="6"/>
  <c r="B459" i="6"/>
  <c r="C459" i="6"/>
  <c r="F459" i="6" s="1"/>
  <c r="D459" i="6"/>
  <c r="K459" i="6"/>
  <c r="J459" i="6" s="1"/>
  <c r="L459" i="6"/>
  <c r="N459" i="6"/>
  <c r="A460" i="6"/>
  <c r="B460" i="6"/>
  <c r="C460" i="6"/>
  <c r="P460" i="6" s="1"/>
  <c r="D460" i="6"/>
  <c r="K460" i="6"/>
  <c r="J460" i="6" s="1"/>
  <c r="L460" i="6"/>
  <c r="N460" i="6"/>
  <c r="A461" i="6"/>
  <c r="B461" i="6"/>
  <c r="C461" i="6"/>
  <c r="F461" i="6" s="1"/>
  <c r="D461" i="6"/>
  <c r="K461" i="6"/>
  <c r="J461" i="6" s="1"/>
  <c r="L461" i="6"/>
  <c r="N461" i="6"/>
  <c r="A462" i="6"/>
  <c r="B462" i="6"/>
  <c r="C462" i="6"/>
  <c r="F462" i="6" s="1"/>
  <c r="D462" i="6"/>
  <c r="K462" i="6"/>
  <c r="L462" i="6"/>
  <c r="N462" i="6"/>
  <c r="A463" i="6"/>
  <c r="B463" i="6"/>
  <c r="C463" i="6"/>
  <c r="D463" i="6"/>
  <c r="K463" i="6"/>
  <c r="J463" i="6" s="1"/>
  <c r="L463" i="6"/>
  <c r="N463" i="6"/>
  <c r="A464" i="6"/>
  <c r="B464" i="6"/>
  <c r="C464" i="6"/>
  <c r="F464" i="6" s="1"/>
  <c r="D464" i="6"/>
  <c r="K464" i="6"/>
  <c r="L464" i="6"/>
  <c r="N464" i="6"/>
  <c r="A465" i="6"/>
  <c r="B465" i="6"/>
  <c r="C465" i="6"/>
  <c r="I465" i="6" s="1"/>
  <c r="D465" i="6"/>
  <c r="K465" i="6"/>
  <c r="J465" i="6" s="1"/>
  <c r="L465" i="6"/>
  <c r="N465" i="6"/>
  <c r="A466" i="6"/>
  <c r="B466" i="6"/>
  <c r="C466" i="6"/>
  <c r="P466" i="6" s="1"/>
  <c r="D466" i="6"/>
  <c r="K466" i="6"/>
  <c r="J466" i="6" s="1"/>
  <c r="L466" i="6"/>
  <c r="N466" i="6"/>
  <c r="A467" i="6"/>
  <c r="B467" i="6"/>
  <c r="C467" i="6"/>
  <c r="D467" i="6"/>
  <c r="K467" i="6"/>
  <c r="L467" i="6"/>
  <c r="N467" i="6"/>
  <c r="A468" i="6"/>
  <c r="B468" i="6"/>
  <c r="C468" i="6"/>
  <c r="I468" i="6" s="1"/>
  <c r="D468" i="6"/>
  <c r="K468" i="6"/>
  <c r="L468" i="6"/>
  <c r="N468" i="6"/>
  <c r="A469" i="6"/>
  <c r="B469" i="6"/>
  <c r="C469" i="6"/>
  <c r="P469" i="6" s="1"/>
  <c r="D469" i="6"/>
  <c r="K469" i="6"/>
  <c r="L469" i="6"/>
  <c r="N469" i="6"/>
  <c r="A470" i="6"/>
  <c r="B470" i="6"/>
  <c r="C470" i="6"/>
  <c r="D470" i="6"/>
  <c r="K470" i="6"/>
  <c r="L470" i="6"/>
  <c r="N470" i="6"/>
  <c r="A471" i="6"/>
  <c r="B471" i="6"/>
  <c r="C471" i="6"/>
  <c r="I471" i="6" s="1"/>
  <c r="D471" i="6"/>
  <c r="K471" i="6"/>
  <c r="J471" i="6" s="1"/>
  <c r="L471" i="6"/>
  <c r="N471" i="6"/>
  <c r="A472" i="6"/>
  <c r="B472" i="6"/>
  <c r="C472" i="6"/>
  <c r="F472" i="6" s="1"/>
  <c r="D472" i="6"/>
  <c r="K472" i="6"/>
  <c r="J472" i="6" s="1"/>
  <c r="L472" i="6"/>
  <c r="N472" i="6"/>
  <c r="A473" i="6"/>
  <c r="B473" i="6"/>
  <c r="C473" i="6"/>
  <c r="F473" i="6" s="1"/>
  <c r="D473" i="6"/>
  <c r="K473" i="6"/>
  <c r="J473" i="6" s="1"/>
  <c r="L473" i="6"/>
  <c r="N473" i="6"/>
  <c r="A474" i="6"/>
  <c r="B474" i="6"/>
  <c r="C474" i="6"/>
  <c r="D474" i="6"/>
  <c r="K474" i="6"/>
  <c r="J474" i="6" s="1"/>
  <c r="L474" i="6"/>
  <c r="N474" i="6"/>
  <c r="A475" i="6"/>
  <c r="B475" i="6"/>
  <c r="C475" i="6"/>
  <c r="D475" i="6"/>
  <c r="K475" i="6"/>
  <c r="L475" i="6"/>
  <c r="N475" i="6"/>
  <c r="A476" i="6"/>
  <c r="B476" i="6"/>
  <c r="C476" i="6"/>
  <c r="D476" i="6"/>
  <c r="L476" i="6"/>
  <c r="N476" i="6"/>
  <c r="A477" i="6"/>
  <c r="B477" i="6"/>
  <c r="C477" i="6"/>
  <c r="D477" i="6"/>
  <c r="J477" i="6"/>
  <c r="L477" i="6"/>
  <c r="N477" i="6"/>
  <c r="A478" i="6"/>
  <c r="B478" i="6"/>
  <c r="C478" i="6"/>
  <c r="D478" i="6"/>
  <c r="K478" i="6"/>
  <c r="J478" i="6" s="1"/>
  <c r="L478" i="6"/>
  <c r="N478" i="6"/>
  <c r="A479" i="6"/>
  <c r="B479" i="6"/>
  <c r="C479" i="6"/>
  <c r="D479" i="6"/>
  <c r="K479" i="6"/>
  <c r="J479" i="6" s="1"/>
  <c r="L479" i="6"/>
  <c r="N479" i="6"/>
  <c r="A480" i="6"/>
  <c r="B480" i="6"/>
  <c r="C480" i="6"/>
  <c r="F480" i="6" s="1"/>
  <c r="D480" i="6"/>
  <c r="K480" i="6"/>
  <c r="J480" i="6" s="1"/>
  <c r="L480" i="6"/>
  <c r="N480" i="6"/>
  <c r="A481" i="6"/>
  <c r="B481" i="6"/>
  <c r="C481" i="6"/>
  <c r="I481" i="6" s="1"/>
  <c r="M481" i="6" s="1"/>
  <c r="D481" i="6"/>
  <c r="K481" i="6"/>
  <c r="J481" i="6" s="1"/>
  <c r="L481" i="6"/>
  <c r="N481" i="6"/>
  <c r="A482" i="6"/>
  <c r="B482" i="6"/>
  <c r="C482" i="6"/>
  <c r="D482" i="6"/>
  <c r="K482" i="6"/>
  <c r="L482" i="6"/>
  <c r="N482" i="6"/>
  <c r="A483" i="6"/>
  <c r="B483" i="6"/>
  <c r="C483" i="6"/>
  <c r="D483" i="6"/>
  <c r="K483" i="6"/>
  <c r="J483" i="6" s="1"/>
  <c r="L483" i="6"/>
  <c r="N483" i="6"/>
  <c r="A484" i="6"/>
  <c r="B484" i="6"/>
  <c r="C484" i="6"/>
  <c r="P484" i="6" s="1"/>
  <c r="D484" i="6"/>
  <c r="K484" i="6"/>
  <c r="J484" i="6" s="1"/>
  <c r="L484" i="6"/>
  <c r="N484" i="6"/>
  <c r="A485" i="6"/>
  <c r="B485" i="6"/>
  <c r="C485" i="6"/>
  <c r="D485" i="6"/>
  <c r="K485" i="6"/>
  <c r="J485" i="6" s="1"/>
  <c r="L485" i="6"/>
  <c r="N485" i="6"/>
  <c r="A486" i="6"/>
  <c r="B486" i="6"/>
  <c r="C486" i="6"/>
  <c r="D486" i="6"/>
  <c r="K486" i="6"/>
  <c r="L486" i="6"/>
  <c r="N486" i="6"/>
  <c r="A487" i="6"/>
  <c r="B487" i="6"/>
  <c r="C487" i="6"/>
  <c r="D487" i="6"/>
  <c r="K487" i="6"/>
  <c r="J487" i="6" s="1"/>
  <c r="L487" i="6"/>
  <c r="N487" i="6"/>
  <c r="A488" i="6"/>
  <c r="B488" i="6"/>
  <c r="C488" i="6"/>
  <c r="P488" i="6" s="1"/>
  <c r="D488" i="6"/>
  <c r="K488" i="6"/>
  <c r="J488" i="6" s="1"/>
  <c r="L488" i="6"/>
  <c r="N488" i="6"/>
  <c r="A489" i="6"/>
  <c r="B489" i="6"/>
  <c r="C489" i="6"/>
  <c r="P489" i="6" s="1"/>
  <c r="D489" i="6"/>
  <c r="K489" i="6"/>
  <c r="J489" i="6" s="1"/>
  <c r="L489" i="6"/>
  <c r="N489" i="6"/>
  <c r="A490" i="6"/>
  <c r="B490" i="6"/>
  <c r="C490" i="6"/>
  <c r="D490" i="6"/>
  <c r="K490" i="6"/>
  <c r="J490" i="6" s="1"/>
  <c r="L490" i="6"/>
  <c r="N490" i="6"/>
  <c r="A491" i="6"/>
  <c r="B491" i="6"/>
  <c r="C491" i="6"/>
  <c r="F491" i="6" s="1"/>
  <c r="D491" i="6"/>
  <c r="K491" i="6"/>
  <c r="L491" i="6"/>
  <c r="N491" i="6"/>
  <c r="A492" i="6"/>
  <c r="B492" i="6"/>
  <c r="C492" i="6"/>
  <c r="D492" i="6"/>
  <c r="K492" i="6"/>
  <c r="J492" i="6" s="1"/>
  <c r="L492" i="6"/>
  <c r="N492" i="6"/>
  <c r="A493" i="6"/>
  <c r="B493" i="6"/>
  <c r="C493" i="6"/>
  <c r="D493" i="6"/>
  <c r="K493" i="6"/>
  <c r="J493" i="6" s="1"/>
  <c r="L493" i="6"/>
  <c r="N493" i="6"/>
  <c r="A494" i="6"/>
  <c r="B494" i="6"/>
  <c r="C494" i="6"/>
  <c r="D494" i="6"/>
  <c r="K494" i="6"/>
  <c r="J494" i="6" s="1"/>
  <c r="L494" i="6"/>
  <c r="N494" i="6"/>
  <c r="A495" i="6"/>
  <c r="B495" i="6"/>
  <c r="C495" i="6"/>
  <c r="D495" i="6"/>
  <c r="K495" i="6"/>
  <c r="J495" i="6" s="1"/>
  <c r="L495" i="6"/>
  <c r="N495" i="6"/>
  <c r="A496" i="6"/>
  <c r="B496" i="6"/>
  <c r="C496" i="6"/>
  <c r="I496" i="6" s="1"/>
  <c r="D496" i="6"/>
  <c r="K496" i="6"/>
  <c r="J496" i="6" s="1"/>
  <c r="L496" i="6"/>
  <c r="N496" i="6"/>
  <c r="A497" i="6"/>
  <c r="B497" i="6"/>
  <c r="C497" i="6"/>
  <c r="D497" i="6"/>
  <c r="K497" i="6"/>
  <c r="L497" i="6"/>
  <c r="N497" i="6"/>
  <c r="A498" i="6"/>
  <c r="B498" i="6"/>
  <c r="C498" i="6"/>
  <c r="D498" i="6"/>
  <c r="L498" i="6"/>
  <c r="N498" i="6"/>
  <c r="A499" i="6"/>
  <c r="B499" i="6"/>
  <c r="C499" i="6"/>
  <c r="D499" i="6"/>
  <c r="J499" i="6"/>
  <c r="L499" i="6"/>
  <c r="N499" i="6"/>
  <c r="A500" i="6"/>
  <c r="B500" i="6"/>
  <c r="C500" i="6"/>
  <c r="P500" i="6" s="1"/>
  <c r="D500" i="6"/>
  <c r="K500" i="6"/>
  <c r="J500" i="6" s="1"/>
  <c r="L500" i="6"/>
  <c r="N500" i="6"/>
  <c r="A501" i="6"/>
  <c r="B501" i="6"/>
  <c r="C501" i="6"/>
  <c r="I501" i="6" s="1"/>
  <c r="D501" i="6"/>
  <c r="K501" i="6"/>
  <c r="J501" i="6" s="1"/>
  <c r="L501" i="6"/>
  <c r="N501" i="6"/>
  <c r="A502" i="6"/>
  <c r="B502" i="6"/>
  <c r="C502" i="6"/>
  <c r="D502" i="6"/>
  <c r="K502" i="6"/>
  <c r="J502" i="6" s="1"/>
  <c r="L502" i="6"/>
  <c r="N502" i="6"/>
  <c r="A503" i="6"/>
  <c r="B503" i="6"/>
  <c r="C503" i="6"/>
  <c r="I503" i="6" s="1"/>
  <c r="D503" i="6"/>
  <c r="K503" i="6"/>
  <c r="J503" i="6" s="1"/>
  <c r="L503" i="6"/>
  <c r="N503" i="6"/>
  <c r="A504" i="6"/>
  <c r="B504" i="6"/>
  <c r="C504" i="6"/>
  <c r="F504" i="6" s="1"/>
  <c r="D504" i="6"/>
  <c r="K504" i="6"/>
  <c r="J504" i="6" s="1"/>
  <c r="L504" i="6"/>
  <c r="N504" i="6"/>
  <c r="A505" i="6"/>
  <c r="B505" i="6"/>
  <c r="C505" i="6"/>
  <c r="D505" i="6"/>
  <c r="K505" i="6"/>
  <c r="J505" i="6" s="1"/>
  <c r="L505" i="6"/>
  <c r="N505" i="6"/>
  <c r="A506" i="6"/>
  <c r="B506" i="6"/>
  <c r="C506" i="6"/>
  <c r="P506" i="6" s="1"/>
  <c r="D506" i="6"/>
  <c r="K506" i="6"/>
  <c r="J506" i="6" s="1"/>
  <c r="L506" i="6"/>
  <c r="N506" i="6"/>
  <c r="A507" i="6"/>
  <c r="B507" i="6"/>
  <c r="C507" i="6"/>
  <c r="D507" i="6"/>
  <c r="K507" i="6"/>
  <c r="J507" i="6" s="1"/>
  <c r="L507" i="6"/>
  <c r="N507" i="6"/>
  <c r="A508" i="6"/>
  <c r="B508" i="6"/>
  <c r="C508" i="6"/>
  <c r="D508" i="6"/>
  <c r="K508" i="6"/>
  <c r="J508" i="6" s="1"/>
  <c r="L508" i="6"/>
  <c r="N508" i="6"/>
  <c r="A509" i="6"/>
  <c r="B509" i="6"/>
  <c r="C509" i="6"/>
  <c r="P509" i="6" s="1"/>
  <c r="D509" i="6"/>
  <c r="K509" i="6"/>
  <c r="J509" i="6" s="1"/>
  <c r="L509" i="6"/>
  <c r="N509" i="6"/>
  <c r="A510" i="6"/>
  <c r="B510" i="6"/>
  <c r="C510" i="6"/>
  <c r="D510" i="6"/>
  <c r="K510" i="6"/>
  <c r="L510" i="6"/>
  <c r="N510" i="6"/>
  <c r="A511" i="6"/>
  <c r="B511" i="6"/>
  <c r="C511" i="6"/>
  <c r="I511" i="6" s="1"/>
  <c r="M511" i="6" s="1"/>
  <c r="D511" i="6"/>
  <c r="K511" i="6"/>
  <c r="J511" i="6" s="1"/>
  <c r="L511" i="6"/>
  <c r="N511" i="6"/>
  <c r="A512" i="6"/>
  <c r="B512" i="6"/>
  <c r="C512" i="6"/>
  <c r="F512" i="6" s="1"/>
  <c r="D512" i="6"/>
  <c r="K512" i="6"/>
  <c r="J512" i="6" s="1"/>
  <c r="L512" i="6"/>
  <c r="N512" i="6"/>
  <c r="A513" i="6"/>
  <c r="B513" i="6"/>
  <c r="C513" i="6"/>
  <c r="F513" i="6" s="1"/>
  <c r="D513" i="6"/>
  <c r="K513" i="6"/>
  <c r="J513" i="6" s="1"/>
  <c r="L513" i="6"/>
  <c r="N513" i="6"/>
  <c r="A514" i="6"/>
  <c r="B514" i="6"/>
  <c r="C514" i="6"/>
  <c r="D514" i="6"/>
  <c r="K514" i="6"/>
  <c r="L514" i="6"/>
  <c r="N514" i="6"/>
  <c r="A515" i="6"/>
  <c r="B515" i="6"/>
  <c r="C515" i="6"/>
  <c r="F515" i="6" s="1"/>
  <c r="D515" i="6"/>
  <c r="K515" i="6"/>
  <c r="J515" i="6" s="1"/>
  <c r="L515" i="6"/>
  <c r="N515" i="6"/>
  <c r="A516" i="6"/>
  <c r="B516" i="6"/>
  <c r="C516" i="6"/>
  <c r="I516" i="6" s="1"/>
  <c r="D516" i="6"/>
  <c r="K516" i="6"/>
  <c r="J516" i="6" s="1"/>
  <c r="L516" i="6"/>
  <c r="N516" i="6"/>
  <c r="A517" i="6"/>
  <c r="B517" i="6"/>
  <c r="C517" i="6"/>
  <c r="D517" i="6"/>
  <c r="K517" i="6"/>
  <c r="J517" i="6" s="1"/>
  <c r="L517" i="6"/>
  <c r="N517" i="6"/>
  <c r="A518" i="6"/>
  <c r="B518" i="6"/>
  <c r="C518" i="6"/>
  <c r="I518" i="6" s="1"/>
  <c r="D518" i="6"/>
  <c r="K518" i="6"/>
  <c r="J518" i="6" s="1"/>
  <c r="L518" i="6"/>
  <c r="N518" i="6"/>
  <c r="A519" i="6"/>
  <c r="B519" i="6"/>
  <c r="C519" i="6"/>
  <c r="F519" i="6" s="1"/>
  <c r="D519" i="6"/>
  <c r="K519" i="6"/>
  <c r="J519" i="6" s="1"/>
  <c r="L519" i="6"/>
  <c r="N519" i="6"/>
  <c r="A520" i="6"/>
  <c r="B520" i="6"/>
  <c r="C520" i="6"/>
  <c r="F520" i="6" s="1"/>
  <c r="D520" i="6"/>
  <c r="K520" i="6"/>
  <c r="J520" i="6" s="1"/>
  <c r="L520" i="6"/>
  <c r="N520" i="6"/>
  <c r="A521" i="6"/>
  <c r="B521" i="6"/>
  <c r="C521" i="6"/>
  <c r="D521" i="6"/>
  <c r="L521" i="6"/>
  <c r="N521" i="6"/>
  <c r="A522" i="6"/>
  <c r="B522" i="6"/>
  <c r="C522" i="6"/>
  <c r="P522" i="6" s="1"/>
  <c r="D522" i="6"/>
  <c r="J522" i="6"/>
  <c r="L522" i="6"/>
  <c r="N522" i="6"/>
  <c r="A523" i="6"/>
  <c r="B523" i="6"/>
  <c r="C523" i="6"/>
  <c r="P523" i="6" s="1"/>
  <c r="D523" i="6"/>
  <c r="K523" i="6"/>
  <c r="J523" i="6" s="1"/>
  <c r="L523" i="6"/>
  <c r="N523" i="6"/>
  <c r="A524" i="6"/>
  <c r="B524" i="6"/>
  <c r="C524" i="6"/>
  <c r="F524" i="6" s="1"/>
  <c r="D524" i="6"/>
  <c r="K524" i="6"/>
  <c r="L524" i="6"/>
  <c r="N524" i="6"/>
  <c r="A525" i="6"/>
  <c r="B525" i="6"/>
  <c r="C525" i="6"/>
  <c r="I525" i="6" s="1"/>
  <c r="D525" i="6"/>
  <c r="K525" i="6"/>
  <c r="J525" i="6" s="1"/>
  <c r="L525" i="6"/>
  <c r="N525" i="6"/>
  <c r="A526" i="6"/>
  <c r="B526" i="6"/>
  <c r="C526" i="6"/>
  <c r="F526" i="6" s="1"/>
  <c r="D526" i="6"/>
  <c r="K526" i="6"/>
  <c r="L526" i="6"/>
  <c r="N526" i="6"/>
  <c r="A527" i="6"/>
  <c r="B527" i="6"/>
  <c r="C527" i="6"/>
  <c r="D527" i="6"/>
  <c r="K527" i="6"/>
  <c r="J527" i="6" s="1"/>
  <c r="L527" i="6"/>
  <c r="N527" i="6"/>
  <c r="A528" i="6"/>
  <c r="B528" i="6"/>
  <c r="C528" i="6"/>
  <c r="D528" i="6"/>
  <c r="K528" i="6"/>
  <c r="J528" i="6" s="1"/>
  <c r="L528" i="6"/>
  <c r="N528" i="6"/>
  <c r="A529" i="6"/>
  <c r="B529" i="6"/>
  <c r="C529" i="6"/>
  <c r="F529" i="6" s="1"/>
  <c r="D529" i="6"/>
  <c r="K529" i="6"/>
  <c r="L529" i="6"/>
  <c r="N529" i="6"/>
  <c r="A530" i="6"/>
  <c r="B530" i="6"/>
  <c r="C530" i="6"/>
  <c r="D530" i="6"/>
  <c r="K530" i="6"/>
  <c r="J530" i="6" s="1"/>
  <c r="L530" i="6"/>
  <c r="N530" i="6"/>
  <c r="A531" i="6"/>
  <c r="B531" i="6"/>
  <c r="C531" i="6"/>
  <c r="F531" i="6" s="1"/>
  <c r="D531" i="6"/>
  <c r="K531" i="6"/>
  <c r="L531" i="6"/>
  <c r="N531" i="6"/>
  <c r="A532" i="6"/>
  <c r="B532" i="6"/>
  <c r="C532" i="6"/>
  <c r="D532" i="6"/>
  <c r="K532" i="6"/>
  <c r="J532" i="6" s="1"/>
  <c r="L532" i="6"/>
  <c r="N532" i="6"/>
  <c r="A533" i="6"/>
  <c r="B533" i="6"/>
  <c r="C533" i="6"/>
  <c r="P533" i="6" s="1"/>
  <c r="D533" i="6"/>
  <c r="K533" i="6"/>
  <c r="J533" i="6" s="1"/>
  <c r="L533" i="6"/>
  <c r="N533" i="6"/>
  <c r="A534" i="6"/>
  <c r="B534" i="6"/>
  <c r="C534" i="6"/>
  <c r="F534" i="6" s="1"/>
  <c r="D534" i="6"/>
  <c r="K534" i="6"/>
  <c r="J534" i="6" s="1"/>
  <c r="L534" i="6"/>
  <c r="N534" i="6"/>
  <c r="A535" i="6"/>
  <c r="B535" i="6"/>
  <c r="C535" i="6"/>
  <c r="D535" i="6"/>
  <c r="K535" i="6"/>
  <c r="L535" i="6"/>
  <c r="N535" i="6"/>
  <c r="A536" i="6"/>
  <c r="B536" i="6"/>
  <c r="C536" i="6"/>
  <c r="F536" i="6" s="1"/>
  <c r="D536" i="6"/>
  <c r="K536" i="6"/>
  <c r="L536" i="6"/>
  <c r="N536" i="6"/>
  <c r="A537" i="6"/>
  <c r="B537" i="6"/>
  <c r="C537" i="6"/>
  <c r="D537" i="6"/>
  <c r="K537" i="6"/>
  <c r="L537" i="6"/>
  <c r="N537" i="6"/>
  <c r="A538" i="6"/>
  <c r="B538" i="6"/>
  <c r="C538" i="6"/>
  <c r="D538" i="6"/>
  <c r="K538" i="6"/>
  <c r="L538" i="6"/>
  <c r="N538" i="6"/>
  <c r="A539" i="6"/>
  <c r="B539" i="6"/>
  <c r="C539" i="6"/>
  <c r="D539" i="6"/>
  <c r="K539" i="6"/>
  <c r="L539" i="6"/>
  <c r="N539" i="6"/>
  <c r="A540" i="6"/>
  <c r="B540" i="6"/>
  <c r="C540" i="6"/>
  <c r="D540" i="6"/>
  <c r="K540" i="6"/>
  <c r="J540" i="6" s="1"/>
  <c r="L540" i="6"/>
  <c r="N540" i="6"/>
  <c r="A541" i="6"/>
  <c r="B541" i="6"/>
  <c r="C541" i="6"/>
  <c r="F541" i="6" s="1"/>
  <c r="D541" i="6"/>
  <c r="K541" i="6"/>
  <c r="J541" i="6" s="1"/>
  <c r="L541" i="6"/>
  <c r="N541" i="6"/>
  <c r="A542" i="6"/>
  <c r="B542" i="6"/>
  <c r="C542" i="6"/>
  <c r="D542" i="6"/>
  <c r="K542" i="6"/>
  <c r="L542" i="6"/>
  <c r="N542" i="6"/>
  <c r="A543" i="6"/>
  <c r="B543" i="6"/>
  <c r="C543" i="6"/>
  <c r="F543" i="6" s="1"/>
  <c r="D543" i="6"/>
  <c r="K543" i="6"/>
  <c r="J543" i="6" s="1"/>
  <c r="L543" i="6"/>
  <c r="N543" i="6"/>
  <c r="A544" i="6"/>
  <c r="B544" i="6"/>
  <c r="C544" i="6"/>
  <c r="F544" i="6" s="1"/>
  <c r="D544" i="6"/>
  <c r="J544" i="6"/>
  <c r="L544" i="6"/>
  <c r="N544" i="6"/>
  <c r="A545" i="6"/>
  <c r="B545" i="6"/>
  <c r="C545" i="6"/>
  <c r="D545" i="6"/>
  <c r="J545" i="6"/>
  <c r="L545" i="6"/>
  <c r="N545" i="6"/>
  <c r="A546" i="6"/>
  <c r="B546" i="6"/>
  <c r="C546" i="6"/>
  <c r="D546" i="6"/>
  <c r="K546" i="6"/>
  <c r="J546" i="6" s="1"/>
  <c r="L546" i="6"/>
  <c r="N546" i="6"/>
  <c r="A547" i="6"/>
  <c r="B547" i="6"/>
  <c r="C547" i="6"/>
  <c r="F547" i="6" s="1"/>
  <c r="D547" i="6"/>
  <c r="K547" i="6"/>
  <c r="J547" i="6" s="1"/>
  <c r="L547" i="6"/>
  <c r="N547" i="6"/>
  <c r="A548" i="6"/>
  <c r="B548" i="6"/>
  <c r="C548" i="6"/>
  <c r="D548" i="6"/>
  <c r="K548" i="6"/>
  <c r="J548" i="6" s="1"/>
  <c r="L548" i="6"/>
  <c r="N548" i="6"/>
  <c r="A549" i="6"/>
  <c r="B549" i="6"/>
  <c r="C549" i="6"/>
  <c r="D549" i="6"/>
  <c r="K549" i="6"/>
  <c r="L549" i="6"/>
  <c r="N549" i="6"/>
  <c r="A550" i="6"/>
  <c r="B550" i="6"/>
  <c r="C550" i="6"/>
  <c r="D550" i="6"/>
  <c r="K550" i="6"/>
  <c r="L550" i="6"/>
  <c r="N550" i="6"/>
  <c r="A551" i="6"/>
  <c r="B551" i="6"/>
  <c r="C551" i="6"/>
  <c r="D551" i="6"/>
  <c r="K551" i="6"/>
  <c r="J551" i="6" s="1"/>
  <c r="L551" i="6"/>
  <c r="N551" i="6"/>
  <c r="A552" i="6"/>
  <c r="B552" i="6"/>
  <c r="C552" i="6"/>
  <c r="D552" i="6"/>
  <c r="K552" i="6"/>
  <c r="J552" i="6" s="1"/>
  <c r="L552" i="6"/>
  <c r="N552" i="6"/>
  <c r="A553" i="6"/>
  <c r="B553" i="6"/>
  <c r="C553" i="6"/>
  <c r="P553" i="6" s="1"/>
  <c r="D553" i="6"/>
  <c r="K553" i="6"/>
  <c r="J553" i="6" s="1"/>
  <c r="L553" i="6"/>
  <c r="N553" i="6"/>
  <c r="A554" i="6"/>
  <c r="B554" i="6"/>
  <c r="C554" i="6"/>
  <c r="I554" i="6" s="1"/>
  <c r="D554" i="6"/>
  <c r="K554" i="6"/>
  <c r="L554" i="6"/>
  <c r="N554" i="6"/>
  <c r="A555" i="6"/>
  <c r="B555" i="6"/>
  <c r="C555" i="6"/>
  <c r="I555" i="6" s="1"/>
  <c r="D555" i="6"/>
  <c r="K555" i="6"/>
  <c r="J555" i="6" s="1"/>
  <c r="L555" i="6"/>
  <c r="N555" i="6"/>
  <c r="A556" i="6"/>
  <c r="B556" i="6"/>
  <c r="C556" i="6"/>
  <c r="F556" i="6" s="1"/>
  <c r="D556" i="6"/>
  <c r="K556" i="6"/>
  <c r="J556" i="6" s="1"/>
  <c r="L556" i="6"/>
  <c r="N556" i="6"/>
  <c r="A557" i="6"/>
  <c r="B557" i="6"/>
  <c r="C557" i="6"/>
  <c r="D557" i="6"/>
  <c r="K557" i="6"/>
  <c r="L557" i="6"/>
  <c r="N557" i="6"/>
  <c r="A558" i="6"/>
  <c r="B558" i="6"/>
  <c r="C558" i="6"/>
  <c r="D558" i="6"/>
  <c r="K558" i="6"/>
  <c r="J558" i="6" s="1"/>
  <c r="L558" i="6"/>
  <c r="N558" i="6"/>
  <c r="A559" i="6"/>
  <c r="B559" i="6"/>
  <c r="C559" i="6"/>
  <c r="P559" i="6" s="1"/>
  <c r="D559" i="6"/>
  <c r="K559" i="6"/>
  <c r="J559" i="6" s="1"/>
  <c r="L559" i="6"/>
  <c r="N559" i="6"/>
  <c r="A560" i="6"/>
  <c r="B560" i="6"/>
  <c r="C560" i="6"/>
  <c r="P560" i="6" s="1"/>
  <c r="D560" i="6"/>
  <c r="K560" i="6"/>
  <c r="L560" i="6"/>
  <c r="N560" i="6"/>
  <c r="A561" i="6"/>
  <c r="B561" i="6"/>
  <c r="C561" i="6"/>
  <c r="P561" i="6" s="1"/>
  <c r="D561" i="6"/>
  <c r="K561" i="6"/>
  <c r="L561" i="6"/>
  <c r="N561" i="6"/>
  <c r="A562" i="6"/>
  <c r="B562" i="6"/>
  <c r="C562" i="6"/>
  <c r="D562" i="6"/>
  <c r="K562" i="6"/>
  <c r="J562" i="6" s="1"/>
  <c r="L562" i="6"/>
  <c r="N562" i="6"/>
  <c r="A563" i="6"/>
  <c r="B563" i="6"/>
  <c r="C563" i="6"/>
  <c r="D563" i="6"/>
  <c r="K563" i="6"/>
  <c r="L563" i="6"/>
  <c r="N563" i="6"/>
  <c r="A564" i="6"/>
  <c r="B564" i="6"/>
  <c r="C564" i="6"/>
  <c r="D564" i="6"/>
  <c r="K564" i="6"/>
  <c r="J564" i="6" s="1"/>
  <c r="L564" i="6"/>
  <c r="N564" i="6"/>
  <c r="A565" i="6"/>
  <c r="B565" i="6"/>
  <c r="C565" i="6"/>
  <c r="D565" i="6"/>
  <c r="K565" i="6"/>
  <c r="J565" i="6" s="1"/>
  <c r="L565" i="6"/>
  <c r="N565" i="6"/>
  <c r="A566" i="6"/>
  <c r="B566" i="6"/>
  <c r="C566" i="6"/>
  <c r="P566" i="6" s="1"/>
  <c r="D566" i="6"/>
  <c r="K566" i="6"/>
  <c r="J566" i="6" s="1"/>
  <c r="L566" i="6"/>
  <c r="N566" i="6"/>
  <c r="A567" i="6"/>
  <c r="B567" i="6"/>
  <c r="C567" i="6"/>
  <c r="I567" i="6" s="1"/>
  <c r="M567" i="6" s="1"/>
  <c r="D567" i="6"/>
  <c r="L567" i="6"/>
  <c r="N567" i="6"/>
  <c r="A568" i="6"/>
  <c r="B568" i="6"/>
  <c r="C568" i="6"/>
  <c r="P568" i="6" s="1"/>
  <c r="D568" i="6"/>
  <c r="J568" i="6"/>
  <c r="L568" i="6"/>
  <c r="N568" i="6"/>
  <c r="A569" i="6"/>
  <c r="B569" i="6"/>
  <c r="C569" i="6"/>
  <c r="F569" i="6" s="1"/>
  <c r="D569" i="6"/>
  <c r="K569" i="6"/>
  <c r="L569" i="6"/>
  <c r="N569" i="6"/>
  <c r="A570" i="6"/>
  <c r="B570" i="6"/>
  <c r="C570" i="6"/>
  <c r="I570" i="6" s="1"/>
  <c r="D570" i="6"/>
  <c r="K570" i="6"/>
  <c r="J570" i="6" s="1"/>
  <c r="L570" i="6"/>
  <c r="N570" i="6"/>
  <c r="A571" i="6"/>
  <c r="B571" i="6"/>
  <c r="C571" i="6"/>
  <c r="D571" i="6"/>
  <c r="K571" i="6"/>
  <c r="J571" i="6" s="1"/>
  <c r="L571" i="6"/>
  <c r="N571" i="6"/>
  <c r="A572" i="6"/>
  <c r="B572" i="6"/>
  <c r="C572" i="6"/>
  <c r="P572" i="6" s="1"/>
  <c r="D572" i="6"/>
  <c r="K572" i="6"/>
  <c r="J572" i="6" s="1"/>
  <c r="L572" i="6"/>
  <c r="N572" i="6"/>
  <c r="A573" i="6"/>
  <c r="B573" i="6"/>
  <c r="C573" i="6"/>
  <c r="D573" i="6"/>
  <c r="K573" i="6"/>
  <c r="L573" i="6"/>
  <c r="N573" i="6"/>
  <c r="A574" i="6"/>
  <c r="B574" i="6"/>
  <c r="C574" i="6"/>
  <c r="P574" i="6" s="1"/>
  <c r="D574" i="6"/>
  <c r="K574" i="6"/>
  <c r="J574" i="6" s="1"/>
  <c r="L574" i="6"/>
  <c r="N574" i="6"/>
  <c r="A575" i="6"/>
  <c r="B575" i="6"/>
  <c r="C575" i="6"/>
  <c r="F575" i="6" s="1"/>
  <c r="D575" i="6"/>
  <c r="K575" i="6"/>
  <c r="J575" i="6" s="1"/>
  <c r="L575" i="6"/>
  <c r="N575" i="6"/>
  <c r="A576" i="6"/>
  <c r="B576" i="6"/>
  <c r="C576" i="6"/>
  <c r="D576" i="6"/>
  <c r="K576" i="6"/>
  <c r="L576" i="6"/>
  <c r="N576" i="6"/>
  <c r="A577" i="6"/>
  <c r="B577" i="6"/>
  <c r="C577" i="6"/>
  <c r="P577" i="6" s="1"/>
  <c r="D577" i="6"/>
  <c r="K577" i="6"/>
  <c r="L577" i="6"/>
  <c r="N577" i="6"/>
  <c r="A578" i="6"/>
  <c r="B578" i="6"/>
  <c r="C578" i="6"/>
  <c r="F578" i="6" s="1"/>
  <c r="D578" i="6"/>
  <c r="K578" i="6"/>
  <c r="J578" i="6" s="1"/>
  <c r="L578" i="6"/>
  <c r="N578" i="6"/>
  <c r="A579" i="6"/>
  <c r="B579" i="6"/>
  <c r="C579" i="6"/>
  <c r="P579" i="6" s="1"/>
  <c r="D579" i="6"/>
  <c r="K579" i="6"/>
  <c r="L579" i="6"/>
  <c r="N579" i="6"/>
  <c r="A580" i="6"/>
  <c r="B580" i="6"/>
  <c r="C580" i="6"/>
  <c r="P580" i="6" s="1"/>
  <c r="D580" i="6"/>
  <c r="K580" i="6"/>
  <c r="J580" i="6" s="1"/>
  <c r="L580" i="6"/>
  <c r="N580" i="6"/>
  <c r="A581" i="6"/>
  <c r="B581" i="6"/>
  <c r="C581" i="6"/>
  <c r="I581" i="6" s="1"/>
  <c r="M581" i="6" s="1"/>
  <c r="D581" i="6"/>
  <c r="K581" i="6"/>
  <c r="J581" i="6" s="1"/>
  <c r="L581" i="6"/>
  <c r="N581" i="6"/>
  <c r="A582" i="6"/>
  <c r="B582" i="6"/>
  <c r="C582" i="6"/>
  <c r="I582" i="6" s="1"/>
  <c r="D582" i="6"/>
  <c r="K582" i="6"/>
  <c r="L582" i="6"/>
  <c r="N582" i="6"/>
  <c r="A583" i="6"/>
  <c r="B583" i="6"/>
  <c r="C583" i="6"/>
  <c r="D583" i="6"/>
  <c r="K583" i="6"/>
  <c r="J583" i="6" s="1"/>
  <c r="L583" i="6"/>
  <c r="N583" i="6"/>
  <c r="A584" i="6"/>
  <c r="B584" i="6"/>
  <c r="C584" i="6"/>
  <c r="F584" i="6" s="1"/>
  <c r="D584" i="6"/>
  <c r="K584" i="6"/>
  <c r="J584" i="6" s="1"/>
  <c r="L584" i="6"/>
  <c r="N584" i="6"/>
  <c r="A585" i="6"/>
  <c r="B585" i="6"/>
  <c r="C585" i="6"/>
  <c r="P585" i="6" s="1"/>
  <c r="D585" i="6"/>
  <c r="K585" i="6"/>
  <c r="L585" i="6"/>
  <c r="N585" i="6"/>
  <c r="A586" i="6"/>
  <c r="B586" i="6"/>
  <c r="C586" i="6"/>
  <c r="F586" i="6" s="1"/>
  <c r="D586" i="6"/>
  <c r="K586" i="6"/>
  <c r="L586" i="6"/>
  <c r="N586" i="6"/>
  <c r="A587" i="6"/>
  <c r="B587" i="6"/>
  <c r="C587" i="6"/>
  <c r="F587" i="6" s="1"/>
  <c r="D587" i="6"/>
  <c r="K587" i="6"/>
  <c r="J587" i="6" s="1"/>
  <c r="L587" i="6"/>
  <c r="N587" i="6"/>
  <c r="A588" i="6"/>
  <c r="B588" i="6"/>
  <c r="C588" i="6"/>
  <c r="P588" i="6" s="1"/>
  <c r="D588" i="6"/>
  <c r="K588" i="6"/>
  <c r="J588" i="6" s="1"/>
  <c r="L588" i="6"/>
  <c r="N588" i="6"/>
  <c r="A589" i="6"/>
  <c r="B589" i="6"/>
  <c r="C589" i="6"/>
  <c r="D589" i="6"/>
  <c r="L589" i="6"/>
  <c r="N589" i="6"/>
  <c r="A590" i="6"/>
  <c r="B590" i="6"/>
  <c r="C590" i="6"/>
  <c r="D590" i="6"/>
  <c r="L590" i="6"/>
  <c r="N590" i="6"/>
  <c r="A591" i="6"/>
  <c r="B591" i="6"/>
  <c r="C591" i="6"/>
  <c r="D591" i="6"/>
  <c r="K591" i="6"/>
  <c r="L591" i="6"/>
  <c r="N591" i="6"/>
  <c r="A592" i="6"/>
  <c r="B592" i="6"/>
  <c r="C592" i="6"/>
  <c r="D592" i="6"/>
  <c r="K592" i="6"/>
  <c r="J592" i="6" s="1"/>
  <c r="L592" i="6"/>
  <c r="N592" i="6"/>
  <c r="A593" i="6"/>
  <c r="B593" i="6"/>
  <c r="C593" i="6"/>
  <c r="D593" i="6"/>
  <c r="K593" i="6"/>
  <c r="L593" i="6"/>
  <c r="N593" i="6"/>
  <c r="A594" i="6"/>
  <c r="B594" i="6"/>
  <c r="C594" i="6"/>
  <c r="I594" i="6" s="1"/>
  <c r="D594" i="6"/>
  <c r="K594" i="6"/>
  <c r="J594" i="6" s="1"/>
  <c r="L594" i="6"/>
  <c r="N594" i="6"/>
  <c r="A595" i="6"/>
  <c r="B595" i="6"/>
  <c r="C595" i="6"/>
  <c r="I595" i="6" s="1"/>
  <c r="M595" i="6" s="1"/>
  <c r="D595" i="6"/>
  <c r="K595" i="6"/>
  <c r="L595" i="6"/>
  <c r="N595" i="6"/>
  <c r="A596" i="6"/>
  <c r="B596" i="6"/>
  <c r="C596" i="6"/>
  <c r="D596" i="6"/>
  <c r="K596" i="6"/>
  <c r="J596" i="6" s="1"/>
  <c r="L596" i="6"/>
  <c r="N596" i="6"/>
  <c r="A597" i="6"/>
  <c r="B597" i="6"/>
  <c r="C597" i="6"/>
  <c r="I597" i="6" s="1"/>
  <c r="D597" i="6"/>
  <c r="K597" i="6"/>
  <c r="J597" i="6" s="1"/>
  <c r="L597" i="6"/>
  <c r="N597" i="6"/>
  <c r="A598" i="6"/>
  <c r="B598" i="6"/>
  <c r="C598" i="6"/>
  <c r="D598" i="6"/>
  <c r="K598" i="6"/>
  <c r="L598" i="6"/>
  <c r="N598" i="6"/>
  <c r="A599" i="6"/>
  <c r="B599" i="6"/>
  <c r="C599" i="6"/>
  <c r="D599" i="6"/>
  <c r="K599" i="6"/>
  <c r="J599" i="6" s="1"/>
  <c r="L599" i="6"/>
  <c r="N599" i="6"/>
  <c r="A600" i="6"/>
  <c r="B600" i="6"/>
  <c r="C600" i="6"/>
  <c r="D600" i="6"/>
  <c r="K600" i="6"/>
  <c r="J600" i="6" s="1"/>
  <c r="L600" i="6"/>
  <c r="N600" i="6"/>
  <c r="A601" i="6"/>
  <c r="B601" i="6"/>
  <c r="C601" i="6"/>
  <c r="I601" i="6" s="1"/>
  <c r="D601" i="6"/>
  <c r="K601" i="6"/>
  <c r="J601" i="6" s="1"/>
  <c r="L601" i="6"/>
  <c r="N601" i="6"/>
  <c r="A602" i="6"/>
  <c r="B602" i="6"/>
  <c r="C602" i="6"/>
  <c r="F602" i="6" s="1"/>
  <c r="D602" i="6"/>
  <c r="K602" i="6"/>
  <c r="J602" i="6" s="1"/>
  <c r="L602" i="6"/>
  <c r="N602" i="6"/>
  <c r="A603" i="6"/>
  <c r="B603" i="6"/>
  <c r="C603" i="6"/>
  <c r="D603" i="6"/>
  <c r="K603" i="6"/>
  <c r="J603" i="6" s="1"/>
  <c r="L603" i="6"/>
  <c r="N603" i="6"/>
  <c r="A604" i="6"/>
  <c r="B604" i="6"/>
  <c r="C604" i="6"/>
  <c r="D604" i="6"/>
  <c r="K604" i="6"/>
  <c r="J604" i="6" s="1"/>
  <c r="L604" i="6"/>
  <c r="N604" i="6"/>
  <c r="A605" i="6"/>
  <c r="B605" i="6"/>
  <c r="C605" i="6"/>
  <c r="P605" i="6" s="1"/>
  <c r="D605" i="6"/>
  <c r="K605" i="6"/>
  <c r="L605" i="6"/>
  <c r="N605" i="6"/>
  <c r="A606" i="6"/>
  <c r="B606" i="6"/>
  <c r="C606" i="6"/>
  <c r="P606" i="6" s="1"/>
  <c r="D606" i="6"/>
  <c r="K606" i="6"/>
  <c r="J606" i="6" s="1"/>
  <c r="L606" i="6"/>
  <c r="N606" i="6"/>
  <c r="A607" i="6"/>
  <c r="B607" i="6"/>
  <c r="C607" i="6"/>
  <c r="I607" i="6" s="1"/>
  <c r="M607" i="6" s="1"/>
  <c r="D607" i="6"/>
  <c r="K607" i="6"/>
  <c r="L607" i="6"/>
  <c r="N607" i="6"/>
  <c r="A608" i="6"/>
  <c r="B608" i="6"/>
  <c r="C608" i="6"/>
  <c r="I608" i="6" s="1"/>
  <c r="D608" i="6"/>
  <c r="K608" i="6"/>
  <c r="L608" i="6"/>
  <c r="N608" i="6"/>
  <c r="A609" i="6"/>
  <c r="B609" i="6"/>
  <c r="C609" i="6"/>
  <c r="D609" i="6"/>
  <c r="K609" i="6"/>
  <c r="J609" i="6" s="1"/>
  <c r="L609" i="6"/>
  <c r="N609" i="6"/>
  <c r="A610" i="6"/>
  <c r="B610" i="6"/>
  <c r="C610" i="6"/>
  <c r="P610" i="6" s="1"/>
  <c r="D610" i="6"/>
  <c r="K610" i="6"/>
  <c r="L610" i="6"/>
  <c r="N610" i="6"/>
  <c r="A611" i="6"/>
  <c r="B611" i="6"/>
  <c r="C611" i="6"/>
  <c r="F611" i="6" s="1"/>
  <c r="D611" i="6"/>
  <c r="K611" i="6"/>
  <c r="J611" i="6" s="1"/>
  <c r="L611" i="6"/>
  <c r="N611" i="6"/>
  <c r="A612" i="6"/>
  <c r="B612" i="6"/>
  <c r="C612" i="6"/>
  <c r="F612" i="6" s="1"/>
  <c r="D612" i="6"/>
  <c r="L612" i="6"/>
  <c r="N612" i="6"/>
  <c r="A613" i="6"/>
  <c r="B613" i="6"/>
  <c r="C613" i="6"/>
  <c r="P613" i="6" s="1"/>
  <c r="D613" i="6"/>
  <c r="J613" i="6"/>
  <c r="L613" i="6"/>
  <c r="N613" i="6"/>
  <c r="A614" i="6"/>
  <c r="B614" i="6"/>
  <c r="C614" i="6"/>
  <c r="D614" i="6"/>
  <c r="K614" i="6"/>
  <c r="L614" i="6"/>
  <c r="N614" i="6"/>
  <c r="A615" i="6"/>
  <c r="B615" i="6"/>
  <c r="C615" i="6"/>
  <c r="D615" i="6"/>
  <c r="K615" i="6"/>
  <c r="L615" i="6"/>
  <c r="N615" i="6"/>
  <c r="A616" i="6"/>
  <c r="B616" i="6"/>
  <c r="C616" i="6"/>
  <c r="F616" i="6" s="1"/>
  <c r="D616" i="6"/>
  <c r="K616" i="6"/>
  <c r="J616" i="6" s="1"/>
  <c r="L616" i="6"/>
  <c r="N616" i="6"/>
  <c r="A617" i="6"/>
  <c r="B617" i="6"/>
  <c r="C617" i="6"/>
  <c r="P617" i="6" s="1"/>
  <c r="D617" i="6"/>
  <c r="K617" i="6"/>
  <c r="J617" i="6" s="1"/>
  <c r="L617" i="6"/>
  <c r="N617" i="6"/>
  <c r="A618" i="6"/>
  <c r="B618" i="6"/>
  <c r="C618" i="6"/>
  <c r="D618" i="6"/>
  <c r="K618" i="6"/>
  <c r="J618" i="6" s="1"/>
  <c r="L618" i="6"/>
  <c r="N618" i="6"/>
  <c r="A619" i="6"/>
  <c r="B619" i="6"/>
  <c r="C619" i="6"/>
  <c r="P619" i="6" s="1"/>
  <c r="D619" i="6"/>
  <c r="K619" i="6"/>
  <c r="J619" i="6" s="1"/>
  <c r="L619" i="6"/>
  <c r="N619" i="6"/>
  <c r="A620" i="6"/>
  <c r="B620" i="6"/>
  <c r="C620" i="6"/>
  <c r="I620" i="6" s="1"/>
  <c r="D620" i="6"/>
  <c r="K620" i="6"/>
  <c r="J620" i="6" s="1"/>
  <c r="L620" i="6"/>
  <c r="N620" i="6"/>
  <c r="A621" i="6"/>
  <c r="B621" i="6"/>
  <c r="C621" i="6"/>
  <c r="F621" i="6" s="1"/>
  <c r="D621" i="6"/>
  <c r="K621" i="6"/>
  <c r="J621" i="6" s="1"/>
  <c r="L621" i="6"/>
  <c r="N621" i="6"/>
  <c r="A622" i="6"/>
  <c r="B622" i="6"/>
  <c r="C622" i="6"/>
  <c r="D622" i="6"/>
  <c r="K622" i="6"/>
  <c r="J622" i="6" s="1"/>
  <c r="L622" i="6"/>
  <c r="N622" i="6"/>
  <c r="A623" i="6"/>
  <c r="B623" i="6"/>
  <c r="C623" i="6"/>
  <c r="P623" i="6" s="1"/>
  <c r="D623" i="6"/>
  <c r="K623" i="6"/>
  <c r="L623" i="6"/>
  <c r="N623" i="6"/>
  <c r="A624" i="6"/>
  <c r="B624" i="6"/>
  <c r="C624" i="6"/>
  <c r="P624" i="6" s="1"/>
  <c r="D624" i="6"/>
  <c r="K624" i="6"/>
  <c r="J624" i="6" s="1"/>
  <c r="L624" i="6"/>
  <c r="N624" i="6"/>
  <c r="A625" i="6"/>
  <c r="B625" i="6"/>
  <c r="C625" i="6"/>
  <c r="D625" i="6"/>
  <c r="K625" i="6"/>
  <c r="L625" i="6"/>
  <c r="N625" i="6"/>
  <c r="A626" i="6"/>
  <c r="B626" i="6"/>
  <c r="C626" i="6"/>
  <c r="D626" i="6"/>
  <c r="K626" i="6"/>
  <c r="J626" i="6" s="1"/>
  <c r="L626" i="6"/>
  <c r="N626" i="6"/>
  <c r="A627" i="6"/>
  <c r="B627" i="6"/>
  <c r="C627" i="6"/>
  <c r="F627" i="6" s="1"/>
  <c r="D627" i="6"/>
  <c r="K627" i="6"/>
  <c r="J627" i="6" s="1"/>
  <c r="L627" i="6"/>
  <c r="N627" i="6"/>
  <c r="A628" i="6"/>
  <c r="B628" i="6"/>
  <c r="C628" i="6"/>
  <c r="F628" i="6" s="1"/>
  <c r="D628" i="6"/>
  <c r="K628" i="6"/>
  <c r="L628" i="6"/>
  <c r="N628" i="6"/>
  <c r="A629" i="6"/>
  <c r="B629" i="6"/>
  <c r="C629" i="6"/>
  <c r="I629" i="6" s="1"/>
  <c r="D629" i="6"/>
  <c r="K629" i="6"/>
  <c r="L629" i="6"/>
  <c r="N629" i="6"/>
  <c r="A630" i="6"/>
  <c r="B630" i="6"/>
  <c r="C630" i="6"/>
  <c r="D630" i="6"/>
  <c r="K630" i="6"/>
  <c r="J630" i="6" s="1"/>
  <c r="L630" i="6"/>
  <c r="N630" i="6"/>
  <c r="A631" i="6"/>
  <c r="B631" i="6"/>
  <c r="C631" i="6"/>
  <c r="D631" i="6"/>
  <c r="K631" i="6"/>
  <c r="L631" i="6"/>
  <c r="N631" i="6"/>
  <c r="A632" i="6"/>
  <c r="B632" i="6"/>
  <c r="C632" i="6"/>
  <c r="D632" i="6"/>
  <c r="K632" i="6"/>
  <c r="L632" i="6"/>
  <c r="N632" i="6"/>
  <c r="A633" i="6"/>
  <c r="B633" i="6"/>
  <c r="C633" i="6"/>
  <c r="P633" i="6" s="1"/>
  <c r="D633" i="6"/>
  <c r="J633" i="6"/>
  <c r="L633" i="6"/>
  <c r="N633" i="6"/>
  <c r="A634" i="6"/>
  <c r="B634" i="6"/>
  <c r="C634" i="6"/>
  <c r="F634" i="6" s="1"/>
  <c r="D634" i="6"/>
  <c r="L634" i="6"/>
  <c r="N634" i="6"/>
  <c r="A635" i="6"/>
  <c r="B635" i="6"/>
  <c r="C635" i="6"/>
  <c r="D635" i="6"/>
  <c r="K635" i="6"/>
  <c r="J635" i="6" s="1"/>
  <c r="L635" i="6"/>
  <c r="N635" i="6"/>
  <c r="A636" i="6"/>
  <c r="B636" i="6"/>
  <c r="C636" i="6"/>
  <c r="P636" i="6" s="1"/>
  <c r="D636" i="6"/>
  <c r="K636" i="6"/>
  <c r="J636" i="6" s="1"/>
  <c r="L636" i="6"/>
  <c r="N636" i="6"/>
  <c r="A637" i="6"/>
  <c r="B637" i="6"/>
  <c r="C637" i="6"/>
  <c r="F637" i="6" s="1"/>
  <c r="D637" i="6"/>
  <c r="K637" i="6"/>
  <c r="J637" i="6" s="1"/>
  <c r="L637" i="6"/>
  <c r="N637" i="6"/>
  <c r="A638" i="6"/>
  <c r="B638" i="6"/>
  <c r="C638" i="6"/>
  <c r="F638" i="6" s="1"/>
  <c r="D638" i="6"/>
  <c r="K638" i="6"/>
  <c r="J638" i="6" s="1"/>
  <c r="L638" i="6"/>
  <c r="N638" i="6"/>
  <c r="A639" i="6"/>
  <c r="B639" i="6"/>
  <c r="C639" i="6"/>
  <c r="D639" i="6"/>
  <c r="K639" i="6"/>
  <c r="L639" i="6"/>
  <c r="N639" i="6"/>
  <c r="A640" i="6"/>
  <c r="B640" i="6"/>
  <c r="C640" i="6"/>
  <c r="D640" i="6"/>
  <c r="K640" i="6"/>
  <c r="J640" i="6" s="1"/>
  <c r="L640" i="6"/>
  <c r="N640" i="6"/>
  <c r="A641" i="6"/>
  <c r="B641" i="6"/>
  <c r="C641" i="6"/>
  <c r="D641" i="6"/>
  <c r="K641" i="6"/>
  <c r="L641" i="6"/>
  <c r="N641" i="6"/>
  <c r="A642" i="6"/>
  <c r="B642" i="6"/>
  <c r="C642" i="6"/>
  <c r="P642" i="6" s="1"/>
  <c r="D642" i="6"/>
  <c r="K642" i="6"/>
  <c r="L642" i="6"/>
  <c r="N642" i="6"/>
  <c r="A643" i="6"/>
  <c r="B643" i="6"/>
  <c r="C643" i="6"/>
  <c r="P643" i="6" s="1"/>
  <c r="D643" i="6"/>
  <c r="K643" i="6"/>
  <c r="J643" i="6" s="1"/>
  <c r="L643" i="6"/>
  <c r="N643" i="6"/>
  <c r="A644" i="6"/>
  <c r="B644" i="6"/>
  <c r="C644" i="6"/>
  <c r="P644" i="6" s="1"/>
  <c r="D644" i="6"/>
  <c r="K644" i="6"/>
  <c r="L644" i="6"/>
  <c r="N644" i="6"/>
  <c r="A645" i="6"/>
  <c r="B645" i="6"/>
  <c r="C645" i="6"/>
  <c r="F645" i="6" s="1"/>
  <c r="D645" i="6"/>
  <c r="K645" i="6"/>
  <c r="L645" i="6"/>
  <c r="N645" i="6"/>
  <c r="A646" i="6"/>
  <c r="B646" i="6"/>
  <c r="C646" i="6"/>
  <c r="I646" i="6" s="1"/>
  <c r="D646" i="6"/>
  <c r="K646" i="6"/>
  <c r="L646" i="6"/>
  <c r="N646" i="6"/>
  <c r="A647" i="6"/>
  <c r="B647" i="6"/>
  <c r="C647" i="6"/>
  <c r="F647" i="6" s="1"/>
  <c r="D647" i="6"/>
  <c r="K647" i="6"/>
  <c r="J647" i="6" s="1"/>
  <c r="L647" i="6"/>
  <c r="N647" i="6"/>
  <c r="A648" i="6"/>
  <c r="B648" i="6"/>
  <c r="C648" i="6"/>
  <c r="D648" i="6"/>
  <c r="K648" i="6"/>
  <c r="L648" i="6"/>
  <c r="N648" i="6"/>
  <c r="A649" i="6"/>
  <c r="B649" i="6"/>
  <c r="C649" i="6"/>
  <c r="D649" i="6"/>
  <c r="K649" i="6"/>
  <c r="L649" i="6"/>
  <c r="N649" i="6"/>
  <c r="A650" i="6"/>
  <c r="B650" i="6"/>
  <c r="C650" i="6"/>
  <c r="D650" i="6"/>
  <c r="K650" i="6"/>
  <c r="J650" i="6" s="1"/>
  <c r="L650" i="6"/>
  <c r="N650" i="6"/>
  <c r="A651" i="6"/>
  <c r="B651" i="6"/>
  <c r="C651" i="6"/>
  <c r="D651" i="6"/>
  <c r="K651" i="6"/>
  <c r="L651" i="6"/>
  <c r="N651" i="6"/>
  <c r="A652" i="6"/>
  <c r="B652" i="6"/>
  <c r="C652" i="6"/>
  <c r="D652" i="6"/>
  <c r="K652" i="6"/>
  <c r="J652" i="6" s="1"/>
  <c r="L652" i="6"/>
  <c r="N652" i="6"/>
  <c r="A653" i="6"/>
  <c r="B653" i="6"/>
  <c r="C653" i="6"/>
  <c r="D653" i="6"/>
  <c r="K653" i="6"/>
  <c r="L653" i="6"/>
  <c r="N653" i="6"/>
  <c r="A654" i="6"/>
  <c r="B654" i="6"/>
  <c r="C654" i="6"/>
  <c r="D654" i="6"/>
  <c r="K654" i="6"/>
  <c r="L654" i="6"/>
  <c r="N654" i="6"/>
  <c r="A655" i="6"/>
  <c r="B655" i="6"/>
  <c r="C655" i="6"/>
  <c r="D655" i="6"/>
  <c r="L655" i="6"/>
  <c r="N655" i="6"/>
  <c r="A656" i="6"/>
  <c r="B656" i="6"/>
  <c r="C656" i="6"/>
  <c r="D656" i="6"/>
  <c r="J656" i="6"/>
  <c r="L656" i="6"/>
  <c r="N656" i="6"/>
  <c r="A657" i="6"/>
  <c r="B657" i="6"/>
  <c r="C657" i="6"/>
  <c r="I657" i="6" s="1"/>
  <c r="D657" i="6"/>
  <c r="K657" i="6"/>
  <c r="L657" i="6"/>
  <c r="N657" i="6"/>
  <c r="A658" i="6"/>
  <c r="B658" i="6"/>
  <c r="C658" i="6"/>
  <c r="F658" i="6" s="1"/>
  <c r="D658" i="6"/>
  <c r="K658" i="6"/>
  <c r="J658" i="6" s="1"/>
  <c r="L658" i="6"/>
  <c r="N658" i="6"/>
  <c r="A659" i="6"/>
  <c r="B659" i="6"/>
  <c r="C659" i="6"/>
  <c r="F659" i="6" s="1"/>
  <c r="D659" i="6"/>
  <c r="K659" i="6"/>
  <c r="L659" i="6"/>
  <c r="N659" i="6"/>
  <c r="A660" i="6"/>
  <c r="B660" i="6"/>
  <c r="C660" i="6"/>
  <c r="P660" i="6" s="1"/>
  <c r="D660" i="6"/>
  <c r="K660" i="6"/>
  <c r="J660" i="6" s="1"/>
  <c r="L660" i="6"/>
  <c r="N660" i="6"/>
  <c r="A661" i="6"/>
  <c r="B661" i="6"/>
  <c r="C661" i="6"/>
  <c r="I661" i="6" s="1"/>
  <c r="M661" i="6" s="1"/>
  <c r="D661" i="6"/>
  <c r="K661" i="6"/>
  <c r="J661" i="6" s="1"/>
  <c r="L661" i="6"/>
  <c r="N661" i="6"/>
  <c r="A662" i="6"/>
  <c r="B662" i="6"/>
  <c r="C662" i="6"/>
  <c r="D662" i="6"/>
  <c r="K662" i="6"/>
  <c r="L662" i="6"/>
  <c r="N662" i="6"/>
  <c r="A663" i="6"/>
  <c r="B663" i="6"/>
  <c r="C663" i="6"/>
  <c r="D663" i="6"/>
  <c r="K663" i="6"/>
  <c r="J663" i="6" s="1"/>
  <c r="L663" i="6"/>
  <c r="N663" i="6"/>
  <c r="A664" i="6"/>
  <c r="B664" i="6"/>
  <c r="C664" i="6"/>
  <c r="I664" i="6" s="1"/>
  <c r="M664" i="6" s="1"/>
  <c r="D664" i="6"/>
  <c r="K664" i="6"/>
  <c r="J664" i="6" s="1"/>
  <c r="L664" i="6"/>
  <c r="N664" i="6"/>
  <c r="A665" i="6"/>
  <c r="B665" i="6"/>
  <c r="C665" i="6"/>
  <c r="D665" i="6"/>
  <c r="K665" i="6"/>
  <c r="L665" i="6"/>
  <c r="N665" i="6"/>
  <c r="A666" i="6"/>
  <c r="B666" i="6"/>
  <c r="C666" i="6"/>
  <c r="D666" i="6"/>
  <c r="K666" i="6"/>
  <c r="J666" i="6" s="1"/>
  <c r="L666" i="6"/>
  <c r="N666" i="6"/>
  <c r="A667" i="6"/>
  <c r="B667" i="6"/>
  <c r="C667" i="6"/>
  <c r="P667" i="6" s="1"/>
  <c r="D667" i="6"/>
  <c r="K667" i="6"/>
  <c r="L667" i="6"/>
  <c r="N667" i="6"/>
  <c r="A668" i="6"/>
  <c r="B668" i="6"/>
  <c r="C668" i="6"/>
  <c r="D668" i="6"/>
  <c r="K668" i="6"/>
  <c r="L668" i="6"/>
  <c r="N668" i="6"/>
  <c r="A669" i="6"/>
  <c r="B669" i="6"/>
  <c r="C669" i="6"/>
  <c r="D669" i="6"/>
  <c r="K669" i="6"/>
  <c r="J669" i="6" s="1"/>
  <c r="L669" i="6"/>
  <c r="N669" i="6"/>
  <c r="A670" i="6"/>
  <c r="B670" i="6"/>
  <c r="C670" i="6"/>
  <c r="I670" i="6" s="1"/>
  <c r="D670" i="6"/>
  <c r="K670" i="6"/>
  <c r="J670" i="6" s="1"/>
  <c r="L670" i="6"/>
  <c r="N670" i="6"/>
  <c r="A671" i="6"/>
  <c r="B671" i="6"/>
  <c r="C671" i="6"/>
  <c r="P671" i="6" s="1"/>
  <c r="D671" i="6"/>
  <c r="K671" i="6"/>
  <c r="L671" i="6"/>
  <c r="N671" i="6"/>
  <c r="A672" i="6"/>
  <c r="B672" i="6"/>
  <c r="C672" i="6"/>
  <c r="D672" i="6"/>
  <c r="K672" i="6"/>
  <c r="J672" i="6" s="1"/>
  <c r="L672" i="6"/>
  <c r="N672" i="6"/>
  <c r="A673" i="6"/>
  <c r="B673" i="6"/>
  <c r="C673" i="6"/>
  <c r="F673" i="6" s="1"/>
  <c r="D673" i="6"/>
  <c r="K673" i="6"/>
  <c r="L673" i="6"/>
  <c r="N673" i="6"/>
  <c r="A674" i="6"/>
  <c r="B674" i="6"/>
  <c r="C674" i="6"/>
  <c r="I674" i="6" s="1"/>
  <c r="D674" i="6"/>
  <c r="K674" i="6"/>
  <c r="J674" i="6" s="1"/>
  <c r="L674" i="6"/>
  <c r="N674" i="6"/>
  <c r="A675" i="6"/>
  <c r="B675" i="6"/>
  <c r="C675" i="6"/>
  <c r="P675" i="6" s="1"/>
  <c r="D675" i="6"/>
  <c r="K675" i="6"/>
  <c r="L675" i="6"/>
  <c r="N675" i="6"/>
  <c r="A676" i="6"/>
  <c r="B676" i="6"/>
  <c r="C676" i="6"/>
  <c r="D676" i="6"/>
  <c r="K676" i="6"/>
  <c r="J676" i="6" s="1"/>
  <c r="L676" i="6"/>
  <c r="N676" i="6"/>
  <c r="A677" i="6"/>
  <c r="B677" i="6"/>
  <c r="C677" i="6"/>
  <c r="D677" i="6"/>
  <c r="K677" i="6"/>
  <c r="L677" i="6"/>
  <c r="N677" i="6"/>
  <c r="A678" i="6"/>
  <c r="B678" i="6"/>
  <c r="C678" i="6"/>
  <c r="F678" i="6" s="1"/>
  <c r="D678" i="6"/>
  <c r="J678" i="6"/>
  <c r="L678" i="6"/>
  <c r="N678" i="6"/>
  <c r="A679" i="6"/>
  <c r="B679" i="6"/>
  <c r="C679" i="6"/>
  <c r="I679" i="6" s="1"/>
  <c r="M679" i="6" s="1"/>
  <c r="D679" i="6"/>
  <c r="L679" i="6"/>
  <c r="N679" i="6"/>
  <c r="A680" i="6"/>
  <c r="B680" i="6"/>
  <c r="C680" i="6"/>
  <c r="D680" i="6"/>
  <c r="K680" i="6"/>
  <c r="J680" i="6" s="1"/>
  <c r="L680" i="6"/>
  <c r="N680" i="6"/>
  <c r="A681" i="6"/>
  <c r="B681" i="6"/>
  <c r="C681" i="6"/>
  <c r="I681" i="6" s="1"/>
  <c r="D681" i="6"/>
  <c r="K681" i="6"/>
  <c r="J681" i="6" s="1"/>
  <c r="L681" i="6"/>
  <c r="N681" i="6"/>
  <c r="A682" i="6"/>
  <c r="B682" i="6"/>
  <c r="C682" i="6"/>
  <c r="D682" i="6"/>
  <c r="K682" i="6"/>
  <c r="J682" i="6" s="1"/>
  <c r="L682" i="6"/>
  <c r="N682" i="6"/>
  <c r="A683" i="6"/>
  <c r="B683" i="6"/>
  <c r="C683" i="6"/>
  <c r="F683" i="6" s="1"/>
  <c r="D683" i="6"/>
  <c r="K683" i="6"/>
  <c r="J683" i="6" s="1"/>
  <c r="L683" i="6"/>
  <c r="N683" i="6"/>
  <c r="A684" i="6"/>
  <c r="B684" i="6"/>
  <c r="C684" i="6"/>
  <c r="P684" i="6" s="1"/>
  <c r="D684" i="6"/>
  <c r="K684" i="6"/>
  <c r="L684" i="6"/>
  <c r="N684" i="6"/>
  <c r="A685" i="6"/>
  <c r="B685" i="6"/>
  <c r="C685" i="6"/>
  <c r="D685" i="6"/>
  <c r="K685" i="6"/>
  <c r="L685" i="6"/>
  <c r="N685" i="6"/>
  <c r="A686" i="6"/>
  <c r="B686" i="6"/>
  <c r="C686" i="6"/>
  <c r="P686" i="6" s="1"/>
  <c r="D686" i="6"/>
  <c r="K686" i="6"/>
  <c r="J686" i="6" s="1"/>
  <c r="L686" i="6"/>
  <c r="N686" i="6"/>
  <c r="A687" i="6"/>
  <c r="B687" i="6"/>
  <c r="C687" i="6"/>
  <c r="I687" i="6" s="1"/>
  <c r="D687" i="6"/>
  <c r="K687" i="6"/>
  <c r="L687" i="6"/>
  <c r="N687" i="6"/>
  <c r="A688" i="6"/>
  <c r="B688" i="6"/>
  <c r="C688" i="6"/>
  <c r="F688" i="6" s="1"/>
  <c r="D688" i="6"/>
  <c r="K688" i="6"/>
  <c r="J688" i="6" s="1"/>
  <c r="L688" i="6"/>
  <c r="N688" i="6"/>
  <c r="A689" i="6"/>
  <c r="B689" i="6"/>
  <c r="C689" i="6"/>
  <c r="D689" i="6"/>
  <c r="K689" i="6"/>
  <c r="J689" i="6" s="1"/>
  <c r="L689" i="6"/>
  <c r="N689" i="6"/>
  <c r="A690" i="6"/>
  <c r="B690" i="6"/>
  <c r="C690" i="6"/>
  <c r="P690" i="6" s="1"/>
  <c r="D690" i="6"/>
  <c r="K690" i="6"/>
  <c r="J690" i="6" s="1"/>
  <c r="L690" i="6"/>
  <c r="N690" i="6"/>
  <c r="A691" i="6"/>
  <c r="B691" i="6"/>
  <c r="C691" i="6"/>
  <c r="P691" i="6" s="1"/>
  <c r="D691" i="6"/>
  <c r="K691" i="6"/>
  <c r="J691" i="6" s="1"/>
  <c r="L691" i="6"/>
  <c r="N691" i="6"/>
  <c r="A692" i="6"/>
  <c r="B692" i="6"/>
  <c r="C692" i="6"/>
  <c r="F692" i="6" s="1"/>
  <c r="D692" i="6"/>
  <c r="K692" i="6"/>
  <c r="J692" i="6" s="1"/>
  <c r="L692" i="6"/>
  <c r="N692" i="6"/>
  <c r="A693" i="6"/>
  <c r="B693" i="6"/>
  <c r="C693" i="6"/>
  <c r="F693" i="6" s="1"/>
  <c r="D693" i="6"/>
  <c r="K693" i="6"/>
  <c r="L693" i="6"/>
  <c r="N693" i="6"/>
  <c r="A694" i="6"/>
  <c r="B694" i="6"/>
  <c r="C694" i="6"/>
  <c r="I694" i="6" s="1"/>
  <c r="D694" i="6"/>
  <c r="K694" i="6"/>
  <c r="J694" i="6" s="1"/>
  <c r="L694" i="6"/>
  <c r="N694" i="6"/>
  <c r="A695" i="6"/>
  <c r="B695" i="6"/>
  <c r="C695" i="6"/>
  <c r="D695" i="6"/>
  <c r="K695" i="6"/>
  <c r="J695" i="6" s="1"/>
  <c r="L695" i="6"/>
  <c r="N695" i="6"/>
  <c r="A696" i="6"/>
  <c r="B696" i="6"/>
  <c r="C696" i="6"/>
  <c r="F696" i="6" s="1"/>
  <c r="D696" i="6"/>
  <c r="K696" i="6"/>
  <c r="L696" i="6"/>
  <c r="N696" i="6"/>
  <c r="A697" i="6"/>
  <c r="B697" i="6"/>
  <c r="C697" i="6"/>
  <c r="D697" i="6"/>
  <c r="K697" i="6"/>
  <c r="J697" i="6" s="1"/>
  <c r="L697" i="6"/>
  <c r="N697" i="6"/>
  <c r="A698" i="6"/>
  <c r="B698" i="6"/>
  <c r="C698" i="6"/>
  <c r="I698" i="6" s="1"/>
  <c r="D698" i="6"/>
  <c r="K698" i="6"/>
  <c r="J698" i="6" s="1"/>
  <c r="L698" i="6"/>
  <c r="N698" i="6"/>
  <c r="A699" i="6"/>
  <c r="B699" i="6"/>
  <c r="C699" i="6"/>
  <c r="I699" i="6" s="1"/>
  <c r="D699" i="6"/>
  <c r="K699" i="6"/>
  <c r="J699" i="6" s="1"/>
  <c r="L699" i="6"/>
  <c r="N699" i="6"/>
  <c r="A700" i="6"/>
  <c r="B700" i="6"/>
  <c r="C700" i="6"/>
  <c r="P700" i="6" s="1"/>
  <c r="D700" i="6"/>
  <c r="K700" i="6"/>
  <c r="J700" i="6" s="1"/>
  <c r="L700" i="6"/>
  <c r="N700" i="6"/>
  <c r="A701" i="6"/>
  <c r="B701" i="6"/>
  <c r="C701" i="6"/>
  <c r="F701" i="6" s="1"/>
  <c r="D701" i="6"/>
  <c r="J701" i="6"/>
  <c r="L701" i="6"/>
  <c r="N701" i="6"/>
  <c r="A702" i="6"/>
  <c r="B702" i="6"/>
  <c r="C702" i="6"/>
  <c r="I702" i="6" s="1"/>
  <c r="M702" i="6" s="1"/>
  <c r="D702" i="6"/>
  <c r="J702" i="6"/>
  <c r="L702" i="6"/>
  <c r="N702" i="6"/>
  <c r="A703" i="6"/>
  <c r="B703" i="6"/>
  <c r="C703" i="6"/>
  <c r="D703" i="6"/>
  <c r="K703" i="6"/>
  <c r="L703" i="6"/>
  <c r="N703" i="6"/>
  <c r="A704" i="6"/>
  <c r="B704" i="6"/>
  <c r="C704" i="6"/>
  <c r="F704" i="6" s="1"/>
  <c r="D704" i="6"/>
  <c r="K704" i="6"/>
  <c r="J704" i="6" s="1"/>
  <c r="L704" i="6"/>
  <c r="N704" i="6"/>
  <c r="A705" i="6"/>
  <c r="B705" i="6"/>
  <c r="C705" i="6"/>
  <c r="D705" i="6"/>
  <c r="K705" i="6"/>
  <c r="L705" i="6"/>
  <c r="N705" i="6"/>
  <c r="A706" i="6"/>
  <c r="B706" i="6"/>
  <c r="C706" i="6"/>
  <c r="D706" i="6"/>
  <c r="K706" i="6"/>
  <c r="L706" i="6"/>
  <c r="N706" i="6"/>
  <c r="A707" i="6"/>
  <c r="B707" i="6"/>
  <c r="C707" i="6"/>
  <c r="D707" i="6"/>
  <c r="K707" i="6"/>
  <c r="J707" i="6" s="1"/>
  <c r="L707" i="6"/>
  <c r="N707" i="6"/>
  <c r="A708" i="6"/>
  <c r="B708" i="6"/>
  <c r="C708" i="6"/>
  <c r="I708" i="6" s="1"/>
  <c r="D708" i="6"/>
  <c r="K708" i="6"/>
  <c r="J708" i="6" s="1"/>
  <c r="L708" i="6"/>
  <c r="N708" i="6"/>
  <c r="A709" i="6"/>
  <c r="B709" i="6"/>
  <c r="C709" i="6"/>
  <c r="I709" i="6" s="1"/>
  <c r="M709" i="6" s="1"/>
  <c r="D709" i="6"/>
  <c r="K709" i="6"/>
  <c r="J709" i="6" s="1"/>
  <c r="L709" i="6"/>
  <c r="N709" i="6"/>
  <c r="A710" i="6"/>
  <c r="B710" i="6"/>
  <c r="C710" i="6"/>
  <c r="D710" i="6"/>
  <c r="K710" i="6"/>
  <c r="J710" i="6" s="1"/>
  <c r="L710" i="6"/>
  <c r="N710" i="6"/>
  <c r="A711" i="6"/>
  <c r="B711" i="6"/>
  <c r="C711" i="6"/>
  <c r="D711" i="6"/>
  <c r="K711" i="6"/>
  <c r="J711" i="6" s="1"/>
  <c r="L711" i="6"/>
  <c r="N711" i="6"/>
  <c r="A712" i="6"/>
  <c r="B712" i="6"/>
  <c r="C712" i="6"/>
  <c r="P712" i="6" s="1"/>
  <c r="D712" i="6"/>
  <c r="K712" i="6"/>
  <c r="L712" i="6"/>
  <c r="N712" i="6"/>
  <c r="A713" i="6"/>
  <c r="B713" i="6"/>
  <c r="C713" i="6"/>
  <c r="D713" i="6"/>
  <c r="K713" i="6"/>
  <c r="J713" i="6" s="1"/>
  <c r="L713" i="6"/>
  <c r="N713" i="6"/>
  <c r="A714" i="6"/>
  <c r="B714" i="6"/>
  <c r="C714" i="6"/>
  <c r="I714" i="6" s="1"/>
  <c r="D714" i="6"/>
  <c r="K714" i="6"/>
  <c r="J714" i="6" s="1"/>
  <c r="L714" i="6"/>
  <c r="N714" i="6"/>
  <c r="A715" i="6"/>
  <c r="B715" i="6"/>
  <c r="C715" i="6"/>
  <c r="F715" i="6" s="1"/>
  <c r="D715" i="6"/>
  <c r="K715" i="6"/>
  <c r="L715" i="6"/>
  <c r="N715" i="6"/>
  <c r="A716" i="6"/>
  <c r="B716" i="6"/>
  <c r="C716" i="6"/>
  <c r="D716" i="6"/>
  <c r="K716" i="6"/>
  <c r="J716" i="6" s="1"/>
  <c r="L716" i="6"/>
  <c r="N716" i="6"/>
  <c r="A717" i="6"/>
  <c r="B717" i="6"/>
  <c r="C717" i="6"/>
  <c r="P717" i="6" s="1"/>
  <c r="D717" i="6"/>
  <c r="K717" i="6"/>
  <c r="J717" i="6" s="1"/>
  <c r="L717" i="6"/>
  <c r="N717" i="6"/>
  <c r="A718" i="6"/>
  <c r="B718" i="6"/>
  <c r="C718" i="6"/>
  <c r="I718" i="6" s="1"/>
  <c r="M718" i="6" s="1"/>
  <c r="D718" i="6"/>
  <c r="K718" i="6"/>
  <c r="L718" i="6"/>
  <c r="N718" i="6"/>
  <c r="A719" i="6"/>
  <c r="B719" i="6"/>
  <c r="C719" i="6"/>
  <c r="D719" i="6"/>
  <c r="K719" i="6"/>
  <c r="J719" i="6" s="1"/>
  <c r="L719" i="6"/>
  <c r="N719" i="6"/>
  <c r="A720" i="6"/>
  <c r="B720" i="6"/>
  <c r="C720" i="6"/>
  <c r="P720" i="6" s="1"/>
  <c r="D720" i="6"/>
  <c r="K720" i="6"/>
  <c r="L720" i="6"/>
  <c r="N720" i="6"/>
  <c r="A721" i="6"/>
  <c r="B721" i="6"/>
  <c r="C721" i="6"/>
  <c r="P721" i="6" s="1"/>
  <c r="D721" i="6"/>
  <c r="K721" i="6"/>
  <c r="L721" i="6"/>
  <c r="N721" i="6"/>
  <c r="A722" i="6"/>
  <c r="B722" i="6"/>
  <c r="C722" i="6"/>
  <c r="D722" i="6"/>
  <c r="K722" i="6"/>
  <c r="J722" i="6" s="1"/>
  <c r="L722" i="6"/>
  <c r="N722" i="6"/>
  <c r="A723" i="6"/>
  <c r="B723" i="6"/>
  <c r="C723" i="6"/>
  <c r="D723" i="6"/>
  <c r="L723" i="6"/>
  <c r="N723" i="6"/>
  <c r="A724" i="6"/>
  <c r="B724" i="6"/>
  <c r="C724" i="6"/>
  <c r="F724" i="6" s="1"/>
  <c r="D724" i="6"/>
  <c r="J724" i="6"/>
  <c r="L724" i="6"/>
  <c r="N724" i="6"/>
  <c r="A725" i="6"/>
  <c r="B725" i="6"/>
  <c r="C725" i="6"/>
  <c r="D725" i="6"/>
  <c r="K725" i="6"/>
  <c r="L725" i="6"/>
  <c r="N725" i="6"/>
  <c r="A726" i="6"/>
  <c r="B726" i="6"/>
  <c r="C726" i="6"/>
  <c r="P726" i="6" s="1"/>
  <c r="D726" i="6"/>
  <c r="K726" i="6"/>
  <c r="J726" i="6" s="1"/>
  <c r="L726" i="6"/>
  <c r="N726" i="6"/>
  <c r="A727" i="6"/>
  <c r="B727" i="6"/>
  <c r="C727" i="6"/>
  <c r="F727" i="6" s="1"/>
  <c r="D727" i="6"/>
  <c r="K727" i="6"/>
  <c r="J727" i="6" s="1"/>
  <c r="L727" i="6"/>
  <c r="N727" i="6"/>
  <c r="A728" i="6"/>
  <c r="B728" i="6"/>
  <c r="C728" i="6"/>
  <c r="F728" i="6" s="1"/>
  <c r="D728" i="6"/>
  <c r="K728" i="6"/>
  <c r="J728" i="6" s="1"/>
  <c r="L728" i="6"/>
  <c r="N728" i="6"/>
  <c r="A729" i="6"/>
  <c r="B729" i="6"/>
  <c r="C729" i="6"/>
  <c r="P729" i="6" s="1"/>
  <c r="D729" i="6"/>
  <c r="K729" i="6"/>
  <c r="J729" i="6" s="1"/>
  <c r="L729" i="6"/>
  <c r="N729" i="6"/>
  <c r="A730" i="6"/>
  <c r="B730" i="6"/>
  <c r="C730" i="6"/>
  <c r="P730" i="6" s="1"/>
  <c r="D730" i="6"/>
  <c r="K730" i="6"/>
  <c r="J730" i="6" s="1"/>
  <c r="L730" i="6"/>
  <c r="N730" i="6"/>
  <c r="A731" i="6"/>
  <c r="B731" i="6"/>
  <c r="C731" i="6"/>
  <c r="F731" i="6" s="1"/>
  <c r="D731" i="6"/>
  <c r="K731" i="6"/>
  <c r="J731" i="6" s="1"/>
  <c r="L731" i="6"/>
  <c r="N731" i="6"/>
  <c r="A732" i="6"/>
  <c r="B732" i="6"/>
  <c r="C732" i="6"/>
  <c r="P732" i="6" s="1"/>
  <c r="D732" i="6"/>
  <c r="K732" i="6"/>
  <c r="J732" i="6" s="1"/>
  <c r="L732" i="6"/>
  <c r="N732" i="6"/>
  <c r="A733" i="6"/>
  <c r="B733" i="6"/>
  <c r="C733" i="6"/>
  <c r="D733" i="6"/>
  <c r="K733" i="6"/>
  <c r="J733" i="6" s="1"/>
  <c r="L733" i="6"/>
  <c r="N733" i="6"/>
  <c r="A734" i="6"/>
  <c r="B734" i="6"/>
  <c r="C734" i="6"/>
  <c r="F734" i="6" s="1"/>
  <c r="D734" i="6"/>
  <c r="K734" i="6"/>
  <c r="L734" i="6"/>
  <c r="N734" i="6"/>
  <c r="A735" i="6"/>
  <c r="B735" i="6"/>
  <c r="C735" i="6"/>
  <c r="I735" i="6" s="1"/>
  <c r="D735" i="6"/>
  <c r="K735" i="6"/>
  <c r="L735" i="6"/>
  <c r="N735" i="6"/>
  <c r="A736" i="6"/>
  <c r="B736" i="6"/>
  <c r="C736" i="6"/>
  <c r="P736" i="6" s="1"/>
  <c r="D736" i="6"/>
  <c r="K736" i="6"/>
  <c r="J736" i="6" s="1"/>
  <c r="L736" i="6"/>
  <c r="N736" i="6"/>
  <c r="A737" i="6"/>
  <c r="B737" i="6"/>
  <c r="C737" i="6"/>
  <c r="P737" i="6" s="1"/>
  <c r="D737" i="6"/>
  <c r="K737" i="6"/>
  <c r="J737" i="6" s="1"/>
  <c r="L737" i="6"/>
  <c r="N737" i="6"/>
  <c r="A738" i="6"/>
  <c r="B738" i="6"/>
  <c r="C738" i="6"/>
  <c r="I738" i="6" s="1"/>
  <c r="D738" i="6"/>
  <c r="K738" i="6"/>
  <c r="L738" i="6"/>
  <c r="N738" i="6"/>
  <c r="A739" i="6"/>
  <c r="B739" i="6"/>
  <c r="C739" i="6"/>
  <c r="I739" i="6" s="1"/>
  <c r="D739" i="6"/>
  <c r="K739" i="6"/>
  <c r="L739" i="6"/>
  <c r="N739" i="6"/>
  <c r="A740" i="6"/>
  <c r="B740" i="6"/>
  <c r="C740" i="6"/>
  <c r="P740" i="6" s="1"/>
  <c r="D740" i="6"/>
  <c r="K740" i="6"/>
  <c r="J740" i="6" s="1"/>
  <c r="L740" i="6"/>
  <c r="N740" i="6"/>
  <c r="A741" i="6"/>
  <c r="B741" i="6"/>
  <c r="C741" i="6"/>
  <c r="D741" i="6"/>
  <c r="K741" i="6"/>
  <c r="J741" i="6" s="1"/>
  <c r="L741" i="6"/>
  <c r="N741" i="6"/>
  <c r="A742" i="6"/>
  <c r="B742" i="6"/>
  <c r="C742" i="6"/>
  <c r="P742" i="6" s="1"/>
  <c r="D742" i="6"/>
  <c r="K742" i="6"/>
  <c r="J742" i="6" s="1"/>
  <c r="L742" i="6"/>
  <c r="N742" i="6"/>
  <c r="A743" i="6"/>
  <c r="B743" i="6"/>
  <c r="C743" i="6"/>
  <c r="F743" i="6" s="1"/>
  <c r="D743" i="6"/>
  <c r="K743" i="6"/>
  <c r="J743" i="6" s="1"/>
  <c r="L743" i="6"/>
  <c r="N743" i="6"/>
  <c r="A744" i="6"/>
  <c r="B744" i="6"/>
  <c r="C744" i="6"/>
  <c r="I744" i="6" s="1"/>
  <c r="D744" i="6"/>
  <c r="K744" i="6"/>
  <c r="J744" i="6" s="1"/>
  <c r="L744" i="6"/>
  <c r="N744" i="6"/>
  <c r="A745" i="6"/>
  <c r="B745" i="6"/>
  <c r="C745" i="6"/>
  <c r="F745" i="6" s="1"/>
  <c r="D745" i="6"/>
  <c r="K745" i="6"/>
  <c r="J745" i="6" s="1"/>
  <c r="L745" i="6"/>
  <c r="N745" i="6"/>
  <c r="A746" i="6"/>
  <c r="B746" i="6"/>
  <c r="C746" i="6"/>
  <c r="D746" i="6"/>
  <c r="J746" i="6"/>
  <c r="L746" i="6"/>
  <c r="N746" i="6"/>
  <c r="A747" i="6"/>
  <c r="B747" i="6"/>
  <c r="C747" i="6"/>
  <c r="D747" i="6"/>
  <c r="L747" i="6"/>
  <c r="N747" i="6"/>
  <c r="A748" i="6"/>
  <c r="B748" i="6"/>
  <c r="C748" i="6"/>
  <c r="I748" i="6" s="1"/>
  <c r="D748" i="6"/>
  <c r="K748" i="6"/>
  <c r="J748" i="6" s="1"/>
  <c r="L748" i="6"/>
  <c r="N748" i="6"/>
  <c r="A749" i="6"/>
  <c r="B749" i="6"/>
  <c r="C749" i="6"/>
  <c r="D749" i="6"/>
  <c r="K749" i="6"/>
  <c r="L749" i="6"/>
  <c r="N749" i="6"/>
  <c r="A750" i="6"/>
  <c r="B750" i="6"/>
  <c r="C750" i="6"/>
  <c r="D750" i="6"/>
  <c r="K750" i="6"/>
  <c r="L750" i="6"/>
  <c r="N750" i="6"/>
  <c r="A751" i="6"/>
  <c r="B751" i="6"/>
  <c r="C751" i="6"/>
  <c r="D751" i="6"/>
  <c r="K751" i="6"/>
  <c r="L751" i="6"/>
  <c r="N751" i="6"/>
  <c r="A752" i="6"/>
  <c r="B752" i="6"/>
  <c r="C752" i="6"/>
  <c r="D752" i="6"/>
  <c r="K752" i="6"/>
  <c r="L752" i="6"/>
  <c r="N752" i="6"/>
  <c r="A753" i="6"/>
  <c r="B753" i="6"/>
  <c r="C753" i="6"/>
  <c r="D753" i="6"/>
  <c r="K753" i="6"/>
  <c r="J753" i="6" s="1"/>
  <c r="L753" i="6"/>
  <c r="N753" i="6"/>
  <c r="A754" i="6"/>
  <c r="B754" i="6"/>
  <c r="C754" i="6"/>
  <c r="P754" i="6" s="1"/>
  <c r="D754" i="6"/>
  <c r="K754" i="6"/>
  <c r="J754" i="6" s="1"/>
  <c r="L754" i="6"/>
  <c r="N754" i="6"/>
  <c r="A755" i="6"/>
  <c r="B755" i="6"/>
  <c r="C755" i="6"/>
  <c r="F755" i="6" s="1"/>
  <c r="D755" i="6"/>
  <c r="K755" i="6"/>
  <c r="J755" i="6" s="1"/>
  <c r="L755" i="6"/>
  <c r="N755" i="6"/>
  <c r="A756" i="6"/>
  <c r="B756" i="6"/>
  <c r="C756" i="6"/>
  <c r="P756" i="6" s="1"/>
  <c r="D756" i="6"/>
  <c r="K756" i="6"/>
  <c r="L756" i="6"/>
  <c r="N756" i="6"/>
  <c r="A757" i="6"/>
  <c r="B757" i="6"/>
  <c r="C757" i="6"/>
  <c r="D757" i="6"/>
  <c r="K757" i="6"/>
  <c r="L757" i="6"/>
  <c r="N757" i="6"/>
  <c r="A758" i="6"/>
  <c r="B758" i="6"/>
  <c r="C758" i="6"/>
  <c r="P758" i="6" s="1"/>
  <c r="D758" i="6"/>
  <c r="K758" i="6"/>
  <c r="J758" i="6" s="1"/>
  <c r="L758" i="6"/>
  <c r="N758" i="6"/>
  <c r="A759" i="6"/>
  <c r="B759" i="6"/>
  <c r="C759" i="6"/>
  <c r="P759" i="6" s="1"/>
  <c r="D759" i="6"/>
  <c r="K759" i="6"/>
  <c r="J759" i="6" s="1"/>
  <c r="L759" i="6"/>
  <c r="N759" i="6"/>
  <c r="A760" i="6"/>
  <c r="B760" i="6"/>
  <c r="C760" i="6"/>
  <c r="D760" i="6"/>
  <c r="K760" i="6"/>
  <c r="J760" i="6" s="1"/>
  <c r="L760" i="6"/>
  <c r="N760" i="6"/>
  <c r="A761" i="6"/>
  <c r="B761" i="6"/>
  <c r="C761" i="6"/>
  <c r="I761" i="6" s="1"/>
  <c r="M761" i="6" s="1"/>
  <c r="D761" i="6"/>
  <c r="K761" i="6"/>
  <c r="L761" i="6"/>
  <c r="N761" i="6"/>
  <c r="A762" i="6"/>
  <c r="B762" i="6"/>
  <c r="C762" i="6"/>
  <c r="P762" i="6" s="1"/>
  <c r="D762" i="6"/>
  <c r="K762" i="6"/>
  <c r="J762" i="6" s="1"/>
  <c r="L762" i="6"/>
  <c r="N762" i="6"/>
  <c r="A763" i="6"/>
  <c r="B763" i="6"/>
  <c r="C763" i="6"/>
  <c r="F763" i="6" s="1"/>
  <c r="D763" i="6"/>
  <c r="K763" i="6"/>
  <c r="L763" i="6"/>
  <c r="N763" i="6"/>
  <c r="A764" i="6"/>
  <c r="B764" i="6"/>
  <c r="C764" i="6"/>
  <c r="D764" i="6"/>
  <c r="K764" i="6"/>
  <c r="J764" i="6" s="1"/>
  <c r="L764" i="6"/>
  <c r="N764" i="6"/>
  <c r="A765" i="6"/>
  <c r="B765" i="6"/>
  <c r="C765" i="6"/>
  <c r="P765" i="6" s="1"/>
  <c r="D765" i="6"/>
  <c r="K765" i="6"/>
  <c r="L765" i="6"/>
  <c r="N765" i="6"/>
  <c r="A766" i="6"/>
  <c r="B766" i="6"/>
  <c r="C766" i="6"/>
  <c r="D766" i="6"/>
  <c r="K766" i="6"/>
  <c r="J766" i="6" s="1"/>
  <c r="L766" i="6"/>
  <c r="N766" i="6"/>
  <c r="A767" i="6"/>
  <c r="B767" i="6"/>
  <c r="C767" i="6"/>
  <c r="F767" i="6" s="1"/>
  <c r="D767" i="6"/>
  <c r="K767" i="6"/>
  <c r="L767" i="6"/>
  <c r="N767" i="6"/>
  <c r="A768" i="6"/>
  <c r="B768" i="6"/>
  <c r="C768" i="6"/>
  <c r="I768" i="6" s="1"/>
  <c r="D768" i="6"/>
  <c r="K768" i="6"/>
  <c r="J768" i="6" s="1"/>
  <c r="L768" i="6"/>
  <c r="N768" i="6"/>
  <c r="A769" i="6"/>
  <c r="B769" i="6"/>
  <c r="C769" i="6"/>
  <c r="D769" i="6"/>
  <c r="K769" i="6"/>
  <c r="J769" i="6" s="1"/>
  <c r="L769" i="6"/>
  <c r="N769" i="6"/>
  <c r="A770" i="6"/>
  <c r="B770" i="6"/>
  <c r="C770" i="6"/>
  <c r="P770" i="6" s="1"/>
  <c r="D770" i="6"/>
  <c r="K770" i="6"/>
  <c r="J770" i="6" s="1"/>
  <c r="L770" i="6"/>
  <c r="N770" i="6"/>
  <c r="A771" i="6"/>
  <c r="B771" i="6"/>
  <c r="C771" i="6"/>
  <c r="I771" i="6" s="1"/>
  <c r="D771" i="6"/>
  <c r="K771" i="6"/>
  <c r="J771" i="6" s="1"/>
  <c r="L771" i="6"/>
  <c r="N771" i="6"/>
  <c r="A772" i="6"/>
  <c r="B772" i="6"/>
  <c r="C772" i="6"/>
  <c r="F772" i="6" s="1"/>
  <c r="D772" i="6"/>
  <c r="J772" i="6"/>
  <c r="L772" i="6"/>
  <c r="N772" i="6"/>
  <c r="A773" i="6"/>
  <c r="B773" i="6"/>
  <c r="C773" i="6"/>
  <c r="D773" i="6"/>
  <c r="J773" i="6"/>
  <c r="L773" i="6"/>
  <c r="N773" i="6"/>
  <c r="A774" i="6"/>
  <c r="B774" i="6"/>
  <c r="C774" i="6"/>
  <c r="I774" i="6" s="1"/>
  <c r="D774" i="6"/>
  <c r="K774" i="6"/>
  <c r="L774" i="6"/>
  <c r="N774" i="6"/>
  <c r="A775" i="6"/>
  <c r="B775" i="6"/>
  <c r="C775" i="6"/>
  <c r="D775" i="6"/>
  <c r="K775" i="6"/>
  <c r="J775" i="6" s="1"/>
  <c r="L775" i="6"/>
  <c r="N775" i="6"/>
  <c r="A776" i="6"/>
  <c r="B776" i="6"/>
  <c r="C776" i="6"/>
  <c r="D776" i="6"/>
  <c r="K776" i="6"/>
  <c r="J776" i="6" s="1"/>
  <c r="L776" i="6"/>
  <c r="N776" i="6"/>
  <c r="A777" i="6"/>
  <c r="B777" i="6"/>
  <c r="C777" i="6"/>
  <c r="D777" i="6"/>
  <c r="K777" i="6"/>
  <c r="J777" i="6" s="1"/>
  <c r="L777" i="6"/>
  <c r="N777" i="6"/>
  <c r="A778" i="6"/>
  <c r="B778" i="6"/>
  <c r="C778" i="6"/>
  <c r="P778" i="6" s="1"/>
  <c r="D778" i="6"/>
  <c r="K778" i="6"/>
  <c r="J778" i="6" s="1"/>
  <c r="L778" i="6"/>
  <c r="N778" i="6"/>
  <c r="A779" i="6"/>
  <c r="B779" i="6"/>
  <c r="C779" i="6"/>
  <c r="I779" i="6" s="1"/>
  <c r="M779" i="6" s="1"/>
  <c r="D779" i="6"/>
  <c r="K779" i="6"/>
  <c r="J779" i="6" s="1"/>
  <c r="L779" i="6"/>
  <c r="N779" i="6"/>
  <c r="A780" i="6"/>
  <c r="B780" i="6"/>
  <c r="C780" i="6"/>
  <c r="P780" i="6" s="1"/>
  <c r="D780" i="6"/>
  <c r="K780" i="6"/>
  <c r="L780" i="6"/>
  <c r="N780" i="6"/>
  <c r="A781" i="6"/>
  <c r="B781" i="6"/>
  <c r="C781" i="6"/>
  <c r="F781" i="6" s="1"/>
  <c r="D781" i="6"/>
  <c r="K781" i="6"/>
  <c r="L781" i="6"/>
  <c r="N781" i="6"/>
  <c r="A782" i="6"/>
  <c r="B782" i="6"/>
  <c r="C782" i="6"/>
  <c r="D782" i="6"/>
  <c r="K782" i="6"/>
  <c r="J782" i="6" s="1"/>
  <c r="L782" i="6"/>
  <c r="N782" i="6"/>
  <c r="A783" i="6"/>
  <c r="B783" i="6"/>
  <c r="C783" i="6"/>
  <c r="I783" i="6" s="1"/>
  <c r="D783" i="6"/>
  <c r="K783" i="6"/>
  <c r="L783" i="6"/>
  <c r="N783" i="6"/>
  <c r="A784" i="6"/>
  <c r="B784" i="6"/>
  <c r="C784" i="6"/>
  <c r="F784" i="6" s="1"/>
  <c r="D784" i="6"/>
  <c r="K784" i="6"/>
  <c r="J784" i="6" s="1"/>
  <c r="L784" i="6"/>
  <c r="N784" i="6"/>
  <c r="A785" i="6"/>
  <c r="B785" i="6"/>
  <c r="C785" i="6"/>
  <c r="D785" i="6"/>
  <c r="K785" i="6"/>
  <c r="J785" i="6" s="1"/>
  <c r="L785" i="6"/>
  <c r="N785" i="6"/>
  <c r="A786" i="6"/>
  <c r="B786" i="6"/>
  <c r="C786" i="6"/>
  <c r="D786" i="6"/>
  <c r="K786" i="6"/>
  <c r="L786" i="6"/>
  <c r="N786" i="6"/>
  <c r="A787" i="6"/>
  <c r="B787" i="6"/>
  <c r="C787" i="6"/>
  <c r="F787" i="6" s="1"/>
  <c r="D787" i="6"/>
  <c r="K787" i="6"/>
  <c r="J787" i="6" s="1"/>
  <c r="L787" i="6"/>
  <c r="N787" i="6"/>
  <c r="A788" i="6"/>
  <c r="B788" i="6"/>
  <c r="C788" i="6"/>
  <c r="D788" i="6"/>
  <c r="K788" i="6"/>
  <c r="J788" i="6" s="1"/>
  <c r="L788" i="6"/>
  <c r="N788" i="6"/>
  <c r="A789" i="6"/>
  <c r="B789" i="6"/>
  <c r="C789" i="6"/>
  <c r="I789" i="6" s="1"/>
  <c r="D789" i="6"/>
  <c r="K789" i="6"/>
  <c r="L789" i="6"/>
  <c r="N789" i="6"/>
  <c r="A790" i="6"/>
  <c r="B790" i="6"/>
  <c r="C790" i="6"/>
  <c r="D790" i="6"/>
  <c r="K790" i="6"/>
  <c r="L790" i="6"/>
  <c r="N790" i="6"/>
  <c r="A791" i="6"/>
  <c r="B791" i="6"/>
  <c r="C791" i="6"/>
  <c r="D791" i="6"/>
  <c r="K791" i="6"/>
  <c r="L791" i="6"/>
  <c r="N791" i="6"/>
  <c r="A792" i="6"/>
  <c r="B792" i="6"/>
  <c r="C792" i="6"/>
  <c r="D792" i="6"/>
  <c r="K792" i="6"/>
  <c r="L792" i="6"/>
  <c r="N792" i="6"/>
  <c r="A793" i="6"/>
  <c r="B793" i="6"/>
  <c r="C793" i="6"/>
  <c r="D793" i="6"/>
  <c r="L793" i="6"/>
  <c r="N793" i="6"/>
  <c r="A794" i="6"/>
  <c r="B794" i="6"/>
  <c r="C794" i="6"/>
  <c r="D794" i="6"/>
  <c r="J794" i="6"/>
  <c r="L794" i="6"/>
  <c r="N794" i="6"/>
  <c r="A795" i="6"/>
  <c r="B795" i="6"/>
  <c r="C795" i="6"/>
  <c r="D795" i="6"/>
  <c r="K795" i="6"/>
  <c r="L795" i="6"/>
  <c r="N795" i="6"/>
  <c r="A796" i="6"/>
  <c r="B796" i="6"/>
  <c r="C796" i="6"/>
  <c r="P796" i="6" s="1"/>
  <c r="D796" i="6"/>
  <c r="K796" i="6"/>
  <c r="J796" i="6" s="1"/>
  <c r="L796" i="6"/>
  <c r="N796" i="6"/>
  <c r="A797" i="6"/>
  <c r="B797" i="6"/>
  <c r="C797" i="6"/>
  <c r="P797" i="6" s="1"/>
  <c r="D797" i="6"/>
  <c r="K797" i="6"/>
  <c r="L797" i="6"/>
  <c r="N797" i="6"/>
  <c r="A798" i="6"/>
  <c r="B798" i="6"/>
  <c r="C798" i="6"/>
  <c r="P798" i="6" s="1"/>
  <c r="D798" i="6"/>
  <c r="K798" i="6"/>
  <c r="J798" i="6" s="1"/>
  <c r="L798" i="6"/>
  <c r="N798" i="6"/>
  <c r="A799" i="6"/>
  <c r="B799" i="6"/>
  <c r="C799" i="6"/>
  <c r="D799" i="6"/>
  <c r="K799" i="6"/>
  <c r="J799" i="6" s="1"/>
  <c r="L799" i="6"/>
  <c r="N799" i="6"/>
  <c r="A800" i="6"/>
  <c r="B800" i="6"/>
  <c r="C800" i="6"/>
  <c r="F800" i="6" s="1"/>
  <c r="D800" i="6"/>
  <c r="K800" i="6"/>
  <c r="J800" i="6" s="1"/>
  <c r="L800" i="6"/>
  <c r="N800" i="6"/>
  <c r="A801" i="6"/>
  <c r="B801" i="6"/>
  <c r="C801" i="6"/>
  <c r="D801" i="6"/>
  <c r="L801" i="6"/>
  <c r="N801" i="6"/>
  <c r="A802" i="6"/>
  <c r="B802" i="6"/>
  <c r="C802" i="6"/>
  <c r="P802" i="6" s="1"/>
  <c r="D802" i="6"/>
  <c r="L802" i="6"/>
  <c r="N802" i="6"/>
  <c r="A803" i="6"/>
  <c r="B803" i="6"/>
  <c r="C803" i="6"/>
  <c r="P803" i="6" s="1"/>
  <c r="D803" i="6"/>
  <c r="K803" i="6"/>
  <c r="J803" i="6" s="1"/>
  <c r="L803" i="6"/>
  <c r="N803" i="6"/>
  <c r="A804" i="6"/>
  <c r="B804" i="6"/>
  <c r="C804" i="6"/>
  <c r="D804" i="6"/>
  <c r="K804" i="6"/>
  <c r="J804" i="6" s="1"/>
  <c r="L804" i="6"/>
  <c r="N804" i="6"/>
  <c r="A805" i="6"/>
  <c r="B805" i="6"/>
  <c r="C805" i="6"/>
  <c r="I805" i="6" s="1"/>
  <c r="M805" i="6" s="1"/>
  <c r="D805" i="6"/>
  <c r="K805" i="6"/>
  <c r="J805" i="6" s="1"/>
  <c r="L805" i="6"/>
  <c r="N805" i="6"/>
  <c r="A806" i="6"/>
  <c r="B806" i="6"/>
  <c r="C806" i="6"/>
  <c r="D806" i="6"/>
  <c r="K806" i="6"/>
  <c r="J806" i="6" s="1"/>
  <c r="L806" i="6"/>
  <c r="N806" i="6"/>
  <c r="A807" i="6"/>
  <c r="B807" i="6"/>
  <c r="C807" i="6"/>
  <c r="P807" i="6" s="1"/>
  <c r="D807" i="6"/>
  <c r="K807" i="6"/>
  <c r="J807" i="6" s="1"/>
  <c r="L807" i="6"/>
  <c r="N807" i="6"/>
  <c r="A808" i="6"/>
  <c r="B808" i="6"/>
  <c r="C808" i="6"/>
  <c r="P808" i="6" s="1"/>
  <c r="D808" i="6"/>
  <c r="K808" i="6"/>
  <c r="J808" i="6" s="1"/>
  <c r="L808" i="6"/>
  <c r="N808" i="6"/>
  <c r="A809" i="6"/>
  <c r="B809" i="6"/>
  <c r="C809" i="6"/>
  <c r="F809" i="6" s="1"/>
  <c r="D809" i="6"/>
  <c r="K809" i="6"/>
  <c r="J809" i="6" s="1"/>
  <c r="L809" i="6"/>
  <c r="N809" i="6"/>
  <c r="A810" i="6"/>
  <c r="B810" i="6"/>
  <c r="C810" i="6"/>
  <c r="F810" i="6" s="1"/>
  <c r="D810" i="6"/>
  <c r="K810" i="6"/>
  <c r="J810" i="6" s="1"/>
  <c r="L810" i="6"/>
  <c r="N810" i="6"/>
  <c r="A811" i="6"/>
  <c r="B811" i="6"/>
  <c r="C811" i="6"/>
  <c r="F811" i="6" s="1"/>
  <c r="D811" i="6"/>
  <c r="K811" i="6"/>
  <c r="L811" i="6"/>
  <c r="N811" i="6"/>
  <c r="A812" i="6"/>
  <c r="B812" i="6"/>
  <c r="C812" i="6"/>
  <c r="D812" i="6"/>
  <c r="K812" i="6"/>
  <c r="J812" i="6" s="1"/>
  <c r="L812" i="6"/>
  <c r="N812" i="6"/>
  <c r="A813" i="6"/>
  <c r="B813" i="6"/>
  <c r="C813" i="6"/>
  <c r="F813" i="6" s="1"/>
  <c r="D813" i="6"/>
  <c r="K813" i="6"/>
  <c r="J813" i="6" s="1"/>
  <c r="L813" i="6"/>
  <c r="N813" i="6"/>
  <c r="A814" i="6"/>
  <c r="B814" i="6"/>
  <c r="C814" i="6"/>
  <c r="F814" i="6" s="1"/>
  <c r="D814" i="6"/>
  <c r="K814" i="6"/>
  <c r="J814" i="6" s="1"/>
  <c r="L814" i="6"/>
  <c r="N814" i="6"/>
  <c r="A815" i="6"/>
  <c r="B815" i="6"/>
  <c r="C815" i="6"/>
  <c r="D815" i="6"/>
  <c r="K815" i="6"/>
  <c r="J815" i="6" s="1"/>
  <c r="L815" i="6"/>
  <c r="N815" i="6"/>
  <c r="A816" i="6"/>
  <c r="B816" i="6"/>
  <c r="C816" i="6"/>
  <c r="I816" i="6" s="1"/>
  <c r="D816" i="6"/>
  <c r="K816" i="6"/>
  <c r="L816" i="6"/>
  <c r="N816" i="6"/>
  <c r="A817" i="6"/>
  <c r="B817" i="6"/>
  <c r="C817" i="6"/>
  <c r="D817" i="6"/>
  <c r="J817" i="6"/>
  <c r="L817" i="6"/>
  <c r="N817" i="6"/>
  <c r="A818" i="6"/>
  <c r="B818" i="6"/>
  <c r="C818" i="6"/>
  <c r="F818" i="6" s="1"/>
  <c r="D818" i="6"/>
  <c r="J818" i="6"/>
  <c r="L818" i="6"/>
  <c r="N818" i="6"/>
  <c r="A819" i="6"/>
  <c r="B819" i="6"/>
  <c r="C819" i="6"/>
  <c r="D819" i="6"/>
  <c r="K819" i="6"/>
  <c r="L819" i="6"/>
  <c r="N819" i="6"/>
  <c r="A820" i="6"/>
  <c r="B820" i="6"/>
  <c r="C820" i="6"/>
  <c r="F820" i="6" s="1"/>
  <c r="D820" i="6"/>
  <c r="K820" i="6"/>
  <c r="J820" i="6" s="1"/>
  <c r="L820" i="6"/>
  <c r="N820" i="6"/>
  <c r="A821" i="6"/>
  <c r="B821" i="6"/>
  <c r="C821" i="6"/>
  <c r="F821" i="6" s="1"/>
  <c r="D821" i="6"/>
  <c r="K821" i="6"/>
  <c r="J821" i="6" s="1"/>
  <c r="L821" i="6"/>
  <c r="N821" i="6"/>
  <c r="A822" i="6"/>
  <c r="B822" i="6"/>
  <c r="C822" i="6"/>
  <c r="D822" i="6"/>
  <c r="K822" i="6"/>
  <c r="J822" i="6" s="1"/>
  <c r="L822" i="6"/>
  <c r="N822" i="6"/>
  <c r="A823" i="6"/>
  <c r="B823" i="6"/>
  <c r="C823" i="6"/>
  <c r="D823" i="6"/>
  <c r="K823" i="6"/>
  <c r="L823" i="6"/>
  <c r="N823" i="6"/>
  <c r="A824" i="6"/>
  <c r="B824" i="6"/>
  <c r="C824" i="6"/>
  <c r="P824" i="6" s="1"/>
  <c r="D824" i="6"/>
  <c r="K824" i="6"/>
  <c r="J824" i="6" s="1"/>
  <c r="L824" i="6"/>
  <c r="N824" i="6"/>
  <c r="A825" i="6"/>
  <c r="B825" i="6"/>
  <c r="C825" i="6"/>
  <c r="P825" i="6" s="1"/>
  <c r="D825" i="6"/>
  <c r="K825" i="6"/>
  <c r="J825" i="6" s="1"/>
  <c r="L825" i="6"/>
  <c r="N825" i="6"/>
  <c r="A826" i="6"/>
  <c r="B826" i="6"/>
  <c r="C826" i="6"/>
  <c r="F826" i="6" s="1"/>
  <c r="D826" i="6"/>
  <c r="K826" i="6"/>
  <c r="L826" i="6"/>
  <c r="N826" i="6"/>
  <c r="A827" i="6"/>
  <c r="B827" i="6"/>
  <c r="C827" i="6"/>
  <c r="I827" i="6" s="1"/>
  <c r="D827" i="6"/>
  <c r="K827" i="6"/>
  <c r="J827" i="6" s="1"/>
  <c r="L827" i="6"/>
  <c r="N827" i="6"/>
  <c r="A828" i="6"/>
  <c r="B828" i="6"/>
  <c r="C828" i="6"/>
  <c r="F828" i="6" s="1"/>
  <c r="D828" i="6"/>
  <c r="K828" i="6"/>
  <c r="L828" i="6"/>
  <c r="N828" i="6"/>
  <c r="A829" i="6"/>
  <c r="B829" i="6"/>
  <c r="C829" i="6"/>
  <c r="D829" i="6"/>
  <c r="K829" i="6"/>
  <c r="J829" i="6" s="1"/>
  <c r="L829" i="6"/>
  <c r="N829" i="6"/>
  <c r="A830" i="6"/>
  <c r="B830" i="6"/>
  <c r="C830" i="6"/>
  <c r="D830" i="6"/>
  <c r="K830" i="6"/>
  <c r="L830" i="6"/>
  <c r="N830" i="6"/>
  <c r="A831" i="6"/>
  <c r="B831" i="6"/>
  <c r="C831" i="6"/>
  <c r="P831" i="6" s="1"/>
  <c r="D831" i="6"/>
  <c r="K831" i="6"/>
  <c r="J831" i="6" s="1"/>
  <c r="L831" i="6"/>
  <c r="N831" i="6"/>
  <c r="A832" i="6"/>
  <c r="B832" i="6"/>
  <c r="C832" i="6"/>
  <c r="D832" i="6"/>
  <c r="K832" i="6"/>
  <c r="J832" i="6" s="1"/>
  <c r="L832" i="6"/>
  <c r="N832" i="6"/>
  <c r="A833" i="6"/>
  <c r="B833" i="6"/>
  <c r="C833" i="6"/>
  <c r="F833" i="6" s="1"/>
  <c r="D833" i="6"/>
  <c r="K833" i="6"/>
  <c r="L833" i="6"/>
  <c r="N833" i="6"/>
  <c r="A834" i="6"/>
  <c r="B834" i="6"/>
  <c r="C834" i="6"/>
  <c r="D834" i="6"/>
  <c r="K834" i="6"/>
  <c r="L834" i="6"/>
  <c r="N834" i="6"/>
  <c r="A835" i="6"/>
  <c r="B835" i="6"/>
  <c r="C835" i="6"/>
  <c r="P835" i="6" s="1"/>
  <c r="D835" i="6"/>
  <c r="K835" i="6"/>
  <c r="J835" i="6" s="1"/>
  <c r="L835" i="6"/>
  <c r="N835" i="6"/>
  <c r="A836" i="6"/>
  <c r="B836" i="6"/>
  <c r="C836" i="6"/>
  <c r="P836" i="6" s="1"/>
  <c r="D836" i="6"/>
  <c r="K836" i="6"/>
  <c r="J836" i="6" s="1"/>
  <c r="L836" i="6"/>
  <c r="N836" i="6"/>
  <c r="A837" i="6"/>
  <c r="B837" i="6"/>
  <c r="C837" i="6"/>
  <c r="P837" i="6" s="1"/>
  <c r="D837" i="6"/>
  <c r="K837" i="6"/>
  <c r="J837" i="6" s="1"/>
  <c r="L837" i="6"/>
  <c r="N837" i="6"/>
  <c r="A838" i="6"/>
  <c r="B838" i="6"/>
  <c r="C838" i="6"/>
  <c r="P838" i="6" s="1"/>
  <c r="D838" i="6"/>
  <c r="K838" i="6"/>
  <c r="L838" i="6"/>
  <c r="N838" i="6"/>
  <c r="A839" i="6"/>
  <c r="B839" i="6"/>
  <c r="C839" i="6"/>
  <c r="D839" i="6"/>
  <c r="K839" i="6"/>
  <c r="J839" i="6" s="1"/>
  <c r="L839" i="6"/>
  <c r="N839" i="6"/>
  <c r="A840" i="6"/>
  <c r="B840" i="6"/>
  <c r="C840" i="6"/>
  <c r="F840" i="6" s="1"/>
  <c r="D840" i="6"/>
  <c r="J840" i="6"/>
  <c r="L840" i="6"/>
  <c r="N840" i="6"/>
  <c r="A841" i="6"/>
  <c r="B841" i="6"/>
  <c r="C841" i="6"/>
  <c r="D841" i="6"/>
  <c r="J841" i="6"/>
  <c r="L841" i="6"/>
  <c r="N841" i="6"/>
  <c r="A842" i="6"/>
  <c r="B842" i="6"/>
  <c r="C842" i="6"/>
  <c r="P842" i="6" s="1"/>
  <c r="D842" i="6"/>
  <c r="K842" i="6"/>
  <c r="J842" i="6" s="1"/>
  <c r="L842" i="6"/>
  <c r="N842" i="6"/>
  <c r="A843" i="6"/>
  <c r="B843" i="6"/>
  <c r="C843" i="6"/>
  <c r="P843" i="6" s="1"/>
  <c r="D843" i="6"/>
  <c r="K843" i="6"/>
  <c r="L843" i="6"/>
  <c r="N843" i="6"/>
  <c r="A844" i="6"/>
  <c r="B844" i="6"/>
  <c r="C844" i="6"/>
  <c r="D844" i="6"/>
  <c r="K844" i="6"/>
  <c r="J844" i="6" s="1"/>
  <c r="L844" i="6"/>
  <c r="N844" i="6"/>
  <c r="A845" i="6"/>
  <c r="B845" i="6"/>
  <c r="C845" i="6"/>
  <c r="D845" i="6"/>
  <c r="K845" i="6"/>
  <c r="J845" i="6" s="1"/>
  <c r="L845" i="6"/>
  <c r="N845" i="6"/>
  <c r="A846" i="6"/>
  <c r="B846" i="6"/>
  <c r="C846" i="6"/>
  <c r="D846" i="6"/>
  <c r="K846" i="6"/>
  <c r="L846" i="6"/>
  <c r="N846" i="6"/>
  <c r="A847" i="6"/>
  <c r="B847" i="6"/>
  <c r="C847" i="6"/>
  <c r="D847" i="6"/>
  <c r="K847" i="6"/>
  <c r="L847" i="6"/>
  <c r="N847" i="6"/>
  <c r="A848" i="6"/>
  <c r="B848" i="6"/>
  <c r="C848" i="6"/>
  <c r="D848" i="6"/>
  <c r="K848" i="6"/>
  <c r="L848" i="6"/>
  <c r="N848" i="6"/>
  <c r="A849" i="6"/>
  <c r="B849" i="6"/>
  <c r="C849" i="6"/>
  <c r="I849" i="6" s="1"/>
  <c r="D849" i="6"/>
  <c r="K849" i="6"/>
  <c r="J849" i="6" s="1"/>
  <c r="L849" i="6"/>
  <c r="N849" i="6"/>
  <c r="A850" i="6"/>
  <c r="B850" i="6"/>
  <c r="C850" i="6"/>
  <c r="F850" i="6" s="1"/>
  <c r="D850" i="6"/>
  <c r="K850" i="6"/>
  <c r="J850" i="6" s="1"/>
  <c r="L850" i="6"/>
  <c r="N850" i="6"/>
  <c r="A851" i="6"/>
  <c r="B851" i="6"/>
  <c r="C851" i="6"/>
  <c r="D851" i="6"/>
  <c r="K851" i="6"/>
  <c r="J851" i="6" s="1"/>
  <c r="L851" i="6"/>
  <c r="N851" i="6"/>
  <c r="A852" i="6"/>
  <c r="B852" i="6"/>
  <c r="C852" i="6"/>
  <c r="D852" i="6"/>
  <c r="K852" i="6"/>
  <c r="L852" i="6"/>
  <c r="N852" i="6"/>
  <c r="A853" i="6"/>
  <c r="B853" i="6"/>
  <c r="C853" i="6"/>
  <c r="F853" i="6" s="1"/>
  <c r="D853" i="6"/>
  <c r="K853" i="6"/>
  <c r="J853" i="6" s="1"/>
  <c r="L853" i="6"/>
  <c r="N853" i="6"/>
  <c r="A854" i="6"/>
  <c r="B854" i="6"/>
  <c r="C854" i="6"/>
  <c r="D854" i="6"/>
  <c r="K854" i="6"/>
  <c r="J854" i="6" s="1"/>
  <c r="L854" i="6"/>
  <c r="N854" i="6"/>
  <c r="A855" i="6"/>
  <c r="B855" i="6"/>
  <c r="C855" i="6"/>
  <c r="I855" i="6" s="1"/>
  <c r="D855" i="6"/>
  <c r="K855" i="6"/>
  <c r="L855" i="6"/>
  <c r="N855" i="6"/>
  <c r="A856" i="6"/>
  <c r="B856" i="6"/>
  <c r="C856" i="6"/>
  <c r="P856" i="6" s="1"/>
  <c r="D856" i="6"/>
  <c r="K856" i="6"/>
  <c r="L856" i="6"/>
  <c r="N856" i="6"/>
  <c r="A857" i="6"/>
  <c r="B857" i="6"/>
  <c r="C857" i="6"/>
  <c r="P857" i="6" s="1"/>
  <c r="D857" i="6"/>
  <c r="K857" i="6"/>
  <c r="J857" i="6" s="1"/>
  <c r="L857" i="6"/>
  <c r="N857" i="6"/>
  <c r="A858" i="6"/>
  <c r="B858" i="6"/>
  <c r="C858" i="6"/>
  <c r="D858" i="6"/>
  <c r="K858" i="6"/>
  <c r="J858" i="6" s="1"/>
  <c r="L858" i="6"/>
  <c r="N858" i="6"/>
  <c r="A859" i="6"/>
  <c r="B859" i="6"/>
  <c r="C859" i="6"/>
  <c r="F859" i="6" s="1"/>
  <c r="D859" i="6"/>
  <c r="K859" i="6"/>
  <c r="L859" i="6"/>
  <c r="N859" i="6"/>
  <c r="A860" i="6"/>
  <c r="B860" i="6"/>
  <c r="C860" i="6"/>
  <c r="D860" i="6"/>
  <c r="K860" i="6"/>
  <c r="J860" i="6" s="1"/>
  <c r="L860" i="6"/>
  <c r="N860" i="6"/>
  <c r="A861" i="6"/>
  <c r="B861" i="6"/>
  <c r="C861" i="6"/>
  <c r="D861" i="6"/>
  <c r="K861" i="6"/>
  <c r="J861" i="6" s="1"/>
  <c r="L861" i="6"/>
  <c r="N861" i="6"/>
  <c r="A862" i="6"/>
  <c r="B862" i="6"/>
  <c r="C862" i="6"/>
  <c r="F862" i="6" s="1"/>
  <c r="D862" i="6"/>
  <c r="K862" i="6"/>
  <c r="L862" i="6"/>
  <c r="N862" i="6"/>
  <c r="A863" i="6"/>
  <c r="B863" i="6"/>
  <c r="C863" i="6"/>
  <c r="F863" i="6" s="1"/>
  <c r="D863" i="6"/>
  <c r="K863" i="6"/>
  <c r="L863" i="6"/>
  <c r="N863" i="6"/>
  <c r="A864" i="6"/>
  <c r="B864" i="6"/>
  <c r="C864" i="6"/>
  <c r="I864" i="6" s="1"/>
  <c r="D864" i="6"/>
  <c r="K864" i="6"/>
  <c r="L864" i="6"/>
  <c r="N864" i="6"/>
  <c r="A865" i="6"/>
  <c r="B865" i="6"/>
  <c r="C865" i="6"/>
  <c r="D865" i="6"/>
  <c r="K865" i="6"/>
  <c r="J865" i="6" s="1"/>
  <c r="L865" i="6"/>
  <c r="N865" i="6"/>
  <c r="A866" i="6"/>
  <c r="B866" i="6"/>
  <c r="C866" i="6"/>
  <c r="P866" i="6" s="1"/>
  <c r="D866" i="6"/>
  <c r="J866" i="6"/>
  <c r="L866" i="6"/>
  <c r="N866" i="6"/>
  <c r="A867" i="6"/>
  <c r="B867" i="6"/>
  <c r="C867" i="6"/>
  <c r="D867" i="6"/>
  <c r="J867" i="6"/>
  <c r="L867" i="6"/>
  <c r="N867" i="6"/>
  <c r="A868" i="6"/>
  <c r="B868" i="6"/>
  <c r="C868" i="6"/>
  <c r="D868" i="6"/>
  <c r="K868" i="6"/>
  <c r="L868" i="6"/>
  <c r="N868" i="6"/>
  <c r="A869" i="6"/>
  <c r="B869" i="6"/>
  <c r="C869" i="6"/>
  <c r="P869" i="6" s="1"/>
  <c r="D869" i="6"/>
  <c r="K869" i="6"/>
  <c r="J869" i="6" s="1"/>
  <c r="L869" i="6"/>
  <c r="N869" i="6"/>
  <c r="A870" i="6"/>
  <c r="B870" i="6"/>
  <c r="C870" i="6"/>
  <c r="I870" i="6" s="1"/>
  <c r="D870" i="6"/>
  <c r="K870" i="6"/>
  <c r="J870" i="6" s="1"/>
  <c r="L870" i="6"/>
  <c r="N870" i="6"/>
  <c r="A871" i="6"/>
  <c r="B871" i="6"/>
  <c r="C871" i="6"/>
  <c r="F871" i="6" s="1"/>
  <c r="D871" i="6"/>
  <c r="K871" i="6"/>
  <c r="J871" i="6" s="1"/>
  <c r="L871" i="6"/>
  <c r="N871" i="6"/>
  <c r="A872" i="6"/>
  <c r="B872" i="6"/>
  <c r="C872" i="6"/>
  <c r="P872" i="6" s="1"/>
  <c r="D872" i="6"/>
  <c r="K872" i="6"/>
  <c r="J872" i="6" s="1"/>
  <c r="L872" i="6"/>
  <c r="N872" i="6"/>
  <c r="A873" i="6"/>
  <c r="B873" i="6"/>
  <c r="C873" i="6"/>
  <c r="D873" i="6"/>
  <c r="K873" i="6"/>
  <c r="L873" i="6"/>
  <c r="N873" i="6"/>
  <c r="A874" i="6"/>
  <c r="B874" i="6"/>
  <c r="C874" i="6"/>
  <c r="P874" i="6" s="1"/>
  <c r="D874" i="6"/>
  <c r="K874" i="6"/>
  <c r="L874" i="6"/>
  <c r="N874" i="6"/>
  <c r="A875" i="6"/>
  <c r="B875" i="6"/>
  <c r="C875" i="6"/>
  <c r="I875" i="6" s="1"/>
  <c r="D875" i="6"/>
  <c r="K875" i="6"/>
  <c r="J875" i="6" s="1"/>
  <c r="L875" i="6"/>
  <c r="N875" i="6"/>
  <c r="A876" i="6"/>
  <c r="B876" i="6"/>
  <c r="C876" i="6"/>
  <c r="F876" i="6" s="1"/>
  <c r="D876" i="6"/>
  <c r="K876" i="6"/>
  <c r="J876" i="6" s="1"/>
  <c r="L876" i="6"/>
  <c r="N876" i="6"/>
  <c r="A877" i="6"/>
  <c r="B877" i="6"/>
  <c r="C877" i="6"/>
  <c r="P877" i="6" s="1"/>
  <c r="D877" i="6"/>
  <c r="K877" i="6"/>
  <c r="L877" i="6"/>
  <c r="N877" i="6"/>
  <c r="A878" i="6"/>
  <c r="B878" i="6"/>
  <c r="C878" i="6"/>
  <c r="D878" i="6"/>
  <c r="K878" i="6"/>
  <c r="J878" i="6" s="1"/>
  <c r="L878" i="6"/>
  <c r="N878" i="6"/>
  <c r="A879" i="6"/>
  <c r="B879" i="6"/>
  <c r="C879" i="6"/>
  <c r="I879" i="6" s="1"/>
  <c r="D879" i="6"/>
  <c r="K879" i="6"/>
  <c r="J879" i="6" s="1"/>
  <c r="L879" i="6"/>
  <c r="N879" i="6"/>
  <c r="A880" i="6"/>
  <c r="B880" i="6"/>
  <c r="C880" i="6"/>
  <c r="P880" i="6" s="1"/>
  <c r="D880" i="6"/>
  <c r="K880" i="6"/>
  <c r="J880" i="6" s="1"/>
  <c r="L880" i="6"/>
  <c r="N880" i="6"/>
  <c r="A881" i="6"/>
  <c r="B881" i="6"/>
  <c r="C881" i="6"/>
  <c r="F881" i="6" s="1"/>
  <c r="D881" i="6"/>
  <c r="K881" i="6"/>
  <c r="J881" i="6" s="1"/>
  <c r="L881" i="6"/>
  <c r="N881" i="6"/>
  <c r="A882" i="6"/>
  <c r="B882" i="6"/>
  <c r="C882" i="6"/>
  <c r="P882" i="6" s="1"/>
  <c r="D882" i="6"/>
  <c r="K882" i="6"/>
  <c r="L882" i="6"/>
  <c r="N882" i="6"/>
  <c r="A883" i="6"/>
  <c r="B883" i="6"/>
  <c r="C883" i="6"/>
  <c r="F883" i="6" s="1"/>
  <c r="D883" i="6"/>
  <c r="K883" i="6"/>
  <c r="J883" i="6" s="1"/>
  <c r="L883" i="6"/>
  <c r="N883" i="6"/>
  <c r="A884" i="6"/>
  <c r="B884" i="6"/>
  <c r="C884" i="6"/>
  <c r="D884" i="6"/>
  <c r="K884" i="6"/>
  <c r="L884" i="6"/>
  <c r="N884" i="6"/>
  <c r="A885" i="6"/>
  <c r="B885" i="6"/>
  <c r="C885" i="6"/>
  <c r="I885" i="6" s="1"/>
  <c r="M885" i="6" s="1"/>
  <c r="D885" i="6"/>
  <c r="L885" i="6"/>
  <c r="N885" i="6"/>
  <c r="A886" i="6"/>
  <c r="B886" i="6"/>
  <c r="C886" i="6"/>
  <c r="I886" i="6" s="1"/>
  <c r="M886" i="6" s="1"/>
  <c r="D886" i="6"/>
  <c r="L886" i="6"/>
  <c r="N886" i="6"/>
  <c r="A887" i="6"/>
  <c r="B887" i="6"/>
  <c r="C887" i="6"/>
  <c r="F887" i="6" s="1"/>
  <c r="D887" i="6"/>
  <c r="K887" i="6"/>
  <c r="L887" i="6"/>
  <c r="N887" i="6"/>
  <c r="A888" i="6"/>
  <c r="B888" i="6"/>
  <c r="C888" i="6"/>
  <c r="P888" i="6" s="1"/>
  <c r="D888" i="6"/>
  <c r="K888" i="6"/>
  <c r="J888" i="6" s="1"/>
  <c r="L888" i="6"/>
  <c r="N888" i="6"/>
  <c r="A889" i="6"/>
  <c r="B889" i="6"/>
  <c r="C889" i="6"/>
  <c r="D889" i="6"/>
  <c r="K889" i="6"/>
  <c r="L889" i="6"/>
  <c r="N889" i="6"/>
  <c r="A890" i="6"/>
  <c r="B890" i="6"/>
  <c r="C890" i="6"/>
  <c r="D890" i="6"/>
  <c r="K890" i="6"/>
  <c r="J890" i="6" s="1"/>
  <c r="L890" i="6"/>
  <c r="N890" i="6"/>
  <c r="A891" i="6"/>
  <c r="B891" i="6"/>
  <c r="C891" i="6"/>
  <c r="D891" i="6"/>
  <c r="K891" i="6"/>
  <c r="L891" i="6"/>
  <c r="N891" i="6"/>
  <c r="A892" i="6"/>
  <c r="B892" i="6"/>
  <c r="C892" i="6"/>
  <c r="D892" i="6"/>
  <c r="K892" i="6"/>
  <c r="J892" i="6" s="1"/>
  <c r="L892" i="6"/>
  <c r="N892" i="6"/>
  <c r="A893" i="6"/>
  <c r="B893" i="6"/>
  <c r="C893" i="6"/>
  <c r="D893" i="6"/>
  <c r="K893" i="6"/>
  <c r="L893" i="6"/>
  <c r="N893" i="6"/>
  <c r="A894" i="6"/>
  <c r="B894" i="6"/>
  <c r="C894" i="6"/>
  <c r="I894" i="6" s="1"/>
  <c r="D894" i="6"/>
  <c r="K894" i="6"/>
  <c r="L894" i="6"/>
  <c r="N894" i="6"/>
  <c r="A895" i="6"/>
  <c r="B895" i="6"/>
  <c r="C895" i="6"/>
  <c r="P895" i="6" s="1"/>
  <c r="D895" i="6"/>
  <c r="K895" i="6"/>
  <c r="J895" i="6" s="1"/>
  <c r="L895" i="6"/>
  <c r="N895" i="6"/>
  <c r="A896" i="6"/>
  <c r="B896" i="6"/>
  <c r="C896" i="6"/>
  <c r="I896" i="6" s="1"/>
  <c r="D896" i="6"/>
  <c r="K896" i="6"/>
  <c r="J896" i="6" s="1"/>
  <c r="L896" i="6"/>
  <c r="N896" i="6"/>
  <c r="A897" i="6"/>
  <c r="B897" i="6"/>
  <c r="C897" i="6"/>
  <c r="D897" i="6"/>
  <c r="K897" i="6"/>
  <c r="J897" i="6" s="1"/>
  <c r="L897" i="6"/>
  <c r="N897" i="6"/>
  <c r="A898" i="6"/>
  <c r="B898" i="6"/>
  <c r="C898" i="6"/>
  <c r="F898" i="6" s="1"/>
  <c r="D898" i="6"/>
  <c r="K898" i="6"/>
  <c r="J898" i="6" s="1"/>
  <c r="L898" i="6"/>
  <c r="N898" i="6"/>
  <c r="A899" i="6"/>
  <c r="B899" i="6"/>
  <c r="C899" i="6"/>
  <c r="D899" i="6"/>
  <c r="K899" i="6"/>
  <c r="J899" i="6" s="1"/>
  <c r="L899" i="6"/>
  <c r="N899" i="6"/>
  <c r="A900" i="6"/>
  <c r="B900" i="6"/>
  <c r="C900" i="6"/>
  <c r="I900" i="6" s="1"/>
  <c r="D900" i="6"/>
  <c r="K900" i="6"/>
  <c r="L900" i="6"/>
  <c r="N900" i="6"/>
  <c r="A901" i="6"/>
  <c r="B901" i="6"/>
  <c r="C901" i="6"/>
  <c r="F901" i="6" s="1"/>
  <c r="D901" i="6"/>
  <c r="K901" i="6"/>
  <c r="J901" i="6" s="1"/>
  <c r="L901" i="6"/>
  <c r="N901" i="6"/>
  <c r="A902" i="6"/>
  <c r="B902" i="6"/>
  <c r="C902" i="6"/>
  <c r="P902" i="6" s="1"/>
  <c r="D902" i="6"/>
  <c r="K902" i="6"/>
  <c r="J902" i="6" s="1"/>
  <c r="L902" i="6"/>
  <c r="N902" i="6"/>
  <c r="A903" i="6"/>
  <c r="B903" i="6"/>
  <c r="C903" i="6"/>
  <c r="P903" i="6" s="1"/>
  <c r="D903" i="6"/>
  <c r="K903" i="6"/>
  <c r="L903" i="6"/>
  <c r="N903" i="6"/>
  <c r="A904" i="6"/>
  <c r="B904" i="6"/>
  <c r="C904" i="6"/>
  <c r="P904" i="6" s="1"/>
  <c r="D904" i="6"/>
  <c r="K904" i="6"/>
  <c r="J904" i="6" s="1"/>
  <c r="L904" i="6"/>
  <c r="N904" i="6"/>
  <c r="A905" i="6"/>
  <c r="B905" i="6"/>
  <c r="C905" i="6"/>
  <c r="F905" i="6" s="1"/>
  <c r="D905" i="6"/>
  <c r="K905" i="6"/>
  <c r="J905" i="6" s="1"/>
  <c r="L905" i="6"/>
  <c r="N905" i="6"/>
  <c r="A906" i="6"/>
  <c r="B906" i="6"/>
  <c r="C906" i="6"/>
  <c r="D906" i="6"/>
  <c r="K906" i="6"/>
  <c r="J906" i="6" s="1"/>
  <c r="L906" i="6"/>
  <c r="N906" i="6"/>
  <c r="A907" i="6"/>
  <c r="B907" i="6"/>
  <c r="C907" i="6"/>
  <c r="F907" i="6" s="1"/>
  <c r="D907" i="6"/>
  <c r="L907" i="6"/>
  <c r="N907" i="6"/>
  <c r="A908" i="6"/>
  <c r="B908" i="6"/>
  <c r="C908" i="6"/>
  <c r="I908" i="6" s="1"/>
  <c r="M908" i="6" s="1"/>
  <c r="D908" i="6"/>
  <c r="J908" i="6"/>
  <c r="L908" i="6"/>
  <c r="N908" i="6"/>
  <c r="A909" i="6"/>
  <c r="B909" i="6"/>
  <c r="C909" i="6"/>
  <c r="F909" i="6" s="1"/>
  <c r="D909" i="6"/>
  <c r="K909" i="6"/>
  <c r="L909" i="6"/>
  <c r="N909" i="6"/>
  <c r="A910" i="6"/>
  <c r="B910" i="6"/>
  <c r="C910" i="6"/>
  <c r="P910" i="6" s="1"/>
  <c r="D910" i="6"/>
  <c r="K910" i="6"/>
  <c r="J910" i="6" s="1"/>
  <c r="L910" i="6"/>
  <c r="N910" i="6"/>
  <c r="A911" i="6"/>
  <c r="B911" i="6"/>
  <c r="C911" i="6"/>
  <c r="D911" i="6"/>
  <c r="K911" i="6"/>
  <c r="J911" i="6" s="1"/>
  <c r="L911" i="6"/>
  <c r="N911" i="6"/>
  <c r="A912" i="6"/>
  <c r="B912" i="6"/>
  <c r="C912" i="6"/>
  <c r="I912" i="6" s="1"/>
  <c r="D912" i="6"/>
  <c r="K912" i="6"/>
  <c r="L912" i="6"/>
  <c r="N912" i="6"/>
  <c r="A913" i="6"/>
  <c r="B913" i="6"/>
  <c r="C913" i="6"/>
  <c r="P913" i="6" s="1"/>
  <c r="D913" i="6"/>
  <c r="K913" i="6"/>
  <c r="L913" i="6"/>
  <c r="N913" i="6"/>
  <c r="A914" i="6"/>
  <c r="B914" i="6"/>
  <c r="C914" i="6"/>
  <c r="P914" i="6" s="1"/>
  <c r="D914" i="6"/>
  <c r="K914" i="6"/>
  <c r="J914" i="6" s="1"/>
  <c r="L914" i="6"/>
  <c r="N914" i="6"/>
  <c r="A915" i="6"/>
  <c r="B915" i="6"/>
  <c r="C915" i="6"/>
  <c r="D915" i="6"/>
  <c r="K915" i="6"/>
  <c r="J915" i="6" s="1"/>
  <c r="L915" i="6"/>
  <c r="N915" i="6"/>
  <c r="A916" i="6"/>
  <c r="B916" i="6"/>
  <c r="C916" i="6"/>
  <c r="P916" i="6" s="1"/>
  <c r="D916" i="6"/>
  <c r="K916" i="6"/>
  <c r="J916" i="6" s="1"/>
  <c r="L916" i="6"/>
  <c r="N916" i="6"/>
  <c r="A917" i="6"/>
  <c r="B917" i="6"/>
  <c r="C917" i="6"/>
  <c r="P917" i="6" s="1"/>
  <c r="D917" i="6"/>
  <c r="K917" i="6"/>
  <c r="L917" i="6"/>
  <c r="N917" i="6"/>
  <c r="A918" i="6"/>
  <c r="B918" i="6"/>
  <c r="C918" i="6"/>
  <c r="I918" i="6" s="1"/>
  <c r="D918" i="6"/>
  <c r="K918" i="6"/>
  <c r="L918" i="6"/>
  <c r="N918" i="6"/>
  <c r="A919" i="6"/>
  <c r="B919" i="6"/>
  <c r="C919" i="6"/>
  <c r="F919" i="6" s="1"/>
  <c r="D919" i="6"/>
  <c r="K919" i="6"/>
  <c r="J919" i="6" s="1"/>
  <c r="L919" i="6"/>
  <c r="N919" i="6"/>
  <c r="A920" i="6"/>
  <c r="B920" i="6"/>
  <c r="C920" i="6"/>
  <c r="I920" i="6" s="1"/>
  <c r="D920" i="6"/>
  <c r="K920" i="6"/>
  <c r="M920" i="6" s="1"/>
  <c r="L920" i="6"/>
  <c r="N920" i="6"/>
  <c r="A921" i="6"/>
  <c r="B921" i="6"/>
  <c r="C921" i="6"/>
  <c r="D921" i="6"/>
  <c r="K921" i="6"/>
  <c r="J921" i="6" s="1"/>
  <c r="L921" i="6"/>
  <c r="N921" i="6"/>
  <c r="A922" i="6"/>
  <c r="B922" i="6"/>
  <c r="C922" i="6"/>
  <c r="D922" i="6"/>
  <c r="K922" i="6"/>
  <c r="L922" i="6"/>
  <c r="N922" i="6"/>
  <c r="A923" i="6"/>
  <c r="B923" i="6"/>
  <c r="C923" i="6"/>
  <c r="D923" i="6"/>
  <c r="K923" i="6"/>
  <c r="J923" i="6" s="1"/>
  <c r="L923" i="6"/>
  <c r="N923" i="6"/>
  <c r="A924" i="6"/>
  <c r="B924" i="6"/>
  <c r="C924" i="6"/>
  <c r="D924" i="6"/>
  <c r="K924" i="6"/>
  <c r="J924" i="6" s="1"/>
  <c r="L924" i="6"/>
  <c r="N924" i="6"/>
  <c r="A925" i="6"/>
  <c r="B925" i="6"/>
  <c r="C925" i="6"/>
  <c r="P925" i="6" s="1"/>
  <c r="D925" i="6"/>
  <c r="K925" i="6"/>
  <c r="J925" i="6" s="1"/>
  <c r="L925" i="6"/>
  <c r="N925" i="6"/>
  <c r="A926" i="6"/>
  <c r="B926" i="6"/>
  <c r="C926" i="6"/>
  <c r="I926" i="6" s="1"/>
  <c r="D926" i="6"/>
  <c r="K926" i="6"/>
  <c r="J926" i="6" s="1"/>
  <c r="L926" i="6"/>
  <c r="N926" i="6"/>
  <c r="A927" i="6"/>
  <c r="B927" i="6"/>
  <c r="C927" i="6"/>
  <c r="P927" i="6" s="1"/>
  <c r="D927" i="6"/>
  <c r="K927" i="6"/>
  <c r="L927" i="6"/>
  <c r="N927" i="6"/>
  <c r="A928" i="6"/>
  <c r="B928" i="6"/>
  <c r="C928" i="6"/>
  <c r="I928" i="6" s="1"/>
  <c r="M928" i="6" s="1"/>
  <c r="D928" i="6"/>
  <c r="J928" i="6"/>
  <c r="L928" i="6"/>
  <c r="N928" i="6"/>
  <c r="A929" i="6"/>
  <c r="B929" i="6"/>
  <c r="C929" i="6"/>
  <c r="F929" i="6" s="1"/>
  <c r="D929" i="6"/>
  <c r="L929" i="6"/>
  <c r="N929" i="6"/>
  <c r="A930" i="6"/>
  <c r="B930" i="6"/>
  <c r="C930" i="6"/>
  <c r="D930" i="6"/>
  <c r="K930" i="6"/>
  <c r="J930" i="6" s="1"/>
  <c r="L930" i="6"/>
  <c r="N930" i="6"/>
  <c r="A931" i="6"/>
  <c r="B931" i="6"/>
  <c r="C931" i="6"/>
  <c r="P931" i="6" s="1"/>
  <c r="D931" i="6"/>
  <c r="K931" i="6"/>
  <c r="J931" i="6" s="1"/>
  <c r="L931" i="6"/>
  <c r="N931" i="6"/>
  <c r="A932" i="6"/>
  <c r="B932" i="6"/>
  <c r="C932" i="6"/>
  <c r="P932" i="6" s="1"/>
  <c r="D932" i="6"/>
  <c r="K932" i="6"/>
  <c r="J932" i="6" s="1"/>
  <c r="L932" i="6"/>
  <c r="N932" i="6"/>
  <c r="A933" i="6"/>
  <c r="B933" i="6"/>
  <c r="C933" i="6"/>
  <c r="I933" i="6" s="1"/>
  <c r="D933" i="6"/>
  <c r="K933" i="6"/>
  <c r="J933" i="6" s="1"/>
  <c r="L933" i="6"/>
  <c r="N933" i="6"/>
  <c r="A934" i="6"/>
  <c r="B934" i="6"/>
  <c r="C934" i="6"/>
  <c r="F934" i="6" s="1"/>
  <c r="D934" i="6"/>
  <c r="K934" i="6"/>
  <c r="J934" i="6" s="1"/>
  <c r="L934" i="6"/>
  <c r="N934" i="6"/>
  <c r="A935" i="6"/>
  <c r="B935" i="6"/>
  <c r="C935" i="6"/>
  <c r="P935" i="6" s="1"/>
  <c r="D935" i="6"/>
  <c r="K935" i="6"/>
  <c r="J935" i="6" s="1"/>
  <c r="L935" i="6"/>
  <c r="N935" i="6"/>
  <c r="A936" i="6"/>
  <c r="B936" i="6"/>
  <c r="C936" i="6"/>
  <c r="D936" i="6"/>
  <c r="K936" i="6"/>
  <c r="J936" i="6" s="1"/>
  <c r="L936" i="6"/>
  <c r="N936" i="6"/>
  <c r="A937" i="6"/>
  <c r="B937" i="6"/>
  <c r="C937" i="6"/>
  <c r="I937" i="6" s="1"/>
  <c r="D937" i="6"/>
  <c r="K937" i="6"/>
  <c r="J937" i="6" s="1"/>
  <c r="L937" i="6"/>
  <c r="N937" i="6"/>
  <c r="A938" i="6"/>
  <c r="B938" i="6"/>
  <c r="C938" i="6"/>
  <c r="I938" i="6" s="1"/>
  <c r="D938" i="6"/>
  <c r="K938" i="6"/>
  <c r="J938" i="6" s="1"/>
  <c r="L938" i="6"/>
  <c r="N938" i="6"/>
  <c r="A939" i="6"/>
  <c r="B939" i="6"/>
  <c r="C939" i="6"/>
  <c r="D939" i="6"/>
  <c r="K939" i="6"/>
  <c r="J939" i="6" s="1"/>
  <c r="L939" i="6"/>
  <c r="N939" i="6"/>
  <c r="A940" i="6"/>
  <c r="B940" i="6"/>
  <c r="C940" i="6"/>
  <c r="P940" i="6" s="1"/>
  <c r="D940" i="6"/>
  <c r="K940" i="6"/>
  <c r="L940" i="6"/>
  <c r="N940" i="6"/>
  <c r="A941" i="6"/>
  <c r="B941" i="6"/>
  <c r="C941" i="6"/>
  <c r="F941" i="6" s="1"/>
  <c r="D941" i="6"/>
  <c r="K941" i="6"/>
  <c r="L941" i="6"/>
  <c r="N941" i="6"/>
  <c r="A942" i="6"/>
  <c r="B942" i="6"/>
  <c r="C942" i="6"/>
  <c r="F942" i="6" s="1"/>
  <c r="D942" i="6"/>
  <c r="K942" i="6"/>
  <c r="J942" i="6" s="1"/>
  <c r="L942" i="6"/>
  <c r="N942" i="6"/>
  <c r="A943" i="6"/>
  <c r="B943" i="6"/>
  <c r="C943" i="6"/>
  <c r="P943" i="6" s="1"/>
  <c r="D943" i="6"/>
  <c r="K943" i="6"/>
  <c r="J943" i="6" s="1"/>
  <c r="L943" i="6"/>
  <c r="N943" i="6"/>
  <c r="A944" i="6"/>
  <c r="B944" i="6"/>
  <c r="C944" i="6"/>
  <c r="F944" i="6" s="1"/>
  <c r="D944" i="6"/>
  <c r="K944" i="6"/>
  <c r="J944" i="6" s="1"/>
  <c r="L944" i="6"/>
  <c r="N944" i="6"/>
  <c r="A945" i="6"/>
  <c r="B945" i="6"/>
  <c r="C945" i="6"/>
  <c r="I945" i="6" s="1"/>
  <c r="D945" i="6"/>
  <c r="K945" i="6"/>
  <c r="L945" i="6"/>
  <c r="N945" i="6"/>
  <c r="A946" i="6"/>
  <c r="B946" i="6"/>
  <c r="C946" i="6"/>
  <c r="D946" i="6"/>
  <c r="K946" i="6"/>
  <c r="J946" i="6" s="1"/>
  <c r="L946" i="6"/>
  <c r="N946" i="6"/>
  <c r="A947" i="6"/>
  <c r="B947" i="6"/>
  <c r="C947" i="6"/>
  <c r="D947" i="6"/>
  <c r="K947" i="6"/>
  <c r="J947" i="6" s="1"/>
  <c r="L947" i="6"/>
  <c r="N947" i="6"/>
  <c r="A948" i="6"/>
  <c r="B948" i="6"/>
  <c r="C948" i="6"/>
  <c r="D948" i="6"/>
  <c r="K948" i="6"/>
  <c r="J948" i="6" s="1"/>
  <c r="L948" i="6"/>
  <c r="N948" i="6"/>
  <c r="A949" i="6"/>
  <c r="B949" i="6"/>
  <c r="C949" i="6"/>
  <c r="D949" i="6"/>
  <c r="K949" i="6"/>
  <c r="J949" i="6" s="1"/>
  <c r="L949" i="6"/>
  <c r="N949" i="6"/>
  <c r="A950" i="6"/>
  <c r="B950" i="6"/>
  <c r="C950" i="6"/>
  <c r="I950" i="6" s="1"/>
  <c r="D950" i="6"/>
  <c r="K950" i="6"/>
  <c r="J950" i="6" s="1"/>
  <c r="L950" i="6"/>
  <c r="N950" i="6"/>
  <c r="A951" i="6"/>
  <c r="B951" i="6"/>
  <c r="C951" i="6"/>
  <c r="F951" i="6" s="1"/>
  <c r="D951" i="6"/>
  <c r="J951" i="6"/>
  <c r="L951" i="6"/>
  <c r="N951" i="6"/>
  <c r="A952" i="6"/>
  <c r="B952" i="6"/>
  <c r="C952" i="6"/>
  <c r="F952" i="6" s="1"/>
  <c r="D952" i="6"/>
  <c r="J952" i="6"/>
  <c r="L952" i="6"/>
  <c r="N952" i="6"/>
  <c r="A953" i="6"/>
  <c r="B953" i="6"/>
  <c r="C953" i="6"/>
  <c r="D953" i="6"/>
  <c r="K953" i="6"/>
  <c r="J953" i="6" s="1"/>
  <c r="L953" i="6"/>
  <c r="N953" i="6"/>
  <c r="A954" i="6"/>
  <c r="B954" i="6"/>
  <c r="C954" i="6"/>
  <c r="I954" i="6" s="1"/>
  <c r="D954" i="6"/>
  <c r="K954" i="6"/>
  <c r="L954" i="6"/>
  <c r="N954" i="6"/>
  <c r="A955" i="6"/>
  <c r="B955" i="6"/>
  <c r="C955" i="6"/>
  <c r="P955" i="6" s="1"/>
  <c r="D955" i="6"/>
  <c r="K955" i="6"/>
  <c r="L955" i="6"/>
  <c r="N955" i="6"/>
  <c r="A956" i="6"/>
  <c r="B956" i="6"/>
  <c r="C956" i="6"/>
  <c r="D956" i="6"/>
  <c r="K956" i="6"/>
  <c r="J956" i="6" s="1"/>
  <c r="L956" i="6"/>
  <c r="N956" i="6"/>
  <c r="A957" i="6"/>
  <c r="B957" i="6"/>
  <c r="C957" i="6"/>
  <c r="D957" i="6"/>
  <c r="K957" i="6"/>
  <c r="J957" i="6" s="1"/>
  <c r="L957" i="6"/>
  <c r="N957" i="6"/>
  <c r="A958" i="6"/>
  <c r="B958" i="6"/>
  <c r="C958" i="6"/>
  <c r="I958" i="6" s="1"/>
  <c r="D958" i="6"/>
  <c r="K958" i="6"/>
  <c r="J958" i="6" s="1"/>
  <c r="L958" i="6"/>
  <c r="N958" i="6"/>
  <c r="A959" i="6"/>
  <c r="B959" i="6"/>
  <c r="C959" i="6"/>
  <c r="I959" i="6" s="1"/>
  <c r="M959" i="6" s="1"/>
  <c r="D959" i="6"/>
  <c r="K959" i="6"/>
  <c r="L959" i="6"/>
  <c r="N959" i="6"/>
  <c r="A960" i="6"/>
  <c r="B960" i="6"/>
  <c r="C960" i="6"/>
  <c r="D960" i="6"/>
  <c r="K960" i="6"/>
  <c r="J960" i="6" s="1"/>
  <c r="L960" i="6"/>
  <c r="N960" i="6"/>
  <c r="A961" i="6"/>
  <c r="B961" i="6"/>
  <c r="C961" i="6"/>
  <c r="F961" i="6" s="1"/>
  <c r="D961" i="6"/>
  <c r="K961" i="6"/>
  <c r="J961" i="6" s="1"/>
  <c r="L961" i="6"/>
  <c r="N961" i="6"/>
  <c r="A962" i="6"/>
  <c r="B962" i="6"/>
  <c r="C962" i="6"/>
  <c r="F962" i="6" s="1"/>
  <c r="D962" i="6"/>
  <c r="K962" i="6"/>
  <c r="J962" i="6" s="1"/>
  <c r="L962" i="6"/>
  <c r="N962" i="6"/>
  <c r="A963" i="6"/>
  <c r="B963" i="6"/>
  <c r="C963" i="6"/>
  <c r="F963" i="6" s="1"/>
  <c r="D963" i="6"/>
  <c r="K963" i="6"/>
  <c r="J963" i="6" s="1"/>
  <c r="L963" i="6"/>
  <c r="N963" i="6"/>
  <c r="A964" i="6"/>
  <c r="B964" i="6"/>
  <c r="C964" i="6"/>
  <c r="P964" i="6" s="1"/>
  <c r="D964" i="6"/>
  <c r="K964" i="6"/>
  <c r="L964" i="6"/>
  <c r="N964" i="6"/>
  <c r="A965" i="6"/>
  <c r="B965" i="6"/>
  <c r="C965" i="6"/>
  <c r="P965" i="6" s="1"/>
  <c r="D965" i="6"/>
  <c r="K965" i="6"/>
  <c r="J965" i="6" s="1"/>
  <c r="L965" i="6"/>
  <c r="N965" i="6"/>
  <c r="A966" i="6"/>
  <c r="B966" i="6"/>
  <c r="C966" i="6"/>
  <c r="I966" i="6" s="1"/>
  <c r="D966" i="6"/>
  <c r="K966" i="6"/>
  <c r="J966" i="6" s="1"/>
  <c r="L966" i="6"/>
  <c r="N966" i="6"/>
  <c r="A967" i="6"/>
  <c r="B967" i="6"/>
  <c r="C967" i="6"/>
  <c r="D967" i="6"/>
  <c r="K967" i="6"/>
  <c r="J967" i="6" s="1"/>
  <c r="L967" i="6"/>
  <c r="N967" i="6"/>
  <c r="A968" i="6"/>
  <c r="B968" i="6"/>
  <c r="C968" i="6"/>
  <c r="D968" i="6"/>
  <c r="K968" i="6"/>
  <c r="J968" i="6" s="1"/>
  <c r="L968" i="6"/>
  <c r="N968" i="6"/>
  <c r="A969" i="6"/>
  <c r="B969" i="6"/>
  <c r="C969" i="6"/>
  <c r="P969" i="6" s="1"/>
  <c r="D969" i="6"/>
  <c r="K969" i="6"/>
  <c r="J969" i="6" s="1"/>
  <c r="L969" i="6"/>
  <c r="N969" i="6"/>
  <c r="A970" i="6"/>
  <c r="B970" i="6"/>
  <c r="C970" i="6"/>
  <c r="F970" i="6" s="1"/>
  <c r="D970" i="6"/>
  <c r="K970" i="6"/>
  <c r="J970" i="6" s="1"/>
  <c r="L970" i="6"/>
  <c r="N970" i="6"/>
  <c r="A971" i="6"/>
  <c r="B971" i="6"/>
  <c r="C971" i="6"/>
  <c r="D971" i="6"/>
  <c r="K971" i="6"/>
  <c r="J971" i="6" s="1"/>
  <c r="L971" i="6"/>
  <c r="N971" i="6"/>
  <c r="A972" i="6"/>
  <c r="B972" i="6"/>
  <c r="C972" i="6"/>
  <c r="P972" i="6" s="1"/>
  <c r="D972" i="6"/>
  <c r="K972" i="6"/>
  <c r="L972" i="6"/>
  <c r="N972" i="6"/>
  <c r="A973" i="6"/>
  <c r="B973" i="6"/>
  <c r="C973" i="6"/>
  <c r="D973" i="6"/>
  <c r="J973" i="6"/>
  <c r="L973" i="6"/>
  <c r="N973" i="6"/>
  <c r="A974" i="6"/>
  <c r="B974" i="6"/>
  <c r="C974" i="6"/>
  <c r="P974" i="6" s="1"/>
  <c r="D974" i="6"/>
  <c r="J974" i="6"/>
  <c r="L974" i="6"/>
  <c r="N974" i="6"/>
  <c r="A975" i="6"/>
  <c r="B975" i="6"/>
  <c r="C975" i="6"/>
  <c r="F975" i="6" s="1"/>
  <c r="D975" i="6"/>
  <c r="K975" i="6"/>
  <c r="J975" i="6" s="1"/>
  <c r="L975" i="6"/>
  <c r="N975" i="6"/>
  <c r="A976" i="6"/>
  <c r="B976" i="6"/>
  <c r="C976" i="6"/>
  <c r="D976" i="6"/>
  <c r="K976" i="6"/>
  <c r="L976" i="6"/>
  <c r="N976" i="6"/>
  <c r="A977" i="6"/>
  <c r="B977" i="6"/>
  <c r="C977" i="6"/>
  <c r="F977" i="6" s="1"/>
  <c r="D977" i="6"/>
  <c r="K977" i="6"/>
  <c r="L977" i="6"/>
  <c r="N977" i="6"/>
  <c r="A978" i="6"/>
  <c r="B978" i="6"/>
  <c r="C978" i="6"/>
  <c r="I978" i="6" s="1"/>
  <c r="D978" i="6"/>
  <c r="K978" i="6"/>
  <c r="L978" i="6"/>
  <c r="N978" i="6"/>
  <c r="A979" i="6"/>
  <c r="B979" i="6"/>
  <c r="C979" i="6"/>
  <c r="F979" i="6" s="1"/>
  <c r="D979" i="6"/>
  <c r="K979" i="6"/>
  <c r="J979" i="6" s="1"/>
  <c r="L979" i="6"/>
  <c r="N979" i="6"/>
  <c r="A980" i="6"/>
  <c r="B980" i="6"/>
  <c r="C980" i="6"/>
  <c r="P980" i="6" s="1"/>
  <c r="D980" i="6"/>
  <c r="K980" i="6"/>
  <c r="J980" i="6" s="1"/>
  <c r="L980" i="6"/>
  <c r="N980" i="6"/>
  <c r="A981" i="6"/>
  <c r="B981" i="6"/>
  <c r="C981" i="6"/>
  <c r="F981" i="6" s="1"/>
  <c r="D981" i="6"/>
  <c r="K981" i="6"/>
  <c r="L981" i="6"/>
  <c r="N981" i="6"/>
  <c r="A982" i="6"/>
  <c r="B982" i="6"/>
  <c r="C982" i="6"/>
  <c r="D982" i="6"/>
  <c r="K982" i="6"/>
  <c r="J982" i="6" s="1"/>
  <c r="L982" i="6"/>
  <c r="N982" i="6"/>
  <c r="A983" i="6"/>
  <c r="B983" i="6"/>
  <c r="C983" i="6"/>
  <c r="D983" i="6"/>
  <c r="K983" i="6"/>
  <c r="L983" i="6"/>
  <c r="N983" i="6"/>
  <c r="A984" i="6"/>
  <c r="B984" i="6"/>
  <c r="C984" i="6"/>
  <c r="P984" i="6" s="1"/>
  <c r="D984" i="6"/>
  <c r="K984" i="6"/>
  <c r="J984" i="6" s="1"/>
  <c r="L984" i="6"/>
  <c r="N984" i="6"/>
  <c r="A985" i="6"/>
  <c r="B985" i="6"/>
  <c r="C985" i="6"/>
  <c r="P985" i="6" s="1"/>
  <c r="D985" i="6"/>
  <c r="K985" i="6"/>
  <c r="J985" i="6" s="1"/>
  <c r="L985" i="6"/>
  <c r="N985" i="6"/>
  <c r="A986" i="6"/>
  <c r="B986" i="6"/>
  <c r="C986" i="6"/>
  <c r="F986" i="6" s="1"/>
  <c r="D986" i="6"/>
  <c r="K986" i="6"/>
  <c r="L986" i="6"/>
  <c r="N986" i="6"/>
  <c r="A987" i="6"/>
  <c r="B987" i="6"/>
  <c r="C987" i="6"/>
  <c r="I987" i="6" s="1"/>
  <c r="D987" i="6"/>
  <c r="K987" i="6"/>
  <c r="J987" i="6" s="1"/>
  <c r="L987" i="6"/>
  <c r="N987" i="6"/>
  <c r="A988" i="6"/>
  <c r="B988" i="6"/>
  <c r="C988" i="6"/>
  <c r="F988" i="6" s="1"/>
  <c r="D988" i="6"/>
  <c r="K988" i="6"/>
  <c r="L988" i="6"/>
  <c r="N988" i="6"/>
  <c r="A989" i="6"/>
  <c r="B989" i="6"/>
  <c r="C989" i="6"/>
  <c r="P989" i="6" s="1"/>
  <c r="D989" i="6"/>
  <c r="K989" i="6"/>
  <c r="L989" i="6"/>
  <c r="N989" i="6"/>
  <c r="A990" i="6"/>
  <c r="B990" i="6"/>
  <c r="C990" i="6"/>
  <c r="F990" i="6" s="1"/>
  <c r="D990" i="6"/>
  <c r="K990" i="6"/>
  <c r="L990" i="6"/>
  <c r="N990" i="6"/>
  <c r="A991" i="6"/>
  <c r="B991" i="6"/>
  <c r="C991" i="6"/>
  <c r="D991" i="6"/>
  <c r="K991" i="6"/>
  <c r="J991" i="6" s="1"/>
  <c r="L991" i="6"/>
  <c r="N991" i="6"/>
  <c r="A992" i="6"/>
  <c r="B992" i="6"/>
  <c r="C992" i="6"/>
  <c r="F992" i="6" s="1"/>
  <c r="D992" i="6"/>
  <c r="K992" i="6"/>
  <c r="L992" i="6"/>
  <c r="N992" i="6"/>
  <c r="A993" i="6"/>
  <c r="B993" i="6"/>
  <c r="C993" i="6"/>
  <c r="D993" i="6"/>
  <c r="K993" i="6"/>
  <c r="J993" i="6" s="1"/>
  <c r="L993" i="6"/>
  <c r="N993" i="6"/>
  <c r="A994" i="6"/>
  <c r="B994" i="6"/>
  <c r="C994" i="6"/>
  <c r="F994" i="6" s="1"/>
  <c r="D994" i="6"/>
  <c r="K994" i="6"/>
  <c r="J994" i="6" s="1"/>
  <c r="L994" i="6"/>
  <c r="N994" i="6"/>
  <c r="A995" i="6"/>
  <c r="B995" i="6"/>
  <c r="C995" i="6"/>
  <c r="D995" i="6"/>
  <c r="K995" i="6"/>
  <c r="J995" i="6" s="1"/>
  <c r="L995" i="6"/>
  <c r="N995" i="6"/>
  <c r="A996" i="6"/>
  <c r="B996" i="6"/>
  <c r="C996" i="6"/>
  <c r="P996" i="6" s="1"/>
  <c r="D996" i="6"/>
  <c r="J996" i="6"/>
  <c r="L996" i="6"/>
  <c r="N996" i="6"/>
  <c r="A997" i="6"/>
  <c r="B997" i="6"/>
  <c r="C997" i="6"/>
  <c r="D997" i="6"/>
  <c r="J997" i="6"/>
  <c r="L997" i="6"/>
  <c r="N997" i="6"/>
  <c r="A998" i="6"/>
  <c r="B998" i="6"/>
  <c r="C998" i="6"/>
  <c r="I998" i="6" s="1"/>
  <c r="D998" i="6"/>
  <c r="K998" i="6"/>
  <c r="J998" i="6" s="1"/>
  <c r="L998" i="6"/>
  <c r="N998" i="6"/>
  <c r="A999" i="6"/>
  <c r="B999" i="6"/>
  <c r="C999" i="6"/>
  <c r="P999" i="6" s="1"/>
  <c r="D999" i="6"/>
  <c r="K999" i="6"/>
  <c r="L999" i="6"/>
  <c r="N999" i="6"/>
  <c r="A1000" i="6"/>
  <c r="B1000" i="6"/>
  <c r="C1000" i="6"/>
  <c r="I1000" i="6" s="1"/>
  <c r="D1000" i="6"/>
  <c r="K1000" i="6"/>
  <c r="J1000" i="6" s="1"/>
  <c r="L1000" i="6"/>
  <c r="N1000" i="6"/>
  <c r="A1001" i="6"/>
  <c r="B1001" i="6"/>
  <c r="C1001" i="6"/>
  <c r="P1001" i="6" s="1"/>
  <c r="D1001" i="6"/>
  <c r="K1001" i="6"/>
  <c r="J1001" i="6" s="1"/>
  <c r="L1001" i="6"/>
  <c r="N1001" i="6"/>
  <c r="A1002" i="6"/>
  <c r="B1002" i="6"/>
  <c r="C1002" i="6"/>
  <c r="D1002" i="6"/>
  <c r="K1002" i="6"/>
  <c r="J1002" i="6" s="1"/>
  <c r="L1002" i="6"/>
  <c r="N1002" i="6"/>
  <c r="A1003" i="6"/>
  <c r="B1003" i="6"/>
  <c r="C1003" i="6"/>
  <c r="D1003" i="6"/>
  <c r="K1003" i="6"/>
  <c r="L1003" i="6"/>
  <c r="N1003" i="6"/>
  <c r="A1004" i="6"/>
  <c r="B1004" i="6"/>
  <c r="C1004" i="6"/>
  <c r="I1004" i="6" s="1"/>
  <c r="D1004" i="6"/>
  <c r="K1004" i="6"/>
  <c r="J1004" i="6" s="1"/>
  <c r="L1004" i="6"/>
  <c r="N1004" i="6"/>
  <c r="A1005" i="6"/>
  <c r="B1005" i="6"/>
  <c r="C1005" i="6"/>
  <c r="P1005" i="6" s="1"/>
  <c r="D1005" i="6"/>
  <c r="K1005" i="6"/>
  <c r="J1005" i="6" s="1"/>
  <c r="L1005" i="6"/>
  <c r="N1005" i="6"/>
  <c r="A1006" i="6"/>
  <c r="B1006" i="6"/>
  <c r="C1006" i="6"/>
  <c r="P1006" i="6" s="1"/>
  <c r="D1006" i="6"/>
  <c r="K1006" i="6"/>
  <c r="J1006" i="6" s="1"/>
  <c r="L1006" i="6"/>
  <c r="N1006" i="6"/>
  <c r="A1007" i="6"/>
  <c r="B1007" i="6"/>
  <c r="C1007" i="6"/>
  <c r="P1007" i="6" s="1"/>
  <c r="D1007" i="6"/>
  <c r="K1007" i="6"/>
  <c r="J1007" i="6" s="1"/>
  <c r="L1007" i="6"/>
  <c r="N1007" i="6"/>
  <c r="A1008" i="6"/>
  <c r="B1008" i="6"/>
  <c r="C1008" i="6"/>
  <c r="P1008" i="6" s="1"/>
  <c r="D1008" i="6"/>
  <c r="K1008" i="6"/>
  <c r="J1008" i="6" s="1"/>
  <c r="L1008" i="6"/>
  <c r="N1008" i="6"/>
  <c r="A1009" i="6"/>
  <c r="B1009" i="6"/>
  <c r="C1009" i="6"/>
  <c r="F1009" i="6" s="1"/>
  <c r="D1009" i="6"/>
  <c r="K1009" i="6"/>
  <c r="J1009" i="6" s="1"/>
  <c r="L1009" i="6"/>
  <c r="N1009" i="6"/>
  <c r="A1010" i="6"/>
  <c r="B1010" i="6"/>
  <c r="C1010" i="6"/>
  <c r="I1010" i="6" s="1"/>
  <c r="D1010" i="6"/>
  <c r="K1010" i="6"/>
  <c r="J1010" i="6" s="1"/>
  <c r="L1010" i="6"/>
  <c r="N1010" i="6"/>
  <c r="A1011" i="6"/>
  <c r="B1011" i="6"/>
  <c r="C1011" i="6"/>
  <c r="D1011" i="6"/>
  <c r="K1011" i="6"/>
  <c r="L1011" i="6"/>
  <c r="N1011" i="6"/>
  <c r="A1012" i="6"/>
  <c r="B1012" i="6"/>
  <c r="C1012" i="6"/>
  <c r="P1012" i="6" s="1"/>
  <c r="D1012" i="6"/>
  <c r="K1012" i="6"/>
  <c r="J1012" i="6" s="1"/>
  <c r="L1012" i="6"/>
  <c r="N1012" i="6"/>
  <c r="A1013" i="6"/>
  <c r="B1013" i="6"/>
  <c r="C1013" i="6"/>
  <c r="D1013" i="6"/>
  <c r="K1013" i="6"/>
  <c r="J1013" i="6" s="1"/>
  <c r="L1013" i="6"/>
  <c r="N1013" i="6"/>
  <c r="A1014" i="6"/>
  <c r="B1014" i="6"/>
  <c r="C1014" i="6"/>
  <c r="I1014" i="6" s="1"/>
  <c r="D1014" i="6"/>
  <c r="K1014" i="6"/>
  <c r="J1014" i="6" s="1"/>
  <c r="L1014" i="6"/>
  <c r="N1014" i="6"/>
  <c r="A1015" i="6"/>
  <c r="B1015" i="6"/>
  <c r="C1015" i="6"/>
  <c r="F1015" i="6" s="1"/>
  <c r="D1015" i="6"/>
  <c r="K1015" i="6"/>
  <c r="J1015" i="6" s="1"/>
  <c r="L1015" i="6"/>
  <c r="N1015" i="6"/>
  <c r="A1016" i="6"/>
  <c r="B1016" i="6"/>
  <c r="C1016" i="6"/>
  <c r="D1016" i="6"/>
  <c r="K1016" i="6"/>
  <c r="J1016" i="6" s="1"/>
  <c r="L1016" i="6"/>
  <c r="N1016" i="6"/>
  <c r="A1017" i="6"/>
  <c r="B1017" i="6"/>
  <c r="C1017" i="6"/>
  <c r="I1017" i="6" s="1"/>
  <c r="D1017" i="6"/>
  <c r="K1017" i="6"/>
  <c r="J1017" i="6" s="1"/>
  <c r="L1017" i="6"/>
  <c r="N1017" i="6"/>
  <c r="A1018" i="6"/>
  <c r="B1018" i="6"/>
  <c r="C1018" i="6"/>
  <c r="P1018" i="6" s="1"/>
  <c r="D1018" i="6"/>
  <c r="K1018" i="6"/>
  <c r="J1018" i="6" s="1"/>
  <c r="L1018" i="6"/>
  <c r="N1018" i="6"/>
  <c r="A1019" i="6"/>
  <c r="B1019" i="6"/>
  <c r="C1019" i="6"/>
  <c r="I1019" i="6" s="1"/>
  <c r="M1019" i="6" s="1"/>
  <c r="D1019" i="6"/>
  <c r="L1019" i="6"/>
  <c r="N1019" i="6"/>
  <c r="A1020" i="6"/>
  <c r="B1020" i="6"/>
  <c r="C1020" i="6"/>
  <c r="P1020" i="6" s="1"/>
  <c r="D1020" i="6"/>
  <c r="J1020" i="6"/>
  <c r="L1020" i="6"/>
  <c r="N1020" i="6"/>
  <c r="A1021" i="6"/>
  <c r="B1021" i="6"/>
  <c r="C1021" i="6"/>
  <c r="P1021" i="6" s="1"/>
  <c r="D1021" i="6"/>
  <c r="K1021" i="6"/>
  <c r="L1021" i="6"/>
  <c r="N1021" i="6"/>
  <c r="A1022" i="6"/>
  <c r="B1022" i="6"/>
  <c r="C1022" i="6"/>
  <c r="D1022" i="6"/>
  <c r="K1022" i="6"/>
  <c r="J1022" i="6" s="1"/>
  <c r="L1022" i="6"/>
  <c r="N1022" i="6"/>
  <c r="A1023" i="6"/>
  <c r="B1023" i="6"/>
  <c r="C1023" i="6"/>
  <c r="P1023" i="6" s="1"/>
  <c r="D1023" i="6"/>
  <c r="K1023" i="6"/>
  <c r="J1023" i="6" s="1"/>
  <c r="L1023" i="6"/>
  <c r="N1023" i="6"/>
  <c r="A1024" i="6"/>
  <c r="B1024" i="6"/>
  <c r="C1024" i="6"/>
  <c r="F1024" i="6" s="1"/>
  <c r="D1024" i="6"/>
  <c r="K1024" i="6"/>
  <c r="L1024" i="6"/>
  <c r="N1024" i="6"/>
  <c r="A1025" i="6"/>
  <c r="B1025" i="6"/>
  <c r="C1025" i="6"/>
  <c r="F1025" i="6" s="1"/>
  <c r="D1025" i="6"/>
  <c r="K1025" i="6"/>
  <c r="J1025" i="6" s="1"/>
  <c r="L1025" i="6"/>
  <c r="N1025" i="6"/>
  <c r="A1026" i="6"/>
  <c r="B1026" i="6"/>
  <c r="C1026" i="6"/>
  <c r="D1026" i="6"/>
  <c r="K1026" i="6"/>
  <c r="L1026" i="6"/>
  <c r="N1026" i="6"/>
  <c r="A1027" i="6"/>
  <c r="B1027" i="6"/>
  <c r="C1027" i="6"/>
  <c r="D1027" i="6"/>
  <c r="K1027" i="6"/>
  <c r="J1027" i="6" s="1"/>
  <c r="L1027" i="6"/>
  <c r="N1027" i="6"/>
  <c r="A1028" i="6"/>
  <c r="B1028" i="6"/>
  <c r="C1028" i="6"/>
  <c r="D1028" i="6"/>
  <c r="K1028" i="6"/>
  <c r="J1028" i="6" s="1"/>
  <c r="L1028" i="6"/>
  <c r="N1028" i="6"/>
  <c r="A1029" i="6"/>
  <c r="B1029" i="6"/>
  <c r="C1029" i="6"/>
  <c r="D1029" i="6"/>
  <c r="K1029" i="6"/>
  <c r="J1029" i="6" s="1"/>
  <c r="L1029" i="6"/>
  <c r="N1029" i="6"/>
  <c r="A1030" i="6"/>
  <c r="B1030" i="6"/>
  <c r="C1030" i="6"/>
  <c r="F1030" i="6" s="1"/>
  <c r="D1030" i="6"/>
  <c r="K1030" i="6"/>
  <c r="J1030" i="6" s="1"/>
  <c r="L1030" i="6"/>
  <c r="N1030" i="6"/>
  <c r="A1031" i="6"/>
  <c r="B1031" i="6"/>
  <c r="C1031" i="6"/>
  <c r="P1031" i="6" s="1"/>
  <c r="D1031" i="6"/>
  <c r="K1031" i="6"/>
  <c r="J1031" i="6" s="1"/>
  <c r="L1031" i="6"/>
  <c r="N1031" i="6"/>
  <c r="A1032" i="6"/>
  <c r="B1032" i="6"/>
  <c r="C1032" i="6"/>
  <c r="D1032" i="6"/>
  <c r="K1032" i="6"/>
  <c r="J1032" i="6" s="1"/>
  <c r="L1032" i="6"/>
  <c r="N1032" i="6"/>
  <c r="A1033" i="6"/>
  <c r="B1033" i="6"/>
  <c r="C1033" i="6"/>
  <c r="I1033" i="6" s="1"/>
  <c r="M1033" i="6" s="1"/>
  <c r="D1033" i="6"/>
  <c r="K1033" i="6"/>
  <c r="J1033" i="6" s="1"/>
  <c r="L1033" i="6"/>
  <c r="N1033" i="6"/>
  <c r="A1034" i="6"/>
  <c r="B1034" i="6"/>
  <c r="C1034" i="6"/>
  <c r="D1034" i="6"/>
  <c r="K1034" i="6"/>
  <c r="J1034" i="6" s="1"/>
  <c r="L1034" i="6"/>
  <c r="N1034" i="6"/>
  <c r="A1035" i="6"/>
  <c r="B1035" i="6"/>
  <c r="C1035" i="6"/>
  <c r="F1035" i="6" s="1"/>
  <c r="D1035" i="6"/>
  <c r="K1035" i="6"/>
  <c r="L1035" i="6"/>
  <c r="N1035" i="6"/>
  <c r="A1036" i="6"/>
  <c r="B1036" i="6"/>
  <c r="C1036" i="6"/>
  <c r="F1036" i="6" s="1"/>
  <c r="D1036" i="6"/>
  <c r="K1036" i="6"/>
  <c r="L1036" i="6"/>
  <c r="N1036" i="6"/>
  <c r="A1037" i="6"/>
  <c r="B1037" i="6"/>
  <c r="C1037" i="6"/>
  <c r="F1037" i="6" s="1"/>
  <c r="D1037" i="6"/>
  <c r="K1037" i="6"/>
  <c r="J1037" i="6" s="1"/>
  <c r="L1037" i="6"/>
  <c r="N1037" i="6"/>
  <c r="A1038" i="6"/>
  <c r="B1038" i="6"/>
  <c r="C1038" i="6"/>
  <c r="F1038" i="6" s="1"/>
  <c r="D1038" i="6"/>
  <c r="K1038" i="6"/>
  <c r="J1038" i="6" s="1"/>
  <c r="L1038" i="6"/>
  <c r="N1038" i="6"/>
  <c r="A1039" i="6"/>
  <c r="B1039" i="6"/>
  <c r="C1039" i="6"/>
  <c r="P1039" i="6" s="1"/>
  <c r="D1039" i="6"/>
  <c r="K1039" i="6"/>
  <c r="J1039" i="6" s="1"/>
  <c r="L1039" i="6"/>
  <c r="N1039" i="6"/>
  <c r="A1040" i="6"/>
  <c r="B1040" i="6"/>
  <c r="C1040" i="6"/>
  <c r="D1040" i="6"/>
  <c r="K1040" i="6"/>
  <c r="L1040" i="6"/>
  <c r="N1040" i="6"/>
  <c r="A1041" i="6"/>
  <c r="B1041" i="6"/>
  <c r="C1041" i="6"/>
  <c r="P1041" i="6" s="1"/>
  <c r="D1041" i="6"/>
  <c r="K1041" i="6"/>
  <c r="L1041" i="6"/>
  <c r="N1041" i="6"/>
  <c r="A1042" i="6"/>
  <c r="B1042" i="6"/>
  <c r="C1042" i="6"/>
  <c r="F1042" i="6" s="1"/>
  <c r="D1042" i="6"/>
  <c r="J1042" i="6"/>
  <c r="L1042" i="6"/>
  <c r="N1042" i="6"/>
  <c r="A1043" i="6"/>
  <c r="B1043" i="6"/>
  <c r="C1043" i="6"/>
  <c r="F1043" i="6" s="1"/>
  <c r="D1043" i="6"/>
  <c r="J1043" i="6"/>
  <c r="L1043" i="6"/>
  <c r="N1043" i="6"/>
  <c r="A1044" i="6"/>
  <c r="B1044" i="6"/>
  <c r="C1044" i="6"/>
  <c r="P1044" i="6" s="1"/>
  <c r="D1044" i="6"/>
  <c r="K1044" i="6"/>
  <c r="L1044" i="6"/>
  <c r="N1044" i="6"/>
  <c r="A1045" i="6"/>
  <c r="B1045" i="6"/>
  <c r="C1045" i="6"/>
  <c r="I1045" i="6" s="1"/>
  <c r="M1045" i="6" s="1"/>
  <c r="D1045" i="6"/>
  <c r="K1045" i="6"/>
  <c r="J1045" i="6" s="1"/>
  <c r="L1045" i="6"/>
  <c r="N1045" i="6"/>
  <c r="A1046" i="6"/>
  <c r="B1046" i="6"/>
  <c r="C1046" i="6"/>
  <c r="P1046" i="6" s="1"/>
  <c r="D1046" i="6"/>
  <c r="K1046" i="6"/>
  <c r="J1046" i="6" s="1"/>
  <c r="L1046" i="6"/>
  <c r="N1046" i="6"/>
  <c r="A1047" i="6"/>
  <c r="B1047" i="6"/>
  <c r="C1047" i="6"/>
  <c r="D1047" i="6"/>
  <c r="K1047" i="6"/>
  <c r="J1047" i="6" s="1"/>
  <c r="L1047" i="6"/>
  <c r="N1047" i="6"/>
  <c r="A1048" i="6"/>
  <c r="B1048" i="6"/>
  <c r="C1048" i="6"/>
  <c r="I1048" i="6" s="1"/>
  <c r="D1048" i="6"/>
  <c r="K1048" i="6"/>
  <c r="J1048" i="6" s="1"/>
  <c r="L1048" i="6"/>
  <c r="N1048" i="6"/>
  <c r="A1049" i="6"/>
  <c r="B1049" i="6"/>
  <c r="C1049" i="6"/>
  <c r="D1049" i="6"/>
  <c r="K1049" i="6"/>
  <c r="J1049" i="6" s="1"/>
  <c r="L1049" i="6"/>
  <c r="N1049" i="6"/>
  <c r="A1050" i="6"/>
  <c r="B1050" i="6"/>
  <c r="C1050" i="6"/>
  <c r="P1050" i="6" s="1"/>
  <c r="D1050" i="6"/>
  <c r="K1050" i="6"/>
  <c r="J1050" i="6" s="1"/>
  <c r="L1050" i="6"/>
  <c r="N1050" i="6"/>
  <c r="A1051" i="6"/>
  <c r="B1051" i="6"/>
  <c r="C1051" i="6"/>
  <c r="F1051" i="6" s="1"/>
  <c r="D1051" i="6"/>
  <c r="K1051" i="6"/>
  <c r="J1051" i="6" s="1"/>
  <c r="L1051" i="6"/>
  <c r="N1051" i="6"/>
  <c r="A1052" i="6"/>
  <c r="B1052" i="6"/>
  <c r="C1052" i="6"/>
  <c r="F1052" i="6" s="1"/>
  <c r="D1052" i="6"/>
  <c r="K1052" i="6"/>
  <c r="J1052" i="6" s="1"/>
  <c r="L1052" i="6"/>
  <c r="N1052" i="6"/>
  <c r="A1053" i="6"/>
  <c r="B1053" i="6"/>
  <c r="C1053" i="6"/>
  <c r="P1053" i="6" s="1"/>
  <c r="D1053" i="6"/>
  <c r="K1053" i="6"/>
  <c r="L1053" i="6"/>
  <c r="N1053" i="6"/>
  <c r="A1054" i="6"/>
  <c r="B1054" i="6"/>
  <c r="C1054" i="6"/>
  <c r="I1054" i="6" s="1"/>
  <c r="D1054" i="6"/>
  <c r="K1054" i="6"/>
  <c r="J1054" i="6" s="1"/>
  <c r="L1054" i="6"/>
  <c r="N1054" i="6"/>
  <c r="A1055" i="6"/>
  <c r="B1055" i="6"/>
  <c r="C1055" i="6"/>
  <c r="I1055" i="6" s="1"/>
  <c r="D1055" i="6"/>
  <c r="K1055" i="6"/>
  <c r="L1055" i="6"/>
  <c r="N1055" i="6"/>
  <c r="A1056" i="6"/>
  <c r="B1056" i="6"/>
  <c r="C1056" i="6"/>
  <c r="D1056" i="6"/>
  <c r="K1056" i="6"/>
  <c r="J1056" i="6" s="1"/>
  <c r="L1056" i="6"/>
  <c r="N1056" i="6"/>
  <c r="A1057" i="6"/>
  <c r="B1057" i="6"/>
  <c r="C1057" i="6"/>
  <c r="D1057" i="6"/>
  <c r="K1057" i="6"/>
  <c r="J1057" i="6" s="1"/>
  <c r="L1057" i="6"/>
  <c r="N1057" i="6"/>
  <c r="A1058" i="6"/>
  <c r="B1058" i="6"/>
  <c r="C1058" i="6"/>
  <c r="D1058" i="6"/>
  <c r="K1058" i="6"/>
  <c r="L1058" i="6"/>
  <c r="N1058" i="6"/>
  <c r="A1059" i="6"/>
  <c r="B1059" i="6"/>
  <c r="C1059" i="6"/>
  <c r="D1059" i="6"/>
  <c r="K1059" i="6"/>
  <c r="L1059" i="6"/>
  <c r="N1059" i="6"/>
  <c r="A1060" i="6"/>
  <c r="B1060" i="6"/>
  <c r="C1060" i="6"/>
  <c r="I1060" i="6" s="1"/>
  <c r="D1060" i="6"/>
  <c r="K1060" i="6"/>
  <c r="L1060" i="6"/>
  <c r="N1060" i="6"/>
  <c r="A1061" i="6"/>
  <c r="B1061" i="6"/>
  <c r="C1061" i="6"/>
  <c r="D1061" i="6"/>
  <c r="K1061" i="6"/>
  <c r="J1061" i="6" s="1"/>
  <c r="L1061" i="6"/>
  <c r="N1061" i="6"/>
  <c r="A1062" i="6"/>
  <c r="B1062" i="6"/>
  <c r="C1062" i="6"/>
  <c r="I1062" i="6" s="1"/>
  <c r="D1062" i="6"/>
  <c r="K1062" i="6"/>
  <c r="L1062" i="6"/>
  <c r="N1062" i="6"/>
  <c r="A1063" i="6"/>
  <c r="B1063" i="6"/>
  <c r="C1063" i="6"/>
  <c r="D1063" i="6"/>
  <c r="K1063" i="6"/>
  <c r="J1063" i="6" s="1"/>
  <c r="L1063" i="6"/>
  <c r="N1063" i="6"/>
  <c r="A1064" i="6"/>
  <c r="B1064" i="6"/>
  <c r="C1064" i="6"/>
  <c r="F1064" i="6" s="1"/>
  <c r="D1064" i="6"/>
  <c r="J1064" i="6"/>
  <c r="L1064" i="6"/>
  <c r="N1064" i="6"/>
  <c r="A1065" i="6"/>
  <c r="B1065" i="6"/>
  <c r="C1065" i="6"/>
  <c r="P1065" i="6" s="1"/>
  <c r="D1065" i="6"/>
  <c r="L1065" i="6"/>
  <c r="N1065" i="6"/>
  <c r="A1066" i="6"/>
  <c r="B1066" i="6"/>
  <c r="C1066" i="6"/>
  <c r="I1066" i="6" s="1"/>
  <c r="D1066" i="6"/>
  <c r="K1066" i="6"/>
  <c r="J1066" i="6" s="1"/>
  <c r="L1066" i="6"/>
  <c r="N1066" i="6"/>
  <c r="A1067" i="6"/>
  <c r="B1067" i="6"/>
  <c r="C1067" i="6"/>
  <c r="D1067" i="6"/>
  <c r="K1067" i="6"/>
  <c r="J1067" i="6" s="1"/>
  <c r="L1067" i="6"/>
  <c r="N1067" i="6"/>
  <c r="A1068" i="6"/>
  <c r="B1068" i="6"/>
  <c r="C1068" i="6"/>
  <c r="D1068" i="6"/>
  <c r="K1068" i="6"/>
  <c r="L1068" i="6"/>
  <c r="N1068" i="6"/>
  <c r="A1069" i="6"/>
  <c r="B1069" i="6"/>
  <c r="C1069" i="6"/>
  <c r="F1069" i="6" s="1"/>
  <c r="D1069" i="6"/>
  <c r="K1069" i="6"/>
  <c r="J1069" i="6" s="1"/>
  <c r="L1069" i="6"/>
  <c r="N1069" i="6"/>
  <c r="A1070" i="6"/>
  <c r="B1070" i="6"/>
  <c r="C1070" i="6"/>
  <c r="P1070" i="6" s="1"/>
  <c r="D1070" i="6"/>
  <c r="K1070" i="6"/>
  <c r="J1070" i="6" s="1"/>
  <c r="L1070" i="6"/>
  <c r="N1070" i="6"/>
  <c r="A1071" i="6"/>
  <c r="B1071" i="6"/>
  <c r="C1071" i="6"/>
  <c r="D1071" i="6"/>
  <c r="K1071" i="6"/>
  <c r="J1071" i="6" s="1"/>
  <c r="L1071" i="6"/>
  <c r="N1071" i="6"/>
  <c r="A1072" i="6"/>
  <c r="B1072" i="6"/>
  <c r="C1072" i="6"/>
  <c r="P1072" i="6" s="1"/>
  <c r="D1072" i="6"/>
  <c r="K1072" i="6"/>
  <c r="J1072" i="6" s="1"/>
  <c r="L1072" i="6"/>
  <c r="N1072" i="6"/>
  <c r="A1073" i="6"/>
  <c r="B1073" i="6"/>
  <c r="C1073" i="6"/>
  <c r="D1073" i="6"/>
  <c r="K1073" i="6"/>
  <c r="J1073" i="6" s="1"/>
  <c r="L1073" i="6"/>
  <c r="N1073" i="6"/>
  <c r="A1074" i="6"/>
  <c r="B1074" i="6"/>
  <c r="C1074" i="6"/>
  <c r="F1074" i="6" s="1"/>
  <c r="D1074" i="6"/>
  <c r="K1074" i="6"/>
  <c r="J1074" i="6" s="1"/>
  <c r="L1074" i="6"/>
  <c r="N1074" i="6"/>
  <c r="A1075" i="6"/>
  <c r="B1075" i="6"/>
  <c r="C1075" i="6"/>
  <c r="I1075" i="6" s="1"/>
  <c r="D1075" i="6"/>
  <c r="K1075" i="6"/>
  <c r="J1075" i="6" s="1"/>
  <c r="L1075" i="6"/>
  <c r="N1075" i="6"/>
  <c r="A1076" i="6"/>
  <c r="B1076" i="6"/>
  <c r="C1076" i="6"/>
  <c r="D1076" i="6"/>
  <c r="K1076" i="6"/>
  <c r="L1076" i="6"/>
  <c r="N1076" i="6"/>
  <c r="A1077" i="6"/>
  <c r="B1077" i="6"/>
  <c r="C1077" i="6"/>
  <c r="D1077" i="6"/>
  <c r="K1077" i="6"/>
  <c r="J1077" i="6" s="1"/>
  <c r="L1077" i="6"/>
  <c r="N1077" i="6"/>
  <c r="A1078" i="6"/>
  <c r="B1078" i="6"/>
  <c r="C1078" i="6"/>
  <c r="F1078" i="6" s="1"/>
  <c r="D1078" i="6"/>
  <c r="K1078" i="6"/>
  <c r="J1078" i="6" s="1"/>
  <c r="L1078" i="6"/>
  <c r="N1078" i="6"/>
  <c r="A1079" i="6"/>
  <c r="B1079" i="6"/>
  <c r="C1079" i="6"/>
  <c r="D1079" i="6"/>
  <c r="K1079" i="6"/>
  <c r="J1079" i="6" s="1"/>
  <c r="L1079" i="6"/>
  <c r="N1079" i="6"/>
  <c r="A1080" i="6"/>
  <c r="B1080" i="6"/>
  <c r="C1080" i="6"/>
  <c r="P1080" i="6" s="1"/>
  <c r="D1080" i="6"/>
  <c r="K1080" i="6"/>
  <c r="J1080" i="6" s="1"/>
  <c r="L1080" i="6"/>
  <c r="N1080" i="6"/>
  <c r="A1081" i="6"/>
  <c r="B1081" i="6"/>
  <c r="C1081" i="6"/>
  <c r="F1081" i="6" s="1"/>
  <c r="D1081" i="6"/>
  <c r="K1081" i="6"/>
  <c r="J1081" i="6" s="1"/>
  <c r="L1081" i="6"/>
  <c r="N1081" i="6"/>
  <c r="A1082" i="6"/>
  <c r="B1082" i="6"/>
  <c r="C1082" i="6"/>
  <c r="P1082" i="6" s="1"/>
  <c r="D1082" i="6"/>
  <c r="K1082" i="6"/>
  <c r="J1082" i="6" s="1"/>
  <c r="L1082" i="6"/>
  <c r="N1082" i="6"/>
  <c r="A1083" i="6"/>
  <c r="B1083" i="6"/>
  <c r="C1083" i="6"/>
  <c r="P1083" i="6" s="1"/>
  <c r="D1083" i="6"/>
  <c r="K1083" i="6"/>
  <c r="L1083" i="6"/>
  <c r="N1083" i="6"/>
  <c r="A1084" i="6"/>
  <c r="B1084" i="6"/>
  <c r="C1084" i="6"/>
  <c r="F1084" i="6" s="1"/>
  <c r="D1084" i="6"/>
  <c r="K1084" i="6"/>
  <c r="J1084" i="6" s="1"/>
  <c r="L1084" i="6"/>
  <c r="N1084" i="6"/>
  <c r="A1085" i="6"/>
  <c r="B1085" i="6"/>
  <c r="C1085" i="6"/>
  <c r="P1085" i="6" s="1"/>
  <c r="D1085" i="6"/>
  <c r="K1085" i="6"/>
  <c r="J1085" i="6" s="1"/>
  <c r="L1085" i="6"/>
  <c r="N1085" i="6"/>
  <c r="A1086" i="6"/>
  <c r="B1086" i="6"/>
  <c r="C1086" i="6"/>
  <c r="I1086" i="6" s="1"/>
  <c r="D1086" i="6"/>
  <c r="K1086" i="6"/>
  <c r="J1086" i="6" s="1"/>
  <c r="L1086" i="6"/>
  <c r="N1086" i="6"/>
  <c r="A1087" i="6"/>
  <c r="B1087" i="6"/>
  <c r="C1087" i="6"/>
  <c r="F1087" i="6" s="1"/>
  <c r="D1087" i="6"/>
  <c r="L1087" i="6"/>
  <c r="N1087" i="6"/>
  <c r="A1088" i="6"/>
  <c r="B1088" i="6"/>
  <c r="C1088" i="6"/>
  <c r="I1088" i="6" s="1"/>
  <c r="M1088" i="6" s="1"/>
  <c r="D1088" i="6"/>
  <c r="J1088" i="6"/>
  <c r="L1088" i="6"/>
  <c r="N1088" i="6"/>
  <c r="A1089" i="6"/>
  <c r="B1089" i="6"/>
  <c r="C1089" i="6"/>
  <c r="P1089" i="6" s="1"/>
  <c r="D1089" i="6"/>
  <c r="K1089" i="6"/>
  <c r="J1089" i="6" s="1"/>
  <c r="L1089" i="6"/>
  <c r="N1089" i="6"/>
  <c r="A1090" i="6"/>
  <c r="B1090" i="6"/>
  <c r="C1090" i="6"/>
  <c r="P1090" i="6" s="1"/>
  <c r="D1090" i="6"/>
  <c r="K1090" i="6"/>
  <c r="L1090" i="6"/>
  <c r="N1090" i="6"/>
  <c r="A1091" i="6"/>
  <c r="B1091" i="6"/>
  <c r="C1091" i="6"/>
  <c r="P1091" i="6" s="1"/>
  <c r="D1091" i="6"/>
  <c r="K1091" i="6"/>
  <c r="J1091" i="6" s="1"/>
  <c r="L1091" i="6"/>
  <c r="N1091" i="6"/>
  <c r="A1092" i="6"/>
  <c r="B1092" i="6"/>
  <c r="C1092" i="6"/>
  <c r="P1092" i="6" s="1"/>
  <c r="D1092" i="6"/>
  <c r="K1092" i="6"/>
  <c r="J1092" i="6" s="1"/>
  <c r="L1092" i="6"/>
  <c r="N1092" i="6"/>
  <c r="A1093" i="6"/>
  <c r="B1093" i="6"/>
  <c r="C1093" i="6"/>
  <c r="D1093" i="6"/>
  <c r="K1093" i="6"/>
  <c r="J1093" i="6" s="1"/>
  <c r="L1093" i="6"/>
  <c r="N1093" i="6"/>
  <c r="A1094" i="6"/>
  <c r="B1094" i="6"/>
  <c r="C1094" i="6"/>
  <c r="F1094" i="6" s="1"/>
  <c r="D1094" i="6"/>
  <c r="K1094" i="6"/>
  <c r="J1094" i="6" s="1"/>
  <c r="L1094" i="6"/>
  <c r="N1094" i="6"/>
  <c r="A1095" i="6"/>
  <c r="B1095" i="6"/>
  <c r="C1095" i="6"/>
  <c r="P1095" i="6" s="1"/>
  <c r="D1095" i="6"/>
  <c r="K1095" i="6"/>
  <c r="J1095" i="6" s="1"/>
  <c r="L1095" i="6"/>
  <c r="N1095" i="6"/>
  <c r="A1096" i="6"/>
  <c r="B1096" i="6"/>
  <c r="C1096" i="6"/>
  <c r="F1096" i="6" s="1"/>
  <c r="D1096" i="6"/>
  <c r="K1096" i="6"/>
  <c r="L1096" i="6"/>
  <c r="N1096" i="6"/>
  <c r="A1097" i="6"/>
  <c r="B1097" i="6"/>
  <c r="C1097" i="6"/>
  <c r="P1097" i="6" s="1"/>
  <c r="D1097" i="6"/>
  <c r="K1097" i="6"/>
  <c r="J1097" i="6" s="1"/>
  <c r="L1097" i="6"/>
  <c r="N1097" i="6"/>
  <c r="A1098" i="6"/>
  <c r="B1098" i="6"/>
  <c r="C1098" i="6"/>
  <c r="P1098" i="6" s="1"/>
  <c r="D1098" i="6"/>
  <c r="K1098" i="6"/>
  <c r="J1098" i="6" s="1"/>
  <c r="L1098" i="6"/>
  <c r="N1098" i="6"/>
  <c r="A1099" i="6"/>
  <c r="B1099" i="6"/>
  <c r="C1099" i="6"/>
  <c r="F1099" i="6" s="1"/>
  <c r="D1099" i="6"/>
  <c r="K1099" i="6"/>
  <c r="L1099" i="6"/>
  <c r="N1099" i="6"/>
  <c r="A1100" i="6"/>
  <c r="B1100" i="6"/>
  <c r="C1100" i="6"/>
  <c r="F1100" i="6" s="1"/>
  <c r="D1100" i="6"/>
  <c r="K1100" i="6"/>
  <c r="J1100" i="6" s="1"/>
  <c r="L1100" i="6"/>
  <c r="N1100" i="6"/>
  <c r="A1101" i="6"/>
  <c r="B1101" i="6"/>
  <c r="C1101" i="6"/>
  <c r="I1101" i="6" s="1"/>
  <c r="D1101" i="6"/>
  <c r="K1101" i="6"/>
  <c r="L1101" i="6"/>
  <c r="N1101" i="6"/>
  <c r="A1102" i="6"/>
  <c r="B1102" i="6"/>
  <c r="C1102" i="6"/>
  <c r="I1102" i="6" s="1"/>
  <c r="D1102" i="6"/>
  <c r="K1102" i="6"/>
  <c r="J1102" i="6" s="1"/>
  <c r="L1102" i="6"/>
  <c r="N1102" i="6"/>
  <c r="A1103" i="6"/>
  <c r="B1103" i="6"/>
  <c r="C1103" i="6"/>
  <c r="P1103" i="6" s="1"/>
  <c r="D1103" i="6"/>
  <c r="K1103" i="6"/>
  <c r="J1103" i="6" s="1"/>
  <c r="L1103" i="6"/>
  <c r="N1103" i="6"/>
  <c r="A1104" i="6"/>
  <c r="B1104" i="6"/>
  <c r="C1104" i="6"/>
  <c r="D1104" i="6"/>
  <c r="K1104" i="6"/>
  <c r="J1104" i="6" s="1"/>
  <c r="L1104" i="6"/>
  <c r="N1104" i="6"/>
  <c r="A1105" i="6"/>
  <c r="B1105" i="6"/>
  <c r="C1105" i="6"/>
  <c r="P1105" i="6" s="1"/>
  <c r="D1105" i="6"/>
  <c r="K1105" i="6"/>
  <c r="J1105" i="6" s="1"/>
  <c r="L1105" i="6"/>
  <c r="N1105" i="6"/>
  <c r="A1106" i="6"/>
  <c r="B1106" i="6"/>
  <c r="C1106" i="6"/>
  <c r="I1106" i="6" s="1"/>
  <c r="D1106" i="6"/>
  <c r="K1106" i="6"/>
  <c r="L1106" i="6"/>
  <c r="N1106" i="6"/>
  <c r="A1107" i="6"/>
  <c r="B1107" i="6"/>
  <c r="C1107" i="6"/>
  <c r="F1107" i="6" s="1"/>
  <c r="D1107" i="6"/>
  <c r="K1107" i="6"/>
  <c r="J1107" i="6" s="1"/>
  <c r="L1107" i="6"/>
  <c r="N1107" i="6"/>
  <c r="A1108" i="6"/>
  <c r="B1108" i="6"/>
  <c r="C1108" i="6"/>
  <c r="D1108" i="6"/>
  <c r="K1108" i="6"/>
  <c r="L1108" i="6"/>
  <c r="N1108" i="6"/>
  <c r="A1109" i="6"/>
  <c r="B1109" i="6"/>
  <c r="C1109" i="6"/>
  <c r="I1109" i="6" s="1"/>
  <c r="M1109" i="6" s="1"/>
  <c r="D1109" i="6"/>
  <c r="J1109" i="6"/>
  <c r="L1109" i="6"/>
  <c r="N1109" i="6"/>
  <c r="A1110" i="6"/>
  <c r="B1110" i="6"/>
  <c r="C1110" i="6"/>
  <c r="P1110" i="6" s="1"/>
  <c r="D1110" i="6"/>
  <c r="J1110" i="6"/>
  <c r="L1110" i="6"/>
  <c r="N1110" i="6"/>
  <c r="A1111" i="6"/>
  <c r="B1111" i="6"/>
  <c r="C1111" i="6"/>
  <c r="I1111" i="6" s="1"/>
  <c r="D1111" i="6"/>
  <c r="K1111" i="6"/>
  <c r="J1111" i="6" s="1"/>
  <c r="L1111" i="6"/>
  <c r="N1111" i="6"/>
  <c r="A1112" i="6"/>
  <c r="B1112" i="6"/>
  <c r="C1112" i="6"/>
  <c r="D1112" i="6"/>
  <c r="K1112" i="6"/>
  <c r="J1112" i="6" s="1"/>
  <c r="L1112" i="6"/>
  <c r="N1112" i="6"/>
  <c r="A1113" i="6"/>
  <c r="B1113" i="6"/>
  <c r="C1113" i="6"/>
  <c r="F1113" i="6" s="1"/>
  <c r="D1113" i="6"/>
  <c r="K1113" i="6"/>
  <c r="J1113" i="6" s="1"/>
  <c r="L1113" i="6"/>
  <c r="N1113" i="6"/>
  <c r="A1114" i="6"/>
  <c r="B1114" i="6"/>
  <c r="C1114" i="6"/>
  <c r="P1114" i="6" s="1"/>
  <c r="D1114" i="6"/>
  <c r="K1114" i="6"/>
  <c r="J1114" i="6" s="1"/>
  <c r="L1114" i="6"/>
  <c r="N1114" i="6"/>
  <c r="A1115" i="6"/>
  <c r="B1115" i="6"/>
  <c r="C1115" i="6"/>
  <c r="P1115" i="6" s="1"/>
  <c r="D1115" i="6"/>
  <c r="K1115" i="6"/>
  <c r="J1115" i="6" s="1"/>
  <c r="L1115" i="6"/>
  <c r="N1115" i="6"/>
  <c r="A1116" i="6"/>
  <c r="B1116" i="6"/>
  <c r="C1116" i="6"/>
  <c r="P1116" i="6" s="1"/>
  <c r="D1116" i="6"/>
  <c r="K1116" i="6"/>
  <c r="J1116" i="6" s="1"/>
  <c r="L1116" i="6"/>
  <c r="N1116" i="6"/>
  <c r="A1117" i="6"/>
  <c r="B1117" i="6"/>
  <c r="C1117" i="6"/>
  <c r="F1117" i="6" s="1"/>
  <c r="D1117" i="6"/>
  <c r="K1117" i="6"/>
  <c r="J1117" i="6" s="1"/>
  <c r="L1117" i="6"/>
  <c r="N1117" i="6"/>
  <c r="A1118" i="6"/>
  <c r="B1118" i="6"/>
  <c r="C1118" i="6"/>
  <c r="D1118" i="6"/>
  <c r="K1118" i="6"/>
  <c r="J1118" i="6" s="1"/>
  <c r="L1118" i="6"/>
  <c r="N1118" i="6"/>
  <c r="A1119" i="6"/>
  <c r="B1119" i="6"/>
  <c r="C1119" i="6"/>
  <c r="F1119" i="6" s="1"/>
  <c r="D1119" i="6"/>
  <c r="K1119" i="6"/>
  <c r="J1119" i="6" s="1"/>
  <c r="L1119" i="6"/>
  <c r="N1119" i="6"/>
  <c r="A1120" i="6"/>
  <c r="B1120" i="6"/>
  <c r="C1120" i="6"/>
  <c r="D1120" i="6"/>
  <c r="K1120" i="6"/>
  <c r="J1120" i="6" s="1"/>
  <c r="L1120" i="6"/>
  <c r="N1120" i="6"/>
  <c r="A1121" i="6"/>
  <c r="B1121" i="6"/>
  <c r="C1121" i="6"/>
  <c r="D1121" i="6"/>
  <c r="K1121" i="6"/>
  <c r="J1121" i="6" s="1"/>
  <c r="L1121" i="6"/>
  <c r="N1121" i="6"/>
  <c r="A1122" i="6"/>
  <c r="B1122" i="6"/>
  <c r="C1122" i="6"/>
  <c r="I1122" i="6" s="1"/>
  <c r="D1122" i="6"/>
  <c r="K1122" i="6"/>
  <c r="L1122" i="6"/>
  <c r="N1122" i="6"/>
  <c r="A1123" i="6"/>
  <c r="B1123" i="6"/>
  <c r="C1123" i="6"/>
  <c r="F1123" i="6" s="1"/>
  <c r="D1123" i="6"/>
  <c r="K1123" i="6"/>
  <c r="L1123" i="6"/>
  <c r="N1123" i="6"/>
  <c r="A1124" i="6"/>
  <c r="B1124" i="6"/>
  <c r="C1124" i="6"/>
  <c r="D1124" i="6"/>
  <c r="K1124" i="6"/>
  <c r="J1124" i="6" s="1"/>
  <c r="L1124" i="6"/>
  <c r="N1124" i="6"/>
  <c r="A1125" i="6"/>
  <c r="B1125" i="6"/>
  <c r="C1125" i="6"/>
  <c r="I1125" i="6" s="1"/>
  <c r="D1125" i="6"/>
  <c r="K1125" i="6"/>
  <c r="J1125" i="6" s="1"/>
  <c r="L1125" i="6"/>
  <c r="N1125" i="6"/>
  <c r="A1126" i="6"/>
  <c r="B1126" i="6"/>
  <c r="C1126" i="6"/>
  <c r="D1126" i="6"/>
  <c r="K1126" i="6"/>
  <c r="J1126" i="6" s="1"/>
  <c r="L1126" i="6"/>
  <c r="N1126" i="6"/>
  <c r="A1127" i="6"/>
  <c r="B1127" i="6"/>
  <c r="C1127" i="6"/>
  <c r="P1127" i="6" s="1"/>
  <c r="D1127" i="6"/>
  <c r="K1127" i="6"/>
  <c r="J1127" i="6" s="1"/>
  <c r="L1127" i="6"/>
  <c r="N1127" i="6"/>
  <c r="A1128" i="6"/>
  <c r="B1128" i="6"/>
  <c r="C1128" i="6"/>
  <c r="D1128" i="6"/>
  <c r="K1128" i="6"/>
  <c r="L1128" i="6"/>
  <c r="N1128" i="6"/>
  <c r="A1129" i="6"/>
  <c r="B1129" i="6"/>
  <c r="C1129" i="6"/>
  <c r="D1129" i="6"/>
  <c r="K1129" i="6"/>
  <c r="J1129" i="6" s="1"/>
  <c r="L1129" i="6"/>
  <c r="N1129" i="6"/>
  <c r="A1130" i="6"/>
  <c r="B1130" i="6"/>
  <c r="C1130" i="6"/>
  <c r="D1130" i="6"/>
  <c r="K1130" i="6"/>
  <c r="J1130" i="6" s="1"/>
  <c r="L1130" i="6"/>
  <c r="N1130" i="6"/>
  <c r="A1131" i="6"/>
  <c r="B1131" i="6"/>
  <c r="C1131" i="6"/>
  <c r="I1131" i="6" s="1"/>
  <c r="D1131" i="6"/>
  <c r="K1131" i="6"/>
  <c r="L1131" i="6"/>
  <c r="N1131" i="6"/>
  <c r="A1132" i="6"/>
  <c r="B1132" i="6"/>
  <c r="C1132" i="6"/>
  <c r="I1132" i="6" s="1"/>
  <c r="M1132" i="6" s="1"/>
  <c r="D1132" i="6"/>
  <c r="L1132" i="6"/>
  <c r="N1132" i="6"/>
  <c r="A1133" i="6"/>
  <c r="B1133" i="6"/>
  <c r="C1133" i="6"/>
  <c r="F1133" i="6" s="1"/>
  <c r="D1133" i="6"/>
  <c r="L1133" i="6"/>
  <c r="N1133" i="6"/>
  <c r="A1134" i="6"/>
  <c r="B1134" i="6"/>
  <c r="C1134" i="6"/>
  <c r="F1134" i="6" s="1"/>
  <c r="D1134" i="6"/>
  <c r="K1134" i="6"/>
  <c r="J1134" i="6" s="1"/>
  <c r="L1134" i="6"/>
  <c r="N1134" i="6"/>
  <c r="A1135" i="6"/>
  <c r="B1135" i="6"/>
  <c r="C1135" i="6"/>
  <c r="D1135" i="6"/>
  <c r="K1135" i="6"/>
  <c r="J1135" i="6" s="1"/>
  <c r="L1135" i="6"/>
  <c r="N1135" i="6"/>
  <c r="A1136" i="6"/>
  <c r="B1136" i="6"/>
  <c r="C1136" i="6"/>
  <c r="P1136" i="6" s="1"/>
  <c r="D1136" i="6"/>
  <c r="K1136" i="6"/>
  <c r="J1136" i="6" s="1"/>
  <c r="L1136" i="6"/>
  <c r="N1136" i="6"/>
  <c r="A1137" i="6"/>
  <c r="B1137" i="6"/>
  <c r="C1137" i="6"/>
  <c r="D1137" i="6"/>
  <c r="K1137" i="6"/>
  <c r="L1137" i="6"/>
  <c r="N1137" i="6"/>
  <c r="A1138" i="6"/>
  <c r="B1138" i="6"/>
  <c r="C1138" i="6"/>
  <c r="I1138" i="6" s="1"/>
  <c r="D1138" i="6"/>
  <c r="K1138" i="6"/>
  <c r="J1138" i="6" s="1"/>
  <c r="L1138" i="6"/>
  <c r="N1138" i="6"/>
  <c r="A1139" i="6"/>
  <c r="B1139" i="6"/>
  <c r="C1139" i="6"/>
  <c r="D1139" i="6"/>
  <c r="K1139" i="6"/>
  <c r="J1139" i="6" s="1"/>
  <c r="L1139" i="6"/>
  <c r="N1139" i="6"/>
  <c r="A1140" i="6"/>
  <c r="B1140" i="6"/>
  <c r="C1140" i="6"/>
  <c r="D1140" i="6"/>
  <c r="K1140" i="6"/>
  <c r="L1140" i="6"/>
  <c r="N1140" i="6"/>
  <c r="A1141" i="6"/>
  <c r="B1141" i="6"/>
  <c r="C1141" i="6"/>
  <c r="F1141" i="6" s="1"/>
  <c r="D1141" i="6"/>
  <c r="K1141" i="6"/>
  <c r="L1141" i="6"/>
  <c r="N1141" i="6"/>
  <c r="A1142" i="6"/>
  <c r="B1142" i="6"/>
  <c r="C1142" i="6"/>
  <c r="I1142" i="6" s="1"/>
  <c r="D1142" i="6"/>
  <c r="K1142" i="6"/>
  <c r="J1142" i="6" s="1"/>
  <c r="L1142" i="6"/>
  <c r="N1142" i="6"/>
  <c r="A1143" i="6"/>
  <c r="B1143" i="6"/>
  <c r="C1143" i="6"/>
  <c r="P1143" i="6" s="1"/>
  <c r="D1143" i="6"/>
  <c r="K1143" i="6"/>
  <c r="L1143" i="6"/>
  <c r="N1143" i="6"/>
  <c r="A1144" i="6"/>
  <c r="B1144" i="6"/>
  <c r="C1144" i="6"/>
  <c r="F1144" i="6" s="1"/>
  <c r="D1144" i="6"/>
  <c r="K1144" i="6"/>
  <c r="J1144" i="6" s="1"/>
  <c r="L1144" i="6"/>
  <c r="N1144" i="6"/>
  <c r="A1145" i="6"/>
  <c r="B1145" i="6"/>
  <c r="C1145" i="6"/>
  <c r="D1145" i="6"/>
  <c r="K1145" i="6"/>
  <c r="J1145" i="6" s="1"/>
  <c r="L1145" i="6"/>
  <c r="N1145" i="6"/>
  <c r="A1146" i="6"/>
  <c r="B1146" i="6"/>
  <c r="C1146" i="6"/>
  <c r="I1146" i="6" s="1"/>
  <c r="D1146" i="6"/>
  <c r="K1146" i="6"/>
  <c r="L1146" i="6"/>
  <c r="N1146" i="6"/>
  <c r="A1147" i="6"/>
  <c r="B1147" i="6"/>
  <c r="C1147" i="6"/>
  <c r="I1147" i="6" s="1"/>
  <c r="D1147" i="6"/>
  <c r="K1147" i="6"/>
  <c r="J1147" i="6" s="1"/>
  <c r="L1147" i="6"/>
  <c r="N1147" i="6"/>
  <c r="A1148" i="6"/>
  <c r="B1148" i="6"/>
  <c r="C1148" i="6"/>
  <c r="F1148" i="6" s="1"/>
  <c r="D1148" i="6"/>
  <c r="K1148" i="6"/>
  <c r="J1148" i="6" s="1"/>
  <c r="L1148" i="6"/>
  <c r="N1148" i="6"/>
  <c r="A1149" i="6"/>
  <c r="B1149" i="6"/>
  <c r="C1149" i="6"/>
  <c r="D1149" i="6"/>
  <c r="K1149" i="6"/>
  <c r="L1149" i="6"/>
  <c r="N1149" i="6"/>
  <c r="A1150" i="6"/>
  <c r="B1150" i="6"/>
  <c r="C1150" i="6"/>
  <c r="D1150" i="6"/>
  <c r="K1150" i="6"/>
  <c r="J1150" i="6" s="1"/>
  <c r="L1150" i="6"/>
  <c r="N1150" i="6"/>
  <c r="A1151" i="6"/>
  <c r="B1151" i="6"/>
  <c r="C1151" i="6"/>
  <c r="P1151" i="6" s="1"/>
  <c r="D1151" i="6"/>
  <c r="K1151" i="6"/>
  <c r="J1151" i="6" s="1"/>
  <c r="L1151" i="6"/>
  <c r="N1151" i="6"/>
  <c r="A1152" i="6"/>
  <c r="B1152" i="6"/>
  <c r="C1152" i="6"/>
  <c r="D1152" i="6"/>
  <c r="K1152" i="6"/>
  <c r="J1152" i="6" s="1"/>
  <c r="L1152" i="6"/>
  <c r="N1152" i="6"/>
  <c r="A1153" i="6"/>
  <c r="B1153" i="6"/>
  <c r="C1153" i="6"/>
  <c r="P1153" i="6" s="1"/>
  <c r="D1153" i="6"/>
  <c r="K1153" i="6"/>
  <c r="J1153" i="6" s="1"/>
  <c r="L1153" i="6"/>
  <c r="N1153" i="6"/>
  <c r="A1154" i="6"/>
  <c r="B1154" i="6"/>
  <c r="C1154" i="6"/>
  <c r="P1154" i="6" s="1"/>
  <c r="D1154" i="6"/>
  <c r="K1154" i="6"/>
  <c r="J1154" i="6" s="1"/>
  <c r="L1154" i="6"/>
  <c r="N1154" i="6"/>
  <c r="A1155" i="6"/>
  <c r="B1155" i="6"/>
  <c r="C1155" i="6"/>
  <c r="D1155" i="6"/>
  <c r="J1155" i="6"/>
  <c r="L1155" i="6"/>
  <c r="N1155" i="6"/>
  <c r="A1156" i="6"/>
  <c r="B1156" i="6"/>
  <c r="C1156" i="6"/>
  <c r="D1156" i="6"/>
  <c r="J1156" i="6"/>
  <c r="L1156" i="6"/>
  <c r="N1156" i="6"/>
  <c r="A1157" i="6"/>
  <c r="B1157" i="6"/>
  <c r="C1157" i="6"/>
  <c r="D1157" i="6"/>
  <c r="K1157" i="6"/>
  <c r="J1157" i="6" s="1"/>
  <c r="L1157" i="6"/>
  <c r="N1157" i="6"/>
  <c r="A1158" i="6"/>
  <c r="B1158" i="6"/>
  <c r="C1158" i="6"/>
  <c r="F1158" i="6" s="1"/>
  <c r="D1158" i="6"/>
  <c r="K1158" i="6"/>
  <c r="J1158" i="6" s="1"/>
  <c r="L1158" i="6"/>
  <c r="N1158" i="6"/>
  <c r="A1159" i="6"/>
  <c r="B1159" i="6"/>
  <c r="C1159" i="6"/>
  <c r="F1159" i="6" s="1"/>
  <c r="D1159" i="6"/>
  <c r="K1159" i="6"/>
  <c r="J1159" i="6" s="1"/>
  <c r="L1159" i="6"/>
  <c r="N1159" i="6"/>
  <c r="A1160" i="6"/>
  <c r="B1160" i="6"/>
  <c r="C1160" i="6"/>
  <c r="P1160" i="6" s="1"/>
  <c r="D1160" i="6"/>
  <c r="K1160" i="6"/>
  <c r="J1160" i="6" s="1"/>
  <c r="L1160" i="6"/>
  <c r="N1160" i="6"/>
  <c r="A1161" i="6"/>
  <c r="B1161" i="6"/>
  <c r="C1161" i="6"/>
  <c r="F1161" i="6" s="1"/>
  <c r="D1161" i="6"/>
  <c r="K1161" i="6"/>
  <c r="J1161" i="6" s="1"/>
  <c r="L1161" i="6"/>
  <c r="N1161" i="6"/>
  <c r="A1162" i="6"/>
  <c r="B1162" i="6"/>
  <c r="C1162" i="6"/>
  <c r="F1162" i="6" s="1"/>
  <c r="D1162" i="6"/>
  <c r="J1162" i="6"/>
  <c r="L1162" i="6"/>
  <c r="N1162" i="6"/>
  <c r="A1163" i="6"/>
  <c r="B1163" i="6"/>
  <c r="C1163" i="6"/>
  <c r="P1163" i="6" s="1"/>
  <c r="D1163" i="6"/>
  <c r="L1163" i="6"/>
  <c r="N1163" i="6"/>
  <c r="A1164" i="6"/>
  <c r="B1164" i="6"/>
  <c r="C1164" i="6"/>
  <c r="P1164" i="6" s="1"/>
  <c r="D1164" i="6"/>
  <c r="K1164" i="6"/>
  <c r="J1164" i="6" s="1"/>
  <c r="L1164" i="6"/>
  <c r="N1164" i="6"/>
  <c r="A1165" i="6"/>
  <c r="B1165" i="6"/>
  <c r="C1165" i="6"/>
  <c r="D1165" i="6"/>
  <c r="K1165" i="6"/>
  <c r="J1165" i="6" s="1"/>
  <c r="L1165" i="6"/>
  <c r="N1165" i="6"/>
  <c r="A1166" i="6"/>
  <c r="B1166" i="6"/>
  <c r="C1166" i="6"/>
  <c r="D1166" i="6"/>
  <c r="K1166" i="6"/>
  <c r="J1166" i="6" s="1"/>
  <c r="L1166" i="6"/>
  <c r="N1166" i="6"/>
  <c r="A1167" i="6"/>
  <c r="B1167" i="6"/>
  <c r="C1167" i="6"/>
  <c r="D1167" i="6"/>
  <c r="K1167" i="6"/>
  <c r="J1167" i="6" s="1"/>
  <c r="L1167" i="6"/>
  <c r="N1167" i="6"/>
  <c r="A1168" i="6"/>
  <c r="B1168" i="6"/>
  <c r="C1168" i="6"/>
  <c r="I1168" i="6" s="1"/>
  <c r="D1168" i="6"/>
  <c r="K1168" i="6"/>
  <c r="L1168" i="6"/>
  <c r="N1168" i="6"/>
  <c r="A1169" i="6"/>
  <c r="B1169" i="6"/>
  <c r="C1169" i="6"/>
  <c r="D1169" i="6"/>
  <c r="K1169" i="6"/>
  <c r="J1169" i="6" s="1"/>
  <c r="L1169" i="6"/>
  <c r="N1169" i="6"/>
  <c r="A1170" i="6"/>
  <c r="B1170" i="6"/>
  <c r="C1170" i="6"/>
  <c r="D1170" i="6"/>
  <c r="K1170" i="6"/>
  <c r="J1170" i="6" s="1"/>
  <c r="L1170" i="6"/>
  <c r="N1170" i="6"/>
  <c r="A1171" i="6"/>
  <c r="B1171" i="6"/>
  <c r="C1171" i="6"/>
  <c r="D1171" i="6"/>
  <c r="K1171" i="6"/>
  <c r="L1171" i="6"/>
  <c r="N1171" i="6"/>
  <c r="A1172" i="6"/>
  <c r="B1172" i="6"/>
  <c r="C1172" i="6"/>
  <c r="P1172" i="6" s="1"/>
  <c r="D1172" i="6"/>
  <c r="K1172" i="6"/>
  <c r="J1172" i="6" s="1"/>
  <c r="L1172" i="6"/>
  <c r="N1172" i="6"/>
  <c r="A1173" i="6"/>
  <c r="B1173" i="6"/>
  <c r="C1173" i="6"/>
  <c r="P1173" i="6" s="1"/>
  <c r="D1173" i="6"/>
  <c r="K1173" i="6"/>
  <c r="J1173" i="6" s="1"/>
  <c r="L1173" i="6"/>
  <c r="N1173" i="6"/>
  <c r="A1174" i="6"/>
  <c r="B1174" i="6"/>
  <c r="C1174" i="6"/>
  <c r="I1174" i="6" s="1"/>
  <c r="D1174" i="6"/>
  <c r="K1174" i="6"/>
  <c r="L1174" i="6"/>
  <c r="N1174" i="6"/>
  <c r="A1175" i="6"/>
  <c r="B1175" i="6"/>
  <c r="C1175" i="6"/>
  <c r="P1175" i="6" s="1"/>
  <c r="D1175" i="6"/>
  <c r="K1175" i="6"/>
  <c r="J1175" i="6" s="1"/>
  <c r="L1175" i="6"/>
  <c r="N1175" i="6"/>
  <c r="A1176" i="6"/>
  <c r="B1176" i="6"/>
  <c r="C1176" i="6"/>
  <c r="P1176" i="6" s="1"/>
  <c r="D1176" i="6"/>
  <c r="K1176" i="6"/>
  <c r="L1176" i="6"/>
  <c r="N1176" i="6"/>
  <c r="A1177" i="6"/>
  <c r="B1177" i="6"/>
  <c r="C1177" i="6"/>
  <c r="I1177" i="6" s="1"/>
  <c r="D1177" i="6"/>
  <c r="K1177" i="6"/>
  <c r="J1177" i="6" s="1"/>
  <c r="L1177" i="6"/>
  <c r="N1177" i="6"/>
  <c r="A1178" i="6"/>
  <c r="B1178" i="6"/>
  <c r="C1178" i="6"/>
  <c r="F1178" i="6" s="1"/>
  <c r="D1178" i="6"/>
  <c r="K1178" i="6"/>
  <c r="J1178" i="6" s="1"/>
  <c r="L1178" i="6"/>
  <c r="N1178" i="6"/>
  <c r="A1179" i="6"/>
  <c r="B1179" i="6"/>
  <c r="C1179" i="6"/>
  <c r="P1179" i="6" s="1"/>
  <c r="D1179" i="6"/>
  <c r="J1179" i="6"/>
  <c r="L1179" i="6"/>
  <c r="N1179" i="6"/>
  <c r="A1180" i="6"/>
  <c r="B1180" i="6"/>
  <c r="C1180" i="6"/>
  <c r="D1180" i="6"/>
  <c r="L1180" i="6"/>
  <c r="N1180" i="6"/>
  <c r="A1181" i="6"/>
  <c r="B1181" i="6"/>
  <c r="C1181" i="6"/>
  <c r="D1181" i="6"/>
  <c r="K1181" i="6"/>
  <c r="J1181" i="6" s="1"/>
  <c r="L1181" i="6"/>
  <c r="N1181" i="6"/>
  <c r="A1182" i="6"/>
  <c r="B1182" i="6"/>
  <c r="C1182" i="6"/>
  <c r="I1182" i="6" s="1"/>
  <c r="D1182" i="6"/>
  <c r="K1182" i="6"/>
  <c r="J1182" i="6" s="1"/>
  <c r="L1182" i="6"/>
  <c r="N1182" i="6"/>
  <c r="A1183" i="6"/>
  <c r="B1183" i="6"/>
  <c r="C1183" i="6"/>
  <c r="F1183" i="6" s="1"/>
  <c r="D1183" i="6"/>
  <c r="K1183" i="6"/>
  <c r="J1183" i="6" s="1"/>
  <c r="L1183" i="6"/>
  <c r="N1183" i="6"/>
  <c r="A1184" i="6"/>
  <c r="B1184" i="6"/>
  <c r="C1184" i="6"/>
  <c r="P1184" i="6" s="1"/>
  <c r="D1184" i="6"/>
  <c r="K1184" i="6"/>
  <c r="J1184" i="6" s="1"/>
  <c r="L1184" i="6"/>
  <c r="N1184" i="6"/>
  <c r="A1185" i="6"/>
  <c r="B1185" i="6"/>
  <c r="C1185" i="6"/>
  <c r="P1185" i="6" s="1"/>
  <c r="D1185" i="6"/>
  <c r="K1185" i="6"/>
  <c r="J1185" i="6" s="1"/>
  <c r="L1185" i="6"/>
  <c r="N1185" i="6"/>
  <c r="A1186" i="6"/>
  <c r="B1186" i="6"/>
  <c r="C1186" i="6"/>
  <c r="F1186" i="6" s="1"/>
  <c r="D1186" i="6"/>
  <c r="K1186" i="6"/>
  <c r="J1186" i="6" s="1"/>
  <c r="L1186" i="6"/>
  <c r="N1186" i="6"/>
  <c r="A1187" i="6"/>
  <c r="B1187" i="6"/>
  <c r="C1187" i="6"/>
  <c r="P1187" i="6" s="1"/>
  <c r="D1187" i="6"/>
  <c r="K1187" i="6"/>
  <c r="J1187" i="6" s="1"/>
  <c r="L1187" i="6"/>
  <c r="N1187" i="6"/>
  <c r="A1188" i="6"/>
  <c r="B1188" i="6"/>
  <c r="C1188" i="6"/>
  <c r="I1188" i="6" s="1"/>
  <c r="D1188" i="6"/>
  <c r="K1188" i="6"/>
  <c r="J1188" i="6" s="1"/>
  <c r="L1188" i="6"/>
  <c r="N1188" i="6"/>
  <c r="A1189" i="6"/>
  <c r="B1189" i="6"/>
  <c r="C1189" i="6"/>
  <c r="D1189" i="6"/>
  <c r="K1189" i="6"/>
  <c r="L1189" i="6"/>
  <c r="N1189" i="6"/>
  <c r="A1190" i="6"/>
  <c r="B1190" i="6"/>
  <c r="C1190" i="6"/>
  <c r="D1190" i="6"/>
  <c r="K1190" i="6"/>
  <c r="J1190" i="6" s="1"/>
  <c r="L1190" i="6"/>
  <c r="N1190" i="6"/>
  <c r="A1191" i="6"/>
  <c r="B1191" i="6"/>
  <c r="C1191" i="6"/>
  <c r="D1191" i="6"/>
  <c r="K1191" i="6"/>
  <c r="J1191" i="6" s="1"/>
  <c r="L1191" i="6"/>
  <c r="N1191" i="6"/>
  <c r="A1192" i="6"/>
  <c r="B1192" i="6"/>
  <c r="C1192" i="6"/>
  <c r="I1192" i="6" s="1"/>
  <c r="D1192" i="6"/>
  <c r="K1192" i="6"/>
  <c r="L1192" i="6"/>
  <c r="N1192" i="6"/>
  <c r="A1193" i="6"/>
  <c r="B1193" i="6"/>
  <c r="C1193" i="6"/>
  <c r="P1193" i="6" s="1"/>
  <c r="D1193" i="6"/>
  <c r="K1193" i="6"/>
  <c r="J1193" i="6" s="1"/>
  <c r="L1193" i="6"/>
  <c r="N1193" i="6"/>
  <c r="A1194" i="6"/>
  <c r="B1194" i="6"/>
  <c r="C1194" i="6"/>
  <c r="F1194" i="6" s="1"/>
  <c r="D1194" i="6"/>
  <c r="K1194" i="6"/>
  <c r="J1194" i="6" s="1"/>
  <c r="L1194" i="6"/>
  <c r="N1194" i="6"/>
  <c r="A1195" i="6"/>
  <c r="B1195" i="6"/>
  <c r="C1195" i="6"/>
  <c r="D1195" i="6"/>
  <c r="K1195" i="6"/>
  <c r="J1195" i="6" s="1"/>
  <c r="L1195" i="6"/>
  <c r="N1195" i="6"/>
  <c r="A1196" i="6"/>
  <c r="B1196" i="6"/>
  <c r="C1196" i="6"/>
  <c r="P1196" i="6" s="1"/>
  <c r="D1196" i="6"/>
  <c r="K1196" i="6"/>
  <c r="L1196" i="6"/>
  <c r="N1196" i="6"/>
  <c r="A1197" i="6"/>
  <c r="B1197" i="6"/>
  <c r="C1197" i="6"/>
  <c r="P1197" i="6" s="1"/>
  <c r="D1197" i="6"/>
  <c r="K1197" i="6"/>
  <c r="J1197" i="6" s="1"/>
  <c r="L1197" i="6"/>
  <c r="N1197" i="6"/>
  <c r="A1198" i="6"/>
  <c r="B1198" i="6"/>
  <c r="C1198" i="6"/>
  <c r="P1198" i="6" s="1"/>
  <c r="D1198" i="6"/>
  <c r="K1198" i="6"/>
  <c r="J1198" i="6" s="1"/>
  <c r="L1198" i="6"/>
  <c r="N1198" i="6"/>
  <c r="A1199" i="6"/>
  <c r="B1199" i="6"/>
  <c r="C1199" i="6"/>
  <c r="P1199" i="6" s="1"/>
  <c r="D1199" i="6"/>
  <c r="K1199" i="6"/>
  <c r="J1199" i="6" s="1"/>
  <c r="L1199" i="6"/>
  <c r="N1199" i="6"/>
  <c r="A1200" i="6"/>
  <c r="B1200" i="6"/>
  <c r="C1200" i="6"/>
  <c r="F1200" i="6" s="1"/>
  <c r="D1200" i="6"/>
  <c r="K1200" i="6"/>
  <c r="L1200" i="6"/>
  <c r="N1200" i="6"/>
  <c r="A1201" i="6"/>
  <c r="B1201" i="6"/>
  <c r="C1201" i="6"/>
  <c r="I1201" i="6" s="1"/>
  <c r="D1201" i="6"/>
  <c r="K1201" i="6"/>
  <c r="L1201" i="6"/>
  <c r="N1201" i="6"/>
  <c r="A1202" i="6"/>
  <c r="B1202" i="6"/>
  <c r="C1202" i="6"/>
  <c r="I1202" i="6" s="1"/>
  <c r="M1202" i="6" s="1"/>
  <c r="D1202" i="6"/>
  <c r="J1202" i="6"/>
  <c r="L1202" i="6"/>
  <c r="N1202" i="6"/>
  <c r="A1203" i="6"/>
  <c r="B1203" i="6"/>
  <c r="C1203" i="6"/>
  <c r="I1203" i="6" s="1"/>
  <c r="M1203" i="6" s="1"/>
  <c r="D1203" i="6"/>
  <c r="L1203" i="6"/>
  <c r="N1203" i="6"/>
  <c r="A1204" i="6"/>
  <c r="B1204" i="6"/>
  <c r="C1204" i="6"/>
  <c r="D1204" i="6"/>
  <c r="K1204" i="6"/>
  <c r="L1204" i="6"/>
  <c r="N1204" i="6"/>
  <c r="A1205" i="6"/>
  <c r="B1205" i="6"/>
  <c r="C1205" i="6"/>
  <c r="P1205" i="6" s="1"/>
  <c r="D1205" i="6"/>
  <c r="K1205" i="6"/>
  <c r="J1205" i="6" s="1"/>
  <c r="L1205" i="6"/>
  <c r="N1205" i="6"/>
  <c r="A1206" i="6"/>
  <c r="B1206" i="6"/>
  <c r="C1206" i="6"/>
  <c r="D1206" i="6"/>
  <c r="K1206" i="6"/>
  <c r="J1206" i="6" s="1"/>
  <c r="L1206" i="6"/>
  <c r="N1206" i="6"/>
  <c r="A1207" i="6"/>
  <c r="B1207" i="6"/>
  <c r="C1207" i="6"/>
  <c r="F1207" i="6" s="1"/>
  <c r="D1207" i="6"/>
  <c r="K1207" i="6"/>
  <c r="J1207" i="6" s="1"/>
  <c r="L1207" i="6"/>
  <c r="N1207" i="6"/>
  <c r="A1208" i="6"/>
  <c r="B1208" i="6"/>
  <c r="C1208" i="6"/>
  <c r="D1208" i="6"/>
  <c r="K1208" i="6"/>
  <c r="J1208" i="6" s="1"/>
  <c r="L1208" i="6"/>
  <c r="N1208" i="6"/>
  <c r="A1209" i="6"/>
  <c r="B1209" i="6"/>
  <c r="C1209" i="6"/>
  <c r="I1209" i="6" s="1"/>
  <c r="D1209" i="6"/>
  <c r="K1209" i="6"/>
  <c r="L1209" i="6"/>
  <c r="N1209" i="6"/>
  <c r="A1210" i="6"/>
  <c r="B1210" i="6"/>
  <c r="C1210" i="6"/>
  <c r="D1210" i="6"/>
  <c r="K1210" i="6"/>
  <c r="J1210" i="6" s="1"/>
  <c r="L1210" i="6"/>
  <c r="N1210" i="6"/>
  <c r="A1211" i="6"/>
  <c r="B1211" i="6"/>
  <c r="C1211" i="6"/>
  <c r="P1211" i="6" s="1"/>
  <c r="D1211" i="6"/>
  <c r="K1211" i="6"/>
  <c r="J1211" i="6" s="1"/>
  <c r="L1211" i="6"/>
  <c r="N1211" i="6"/>
  <c r="A1212" i="6"/>
  <c r="B1212" i="6"/>
  <c r="C1212" i="6"/>
  <c r="P1212" i="6" s="1"/>
  <c r="D1212" i="6"/>
  <c r="K1212" i="6"/>
  <c r="J1212" i="6" s="1"/>
  <c r="L1212" i="6"/>
  <c r="N1212" i="6"/>
  <c r="A1213" i="6"/>
  <c r="B1213" i="6"/>
  <c r="C1213" i="6"/>
  <c r="I1213" i="6" s="1"/>
  <c r="D1213" i="6"/>
  <c r="K1213" i="6"/>
  <c r="J1213" i="6" s="1"/>
  <c r="L1213" i="6"/>
  <c r="N1213" i="6"/>
  <c r="A1214" i="6"/>
  <c r="B1214" i="6"/>
  <c r="C1214" i="6"/>
  <c r="P1214" i="6" s="1"/>
  <c r="D1214" i="6"/>
  <c r="K1214" i="6"/>
  <c r="J1214" i="6" s="1"/>
  <c r="L1214" i="6"/>
  <c r="N1214" i="6"/>
  <c r="A1215" i="6"/>
  <c r="B1215" i="6"/>
  <c r="C1215" i="6"/>
  <c r="P1215" i="6" s="1"/>
  <c r="D1215" i="6"/>
  <c r="K1215" i="6"/>
  <c r="L1215" i="6"/>
  <c r="N1215" i="6"/>
  <c r="A1216" i="6"/>
  <c r="B1216" i="6"/>
  <c r="C1216" i="6"/>
  <c r="D1216" i="6"/>
  <c r="K1216" i="6"/>
  <c r="J1216" i="6" s="1"/>
  <c r="L1216" i="6"/>
  <c r="N1216" i="6"/>
  <c r="A1217" i="6"/>
  <c r="B1217" i="6"/>
  <c r="C1217" i="6"/>
  <c r="F1217" i="6" s="1"/>
  <c r="D1217" i="6"/>
  <c r="K1217" i="6"/>
  <c r="J1217" i="6" s="1"/>
  <c r="L1217" i="6"/>
  <c r="N1217" i="6"/>
  <c r="A1218" i="6"/>
  <c r="B1218" i="6"/>
  <c r="C1218" i="6"/>
  <c r="D1218" i="6"/>
  <c r="K1218" i="6"/>
  <c r="L1218" i="6"/>
  <c r="N1218" i="6"/>
  <c r="A1219" i="6"/>
  <c r="B1219" i="6"/>
  <c r="C1219" i="6"/>
  <c r="I1219" i="6" s="1"/>
  <c r="D1219" i="6"/>
  <c r="K1219" i="6"/>
  <c r="J1219" i="6" s="1"/>
  <c r="L1219" i="6"/>
  <c r="N1219" i="6"/>
  <c r="A1220" i="6"/>
  <c r="B1220" i="6"/>
  <c r="C1220" i="6"/>
  <c r="I1220" i="6" s="1"/>
  <c r="D1220" i="6"/>
  <c r="K1220" i="6"/>
  <c r="J1220" i="6" s="1"/>
  <c r="L1220" i="6"/>
  <c r="N1220" i="6"/>
  <c r="A1221" i="6"/>
  <c r="B1221" i="6"/>
  <c r="C1221" i="6"/>
  <c r="D1221" i="6"/>
  <c r="K1221" i="6"/>
  <c r="J1221" i="6" s="1"/>
  <c r="L1221" i="6"/>
  <c r="N1221" i="6"/>
  <c r="A1222" i="6"/>
  <c r="B1222" i="6"/>
  <c r="C1222" i="6"/>
  <c r="F1222" i="6" s="1"/>
  <c r="D1222" i="6"/>
  <c r="K1222" i="6"/>
  <c r="J1222" i="6" s="1"/>
  <c r="L1222" i="6"/>
  <c r="N1222" i="6"/>
  <c r="A1223" i="6"/>
  <c r="B1223" i="6"/>
  <c r="C1223" i="6"/>
  <c r="D1223" i="6"/>
  <c r="K1223" i="6"/>
  <c r="J1223" i="6" s="1"/>
  <c r="L1223" i="6"/>
  <c r="N1223" i="6"/>
  <c r="A1224" i="6"/>
  <c r="B1224" i="6"/>
  <c r="C1224" i="6"/>
  <c r="I1224" i="6" s="1"/>
  <c r="D1224" i="6"/>
  <c r="K1224" i="6"/>
  <c r="L1224" i="6"/>
  <c r="N1224" i="6"/>
  <c r="A1225" i="6"/>
  <c r="B1225" i="6"/>
  <c r="C1225" i="6"/>
  <c r="D1225" i="6"/>
  <c r="J1225" i="6"/>
  <c r="L1225" i="6"/>
  <c r="N1225" i="6"/>
  <c r="A1226" i="6"/>
  <c r="B1226" i="6"/>
  <c r="C1226" i="6"/>
  <c r="P1226" i="6" s="1"/>
  <c r="D1226" i="6"/>
  <c r="J1226" i="6"/>
  <c r="L1226" i="6"/>
  <c r="N1226" i="6"/>
  <c r="A1227" i="6"/>
  <c r="B1227" i="6"/>
  <c r="C1227" i="6"/>
  <c r="P1227" i="6" s="1"/>
  <c r="D1227" i="6"/>
  <c r="K1227" i="6"/>
  <c r="L1227" i="6"/>
  <c r="N1227" i="6"/>
  <c r="A1228" i="6"/>
  <c r="B1228" i="6"/>
  <c r="C1228" i="6"/>
  <c r="D1228" i="6"/>
  <c r="K1228" i="6"/>
  <c r="L1228" i="6"/>
  <c r="N1228" i="6"/>
  <c r="A1229" i="6"/>
  <c r="B1229" i="6"/>
  <c r="C1229" i="6"/>
  <c r="I1229" i="6" s="1"/>
  <c r="D1229" i="6"/>
  <c r="K1229" i="6"/>
  <c r="J1229" i="6" s="1"/>
  <c r="L1229" i="6"/>
  <c r="N1229" i="6"/>
  <c r="A1230" i="6"/>
  <c r="B1230" i="6"/>
  <c r="C1230" i="6"/>
  <c r="D1230" i="6"/>
  <c r="K1230" i="6"/>
  <c r="L1230" i="6"/>
  <c r="N1230" i="6"/>
  <c r="A1231" i="6"/>
  <c r="B1231" i="6"/>
  <c r="C1231" i="6"/>
  <c r="P1231" i="6" s="1"/>
  <c r="D1231" i="6"/>
  <c r="K1231" i="6"/>
  <c r="J1231" i="6" s="1"/>
  <c r="L1231" i="6"/>
  <c r="N1231" i="6"/>
  <c r="A1232" i="6"/>
  <c r="B1232" i="6"/>
  <c r="C1232" i="6"/>
  <c r="F1232" i="6" s="1"/>
  <c r="D1232" i="6"/>
  <c r="K1232" i="6"/>
  <c r="J1232" i="6" s="1"/>
  <c r="L1232" i="6"/>
  <c r="N1232" i="6"/>
  <c r="A1233" i="6"/>
  <c r="B1233" i="6"/>
  <c r="C1233" i="6"/>
  <c r="I1233" i="6" s="1"/>
  <c r="D1233" i="6"/>
  <c r="K1233" i="6"/>
  <c r="J1233" i="6" s="1"/>
  <c r="L1233" i="6"/>
  <c r="N1233" i="6"/>
  <c r="A1234" i="6"/>
  <c r="B1234" i="6"/>
  <c r="C1234" i="6"/>
  <c r="P1234" i="6" s="1"/>
  <c r="D1234" i="6"/>
  <c r="K1234" i="6"/>
  <c r="J1234" i="6" s="1"/>
  <c r="L1234" i="6"/>
  <c r="N1234" i="6"/>
  <c r="A1235" i="6"/>
  <c r="B1235" i="6"/>
  <c r="C1235" i="6"/>
  <c r="P1235" i="6" s="1"/>
  <c r="D1235" i="6"/>
  <c r="K1235" i="6"/>
  <c r="J1235" i="6" s="1"/>
  <c r="L1235" i="6"/>
  <c r="N1235" i="6"/>
  <c r="A1236" i="6"/>
  <c r="B1236" i="6"/>
  <c r="C1236" i="6"/>
  <c r="F1236" i="6" s="1"/>
  <c r="D1236" i="6"/>
  <c r="K1236" i="6"/>
  <c r="J1236" i="6" s="1"/>
  <c r="L1236" i="6"/>
  <c r="N1236" i="6"/>
  <c r="A1237" i="6"/>
  <c r="B1237" i="6"/>
  <c r="C1237" i="6"/>
  <c r="F1237" i="6" s="1"/>
  <c r="D1237" i="6"/>
  <c r="K1237" i="6"/>
  <c r="L1237" i="6"/>
  <c r="N1237" i="6"/>
  <c r="A1238" i="6"/>
  <c r="B1238" i="6"/>
  <c r="C1238" i="6"/>
  <c r="P1238" i="6" s="1"/>
  <c r="D1238" i="6"/>
  <c r="K1238" i="6"/>
  <c r="J1238" i="6" s="1"/>
  <c r="L1238" i="6"/>
  <c r="N1238" i="6"/>
  <c r="A1239" i="6"/>
  <c r="B1239" i="6"/>
  <c r="C1239" i="6"/>
  <c r="P1239" i="6" s="1"/>
  <c r="D1239" i="6"/>
  <c r="K1239" i="6"/>
  <c r="J1239" i="6" s="1"/>
  <c r="L1239" i="6"/>
  <c r="N1239" i="6"/>
  <c r="A1240" i="6"/>
  <c r="B1240" i="6"/>
  <c r="C1240" i="6"/>
  <c r="I1240" i="6" s="1"/>
  <c r="D1240" i="6"/>
  <c r="K1240" i="6"/>
  <c r="J1240" i="6" s="1"/>
  <c r="L1240" i="6"/>
  <c r="N1240" i="6"/>
  <c r="A1241" i="6"/>
  <c r="B1241" i="6"/>
  <c r="C1241" i="6"/>
  <c r="P1241" i="6" s="1"/>
  <c r="D1241" i="6"/>
  <c r="K1241" i="6"/>
  <c r="J1241" i="6" s="1"/>
  <c r="L1241" i="6"/>
  <c r="N1241" i="6"/>
  <c r="A1242" i="6"/>
  <c r="B1242" i="6"/>
  <c r="C1242" i="6"/>
  <c r="D1242" i="6"/>
  <c r="K1242" i="6"/>
  <c r="J1242" i="6" s="1"/>
  <c r="L1242" i="6"/>
  <c r="N1242" i="6"/>
  <c r="A1243" i="6"/>
  <c r="B1243" i="6"/>
  <c r="C1243" i="6"/>
  <c r="F1243" i="6" s="1"/>
  <c r="D1243" i="6"/>
  <c r="K1243" i="6"/>
  <c r="J1243" i="6" s="1"/>
  <c r="L1243" i="6"/>
  <c r="N1243" i="6"/>
  <c r="A1244" i="6"/>
  <c r="B1244" i="6"/>
  <c r="C1244" i="6"/>
  <c r="P1244" i="6" s="1"/>
  <c r="D1244" i="6"/>
  <c r="K1244" i="6"/>
  <c r="J1244" i="6" s="1"/>
  <c r="L1244" i="6"/>
  <c r="N1244" i="6"/>
  <c r="A1245" i="6"/>
  <c r="B1245" i="6"/>
  <c r="C1245" i="6"/>
  <c r="D1245" i="6"/>
  <c r="K1245" i="6"/>
  <c r="J1245" i="6" s="1"/>
  <c r="L1245" i="6"/>
  <c r="N1245" i="6"/>
  <c r="A1246" i="6"/>
  <c r="B1246" i="6"/>
  <c r="C1246" i="6"/>
  <c r="D1246" i="6"/>
  <c r="K1246" i="6"/>
  <c r="L1246" i="6"/>
  <c r="N1246" i="6"/>
  <c r="A1247" i="6"/>
  <c r="B1247" i="6"/>
  <c r="C1247" i="6"/>
  <c r="P1247" i="6" s="1"/>
  <c r="D1247" i="6"/>
  <c r="K1247" i="6"/>
  <c r="J1247" i="6" s="1"/>
  <c r="L1247" i="6"/>
  <c r="N1247" i="6"/>
  <c r="A1248" i="6"/>
  <c r="B1248" i="6"/>
  <c r="C1248" i="6"/>
  <c r="F1248" i="6" s="1"/>
  <c r="D1248" i="6"/>
  <c r="K1248" i="6"/>
  <c r="J1248" i="6" s="1"/>
  <c r="L1248" i="6"/>
  <c r="N1248" i="6"/>
  <c r="A1249" i="6"/>
  <c r="B1249" i="6"/>
  <c r="C1249" i="6"/>
  <c r="D1249" i="6"/>
  <c r="L1249" i="6"/>
  <c r="N1249" i="6"/>
  <c r="A1250" i="6"/>
  <c r="B1250" i="6"/>
  <c r="C1250" i="6"/>
  <c r="I1250" i="6" s="1"/>
  <c r="M1250" i="6" s="1"/>
  <c r="D1250" i="6"/>
  <c r="J1250" i="6"/>
  <c r="L1250" i="6"/>
  <c r="N1250" i="6"/>
  <c r="A1251" i="6"/>
  <c r="B1251" i="6"/>
  <c r="C1251" i="6"/>
  <c r="I1251" i="6" s="1"/>
  <c r="D1251" i="6"/>
  <c r="K1251" i="6"/>
  <c r="J1251" i="6" s="1"/>
  <c r="L1251" i="6"/>
  <c r="N1251" i="6"/>
  <c r="A1252" i="6"/>
  <c r="B1252" i="6"/>
  <c r="C1252" i="6"/>
  <c r="F1252" i="6" s="1"/>
  <c r="D1252" i="6"/>
  <c r="K1252" i="6"/>
  <c r="J1252" i="6" s="1"/>
  <c r="L1252" i="6"/>
  <c r="N1252" i="6"/>
  <c r="A1253" i="6"/>
  <c r="B1253" i="6"/>
  <c r="C1253" i="6"/>
  <c r="P1253" i="6" s="1"/>
  <c r="D1253" i="6"/>
  <c r="K1253" i="6"/>
  <c r="J1253" i="6" s="1"/>
  <c r="L1253" i="6"/>
  <c r="N1253" i="6"/>
  <c r="A1254" i="6"/>
  <c r="B1254" i="6"/>
  <c r="C1254" i="6"/>
  <c r="F1254" i="6" s="1"/>
  <c r="D1254" i="6"/>
  <c r="K1254" i="6"/>
  <c r="J1254" i="6" s="1"/>
  <c r="L1254" i="6"/>
  <c r="N1254" i="6"/>
  <c r="A1255" i="6"/>
  <c r="B1255" i="6"/>
  <c r="C1255" i="6"/>
  <c r="D1255" i="6"/>
  <c r="K1255" i="6"/>
  <c r="J1255" i="6" s="1"/>
  <c r="L1255" i="6"/>
  <c r="N1255" i="6"/>
  <c r="A1256" i="6"/>
  <c r="B1256" i="6"/>
  <c r="C1256" i="6"/>
  <c r="F1256" i="6" s="1"/>
  <c r="D1256" i="6"/>
  <c r="K1256" i="6"/>
  <c r="L1256" i="6"/>
  <c r="N1256" i="6"/>
  <c r="A1257" i="6"/>
  <c r="B1257" i="6"/>
  <c r="C1257" i="6"/>
  <c r="P1257" i="6" s="1"/>
  <c r="D1257" i="6"/>
  <c r="K1257" i="6"/>
  <c r="J1257" i="6" s="1"/>
  <c r="L1257" i="6"/>
  <c r="N1257" i="6"/>
  <c r="A1258" i="6"/>
  <c r="B1258" i="6"/>
  <c r="C1258" i="6"/>
  <c r="I1258" i="6" s="1"/>
  <c r="D1258" i="6"/>
  <c r="K1258" i="6"/>
  <c r="L1258" i="6"/>
  <c r="N1258" i="6"/>
  <c r="A1259" i="6"/>
  <c r="B1259" i="6"/>
  <c r="C1259" i="6"/>
  <c r="P1259" i="6" s="1"/>
  <c r="D1259" i="6"/>
  <c r="K1259" i="6"/>
  <c r="J1259" i="6" s="1"/>
  <c r="L1259" i="6"/>
  <c r="N1259" i="6"/>
  <c r="A1260" i="6"/>
  <c r="B1260" i="6"/>
  <c r="C1260" i="6"/>
  <c r="D1260" i="6"/>
  <c r="K1260" i="6"/>
  <c r="J1260" i="6" s="1"/>
  <c r="L1260" i="6"/>
  <c r="N1260" i="6"/>
  <c r="A1261" i="6"/>
  <c r="B1261" i="6"/>
  <c r="C1261" i="6"/>
  <c r="F1261" i="6" s="1"/>
  <c r="D1261" i="6"/>
  <c r="K1261" i="6"/>
  <c r="L1261" i="6"/>
  <c r="N1261" i="6"/>
  <c r="A1262" i="6"/>
  <c r="B1262" i="6"/>
  <c r="C1262" i="6"/>
  <c r="P1262" i="6" s="1"/>
  <c r="D1262" i="6"/>
  <c r="K1262" i="6"/>
  <c r="J1262" i="6" s="1"/>
  <c r="L1262" i="6"/>
  <c r="N1262" i="6"/>
  <c r="A1263" i="6"/>
  <c r="B1263" i="6"/>
  <c r="C1263" i="6"/>
  <c r="I1263" i="6" s="1"/>
  <c r="D1263" i="6"/>
  <c r="K1263" i="6"/>
  <c r="J1263" i="6" s="1"/>
  <c r="L1263" i="6"/>
  <c r="N1263" i="6"/>
  <c r="A1264" i="6"/>
  <c r="B1264" i="6"/>
  <c r="C1264" i="6"/>
  <c r="D1264" i="6"/>
  <c r="K1264" i="6"/>
  <c r="J1264" i="6" s="1"/>
  <c r="L1264" i="6"/>
  <c r="N1264" i="6"/>
  <c r="A1265" i="6"/>
  <c r="B1265" i="6"/>
  <c r="C1265" i="6"/>
  <c r="I1265" i="6" s="1"/>
  <c r="D1265" i="6"/>
  <c r="K1265" i="6"/>
  <c r="L1265" i="6"/>
  <c r="N1265" i="6"/>
  <c r="A1266" i="6"/>
  <c r="B1266" i="6"/>
  <c r="C1266" i="6"/>
  <c r="I1266" i="6" s="1"/>
  <c r="D1266" i="6"/>
  <c r="K1266" i="6"/>
  <c r="J1266" i="6" s="1"/>
  <c r="L1266" i="6"/>
  <c r="N1266" i="6"/>
  <c r="A1267" i="6"/>
  <c r="B1267" i="6"/>
  <c r="C1267" i="6"/>
  <c r="D1267" i="6"/>
  <c r="K1267" i="6"/>
  <c r="J1267" i="6" s="1"/>
  <c r="L1267" i="6"/>
  <c r="N1267" i="6"/>
  <c r="A1268" i="6"/>
  <c r="B1268" i="6"/>
  <c r="C1268" i="6"/>
  <c r="D1268" i="6"/>
  <c r="L1268" i="6"/>
  <c r="N1268" i="6"/>
  <c r="A1269" i="6"/>
  <c r="B1269" i="6"/>
  <c r="C1269" i="6"/>
  <c r="D1269" i="6"/>
  <c r="J1269" i="6"/>
  <c r="L1269" i="6"/>
  <c r="N1269" i="6"/>
  <c r="A1270" i="6"/>
  <c r="B1270" i="6"/>
  <c r="C1270" i="6"/>
  <c r="I1270" i="6" s="1"/>
  <c r="D1270" i="6"/>
  <c r="K1270" i="6"/>
  <c r="J1270" i="6" s="1"/>
  <c r="L1270" i="6"/>
  <c r="N1270" i="6"/>
  <c r="A1271" i="6"/>
  <c r="B1271" i="6"/>
  <c r="C1271" i="6"/>
  <c r="I1271" i="6" s="1"/>
  <c r="D1271" i="6"/>
  <c r="K1271" i="6"/>
  <c r="L1271" i="6"/>
  <c r="N1271" i="6"/>
  <c r="A1272" i="6"/>
  <c r="B1272" i="6"/>
  <c r="C1272" i="6"/>
  <c r="D1272" i="6"/>
  <c r="K1272" i="6"/>
  <c r="J1272" i="6" s="1"/>
  <c r="L1272" i="6"/>
  <c r="N1272" i="6"/>
  <c r="A1273" i="6"/>
  <c r="B1273" i="6"/>
  <c r="C1273" i="6"/>
  <c r="F1273" i="6" s="1"/>
  <c r="D1273" i="6"/>
  <c r="K1273" i="6"/>
  <c r="J1273" i="6" s="1"/>
  <c r="L1273" i="6"/>
  <c r="N1273" i="6"/>
  <c r="A1274" i="6"/>
  <c r="B1274" i="6"/>
  <c r="C1274" i="6"/>
  <c r="F1274" i="6" s="1"/>
  <c r="D1274" i="6"/>
  <c r="K1274" i="6"/>
  <c r="L1274" i="6"/>
  <c r="N1274" i="6"/>
  <c r="A1275" i="6"/>
  <c r="B1275" i="6"/>
  <c r="C1275" i="6"/>
  <c r="P1275" i="6" s="1"/>
  <c r="D1275" i="6"/>
  <c r="K1275" i="6"/>
  <c r="L1275" i="6"/>
  <c r="N1275" i="6"/>
  <c r="A1276" i="6"/>
  <c r="B1276" i="6"/>
  <c r="C1276" i="6"/>
  <c r="P1276" i="6" s="1"/>
  <c r="D1276" i="6"/>
  <c r="K1276" i="6"/>
  <c r="J1276" i="6" s="1"/>
  <c r="L1276" i="6"/>
  <c r="N1276" i="6"/>
  <c r="A1277" i="6"/>
  <c r="B1277" i="6"/>
  <c r="C1277" i="6"/>
  <c r="F1277" i="6" s="1"/>
  <c r="D1277" i="6"/>
  <c r="K1277" i="6"/>
  <c r="J1277" i="6" s="1"/>
  <c r="L1277" i="6"/>
  <c r="N1277" i="6"/>
  <c r="A1278" i="6"/>
  <c r="B1278" i="6"/>
  <c r="C1278" i="6"/>
  <c r="P1278" i="6" s="1"/>
  <c r="D1278" i="6"/>
  <c r="K1278" i="6"/>
  <c r="J1278" i="6" s="1"/>
  <c r="L1278" i="6"/>
  <c r="N1278" i="6"/>
  <c r="A1279" i="6"/>
  <c r="B1279" i="6"/>
  <c r="C1279" i="6"/>
  <c r="P1279" i="6" s="1"/>
  <c r="D1279" i="6"/>
  <c r="K1279" i="6"/>
  <c r="J1279" i="6" s="1"/>
  <c r="L1279" i="6"/>
  <c r="N1279" i="6"/>
  <c r="A1280" i="6"/>
  <c r="B1280" i="6"/>
  <c r="C1280" i="6"/>
  <c r="D1280" i="6"/>
  <c r="K1280" i="6"/>
  <c r="J1280" i="6" s="1"/>
  <c r="L1280" i="6"/>
  <c r="N1280" i="6"/>
  <c r="A1281" i="6"/>
  <c r="B1281" i="6"/>
  <c r="C1281" i="6"/>
  <c r="F1281" i="6" s="1"/>
  <c r="D1281" i="6"/>
  <c r="K1281" i="6"/>
  <c r="J1281" i="6" s="1"/>
  <c r="L1281" i="6"/>
  <c r="N1281" i="6"/>
  <c r="A1282" i="6"/>
  <c r="B1282" i="6"/>
  <c r="C1282" i="6"/>
  <c r="F1282" i="6" s="1"/>
  <c r="D1282" i="6"/>
  <c r="K1282" i="6"/>
  <c r="J1282" i="6" s="1"/>
  <c r="L1282" i="6"/>
  <c r="N1282" i="6"/>
  <c r="A1283" i="6"/>
  <c r="B1283" i="6"/>
  <c r="C1283" i="6"/>
  <c r="D1283" i="6"/>
  <c r="K1283" i="6"/>
  <c r="L1283" i="6"/>
  <c r="N1283" i="6"/>
  <c r="A1284" i="6"/>
  <c r="B1284" i="6"/>
  <c r="C1284" i="6"/>
  <c r="F1284" i="6" s="1"/>
  <c r="D1284" i="6"/>
  <c r="K1284" i="6"/>
  <c r="L1284" i="6"/>
  <c r="N1284" i="6"/>
  <c r="A1285" i="6"/>
  <c r="B1285" i="6"/>
  <c r="C1285" i="6"/>
  <c r="P1285" i="6" s="1"/>
  <c r="D1285" i="6"/>
  <c r="K1285" i="6"/>
  <c r="J1285" i="6" s="1"/>
  <c r="L1285" i="6"/>
  <c r="N1285" i="6"/>
  <c r="A1286" i="6"/>
  <c r="B1286" i="6"/>
  <c r="C1286" i="6"/>
  <c r="P1286" i="6" s="1"/>
  <c r="D1286" i="6"/>
  <c r="K1286" i="6"/>
  <c r="J1286" i="6" s="1"/>
  <c r="L1286" i="6"/>
  <c r="N1286" i="6"/>
  <c r="A1287" i="6"/>
  <c r="B1287" i="6"/>
  <c r="C1287" i="6"/>
  <c r="D1287" i="6"/>
  <c r="K1287" i="6"/>
  <c r="J1287" i="6" s="1"/>
  <c r="L1287" i="6"/>
  <c r="N1287" i="6"/>
  <c r="A1288" i="6"/>
  <c r="B1288" i="6"/>
  <c r="C1288" i="6"/>
  <c r="F1288" i="6" s="1"/>
  <c r="D1288" i="6"/>
  <c r="K1288" i="6"/>
  <c r="J1288" i="6" s="1"/>
  <c r="L1288" i="6"/>
  <c r="N1288" i="6"/>
  <c r="A1289" i="6"/>
  <c r="B1289" i="6"/>
  <c r="C1289" i="6"/>
  <c r="D1289" i="6"/>
  <c r="K1289" i="6"/>
  <c r="J1289" i="6" s="1"/>
  <c r="L1289" i="6"/>
  <c r="N1289" i="6"/>
  <c r="A1290" i="6"/>
  <c r="B1290" i="6"/>
  <c r="C1290" i="6"/>
  <c r="I1290" i="6" s="1"/>
  <c r="M1290" i="6" s="1"/>
  <c r="D1290" i="6"/>
  <c r="J1290" i="6"/>
  <c r="L1290" i="6"/>
  <c r="N1290" i="6"/>
  <c r="A1291" i="6"/>
  <c r="B1291" i="6"/>
  <c r="C1291" i="6"/>
  <c r="F1291" i="6" s="1"/>
  <c r="D1291" i="6"/>
  <c r="J1291" i="6"/>
  <c r="L1291" i="6"/>
  <c r="N1291" i="6"/>
  <c r="A1292" i="6"/>
  <c r="B1292" i="6"/>
  <c r="C1292" i="6"/>
  <c r="P1292" i="6" s="1"/>
  <c r="D1292" i="6"/>
  <c r="K1292" i="6"/>
  <c r="J1292" i="6" s="1"/>
  <c r="L1292" i="6"/>
  <c r="N1292" i="6"/>
  <c r="A1293" i="6"/>
  <c r="B1293" i="6"/>
  <c r="C1293" i="6"/>
  <c r="D1293" i="6"/>
  <c r="K1293" i="6"/>
  <c r="J1293" i="6" s="1"/>
  <c r="L1293" i="6"/>
  <c r="N1293" i="6"/>
  <c r="A1294" i="6"/>
  <c r="B1294" i="6"/>
  <c r="C1294" i="6"/>
  <c r="P1294" i="6" s="1"/>
  <c r="D1294" i="6"/>
  <c r="K1294" i="6"/>
  <c r="J1294" i="6" s="1"/>
  <c r="L1294" i="6"/>
  <c r="N1294" i="6"/>
  <c r="A1295" i="6"/>
  <c r="B1295" i="6"/>
  <c r="C1295" i="6"/>
  <c r="I1295" i="6" s="1"/>
  <c r="D1295" i="6"/>
  <c r="K1295" i="6"/>
  <c r="L1295" i="6"/>
  <c r="N1295" i="6"/>
  <c r="A1296" i="6"/>
  <c r="B1296" i="6"/>
  <c r="C1296" i="6"/>
  <c r="F1296" i="6" s="1"/>
  <c r="D1296" i="6"/>
  <c r="K1296" i="6"/>
  <c r="L1296" i="6"/>
  <c r="N1296" i="6"/>
  <c r="A1297" i="6"/>
  <c r="B1297" i="6"/>
  <c r="C1297" i="6"/>
  <c r="P1297" i="6" s="1"/>
  <c r="D1297" i="6"/>
  <c r="K1297" i="6"/>
  <c r="J1297" i="6" s="1"/>
  <c r="L1297" i="6"/>
  <c r="N1297" i="6"/>
  <c r="A1298" i="6"/>
  <c r="B1298" i="6"/>
  <c r="C1298" i="6"/>
  <c r="D1298" i="6"/>
  <c r="K1298" i="6"/>
  <c r="J1298" i="6" s="1"/>
  <c r="L1298" i="6"/>
  <c r="N1298" i="6"/>
  <c r="A1299" i="6"/>
  <c r="B1299" i="6"/>
  <c r="C1299" i="6"/>
  <c r="D1299" i="6"/>
  <c r="K1299" i="6"/>
  <c r="L1299" i="6"/>
  <c r="N1299" i="6"/>
  <c r="A1300" i="6"/>
  <c r="B1300" i="6"/>
  <c r="C1300" i="6"/>
  <c r="D1300" i="6"/>
  <c r="K1300" i="6"/>
  <c r="J1300" i="6" s="1"/>
  <c r="L1300" i="6"/>
  <c r="N1300" i="6"/>
  <c r="A1301" i="6"/>
  <c r="B1301" i="6"/>
  <c r="C1301" i="6"/>
  <c r="I1301" i="6" s="1"/>
  <c r="D1301" i="6"/>
  <c r="K1301" i="6"/>
  <c r="J1301" i="6" s="1"/>
  <c r="L1301" i="6"/>
  <c r="N1301" i="6"/>
  <c r="A1302" i="6"/>
  <c r="B1302" i="6"/>
  <c r="C1302" i="6"/>
  <c r="P1302" i="6" s="1"/>
  <c r="D1302" i="6"/>
  <c r="K1302" i="6"/>
  <c r="L1302" i="6"/>
  <c r="N1302" i="6"/>
  <c r="A1303" i="6"/>
  <c r="B1303" i="6"/>
  <c r="C1303" i="6"/>
  <c r="F1303" i="6" s="1"/>
  <c r="D1303" i="6"/>
  <c r="K1303" i="6"/>
  <c r="J1303" i="6" s="1"/>
  <c r="L1303" i="6"/>
  <c r="N1303" i="6"/>
  <c r="A1304" i="6"/>
  <c r="B1304" i="6"/>
  <c r="C1304" i="6"/>
  <c r="F1304" i="6" s="1"/>
  <c r="D1304" i="6"/>
  <c r="K1304" i="6"/>
  <c r="J1304" i="6" s="1"/>
  <c r="L1304" i="6"/>
  <c r="N1304" i="6"/>
  <c r="A1305" i="6"/>
  <c r="B1305" i="6"/>
  <c r="C1305" i="6"/>
  <c r="D1305" i="6"/>
  <c r="K1305" i="6"/>
  <c r="J1305" i="6" s="1"/>
  <c r="L1305" i="6"/>
  <c r="N1305" i="6"/>
  <c r="A1306" i="6"/>
  <c r="B1306" i="6"/>
  <c r="C1306" i="6"/>
  <c r="F1306" i="6" s="1"/>
  <c r="D1306" i="6"/>
  <c r="K1306" i="6"/>
  <c r="J1306" i="6" s="1"/>
  <c r="L1306" i="6"/>
  <c r="N1306" i="6"/>
  <c r="A1307" i="6"/>
  <c r="B1307" i="6"/>
  <c r="C1307" i="6"/>
  <c r="P1307" i="6" s="1"/>
  <c r="D1307" i="6"/>
  <c r="K1307" i="6"/>
  <c r="J1307" i="6" s="1"/>
  <c r="L1307" i="6"/>
  <c r="N1307" i="6"/>
  <c r="A1308" i="6"/>
  <c r="B1308" i="6"/>
  <c r="C1308" i="6"/>
  <c r="P1308" i="6" s="1"/>
  <c r="D1308" i="6"/>
  <c r="K1308" i="6"/>
  <c r="J1308" i="6" s="1"/>
  <c r="L1308" i="6"/>
  <c r="N1308" i="6"/>
  <c r="A1309" i="6"/>
  <c r="B1309" i="6"/>
  <c r="C1309" i="6"/>
  <c r="I1309" i="6" s="1"/>
  <c r="D1309" i="6"/>
  <c r="K1309" i="6"/>
  <c r="J1309" i="6" s="1"/>
  <c r="L1309" i="6"/>
  <c r="N1309" i="6"/>
  <c r="A1310" i="6"/>
  <c r="B1310" i="6"/>
  <c r="C1310" i="6"/>
  <c r="P1310" i="6" s="1"/>
  <c r="D1310" i="6"/>
  <c r="K1310" i="6"/>
  <c r="J1310" i="6" s="1"/>
  <c r="L1310" i="6"/>
  <c r="N1310" i="6"/>
  <c r="A1311" i="6"/>
  <c r="B1311" i="6"/>
  <c r="C1311" i="6"/>
  <c r="P1311" i="6" s="1"/>
  <c r="D1311" i="6"/>
  <c r="K1311" i="6"/>
  <c r="J1311" i="6" s="1"/>
  <c r="L1311" i="6"/>
  <c r="N1311" i="6"/>
  <c r="A1312" i="6"/>
  <c r="B1312" i="6"/>
  <c r="C1312" i="6"/>
  <c r="P1312" i="6" s="1"/>
  <c r="D1312" i="6"/>
  <c r="J1312" i="6"/>
  <c r="L1312" i="6"/>
  <c r="N1312" i="6"/>
  <c r="A1313" i="6"/>
  <c r="B1313" i="6"/>
  <c r="C1313" i="6"/>
  <c r="P1313" i="6" s="1"/>
  <c r="D1313" i="6"/>
  <c r="J1313" i="6"/>
  <c r="L1313" i="6"/>
  <c r="N1313" i="6"/>
  <c r="A1314" i="6"/>
  <c r="B1314" i="6"/>
  <c r="C1314" i="6"/>
  <c r="I1314" i="6" s="1"/>
  <c r="D1314" i="6"/>
  <c r="K1314" i="6"/>
  <c r="L1314" i="6"/>
  <c r="N1314" i="6"/>
  <c r="A1315" i="6"/>
  <c r="B1315" i="6"/>
  <c r="C1315" i="6"/>
  <c r="P1315" i="6" s="1"/>
  <c r="D1315" i="6"/>
  <c r="K1315" i="6"/>
  <c r="J1315" i="6" s="1"/>
  <c r="L1315" i="6"/>
  <c r="N1315" i="6"/>
  <c r="A1316" i="6"/>
  <c r="B1316" i="6"/>
  <c r="C1316" i="6"/>
  <c r="D1316" i="6"/>
  <c r="K1316" i="6"/>
  <c r="J1316" i="6" s="1"/>
  <c r="L1316" i="6"/>
  <c r="N1316" i="6"/>
  <c r="A1317" i="6"/>
  <c r="B1317" i="6"/>
  <c r="C1317" i="6"/>
  <c r="F1317" i="6" s="1"/>
  <c r="D1317" i="6"/>
  <c r="K1317" i="6"/>
  <c r="J1317" i="6" s="1"/>
  <c r="L1317" i="6"/>
  <c r="N1317" i="6"/>
  <c r="A1318" i="6"/>
  <c r="B1318" i="6"/>
  <c r="C1318" i="6"/>
  <c r="I1318" i="6" s="1"/>
  <c r="D1318" i="6"/>
  <c r="K1318" i="6"/>
  <c r="L1318" i="6"/>
  <c r="N1318" i="6"/>
  <c r="A1319" i="6"/>
  <c r="B1319" i="6"/>
  <c r="C1319" i="6"/>
  <c r="P1319" i="6" s="1"/>
  <c r="D1319" i="6"/>
  <c r="K1319" i="6"/>
  <c r="J1319" i="6" s="1"/>
  <c r="L1319" i="6"/>
  <c r="N1319" i="6"/>
  <c r="A1320" i="6"/>
  <c r="B1320" i="6"/>
  <c r="C1320" i="6"/>
  <c r="P1320" i="6" s="1"/>
  <c r="D1320" i="6"/>
  <c r="K1320" i="6"/>
  <c r="L1320" i="6"/>
  <c r="N1320" i="6"/>
  <c r="A1321" i="6"/>
  <c r="B1321" i="6"/>
  <c r="C1321" i="6"/>
  <c r="F1321" i="6" s="1"/>
  <c r="D1321" i="6"/>
  <c r="K1321" i="6"/>
  <c r="J1321" i="6" s="1"/>
  <c r="L1321" i="6"/>
  <c r="N1321" i="6"/>
  <c r="A1322" i="6"/>
  <c r="B1322" i="6"/>
  <c r="C1322" i="6"/>
  <c r="P1322" i="6" s="1"/>
  <c r="D1322" i="6"/>
  <c r="K1322" i="6"/>
  <c r="J1322" i="6" s="1"/>
  <c r="L1322" i="6"/>
  <c r="N1322" i="6"/>
  <c r="A1323" i="6"/>
  <c r="B1323" i="6"/>
  <c r="C1323" i="6"/>
  <c r="I1323" i="6" s="1"/>
  <c r="D1323" i="6"/>
  <c r="K1323" i="6"/>
  <c r="J1323" i="6" s="1"/>
  <c r="L1323" i="6"/>
  <c r="N1323" i="6"/>
  <c r="A1324" i="6"/>
  <c r="B1324" i="6"/>
  <c r="C1324" i="6"/>
  <c r="F1324" i="6" s="1"/>
  <c r="D1324" i="6"/>
  <c r="K1324" i="6"/>
  <c r="J1324" i="6" s="1"/>
  <c r="L1324" i="6"/>
  <c r="N1324" i="6"/>
  <c r="A1325" i="6"/>
  <c r="B1325" i="6"/>
  <c r="C1325" i="6"/>
  <c r="P1325" i="6" s="1"/>
  <c r="D1325" i="6"/>
  <c r="K1325" i="6"/>
  <c r="J1325" i="6" s="1"/>
  <c r="L1325" i="6"/>
  <c r="N1325" i="6"/>
  <c r="A1326" i="6"/>
  <c r="B1326" i="6"/>
  <c r="C1326" i="6"/>
  <c r="D1326" i="6"/>
  <c r="K1326" i="6"/>
  <c r="J1326" i="6" s="1"/>
  <c r="L1326" i="6"/>
  <c r="N1326" i="6"/>
  <c r="A1327" i="6"/>
  <c r="B1327" i="6"/>
  <c r="C1327" i="6"/>
  <c r="D1327" i="6"/>
  <c r="K1327" i="6"/>
  <c r="L1327" i="6"/>
  <c r="N1327" i="6"/>
  <c r="A1328" i="6"/>
  <c r="B1328" i="6"/>
  <c r="C1328" i="6"/>
  <c r="P1328" i="6" s="1"/>
  <c r="D1328" i="6"/>
  <c r="K1328" i="6"/>
  <c r="J1328" i="6" s="1"/>
  <c r="L1328" i="6"/>
  <c r="N1328" i="6"/>
  <c r="A1329" i="6"/>
  <c r="B1329" i="6"/>
  <c r="C1329" i="6"/>
  <c r="F1329" i="6" s="1"/>
  <c r="D1329" i="6"/>
  <c r="K1329" i="6"/>
  <c r="L1329" i="6"/>
  <c r="N1329" i="6"/>
  <c r="A1330" i="6"/>
  <c r="B1330" i="6"/>
  <c r="C1330" i="6"/>
  <c r="D1330" i="6"/>
  <c r="K1330" i="6"/>
  <c r="L1330" i="6"/>
  <c r="N1330" i="6"/>
  <c r="A1331" i="6"/>
  <c r="B1331" i="6"/>
  <c r="C1331" i="6"/>
  <c r="P1331" i="6" s="1"/>
  <c r="D1331" i="6"/>
  <c r="K1331" i="6"/>
  <c r="J1331" i="6" s="1"/>
  <c r="L1331" i="6"/>
  <c r="N1331" i="6"/>
  <c r="A1332" i="6"/>
  <c r="B1332" i="6"/>
  <c r="C1332" i="6"/>
  <c r="D1332" i="6"/>
  <c r="K1332" i="6"/>
  <c r="J1332" i="6" s="1"/>
  <c r="L1332" i="6"/>
  <c r="N1332" i="6"/>
  <c r="A1333" i="6"/>
  <c r="B1333" i="6"/>
  <c r="C1333" i="6"/>
  <c r="I1333" i="6" s="1"/>
  <c r="D1333" i="6"/>
  <c r="K1333" i="6"/>
  <c r="J1333" i="6" s="1"/>
  <c r="L1333" i="6"/>
  <c r="N1333" i="6"/>
  <c r="A1334" i="6"/>
  <c r="B1334" i="6"/>
  <c r="C1334" i="6"/>
  <c r="P1334" i="6" s="1"/>
  <c r="D1334" i="6"/>
  <c r="K1334" i="6"/>
  <c r="J1334" i="6" s="1"/>
  <c r="L1334" i="6"/>
  <c r="N1334" i="6"/>
  <c r="A1335" i="6"/>
  <c r="B1335" i="6"/>
  <c r="C1335" i="6"/>
  <c r="D1335" i="6"/>
  <c r="K1335" i="6"/>
  <c r="L1335" i="6"/>
  <c r="N1335" i="6"/>
  <c r="A1336" i="6"/>
  <c r="B1336" i="6"/>
  <c r="C1336" i="6"/>
  <c r="I1336" i="6" s="1"/>
  <c r="D1336" i="6"/>
  <c r="K1336" i="6"/>
  <c r="J1336" i="6" s="1"/>
  <c r="L1336" i="6"/>
  <c r="N1336" i="6"/>
  <c r="A1337" i="6"/>
  <c r="B1337" i="6"/>
  <c r="C1337" i="6"/>
  <c r="P1337" i="6" s="1"/>
  <c r="D1337" i="6"/>
  <c r="K1337" i="6"/>
  <c r="J1337" i="6" s="1"/>
  <c r="L1337" i="6"/>
  <c r="N1337" i="6"/>
  <c r="A1338" i="6"/>
  <c r="B1338" i="6"/>
  <c r="C1338" i="6"/>
  <c r="P1338" i="6" s="1"/>
  <c r="D1338" i="6"/>
  <c r="K1338" i="6"/>
  <c r="J1338" i="6" s="1"/>
  <c r="L1338" i="6"/>
  <c r="N1338" i="6"/>
  <c r="A1339" i="6"/>
  <c r="B1339" i="6"/>
  <c r="C1339" i="6"/>
  <c r="I1339" i="6" s="1"/>
  <c r="D1339" i="6"/>
  <c r="K1339" i="6"/>
  <c r="L1339" i="6"/>
  <c r="N1339" i="6"/>
  <c r="A1340" i="6"/>
  <c r="B1340" i="6"/>
  <c r="C1340" i="6"/>
  <c r="P1340" i="6" s="1"/>
  <c r="D1340" i="6"/>
  <c r="K1340" i="6"/>
  <c r="J1340" i="6" s="1"/>
  <c r="L1340" i="6"/>
  <c r="N1340" i="6"/>
  <c r="A1341" i="6"/>
  <c r="B1341" i="6"/>
  <c r="C1341" i="6"/>
  <c r="D1341" i="6"/>
  <c r="K1341" i="6"/>
  <c r="J1341" i="6" s="1"/>
  <c r="L1341" i="6"/>
  <c r="N1341" i="6"/>
  <c r="A1342" i="6"/>
  <c r="B1342" i="6"/>
  <c r="C1342" i="6"/>
  <c r="F1342" i="6" s="1"/>
  <c r="D1342" i="6"/>
  <c r="K1342" i="6"/>
  <c r="L1342" i="6"/>
  <c r="N1342" i="6"/>
  <c r="A1343" i="6"/>
  <c r="B1343" i="6"/>
  <c r="C1343" i="6"/>
  <c r="F1343" i="6" s="1"/>
  <c r="D1343" i="6"/>
  <c r="K1343" i="6"/>
  <c r="J1343" i="6" s="1"/>
  <c r="L1343" i="6"/>
  <c r="N1343" i="6"/>
  <c r="A1344" i="6"/>
  <c r="B1344" i="6"/>
  <c r="C1344" i="6"/>
  <c r="D1344" i="6"/>
  <c r="K1344" i="6"/>
  <c r="J1344" i="6" s="1"/>
  <c r="L1344" i="6"/>
  <c r="N1344" i="6"/>
  <c r="A1345" i="6"/>
  <c r="B1345" i="6"/>
  <c r="C1345" i="6"/>
  <c r="F1345" i="6" s="1"/>
  <c r="D1345" i="6"/>
  <c r="K1345" i="6"/>
  <c r="J1345" i="6" s="1"/>
  <c r="L1345" i="6"/>
  <c r="N1345" i="6"/>
  <c r="A1346" i="6"/>
  <c r="B1346" i="6"/>
  <c r="C1346" i="6"/>
  <c r="I1346" i="6" s="1"/>
  <c r="D1346" i="6"/>
  <c r="K1346" i="6"/>
  <c r="J1346" i="6" s="1"/>
  <c r="L1346" i="6"/>
  <c r="N1346" i="6"/>
  <c r="A1347" i="6"/>
  <c r="B1347" i="6"/>
  <c r="C1347" i="6"/>
  <c r="F1347" i="6" s="1"/>
  <c r="D1347" i="6"/>
  <c r="K1347" i="6"/>
  <c r="L1347" i="6"/>
  <c r="N1347" i="6"/>
  <c r="A1348" i="6"/>
  <c r="B1348" i="6"/>
  <c r="C1348" i="6"/>
  <c r="P1348" i="6" s="1"/>
  <c r="D1348" i="6"/>
  <c r="K1348" i="6"/>
  <c r="J1348" i="6" s="1"/>
  <c r="L1348" i="6"/>
  <c r="N1348" i="6"/>
  <c r="A1349" i="6"/>
  <c r="B1349" i="6"/>
  <c r="C1349" i="6"/>
  <c r="F1349" i="6" s="1"/>
  <c r="D1349" i="6"/>
  <c r="K1349" i="6"/>
  <c r="L1349" i="6"/>
  <c r="N1349" i="6"/>
  <c r="A1350" i="6"/>
  <c r="B1350" i="6"/>
  <c r="C1350" i="6"/>
  <c r="I1350" i="6" s="1"/>
  <c r="M1350" i="6" s="1"/>
  <c r="D1350" i="6"/>
  <c r="J1350" i="6"/>
  <c r="L1350" i="6"/>
  <c r="N1350" i="6"/>
  <c r="A1351" i="6"/>
  <c r="B1351" i="6"/>
  <c r="C1351" i="6"/>
  <c r="D1351" i="6"/>
  <c r="J1351" i="6"/>
  <c r="L1351" i="6"/>
  <c r="N1351" i="6"/>
  <c r="A1352" i="6"/>
  <c r="B1352" i="6"/>
  <c r="C1352" i="6"/>
  <c r="I1352" i="6" s="1"/>
  <c r="D1352" i="6"/>
  <c r="K1352" i="6"/>
  <c r="J1352" i="6" s="1"/>
  <c r="L1352" i="6"/>
  <c r="N1352" i="6"/>
  <c r="A1353" i="6"/>
  <c r="B1353" i="6"/>
  <c r="C1353" i="6"/>
  <c r="D1353" i="6"/>
  <c r="K1353" i="6"/>
  <c r="J1353" i="6" s="1"/>
  <c r="L1353" i="6"/>
  <c r="N1353" i="6"/>
  <c r="A1354" i="6"/>
  <c r="B1354" i="6"/>
  <c r="C1354" i="6"/>
  <c r="D1354" i="6"/>
  <c r="K1354" i="6"/>
  <c r="J1354" i="6" s="1"/>
  <c r="L1354" i="6"/>
  <c r="N1354" i="6"/>
  <c r="A1355" i="6"/>
  <c r="B1355" i="6"/>
  <c r="C1355" i="6"/>
  <c r="D1355" i="6"/>
  <c r="K1355" i="6"/>
  <c r="L1355" i="6"/>
  <c r="N1355" i="6"/>
  <c r="A1356" i="6"/>
  <c r="B1356" i="6"/>
  <c r="C1356" i="6"/>
  <c r="D1356" i="6"/>
  <c r="K1356" i="6"/>
  <c r="L1356" i="6"/>
  <c r="N1356" i="6"/>
  <c r="A1357" i="6"/>
  <c r="B1357" i="6"/>
  <c r="C1357" i="6"/>
  <c r="F1357" i="6" s="1"/>
  <c r="D1357" i="6"/>
  <c r="K1357" i="6"/>
  <c r="J1357" i="6" s="1"/>
  <c r="L1357" i="6"/>
  <c r="N1357" i="6"/>
  <c r="A1358" i="6"/>
  <c r="B1358" i="6"/>
  <c r="C1358" i="6"/>
  <c r="P1358" i="6" s="1"/>
  <c r="D1358" i="6"/>
  <c r="K1358" i="6"/>
  <c r="J1358" i="6" s="1"/>
  <c r="L1358" i="6"/>
  <c r="N1358" i="6"/>
  <c r="A1359" i="6"/>
  <c r="B1359" i="6"/>
  <c r="C1359" i="6"/>
  <c r="P1359" i="6" s="1"/>
  <c r="D1359" i="6"/>
  <c r="K1359" i="6"/>
  <c r="J1359" i="6" s="1"/>
  <c r="L1359" i="6"/>
  <c r="N1359" i="6"/>
  <c r="A1360" i="6"/>
  <c r="B1360" i="6"/>
  <c r="C1360" i="6"/>
  <c r="D1360" i="6"/>
  <c r="K1360" i="6"/>
  <c r="J1360" i="6" s="1"/>
  <c r="L1360" i="6"/>
  <c r="N1360" i="6"/>
  <c r="A1361" i="6"/>
  <c r="B1361" i="6"/>
  <c r="C1361" i="6"/>
  <c r="D1361" i="6"/>
  <c r="K1361" i="6"/>
  <c r="J1361" i="6" s="1"/>
  <c r="L1361" i="6"/>
  <c r="N1361" i="6"/>
  <c r="A1362" i="6"/>
  <c r="B1362" i="6"/>
  <c r="C1362" i="6"/>
  <c r="F1362" i="6" s="1"/>
  <c r="D1362" i="6"/>
  <c r="K1362" i="6"/>
  <c r="J1362" i="6" s="1"/>
  <c r="L1362" i="6"/>
  <c r="N1362" i="6"/>
  <c r="A1363" i="6"/>
  <c r="B1363" i="6"/>
  <c r="C1363" i="6"/>
  <c r="P1363" i="6" s="1"/>
  <c r="D1363" i="6"/>
  <c r="K1363" i="6"/>
  <c r="J1363" i="6" s="1"/>
  <c r="L1363" i="6"/>
  <c r="N1363" i="6"/>
  <c r="A1364" i="6"/>
  <c r="B1364" i="6"/>
  <c r="C1364" i="6"/>
  <c r="I1364" i="6" s="1"/>
  <c r="D1364" i="6"/>
  <c r="K1364" i="6"/>
  <c r="J1364" i="6" s="1"/>
  <c r="L1364" i="6"/>
  <c r="N1364" i="6"/>
  <c r="A1365" i="6"/>
  <c r="B1365" i="6"/>
  <c r="C1365" i="6"/>
  <c r="I1365" i="6" s="1"/>
  <c r="D1365" i="6"/>
  <c r="K1365" i="6"/>
  <c r="L1365" i="6"/>
  <c r="N1365" i="6"/>
  <c r="A1366" i="6"/>
  <c r="B1366" i="6"/>
  <c r="C1366" i="6"/>
  <c r="I1366" i="6" s="1"/>
  <c r="D1366" i="6"/>
  <c r="K1366" i="6"/>
  <c r="L1366" i="6"/>
  <c r="N1366" i="6"/>
  <c r="A1367" i="6"/>
  <c r="B1367" i="6"/>
  <c r="C1367" i="6"/>
  <c r="P1367" i="6" s="1"/>
  <c r="D1367" i="6"/>
  <c r="K1367" i="6"/>
  <c r="J1367" i="6" s="1"/>
  <c r="L1367" i="6"/>
  <c r="N1367" i="6"/>
  <c r="A1368" i="6"/>
  <c r="B1368" i="6"/>
  <c r="C1368" i="6"/>
  <c r="I1368" i="6" s="1"/>
  <c r="D1368" i="6"/>
  <c r="K1368" i="6"/>
  <c r="J1368" i="6" s="1"/>
  <c r="L1368" i="6"/>
  <c r="N1368" i="6"/>
  <c r="A1369" i="6"/>
  <c r="B1369" i="6"/>
  <c r="C1369" i="6"/>
  <c r="D1369" i="6"/>
  <c r="K1369" i="6"/>
  <c r="J1369" i="6" s="1"/>
  <c r="L1369" i="6"/>
  <c r="N1369" i="6"/>
  <c r="A1370" i="6"/>
  <c r="B1370" i="6"/>
  <c r="C1370" i="6"/>
  <c r="D1370" i="6"/>
  <c r="K1370" i="6"/>
  <c r="J1370" i="6" s="1"/>
  <c r="L1370" i="6"/>
  <c r="N1370" i="6"/>
  <c r="A1371" i="6"/>
  <c r="B1371" i="6"/>
  <c r="C1371" i="6"/>
  <c r="D1371" i="6"/>
  <c r="K1371" i="6"/>
  <c r="J1371" i="6" s="1"/>
  <c r="L1371" i="6"/>
  <c r="N1371" i="6"/>
  <c r="A1372" i="6"/>
  <c r="B1372" i="6"/>
  <c r="C1372" i="6"/>
  <c r="F1372" i="6" s="1"/>
  <c r="D1372" i="6"/>
  <c r="K1372" i="6"/>
  <c r="J1372" i="6" s="1"/>
  <c r="L1372" i="6"/>
  <c r="N1372" i="6"/>
  <c r="A1373" i="6"/>
  <c r="B1373" i="6"/>
  <c r="C1373" i="6"/>
  <c r="I1373" i="6" s="1"/>
  <c r="D1373" i="6"/>
  <c r="K1373" i="6"/>
  <c r="J1373" i="6" s="1"/>
  <c r="L1373" i="6"/>
  <c r="N1373" i="6"/>
  <c r="A1374" i="6"/>
  <c r="B1374" i="6"/>
  <c r="C1374" i="6"/>
  <c r="D1374" i="6"/>
  <c r="J1374" i="6"/>
  <c r="L1374" i="6"/>
  <c r="N1374" i="6"/>
  <c r="A1375" i="6"/>
  <c r="B1375" i="6"/>
  <c r="C1375" i="6"/>
  <c r="F1375" i="6" s="1"/>
  <c r="D1375" i="6"/>
  <c r="J1375" i="6"/>
  <c r="L1375" i="6"/>
  <c r="N1375" i="6"/>
  <c r="A1376" i="6"/>
  <c r="B1376" i="6"/>
  <c r="C1376" i="6"/>
  <c r="P1376" i="6" s="1"/>
  <c r="D1376" i="6"/>
  <c r="K1376" i="6"/>
  <c r="L1376" i="6"/>
  <c r="N1376" i="6"/>
  <c r="A1377" i="6"/>
  <c r="B1377" i="6"/>
  <c r="C1377" i="6"/>
  <c r="P1377" i="6" s="1"/>
  <c r="D1377" i="6"/>
  <c r="K1377" i="6"/>
  <c r="J1377" i="6" s="1"/>
  <c r="L1377" i="6"/>
  <c r="N1377" i="6"/>
  <c r="A1378" i="6"/>
  <c r="B1378" i="6"/>
  <c r="C1378" i="6"/>
  <c r="P1378" i="6" s="1"/>
  <c r="D1378" i="6"/>
  <c r="K1378" i="6"/>
  <c r="J1378" i="6" s="1"/>
  <c r="L1378" i="6"/>
  <c r="N1378" i="6"/>
  <c r="A1379" i="6"/>
  <c r="B1379" i="6"/>
  <c r="C1379" i="6"/>
  <c r="P1379" i="6" s="1"/>
  <c r="D1379" i="6"/>
  <c r="K1379" i="6"/>
  <c r="J1379" i="6" s="1"/>
  <c r="L1379" i="6"/>
  <c r="N1379" i="6"/>
  <c r="A1380" i="6"/>
  <c r="B1380" i="6"/>
  <c r="C1380" i="6"/>
  <c r="F1380" i="6" s="1"/>
  <c r="D1380" i="6"/>
  <c r="K1380" i="6"/>
  <c r="L1380" i="6"/>
  <c r="N1380" i="6"/>
  <c r="A1381" i="6"/>
  <c r="B1381" i="6"/>
  <c r="C1381" i="6"/>
  <c r="P1381" i="6" s="1"/>
  <c r="D1381" i="6"/>
  <c r="K1381" i="6"/>
  <c r="J1381" i="6" s="1"/>
  <c r="L1381" i="6"/>
  <c r="N1381" i="6"/>
  <c r="A1382" i="6"/>
  <c r="B1382" i="6"/>
  <c r="C1382" i="6"/>
  <c r="D1382" i="6"/>
  <c r="K1382" i="6"/>
  <c r="J1382" i="6" s="1"/>
  <c r="L1382" i="6"/>
  <c r="N1382" i="6"/>
  <c r="A1383" i="6"/>
  <c r="B1383" i="6"/>
  <c r="C1383" i="6"/>
  <c r="D1383" i="6"/>
  <c r="K1383" i="6"/>
  <c r="J1383" i="6" s="1"/>
  <c r="L1383" i="6"/>
  <c r="N1383" i="6"/>
  <c r="A1384" i="6"/>
  <c r="B1384" i="6"/>
  <c r="C1384" i="6"/>
  <c r="I1384" i="6" s="1"/>
  <c r="D1384" i="6"/>
  <c r="K1384" i="6"/>
  <c r="L1384" i="6"/>
  <c r="N1384" i="6"/>
  <c r="A1385" i="6"/>
  <c r="B1385" i="6"/>
  <c r="C1385" i="6"/>
  <c r="F1385" i="6" s="1"/>
  <c r="D1385" i="6"/>
  <c r="K1385" i="6"/>
  <c r="J1385" i="6" s="1"/>
  <c r="L1385" i="6"/>
  <c r="N1385" i="6"/>
  <c r="A1386" i="6"/>
  <c r="B1386" i="6"/>
  <c r="C1386" i="6"/>
  <c r="F1386" i="6" s="1"/>
  <c r="D1386" i="6"/>
  <c r="K1386" i="6"/>
  <c r="L1386" i="6"/>
  <c r="N1386" i="6"/>
  <c r="A1387" i="6"/>
  <c r="B1387" i="6"/>
  <c r="C1387" i="6"/>
  <c r="D1387" i="6"/>
  <c r="K1387" i="6"/>
  <c r="J1387" i="6" s="1"/>
  <c r="L1387" i="6"/>
  <c r="N1387" i="6"/>
  <c r="A1388" i="6"/>
  <c r="B1388" i="6"/>
  <c r="C1388" i="6"/>
  <c r="P1388" i="6" s="1"/>
  <c r="D1388" i="6"/>
  <c r="K1388" i="6"/>
  <c r="J1388" i="6" s="1"/>
  <c r="L1388" i="6"/>
  <c r="N1388" i="6"/>
  <c r="A1389" i="6"/>
  <c r="B1389" i="6"/>
  <c r="C1389" i="6"/>
  <c r="D1389" i="6"/>
  <c r="K1389" i="6"/>
  <c r="L1389" i="6"/>
  <c r="N1389" i="6"/>
  <c r="A1390" i="6"/>
  <c r="B1390" i="6"/>
  <c r="C1390" i="6"/>
  <c r="I1390" i="6" s="1"/>
  <c r="D1390" i="6"/>
  <c r="K1390" i="6"/>
  <c r="L1390" i="6"/>
  <c r="N1390" i="6"/>
  <c r="A1391" i="6"/>
  <c r="B1391" i="6"/>
  <c r="C1391" i="6"/>
  <c r="I1391" i="6" s="1"/>
  <c r="D1391" i="6"/>
  <c r="K1391" i="6"/>
  <c r="J1391" i="6" s="1"/>
  <c r="L1391" i="6"/>
  <c r="N1391" i="6"/>
  <c r="A1392" i="6"/>
  <c r="B1392" i="6"/>
  <c r="C1392" i="6"/>
  <c r="P1392" i="6" s="1"/>
  <c r="D1392" i="6"/>
  <c r="K1392" i="6"/>
  <c r="J1392" i="6" s="1"/>
  <c r="L1392" i="6"/>
  <c r="N1392" i="6"/>
  <c r="A1393" i="6"/>
  <c r="B1393" i="6"/>
  <c r="C1393" i="6"/>
  <c r="P1393" i="6" s="1"/>
  <c r="D1393" i="6"/>
  <c r="K1393" i="6"/>
  <c r="J1393" i="6" s="1"/>
  <c r="L1393" i="6"/>
  <c r="N1393" i="6"/>
  <c r="A1394" i="6"/>
  <c r="B1394" i="6"/>
  <c r="C1394" i="6"/>
  <c r="P1394" i="6" s="1"/>
  <c r="D1394" i="6"/>
  <c r="K1394" i="6"/>
  <c r="J1394" i="6" s="1"/>
  <c r="L1394" i="6"/>
  <c r="N1394" i="6"/>
  <c r="A1395" i="6"/>
  <c r="B1395" i="6"/>
  <c r="C1395" i="6"/>
  <c r="I1395" i="6" s="1"/>
  <c r="D1395" i="6"/>
  <c r="K1395" i="6"/>
  <c r="J1395" i="6" s="1"/>
  <c r="L1395" i="6"/>
  <c r="N1395" i="6"/>
  <c r="A1396" i="6"/>
  <c r="B1396" i="6"/>
  <c r="C1396" i="6"/>
  <c r="P1396" i="6" s="1"/>
  <c r="D1396" i="6"/>
  <c r="K1396" i="6"/>
  <c r="J1396" i="6" s="1"/>
  <c r="L1396" i="6"/>
  <c r="N1396" i="6"/>
  <c r="A1397" i="6"/>
  <c r="B1397" i="6"/>
  <c r="C1397" i="6"/>
  <c r="P1397" i="6" s="1"/>
  <c r="D1397" i="6"/>
  <c r="K1397" i="6"/>
  <c r="J1397" i="6" s="1"/>
  <c r="L1397" i="6"/>
  <c r="N1397" i="6"/>
  <c r="A1398" i="6"/>
  <c r="B1398" i="6"/>
  <c r="C1398" i="6"/>
  <c r="I1398" i="6" s="1"/>
  <c r="M1398" i="6" s="1"/>
  <c r="D1398" i="6"/>
  <c r="J1398" i="6"/>
  <c r="L1398" i="6"/>
  <c r="N1398" i="6"/>
  <c r="A1399" i="6"/>
  <c r="B1399" i="6"/>
  <c r="C1399" i="6"/>
  <c r="P1399" i="6" s="1"/>
  <c r="D1399" i="6"/>
  <c r="L1399" i="6"/>
  <c r="N1399" i="6"/>
  <c r="A1400" i="6"/>
  <c r="B1400" i="6"/>
  <c r="C1400" i="6"/>
  <c r="F1400" i="6" s="1"/>
  <c r="D1400" i="6"/>
  <c r="K1400" i="6"/>
  <c r="J1400" i="6" s="1"/>
  <c r="L1400" i="6"/>
  <c r="N1400" i="6"/>
  <c r="A1401" i="6"/>
  <c r="B1401" i="6"/>
  <c r="C1401" i="6"/>
  <c r="F1401" i="6" s="1"/>
  <c r="D1401" i="6"/>
  <c r="K1401" i="6"/>
  <c r="J1401" i="6" s="1"/>
  <c r="L1401" i="6"/>
  <c r="N1401" i="6"/>
  <c r="A1402" i="6"/>
  <c r="B1402" i="6"/>
  <c r="C1402" i="6"/>
  <c r="F1402" i="6" s="1"/>
  <c r="D1402" i="6"/>
  <c r="K1402" i="6"/>
  <c r="J1402" i="6" s="1"/>
  <c r="L1402" i="6"/>
  <c r="N1402" i="6"/>
  <c r="A1403" i="6"/>
  <c r="B1403" i="6"/>
  <c r="C1403" i="6"/>
  <c r="P1403" i="6" s="1"/>
  <c r="D1403" i="6"/>
  <c r="K1403" i="6"/>
  <c r="J1403" i="6" s="1"/>
  <c r="L1403" i="6"/>
  <c r="N1403" i="6"/>
  <c r="A1404" i="6"/>
  <c r="B1404" i="6"/>
  <c r="C1404" i="6"/>
  <c r="I1404" i="6" s="1"/>
  <c r="D1404" i="6"/>
  <c r="K1404" i="6"/>
  <c r="J1404" i="6" s="1"/>
  <c r="L1404" i="6"/>
  <c r="N1404" i="6"/>
  <c r="A1405" i="6"/>
  <c r="B1405" i="6"/>
  <c r="C1405" i="6"/>
  <c r="F1405" i="6" s="1"/>
  <c r="D1405" i="6"/>
  <c r="K1405" i="6"/>
  <c r="J1405" i="6" s="1"/>
  <c r="L1405" i="6"/>
  <c r="N1405" i="6"/>
  <c r="A1406" i="6"/>
  <c r="B1406" i="6"/>
  <c r="C1406" i="6"/>
  <c r="D1406" i="6"/>
  <c r="K1406" i="6"/>
  <c r="J1406" i="6" s="1"/>
  <c r="L1406" i="6"/>
  <c r="N1406" i="6"/>
  <c r="A1407" i="6"/>
  <c r="B1407" i="6"/>
  <c r="C1407" i="6"/>
  <c r="D1407" i="6"/>
  <c r="K1407" i="6"/>
  <c r="J1407" i="6" s="1"/>
  <c r="L1407" i="6"/>
  <c r="N1407" i="6"/>
  <c r="A1408" i="6"/>
  <c r="B1408" i="6"/>
  <c r="C1408" i="6"/>
  <c r="D1408" i="6"/>
  <c r="K1408" i="6"/>
  <c r="L1408" i="6"/>
  <c r="N1408" i="6"/>
  <c r="A1409" i="6"/>
  <c r="B1409" i="6"/>
  <c r="C1409" i="6"/>
  <c r="D1409" i="6"/>
  <c r="K1409" i="6"/>
  <c r="J1409" i="6" s="1"/>
  <c r="L1409" i="6"/>
  <c r="N1409" i="6"/>
  <c r="A1410" i="6"/>
  <c r="B1410" i="6"/>
  <c r="C1410" i="6"/>
  <c r="F1410" i="6" s="1"/>
  <c r="D1410" i="6"/>
  <c r="K1410" i="6"/>
  <c r="J1410" i="6" s="1"/>
  <c r="L1410" i="6"/>
  <c r="N1410" i="6"/>
  <c r="A1411" i="6"/>
  <c r="B1411" i="6"/>
  <c r="C1411" i="6"/>
  <c r="D1411" i="6"/>
  <c r="K1411" i="6"/>
  <c r="L1411" i="6"/>
  <c r="N1411" i="6"/>
  <c r="A1412" i="6"/>
  <c r="B1412" i="6"/>
  <c r="C1412" i="6"/>
  <c r="F1412" i="6" s="1"/>
  <c r="D1412" i="6"/>
  <c r="K1412" i="6"/>
  <c r="J1412" i="6" s="1"/>
  <c r="L1412" i="6"/>
  <c r="N1412" i="6"/>
  <c r="A31" i="6"/>
  <c r="B31" i="6"/>
  <c r="C31" i="6"/>
  <c r="D31" i="6"/>
  <c r="K31" i="6"/>
  <c r="L31" i="6"/>
  <c r="N31" i="6"/>
  <c r="A32" i="6"/>
  <c r="B32" i="6"/>
  <c r="C32" i="6"/>
  <c r="P32" i="6" s="1"/>
  <c r="D32" i="6"/>
  <c r="K32" i="6"/>
  <c r="L32" i="6"/>
  <c r="N32" i="6"/>
  <c r="A33" i="6"/>
  <c r="B33" i="6"/>
  <c r="C33" i="6"/>
  <c r="D33" i="6"/>
  <c r="K33" i="6"/>
  <c r="J33" i="6" s="1"/>
  <c r="L33" i="6"/>
  <c r="N33" i="6"/>
  <c r="A34" i="6"/>
  <c r="B34" i="6"/>
  <c r="C34" i="6"/>
  <c r="F34" i="6" s="1"/>
  <c r="D34" i="6"/>
  <c r="K34" i="6"/>
  <c r="L34" i="6"/>
  <c r="N34" i="6"/>
  <c r="A35" i="6"/>
  <c r="B35" i="6"/>
  <c r="C35" i="6"/>
  <c r="I35" i="6" s="1"/>
  <c r="M35" i="6" s="1"/>
  <c r="D35" i="6"/>
  <c r="J35" i="6"/>
  <c r="L35" i="6"/>
  <c r="N35" i="6"/>
  <c r="A36" i="6"/>
  <c r="B36" i="6"/>
  <c r="C36" i="6"/>
  <c r="I36" i="6" s="1"/>
  <c r="M36" i="6" s="1"/>
  <c r="D36" i="6"/>
  <c r="L36" i="6"/>
  <c r="N36" i="6"/>
  <c r="A37" i="6"/>
  <c r="B37" i="6"/>
  <c r="C37" i="6"/>
  <c r="F37" i="6" s="1"/>
  <c r="D37" i="6"/>
  <c r="K37" i="6"/>
  <c r="J37" i="6" s="1"/>
  <c r="L37" i="6"/>
  <c r="N37" i="6"/>
  <c r="A38" i="6"/>
  <c r="B38" i="6"/>
  <c r="C38" i="6"/>
  <c r="P38" i="6" s="1"/>
  <c r="D38" i="6"/>
  <c r="K38" i="6"/>
  <c r="J38" i="6" s="1"/>
  <c r="L38" i="6"/>
  <c r="N38" i="6"/>
  <c r="A39" i="6"/>
  <c r="B39" i="6"/>
  <c r="C39" i="6"/>
  <c r="D39" i="6"/>
  <c r="K39" i="6"/>
  <c r="L39" i="6"/>
  <c r="N39" i="6"/>
  <c r="A40" i="6"/>
  <c r="B40" i="6"/>
  <c r="C40" i="6"/>
  <c r="D40" i="6"/>
  <c r="K40" i="6"/>
  <c r="L40" i="6"/>
  <c r="N40" i="6"/>
  <c r="A41" i="6"/>
  <c r="B41" i="6"/>
  <c r="C41" i="6"/>
  <c r="P41" i="6" s="1"/>
  <c r="D41" i="6"/>
  <c r="K41" i="6"/>
  <c r="L41" i="6"/>
  <c r="N41" i="6"/>
  <c r="A42" i="6"/>
  <c r="B42" i="6"/>
  <c r="C42" i="6"/>
  <c r="D42" i="6"/>
  <c r="K42" i="6"/>
  <c r="J42" i="6" s="1"/>
  <c r="L42" i="6"/>
  <c r="N42" i="6"/>
  <c r="A43" i="6"/>
  <c r="B43" i="6"/>
  <c r="C43" i="6"/>
  <c r="I43" i="6" s="1"/>
  <c r="D43" i="6"/>
  <c r="K43" i="6"/>
  <c r="L43" i="6"/>
  <c r="N43" i="6"/>
  <c r="A44" i="6"/>
  <c r="B44" i="6"/>
  <c r="C44" i="6"/>
  <c r="D44" i="6"/>
  <c r="K44" i="6"/>
  <c r="J44" i="6" s="1"/>
  <c r="L44" i="6"/>
  <c r="N44" i="6"/>
  <c r="A45" i="6"/>
  <c r="B45" i="6"/>
  <c r="C45" i="6"/>
  <c r="P45" i="6" s="1"/>
  <c r="D45" i="6"/>
  <c r="K45" i="6"/>
  <c r="J45" i="6" s="1"/>
  <c r="L45" i="6"/>
  <c r="N45" i="6"/>
  <c r="A46" i="6"/>
  <c r="B46" i="6"/>
  <c r="C46" i="6"/>
  <c r="D46" i="6"/>
  <c r="K46" i="6"/>
  <c r="J46" i="6" s="1"/>
  <c r="L46" i="6"/>
  <c r="N46" i="6"/>
  <c r="A47" i="6"/>
  <c r="B47" i="6"/>
  <c r="C47" i="6"/>
  <c r="D47" i="6"/>
  <c r="K47" i="6"/>
  <c r="J47" i="6" s="1"/>
  <c r="L47" i="6"/>
  <c r="N47" i="6"/>
  <c r="A48" i="6"/>
  <c r="B48" i="6"/>
  <c r="C48" i="6"/>
  <c r="P48" i="6" s="1"/>
  <c r="D48" i="6"/>
  <c r="K48" i="6"/>
  <c r="L48" i="6"/>
  <c r="N48" i="6"/>
  <c r="A49" i="6"/>
  <c r="B49" i="6"/>
  <c r="C49" i="6"/>
  <c r="I49" i="6" s="1"/>
  <c r="D49" i="6"/>
  <c r="K49" i="6"/>
  <c r="L49" i="6"/>
  <c r="N49" i="6"/>
  <c r="A50" i="6"/>
  <c r="B50" i="6"/>
  <c r="C50" i="6"/>
  <c r="F50" i="6" s="1"/>
  <c r="D50" i="6"/>
  <c r="K50" i="6"/>
  <c r="L50" i="6"/>
  <c r="N50" i="6"/>
  <c r="A51" i="6"/>
  <c r="B51" i="6"/>
  <c r="C51" i="6"/>
  <c r="I51" i="6" s="1"/>
  <c r="D51" i="6"/>
  <c r="K51" i="6"/>
  <c r="J51" i="6" s="1"/>
  <c r="L51" i="6"/>
  <c r="N51" i="6"/>
  <c r="A52" i="6"/>
  <c r="B52" i="6"/>
  <c r="C52" i="6"/>
  <c r="P52" i="6" s="1"/>
  <c r="D52" i="6"/>
  <c r="K52" i="6"/>
  <c r="J52" i="6" s="1"/>
  <c r="L52" i="6"/>
  <c r="N52" i="6"/>
  <c r="A53" i="6"/>
  <c r="B53" i="6"/>
  <c r="C53" i="6"/>
  <c r="F53" i="6" s="1"/>
  <c r="D53" i="6"/>
  <c r="K53" i="6"/>
  <c r="J53" i="6" s="1"/>
  <c r="L53" i="6"/>
  <c r="N53" i="6"/>
  <c r="A54" i="6"/>
  <c r="B54" i="6"/>
  <c r="C54" i="6"/>
  <c r="D54" i="6"/>
  <c r="J54" i="6"/>
  <c r="L54" i="6"/>
  <c r="N54" i="6"/>
  <c r="A55" i="6"/>
  <c r="B55" i="6"/>
  <c r="C55" i="6"/>
  <c r="I55" i="6" s="1"/>
  <c r="M55" i="6" s="1"/>
  <c r="D55" i="6"/>
  <c r="L55" i="6"/>
  <c r="N55" i="6"/>
  <c r="A56" i="6"/>
  <c r="B56" i="6"/>
  <c r="C56" i="6"/>
  <c r="P56" i="6" s="1"/>
  <c r="D56" i="6"/>
  <c r="K56" i="6"/>
  <c r="L56" i="6"/>
  <c r="N56" i="6"/>
  <c r="A57" i="6"/>
  <c r="B57" i="6"/>
  <c r="C57" i="6"/>
  <c r="D57" i="6"/>
  <c r="K57" i="6"/>
  <c r="J57" i="6" s="1"/>
  <c r="L57" i="6"/>
  <c r="N57" i="6"/>
  <c r="A58" i="6"/>
  <c r="B58" i="6"/>
  <c r="C58" i="6"/>
  <c r="F58" i="6" s="1"/>
  <c r="D58" i="6"/>
  <c r="K58" i="6"/>
  <c r="L58" i="6"/>
  <c r="N58" i="6"/>
  <c r="A59" i="6"/>
  <c r="B59" i="6"/>
  <c r="C59" i="6"/>
  <c r="P59" i="6" s="1"/>
  <c r="D59" i="6"/>
  <c r="K59" i="6"/>
  <c r="J59" i="6" s="1"/>
  <c r="L59" i="6"/>
  <c r="N59" i="6"/>
  <c r="A60" i="6"/>
  <c r="B60" i="6"/>
  <c r="C60" i="6"/>
  <c r="D60" i="6"/>
  <c r="K60" i="6"/>
  <c r="J60" i="6" s="1"/>
  <c r="L60" i="6"/>
  <c r="N60" i="6"/>
  <c r="A61" i="6"/>
  <c r="B61" i="6"/>
  <c r="C61" i="6"/>
  <c r="F61" i="6" s="1"/>
  <c r="D61" i="6"/>
  <c r="K61" i="6"/>
  <c r="L61" i="6"/>
  <c r="N61" i="6"/>
  <c r="A62" i="6"/>
  <c r="B62" i="6"/>
  <c r="C62" i="6"/>
  <c r="F62" i="6" s="1"/>
  <c r="D62" i="6"/>
  <c r="K62" i="6"/>
  <c r="L62" i="6"/>
  <c r="N62" i="6"/>
  <c r="A63" i="6"/>
  <c r="B63" i="6"/>
  <c r="C63" i="6"/>
  <c r="P63" i="6" s="1"/>
  <c r="D63" i="6"/>
  <c r="K63" i="6"/>
  <c r="L63" i="6"/>
  <c r="N63" i="6"/>
  <c r="A64" i="6"/>
  <c r="B64" i="6"/>
  <c r="C64" i="6"/>
  <c r="F64" i="6" s="1"/>
  <c r="D64" i="6"/>
  <c r="K64" i="6"/>
  <c r="L64" i="6"/>
  <c r="N64" i="6"/>
  <c r="A65" i="6"/>
  <c r="B65" i="6"/>
  <c r="C65" i="6"/>
  <c r="D65" i="6"/>
  <c r="K65" i="6"/>
  <c r="J65" i="6" s="1"/>
  <c r="L65" i="6"/>
  <c r="N65" i="6"/>
  <c r="A66" i="6"/>
  <c r="B66" i="6"/>
  <c r="C66" i="6"/>
  <c r="P66" i="6" s="1"/>
  <c r="D66" i="6"/>
  <c r="K66" i="6"/>
  <c r="J66" i="6" s="1"/>
  <c r="L66" i="6"/>
  <c r="N66" i="6"/>
  <c r="A67" i="6"/>
  <c r="B67" i="6"/>
  <c r="C67" i="6"/>
  <c r="F67" i="6" s="1"/>
  <c r="D67" i="6"/>
  <c r="K67" i="6"/>
  <c r="J67" i="6" s="1"/>
  <c r="L67" i="6"/>
  <c r="N67" i="6"/>
  <c r="A68" i="6"/>
  <c r="B68" i="6"/>
  <c r="C68" i="6"/>
  <c r="I68" i="6" s="1"/>
  <c r="D68" i="6"/>
  <c r="K68" i="6"/>
  <c r="L68" i="6"/>
  <c r="N68" i="6"/>
  <c r="A69" i="6"/>
  <c r="B69" i="6"/>
  <c r="C69" i="6"/>
  <c r="D69" i="6"/>
  <c r="K69" i="6"/>
  <c r="J69" i="6" s="1"/>
  <c r="L69" i="6"/>
  <c r="N69" i="6"/>
  <c r="A70" i="6"/>
  <c r="B70" i="6"/>
  <c r="C70" i="6"/>
  <c r="D70" i="6"/>
  <c r="K70" i="6"/>
  <c r="L70" i="6"/>
  <c r="N70" i="6"/>
  <c r="A71" i="6"/>
  <c r="B71" i="6"/>
  <c r="C71" i="6"/>
  <c r="I71" i="6" s="1"/>
  <c r="D71" i="6"/>
  <c r="K71" i="6"/>
  <c r="J71" i="6" s="1"/>
  <c r="L71" i="6"/>
  <c r="N71" i="6"/>
  <c r="A72" i="6"/>
  <c r="B72" i="6"/>
  <c r="C72" i="6"/>
  <c r="P72" i="6" s="1"/>
  <c r="D72" i="6"/>
  <c r="L72" i="6"/>
  <c r="N72" i="6"/>
  <c r="A73" i="6"/>
  <c r="B73" i="6"/>
  <c r="C73" i="6"/>
  <c r="I73" i="6" s="1"/>
  <c r="M73" i="6" s="1"/>
  <c r="D73" i="6"/>
  <c r="J73" i="6"/>
  <c r="L73" i="6"/>
  <c r="N73" i="6"/>
  <c r="A74" i="6"/>
  <c r="B74" i="6"/>
  <c r="C74" i="6"/>
  <c r="I74" i="6" s="1"/>
  <c r="D74" i="6"/>
  <c r="K74" i="6"/>
  <c r="L74" i="6"/>
  <c r="N74" i="6"/>
  <c r="A75" i="6"/>
  <c r="B75" i="6"/>
  <c r="C75" i="6"/>
  <c r="D75" i="6"/>
  <c r="K75" i="6"/>
  <c r="J75" i="6" s="1"/>
  <c r="L75" i="6"/>
  <c r="N75" i="6"/>
  <c r="A76" i="6"/>
  <c r="B76" i="6"/>
  <c r="C76" i="6"/>
  <c r="P76" i="6" s="1"/>
  <c r="D76" i="6"/>
  <c r="K76" i="6"/>
  <c r="J76" i="6" s="1"/>
  <c r="L76" i="6"/>
  <c r="N76" i="6"/>
  <c r="A77" i="6"/>
  <c r="B77" i="6"/>
  <c r="C77" i="6"/>
  <c r="P77" i="6" s="1"/>
  <c r="D77" i="6"/>
  <c r="K77" i="6"/>
  <c r="L77" i="6"/>
  <c r="N77" i="6"/>
  <c r="A78" i="6"/>
  <c r="B78" i="6"/>
  <c r="C78" i="6"/>
  <c r="D78" i="6"/>
  <c r="K78" i="6"/>
  <c r="J78" i="6" s="1"/>
  <c r="L78" i="6"/>
  <c r="N78" i="6"/>
  <c r="A79" i="6"/>
  <c r="B79" i="6"/>
  <c r="C79" i="6"/>
  <c r="D79" i="6"/>
  <c r="K79" i="6"/>
  <c r="J79" i="6" s="1"/>
  <c r="L79" i="6"/>
  <c r="N79" i="6"/>
  <c r="A80" i="6"/>
  <c r="B80" i="6"/>
  <c r="C80" i="6"/>
  <c r="F80" i="6" s="1"/>
  <c r="D80" i="6"/>
  <c r="K80" i="6"/>
  <c r="J80" i="6" s="1"/>
  <c r="L80" i="6"/>
  <c r="N80" i="6"/>
  <c r="A81" i="6"/>
  <c r="B81" i="6"/>
  <c r="C81" i="6"/>
  <c r="D81" i="6"/>
  <c r="J81" i="6"/>
  <c r="L81" i="6"/>
  <c r="N81" i="6"/>
  <c r="A82" i="6"/>
  <c r="B82" i="6"/>
  <c r="C82" i="6"/>
  <c r="P82" i="6" s="1"/>
  <c r="D82" i="6"/>
  <c r="J82" i="6"/>
  <c r="L82" i="6"/>
  <c r="N82" i="6"/>
  <c r="A83" i="6"/>
  <c r="B83" i="6"/>
  <c r="C83" i="6"/>
  <c r="F83" i="6" s="1"/>
  <c r="D83" i="6"/>
  <c r="L83" i="6"/>
  <c r="N83" i="6"/>
  <c r="A84" i="6"/>
  <c r="B84" i="6"/>
  <c r="C84" i="6"/>
  <c r="D84" i="6"/>
  <c r="J84" i="6"/>
  <c r="L84" i="6"/>
  <c r="N84" i="6"/>
  <c r="A85" i="6"/>
  <c r="B85" i="6"/>
  <c r="C85" i="6"/>
  <c r="P85" i="6" s="1"/>
  <c r="D85" i="6"/>
  <c r="K85" i="6"/>
  <c r="J85" i="6" s="1"/>
  <c r="L85" i="6"/>
  <c r="N85" i="6"/>
  <c r="A86" i="6"/>
  <c r="B86" i="6"/>
  <c r="C86" i="6"/>
  <c r="D86" i="6"/>
  <c r="K86" i="6"/>
  <c r="J86" i="6" s="1"/>
  <c r="L86" i="6"/>
  <c r="N86" i="6"/>
  <c r="A87" i="6"/>
  <c r="B87" i="6"/>
  <c r="C87" i="6"/>
  <c r="D87" i="6"/>
  <c r="K87" i="6"/>
  <c r="J87" i="6" s="1"/>
  <c r="L87" i="6"/>
  <c r="N87" i="6"/>
  <c r="A88" i="6"/>
  <c r="B88" i="6"/>
  <c r="C88" i="6"/>
  <c r="D88" i="6"/>
  <c r="K88" i="6"/>
  <c r="J88" i="6" s="1"/>
  <c r="L88" i="6"/>
  <c r="N88" i="6"/>
  <c r="A89" i="6"/>
  <c r="B89" i="6"/>
  <c r="C89" i="6"/>
  <c r="D89" i="6"/>
  <c r="K89" i="6"/>
  <c r="J89" i="6" s="1"/>
  <c r="L89" i="6"/>
  <c r="N89" i="6"/>
  <c r="A90" i="6"/>
  <c r="B90" i="6"/>
  <c r="C90" i="6"/>
  <c r="P90" i="6" s="1"/>
  <c r="D90" i="6"/>
  <c r="K90" i="6"/>
  <c r="L90" i="6"/>
  <c r="N90" i="6"/>
  <c r="A91" i="6"/>
  <c r="B91" i="6"/>
  <c r="C91" i="6"/>
  <c r="F91" i="6" s="1"/>
  <c r="D91" i="6"/>
  <c r="K91" i="6"/>
  <c r="J91" i="6" s="1"/>
  <c r="L91" i="6"/>
  <c r="N91" i="6"/>
  <c r="A92" i="6"/>
  <c r="B92" i="6"/>
  <c r="C92" i="6"/>
  <c r="P92" i="6" s="1"/>
  <c r="D92" i="6"/>
  <c r="K92" i="6"/>
  <c r="J92" i="6" s="1"/>
  <c r="L92" i="6"/>
  <c r="N92" i="6"/>
  <c r="A93" i="6"/>
  <c r="B93" i="6"/>
  <c r="C93" i="6"/>
  <c r="D93" i="6"/>
  <c r="K93" i="6"/>
  <c r="J93" i="6" s="1"/>
  <c r="L93" i="6"/>
  <c r="N93" i="6"/>
  <c r="A94" i="6"/>
  <c r="B94" i="6"/>
  <c r="C94" i="6"/>
  <c r="D94" i="6"/>
  <c r="K94" i="6"/>
  <c r="J94" i="6" s="1"/>
  <c r="L94" i="6"/>
  <c r="N94" i="6"/>
  <c r="A95" i="6"/>
  <c r="B95" i="6"/>
  <c r="C95" i="6"/>
  <c r="D95" i="6"/>
  <c r="K95" i="6"/>
  <c r="J95" i="6" s="1"/>
  <c r="L95" i="6"/>
  <c r="N95" i="6"/>
  <c r="A96" i="6"/>
  <c r="B96" i="6"/>
  <c r="C96" i="6"/>
  <c r="D96" i="6"/>
  <c r="K96" i="6"/>
  <c r="J96" i="6" s="1"/>
  <c r="L96" i="6"/>
  <c r="N96" i="6"/>
  <c r="A97" i="6"/>
  <c r="B97" i="6"/>
  <c r="C97" i="6"/>
  <c r="D97" i="6"/>
  <c r="K97" i="6"/>
  <c r="J97" i="6" s="1"/>
  <c r="L97" i="6"/>
  <c r="N97" i="6"/>
  <c r="A98" i="6"/>
  <c r="B98" i="6"/>
  <c r="C98" i="6"/>
  <c r="F98" i="6" s="1"/>
  <c r="D98" i="6"/>
  <c r="K98" i="6"/>
  <c r="J98" i="6" s="1"/>
  <c r="L98" i="6"/>
  <c r="N98" i="6"/>
  <c r="A99" i="6"/>
  <c r="B99" i="6"/>
  <c r="C99" i="6"/>
  <c r="F99" i="6" s="1"/>
  <c r="D99" i="6"/>
  <c r="K99" i="6"/>
  <c r="L99" i="6"/>
  <c r="N99" i="6"/>
  <c r="A100" i="6"/>
  <c r="B100" i="6"/>
  <c r="C100" i="6"/>
  <c r="P100" i="6" s="1"/>
  <c r="D100" i="6"/>
  <c r="J100" i="6"/>
  <c r="L100" i="6"/>
  <c r="N100" i="6"/>
  <c r="A101" i="6"/>
  <c r="B101" i="6"/>
  <c r="C101" i="6"/>
  <c r="D101" i="6"/>
  <c r="J101" i="6"/>
  <c r="L101" i="6"/>
  <c r="N101" i="6"/>
  <c r="A102" i="6"/>
  <c r="B102" i="6"/>
  <c r="C102" i="6"/>
  <c r="D102" i="6"/>
  <c r="K102" i="6"/>
  <c r="J102" i="6" s="1"/>
  <c r="L102" i="6"/>
  <c r="N102" i="6"/>
  <c r="A103" i="6"/>
  <c r="B103" i="6"/>
  <c r="C103" i="6"/>
  <c r="D103" i="6"/>
  <c r="K103" i="6"/>
  <c r="L103" i="6"/>
  <c r="N103" i="6"/>
  <c r="A104" i="6"/>
  <c r="B104" i="6"/>
  <c r="C104" i="6"/>
  <c r="D104" i="6"/>
  <c r="K104" i="6"/>
  <c r="L104" i="6"/>
  <c r="N104" i="6"/>
  <c r="A105" i="6"/>
  <c r="B105" i="6"/>
  <c r="C105" i="6"/>
  <c r="F105" i="6" s="1"/>
  <c r="D105" i="6"/>
  <c r="K105" i="6"/>
  <c r="L105" i="6"/>
  <c r="N105" i="6"/>
  <c r="A106" i="6"/>
  <c r="B106" i="6"/>
  <c r="C106" i="6"/>
  <c r="I106" i="6" s="1"/>
  <c r="D106" i="6"/>
  <c r="K106" i="6"/>
  <c r="L106" i="6"/>
  <c r="N106" i="6"/>
  <c r="A107" i="6"/>
  <c r="B107" i="6"/>
  <c r="C107" i="6"/>
  <c r="D107" i="6"/>
  <c r="K107" i="6"/>
  <c r="J107" i="6" s="1"/>
  <c r="L107" i="6"/>
  <c r="N107" i="6"/>
  <c r="A108" i="6"/>
  <c r="B108" i="6"/>
  <c r="C108" i="6"/>
  <c r="P108" i="6" s="1"/>
  <c r="D108" i="6"/>
  <c r="K108" i="6"/>
  <c r="L108" i="6"/>
  <c r="N108" i="6"/>
  <c r="A109" i="6"/>
  <c r="B109" i="6"/>
  <c r="C109" i="6"/>
  <c r="D109" i="6"/>
  <c r="K109" i="6"/>
  <c r="J109" i="6" s="1"/>
  <c r="L109" i="6"/>
  <c r="N109" i="6"/>
  <c r="A110" i="6"/>
  <c r="B110" i="6"/>
  <c r="C110" i="6"/>
  <c r="P110" i="6" s="1"/>
  <c r="D110" i="6"/>
  <c r="K110" i="6"/>
  <c r="J110" i="6" s="1"/>
  <c r="L110" i="6"/>
  <c r="N110" i="6"/>
  <c r="A111" i="6"/>
  <c r="B111" i="6"/>
  <c r="C111" i="6"/>
  <c r="D111" i="6"/>
  <c r="K111" i="6"/>
  <c r="J111" i="6" s="1"/>
  <c r="L111" i="6"/>
  <c r="N111" i="6"/>
  <c r="A112" i="6"/>
  <c r="B112" i="6"/>
  <c r="C112" i="6"/>
  <c r="I112" i="6" s="1"/>
  <c r="D112" i="6"/>
  <c r="K112" i="6"/>
  <c r="J112" i="6" s="1"/>
  <c r="L112" i="6"/>
  <c r="N112" i="6"/>
  <c r="A113" i="6"/>
  <c r="B113" i="6"/>
  <c r="C113" i="6"/>
  <c r="P113" i="6" s="1"/>
  <c r="D113" i="6"/>
  <c r="K113" i="6"/>
  <c r="L113" i="6"/>
  <c r="N113" i="6"/>
  <c r="A114" i="6"/>
  <c r="B114" i="6"/>
  <c r="C114" i="6"/>
  <c r="D114" i="6"/>
  <c r="K114" i="6"/>
  <c r="L114" i="6"/>
  <c r="N114" i="6"/>
  <c r="A115" i="6"/>
  <c r="B115" i="6"/>
  <c r="C115" i="6"/>
  <c r="D115" i="6"/>
  <c r="L115" i="6"/>
  <c r="N115" i="6"/>
  <c r="A116" i="6"/>
  <c r="B116" i="6"/>
  <c r="C116" i="6"/>
  <c r="P116" i="6" s="1"/>
  <c r="D116" i="6"/>
  <c r="J116" i="6"/>
  <c r="L116" i="6"/>
  <c r="N116" i="6"/>
  <c r="A117" i="6"/>
  <c r="B117" i="6"/>
  <c r="C117" i="6"/>
  <c r="I117" i="6" s="1"/>
  <c r="D117" i="6"/>
  <c r="K117" i="6"/>
  <c r="J117" i="6" s="1"/>
  <c r="L117" i="6"/>
  <c r="N117" i="6"/>
  <c r="A118" i="6"/>
  <c r="B118" i="6"/>
  <c r="C118" i="6"/>
  <c r="F118" i="6" s="1"/>
  <c r="D118" i="6"/>
  <c r="K118" i="6"/>
  <c r="L118" i="6"/>
  <c r="N118" i="6"/>
  <c r="A119" i="6"/>
  <c r="B119" i="6"/>
  <c r="C119" i="6"/>
  <c r="D119" i="6"/>
  <c r="K119" i="6"/>
  <c r="L119" i="6"/>
  <c r="N119" i="6"/>
  <c r="A120" i="6"/>
  <c r="B120" i="6"/>
  <c r="C120" i="6"/>
  <c r="D120" i="6"/>
  <c r="K120" i="6"/>
  <c r="L120" i="6"/>
  <c r="N120" i="6"/>
  <c r="A121" i="6"/>
  <c r="B121" i="6"/>
  <c r="C121" i="6"/>
  <c r="I121" i="6" s="1"/>
  <c r="D121" i="6"/>
  <c r="K121" i="6"/>
  <c r="L121" i="6"/>
  <c r="N121" i="6"/>
  <c r="A122" i="6"/>
  <c r="B122" i="6"/>
  <c r="C122" i="6"/>
  <c r="I122" i="6" s="1"/>
  <c r="D122" i="6"/>
  <c r="K122" i="6"/>
  <c r="L122" i="6"/>
  <c r="N122" i="6"/>
  <c r="A123" i="6"/>
  <c r="B123" i="6"/>
  <c r="C123" i="6"/>
  <c r="D123" i="6"/>
  <c r="K123" i="6"/>
  <c r="J123" i="6" s="1"/>
  <c r="L123" i="6"/>
  <c r="N123" i="6"/>
  <c r="A124" i="6"/>
  <c r="B124" i="6"/>
  <c r="C124" i="6"/>
  <c r="I124" i="6" s="1"/>
  <c r="D124" i="6"/>
  <c r="K124" i="6"/>
  <c r="M124" i="6" s="1"/>
  <c r="L124" i="6"/>
  <c r="N124" i="6"/>
  <c r="A125" i="6"/>
  <c r="B125" i="6"/>
  <c r="C125" i="6"/>
  <c r="D125" i="6"/>
  <c r="K125" i="6"/>
  <c r="J125" i="6" s="1"/>
  <c r="L125" i="6"/>
  <c r="N125" i="6"/>
  <c r="A126" i="6"/>
  <c r="B126" i="6"/>
  <c r="C126" i="6"/>
  <c r="D126" i="6"/>
  <c r="K126" i="6"/>
  <c r="J126" i="6" s="1"/>
  <c r="L126" i="6"/>
  <c r="N126" i="6"/>
  <c r="A127" i="6"/>
  <c r="B127" i="6"/>
  <c r="C127" i="6"/>
  <c r="F127" i="6" s="1"/>
  <c r="D127" i="6"/>
  <c r="K127" i="6"/>
  <c r="J127" i="6" s="1"/>
  <c r="L127" i="6"/>
  <c r="N127" i="6"/>
  <c r="A128" i="6"/>
  <c r="B128" i="6"/>
  <c r="C128" i="6"/>
  <c r="D128" i="6"/>
  <c r="K128" i="6"/>
  <c r="L128" i="6"/>
  <c r="N128" i="6"/>
  <c r="A129" i="6"/>
  <c r="B129" i="6"/>
  <c r="C129" i="6"/>
  <c r="I129" i="6" s="1"/>
  <c r="D129" i="6"/>
  <c r="K129" i="6"/>
  <c r="J129" i="6" s="1"/>
  <c r="L129" i="6"/>
  <c r="N129" i="6"/>
  <c r="A130" i="6"/>
  <c r="B130" i="6"/>
  <c r="C130" i="6"/>
  <c r="F130" i="6" s="1"/>
  <c r="D130" i="6"/>
  <c r="L130" i="6"/>
  <c r="N130" i="6"/>
  <c r="A131" i="6"/>
  <c r="B131" i="6"/>
  <c r="C131" i="6"/>
  <c r="F131" i="6" s="1"/>
  <c r="D131" i="6"/>
  <c r="L131" i="6"/>
  <c r="N131" i="6"/>
  <c r="A132" i="6"/>
  <c r="B132" i="6"/>
  <c r="C132" i="6"/>
  <c r="P132" i="6" s="1"/>
  <c r="D132" i="6"/>
  <c r="K132" i="6"/>
  <c r="L132" i="6"/>
  <c r="N132" i="6"/>
  <c r="A133" i="6"/>
  <c r="B133" i="6"/>
  <c r="C133" i="6"/>
  <c r="P133" i="6" s="1"/>
  <c r="D133" i="6"/>
  <c r="K133" i="6"/>
  <c r="L133" i="6"/>
  <c r="N133" i="6"/>
  <c r="A134" i="6"/>
  <c r="B134" i="6"/>
  <c r="C134" i="6"/>
  <c r="P134" i="6" s="1"/>
  <c r="D134" i="6"/>
  <c r="K134" i="6"/>
  <c r="L134" i="6"/>
  <c r="N134" i="6"/>
  <c r="A135" i="6"/>
  <c r="B135" i="6"/>
  <c r="C135" i="6"/>
  <c r="D135" i="6"/>
  <c r="K135" i="6"/>
  <c r="L135" i="6"/>
  <c r="N135" i="6"/>
  <c r="A136" i="6"/>
  <c r="B136" i="6"/>
  <c r="C136" i="6"/>
  <c r="I136" i="6" s="1"/>
  <c r="D136" i="6"/>
  <c r="K136" i="6"/>
  <c r="J136" i="6" s="1"/>
  <c r="L136" i="6"/>
  <c r="N136" i="6"/>
  <c r="A137" i="6"/>
  <c r="B137" i="6"/>
  <c r="C137" i="6"/>
  <c r="P137" i="6" s="1"/>
  <c r="D137" i="6"/>
  <c r="K137" i="6"/>
  <c r="L137" i="6"/>
  <c r="N137" i="6"/>
  <c r="A138" i="6"/>
  <c r="B138" i="6"/>
  <c r="C138" i="6"/>
  <c r="D138" i="6"/>
  <c r="K138" i="6"/>
  <c r="J138" i="6" s="1"/>
  <c r="L138" i="6"/>
  <c r="N138" i="6"/>
  <c r="A139" i="6"/>
  <c r="B139" i="6"/>
  <c r="C139" i="6"/>
  <c r="P139" i="6" s="1"/>
  <c r="D139" i="6"/>
  <c r="K139" i="6"/>
  <c r="L139" i="6"/>
  <c r="N139" i="6"/>
  <c r="A140" i="6"/>
  <c r="B140" i="6"/>
  <c r="C140" i="6"/>
  <c r="D140" i="6"/>
  <c r="K140" i="6"/>
  <c r="J140" i="6" s="1"/>
  <c r="L140" i="6"/>
  <c r="N140" i="6"/>
  <c r="A141" i="6"/>
  <c r="B141" i="6"/>
  <c r="C141" i="6"/>
  <c r="F141" i="6" s="1"/>
  <c r="D141" i="6"/>
  <c r="K141" i="6"/>
  <c r="J141" i="6" s="1"/>
  <c r="L141" i="6"/>
  <c r="N141" i="6"/>
  <c r="A142" i="6"/>
  <c r="B142" i="6"/>
  <c r="C142" i="6"/>
  <c r="D142" i="6"/>
  <c r="K142" i="6"/>
  <c r="J142" i="6" s="1"/>
  <c r="L142" i="6"/>
  <c r="N142" i="6"/>
  <c r="A143" i="6"/>
  <c r="B143" i="6"/>
  <c r="C143" i="6"/>
  <c r="F143" i="6" s="1"/>
  <c r="D143" i="6"/>
  <c r="K143" i="6"/>
  <c r="J143" i="6" s="1"/>
  <c r="L143" i="6"/>
  <c r="N143" i="6"/>
  <c r="A144" i="6"/>
  <c r="B144" i="6"/>
  <c r="C144" i="6"/>
  <c r="I144" i="6" s="1"/>
  <c r="D144" i="6"/>
  <c r="K144" i="6"/>
  <c r="L144" i="6"/>
  <c r="N144" i="6"/>
  <c r="A145" i="6"/>
  <c r="B145" i="6"/>
  <c r="C145" i="6"/>
  <c r="I145" i="6" s="1"/>
  <c r="D145" i="6"/>
  <c r="K145" i="6"/>
  <c r="J145" i="6" s="1"/>
  <c r="L145" i="6"/>
  <c r="N145" i="6"/>
  <c r="A146" i="6"/>
  <c r="B146" i="6"/>
  <c r="C146" i="6"/>
  <c r="D146" i="6"/>
  <c r="K146" i="6"/>
  <c r="J146" i="6" s="1"/>
  <c r="L146" i="6"/>
  <c r="N146" i="6"/>
  <c r="A147" i="6"/>
  <c r="B147" i="6"/>
  <c r="C147" i="6"/>
  <c r="I147" i="6" s="1"/>
  <c r="D147" i="6"/>
  <c r="K147" i="6"/>
  <c r="L147" i="6"/>
  <c r="N147" i="6"/>
  <c r="A148" i="6"/>
  <c r="B148" i="6"/>
  <c r="C148" i="6"/>
  <c r="I148" i="6" s="1"/>
  <c r="D148" i="6"/>
  <c r="K148" i="6"/>
  <c r="L148" i="6"/>
  <c r="N148" i="6"/>
  <c r="A149" i="6"/>
  <c r="B149" i="6"/>
  <c r="C149" i="6"/>
  <c r="F149" i="6" s="1"/>
  <c r="D149" i="6"/>
  <c r="K149" i="6"/>
  <c r="J149" i="6" s="1"/>
  <c r="L149" i="6"/>
  <c r="N149" i="6"/>
  <c r="A150" i="6"/>
  <c r="B150" i="6"/>
  <c r="C150" i="6"/>
  <c r="F150" i="6" s="1"/>
  <c r="D150" i="6"/>
  <c r="K150" i="6"/>
  <c r="L150" i="6"/>
  <c r="N150" i="6"/>
  <c r="A151" i="6"/>
  <c r="B151" i="6"/>
  <c r="C151" i="6"/>
  <c r="P151" i="6" s="1"/>
  <c r="D151" i="6"/>
  <c r="K151" i="6"/>
  <c r="L151" i="6"/>
  <c r="N151" i="6"/>
  <c r="A152" i="6"/>
  <c r="B152" i="6"/>
  <c r="C152" i="6"/>
  <c r="D152" i="6"/>
  <c r="L152" i="6"/>
  <c r="N152" i="6"/>
  <c r="A153" i="6"/>
  <c r="B153" i="6"/>
  <c r="C153" i="6"/>
  <c r="P153" i="6" s="1"/>
  <c r="D153" i="6"/>
  <c r="J153" i="6"/>
  <c r="L153" i="6"/>
  <c r="N153" i="6"/>
  <c r="A154" i="6"/>
  <c r="B154" i="6"/>
  <c r="C154" i="6"/>
  <c r="D154" i="6"/>
  <c r="K154" i="6"/>
  <c r="J154" i="6" s="1"/>
  <c r="L154" i="6"/>
  <c r="N154" i="6"/>
  <c r="A155" i="6"/>
  <c r="B155" i="6"/>
  <c r="C155" i="6"/>
  <c r="F155" i="6" s="1"/>
  <c r="D155" i="6"/>
  <c r="K155" i="6"/>
  <c r="L155" i="6"/>
  <c r="N155" i="6"/>
  <c r="A156" i="6"/>
  <c r="B156" i="6"/>
  <c r="C156" i="6"/>
  <c r="D156" i="6"/>
  <c r="K156" i="6"/>
  <c r="L156" i="6"/>
  <c r="N156" i="6"/>
  <c r="A157" i="6"/>
  <c r="B157" i="6"/>
  <c r="C157" i="6"/>
  <c r="F157" i="6" s="1"/>
  <c r="D157" i="6"/>
  <c r="K157" i="6"/>
  <c r="J157" i="6" s="1"/>
  <c r="L157" i="6"/>
  <c r="N157" i="6"/>
  <c r="A158" i="6"/>
  <c r="B158" i="6"/>
  <c r="C158" i="6"/>
  <c r="F158" i="6" s="1"/>
  <c r="D158" i="6"/>
  <c r="K158" i="6"/>
  <c r="L158" i="6"/>
  <c r="N158" i="6"/>
  <c r="A159" i="6"/>
  <c r="B159" i="6"/>
  <c r="C159" i="6"/>
  <c r="I159" i="6" s="1"/>
  <c r="D159" i="6"/>
  <c r="K159" i="6"/>
  <c r="L159" i="6"/>
  <c r="N159" i="6"/>
  <c r="A160" i="6"/>
  <c r="B160" i="6"/>
  <c r="C160" i="6"/>
  <c r="D160" i="6"/>
  <c r="K160" i="6"/>
  <c r="L160" i="6"/>
  <c r="N160" i="6"/>
  <c r="A161" i="6"/>
  <c r="B161" i="6"/>
  <c r="C161" i="6"/>
  <c r="D161" i="6"/>
  <c r="K161" i="6"/>
  <c r="J161" i="6" s="1"/>
  <c r="L161" i="6"/>
  <c r="N161" i="6"/>
  <c r="A162" i="6"/>
  <c r="B162" i="6"/>
  <c r="C162" i="6"/>
  <c r="F162" i="6" s="1"/>
  <c r="D162" i="6"/>
  <c r="K162" i="6"/>
  <c r="L162" i="6"/>
  <c r="N162" i="6"/>
  <c r="A163" i="6"/>
  <c r="B163" i="6"/>
  <c r="C163" i="6"/>
  <c r="I163" i="6" s="1"/>
  <c r="D163" i="6"/>
  <c r="K163" i="6"/>
  <c r="L163" i="6"/>
  <c r="N163" i="6"/>
  <c r="A164" i="6"/>
  <c r="B164" i="6"/>
  <c r="C164" i="6"/>
  <c r="D164" i="6"/>
  <c r="K164" i="6"/>
  <c r="L164" i="6"/>
  <c r="N164" i="6"/>
  <c r="A165" i="6"/>
  <c r="B165" i="6"/>
  <c r="C165" i="6"/>
  <c r="P165" i="6" s="1"/>
  <c r="D165" i="6"/>
  <c r="K165" i="6"/>
  <c r="J165" i="6" s="1"/>
  <c r="L165" i="6"/>
  <c r="N165" i="6"/>
  <c r="A166" i="6"/>
  <c r="B166" i="6"/>
  <c r="C166" i="6"/>
  <c r="D166" i="6"/>
  <c r="K166" i="6"/>
  <c r="L166" i="6"/>
  <c r="N166" i="6"/>
  <c r="A167" i="6"/>
  <c r="B167" i="6"/>
  <c r="C167" i="6"/>
  <c r="F167" i="6" s="1"/>
  <c r="D167" i="6"/>
  <c r="K167" i="6"/>
  <c r="L167" i="6"/>
  <c r="N167" i="6"/>
  <c r="A168" i="6"/>
  <c r="B168" i="6"/>
  <c r="C168" i="6"/>
  <c r="F168" i="6" s="1"/>
  <c r="D168" i="6"/>
  <c r="K168" i="6"/>
  <c r="J168" i="6" s="1"/>
  <c r="L168" i="6"/>
  <c r="N168" i="6"/>
  <c r="A169" i="6"/>
  <c r="B169" i="6"/>
  <c r="C169" i="6"/>
  <c r="D169" i="6"/>
  <c r="K169" i="6"/>
  <c r="J169" i="6" s="1"/>
  <c r="L169" i="6"/>
  <c r="N169" i="6"/>
  <c r="A170" i="6"/>
  <c r="B170" i="6"/>
  <c r="C170" i="6"/>
  <c r="D170" i="6"/>
  <c r="K170" i="6"/>
  <c r="J170" i="6" s="1"/>
  <c r="L170" i="6"/>
  <c r="N170" i="6"/>
  <c r="A171" i="6"/>
  <c r="B171" i="6"/>
  <c r="C171" i="6"/>
  <c r="D171" i="6"/>
  <c r="K171" i="6"/>
  <c r="L171" i="6"/>
  <c r="N171" i="6"/>
  <c r="A172" i="6"/>
  <c r="B172" i="6"/>
  <c r="C172" i="6"/>
  <c r="F172" i="6" s="1"/>
  <c r="D172" i="6"/>
  <c r="K172" i="6"/>
  <c r="J172" i="6" s="1"/>
  <c r="L172" i="6"/>
  <c r="N172" i="6"/>
  <c r="A173" i="6"/>
  <c r="B173" i="6"/>
  <c r="C173" i="6"/>
  <c r="D173" i="6"/>
  <c r="K173" i="6"/>
  <c r="J173" i="6" s="1"/>
  <c r="L173" i="6"/>
  <c r="N173" i="6"/>
  <c r="A174" i="6"/>
  <c r="B174" i="6"/>
  <c r="C174" i="6"/>
  <c r="D174" i="6"/>
  <c r="K174" i="6"/>
  <c r="L174" i="6"/>
  <c r="N174" i="6"/>
  <c r="A175" i="6"/>
  <c r="B175" i="6"/>
  <c r="C175" i="6"/>
  <c r="D175" i="6"/>
  <c r="K175" i="6"/>
  <c r="J175" i="6" s="1"/>
  <c r="L175" i="6"/>
  <c r="N175" i="6"/>
  <c r="A176" i="6"/>
  <c r="B176" i="6"/>
  <c r="C176" i="6"/>
  <c r="D176" i="6"/>
  <c r="K176" i="6"/>
  <c r="L176" i="6"/>
  <c r="N176" i="6"/>
  <c r="A177" i="6"/>
  <c r="B177" i="6"/>
  <c r="C177" i="6"/>
  <c r="D177" i="6"/>
  <c r="K177" i="6"/>
  <c r="L177" i="6"/>
  <c r="N177" i="6"/>
  <c r="A178" i="6"/>
  <c r="B178" i="6"/>
  <c r="C178" i="6"/>
  <c r="D178" i="6"/>
  <c r="K178" i="6"/>
  <c r="L178" i="6"/>
  <c r="N178" i="6"/>
  <c r="A179" i="6"/>
  <c r="B179" i="6"/>
  <c r="C179" i="6"/>
  <c r="D179" i="6"/>
  <c r="K179" i="6"/>
  <c r="J179" i="6" s="1"/>
  <c r="L179" i="6"/>
  <c r="N179" i="6"/>
  <c r="A180" i="6"/>
  <c r="B180" i="6"/>
  <c r="C180" i="6"/>
  <c r="I180" i="6" s="1"/>
  <c r="D180" i="6"/>
  <c r="K180" i="6"/>
  <c r="J180" i="6" s="1"/>
  <c r="L180" i="6"/>
  <c r="N180" i="6"/>
  <c r="A181" i="6"/>
  <c r="B181" i="6"/>
  <c r="C181" i="6"/>
  <c r="D181" i="6"/>
  <c r="K181" i="6"/>
  <c r="L181" i="6"/>
  <c r="N181" i="6"/>
  <c r="A182" i="6"/>
  <c r="B182" i="6"/>
  <c r="C182" i="6"/>
  <c r="D182" i="6"/>
  <c r="J182" i="6"/>
  <c r="L182" i="6"/>
  <c r="N182" i="6"/>
  <c r="A183" i="6"/>
  <c r="B183" i="6"/>
  <c r="C183" i="6"/>
  <c r="P183" i="6" s="1"/>
  <c r="D183" i="6"/>
  <c r="L183" i="6"/>
  <c r="N183" i="6"/>
  <c r="A184" i="6"/>
  <c r="B184" i="6"/>
  <c r="C184" i="6"/>
  <c r="P184" i="6" s="1"/>
  <c r="D184" i="6"/>
  <c r="J184" i="6"/>
  <c r="L184" i="6"/>
  <c r="N184" i="6"/>
  <c r="A185" i="6"/>
  <c r="B185" i="6"/>
  <c r="C185" i="6"/>
  <c r="D185" i="6"/>
  <c r="L185" i="6"/>
  <c r="N185" i="6"/>
  <c r="A186" i="6"/>
  <c r="B186" i="6"/>
  <c r="C186" i="6"/>
  <c r="D186" i="6"/>
  <c r="K186" i="6"/>
  <c r="L186" i="6"/>
  <c r="N186" i="6"/>
  <c r="A187" i="6"/>
  <c r="B187" i="6"/>
  <c r="C187" i="6"/>
  <c r="P187" i="6" s="1"/>
  <c r="D187" i="6"/>
  <c r="K187" i="6"/>
  <c r="L187" i="6"/>
  <c r="N187" i="6"/>
  <c r="A188" i="6"/>
  <c r="B188" i="6"/>
  <c r="C188" i="6"/>
  <c r="P188" i="6" s="1"/>
  <c r="D188" i="6"/>
  <c r="K188" i="6"/>
  <c r="L188" i="6"/>
  <c r="N188" i="6"/>
  <c r="A189" i="6"/>
  <c r="B189" i="6"/>
  <c r="C189" i="6"/>
  <c r="I189" i="6" s="1"/>
  <c r="D189" i="6"/>
  <c r="K189" i="6"/>
  <c r="L189" i="6"/>
  <c r="N189" i="6"/>
  <c r="A190" i="6"/>
  <c r="B190" i="6"/>
  <c r="C190" i="6"/>
  <c r="P190" i="6" s="1"/>
  <c r="D190" i="6"/>
  <c r="K190" i="6"/>
  <c r="J190" i="6" s="1"/>
  <c r="L190" i="6"/>
  <c r="N190" i="6"/>
  <c r="A191" i="6"/>
  <c r="B191" i="6"/>
  <c r="C191" i="6"/>
  <c r="D191" i="6"/>
  <c r="K191" i="6"/>
  <c r="J191" i="6" s="1"/>
  <c r="L191" i="6"/>
  <c r="N191" i="6"/>
  <c r="A192" i="6"/>
  <c r="B192" i="6"/>
  <c r="C192" i="6"/>
  <c r="F192" i="6" s="1"/>
  <c r="D192" i="6"/>
  <c r="K192" i="6"/>
  <c r="L192" i="6"/>
  <c r="N192" i="6"/>
  <c r="A193" i="6"/>
  <c r="B193" i="6"/>
  <c r="C193" i="6"/>
  <c r="P193" i="6" s="1"/>
  <c r="D193" i="6"/>
  <c r="K193" i="6"/>
  <c r="L193" i="6"/>
  <c r="N193" i="6"/>
  <c r="A194" i="6"/>
  <c r="B194" i="6"/>
  <c r="C194" i="6"/>
  <c r="F194" i="6" s="1"/>
  <c r="D194" i="6"/>
  <c r="K194" i="6"/>
  <c r="L194" i="6"/>
  <c r="N194" i="6"/>
  <c r="A195" i="6"/>
  <c r="B195" i="6"/>
  <c r="C195" i="6"/>
  <c r="P195" i="6" s="1"/>
  <c r="D195" i="6"/>
  <c r="K195" i="6"/>
  <c r="J195" i="6" s="1"/>
  <c r="L195" i="6"/>
  <c r="N195" i="6"/>
  <c r="A196" i="6"/>
  <c r="B196" i="6"/>
  <c r="C196" i="6"/>
  <c r="F196" i="6" s="1"/>
  <c r="D196" i="6"/>
  <c r="K196" i="6"/>
  <c r="J196" i="6" s="1"/>
  <c r="L196" i="6"/>
  <c r="N196" i="6"/>
  <c r="A197" i="6"/>
  <c r="B197" i="6"/>
  <c r="C197" i="6"/>
  <c r="D197" i="6"/>
  <c r="L197" i="6"/>
  <c r="N197" i="6"/>
  <c r="A198" i="6"/>
  <c r="B198" i="6"/>
  <c r="C198" i="6"/>
  <c r="D198" i="6"/>
  <c r="J198" i="6"/>
  <c r="L198" i="6"/>
  <c r="N198" i="6"/>
  <c r="A199" i="6"/>
  <c r="B199" i="6"/>
  <c r="C199" i="6"/>
  <c r="D199" i="6"/>
  <c r="K199" i="6"/>
  <c r="L199" i="6"/>
  <c r="N199" i="6"/>
  <c r="A200" i="6"/>
  <c r="B200" i="6"/>
  <c r="C200" i="6"/>
  <c r="I200" i="6" s="1"/>
  <c r="D200" i="6"/>
  <c r="K200" i="6"/>
  <c r="J200" i="6" s="1"/>
  <c r="L200" i="6"/>
  <c r="N200" i="6"/>
  <c r="A201" i="6"/>
  <c r="B201" i="6"/>
  <c r="C201" i="6"/>
  <c r="D201" i="6"/>
  <c r="K201" i="6"/>
  <c r="J201" i="6" s="1"/>
  <c r="L201" i="6"/>
  <c r="N201" i="6"/>
  <c r="A202" i="6"/>
  <c r="B202" i="6"/>
  <c r="C202" i="6"/>
  <c r="P202" i="6" s="1"/>
  <c r="D202" i="6"/>
  <c r="K202" i="6"/>
  <c r="L202" i="6"/>
  <c r="N202" i="6"/>
  <c r="A203" i="6"/>
  <c r="B203" i="6"/>
  <c r="C203" i="6"/>
  <c r="D203" i="6"/>
  <c r="K203" i="6"/>
  <c r="J203" i="6" s="1"/>
  <c r="L203" i="6"/>
  <c r="N203" i="6"/>
  <c r="A204" i="6"/>
  <c r="B204" i="6"/>
  <c r="C204" i="6"/>
  <c r="D204" i="6"/>
  <c r="K204" i="6"/>
  <c r="J204" i="6" s="1"/>
  <c r="L204" i="6"/>
  <c r="N204" i="6"/>
  <c r="A205" i="6"/>
  <c r="B205" i="6"/>
  <c r="C205" i="6"/>
  <c r="D205" i="6"/>
  <c r="K205" i="6"/>
  <c r="L205" i="6"/>
  <c r="N205" i="6"/>
  <c r="A206" i="6"/>
  <c r="B206" i="6"/>
  <c r="C206" i="6"/>
  <c r="P206" i="6" s="1"/>
  <c r="D206" i="6"/>
  <c r="K206" i="6"/>
  <c r="J206" i="6" s="1"/>
  <c r="L206" i="6"/>
  <c r="N206" i="6"/>
  <c r="A207" i="6"/>
  <c r="B207" i="6"/>
  <c r="C207" i="6"/>
  <c r="P207" i="6" s="1"/>
  <c r="D207" i="6"/>
  <c r="K207" i="6"/>
  <c r="J207" i="6" s="1"/>
  <c r="L207" i="6"/>
  <c r="N207" i="6"/>
  <c r="A208" i="6"/>
  <c r="B208" i="6"/>
  <c r="C208" i="6"/>
  <c r="D208" i="6"/>
  <c r="K208" i="6"/>
  <c r="L208" i="6"/>
  <c r="N208" i="6"/>
  <c r="A209" i="6"/>
  <c r="B209" i="6"/>
  <c r="C209" i="6"/>
  <c r="P209" i="6" s="1"/>
  <c r="D209" i="6"/>
  <c r="K209" i="6"/>
  <c r="J209" i="6" s="1"/>
  <c r="L209" i="6"/>
  <c r="N209" i="6"/>
  <c r="A210" i="6"/>
  <c r="B210" i="6"/>
  <c r="C210" i="6"/>
  <c r="D210" i="6"/>
  <c r="K210" i="6"/>
  <c r="L210" i="6"/>
  <c r="N210" i="6"/>
  <c r="A211" i="6"/>
  <c r="B211" i="6"/>
  <c r="C211" i="6"/>
  <c r="F211" i="6" s="1"/>
  <c r="D211" i="6"/>
  <c r="K211" i="6"/>
  <c r="J211" i="6" s="1"/>
  <c r="L211" i="6"/>
  <c r="N211" i="6"/>
  <c r="A212" i="6"/>
  <c r="B212" i="6"/>
  <c r="C212" i="6"/>
  <c r="D212" i="6"/>
  <c r="K212" i="6"/>
  <c r="J212" i="6" s="1"/>
  <c r="L212" i="6"/>
  <c r="N212" i="6"/>
  <c r="A213" i="6"/>
  <c r="B213" i="6"/>
  <c r="C213" i="6"/>
  <c r="D213" i="6"/>
  <c r="K213" i="6"/>
  <c r="J213" i="6" s="1"/>
  <c r="L213" i="6"/>
  <c r="N213" i="6"/>
  <c r="A214" i="6"/>
  <c r="B214" i="6"/>
  <c r="C214" i="6"/>
  <c r="P214" i="6" s="1"/>
  <c r="D214" i="6"/>
  <c r="K214" i="6"/>
  <c r="L214" i="6"/>
  <c r="N214" i="6"/>
  <c r="A215" i="6"/>
  <c r="B215" i="6"/>
  <c r="C215" i="6"/>
  <c r="D215" i="6"/>
  <c r="K215" i="6"/>
  <c r="L215" i="6"/>
  <c r="N215" i="6"/>
  <c r="A216" i="6"/>
  <c r="B216" i="6"/>
  <c r="C216" i="6"/>
  <c r="F216" i="6" s="1"/>
  <c r="D216" i="6"/>
  <c r="K216" i="6"/>
  <c r="J216" i="6" s="1"/>
  <c r="L216" i="6"/>
  <c r="N216" i="6"/>
  <c r="A217" i="6"/>
  <c r="B217" i="6"/>
  <c r="C217" i="6"/>
  <c r="F217" i="6" s="1"/>
  <c r="D217" i="6"/>
  <c r="J217" i="6"/>
  <c r="L217" i="6"/>
  <c r="N217" i="6"/>
  <c r="A218" i="6"/>
  <c r="B218" i="6"/>
  <c r="C218" i="6"/>
  <c r="P218" i="6" s="1"/>
  <c r="D218" i="6"/>
  <c r="L218" i="6"/>
  <c r="N218" i="6"/>
  <c r="A219" i="6"/>
  <c r="B219" i="6"/>
  <c r="C219" i="6"/>
  <c r="F219" i="6" s="1"/>
  <c r="D219" i="6"/>
  <c r="K219" i="6"/>
  <c r="J219" i="6" s="1"/>
  <c r="L219" i="6"/>
  <c r="N219" i="6"/>
  <c r="A220" i="6"/>
  <c r="B220" i="6"/>
  <c r="C220" i="6"/>
  <c r="P220" i="6" s="1"/>
  <c r="D220" i="6"/>
  <c r="K220" i="6"/>
  <c r="L220" i="6"/>
  <c r="N220" i="6"/>
  <c r="A221" i="6"/>
  <c r="B221" i="6"/>
  <c r="C221" i="6"/>
  <c r="I221" i="6" s="1"/>
  <c r="D221" i="6"/>
  <c r="K221" i="6"/>
  <c r="L221" i="6"/>
  <c r="N221" i="6"/>
  <c r="A222" i="6"/>
  <c r="B222" i="6"/>
  <c r="C222" i="6"/>
  <c r="P222" i="6" s="1"/>
  <c r="D222" i="6"/>
  <c r="K222" i="6"/>
  <c r="J222" i="6" s="1"/>
  <c r="L222" i="6"/>
  <c r="N222" i="6"/>
  <c r="A223" i="6"/>
  <c r="B223" i="6"/>
  <c r="C223" i="6"/>
  <c r="D223" i="6"/>
  <c r="K223" i="6"/>
  <c r="J223" i="6" s="1"/>
  <c r="L223" i="6"/>
  <c r="N223" i="6"/>
  <c r="A224" i="6"/>
  <c r="B224" i="6"/>
  <c r="C224" i="6"/>
  <c r="P224" i="6" s="1"/>
  <c r="D224" i="6"/>
  <c r="L224" i="6"/>
  <c r="N224" i="6"/>
  <c r="A225" i="6"/>
  <c r="B225" i="6"/>
  <c r="C225" i="6"/>
  <c r="D225" i="6"/>
  <c r="J225" i="6"/>
  <c r="L225" i="6"/>
  <c r="N225" i="6"/>
  <c r="A226" i="6"/>
  <c r="B226" i="6"/>
  <c r="C226" i="6"/>
  <c r="I226" i="6" s="1"/>
  <c r="D226" i="6"/>
  <c r="K226" i="6"/>
  <c r="J226" i="6" s="1"/>
  <c r="L226" i="6"/>
  <c r="N226" i="6"/>
  <c r="A31" i="8"/>
  <c r="B31" i="8"/>
  <c r="C31" i="8"/>
  <c r="D31" i="8"/>
  <c r="G31" i="8"/>
  <c r="O31" i="6" s="1"/>
  <c r="A32" i="8"/>
  <c r="B32" i="8"/>
  <c r="C32" i="8"/>
  <c r="D32" i="8"/>
  <c r="L32" i="8" s="1"/>
  <c r="G32" i="8"/>
  <c r="O32" i="6" s="1"/>
  <c r="A33" i="8"/>
  <c r="B33" i="8"/>
  <c r="C33" i="8"/>
  <c r="D33" i="8"/>
  <c r="G33" i="8"/>
  <c r="O33" i="6" s="1"/>
  <c r="A34" i="8"/>
  <c r="B34" i="8"/>
  <c r="C34" i="8"/>
  <c r="D34" i="8"/>
  <c r="G34" i="8"/>
  <c r="O34" i="6" s="1"/>
  <c r="A35" i="8"/>
  <c r="B35" i="8"/>
  <c r="C35" i="8"/>
  <c r="D35" i="8"/>
  <c r="G35" i="8"/>
  <c r="O35" i="6" s="1"/>
  <c r="A36" i="8"/>
  <c r="B36" i="8"/>
  <c r="C36" i="8"/>
  <c r="D36" i="8"/>
  <c r="G36" i="8"/>
  <c r="O36" i="6" s="1"/>
  <c r="A37" i="8"/>
  <c r="B37" i="8"/>
  <c r="C37" i="8"/>
  <c r="D37" i="8"/>
  <c r="G37" i="8"/>
  <c r="O37" i="6" s="1"/>
  <c r="A38" i="8"/>
  <c r="B38" i="8"/>
  <c r="C38" i="8"/>
  <c r="D38" i="8"/>
  <c r="G38" i="8"/>
  <c r="O38" i="6" s="1"/>
  <c r="A39" i="8"/>
  <c r="B39" i="8"/>
  <c r="C39" i="8"/>
  <c r="D39" i="8"/>
  <c r="G39" i="8"/>
  <c r="O39" i="6" s="1"/>
  <c r="A40" i="8"/>
  <c r="B40" i="8"/>
  <c r="C40" i="8"/>
  <c r="D40" i="8"/>
  <c r="G40" i="8"/>
  <c r="O40" i="6" s="1"/>
  <c r="A41" i="8"/>
  <c r="B41" i="8"/>
  <c r="C41" i="8"/>
  <c r="D41" i="8"/>
  <c r="G41" i="8"/>
  <c r="O41" i="6" s="1"/>
  <c r="A42" i="8"/>
  <c r="B42" i="8"/>
  <c r="C42" i="8"/>
  <c r="D42" i="8"/>
  <c r="G42" i="8"/>
  <c r="O42" i="6" s="1"/>
  <c r="A43" i="8"/>
  <c r="B43" i="8"/>
  <c r="C43" i="8"/>
  <c r="D43" i="8"/>
  <c r="G43" i="8"/>
  <c r="O43" i="6" s="1"/>
  <c r="A44" i="8"/>
  <c r="B44" i="8"/>
  <c r="C44" i="8"/>
  <c r="D44" i="8"/>
  <c r="G44" i="8"/>
  <c r="O44" i="6" s="1"/>
  <c r="A45" i="8"/>
  <c r="B45" i="8"/>
  <c r="C45" i="8"/>
  <c r="D45" i="8"/>
  <c r="G45" i="8"/>
  <c r="O45" i="6" s="1"/>
  <c r="A46" i="8"/>
  <c r="L46" i="8" s="1"/>
  <c r="B46" i="8"/>
  <c r="C46" i="8"/>
  <c r="D46" i="8"/>
  <c r="G46" i="8"/>
  <c r="O46" i="6" s="1"/>
  <c r="A47" i="8"/>
  <c r="B47" i="8"/>
  <c r="C47" i="8"/>
  <c r="D47" i="8"/>
  <c r="G47" i="8"/>
  <c r="O47" i="6" s="1"/>
  <c r="A48" i="8"/>
  <c r="B48" i="8"/>
  <c r="C48" i="8"/>
  <c r="D48" i="8"/>
  <c r="G48" i="8"/>
  <c r="O48" i="6" s="1"/>
  <c r="A49" i="8"/>
  <c r="B49" i="8"/>
  <c r="C49" i="8"/>
  <c r="D49" i="8"/>
  <c r="G49" i="8"/>
  <c r="O49" i="6" s="1"/>
  <c r="A50" i="8"/>
  <c r="B50" i="8"/>
  <c r="C50" i="8"/>
  <c r="D50" i="8"/>
  <c r="L50" i="8" s="1"/>
  <c r="G50" i="8"/>
  <c r="O50" i="6" s="1"/>
  <c r="A51" i="8"/>
  <c r="B51" i="8"/>
  <c r="C51" i="8"/>
  <c r="D51" i="8"/>
  <c r="G51" i="8"/>
  <c r="O51" i="6" s="1"/>
  <c r="A52" i="8"/>
  <c r="B52" i="8"/>
  <c r="C52" i="8"/>
  <c r="D52" i="8"/>
  <c r="G52" i="8"/>
  <c r="O52" i="6" s="1"/>
  <c r="A53" i="8"/>
  <c r="B53" i="8"/>
  <c r="C53" i="8"/>
  <c r="D53" i="8"/>
  <c r="G53" i="8"/>
  <c r="O53" i="6" s="1"/>
  <c r="A54" i="8"/>
  <c r="B54" i="8"/>
  <c r="C54" i="8"/>
  <c r="D54" i="8"/>
  <c r="G54" i="8"/>
  <c r="O54" i="6" s="1"/>
  <c r="A55" i="8"/>
  <c r="B55" i="8"/>
  <c r="C55" i="8"/>
  <c r="D55" i="8"/>
  <c r="G55" i="8"/>
  <c r="O55" i="6" s="1"/>
  <c r="A56" i="8"/>
  <c r="B56" i="8"/>
  <c r="C56" i="8"/>
  <c r="D56" i="8"/>
  <c r="G56" i="8"/>
  <c r="O56" i="6" s="1"/>
  <c r="A57" i="8"/>
  <c r="B57" i="8"/>
  <c r="C57" i="8"/>
  <c r="D57" i="8"/>
  <c r="G57" i="8"/>
  <c r="O57" i="6" s="1"/>
  <c r="A58" i="8"/>
  <c r="B58" i="8"/>
  <c r="C58" i="8"/>
  <c r="D58" i="8"/>
  <c r="G58" i="8"/>
  <c r="O58" i="6" s="1"/>
  <c r="A59" i="8"/>
  <c r="B59" i="8"/>
  <c r="C59" i="8"/>
  <c r="D59" i="8"/>
  <c r="G59" i="8"/>
  <c r="O59" i="6" s="1"/>
  <c r="A60" i="8"/>
  <c r="B60" i="8"/>
  <c r="C60" i="8"/>
  <c r="D60" i="8"/>
  <c r="G60" i="8"/>
  <c r="O60" i="6" s="1"/>
  <c r="A61" i="8"/>
  <c r="B61" i="8"/>
  <c r="C61" i="8"/>
  <c r="D61" i="8"/>
  <c r="G61" i="8"/>
  <c r="O61" i="6" s="1"/>
  <c r="A62" i="8"/>
  <c r="B62" i="8"/>
  <c r="C62" i="8"/>
  <c r="D62" i="8"/>
  <c r="G62" i="8"/>
  <c r="O62" i="6" s="1"/>
  <c r="A63" i="8"/>
  <c r="B63" i="8"/>
  <c r="C63" i="8"/>
  <c r="D63" i="8"/>
  <c r="G63" i="8"/>
  <c r="O63" i="6" s="1"/>
  <c r="A64" i="8"/>
  <c r="L64" i="8" s="1"/>
  <c r="B64" i="8"/>
  <c r="C64" i="8"/>
  <c r="D64" i="8"/>
  <c r="G64" i="8"/>
  <c r="O64" i="6" s="1"/>
  <c r="A65" i="8"/>
  <c r="B65" i="8"/>
  <c r="C65" i="8"/>
  <c r="D65" i="8"/>
  <c r="G65" i="8"/>
  <c r="O65" i="6" s="1"/>
  <c r="A66" i="8"/>
  <c r="B66" i="8"/>
  <c r="C66" i="8"/>
  <c r="D66" i="8"/>
  <c r="G66" i="8"/>
  <c r="O66" i="6" s="1"/>
  <c r="A67" i="8"/>
  <c r="B67" i="8"/>
  <c r="C67" i="8"/>
  <c r="D67" i="8"/>
  <c r="G67" i="8"/>
  <c r="O67" i="6" s="1"/>
  <c r="A68" i="8"/>
  <c r="B68" i="8"/>
  <c r="C68" i="8"/>
  <c r="D68" i="8"/>
  <c r="G68" i="8"/>
  <c r="O68" i="6" s="1"/>
  <c r="A69" i="8"/>
  <c r="B69" i="8"/>
  <c r="C69" i="8"/>
  <c r="D69" i="8"/>
  <c r="G69" i="8"/>
  <c r="O69" i="6" s="1"/>
  <c r="A70" i="8"/>
  <c r="B70" i="8"/>
  <c r="C70" i="8"/>
  <c r="D70" i="8"/>
  <c r="G70" i="8"/>
  <c r="O70" i="6" s="1"/>
  <c r="A71" i="8"/>
  <c r="B71" i="8"/>
  <c r="C71" i="8"/>
  <c r="D71" i="8"/>
  <c r="G71" i="8"/>
  <c r="O71" i="6" s="1"/>
  <c r="A72" i="8"/>
  <c r="B72" i="8"/>
  <c r="C72" i="8"/>
  <c r="D72" i="8"/>
  <c r="G72" i="8"/>
  <c r="O72" i="6" s="1"/>
  <c r="A73" i="8"/>
  <c r="B73" i="8"/>
  <c r="C73" i="8"/>
  <c r="D73" i="8"/>
  <c r="G73" i="8"/>
  <c r="O73" i="6" s="1"/>
  <c r="A74" i="8"/>
  <c r="B74" i="8"/>
  <c r="C74" i="8"/>
  <c r="D74" i="8"/>
  <c r="G74" i="8"/>
  <c r="O74" i="6" s="1"/>
  <c r="A75" i="8"/>
  <c r="B75" i="8"/>
  <c r="C75" i="8"/>
  <c r="D75" i="8"/>
  <c r="G75" i="8"/>
  <c r="O75" i="6" s="1"/>
  <c r="A76" i="8"/>
  <c r="B76" i="8"/>
  <c r="C76" i="8"/>
  <c r="D76" i="8"/>
  <c r="G76" i="8"/>
  <c r="O76" i="6" s="1"/>
  <c r="A77" i="8"/>
  <c r="B77" i="8"/>
  <c r="C77" i="8"/>
  <c r="D77" i="8"/>
  <c r="G77" i="8"/>
  <c r="O77" i="6" s="1"/>
  <c r="A78" i="8"/>
  <c r="B78" i="8"/>
  <c r="C78" i="8"/>
  <c r="D78" i="8"/>
  <c r="G78" i="8"/>
  <c r="O78" i="6" s="1"/>
  <c r="A79" i="8"/>
  <c r="B79" i="8"/>
  <c r="C79" i="8"/>
  <c r="D79" i="8"/>
  <c r="G79" i="8"/>
  <c r="O79" i="6" s="1"/>
  <c r="A80" i="8"/>
  <c r="B80" i="8"/>
  <c r="C80" i="8"/>
  <c r="D80" i="8"/>
  <c r="G80" i="8"/>
  <c r="O80" i="6" s="1"/>
  <c r="A81" i="8"/>
  <c r="B81" i="8"/>
  <c r="C81" i="8"/>
  <c r="D81" i="8"/>
  <c r="G81" i="8"/>
  <c r="O81" i="6" s="1"/>
  <c r="A82" i="8"/>
  <c r="L82" i="8" s="1"/>
  <c r="B82" i="8"/>
  <c r="C82" i="8"/>
  <c r="D82" i="8"/>
  <c r="G82" i="8"/>
  <c r="O82" i="6" s="1"/>
  <c r="A83" i="8"/>
  <c r="B83" i="8"/>
  <c r="C83" i="8"/>
  <c r="D83" i="8"/>
  <c r="G83" i="8"/>
  <c r="O83" i="6" s="1"/>
  <c r="A84" i="8"/>
  <c r="B84" i="8"/>
  <c r="C84" i="8"/>
  <c r="D84" i="8"/>
  <c r="G84" i="8"/>
  <c r="O84" i="6" s="1"/>
  <c r="A85" i="8"/>
  <c r="B85" i="8"/>
  <c r="C85" i="8"/>
  <c r="D85" i="8"/>
  <c r="G85" i="8"/>
  <c r="O85" i="6" s="1"/>
  <c r="A86" i="8"/>
  <c r="B86" i="8"/>
  <c r="C86" i="8"/>
  <c r="D86" i="8"/>
  <c r="G86" i="8"/>
  <c r="O86" i="6" s="1"/>
  <c r="A87" i="8"/>
  <c r="B87" i="8"/>
  <c r="C87" i="8"/>
  <c r="D87" i="8"/>
  <c r="G87" i="8"/>
  <c r="O87" i="6" s="1"/>
  <c r="A88" i="8"/>
  <c r="B88" i="8"/>
  <c r="C88" i="8"/>
  <c r="D88" i="8"/>
  <c r="G88" i="8"/>
  <c r="O88" i="6" s="1"/>
  <c r="A89" i="8"/>
  <c r="B89" i="8"/>
  <c r="C89" i="8"/>
  <c r="D89" i="8"/>
  <c r="G89" i="8"/>
  <c r="O89" i="6" s="1"/>
  <c r="A90" i="8"/>
  <c r="B90" i="8"/>
  <c r="C90" i="8"/>
  <c r="D90" i="8"/>
  <c r="G90" i="8"/>
  <c r="O90" i="6" s="1"/>
  <c r="A91" i="8"/>
  <c r="B91" i="8"/>
  <c r="C91" i="8"/>
  <c r="D91" i="8"/>
  <c r="G91" i="8"/>
  <c r="O91" i="6" s="1"/>
  <c r="A92" i="8"/>
  <c r="B92" i="8"/>
  <c r="C92" i="8"/>
  <c r="D92" i="8"/>
  <c r="G92" i="8"/>
  <c r="O92" i="6" s="1"/>
  <c r="A93" i="8"/>
  <c r="B93" i="8"/>
  <c r="C93" i="8"/>
  <c r="D93" i="8"/>
  <c r="G93" i="8"/>
  <c r="O93" i="6" s="1"/>
  <c r="A94" i="8"/>
  <c r="B94" i="8"/>
  <c r="C94" i="8"/>
  <c r="D94" i="8"/>
  <c r="G94" i="8"/>
  <c r="O94" i="6" s="1"/>
  <c r="A95" i="8"/>
  <c r="B95" i="8"/>
  <c r="C95" i="8"/>
  <c r="D95" i="8"/>
  <c r="G95" i="8"/>
  <c r="O95" i="6" s="1"/>
  <c r="A96" i="8"/>
  <c r="B96" i="8"/>
  <c r="C96" i="8"/>
  <c r="D96" i="8"/>
  <c r="G96" i="8"/>
  <c r="O96" i="6" s="1"/>
  <c r="A97" i="8"/>
  <c r="B97" i="8"/>
  <c r="C97" i="8"/>
  <c r="D97" i="8"/>
  <c r="G97" i="8"/>
  <c r="O97" i="6" s="1"/>
  <c r="A98" i="8"/>
  <c r="B98" i="8"/>
  <c r="C98" i="8"/>
  <c r="D98" i="8"/>
  <c r="G98" i="8"/>
  <c r="O98" i="6" s="1"/>
  <c r="A99" i="8"/>
  <c r="B99" i="8"/>
  <c r="C99" i="8"/>
  <c r="D99" i="8"/>
  <c r="G99" i="8"/>
  <c r="O99" i="6" s="1"/>
  <c r="A100" i="8"/>
  <c r="L100" i="8" s="1"/>
  <c r="B100" i="8"/>
  <c r="C100" i="8"/>
  <c r="D100" i="8"/>
  <c r="G100" i="8"/>
  <c r="O100" i="6" s="1"/>
  <c r="A101" i="8"/>
  <c r="B101" i="8"/>
  <c r="C101" i="8"/>
  <c r="D101" i="8"/>
  <c r="G101" i="8"/>
  <c r="O101" i="6" s="1"/>
  <c r="A102" i="8"/>
  <c r="B102" i="8"/>
  <c r="C102" i="8"/>
  <c r="D102" i="8"/>
  <c r="G102" i="8"/>
  <c r="O102" i="6" s="1"/>
  <c r="A103" i="8"/>
  <c r="B103" i="8"/>
  <c r="C103" i="8"/>
  <c r="D103" i="8"/>
  <c r="G103" i="8"/>
  <c r="O103" i="6" s="1"/>
  <c r="A104" i="8"/>
  <c r="B104" i="8"/>
  <c r="C104" i="8"/>
  <c r="D104" i="8"/>
  <c r="G104" i="8"/>
  <c r="O104" i="6" s="1"/>
  <c r="A105" i="8"/>
  <c r="B105" i="8"/>
  <c r="C105" i="8"/>
  <c r="D105" i="8"/>
  <c r="G105" i="8"/>
  <c r="O105" i="6" s="1"/>
  <c r="A106" i="8"/>
  <c r="B106" i="8"/>
  <c r="C106" i="8"/>
  <c r="D106" i="8"/>
  <c r="G106" i="8"/>
  <c r="O106" i="6" s="1"/>
  <c r="A107" i="8"/>
  <c r="B107" i="8"/>
  <c r="C107" i="8"/>
  <c r="D107" i="8"/>
  <c r="G107" i="8"/>
  <c r="O107" i="6" s="1"/>
  <c r="A108" i="8"/>
  <c r="B108" i="8"/>
  <c r="C108" i="8"/>
  <c r="D108" i="8"/>
  <c r="G108" i="8"/>
  <c r="O108" i="6" s="1"/>
  <c r="A109" i="8"/>
  <c r="B109" i="8"/>
  <c r="C109" i="8"/>
  <c r="D109" i="8"/>
  <c r="G109" i="8"/>
  <c r="O109" i="6" s="1"/>
  <c r="A110" i="8"/>
  <c r="B110" i="8"/>
  <c r="C110" i="8"/>
  <c r="D110" i="8"/>
  <c r="G110" i="8"/>
  <c r="O110" i="6" s="1"/>
  <c r="A111" i="8"/>
  <c r="B111" i="8"/>
  <c r="C111" i="8"/>
  <c r="D111" i="8"/>
  <c r="G111" i="8"/>
  <c r="O111" i="6" s="1"/>
  <c r="A112" i="8"/>
  <c r="B112" i="8"/>
  <c r="C112" i="8"/>
  <c r="D112" i="8"/>
  <c r="G112" i="8"/>
  <c r="O112" i="6" s="1"/>
  <c r="A113" i="8"/>
  <c r="B113" i="8"/>
  <c r="C113" i="8"/>
  <c r="D113" i="8"/>
  <c r="G113" i="8"/>
  <c r="O113" i="6" s="1"/>
  <c r="A114" i="8"/>
  <c r="B114" i="8"/>
  <c r="C114" i="8"/>
  <c r="D114" i="8"/>
  <c r="G114" i="8"/>
  <c r="O114" i="6" s="1"/>
  <c r="A115" i="8"/>
  <c r="B115" i="8"/>
  <c r="C115" i="8"/>
  <c r="D115" i="8"/>
  <c r="G115" i="8"/>
  <c r="O115" i="6" s="1"/>
  <c r="A116" i="8"/>
  <c r="B116" i="8"/>
  <c r="C116" i="8"/>
  <c r="D116" i="8"/>
  <c r="G116" i="8"/>
  <c r="O116" i="6" s="1"/>
  <c r="A117" i="8"/>
  <c r="B117" i="8"/>
  <c r="C117" i="8"/>
  <c r="D117" i="8"/>
  <c r="G117" i="8"/>
  <c r="O117" i="6" s="1"/>
  <c r="A118" i="8"/>
  <c r="L118" i="8" s="1"/>
  <c r="B118" i="8"/>
  <c r="C118" i="8"/>
  <c r="D118" i="8"/>
  <c r="G118" i="8"/>
  <c r="O118" i="6" s="1"/>
  <c r="A119" i="8"/>
  <c r="B119" i="8"/>
  <c r="C119" i="8"/>
  <c r="D119" i="8"/>
  <c r="G119" i="8"/>
  <c r="O119" i="6" s="1"/>
  <c r="A120" i="8"/>
  <c r="B120" i="8"/>
  <c r="C120" i="8"/>
  <c r="D120" i="8"/>
  <c r="G120" i="8"/>
  <c r="O120" i="6" s="1"/>
  <c r="A121" i="8"/>
  <c r="B121" i="8"/>
  <c r="C121" i="8"/>
  <c r="D121" i="8"/>
  <c r="G121" i="8"/>
  <c r="O121" i="6" s="1"/>
  <c r="A122" i="8"/>
  <c r="B122" i="8"/>
  <c r="C122" i="8"/>
  <c r="D122" i="8"/>
  <c r="G122" i="8"/>
  <c r="O122" i="6" s="1"/>
  <c r="A123" i="8"/>
  <c r="B123" i="8"/>
  <c r="C123" i="8"/>
  <c r="D123" i="8"/>
  <c r="G123" i="8"/>
  <c r="O123" i="6" s="1"/>
  <c r="A124" i="8"/>
  <c r="B124" i="8"/>
  <c r="C124" i="8"/>
  <c r="D124" i="8"/>
  <c r="G124" i="8"/>
  <c r="O124" i="6" s="1"/>
  <c r="A125" i="8"/>
  <c r="B125" i="8"/>
  <c r="C125" i="8"/>
  <c r="D125" i="8"/>
  <c r="G125" i="8"/>
  <c r="O125" i="6" s="1"/>
  <c r="A126" i="8"/>
  <c r="B126" i="8"/>
  <c r="C126" i="8"/>
  <c r="D126" i="8"/>
  <c r="G126" i="8"/>
  <c r="O126" i="6" s="1"/>
  <c r="A127" i="8"/>
  <c r="B127" i="8"/>
  <c r="C127" i="8"/>
  <c r="D127" i="8"/>
  <c r="G127" i="8"/>
  <c r="O127" i="6" s="1"/>
  <c r="A128" i="8"/>
  <c r="B128" i="8"/>
  <c r="C128" i="8"/>
  <c r="D128" i="8"/>
  <c r="G128" i="8"/>
  <c r="O128" i="6" s="1"/>
  <c r="A129" i="8"/>
  <c r="B129" i="8"/>
  <c r="C129" i="8"/>
  <c r="D129" i="8"/>
  <c r="G129" i="8"/>
  <c r="O129" i="6" s="1"/>
  <c r="A130" i="8"/>
  <c r="B130" i="8"/>
  <c r="C130" i="8"/>
  <c r="D130" i="8"/>
  <c r="G130" i="8"/>
  <c r="O130" i="6" s="1"/>
  <c r="A131" i="8"/>
  <c r="B131" i="8"/>
  <c r="C131" i="8"/>
  <c r="D131" i="8"/>
  <c r="G131" i="8"/>
  <c r="O131" i="6" s="1"/>
  <c r="A132" i="8"/>
  <c r="B132" i="8"/>
  <c r="C132" i="8"/>
  <c r="D132" i="8"/>
  <c r="G132" i="8"/>
  <c r="O132" i="6" s="1"/>
  <c r="A133" i="8"/>
  <c r="B133" i="8"/>
  <c r="C133" i="8"/>
  <c r="D133" i="8"/>
  <c r="G133" i="8"/>
  <c r="O133" i="6" s="1"/>
  <c r="A134" i="8"/>
  <c r="B134" i="8"/>
  <c r="C134" i="8"/>
  <c r="D134" i="8"/>
  <c r="G134" i="8"/>
  <c r="O134" i="6" s="1"/>
  <c r="A135" i="8"/>
  <c r="B135" i="8"/>
  <c r="C135" i="8"/>
  <c r="D135" i="8"/>
  <c r="G135" i="8"/>
  <c r="O135" i="6" s="1"/>
  <c r="A136" i="8"/>
  <c r="L136" i="8" s="1"/>
  <c r="B136" i="8"/>
  <c r="C136" i="8"/>
  <c r="D136" i="8"/>
  <c r="G136" i="8"/>
  <c r="O136" i="6" s="1"/>
  <c r="A137" i="8"/>
  <c r="B137" i="8"/>
  <c r="C137" i="8"/>
  <c r="D137" i="8"/>
  <c r="G137" i="8"/>
  <c r="O137" i="6" s="1"/>
  <c r="A138" i="8"/>
  <c r="B138" i="8"/>
  <c r="C138" i="8"/>
  <c r="D138" i="8"/>
  <c r="G138" i="8"/>
  <c r="O138" i="6" s="1"/>
  <c r="A139" i="8"/>
  <c r="B139" i="8"/>
  <c r="C139" i="8"/>
  <c r="D139" i="8"/>
  <c r="G139" i="8"/>
  <c r="O139" i="6" s="1"/>
  <c r="A140" i="8"/>
  <c r="B140" i="8"/>
  <c r="C140" i="8"/>
  <c r="D140" i="8"/>
  <c r="G140" i="8"/>
  <c r="O140" i="6" s="1"/>
  <c r="A141" i="8"/>
  <c r="B141" i="8"/>
  <c r="C141" i="8"/>
  <c r="D141" i="8"/>
  <c r="G141" i="8"/>
  <c r="O141" i="6" s="1"/>
  <c r="A142" i="8"/>
  <c r="B142" i="8"/>
  <c r="C142" i="8"/>
  <c r="D142" i="8"/>
  <c r="G142" i="8"/>
  <c r="O142" i="6" s="1"/>
  <c r="A143" i="8"/>
  <c r="B143" i="8"/>
  <c r="C143" i="8"/>
  <c r="D143" i="8"/>
  <c r="G143" i="8"/>
  <c r="O143" i="6" s="1"/>
  <c r="A144" i="8"/>
  <c r="B144" i="8"/>
  <c r="C144" i="8"/>
  <c r="D144" i="8"/>
  <c r="G144" i="8"/>
  <c r="O144" i="6" s="1"/>
  <c r="A145" i="8"/>
  <c r="B145" i="8"/>
  <c r="C145" i="8"/>
  <c r="D145" i="8"/>
  <c r="G145" i="8"/>
  <c r="O145" i="6" s="1"/>
  <c r="A146" i="8"/>
  <c r="B146" i="8"/>
  <c r="C146" i="8"/>
  <c r="D146" i="8"/>
  <c r="G146" i="8"/>
  <c r="O146" i="6" s="1"/>
  <c r="A147" i="8"/>
  <c r="B147" i="8"/>
  <c r="C147" i="8"/>
  <c r="D147" i="8"/>
  <c r="G147" i="8"/>
  <c r="O147" i="6" s="1"/>
  <c r="A148" i="8"/>
  <c r="B148" i="8"/>
  <c r="C148" i="8"/>
  <c r="D148" i="8"/>
  <c r="G148" i="8"/>
  <c r="O148" i="6" s="1"/>
  <c r="A149" i="8"/>
  <c r="B149" i="8"/>
  <c r="C149" i="8"/>
  <c r="D149" i="8"/>
  <c r="G149" i="8"/>
  <c r="O149" i="6" s="1"/>
  <c r="A150" i="8"/>
  <c r="B150" i="8"/>
  <c r="C150" i="8"/>
  <c r="D150" i="8"/>
  <c r="G150" i="8"/>
  <c r="O150" i="6" s="1"/>
  <c r="A151" i="8"/>
  <c r="B151" i="8"/>
  <c r="C151" i="8"/>
  <c r="D151" i="8"/>
  <c r="G151" i="8"/>
  <c r="O151" i="6" s="1"/>
  <c r="A152" i="8"/>
  <c r="B152" i="8"/>
  <c r="C152" i="8"/>
  <c r="D152" i="8"/>
  <c r="G152" i="8"/>
  <c r="O152" i="6" s="1"/>
  <c r="A153" i="8"/>
  <c r="B153" i="8"/>
  <c r="C153" i="8"/>
  <c r="D153" i="8"/>
  <c r="G153" i="8"/>
  <c r="O153" i="6" s="1"/>
  <c r="A154" i="8"/>
  <c r="L154" i="8" s="1"/>
  <c r="B154" i="8"/>
  <c r="C154" i="8"/>
  <c r="D154" i="8"/>
  <c r="G154" i="8"/>
  <c r="O154" i="6" s="1"/>
  <c r="A155" i="8"/>
  <c r="B155" i="8"/>
  <c r="C155" i="8"/>
  <c r="D155" i="8"/>
  <c r="G155" i="8"/>
  <c r="O155" i="6" s="1"/>
  <c r="A156" i="8"/>
  <c r="B156" i="8"/>
  <c r="C156" i="8"/>
  <c r="D156" i="8"/>
  <c r="G156" i="8"/>
  <c r="O156" i="6" s="1"/>
  <c r="A157" i="8"/>
  <c r="B157" i="8"/>
  <c r="C157" i="8"/>
  <c r="D157" i="8"/>
  <c r="G157" i="8"/>
  <c r="O157" i="6" s="1"/>
  <c r="A158" i="8"/>
  <c r="B158" i="8"/>
  <c r="C158" i="8"/>
  <c r="D158" i="8"/>
  <c r="G158" i="8"/>
  <c r="O158" i="6" s="1"/>
  <c r="A159" i="8"/>
  <c r="B159" i="8"/>
  <c r="C159" i="8"/>
  <c r="D159" i="8"/>
  <c r="G159" i="8"/>
  <c r="O159" i="6" s="1"/>
  <c r="A160" i="8"/>
  <c r="B160" i="8"/>
  <c r="C160" i="8"/>
  <c r="D160" i="8"/>
  <c r="G160" i="8"/>
  <c r="O160" i="6" s="1"/>
  <c r="A161" i="8"/>
  <c r="B161" i="8"/>
  <c r="C161" i="8"/>
  <c r="D161" i="8"/>
  <c r="G161" i="8"/>
  <c r="O161" i="6" s="1"/>
  <c r="A162" i="8"/>
  <c r="B162" i="8"/>
  <c r="C162" i="8"/>
  <c r="D162" i="8"/>
  <c r="G162" i="8"/>
  <c r="O162" i="6" s="1"/>
  <c r="A163" i="8"/>
  <c r="B163" i="8"/>
  <c r="C163" i="8"/>
  <c r="D163" i="8"/>
  <c r="G163" i="8"/>
  <c r="O163" i="6" s="1"/>
  <c r="A164" i="8"/>
  <c r="B164" i="8"/>
  <c r="C164" i="8"/>
  <c r="D164" i="8"/>
  <c r="G164" i="8"/>
  <c r="O164" i="6" s="1"/>
  <c r="A165" i="8"/>
  <c r="B165" i="8"/>
  <c r="C165" i="8"/>
  <c r="D165" i="8"/>
  <c r="G165" i="8"/>
  <c r="O165" i="6" s="1"/>
  <c r="A166" i="8"/>
  <c r="B166" i="8"/>
  <c r="C166" i="8"/>
  <c r="D166" i="8"/>
  <c r="G166" i="8"/>
  <c r="O166" i="6" s="1"/>
  <c r="A167" i="8"/>
  <c r="B167" i="8"/>
  <c r="C167" i="8"/>
  <c r="D167" i="8"/>
  <c r="G167" i="8"/>
  <c r="O167" i="6" s="1"/>
  <c r="A168" i="8"/>
  <c r="B168" i="8"/>
  <c r="C168" i="8"/>
  <c r="D168" i="8"/>
  <c r="G168" i="8"/>
  <c r="O168" i="6" s="1"/>
  <c r="A169" i="8"/>
  <c r="B169" i="8"/>
  <c r="C169" i="8"/>
  <c r="D169" i="8"/>
  <c r="G169" i="8"/>
  <c r="O169" i="6" s="1"/>
  <c r="A170" i="8"/>
  <c r="B170" i="8"/>
  <c r="C170" i="8"/>
  <c r="D170" i="8"/>
  <c r="G170" i="8"/>
  <c r="O170" i="6" s="1"/>
  <c r="A171" i="8"/>
  <c r="B171" i="8"/>
  <c r="C171" i="8"/>
  <c r="D171" i="8"/>
  <c r="G171" i="8"/>
  <c r="O171" i="6" s="1"/>
  <c r="A172" i="8"/>
  <c r="L172" i="8" s="1"/>
  <c r="B172" i="8"/>
  <c r="C172" i="8"/>
  <c r="D172" i="8"/>
  <c r="G172" i="8"/>
  <c r="O172" i="6" s="1"/>
  <c r="A173" i="8"/>
  <c r="B173" i="8"/>
  <c r="C173" i="8"/>
  <c r="D173" i="8"/>
  <c r="G173" i="8"/>
  <c r="O173" i="6" s="1"/>
  <c r="A174" i="8"/>
  <c r="B174" i="8"/>
  <c r="C174" i="8"/>
  <c r="D174" i="8"/>
  <c r="G174" i="8"/>
  <c r="O174" i="6" s="1"/>
  <c r="A175" i="8"/>
  <c r="B175" i="8"/>
  <c r="C175" i="8"/>
  <c r="D175" i="8"/>
  <c r="G175" i="8"/>
  <c r="O175" i="6" s="1"/>
  <c r="A176" i="8"/>
  <c r="B176" i="8"/>
  <c r="C176" i="8"/>
  <c r="D176" i="8"/>
  <c r="G176" i="8"/>
  <c r="O176" i="6" s="1"/>
  <c r="A177" i="8"/>
  <c r="B177" i="8"/>
  <c r="C177" i="8"/>
  <c r="D177" i="8"/>
  <c r="G177" i="8"/>
  <c r="O177" i="6" s="1"/>
  <c r="A178" i="8"/>
  <c r="B178" i="8"/>
  <c r="C178" i="8"/>
  <c r="D178" i="8"/>
  <c r="G178" i="8"/>
  <c r="O178" i="6" s="1"/>
  <c r="A179" i="8"/>
  <c r="B179" i="8"/>
  <c r="C179" i="8"/>
  <c r="D179" i="8"/>
  <c r="G179" i="8"/>
  <c r="O179" i="6" s="1"/>
  <c r="A180" i="8"/>
  <c r="B180" i="8"/>
  <c r="C180" i="8"/>
  <c r="D180" i="8"/>
  <c r="G180" i="8"/>
  <c r="O180" i="6" s="1"/>
  <c r="A181" i="8"/>
  <c r="B181" i="8"/>
  <c r="C181" i="8"/>
  <c r="D181" i="8"/>
  <c r="G181" i="8"/>
  <c r="O181" i="6" s="1"/>
  <c r="A182" i="8"/>
  <c r="B182" i="8"/>
  <c r="C182" i="8"/>
  <c r="D182" i="8"/>
  <c r="G182" i="8"/>
  <c r="O182" i="6" s="1"/>
  <c r="A183" i="8"/>
  <c r="B183" i="8"/>
  <c r="C183" i="8"/>
  <c r="D183" i="8"/>
  <c r="G183" i="8"/>
  <c r="O183" i="6" s="1"/>
  <c r="A184" i="8"/>
  <c r="B184" i="8"/>
  <c r="C184" i="8"/>
  <c r="D184" i="8"/>
  <c r="G184" i="8"/>
  <c r="O184" i="6" s="1"/>
  <c r="A185" i="8"/>
  <c r="B185" i="8"/>
  <c r="C185" i="8"/>
  <c r="D185" i="8"/>
  <c r="G185" i="8"/>
  <c r="O185" i="6" s="1"/>
  <c r="A186" i="8"/>
  <c r="B186" i="8"/>
  <c r="C186" i="8"/>
  <c r="D186" i="8"/>
  <c r="G186" i="8"/>
  <c r="O186" i="6" s="1"/>
  <c r="A187" i="8"/>
  <c r="B187" i="8"/>
  <c r="C187" i="8"/>
  <c r="D187" i="8"/>
  <c r="G187" i="8"/>
  <c r="O187" i="6" s="1"/>
  <c r="A188" i="8"/>
  <c r="B188" i="8"/>
  <c r="C188" i="8"/>
  <c r="D188" i="8"/>
  <c r="G188" i="8"/>
  <c r="O188" i="6" s="1"/>
  <c r="A189" i="8"/>
  <c r="B189" i="8"/>
  <c r="C189" i="8"/>
  <c r="D189" i="8"/>
  <c r="G189" i="8"/>
  <c r="O189" i="6" s="1"/>
  <c r="A190" i="8"/>
  <c r="L190" i="8" s="1"/>
  <c r="B190" i="8"/>
  <c r="C190" i="8"/>
  <c r="D190" i="8"/>
  <c r="G190" i="8"/>
  <c r="O190" i="6" s="1"/>
  <c r="A191" i="8"/>
  <c r="B191" i="8"/>
  <c r="C191" i="8"/>
  <c r="D191" i="8"/>
  <c r="G191" i="8"/>
  <c r="O191" i="6" s="1"/>
  <c r="A192" i="8"/>
  <c r="B192" i="8"/>
  <c r="C192" i="8"/>
  <c r="D192" i="8"/>
  <c r="G192" i="8"/>
  <c r="O192" i="6" s="1"/>
  <c r="A193" i="8"/>
  <c r="B193" i="8"/>
  <c r="C193" i="8"/>
  <c r="D193" i="8"/>
  <c r="G193" i="8"/>
  <c r="O193" i="6" s="1"/>
  <c r="A194" i="8"/>
  <c r="B194" i="8"/>
  <c r="C194" i="8"/>
  <c r="D194" i="8"/>
  <c r="G194" i="8"/>
  <c r="O194" i="6" s="1"/>
  <c r="A195" i="8"/>
  <c r="B195" i="8"/>
  <c r="C195" i="8"/>
  <c r="D195" i="8"/>
  <c r="G195" i="8"/>
  <c r="O195" i="6" s="1"/>
  <c r="A196" i="8"/>
  <c r="B196" i="8"/>
  <c r="C196" i="8"/>
  <c r="D196" i="8"/>
  <c r="G196" i="8"/>
  <c r="O196" i="6" s="1"/>
  <c r="A197" i="8"/>
  <c r="B197" i="8"/>
  <c r="C197" i="8"/>
  <c r="D197" i="8"/>
  <c r="G197" i="8"/>
  <c r="O197" i="6" s="1"/>
  <c r="A198" i="8"/>
  <c r="B198" i="8"/>
  <c r="C198" i="8"/>
  <c r="D198" i="8"/>
  <c r="G198" i="8"/>
  <c r="O198" i="6" s="1"/>
  <c r="A199" i="8"/>
  <c r="B199" i="8"/>
  <c r="C199" i="8"/>
  <c r="D199" i="8"/>
  <c r="G199" i="8"/>
  <c r="O199" i="6" s="1"/>
  <c r="A200" i="8"/>
  <c r="B200" i="8"/>
  <c r="C200" i="8"/>
  <c r="D200" i="8"/>
  <c r="G200" i="8"/>
  <c r="O200" i="6" s="1"/>
  <c r="A201" i="8"/>
  <c r="B201" i="8"/>
  <c r="C201" i="8"/>
  <c r="D201" i="8"/>
  <c r="G201" i="8"/>
  <c r="O201" i="6" s="1"/>
  <c r="A202" i="8"/>
  <c r="B202" i="8"/>
  <c r="C202" i="8"/>
  <c r="D202" i="8"/>
  <c r="G202" i="8"/>
  <c r="O202" i="6" s="1"/>
  <c r="A203" i="8"/>
  <c r="B203" i="8"/>
  <c r="C203" i="8"/>
  <c r="D203" i="8"/>
  <c r="G203" i="8"/>
  <c r="O203" i="6" s="1"/>
  <c r="A204" i="8"/>
  <c r="B204" i="8"/>
  <c r="C204" i="8"/>
  <c r="D204" i="8"/>
  <c r="G204" i="8"/>
  <c r="O204" i="6" s="1"/>
  <c r="A205" i="8"/>
  <c r="B205" i="8"/>
  <c r="C205" i="8"/>
  <c r="D205" i="8"/>
  <c r="G205" i="8"/>
  <c r="O205" i="6" s="1"/>
  <c r="A206" i="8"/>
  <c r="B206" i="8"/>
  <c r="C206" i="8"/>
  <c r="D206" i="8"/>
  <c r="G206" i="8"/>
  <c r="O206" i="6" s="1"/>
  <c r="A207" i="8"/>
  <c r="B207" i="8"/>
  <c r="C207" i="8"/>
  <c r="D207" i="8"/>
  <c r="G207" i="8"/>
  <c r="O207" i="6" s="1"/>
  <c r="A208" i="8"/>
  <c r="L208" i="8" s="1"/>
  <c r="B208" i="8"/>
  <c r="C208" i="8"/>
  <c r="D208" i="8"/>
  <c r="G208" i="8"/>
  <c r="O208" i="6" s="1"/>
  <c r="A209" i="8"/>
  <c r="B209" i="8"/>
  <c r="C209" i="8"/>
  <c r="D209" i="8"/>
  <c r="G209" i="8"/>
  <c r="O209" i="6" s="1"/>
  <c r="A210" i="8"/>
  <c r="B210" i="8"/>
  <c r="C210" i="8"/>
  <c r="D210" i="8"/>
  <c r="G210" i="8"/>
  <c r="O210" i="6" s="1"/>
  <c r="A211" i="8"/>
  <c r="B211" i="8"/>
  <c r="C211" i="8"/>
  <c r="D211" i="8"/>
  <c r="G211" i="8"/>
  <c r="O211" i="6" s="1"/>
  <c r="A212" i="8"/>
  <c r="B212" i="8"/>
  <c r="C212" i="8"/>
  <c r="D212" i="8"/>
  <c r="G212" i="8"/>
  <c r="O212" i="6" s="1"/>
  <c r="A213" i="8"/>
  <c r="B213" i="8"/>
  <c r="C213" i="8"/>
  <c r="D213" i="8"/>
  <c r="G213" i="8"/>
  <c r="O213" i="6" s="1"/>
  <c r="A214" i="8"/>
  <c r="B214" i="8"/>
  <c r="C214" i="8"/>
  <c r="D214" i="8"/>
  <c r="G214" i="8"/>
  <c r="O214" i="6" s="1"/>
  <c r="A215" i="8"/>
  <c r="B215" i="8"/>
  <c r="C215" i="8"/>
  <c r="D215" i="8"/>
  <c r="G215" i="8"/>
  <c r="O215" i="6" s="1"/>
  <c r="A216" i="8"/>
  <c r="B216" i="8"/>
  <c r="C216" i="8"/>
  <c r="D216" i="8"/>
  <c r="G216" i="8"/>
  <c r="O216" i="6" s="1"/>
  <c r="A217" i="8"/>
  <c r="B217" i="8"/>
  <c r="C217" i="8"/>
  <c r="D217" i="8"/>
  <c r="G217" i="8"/>
  <c r="O217" i="6" s="1"/>
  <c r="A218" i="8"/>
  <c r="B218" i="8"/>
  <c r="C218" i="8"/>
  <c r="D218" i="8"/>
  <c r="G218" i="8"/>
  <c r="O218" i="6" s="1"/>
  <c r="A219" i="8"/>
  <c r="B219" i="8"/>
  <c r="C219" i="8"/>
  <c r="D219" i="8"/>
  <c r="G219" i="8"/>
  <c r="O219" i="6" s="1"/>
  <c r="A220" i="8"/>
  <c r="B220" i="8"/>
  <c r="C220" i="8"/>
  <c r="D220" i="8"/>
  <c r="G220" i="8"/>
  <c r="O220" i="6" s="1"/>
  <c r="A221" i="8"/>
  <c r="B221" i="8"/>
  <c r="C221" i="8"/>
  <c r="D221" i="8"/>
  <c r="G221" i="8"/>
  <c r="A222" i="8"/>
  <c r="B222" i="8"/>
  <c r="C222" i="8"/>
  <c r="D222" i="8"/>
  <c r="G222" i="8"/>
  <c r="O222" i="6" s="1"/>
  <c r="A223" i="8"/>
  <c r="B223" i="8"/>
  <c r="C223" i="8"/>
  <c r="D223" i="8"/>
  <c r="G223" i="8"/>
  <c r="O223" i="6" s="1"/>
  <c r="A224" i="8"/>
  <c r="B224" i="8"/>
  <c r="C224" i="8"/>
  <c r="D224" i="8"/>
  <c r="G224" i="8"/>
  <c r="O224" i="6" s="1"/>
  <c r="A225" i="8"/>
  <c r="B225" i="8"/>
  <c r="C225" i="8"/>
  <c r="D225" i="8"/>
  <c r="G225" i="8"/>
  <c r="O225" i="6" s="1"/>
  <c r="A226" i="8"/>
  <c r="B226" i="8"/>
  <c r="C226" i="8"/>
  <c r="D226" i="8"/>
  <c r="G226" i="8"/>
  <c r="O226" i="6" s="1"/>
  <c r="A227" i="8"/>
  <c r="B227" i="8"/>
  <c r="C227" i="8"/>
  <c r="D227" i="8"/>
  <c r="G227" i="8"/>
  <c r="O227" i="6" s="1"/>
  <c r="A228" i="8"/>
  <c r="B228" i="8"/>
  <c r="C228" i="8"/>
  <c r="D228" i="8"/>
  <c r="G228" i="8"/>
  <c r="O228" i="6" s="1"/>
  <c r="A229" i="8"/>
  <c r="B229" i="8"/>
  <c r="C229" i="8"/>
  <c r="D229" i="8"/>
  <c r="G229" i="8"/>
  <c r="O229" i="6" s="1"/>
  <c r="A230" i="8"/>
  <c r="B230" i="8"/>
  <c r="C230" i="8"/>
  <c r="D230" i="8"/>
  <c r="G230" i="8"/>
  <c r="O230" i="6" s="1"/>
  <c r="A231" i="8"/>
  <c r="B231" i="8"/>
  <c r="C231" i="8"/>
  <c r="D231" i="8"/>
  <c r="G231" i="8"/>
  <c r="O231" i="6" s="1"/>
  <c r="A232" i="8"/>
  <c r="B232" i="8"/>
  <c r="C232" i="8"/>
  <c r="D232" i="8"/>
  <c r="G232" i="8"/>
  <c r="O232" i="6" s="1"/>
  <c r="A233" i="8"/>
  <c r="B233" i="8"/>
  <c r="C233" i="8"/>
  <c r="D233" i="8"/>
  <c r="G233" i="8"/>
  <c r="O233" i="6" s="1"/>
  <c r="A234" i="8"/>
  <c r="B234" i="8"/>
  <c r="C234" i="8"/>
  <c r="D234" i="8"/>
  <c r="G234" i="8"/>
  <c r="O234" i="6" s="1"/>
  <c r="A235" i="8"/>
  <c r="B235" i="8"/>
  <c r="C235" i="8"/>
  <c r="D235" i="8"/>
  <c r="G235" i="8"/>
  <c r="O235" i="6" s="1"/>
  <c r="A236" i="8"/>
  <c r="B236" i="8"/>
  <c r="C236" i="8"/>
  <c r="D236" i="8"/>
  <c r="G236" i="8"/>
  <c r="O236" i="6" s="1"/>
  <c r="A237" i="8"/>
  <c r="B237" i="8"/>
  <c r="C237" i="8"/>
  <c r="D237" i="8"/>
  <c r="G237" i="8"/>
  <c r="O237" i="6" s="1"/>
  <c r="A238" i="8"/>
  <c r="B238" i="8"/>
  <c r="C238" i="8"/>
  <c r="D238" i="8"/>
  <c r="G238" i="8"/>
  <c r="O238" i="6" s="1"/>
  <c r="A239" i="8"/>
  <c r="B239" i="8"/>
  <c r="C239" i="8"/>
  <c r="D239" i="8"/>
  <c r="G239" i="8"/>
  <c r="O239" i="6" s="1"/>
  <c r="A240" i="8"/>
  <c r="B240" i="8"/>
  <c r="C240" i="8"/>
  <c r="D240" i="8"/>
  <c r="G240" i="8"/>
  <c r="O240" i="6" s="1"/>
  <c r="A241" i="8"/>
  <c r="B241" i="8"/>
  <c r="C241" i="8"/>
  <c r="D241" i="8"/>
  <c r="G241" i="8"/>
  <c r="O241" i="6" s="1"/>
  <c r="A242" i="8"/>
  <c r="B242" i="8"/>
  <c r="C242" i="8"/>
  <c r="D242" i="8"/>
  <c r="G242" i="8"/>
  <c r="O242" i="6" s="1"/>
  <c r="A243" i="8"/>
  <c r="B243" i="8"/>
  <c r="C243" i="8"/>
  <c r="D243" i="8"/>
  <c r="G243" i="8"/>
  <c r="O243" i="6" s="1"/>
  <c r="A244" i="8"/>
  <c r="L244" i="8" s="1"/>
  <c r="B244" i="8"/>
  <c r="D244" i="8"/>
  <c r="G244" i="8"/>
  <c r="O244" i="6" s="1"/>
  <c r="A245" i="8"/>
  <c r="B245" i="8"/>
  <c r="C245" i="8"/>
  <c r="D245" i="8"/>
  <c r="G245" i="8"/>
  <c r="O245" i="6" s="1"/>
  <c r="A246" i="8"/>
  <c r="B246" i="8"/>
  <c r="C246" i="8"/>
  <c r="D246" i="8"/>
  <c r="G246" i="8"/>
  <c r="O246" i="6" s="1"/>
  <c r="A247" i="8"/>
  <c r="B247" i="8"/>
  <c r="C247" i="8"/>
  <c r="D247" i="8"/>
  <c r="G247" i="8"/>
  <c r="O247" i="6" s="1"/>
  <c r="A248" i="8"/>
  <c r="B248" i="8"/>
  <c r="C248" i="8"/>
  <c r="D248" i="8"/>
  <c r="G248" i="8"/>
  <c r="O248" i="6" s="1"/>
  <c r="A249" i="8"/>
  <c r="B249" i="8"/>
  <c r="C249" i="8"/>
  <c r="D249" i="8"/>
  <c r="G249" i="8"/>
  <c r="O249" i="6" s="1"/>
  <c r="A250" i="8"/>
  <c r="B250" i="8"/>
  <c r="C250" i="8"/>
  <c r="D250" i="8"/>
  <c r="G250" i="8"/>
  <c r="O250" i="6" s="1"/>
  <c r="A251" i="8"/>
  <c r="B251" i="8"/>
  <c r="D251" i="8"/>
  <c r="G251" i="8"/>
  <c r="O251" i="6" s="1"/>
  <c r="A252" i="8"/>
  <c r="B252" i="8"/>
  <c r="C252" i="8"/>
  <c r="D252" i="8"/>
  <c r="G252" i="8"/>
  <c r="O252" i="6" s="1"/>
  <c r="A253" i="8"/>
  <c r="B253" i="8"/>
  <c r="C253" i="8"/>
  <c r="D253" i="8"/>
  <c r="G253" i="8"/>
  <c r="O253" i="6" s="1"/>
  <c r="A254" i="8"/>
  <c r="B254" i="8"/>
  <c r="C254" i="8"/>
  <c r="D254" i="8"/>
  <c r="G254" i="8"/>
  <c r="O254" i="6" s="1"/>
  <c r="A255" i="8"/>
  <c r="B255" i="8"/>
  <c r="C255" i="8"/>
  <c r="D255" i="8"/>
  <c r="G255" i="8"/>
  <c r="O255" i="6" s="1"/>
  <c r="A256" i="8"/>
  <c r="B256" i="8"/>
  <c r="C256" i="8"/>
  <c r="D256" i="8"/>
  <c r="G256" i="8"/>
  <c r="O256" i="6" s="1"/>
  <c r="A257" i="8"/>
  <c r="B257" i="8"/>
  <c r="C257" i="8"/>
  <c r="D257" i="8"/>
  <c r="G257" i="8"/>
  <c r="O257" i="6" s="1"/>
  <c r="A258" i="8"/>
  <c r="B258" i="8"/>
  <c r="C258" i="8"/>
  <c r="D258" i="8"/>
  <c r="G258" i="8"/>
  <c r="O258" i="6" s="1"/>
  <c r="A259" i="8"/>
  <c r="B259" i="8"/>
  <c r="C259" i="8"/>
  <c r="D259" i="8"/>
  <c r="G259" i="8"/>
  <c r="O259" i="6" s="1"/>
  <c r="A260" i="8"/>
  <c r="B260" i="8"/>
  <c r="C260" i="8"/>
  <c r="D260" i="8"/>
  <c r="G260" i="8"/>
  <c r="O260" i="6" s="1"/>
  <c r="A261" i="8"/>
  <c r="B261" i="8"/>
  <c r="C261" i="8"/>
  <c r="D261" i="8"/>
  <c r="G261" i="8"/>
  <c r="O261" i="6" s="1"/>
  <c r="A262" i="8"/>
  <c r="B262" i="8"/>
  <c r="C262" i="8"/>
  <c r="D262" i="8"/>
  <c r="G262" i="8"/>
  <c r="O262" i="6" s="1"/>
  <c r="A263" i="8"/>
  <c r="B263" i="8"/>
  <c r="C263" i="8"/>
  <c r="D263" i="8"/>
  <c r="G263" i="8"/>
  <c r="O263" i="6" s="1"/>
  <c r="A264" i="8"/>
  <c r="B264" i="8"/>
  <c r="C264" i="8"/>
  <c r="D264" i="8"/>
  <c r="G264" i="8"/>
  <c r="O264" i="6" s="1"/>
  <c r="A265" i="8"/>
  <c r="B265" i="8"/>
  <c r="C265" i="8"/>
  <c r="D265" i="8"/>
  <c r="G265" i="8"/>
  <c r="O265" i="6" s="1"/>
  <c r="A266" i="8"/>
  <c r="B266" i="8"/>
  <c r="C266" i="8"/>
  <c r="D266" i="8"/>
  <c r="G266" i="8"/>
  <c r="O266" i="6" s="1"/>
  <c r="A267" i="8"/>
  <c r="B267" i="8"/>
  <c r="C267" i="8"/>
  <c r="D267" i="8"/>
  <c r="G267" i="8"/>
  <c r="O267" i="6" s="1"/>
  <c r="A268" i="8"/>
  <c r="B268" i="8"/>
  <c r="C268" i="8"/>
  <c r="D268" i="8"/>
  <c r="G268" i="8"/>
  <c r="O268" i="6" s="1"/>
  <c r="A269" i="8"/>
  <c r="B269" i="8"/>
  <c r="C269" i="8"/>
  <c r="D269" i="8"/>
  <c r="G269" i="8"/>
  <c r="O269" i="6" s="1"/>
  <c r="A270" i="8"/>
  <c r="B270" i="8"/>
  <c r="C270" i="8"/>
  <c r="D270" i="8"/>
  <c r="G270" i="8"/>
  <c r="O270" i="6" s="1"/>
  <c r="A271" i="8"/>
  <c r="B271" i="8"/>
  <c r="C271" i="8"/>
  <c r="D271" i="8"/>
  <c r="G271" i="8"/>
  <c r="O271" i="6" s="1"/>
  <c r="A272" i="8"/>
  <c r="B272" i="8"/>
  <c r="C272" i="8"/>
  <c r="D272" i="8"/>
  <c r="G272" i="8"/>
  <c r="O272" i="6" s="1"/>
  <c r="A273" i="8"/>
  <c r="B273" i="8"/>
  <c r="C273" i="8"/>
  <c r="D273" i="8"/>
  <c r="G273" i="8"/>
  <c r="O273" i="6" s="1"/>
  <c r="A274" i="8"/>
  <c r="B274" i="8"/>
  <c r="C274" i="8"/>
  <c r="D274" i="8"/>
  <c r="G274" i="8"/>
  <c r="O274" i="6" s="1"/>
  <c r="A275" i="8"/>
  <c r="B275" i="8"/>
  <c r="C275" i="8"/>
  <c r="D275" i="8"/>
  <c r="G275" i="8"/>
  <c r="O275" i="6" s="1"/>
  <c r="A276" i="8"/>
  <c r="B276" i="8"/>
  <c r="C276" i="8"/>
  <c r="D276" i="8"/>
  <c r="G276" i="8"/>
  <c r="O276" i="6" s="1"/>
  <c r="A277" i="8"/>
  <c r="B277" i="8"/>
  <c r="C277" i="8"/>
  <c r="D277" i="8"/>
  <c r="G277" i="8"/>
  <c r="O277" i="6" s="1"/>
  <c r="A278" i="8"/>
  <c r="B278" i="8"/>
  <c r="C278" i="8"/>
  <c r="D278" i="8"/>
  <c r="G278" i="8"/>
  <c r="O278" i="6" s="1"/>
  <c r="A279" i="8"/>
  <c r="B279" i="8"/>
  <c r="C279" i="8"/>
  <c r="D279" i="8"/>
  <c r="G279" i="8"/>
  <c r="O279" i="6" s="1"/>
  <c r="A280" i="8"/>
  <c r="B280" i="8"/>
  <c r="C280" i="8"/>
  <c r="D280" i="8"/>
  <c r="G280" i="8"/>
  <c r="O280" i="6" s="1"/>
  <c r="A281" i="8"/>
  <c r="B281" i="8"/>
  <c r="C281" i="8"/>
  <c r="D281" i="8"/>
  <c r="G281" i="8"/>
  <c r="O281" i="6" s="1"/>
  <c r="A282" i="8"/>
  <c r="B282" i="8"/>
  <c r="C282" i="8"/>
  <c r="D282" i="8"/>
  <c r="G282" i="8"/>
  <c r="O282" i="6" s="1"/>
  <c r="A283" i="8"/>
  <c r="B283" i="8"/>
  <c r="C283" i="8"/>
  <c r="D283" i="8"/>
  <c r="G283" i="8"/>
  <c r="O283" i="6" s="1"/>
  <c r="A284" i="8"/>
  <c r="B284" i="8"/>
  <c r="C284" i="8"/>
  <c r="D284" i="8"/>
  <c r="G284" i="8"/>
  <c r="O284" i="6" s="1"/>
  <c r="A285" i="8"/>
  <c r="B285" i="8"/>
  <c r="C285" i="8"/>
  <c r="D285" i="8"/>
  <c r="G285" i="8"/>
  <c r="O285" i="6" s="1"/>
  <c r="A286" i="8"/>
  <c r="B286" i="8"/>
  <c r="C286" i="8"/>
  <c r="D286" i="8"/>
  <c r="G286" i="8"/>
  <c r="O286" i="6" s="1"/>
  <c r="A287" i="8"/>
  <c r="B287" i="8"/>
  <c r="C287" i="8"/>
  <c r="D287" i="8"/>
  <c r="G287" i="8"/>
  <c r="O287" i="6" s="1"/>
  <c r="A288" i="8"/>
  <c r="B288" i="8"/>
  <c r="C288" i="8"/>
  <c r="D288" i="8"/>
  <c r="G288" i="8"/>
  <c r="O288" i="6" s="1"/>
  <c r="A289" i="8"/>
  <c r="B289" i="8"/>
  <c r="C289" i="8"/>
  <c r="D289" i="8"/>
  <c r="G289" i="8"/>
  <c r="O289" i="6" s="1"/>
  <c r="A290" i="8"/>
  <c r="B290" i="8"/>
  <c r="C290" i="8"/>
  <c r="D290" i="8"/>
  <c r="G290" i="8"/>
  <c r="O290" i="6" s="1"/>
  <c r="A291" i="8"/>
  <c r="B291" i="8"/>
  <c r="C291" i="8"/>
  <c r="D291" i="8"/>
  <c r="G291" i="8"/>
  <c r="O291" i="6" s="1"/>
  <c r="A292" i="8"/>
  <c r="B292" i="8"/>
  <c r="C292" i="8"/>
  <c r="D292" i="8"/>
  <c r="G292" i="8"/>
  <c r="O292" i="6" s="1"/>
  <c r="A293" i="8"/>
  <c r="B293" i="8"/>
  <c r="C293" i="8"/>
  <c r="D293" i="8"/>
  <c r="G293" i="8"/>
  <c r="O293" i="6" s="1"/>
  <c r="A294" i="8"/>
  <c r="B294" i="8"/>
  <c r="C294" i="8"/>
  <c r="D294" i="8"/>
  <c r="G294" i="8"/>
  <c r="O294" i="6" s="1"/>
  <c r="A295" i="8"/>
  <c r="B295" i="8"/>
  <c r="C295" i="8"/>
  <c r="D295" i="8"/>
  <c r="G295" i="8"/>
  <c r="O295" i="6" s="1"/>
  <c r="A296" i="8"/>
  <c r="B296" i="8"/>
  <c r="C296" i="8"/>
  <c r="D296" i="8"/>
  <c r="G296" i="8"/>
  <c r="O296" i="6" s="1"/>
  <c r="A297" i="8"/>
  <c r="B297" i="8"/>
  <c r="C297" i="8"/>
  <c r="D297" i="8"/>
  <c r="G297" i="8"/>
  <c r="O297" i="6" s="1"/>
  <c r="A298" i="8"/>
  <c r="B298" i="8"/>
  <c r="C298" i="8"/>
  <c r="D298" i="8"/>
  <c r="G298" i="8"/>
  <c r="O298" i="6" s="1"/>
  <c r="A299" i="8"/>
  <c r="B299" i="8"/>
  <c r="C299" i="8"/>
  <c r="D299" i="8"/>
  <c r="G299" i="8"/>
  <c r="O299" i="6" s="1"/>
  <c r="A300" i="8"/>
  <c r="B300" i="8"/>
  <c r="C300" i="8"/>
  <c r="D300" i="8"/>
  <c r="G300" i="8"/>
  <c r="O300" i="6" s="1"/>
  <c r="A301" i="8"/>
  <c r="B301" i="8"/>
  <c r="C301" i="8"/>
  <c r="D301" i="8"/>
  <c r="G301" i="8"/>
  <c r="O301" i="6" s="1"/>
  <c r="A302" i="8"/>
  <c r="B302" i="8"/>
  <c r="C302" i="8"/>
  <c r="D302" i="8"/>
  <c r="G302" i="8"/>
  <c r="O302" i="6" s="1"/>
  <c r="A303" i="8"/>
  <c r="B303" i="8"/>
  <c r="C303" i="8"/>
  <c r="D303" i="8"/>
  <c r="G303" i="8"/>
  <c r="O303" i="6" s="1"/>
  <c r="A304" i="8"/>
  <c r="B304" i="8"/>
  <c r="C304" i="8"/>
  <c r="D304" i="8"/>
  <c r="G304" i="8"/>
  <c r="O304" i="6" s="1"/>
  <c r="A305" i="8"/>
  <c r="B305" i="8"/>
  <c r="C305" i="8"/>
  <c r="D305" i="8"/>
  <c r="G305" i="8"/>
  <c r="O305" i="6" s="1"/>
  <c r="A306" i="8"/>
  <c r="B306" i="8"/>
  <c r="C306" i="8"/>
  <c r="D306" i="8"/>
  <c r="G306" i="8"/>
  <c r="O306" i="6" s="1"/>
  <c r="A307" i="8"/>
  <c r="B307" i="8"/>
  <c r="C307" i="8"/>
  <c r="D307" i="8"/>
  <c r="G307" i="8"/>
  <c r="O307" i="6" s="1"/>
  <c r="A308" i="8"/>
  <c r="B308" i="8"/>
  <c r="C308" i="8"/>
  <c r="D308" i="8"/>
  <c r="G308" i="8"/>
  <c r="O308" i="6" s="1"/>
  <c r="A309" i="8"/>
  <c r="B309" i="8"/>
  <c r="C309" i="8"/>
  <c r="D309" i="8"/>
  <c r="G309" i="8"/>
  <c r="O309" i="6" s="1"/>
  <c r="A310" i="8"/>
  <c r="B310" i="8"/>
  <c r="C310" i="8"/>
  <c r="D310" i="8"/>
  <c r="G310" i="8"/>
  <c r="O310" i="6" s="1"/>
  <c r="A311" i="8"/>
  <c r="B311" i="8"/>
  <c r="C311" i="8"/>
  <c r="D311" i="8"/>
  <c r="G311" i="8"/>
  <c r="O311" i="6" s="1"/>
  <c r="A312" i="8"/>
  <c r="B312" i="8"/>
  <c r="C312" i="8"/>
  <c r="D312" i="8"/>
  <c r="G312" i="8"/>
  <c r="O312" i="6" s="1"/>
  <c r="A313" i="8"/>
  <c r="B313" i="8"/>
  <c r="C313" i="8"/>
  <c r="D313" i="8"/>
  <c r="G313" i="8"/>
  <c r="O313" i="6" s="1"/>
  <c r="A314" i="8"/>
  <c r="B314" i="8"/>
  <c r="C314" i="8"/>
  <c r="D314" i="8"/>
  <c r="G314" i="8"/>
  <c r="O314" i="6" s="1"/>
  <c r="A315" i="8"/>
  <c r="B315" i="8"/>
  <c r="C315" i="8"/>
  <c r="D315" i="8"/>
  <c r="G315" i="8"/>
  <c r="O315" i="6" s="1"/>
  <c r="A316" i="8"/>
  <c r="B316" i="8"/>
  <c r="C316" i="8"/>
  <c r="D316" i="8"/>
  <c r="G316" i="8"/>
  <c r="O316" i="6" s="1"/>
  <c r="A317" i="8"/>
  <c r="B317" i="8"/>
  <c r="C317" i="8"/>
  <c r="D317" i="8"/>
  <c r="G317" i="8"/>
  <c r="O317" i="6" s="1"/>
  <c r="A318" i="8"/>
  <c r="B318" i="8"/>
  <c r="C318" i="8"/>
  <c r="D318" i="8"/>
  <c r="G318" i="8"/>
  <c r="O318" i="6" s="1"/>
  <c r="A319" i="8"/>
  <c r="B319" i="8"/>
  <c r="C319" i="8"/>
  <c r="D319" i="8"/>
  <c r="G319" i="8"/>
  <c r="A320" i="8"/>
  <c r="B320" i="8"/>
  <c r="C320" i="8"/>
  <c r="D320" i="8"/>
  <c r="G320" i="8"/>
  <c r="O320" i="6" s="1"/>
  <c r="A321" i="8"/>
  <c r="B321" i="8"/>
  <c r="C321" i="8"/>
  <c r="D321" i="8"/>
  <c r="G321" i="8"/>
  <c r="O321" i="6" s="1"/>
  <c r="A322" i="8"/>
  <c r="B322" i="8"/>
  <c r="C322" i="8"/>
  <c r="D322" i="8"/>
  <c r="G322" i="8"/>
  <c r="O322" i="6" s="1"/>
  <c r="A323" i="8"/>
  <c r="B323" i="8"/>
  <c r="C323" i="8"/>
  <c r="D323" i="8"/>
  <c r="G323" i="8"/>
  <c r="O323" i="6" s="1"/>
  <c r="A324" i="8"/>
  <c r="B324" i="8"/>
  <c r="C324" i="8"/>
  <c r="D324" i="8"/>
  <c r="G324" i="8"/>
  <c r="O324" i="6" s="1"/>
  <c r="A325" i="8"/>
  <c r="B325" i="8"/>
  <c r="C325" i="8"/>
  <c r="D325" i="8"/>
  <c r="G325" i="8"/>
  <c r="O325" i="6" s="1"/>
  <c r="A326" i="8"/>
  <c r="B326" i="8"/>
  <c r="C326" i="8"/>
  <c r="D326" i="8"/>
  <c r="G326" i="8"/>
  <c r="O326" i="6" s="1"/>
  <c r="A327" i="8"/>
  <c r="B327" i="8"/>
  <c r="C327" i="8"/>
  <c r="D327" i="8"/>
  <c r="G327" i="8"/>
  <c r="O327" i="6" s="1"/>
  <c r="A328" i="8"/>
  <c r="B328" i="8"/>
  <c r="C328" i="8"/>
  <c r="D328" i="8"/>
  <c r="G328" i="8"/>
  <c r="O328" i="6" s="1"/>
  <c r="A329" i="8"/>
  <c r="B329" i="8"/>
  <c r="C329" i="8"/>
  <c r="D329" i="8"/>
  <c r="G329" i="8"/>
  <c r="O329" i="6" s="1"/>
  <c r="A330" i="8"/>
  <c r="B330" i="8"/>
  <c r="C330" i="8"/>
  <c r="D330" i="8"/>
  <c r="G330" i="8"/>
  <c r="O330" i="6" s="1"/>
  <c r="A331" i="8"/>
  <c r="B331" i="8"/>
  <c r="C331" i="8"/>
  <c r="D331" i="8"/>
  <c r="G331" i="8"/>
  <c r="O331" i="6" s="1"/>
  <c r="A332" i="8"/>
  <c r="B332" i="8"/>
  <c r="C332" i="8"/>
  <c r="D332" i="8"/>
  <c r="G332" i="8"/>
  <c r="O332" i="6" s="1"/>
  <c r="A333" i="8"/>
  <c r="B333" i="8"/>
  <c r="C333" i="8"/>
  <c r="D333" i="8"/>
  <c r="G333" i="8"/>
  <c r="O333" i="6" s="1"/>
  <c r="A334" i="8"/>
  <c r="B334" i="8"/>
  <c r="C334" i="8"/>
  <c r="D334" i="8"/>
  <c r="G334" i="8"/>
  <c r="O334" i="6" s="1"/>
  <c r="A335" i="8"/>
  <c r="B335" i="8"/>
  <c r="C335" i="8"/>
  <c r="D335" i="8"/>
  <c r="G335" i="8"/>
  <c r="O335" i="6" s="1"/>
  <c r="A336" i="8"/>
  <c r="B336" i="8"/>
  <c r="C336" i="8"/>
  <c r="D336" i="8"/>
  <c r="G336" i="8"/>
  <c r="O336" i="6" s="1"/>
  <c r="A337" i="8"/>
  <c r="B337" i="8"/>
  <c r="C337" i="8"/>
  <c r="D337" i="8"/>
  <c r="G337" i="8"/>
  <c r="O337" i="6" s="1"/>
  <c r="A338" i="8"/>
  <c r="B338" i="8"/>
  <c r="C338" i="8"/>
  <c r="D338" i="8"/>
  <c r="G338" i="8"/>
  <c r="O338" i="6" s="1"/>
  <c r="A339" i="8"/>
  <c r="B339" i="8"/>
  <c r="C339" i="8"/>
  <c r="D339" i="8"/>
  <c r="G339" i="8"/>
  <c r="O339" i="6" s="1"/>
  <c r="A340" i="8"/>
  <c r="B340" i="8"/>
  <c r="C340" i="8"/>
  <c r="D340" i="8"/>
  <c r="G340" i="8"/>
  <c r="O340" i="6" s="1"/>
  <c r="A341" i="8"/>
  <c r="B341" i="8"/>
  <c r="C341" i="8"/>
  <c r="D341" i="8"/>
  <c r="G341" i="8"/>
  <c r="O341" i="6" s="1"/>
  <c r="A342" i="8"/>
  <c r="B342" i="8"/>
  <c r="C342" i="8"/>
  <c r="D342" i="8"/>
  <c r="G342" i="8"/>
  <c r="O342" i="6" s="1"/>
  <c r="A343" i="8"/>
  <c r="B343" i="8"/>
  <c r="C343" i="8"/>
  <c r="D343" i="8"/>
  <c r="G343" i="8"/>
  <c r="O343" i="6" s="1"/>
  <c r="A344" i="8"/>
  <c r="B344" i="8"/>
  <c r="C344" i="8"/>
  <c r="D344" i="8"/>
  <c r="G344" i="8"/>
  <c r="O344" i="6" s="1"/>
  <c r="A345" i="8"/>
  <c r="B345" i="8"/>
  <c r="C345" i="8"/>
  <c r="D345" i="8"/>
  <c r="G345" i="8"/>
  <c r="O345" i="6" s="1"/>
  <c r="A346" i="8"/>
  <c r="B346" i="8"/>
  <c r="C346" i="8"/>
  <c r="D346" i="8"/>
  <c r="G346" i="8"/>
  <c r="O346" i="6" s="1"/>
  <c r="A347" i="8"/>
  <c r="B347" i="8"/>
  <c r="C347" i="8"/>
  <c r="D347" i="8"/>
  <c r="G347" i="8"/>
  <c r="O347" i="6" s="1"/>
  <c r="A348" i="8"/>
  <c r="B348" i="8"/>
  <c r="C348" i="8"/>
  <c r="D348" i="8"/>
  <c r="G348" i="8"/>
  <c r="O348" i="6" s="1"/>
  <c r="A349" i="8"/>
  <c r="B349" i="8"/>
  <c r="C349" i="8"/>
  <c r="D349" i="8"/>
  <c r="G349" i="8"/>
  <c r="O349" i="6" s="1"/>
  <c r="A350" i="8"/>
  <c r="B350" i="8"/>
  <c r="C350" i="8"/>
  <c r="D350" i="8"/>
  <c r="G350" i="8"/>
  <c r="O350" i="6" s="1"/>
  <c r="A351" i="8"/>
  <c r="B351" i="8"/>
  <c r="C351" i="8"/>
  <c r="D351" i="8"/>
  <c r="G351" i="8"/>
  <c r="O351" i="6" s="1"/>
  <c r="A352" i="8"/>
  <c r="B352" i="8"/>
  <c r="C352" i="8"/>
  <c r="D352" i="8"/>
  <c r="G352" i="8"/>
  <c r="O352" i="6" s="1"/>
  <c r="A353" i="8"/>
  <c r="B353" i="8"/>
  <c r="C353" i="8"/>
  <c r="D353" i="8"/>
  <c r="G353" i="8"/>
  <c r="O353" i="6" s="1"/>
  <c r="A354" i="8"/>
  <c r="B354" i="8"/>
  <c r="C354" i="8"/>
  <c r="D354" i="8"/>
  <c r="G354" i="8"/>
  <c r="O354" i="6" s="1"/>
  <c r="A355" i="8"/>
  <c r="B355" i="8"/>
  <c r="C355" i="8"/>
  <c r="D355" i="8"/>
  <c r="G355" i="8"/>
  <c r="O355" i="6" s="1"/>
  <c r="A356" i="8"/>
  <c r="B356" i="8"/>
  <c r="C356" i="8"/>
  <c r="D356" i="8"/>
  <c r="G356" i="8"/>
  <c r="O356" i="6" s="1"/>
  <c r="A357" i="8"/>
  <c r="B357" i="8"/>
  <c r="C357" i="8"/>
  <c r="D357" i="8"/>
  <c r="G357" i="8"/>
  <c r="O357" i="6" s="1"/>
  <c r="A358" i="8"/>
  <c r="B358" i="8"/>
  <c r="C358" i="8"/>
  <c r="D358" i="8"/>
  <c r="G358" i="8"/>
  <c r="O358" i="6" s="1"/>
  <c r="A359" i="8"/>
  <c r="B359" i="8"/>
  <c r="C359" i="8"/>
  <c r="D359" i="8"/>
  <c r="G359" i="8"/>
  <c r="O359" i="6" s="1"/>
  <c r="A360" i="8"/>
  <c r="B360" i="8"/>
  <c r="C360" i="8"/>
  <c r="D360" i="8"/>
  <c r="G360" i="8"/>
  <c r="O360" i="6" s="1"/>
  <c r="A361" i="8"/>
  <c r="B361" i="8"/>
  <c r="C361" i="8"/>
  <c r="D361" i="8"/>
  <c r="G361" i="8"/>
  <c r="O361" i="6" s="1"/>
  <c r="A362" i="8"/>
  <c r="B362" i="8"/>
  <c r="C362" i="8"/>
  <c r="D362" i="8"/>
  <c r="G362" i="8"/>
  <c r="O362" i="6" s="1"/>
  <c r="A363" i="8"/>
  <c r="B363" i="8"/>
  <c r="C363" i="8"/>
  <c r="D363" i="8"/>
  <c r="G363" i="8"/>
  <c r="O363" i="6" s="1"/>
  <c r="A364" i="8"/>
  <c r="B364" i="8"/>
  <c r="C364" i="8"/>
  <c r="D364" i="8"/>
  <c r="G364" i="8"/>
  <c r="O364" i="6" s="1"/>
  <c r="A365" i="8"/>
  <c r="B365" i="8"/>
  <c r="C365" i="8"/>
  <c r="D365" i="8"/>
  <c r="G365" i="8"/>
  <c r="O365" i="6" s="1"/>
  <c r="A366" i="8"/>
  <c r="B366" i="8"/>
  <c r="C366" i="8"/>
  <c r="D366" i="8"/>
  <c r="G366" i="8"/>
  <c r="O366" i="6" s="1"/>
  <c r="A367" i="8"/>
  <c r="B367" i="8"/>
  <c r="C367" i="8"/>
  <c r="D367" i="8"/>
  <c r="G367" i="8"/>
  <c r="O367" i="6" s="1"/>
  <c r="A368" i="8"/>
  <c r="B368" i="8"/>
  <c r="C368" i="8"/>
  <c r="D368" i="8"/>
  <c r="G368" i="8"/>
  <c r="O368" i="6" s="1"/>
  <c r="A369" i="8"/>
  <c r="B369" i="8"/>
  <c r="C369" i="8"/>
  <c r="D369" i="8"/>
  <c r="G369" i="8"/>
  <c r="O369" i="6" s="1"/>
  <c r="A370" i="8"/>
  <c r="B370" i="8"/>
  <c r="C370" i="8"/>
  <c r="D370" i="8"/>
  <c r="G370" i="8"/>
  <c r="O370" i="6" s="1"/>
  <c r="A371" i="8"/>
  <c r="B371" i="8"/>
  <c r="C371" i="8"/>
  <c r="D371" i="8"/>
  <c r="G371" i="8"/>
  <c r="O371" i="6" s="1"/>
  <c r="A372" i="8"/>
  <c r="B372" i="8"/>
  <c r="C372" i="8"/>
  <c r="D372" i="8"/>
  <c r="G372" i="8"/>
  <c r="O372" i="6" s="1"/>
  <c r="A373" i="8"/>
  <c r="B373" i="8"/>
  <c r="C373" i="8"/>
  <c r="D373" i="8"/>
  <c r="G373" i="8"/>
  <c r="O373" i="6" s="1"/>
  <c r="A374" i="8"/>
  <c r="B374" i="8"/>
  <c r="C374" i="8"/>
  <c r="D374" i="8"/>
  <c r="G374" i="8"/>
  <c r="O374" i="6" s="1"/>
  <c r="A375" i="8"/>
  <c r="B375" i="8"/>
  <c r="C375" i="8"/>
  <c r="D375" i="8"/>
  <c r="G375" i="8"/>
  <c r="O375" i="6" s="1"/>
  <c r="A376" i="8"/>
  <c r="B376" i="8"/>
  <c r="C376" i="8"/>
  <c r="D376" i="8"/>
  <c r="G376" i="8"/>
  <c r="O376" i="6" s="1"/>
  <c r="A377" i="8"/>
  <c r="B377" i="8"/>
  <c r="C377" i="8"/>
  <c r="D377" i="8"/>
  <c r="G377" i="8"/>
  <c r="O377" i="6" s="1"/>
  <c r="A378" i="8"/>
  <c r="B378" i="8"/>
  <c r="C378" i="8"/>
  <c r="D378" i="8"/>
  <c r="G378" i="8"/>
  <c r="O378" i="6" s="1"/>
  <c r="A379" i="8"/>
  <c r="B379" i="8"/>
  <c r="C379" i="8"/>
  <c r="D379" i="8"/>
  <c r="G379" i="8"/>
  <c r="O379" i="6" s="1"/>
  <c r="A380" i="8"/>
  <c r="B380" i="8"/>
  <c r="C380" i="8"/>
  <c r="D380" i="8"/>
  <c r="G380" i="8"/>
  <c r="O380" i="6" s="1"/>
  <c r="A381" i="8"/>
  <c r="B381" i="8"/>
  <c r="C381" i="8"/>
  <c r="D381" i="8"/>
  <c r="G381" i="8"/>
  <c r="O381" i="6" s="1"/>
  <c r="A382" i="8"/>
  <c r="B382" i="8"/>
  <c r="C382" i="8"/>
  <c r="D382" i="8"/>
  <c r="G382" i="8"/>
  <c r="O382" i="6" s="1"/>
  <c r="A383" i="8"/>
  <c r="B383" i="8"/>
  <c r="C383" i="8"/>
  <c r="D383" i="8"/>
  <c r="G383" i="8"/>
  <c r="O383" i="6" s="1"/>
  <c r="A384" i="8"/>
  <c r="B384" i="8"/>
  <c r="C384" i="8"/>
  <c r="D384" i="8"/>
  <c r="G384" i="8"/>
  <c r="O384" i="6" s="1"/>
  <c r="A385" i="8"/>
  <c r="B385" i="8"/>
  <c r="C385" i="8"/>
  <c r="D385" i="8"/>
  <c r="G385" i="8"/>
  <c r="O385" i="6" s="1"/>
  <c r="A386" i="8"/>
  <c r="B386" i="8"/>
  <c r="C386" i="8"/>
  <c r="D386" i="8"/>
  <c r="G386" i="8"/>
  <c r="O386" i="6" s="1"/>
  <c r="A387" i="8"/>
  <c r="B387" i="8"/>
  <c r="C387" i="8"/>
  <c r="D387" i="8"/>
  <c r="G387" i="8"/>
  <c r="O387" i="6" s="1"/>
  <c r="A388" i="8"/>
  <c r="B388" i="8"/>
  <c r="C388" i="8"/>
  <c r="D388" i="8"/>
  <c r="G388" i="8"/>
  <c r="O388" i="6" s="1"/>
  <c r="A389" i="8"/>
  <c r="B389" i="8"/>
  <c r="C389" i="8"/>
  <c r="D389" i="8"/>
  <c r="G389" i="8"/>
  <c r="O389" i="6" s="1"/>
  <c r="A390" i="8"/>
  <c r="B390" i="8"/>
  <c r="C390" i="8"/>
  <c r="D390" i="8"/>
  <c r="G390" i="8"/>
  <c r="O390" i="6" s="1"/>
  <c r="A391" i="8"/>
  <c r="B391" i="8"/>
  <c r="C391" i="8"/>
  <c r="D391" i="8"/>
  <c r="G391" i="8"/>
  <c r="O391" i="6" s="1"/>
  <c r="A392" i="8"/>
  <c r="B392" i="8"/>
  <c r="C392" i="8"/>
  <c r="D392" i="8"/>
  <c r="G392" i="8"/>
  <c r="O392" i="6" s="1"/>
  <c r="A393" i="8"/>
  <c r="B393" i="8"/>
  <c r="C393" i="8"/>
  <c r="D393" i="8"/>
  <c r="G393" i="8"/>
  <c r="O393" i="6" s="1"/>
  <c r="A394" i="8"/>
  <c r="B394" i="8"/>
  <c r="C394" i="8"/>
  <c r="D394" i="8"/>
  <c r="G394" i="8"/>
  <c r="O394" i="6" s="1"/>
  <c r="A395" i="8"/>
  <c r="B395" i="8"/>
  <c r="C395" i="8"/>
  <c r="D395" i="8"/>
  <c r="G395" i="8"/>
  <c r="O395" i="6" s="1"/>
  <c r="A396" i="8"/>
  <c r="B396" i="8"/>
  <c r="C396" i="8"/>
  <c r="D396" i="8"/>
  <c r="G396" i="8"/>
  <c r="O396" i="6" s="1"/>
  <c r="A397" i="8"/>
  <c r="B397" i="8"/>
  <c r="C397" i="8"/>
  <c r="D397" i="8"/>
  <c r="L397" i="8" s="1"/>
  <c r="G397" i="8"/>
  <c r="O397" i="6" s="1"/>
  <c r="A398" i="8"/>
  <c r="B398" i="8"/>
  <c r="C398" i="8"/>
  <c r="D398" i="8"/>
  <c r="G398" i="8"/>
  <c r="O398" i="6" s="1"/>
  <c r="A399" i="8"/>
  <c r="B399" i="8"/>
  <c r="C399" i="8"/>
  <c r="D399" i="8"/>
  <c r="G399" i="8"/>
  <c r="O399" i="6" s="1"/>
  <c r="A400" i="8"/>
  <c r="B400" i="8"/>
  <c r="C400" i="8"/>
  <c r="D400" i="8"/>
  <c r="G400" i="8"/>
  <c r="A401" i="8"/>
  <c r="B401" i="8"/>
  <c r="C401" i="8"/>
  <c r="D401" i="8"/>
  <c r="G401" i="8"/>
  <c r="O401" i="6" s="1"/>
  <c r="A402" i="8"/>
  <c r="B402" i="8"/>
  <c r="C402" i="8"/>
  <c r="D402" i="8"/>
  <c r="G402" i="8"/>
  <c r="O402" i="6" s="1"/>
  <c r="A403" i="8"/>
  <c r="B403" i="8"/>
  <c r="C403" i="8"/>
  <c r="D403" i="8"/>
  <c r="G403" i="8"/>
  <c r="O403" i="6" s="1"/>
  <c r="A404" i="8"/>
  <c r="B404" i="8"/>
  <c r="C404" i="8"/>
  <c r="D404" i="8"/>
  <c r="G404" i="8"/>
  <c r="O404" i="6" s="1"/>
  <c r="A405" i="8"/>
  <c r="B405" i="8"/>
  <c r="C405" i="8"/>
  <c r="D405" i="8"/>
  <c r="G405" i="8"/>
  <c r="O405" i="6" s="1"/>
  <c r="A406" i="8"/>
  <c r="B406" i="8"/>
  <c r="C406" i="8"/>
  <c r="D406" i="8"/>
  <c r="G406" i="8"/>
  <c r="O406" i="6" s="1"/>
  <c r="A407" i="8"/>
  <c r="B407" i="8"/>
  <c r="C407" i="8"/>
  <c r="D407" i="8"/>
  <c r="G407" i="8"/>
  <c r="O407" i="6" s="1"/>
  <c r="A408" i="8"/>
  <c r="B408" i="8"/>
  <c r="C408" i="8"/>
  <c r="D408" i="8"/>
  <c r="G408" i="8"/>
  <c r="O408" i="6" s="1"/>
  <c r="A409" i="8"/>
  <c r="B409" i="8"/>
  <c r="C409" i="8"/>
  <c r="D409" i="8"/>
  <c r="G409" i="8"/>
  <c r="O409" i="6" s="1"/>
  <c r="A410" i="8"/>
  <c r="B410" i="8"/>
  <c r="C410" i="8"/>
  <c r="D410" i="8"/>
  <c r="G410" i="8"/>
  <c r="O410" i="6" s="1"/>
  <c r="A411" i="8"/>
  <c r="B411" i="8"/>
  <c r="C411" i="8"/>
  <c r="D411" i="8"/>
  <c r="G411" i="8"/>
  <c r="O411" i="6" s="1"/>
  <c r="A412" i="8"/>
  <c r="B412" i="8"/>
  <c r="C412" i="8"/>
  <c r="D412" i="8"/>
  <c r="G412" i="8"/>
  <c r="O412" i="6" s="1"/>
  <c r="A413" i="8"/>
  <c r="B413" i="8"/>
  <c r="C413" i="8"/>
  <c r="D413" i="8"/>
  <c r="G413" i="8"/>
  <c r="O413" i="6" s="1"/>
  <c r="A414" i="8"/>
  <c r="B414" i="8"/>
  <c r="C414" i="8"/>
  <c r="D414" i="8"/>
  <c r="G414" i="8"/>
  <c r="O414" i="6" s="1"/>
  <c r="A415" i="8"/>
  <c r="B415" i="8"/>
  <c r="C415" i="8"/>
  <c r="D415" i="8"/>
  <c r="G415" i="8"/>
  <c r="O415" i="6" s="1"/>
  <c r="A416" i="8"/>
  <c r="B416" i="8"/>
  <c r="C416" i="8"/>
  <c r="D416" i="8"/>
  <c r="G416" i="8"/>
  <c r="O416" i="6" s="1"/>
  <c r="A417" i="8"/>
  <c r="B417" i="8"/>
  <c r="C417" i="8"/>
  <c r="D417" i="8"/>
  <c r="G417" i="8"/>
  <c r="O417" i="6" s="1"/>
  <c r="A418" i="8"/>
  <c r="B418" i="8"/>
  <c r="C418" i="8"/>
  <c r="D418" i="8"/>
  <c r="G418" i="8"/>
  <c r="O418" i="6" s="1"/>
  <c r="A419" i="8"/>
  <c r="B419" i="8"/>
  <c r="C419" i="8"/>
  <c r="D419" i="8"/>
  <c r="G419" i="8"/>
  <c r="O419" i="6" s="1"/>
  <c r="A420" i="8"/>
  <c r="B420" i="8"/>
  <c r="C420" i="8"/>
  <c r="D420" i="8"/>
  <c r="G420" i="8"/>
  <c r="O420" i="6" s="1"/>
  <c r="A421" i="8"/>
  <c r="B421" i="8"/>
  <c r="C421" i="8"/>
  <c r="D421" i="8"/>
  <c r="G421" i="8"/>
  <c r="O421" i="6" s="1"/>
  <c r="A422" i="8"/>
  <c r="B422" i="8"/>
  <c r="C422" i="8"/>
  <c r="D422" i="8"/>
  <c r="G422" i="8"/>
  <c r="O422" i="6" s="1"/>
  <c r="A423" i="8"/>
  <c r="B423" i="8"/>
  <c r="C423" i="8"/>
  <c r="D423" i="8"/>
  <c r="G423" i="8"/>
  <c r="O423" i="6" s="1"/>
  <c r="A424" i="8"/>
  <c r="B424" i="8"/>
  <c r="C424" i="8"/>
  <c r="D424" i="8"/>
  <c r="G424" i="8"/>
  <c r="O424" i="6" s="1"/>
  <c r="A425" i="8"/>
  <c r="B425" i="8"/>
  <c r="C425" i="8"/>
  <c r="D425" i="8"/>
  <c r="G425" i="8"/>
  <c r="O425" i="6" s="1"/>
  <c r="A426" i="8"/>
  <c r="B426" i="8"/>
  <c r="C426" i="8"/>
  <c r="D426" i="8"/>
  <c r="G426" i="8"/>
  <c r="O426" i="6" s="1"/>
  <c r="A427" i="8"/>
  <c r="B427" i="8"/>
  <c r="C427" i="8"/>
  <c r="D427" i="8"/>
  <c r="G427" i="8"/>
  <c r="O427" i="6" s="1"/>
  <c r="A428" i="8"/>
  <c r="B428" i="8"/>
  <c r="C428" i="8"/>
  <c r="D428" i="8"/>
  <c r="G428" i="8"/>
  <c r="O428" i="6" s="1"/>
  <c r="A429" i="8"/>
  <c r="B429" i="8"/>
  <c r="C429" i="8"/>
  <c r="D429" i="8"/>
  <c r="G429" i="8"/>
  <c r="O429" i="6" s="1"/>
  <c r="A430" i="8"/>
  <c r="B430" i="8"/>
  <c r="C430" i="8"/>
  <c r="D430" i="8"/>
  <c r="G430" i="8"/>
  <c r="O430" i="6" s="1"/>
  <c r="A431" i="8"/>
  <c r="B431" i="8"/>
  <c r="C431" i="8"/>
  <c r="D431" i="8"/>
  <c r="G431" i="8"/>
  <c r="O431" i="6" s="1"/>
  <c r="A432" i="8"/>
  <c r="B432" i="8"/>
  <c r="C432" i="8"/>
  <c r="D432" i="8"/>
  <c r="G432" i="8"/>
  <c r="O432" i="6" s="1"/>
  <c r="A433" i="8"/>
  <c r="B433" i="8"/>
  <c r="C433" i="8"/>
  <c r="D433" i="8"/>
  <c r="G433" i="8"/>
  <c r="O433" i="6" s="1"/>
  <c r="A434" i="8"/>
  <c r="B434" i="8"/>
  <c r="C434" i="8"/>
  <c r="D434" i="8"/>
  <c r="G434" i="8"/>
  <c r="O434" i="6" s="1"/>
  <c r="A435" i="8"/>
  <c r="B435" i="8"/>
  <c r="C435" i="8"/>
  <c r="D435" i="8"/>
  <c r="G435" i="8"/>
  <c r="O435" i="6" s="1"/>
  <c r="A436" i="8"/>
  <c r="B436" i="8"/>
  <c r="C436" i="8"/>
  <c r="D436" i="8"/>
  <c r="G436" i="8"/>
  <c r="O436" i="6" s="1"/>
  <c r="A437" i="8"/>
  <c r="B437" i="8"/>
  <c r="C437" i="8"/>
  <c r="D437" i="8"/>
  <c r="G437" i="8"/>
  <c r="O437" i="6" s="1"/>
  <c r="A438" i="8"/>
  <c r="B438" i="8"/>
  <c r="C438" i="8"/>
  <c r="D438" i="8"/>
  <c r="G438" i="8"/>
  <c r="O438" i="6" s="1"/>
  <c r="A439" i="8"/>
  <c r="B439" i="8"/>
  <c r="C439" i="8"/>
  <c r="D439" i="8"/>
  <c r="G439" i="8"/>
  <c r="O439" i="6" s="1"/>
  <c r="A440" i="8"/>
  <c r="B440" i="8"/>
  <c r="C440" i="8"/>
  <c r="D440" i="8"/>
  <c r="G440" i="8"/>
  <c r="O440" i="6" s="1"/>
  <c r="A441" i="8"/>
  <c r="B441" i="8"/>
  <c r="C441" i="8"/>
  <c r="D441" i="8"/>
  <c r="G441" i="8"/>
  <c r="O441" i="6" s="1"/>
  <c r="A442" i="8"/>
  <c r="B442" i="8"/>
  <c r="C442" i="8"/>
  <c r="D442" i="8"/>
  <c r="G442" i="8"/>
  <c r="O442" i="6" s="1"/>
  <c r="A443" i="8"/>
  <c r="B443" i="8"/>
  <c r="C443" i="8"/>
  <c r="D443" i="8"/>
  <c r="G443" i="8"/>
  <c r="O443" i="6" s="1"/>
  <c r="A444" i="8"/>
  <c r="B444" i="8"/>
  <c r="C444" i="8"/>
  <c r="D444" i="8"/>
  <c r="G444" i="8"/>
  <c r="O444" i="6" s="1"/>
  <c r="A445" i="8"/>
  <c r="B445" i="8"/>
  <c r="C445" i="8"/>
  <c r="D445" i="8"/>
  <c r="G445" i="8"/>
  <c r="O445" i="6" s="1"/>
  <c r="A446" i="8"/>
  <c r="B446" i="8"/>
  <c r="C446" i="8"/>
  <c r="D446" i="8"/>
  <c r="G446" i="8"/>
  <c r="O446" i="6" s="1"/>
  <c r="A447" i="8"/>
  <c r="B447" i="8"/>
  <c r="C447" i="8"/>
  <c r="D447" i="8"/>
  <c r="G447" i="8"/>
  <c r="A448" i="8"/>
  <c r="B448" i="8"/>
  <c r="C448" i="8"/>
  <c r="D448" i="8"/>
  <c r="G448" i="8"/>
  <c r="O448" i="6" s="1"/>
  <c r="A449" i="8"/>
  <c r="B449" i="8"/>
  <c r="C449" i="8"/>
  <c r="D449" i="8"/>
  <c r="G449" i="8"/>
  <c r="O449" i="6" s="1"/>
  <c r="A450" i="8"/>
  <c r="B450" i="8"/>
  <c r="C450" i="8"/>
  <c r="D450" i="8"/>
  <c r="G450" i="8"/>
  <c r="O450" i="6" s="1"/>
  <c r="A451" i="8"/>
  <c r="B451" i="8"/>
  <c r="C451" i="8"/>
  <c r="D451" i="8"/>
  <c r="G451" i="8"/>
  <c r="O451" i="6" s="1"/>
  <c r="A452" i="8"/>
  <c r="B452" i="8"/>
  <c r="C452" i="8"/>
  <c r="D452" i="8"/>
  <c r="G452" i="8"/>
  <c r="O452" i="6" s="1"/>
  <c r="A453" i="8"/>
  <c r="B453" i="8"/>
  <c r="C453" i="8"/>
  <c r="D453" i="8"/>
  <c r="G453" i="8"/>
  <c r="O453" i="6" s="1"/>
  <c r="A454" i="8"/>
  <c r="B454" i="8"/>
  <c r="C454" i="8"/>
  <c r="D454" i="8"/>
  <c r="G454" i="8"/>
  <c r="O454" i="6" s="1"/>
  <c r="A455" i="8"/>
  <c r="B455" i="8"/>
  <c r="C455" i="8"/>
  <c r="D455" i="8"/>
  <c r="G455" i="8"/>
  <c r="O455" i="6" s="1"/>
  <c r="A456" i="8"/>
  <c r="B456" i="8"/>
  <c r="C456" i="8"/>
  <c r="D456" i="8"/>
  <c r="G456" i="8"/>
  <c r="O456" i="6" s="1"/>
  <c r="A457" i="8"/>
  <c r="B457" i="8"/>
  <c r="C457" i="8"/>
  <c r="D457" i="8"/>
  <c r="G457" i="8"/>
  <c r="O457" i="6" s="1"/>
  <c r="A458" i="8"/>
  <c r="B458" i="8"/>
  <c r="C458" i="8"/>
  <c r="D458" i="8"/>
  <c r="G458" i="8"/>
  <c r="O458" i="6" s="1"/>
  <c r="A459" i="8"/>
  <c r="B459" i="8"/>
  <c r="C459" i="8"/>
  <c r="D459" i="8"/>
  <c r="G459" i="8"/>
  <c r="O459" i="6" s="1"/>
  <c r="A460" i="8"/>
  <c r="B460" i="8"/>
  <c r="C460" i="8"/>
  <c r="D460" i="8"/>
  <c r="G460" i="8"/>
  <c r="O460" i="6" s="1"/>
  <c r="A461" i="8"/>
  <c r="B461" i="8"/>
  <c r="C461" i="8"/>
  <c r="D461" i="8"/>
  <c r="G461" i="8"/>
  <c r="O461" i="6" s="1"/>
  <c r="A462" i="8"/>
  <c r="B462" i="8"/>
  <c r="C462" i="8"/>
  <c r="D462" i="8"/>
  <c r="G462" i="8"/>
  <c r="O462" i="6" s="1"/>
  <c r="A463" i="8"/>
  <c r="B463" i="8"/>
  <c r="C463" i="8"/>
  <c r="D463" i="8"/>
  <c r="G463" i="8"/>
  <c r="O463" i="6" s="1"/>
  <c r="A464" i="8"/>
  <c r="B464" i="8"/>
  <c r="C464" i="8"/>
  <c r="D464" i="8"/>
  <c r="G464" i="8"/>
  <c r="O464" i="6" s="1"/>
  <c r="A465" i="8"/>
  <c r="B465" i="8"/>
  <c r="C465" i="8"/>
  <c r="D465" i="8"/>
  <c r="G465" i="8"/>
  <c r="O465" i="6" s="1"/>
  <c r="A466" i="8"/>
  <c r="B466" i="8"/>
  <c r="C466" i="8"/>
  <c r="D466" i="8"/>
  <c r="G466" i="8"/>
  <c r="O466" i="6" s="1"/>
  <c r="A467" i="8"/>
  <c r="B467" i="8"/>
  <c r="C467" i="8"/>
  <c r="D467" i="8"/>
  <c r="G467" i="8"/>
  <c r="O467" i="6" s="1"/>
  <c r="A468" i="8"/>
  <c r="B468" i="8"/>
  <c r="C468" i="8"/>
  <c r="D468" i="8"/>
  <c r="G468" i="8"/>
  <c r="O468" i="6" s="1"/>
  <c r="A469" i="8"/>
  <c r="B469" i="8"/>
  <c r="C469" i="8"/>
  <c r="D469" i="8"/>
  <c r="G469" i="8"/>
  <c r="O469" i="6" s="1"/>
  <c r="A470" i="8"/>
  <c r="B470" i="8"/>
  <c r="C470" i="8"/>
  <c r="D470" i="8"/>
  <c r="G470" i="8"/>
  <c r="O470" i="6" s="1"/>
  <c r="A471" i="8"/>
  <c r="B471" i="8"/>
  <c r="C471" i="8"/>
  <c r="D471" i="8"/>
  <c r="G471" i="8"/>
  <c r="O471" i="6" s="1"/>
  <c r="A472" i="8"/>
  <c r="B472" i="8"/>
  <c r="C472" i="8"/>
  <c r="D472" i="8"/>
  <c r="G472" i="8"/>
  <c r="O472" i="6" s="1"/>
  <c r="A473" i="8"/>
  <c r="B473" i="8"/>
  <c r="C473" i="8"/>
  <c r="D473" i="8"/>
  <c r="G473" i="8"/>
  <c r="O473" i="6" s="1"/>
  <c r="A474" i="8"/>
  <c r="B474" i="8"/>
  <c r="C474" i="8"/>
  <c r="D474" i="8"/>
  <c r="G474" i="8"/>
  <c r="O474" i="6" s="1"/>
  <c r="A475" i="8"/>
  <c r="B475" i="8"/>
  <c r="C475" i="8"/>
  <c r="D475" i="8"/>
  <c r="G475" i="8"/>
  <c r="O475" i="6" s="1"/>
  <c r="A476" i="8"/>
  <c r="B476" i="8"/>
  <c r="C476" i="8"/>
  <c r="D476" i="8"/>
  <c r="G476" i="8"/>
  <c r="O476" i="6" s="1"/>
  <c r="A477" i="8"/>
  <c r="B477" i="8"/>
  <c r="C477" i="8"/>
  <c r="D477" i="8"/>
  <c r="G477" i="8"/>
  <c r="O477" i="6" s="1"/>
  <c r="A478" i="8"/>
  <c r="B478" i="8"/>
  <c r="C478" i="8"/>
  <c r="D478" i="8"/>
  <c r="G478" i="8"/>
  <c r="O478" i="6" s="1"/>
  <c r="A479" i="8"/>
  <c r="B479" i="8"/>
  <c r="C479" i="8"/>
  <c r="D479" i="8"/>
  <c r="G479" i="8"/>
  <c r="O479" i="6" s="1"/>
  <c r="A480" i="8"/>
  <c r="B480" i="8"/>
  <c r="C480" i="8"/>
  <c r="D480" i="8"/>
  <c r="G480" i="8"/>
  <c r="O480" i="6" s="1"/>
  <c r="A481" i="8"/>
  <c r="B481" i="8"/>
  <c r="C481" i="8"/>
  <c r="D481" i="8"/>
  <c r="G481" i="8"/>
  <c r="O481" i="6" s="1"/>
  <c r="A482" i="8"/>
  <c r="B482" i="8"/>
  <c r="C482" i="8"/>
  <c r="D482" i="8"/>
  <c r="G482" i="8"/>
  <c r="O482" i="6" s="1"/>
  <c r="A483" i="8"/>
  <c r="B483" i="8"/>
  <c r="C483" i="8"/>
  <c r="D483" i="8"/>
  <c r="G483" i="8"/>
  <c r="O483" i="6" s="1"/>
  <c r="A484" i="8"/>
  <c r="B484" i="8"/>
  <c r="C484" i="8"/>
  <c r="D484" i="8"/>
  <c r="G484" i="8"/>
  <c r="O484" i="6" s="1"/>
  <c r="A485" i="8"/>
  <c r="B485" i="8"/>
  <c r="C485" i="8"/>
  <c r="D485" i="8"/>
  <c r="G485" i="8"/>
  <c r="O485" i="6" s="1"/>
  <c r="A486" i="8"/>
  <c r="B486" i="8"/>
  <c r="C486" i="8"/>
  <c r="D486" i="8"/>
  <c r="G486" i="8"/>
  <c r="O486" i="6" s="1"/>
  <c r="A487" i="8"/>
  <c r="B487" i="8"/>
  <c r="C487" i="8"/>
  <c r="D487" i="8"/>
  <c r="G487" i="8"/>
  <c r="O487" i="6" s="1"/>
  <c r="A488" i="8"/>
  <c r="B488" i="8"/>
  <c r="C488" i="8"/>
  <c r="D488" i="8"/>
  <c r="G488" i="8"/>
  <c r="O488" i="6" s="1"/>
  <c r="A489" i="8"/>
  <c r="B489" i="8"/>
  <c r="C489" i="8"/>
  <c r="D489" i="8"/>
  <c r="G489" i="8"/>
  <c r="O489" i="6" s="1"/>
  <c r="A490" i="8"/>
  <c r="B490" i="8"/>
  <c r="C490" i="8"/>
  <c r="D490" i="8"/>
  <c r="G490" i="8"/>
  <c r="O490" i="6" s="1"/>
  <c r="A491" i="8"/>
  <c r="B491" i="8"/>
  <c r="C491" i="8"/>
  <c r="D491" i="8"/>
  <c r="G491" i="8"/>
  <c r="O491" i="6" s="1"/>
  <c r="A492" i="8"/>
  <c r="B492" i="8"/>
  <c r="C492" i="8"/>
  <c r="D492" i="8"/>
  <c r="G492" i="8"/>
  <c r="O492" i="6" s="1"/>
  <c r="A493" i="8"/>
  <c r="B493" i="8"/>
  <c r="C493" i="8"/>
  <c r="D493" i="8"/>
  <c r="G493" i="8"/>
  <c r="O493" i="6" s="1"/>
  <c r="A494" i="8"/>
  <c r="B494" i="8"/>
  <c r="C494" i="8"/>
  <c r="D494" i="8"/>
  <c r="G494" i="8"/>
  <c r="O494" i="6" s="1"/>
  <c r="A495" i="8"/>
  <c r="B495" i="8"/>
  <c r="C495" i="8"/>
  <c r="D495" i="8"/>
  <c r="G495" i="8"/>
  <c r="O495" i="6" s="1"/>
  <c r="A496" i="8"/>
  <c r="B496" i="8"/>
  <c r="C496" i="8"/>
  <c r="D496" i="8"/>
  <c r="G496" i="8"/>
  <c r="O496" i="6" s="1"/>
  <c r="A497" i="8"/>
  <c r="B497" i="8"/>
  <c r="C497" i="8"/>
  <c r="D497" i="8"/>
  <c r="G497" i="8"/>
  <c r="O497" i="6" s="1"/>
  <c r="A498" i="8"/>
  <c r="B498" i="8"/>
  <c r="C498" i="8"/>
  <c r="D498" i="8"/>
  <c r="G498" i="8"/>
  <c r="O498" i="6" s="1"/>
  <c r="A499" i="8"/>
  <c r="B499" i="8"/>
  <c r="C499" i="8"/>
  <c r="D499" i="8"/>
  <c r="G499" i="8"/>
  <c r="O499" i="6" s="1"/>
  <c r="A500" i="8"/>
  <c r="B500" i="8"/>
  <c r="C500" i="8"/>
  <c r="D500" i="8"/>
  <c r="G500" i="8"/>
  <c r="O500" i="6" s="1"/>
  <c r="A501" i="8"/>
  <c r="B501" i="8"/>
  <c r="C501" i="8"/>
  <c r="D501" i="8"/>
  <c r="G501" i="8"/>
  <c r="O501" i="6" s="1"/>
  <c r="A502" i="8"/>
  <c r="B502" i="8"/>
  <c r="C502" i="8"/>
  <c r="D502" i="8"/>
  <c r="G502" i="8"/>
  <c r="O502" i="6" s="1"/>
  <c r="A503" i="8"/>
  <c r="B503" i="8"/>
  <c r="C503" i="8"/>
  <c r="D503" i="8"/>
  <c r="G503" i="8"/>
  <c r="O503" i="6" s="1"/>
  <c r="A504" i="8"/>
  <c r="B504" i="8"/>
  <c r="C504" i="8"/>
  <c r="D504" i="8"/>
  <c r="G504" i="8"/>
  <c r="O504" i="6" s="1"/>
  <c r="A505" i="8"/>
  <c r="B505" i="8"/>
  <c r="C505" i="8"/>
  <c r="D505" i="8"/>
  <c r="G505" i="8"/>
  <c r="O505" i="6" s="1"/>
  <c r="A506" i="8"/>
  <c r="B506" i="8"/>
  <c r="C506" i="8"/>
  <c r="D506" i="8"/>
  <c r="G506" i="8"/>
  <c r="O506" i="6" s="1"/>
  <c r="A507" i="8"/>
  <c r="B507" i="8"/>
  <c r="C507" i="8"/>
  <c r="D507" i="8"/>
  <c r="G507" i="8"/>
  <c r="O507" i="6" s="1"/>
  <c r="A508" i="8"/>
  <c r="B508" i="8"/>
  <c r="C508" i="8"/>
  <c r="D508" i="8"/>
  <c r="G508" i="8"/>
  <c r="O508" i="6" s="1"/>
  <c r="A509" i="8"/>
  <c r="B509" i="8"/>
  <c r="C509" i="8"/>
  <c r="D509" i="8"/>
  <c r="G509" i="8"/>
  <c r="O509" i="6" s="1"/>
  <c r="A510" i="8"/>
  <c r="B510" i="8"/>
  <c r="C510" i="8"/>
  <c r="D510" i="8"/>
  <c r="G510" i="8"/>
  <c r="O510" i="6" s="1"/>
  <c r="A511" i="8"/>
  <c r="B511" i="8"/>
  <c r="C511" i="8"/>
  <c r="D511" i="8"/>
  <c r="G511" i="8"/>
  <c r="O511" i="6" s="1"/>
  <c r="A512" i="8"/>
  <c r="B512" i="8"/>
  <c r="C512" i="8"/>
  <c r="D512" i="8"/>
  <c r="G512" i="8"/>
  <c r="O512" i="6" s="1"/>
  <c r="A513" i="8"/>
  <c r="B513" i="8"/>
  <c r="C513" i="8"/>
  <c r="D513" i="8"/>
  <c r="G513" i="8"/>
  <c r="O513" i="6" s="1"/>
  <c r="A514" i="8"/>
  <c r="B514" i="8"/>
  <c r="C514" i="8"/>
  <c r="D514" i="8"/>
  <c r="G514" i="8"/>
  <c r="O514" i="6" s="1"/>
  <c r="A515" i="8"/>
  <c r="B515" i="8"/>
  <c r="C515" i="8"/>
  <c r="D515" i="8"/>
  <c r="G515" i="8"/>
  <c r="O515" i="6" s="1"/>
  <c r="A516" i="8"/>
  <c r="B516" i="8"/>
  <c r="C516" i="8"/>
  <c r="D516" i="8"/>
  <c r="G516" i="8"/>
  <c r="O516" i="6" s="1"/>
  <c r="A517" i="8"/>
  <c r="B517" i="8"/>
  <c r="C517" i="8"/>
  <c r="D517" i="8"/>
  <c r="G517" i="8"/>
  <c r="O517" i="6" s="1"/>
  <c r="A518" i="8"/>
  <c r="B518" i="8"/>
  <c r="C518" i="8"/>
  <c r="D518" i="8"/>
  <c r="G518" i="8"/>
  <c r="O518" i="6" s="1"/>
  <c r="A519" i="8"/>
  <c r="B519" i="8"/>
  <c r="C519" i="8"/>
  <c r="D519" i="8"/>
  <c r="G519" i="8"/>
  <c r="O519" i="6" s="1"/>
  <c r="A520" i="8"/>
  <c r="B520" i="8"/>
  <c r="C520" i="8"/>
  <c r="D520" i="8"/>
  <c r="G520" i="8"/>
  <c r="O520" i="6" s="1"/>
  <c r="A521" i="8"/>
  <c r="B521" i="8"/>
  <c r="C521" i="8"/>
  <c r="D521" i="8"/>
  <c r="G521" i="8"/>
  <c r="O521" i="6" s="1"/>
  <c r="A522" i="8"/>
  <c r="B522" i="8"/>
  <c r="C522" i="8"/>
  <c r="D522" i="8"/>
  <c r="G522" i="8"/>
  <c r="O522" i="6" s="1"/>
  <c r="A523" i="8"/>
  <c r="B523" i="8"/>
  <c r="C523" i="8"/>
  <c r="D523" i="8"/>
  <c r="G523" i="8"/>
  <c r="O523" i="6" s="1"/>
  <c r="A524" i="8"/>
  <c r="B524" i="8"/>
  <c r="C524" i="8"/>
  <c r="D524" i="8"/>
  <c r="G524" i="8"/>
  <c r="O524" i="6" s="1"/>
  <c r="A525" i="8"/>
  <c r="B525" i="8"/>
  <c r="C525" i="8"/>
  <c r="D525" i="8"/>
  <c r="G525" i="8"/>
  <c r="O525" i="6" s="1"/>
  <c r="A526" i="8"/>
  <c r="B526" i="8"/>
  <c r="C526" i="8"/>
  <c r="D526" i="8"/>
  <c r="G526" i="8"/>
  <c r="O526" i="6" s="1"/>
  <c r="A527" i="8"/>
  <c r="B527" i="8"/>
  <c r="C527" i="8"/>
  <c r="D527" i="8"/>
  <c r="G527" i="8"/>
  <c r="O527" i="6" s="1"/>
  <c r="A528" i="8"/>
  <c r="B528" i="8"/>
  <c r="C528" i="8"/>
  <c r="D528" i="8"/>
  <c r="G528" i="8"/>
  <c r="O528" i="6" s="1"/>
  <c r="A529" i="8"/>
  <c r="B529" i="8"/>
  <c r="C529" i="8"/>
  <c r="D529" i="8"/>
  <c r="G529" i="8"/>
  <c r="O529" i="6" s="1"/>
  <c r="A530" i="8"/>
  <c r="B530" i="8"/>
  <c r="C530" i="8"/>
  <c r="D530" i="8"/>
  <c r="G530" i="8"/>
  <c r="O530" i="6" s="1"/>
  <c r="A531" i="8"/>
  <c r="B531" i="8"/>
  <c r="C531" i="8"/>
  <c r="D531" i="8"/>
  <c r="G531" i="8"/>
  <c r="O531" i="6" s="1"/>
  <c r="A532" i="8"/>
  <c r="B532" i="8"/>
  <c r="C532" i="8"/>
  <c r="D532" i="8"/>
  <c r="G532" i="8"/>
  <c r="O532" i="6" s="1"/>
  <c r="A533" i="8"/>
  <c r="B533" i="8"/>
  <c r="C533" i="8"/>
  <c r="D533" i="8"/>
  <c r="G533" i="8"/>
  <c r="O533" i="6" s="1"/>
  <c r="A534" i="8"/>
  <c r="B534" i="8"/>
  <c r="C534" i="8"/>
  <c r="D534" i="8"/>
  <c r="G534" i="8"/>
  <c r="O534" i="6" s="1"/>
  <c r="A535" i="8"/>
  <c r="B535" i="8"/>
  <c r="C535" i="8"/>
  <c r="D535" i="8"/>
  <c r="G535" i="8"/>
  <c r="O535" i="6" s="1"/>
  <c r="A536" i="8"/>
  <c r="B536" i="8"/>
  <c r="C536" i="8"/>
  <c r="D536" i="8"/>
  <c r="G536" i="8"/>
  <c r="O536" i="6" s="1"/>
  <c r="A537" i="8"/>
  <c r="B537" i="8"/>
  <c r="C537" i="8"/>
  <c r="D537" i="8"/>
  <c r="G537" i="8"/>
  <c r="O537" i="6" s="1"/>
  <c r="A538" i="8"/>
  <c r="B538" i="8"/>
  <c r="C538" i="8"/>
  <c r="D538" i="8"/>
  <c r="G538" i="8"/>
  <c r="O538" i="6" s="1"/>
  <c r="A539" i="8"/>
  <c r="B539" i="8"/>
  <c r="C539" i="8"/>
  <c r="D539" i="8"/>
  <c r="G539" i="8"/>
  <c r="O539" i="6" s="1"/>
  <c r="A540" i="8"/>
  <c r="B540" i="8"/>
  <c r="C540" i="8"/>
  <c r="D540" i="8"/>
  <c r="G540" i="8"/>
  <c r="O540" i="6" s="1"/>
  <c r="A541" i="8"/>
  <c r="B541" i="8"/>
  <c r="C541" i="8"/>
  <c r="D541" i="8"/>
  <c r="G541" i="8"/>
  <c r="O541" i="6" s="1"/>
  <c r="A542" i="8"/>
  <c r="B542" i="8"/>
  <c r="C542" i="8"/>
  <c r="D542" i="8"/>
  <c r="G542" i="8"/>
  <c r="O542" i="6" s="1"/>
  <c r="A543" i="8"/>
  <c r="B543" i="8"/>
  <c r="C543" i="8"/>
  <c r="D543" i="8"/>
  <c r="G543" i="8"/>
  <c r="O543" i="6" s="1"/>
  <c r="A544" i="8"/>
  <c r="B544" i="8"/>
  <c r="C544" i="8"/>
  <c r="D544" i="8"/>
  <c r="G544" i="8"/>
  <c r="O544" i="6" s="1"/>
  <c r="A545" i="8"/>
  <c r="B545" i="8"/>
  <c r="C545" i="8"/>
  <c r="D545" i="8"/>
  <c r="G545" i="8"/>
  <c r="O545" i="6" s="1"/>
  <c r="A546" i="8"/>
  <c r="B546" i="8"/>
  <c r="C546" i="8"/>
  <c r="D546" i="8"/>
  <c r="G546" i="8"/>
  <c r="O546" i="6" s="1"/>
  <c r="A547" i="8"/>
  <c r="B547" i="8"/>
  <c r="C547" i="8"/>
  <c r="D547" i="8"/>
  <c r="G547" i="8"/>
  <c r="O547" i="6" s="1"/>
  <c r="A548" i="8"/>
  <c r="B548" i="8"/>
  <c r="C548" i="8"/>
  <c r="D548" i="8"/>
  <c r="G548" i="8"/>
  <c r="O548" i="6" s="1"/>
  <c r="A549" i="8"/>
  <c r="B549" i="8"/>
  <c r="C549" i="8"/>
  <c r="D549" i="8"/>
  <c r="G549" i="8"/>
  <c r="O549" i="6" s="1"/>
  <c r="A550" i="8"/>
  <c r="B550" i="8"/>
  <c r="C550" i="8"/>
  <c r="D550" i="8"/>
  <c r="G550" i="8"/>
  <c r="O550" i="6" s="1"/>
  <c r="A551" i="8"/>
  <c r="B551" i="8"/>
  <c r="C551" i="8"/>
  <c r="D551" i="8"/>
  <c r="G551" i="8"/>
  <c r="O551" i="6" s="1"/>
  <c r="A552" i="8"/>
  <c r="B552" i="8"/>
  <c r="C552" i="8"/>
  <c r="D552" i="8"/>
  <c r="G552" i="8"/>
  <c r="O552" i="6" s="1"/>
  <c r="A553" i="8"/>
  <c r="B553" i="8"/>
  <c r="C553" i="8"/>
  <c r="D553" i="8"/>
  <c r="G553" i="8"/>
  <c r="O553" i="6" s="1"/>
  <c r="A554" i="8"/>
  <c r="L554" i="8" s="1"/>
  <c r="B554" i="8"/>
  <c r="C554" i="8"/>
  <c r="D554" i="8"/>
  <c r="G554" i="8"/>
  <c r="O554" i="6" s="1"/>
  <c r="A555" i="8"/>
  <c r="B555" i="8"/>
  <c r="C555" i="8"/>
  <c r="D555" i="8"/>
  <c r="G555" i="8"/>
  <c r="O555" i="6" s="1"/>
  <c r="A556" i="8"/>
  <c r="B556" i="8"/>
  <c r="C556" i="8"/>
  <c r="D556" i="8"/>
  <c r="G556" i="8"/>
  <c r="O556" i="6" s="1"/>
  <c r="A557" i="8"/>
  <c r="B557" i="8"/>
  <c r="C557" i="8"/>
  <c r="D557" i="8"/>
  <c r="G557" i="8"/>
  <c r="O557" i="6" s="1"/>
  <c r="A558" i="8"/>
  <c r="B558" i="8"/>
  <c r="C558" i="8"/>
  <c r="D558" i="8"/>
  <c r="G558" i="8"/>
  <c r="O558" i="6" s="1"/>
  <c r="A559" i="8"/>
  <c r="B559" i="8"/>
  <c r="C559" i="8"/>
  <c r="D559" i="8"/>
  <c r="G559" i="8"/>
  <c r="O559" i="6" s="1"/>
  <c r="A560" i="8"/>
  <c r="B560" i="8"/>
  <c r="C560" i="8"/>
  <c r="D560" i="8"/>
  <c r="G560" i="8"/>
  <c r="O560" i="6" s="1"/>
  <c r="A561" i="8"/>
  <c r="B561" i="8"/>
  <c r="C561" i="8"/>
  <c r="D561" i="8"/>
  <c r="G561" i="8"/>
  <c r="O561" i="6" s="1"/>
  <c r="A562" i="8"/>
  <c r="B562" i="8"/>
  <c r="C562" i="8"/>
  <c r="D562" i="8"/>
  <c r="G562" i="8"/>
  <c r="O562" i="6" s="1"/>
  <c r="A563" i="8"/>
  <c r="B563" i="8"/>
  <c r="C563" i="8"/>
  <c r="D563" i="8"/>
  <c r="G563" i="8"/>
  <c r="O563" i="6" s="1"/>
  <c r="A564" i="8"/>
  <c r="B564" i="8"/>
  <c r="C564" i="8"/>
  <c r="D564" i="8"/>
  <c r="G564" i="8"/>
  <c r="O564" i="6" s="1"/>
  <c r="A565" i="8"/>
  <c r="B565" i="8"/>
  <c r="C565" i="8"/>
  <c r="D565" i="8"/>
  <c r="G565" i="8"/>
  <c r="O565" i="6" s="1"/>
  <c r="A566" i="8"/>
  <c r="B566" i="8"/>
  <c r="C566" i="8"/>
  <c r="D566" i="8"/>
  <c r="G566" i="8"/>
  <c r="O566" i="6" s="1"/>
  <c r="A567" i="8"/>
  <c r="B567" i="8"/>
  <c r="C567" i="8"/>
  <c r="D567" i="8"/>
  <c r="G567" i="8"/>
  <c r="O567" i="6" s="1"/>
  <c r="A568" i="8"/>
  <c r="B568" i="8"/>
  <c r="C568" i="8"/>
  <c r="D568" i="8"/>
  <c r="G568" i="8"/>
  <c r="O568" i="6" s="1"/>
  <c r="A569" i="8"/>
  <c r="B569" i="8"/>
  <c r="C569" i="8"/>
  <c r="D569" i="8"/>
  <c r="G569" i="8"/>
  <c r="O569" i="6" s="1"/>
  <c r="A570" i="8"/>
  <c r="B570" i="8"/>
  <c r="C570" i="8"/>
  <c r="D570" i="8"/>
  <c r="G570" i="8"/>
  <c r="O570" i="6" s="1"/>
  <c r="A571" i="8"/>
  <c r="B571" i="8"/>
  <c r="C571" i="8"/>
  <c r="D571" i="8"/>
  <c r="G571" i="8"/>
  <c r="O571" i="6" s="1"/>
  <c r="A572" i="8"/>
  <c r="B572" i="8"/>
  <c r="C572" i="8"/>
  <c r="D572" i="8"/>
  <c r="G572" i="8"/>
  <c r="O572" i="6" s="1"/>
  <c r="A573" i="8"/>
  <c r="B573" i="8"/>
  <c r="C573" i="8"/>
  <c r="D573" i="8"/>
  <c r="G573" i="8"/>
  <c r="O573" i="6" s="1"/>
  <c r="A574" i="8"/>
  <c r="B574" i="8"/>
  <c r="C574" i="8"/>
  <c r="D574" i="8"/>
  <c r="G574" i="8"/>
  <c r="O574" i="6" s="1"/>
  <c r="A575" i="8"/>
  <c r="B575" i="8"/>
  <c r="C575" i="8"/>
  <c r="D575" i="8"/>
  <c r="G575" i="8"/>
  <c r="O575" i="6" s="1"/>
  <c r="A576" i="8"/>
  <c r="B576" i="8"/>
  <c r="C576" i="8"/>
  <c r="D576" i="8"/>
  <c r="G576" i="8"/>
  <c r="O576" i="6" s="1"/>
  <c r="A577" i="8"/>
  <c r="B577" i="8"/>
  <c r="C577" i="8"/>
  <c r="D577" i="8"/>
  <c r="G577" i="8"/>
  <c r="O577" i="6" s="1"/>
  <c r="A578" i="8"/>
  <c r="B578" i="8"/>
  <c r="C578" i="8"/>
  <c r="D578" i="8"/>
  <c r="G578" i="8"/>
  <c r="O578" i="6" s="1"/>
  <c r="A579" i="8"/>
  <c r="B579" i="8"/>
  <c r="C579" i="8"/>
  <c r="D579" i="8"/>
  <c r="G579" i="8"/>
  <c r="O579" i="6" s="1"/>
  <c r="A580" i="8"/>
  <c r="B580" i="8"/>
  <c r="C580" i="8"/>
  <c r="D580" i="8"/>
  <c r="G580" i="8"/>
  <c r="O580" i="6" s="1"/>
  <c r="A581" i="8"/>
  <c r="B581" i="8"/>
  <c r="C581" i="8"/>
  <c r="D581" i="8"/>
  <c r="G581" i="8"/>
  <c r="O581" i="6" s="1"/>
  <c r="A582" i="8"/>
  <c r="B582" i="8"/>
  <c r="C582" i="8"/>
  <c r="D582" i="8"/>
  <c r="G582" i="8"/>
  <c r="O582" i="6" s="1"/>
  <c r="A583" i="8"/>
  <c r="B583" i="8"/>
  <c r="C583" i="8"/>
  <c r="D583" i="8"/>
  <c r="G583" i="8"/>
  <c r="O583" i="6" s="1"/>
  <c r="A584" i="8"/>
  <c r="B584" i="8"/>
  <c r="C584" i="8"/>
  <c r="D584" i="8"/>
  <c r="G584" i="8"/>
  <c r="O584" i="6" s="1"/>
  <c r="A585" i="8"/>
  <c r="B585" i="8"/>
  <c r="C585" i="8"/>
  <c r="D585" i="8"/>
  <c r="G585" i="8"/>
  <c r="O585" i="6" s="1"/>
  <c r="A586" i="8"/>
  <c r="B586" i="8"/>
  <c r="C586" i="8"/>
  <c r="D586" i="8"/>
  <c r="G586" i="8"/>
  <c r="O586" i="6" s="1"/>
  <c r="A587" i="8"/>
  <c r="B587" i="8"/>
  <c r="C587" i="8"/>
  <c r="D587" i="8"/>
  <c r="G587" i="8"/>
  <c r="O587" i="6" s="1"/>
  <c r="A588" i="8"/>
  <c r="B588" i="8"/>
  <c r="C588" i="8"/>
  <c r="D588" i="8"/>
  <c r="G588" i="8"/>
  <c r="O588" i="6" s="1"/>
  <c r="A589" i="8"/>
  <c r="B589" i="8"/>
  <c r="C589" i="8"/>
  <c r="D589" i="8"/>
  <c r="G589" i="8"/>
  <c r="O589" i="6" s="1"/>
  <c r="A590" i="8"/>
  <c r="B590" i="8"/>
  <c r="C590" i="8"/>
  <c r="D590" i="8"/>
  <c r="G590" i="8"/>
  <c r="O590" i="6" s="1"/>
  <c r="A591" i="8"/>
  <c r="B591" i="8"/>
  <c r="C591" i="8"/>
  <c r="D591" i="8"/>
  <c r="G591" i="8"/>
  <c r="O591" i="6" s="1"/>
  <c r="A592" i="8"/>
  <c r="B592" i="8"/>
  <c r="C592" i="8"/>
  <c r="D592" i="8"/>
  <c r="G592" i="8"/>
  <c r="O592" i="6" s="1"/>
  <c r="A593" i="8"/>
  <c r="B593" i="8"/>
  <c r="C593" i="8"/>
  <c r="D593" i="8"/>
  <c r="G593" i="8"/>
  <c r="O593" i="6" s="1"/>
  <c r="A594" i="8"/>
  <c r="B594" i="8"/>
  <c r="C594" i="8"/>
  <c r="D594" i="8"/>
  <c r="G594" i="8"/>
  <c r="O594" i="6" s="1"/>
  <c r="A595" i="8"/>
  <c r="B595" i="8"/>
  <c r="C595" i="8"/>
  <c r="D595" i="8"/>
  <c r="G595" i="8"/>
  <c r="O595" i="6" s="1"/>
  <c r="A596" i="8"/>
  <c r="B596" i="8"/>
  <c r="C596" i="8"/>
  <c r="D596" i="8"/>
  <c r="G596" i="8"/>
  <c r="O596" i="6" s="1"/>
  <c r="A597" i="8"/>
  <c r="B597" i="8"/>
  <c r="C597" i="8"/>
  <c r="D597" i="8"/>
  <c r="G597" i="8"/>
  <c r="O597" i="6" s="1"/>
  <c r="A598" i="8"/>
  <c r="B598" i="8"/>
  <c r="C598" i="8"/>
  <c r="D598" i="8"/>
  <c r="G598" i="8"/>
  <c r="O598" i="6" s="1"/>
  <c r="A599" i="8"/>
  <c r="B599" i="8"/>
  <c r="C599" i="8"/>
  <c r="D599" i="8"/>
  <c r="G599" i="8"/>
  <c r="O599" i="6" s="1"/>
  <c r="A600" i="8"/>
  <c r="B600" i="8"/>
  <c r="C600" i="8"/>
  <c r="D600" i="8"/>
  <c r="G600" i="8"/>
  <c r="O600" i="6" s="1"/>
  <c r="A601" i="8"/>
  <c r="B601" i="8"/>
  <c r="C601" i="8"/>
  <c r="D601" i="8"/>
  <c r="G601" i="8"/>
  <c r="O601" i="6" s="1"/>
  <c r="A602" i="8"/>
  <c r="B602" i="8"/>
  <c r="C602" i="8"/>
  <c r="D602" i="8"/>
  <c r="G602" i="8"/>
  <c r="O602" i="6" s="1"/>
  <c r="A603" i="8"/>
  <c r="B603" i="8"/>
  <c r="C603" i="8"/>
  <c r="D603" i="8"/>
  <c r="G603" i="8"/>
  <c r="O603" i="6" s="1"/>
  <c r="A604" i="8"/>
  <c r="B604" i="8"/>
  <c r="C604" i="8"/>
  <c r="D604" i="8"/>
  <c r="G604" i="8"/>
  <c r="O604" i="6" s="1"/>
  <c r="A605" i="8"/>
  <c r="B605" i="8"/>
  <c r="C605" i="8"/>
  <c r="D605" i="8"/>
  <c r="G605" i="8"/>
  <c r="O605" i="6" s="1"/>
  <c r="A606" i="8"/>
  <c r="B606" i="8"/>
  <c r="C606" i="8"/>
  <c r="D606" i="8"/>
  <c r="G606" i="8"/>
  <c r="O606" i="6" s="1"/>
  <c r="A607" i="8"/>
  <c r="B607" i="8"/>
  <c r="C607" i="8"/>
  <c r="D607" i="8"/>
  <c r="G607" i="8"/>
  <c r="O607" i="6" s="1"/>
  <c r="A608" i="8"/>
  <c r="B608" i="8"/>
  <c r="C608" i="8"/>
  <c r="D608" i="8"/>
  <c r="G608" i="8"/>
  <c r="O608" i="6" s="1"/>
  <c r="A609" i="8"/>
  <c r="B609" i="8"/>
  <c r="C609" i="8"/>
  <c r="D609" i="8"/>
  <c r="G609" i="8"/>
  <c r="O609" i="6" s="1"/>
  <c r="A610" i="8"/>
  <c r="B610" i="8"/>
  <c r="C610" i="8"/>
  <c r="D610" i="8"/>
  <c r="G610" i="8"/>
  <c r="O610" i="6" s="1"/>
  <c r="A611" i="8"/>
  <c r="B611" i="8"/>
  <c r="C611" i="8"/>
  <c r="D611" i="8"/>
  <c r="G611" i="8"/>
  <c r="O611" i="6" s="1"/>
  <c r="A612" i="8"/>
  <c r="B612" i="8"/>
  <c r="C612" i="8"/>
  <c r="D612" i="8"/>
  <c r="G612" i="8"/>
  <c r="O612" i="6" s="1"/>
  <c r="A613" i="8"/>
  <c r="B613" i="8"/>
  <c r="C613" i="8"/>
  <c r="D613" i="8"/>
  <c r="G613" i="8"/>
  <c r="O613" i="6" s="1"/>
  <c r="A614" i="8"/>
  <c r="B614" i="8"/>
  <c r="C614" i="8"/>
  <c r="D614" i="8"/>
  <c r="G614" i="8"/>
  <c r="O614" i="6" s="1"/>
  <c r="A615" i="8"/>
  <c r="B615" i="8"/>
  <c r="C615" i="8"/>
  <c r="D615" i="8"/>
  <c r="G615" i="8"/>
  <c r="O615" i="6" s="1"/>
  <c r="A616" i="8"/>
  <c r="B616" i="8"/>
  <c r="C616" i="8"/>
  <c r="D616" i="8"/>
  <c r="G616" i="8"/>
  <c r="O616" i="6" s="1"/>
  <c r="A617" i="8"/>
  <c r="B617" i="8"/>
  <c r="C617" i="8"/>
  <c r="D617" i="8"/>
  <c r="G617" i="8"/>
  <c r="O617" i="6" s="1"/>
  <c r="A618" i="8"/>
  <c r="B618" i="8"/>
  <c r="C618" i="8"/>
  <c r="D618" i="8"/>
  <c r="G618" i="8"/>
  <c r="O618" i="6" s="1"/>
  <c r="A619" i="8"/>
  <c r="B619" i="8"/>
  <c r="C619" i="8"/>
  <c r="D619" i="8"/>
  <c r="G619" i="8"/>
  <c r="O619" i="6" s="1"/>
  <c r="A620" i="8"/>
  <c r="B620" i="8"/>
  <c r="C620" i="8"/>
  <c r="D620" i="8"/>
  <c r="G620" i="8"/>
  <c r="O620" i="6" s="1"/>
  <c r="A621" i="8"/>
  <c r="B621" i="8"/>
  <c r="C621" i="8"/>
  <c r="D621" i="8"/>
  <c r="G621" i="8"/>
  <c r="O621" i="6" s="1"/>
  <c r="A622" i="8"/>
  <c r="B622" i="8"/>
  <c r="C622" i="8"/>
  <c r="D622" i="8"/>
  <c r="G622" i="8"/>
  <c r="O622" i="6" s="1"/>
  <c r="A623" i="8"/>
  <c r="B623" i="8"/>
  <c r="C623" i="8"/>
  <c r="D623" i="8"/>
  <c r="G623" i="8"/>
  <c r="O623" i="6" s="1"/>
  <c r="A624" i="8"/>
  <c r="B624" i="8"/>
  <c r="C624" i="8"/>
  <c r="D624" i="8"/>
  <c r="G624" i="8"/>
  <c r="O624" i="6" s="1"/>
  <c r="A625" i="8"/>
  <c r="B625" i="8"/>
  <c r="C625" i="8"/>
  <c r="D625" i="8"/>
  <c r="G625" i="8"/>
  <c r="O625" i="6" s="1"/>
  <c r="A626" i="8"/>
  <c r="B626" i="8"/>
  <c r="C626" i="8"/>
  <c r="D626" i="8"/>
  <c r="G626" i="8"/>
  <c r="O626" i="6" s="1"/>
  <c r="A627" i="8"/>
  <c r="B627" i="8"/>
  <c r="C627" i="8"/>
  <c r="D627" i="8"/>
  <c r="G627" i="8"/>
  <c r="O627" i="6" s="1"/>
  <c r="A628" i="8"/>
  <c r="B628" i="8"/>
  <c r="C628" i="8"/>
  <c r="D628" i="8"/>
  <c r="G628" i="8"/>
  <c r="O628" i="6" s="1"/>
  <c r="A629" i="8"/>
  <c r="B629" i="8"/>
  <c r="C629" i="8"/>
  <c r="D629" i="8"/>
  <c r="G629" i="8"/>
  <c r="O629" i="6" s="1"/>
  <c r="A630" i="8"/>
  <c r="B630" i="8"/>
  <c r="C630" i="8"/>
  <c r="D630" i="8"/>
  <c r="G630" i="8"/>
  <c r="O630" i="6" s="1"/>
  <c r="A631" i="8"/>
  <c r="B631" i="8"/>
  <c r="C631" i="8"/>
  <c r="D631" i="8"/>
  <c r="G631" i="8"/>
  <c r="O631" i="6" s="1"/>
  <c r="A632" i="8"/>
  <c r="B632" i="8"/>
  <c r="C632" i="8"/>
  <c r="D632" i="8"/>
  <c r="G632" i="8"/>
  <c r="O632" i="6" s="1"/>
  <c r="A633" i="8"/>
  <c r="B633" i="8"/>
  <c r="C633" i="8"/>
  <c r="D633" i="8"/>
  <c r="G633" i="8"/>
  <c r="O633" i="6" s="1"/>
  <c r="A634" i="8"/>
  <c r="B634" i="8"/>
  <c r="C634" i="8"/>
  <c r="D634" i="8"/>
  <c r="G634" i="8"/>
  <c r="O634" i="6" s="1"/>
  <c r="A635" i="8"/>
  <c r="B635" i="8"/>
  <c r="C635" i="8"/>
  <c r="D635" i="8"/>
  <c r="G635" i="8"/>
  <c r="O635" i="6" s="1"/>
  <c r="A636" i="8"/>
  <c r="B636" i="8"/>
  <c r="C636" i="8"/>
  <c r="D636" i="8"/>
  <c r="G636" i="8"/>
  <c r="O636" i="6" s="1"/>
  <c r="A637" i="8"/>
  <c r="B637" i="8"/>
  <c r="C637" i="8"/>
  <c r="D637" i="8"/>
  <c r="G637" i="8"/>
  <c r="O637" i="6" s="1"/>
  <c r="A638" i="8"/>
  <c r="B638" i="8"/>
  <c r="C638" i="8"/>
  <c r="D638" i="8"/>
  <c r="G638" i="8"/>
  <c r="O638" i="6" s="1"/>
  <c r="A639" i="8"/>
  <c r="B639" i="8"/>
  <c r="C639" i="8"/>
  <c r="D639" i="8"/>
  <c r="G639" i="8"/>
  <c r="O639" i="6" s="1"/>
  <c r="A640" i="8"/>
  <c r="B640" i="8"/>
  <c r="C640" i="8"/>
  <c r="D640" i="8"/>
  <c r="G640" i="8"/>
  <c r="O640" i="6" s="1"/>
  <c r="A641" i="8"/>
  <c r="B641" i="8"/>
  <c r="C641" i="8"/>
  <c r="D641" i="8"/>
  <c r="G641" i="8"/>
  <c r="O641" i="6" s="1"/>
  <c r="A642" i="8"/>
  <c r="B642" i="8"/>
  <c r="C642" i="8"/>
  <c r="D642" i="8"/>
  <c r="G642" i="8"/>
  <c r="O642" i="6" s="1"/>
  <c r="A643" i="8"/>
  <c r="B643" i="8"/>
  <c r="C643" i="8"/>
  <c r="D643" i="8"/>
  <c r="G643" i="8"/>
  <c r="O643" i="6" s="1"/>
  <c r="A644" i="8"/>
  <c r="B644" i="8"/>
  <c r="C644" i="8"/>
  <c r="D644" i="8"/>
  <c r="G644" i="8"/>
  <c r="O644" i="6" s="1"/>
  <c r="A645" i="8"/>
  <c r="B645" i="8"/>
  <c r="C645" i="8"/>
  <c r="D645" i="8"/>
  <c r="G645" i="8"/>
  <c r="O645" i="6" s="1"/>
  <c r="A646" i="8"/>
  <c r="B646" i="8"/>
  <c r="C646" i="8"/>
  <c r="D646" i="8"/>
  <c r="G646" i="8"/>
  <c r="O646" i="6" s="1"/>
  <c r="A647" i="8"/>
  <c r="B647" i="8"/>
  <c r="C647" i="8"/>
  <c r="D647" i="8"/>
  <c r="G647" i="8"/>
  <c r="O647" i="6" s="1"/>
  <c r="A648" i="8"/>
  <c r="B648" i="8"/>
  <c r="C648" i="8"/>
  <c r="D648" i="8"/>
  <c r="G648" i="8"/>
  <c r="O648" i="6" s="1"/>
  <c r="A649" i="8"/>
  <c r="B649" i="8"/>
  <c r="C649" i="8"/>
  <c r="D649" i="8"/>
  <c r="G649" i="8"/>
  <c r="O649" i="6" s="1"/>
  <c r="A650" i="8"/>
  <c r="B650" i="8"/>
  <c r="C650" i="8"/>
  <c r="D650" i="8"/>
  <c r="G650" i="8"/>
  <c r="O650" i="6" s="1"/>
  <c r="A651" i="8"/>
  <c r="B651" i="8"/>
  <c r="C651" i="8"/>
  <c r="D651" i="8"/>
  <c r="G651" i="8"/>
  <c r="O651" i="6" s="1"/>
  <c r="A652" i="8"/>
  <c r="B652" i="8"/>
  <c r="C652" i="8"/>
  <c r="D652" i="8"/>
  <c r="G652" i="8"/>
  <c r="O652" i="6" s="1"/>
  <c r="A653" i="8"/>
  <c r="B653" i="8"/>
  <c r="C653" i="8"/>
  <c r="D653" i="8"/>
  <c r="G653" i="8"/>
  <c r="O653" i="6" s="1"/>
  <c r="A654" i="8"/>
  <c r="B654" i="8"/>
  <c r="C654" i="8"/>
  <c r="D654" i="8"/>
  <c r="G654" i="8"/>
  <c r="O654" i="6" s="1"/>
  <c r="A655" i="8"/>
  <c r="B655" i="8"/>
  <c r="C655" i="8"/>
  <c r="D655" i="8"/>
  <c r="G655" i="8"/>
  <c r="O655" i="6" s="1"/>
  <c r="A656" i="8"/>
  <c r="B656" i="8"/>
  <c r="C656" i="8"/>
  <c r="D656" i="8"/>
  <c r="G656" i="8"/>
  <c r="O656" i="6" s="1"/>
  <c r="A657" i="8"/>
  <c r="B657" i="8"/>
  <c r="C657" i="8"/>
  <c r="D657" i="8"/>
  <c r="G657" i="8"/>
  <c r="O657" i="6" s="1"/>
  <c r="A658" i="8"/>
  <c r="B658" i="8"/>
  <c r="C658" i="8"/>
  <c r="D658" i="8"/>
  <c r="G658" i="8"/>
  <c r="O658" i="6" s="1"/>
  <c r="A659" i="8"/>
  <c r="B659" i="8"/>
  <c r="C659" i="8"/>
  <c r="D659" i="8"/>
  <c r="G659" i="8"/>
  <c r="O659" i="6" s="1"/>
  <c r="A660" i="8"/>
  <c r="B660" i="8"/>
  <c r="C660" i="8"/>
  <c r="D660" i="8"/>
  <c r="G660" i="8"/>
  <c r="O660" i="6" s="1"/>
  <c r="A661" i="8"/>
  <c r="B661" i="8"/>
  <c r="C661" i="8"/>
  <c r="D661" i="8"/>
  <c r="G661" i="8"/>
  <c r="O661" i="6" s="1"/>
  <c r="A662" i="8"/>
  <c r="B662" i="8"/>
  <c r="C662" i="8"/>
  <c r="D662" i="8"/>
  <c r="G662" i="8"/>
  <c r="O662" i="6" s="1"/>
  <c r="A663" i="8"/>
  <c r="B663" i="8"/>
  <c r="C663" i="8"/>
  <c r="D663" i="8"/>
  <c r="G663" i="8"/>
  <c r="O663" i="6" s="1"/>
  <c r="A664" i="8"/>
  <c r="B664" i="8"/>
  <c r="C664" i="8"/>
  <c r="D664" i="8"/>
  <c r="G664" i="8"/>
  <c r="O664" i="6" s="1"/>
  <c r="A665" i="8"/>
  <c r="B665" i="8"/>
  <c r="C665" i="8"/>
  <c r="D665" i="8"/>
  <c r="G665" i="8"/>
  <c r="O665" i="6" s="1"/>
  <c r="A666" i="8"/>
  <c r="B666" i="8"/>
  <c r="C666" i="8"/>
  <c r="D666" i="8"/>
  <c r="G666" i="8"/>
  <c r="O666" i="6" s="1"/>
  <c r="A667" i="8"/>
  <c r="B667" i="8"/>
  <c r="C667" i="8"/>
  <c r="D667" i="8"/>
  <c r="G667" i="8"/>
  <c r="O667" i="6" s="1"/>
  <c r="A668" i="8"/>
  <c r="B668" i="8"/>
  <c r="C668" i="8"/>
  <c r="D668" i="8"/>
  <c r="G668" i="8"/>
  <c r="O668" i="6" s="1"/>
  <c r="A669" i="8"/>
  <c r="B669" i="8"/>
  <c r="C669" i="8"/>
  <c r="D669" i="8"/>
  <c r="G669" i="8"/>
  <c r="O669" i="6" s="1"/>
  <c r="A670" i="8"/>
  <c r="B670" i="8"/>
  <c r="C670" i="8"/>
  <c r="D670" i="8"/>
  <c r="G670" i="8"/>
  <c r="O670" i="6" s="1"/>
  <c r="A671" i="8"/>
  <c r="B671" i="8"/>
  <c r="C671" i="8"/>
  <c r="D671" i="8"/>
  <c r="G671" i="8"/>
  <c r="O671" i="6" s="1"/>
  <c r="A672" i="8"/>
  <c r="B672" i="8"/>
  <c r="C672" i="8"/>
  <c r="D672" i="8"/>
  <c r="G672" i="8"/>
  <c r="O672" i="6" s="1"/>
  <c r="A673" i="8"/>
  <c r="B673" i="8"/>
  <c r="C673" i="8"/>
  <c r="D673" i="8"/>
  <c r="G673" i="8"/>
  <c r="O673" i="6" s="1"/>
  <c r="A674" i="8"/>
  <c r="B674" i="8"/>
  <c r="C674" i="8"/>
  <c r="D674" i="8"/>
  <c r="G674" i="8"/>
  <c r="O674" i="6" s="1"/>
  <c r="A675" i="8"/>
  <c r="B675" i="8"/>
  <c r="C675" i="8"/>
  <c r="D675" i="8"/>
  <c r="G675" i="8"/>
  <c r="O675" i="6" s="1"/>
  <c r="A676" i="8"/>
  <c r="B676" i="8"/>
  <c r="C676" i="8"/>
  <c r="D676" i="8"/>
  <c r="G676" i="8"/>
  <c r="O676" i="6" s="1"/>
  <c r="A677" i="8"/>
  <c r="B677" i="8"/>
  <c r="C677" i="8"/>
  <c r="D677" i="8"/>
  <c r="G677" i="8"/>
  <c r="O677" i="6" s="1"/>
  <c r="A678" i="8"/>
  <c r="B678" i="8"/>
  <c r="C678" i="8"/>
  <c r="D678" i="8"/>
  <c r="G678" i="8"/>
  <c r="O678" i="6" s="1"/>
  <c r="A679" i="8"/>
  <c r="B679" i="8"/>
  <c r="C679" i="8"/>
  <c r="D679" i="8"/>
  <c r="G679" i="8"/>
  <c r="O679" i="6" s="1"/>
  <c r="A680" i="8"/>
  <c r="B680" i="8"/>
  <c r="C680" i="8"/>
  <c r="D680" i="8"/>
  <c r="G680" i="8"/>
  <c r="O680" i="6" s="1"/>
  <c r="A681" i="8"/>
  <c r="B681" i="8"/>
  <c r="C681" i="8"/>
  <c r="D681" i="8"/>
  <c r="G681" i="8"/>
  <c r="O681" i="6" s="1"/>
  <c r="A682" i="8"/>
  <c r="B682" i="8"/>
  <c r="C682" i="8"/>
  <c r="D682" i="8"/>
  <c r="G682" i="8"/>
  <c r="O682" i="6" s="1"/>
  <c r="A683" i="8"/>
  <c r="B683" i="8"/>
  <c r="C683" i="8"/>
  <c r="D683" i="8"/>
  <c r="G683" i="8"/>
  <c r="O683" i="6" s="1"/>
  <c r="A684" i="8"/>
  <c r="B684" i="8"/>
  <c r="C684" i="8"/>
  <c r="D684" i="8"/>
  <c r="G684" i="8"/>
  <c r="O684" i="6" s="1"/>
  <c r="A685" i="8"/>
  <c r="B685" i="8"/>
  <c r="C685" i="8"/>
  <c r="D685" i="8"/>
  <c r="G685" i="8"/>
  <c r="O685" i="6" s="1"/>
  <c r="A686" i="8"/>
  <c r="B686" i="8"/>
  <c r="C686" i="8"/>
  <c r="D686" i="8"/>
  <c r="G686" i="8"/>
  <c r="O686" i="6" s="1"/>
  <c r="A687" i="8"/>
  <c r="B687" i="8"/>
  <c r="C687" i="8"/>
  <c r="D687" i="8"/>
  <c r="G687" i="8"/>
  <c r="O687" i="6" s="1"/>
  <c r="A688" i="8"/>
  <c r="B688" i="8"/>
  <c r="C688" i="8"/>
  <c r="D688" i="8"/>
  <c r="G688" i="8"/>
  <c r="O688" i="6" s="1"/>
  <c r="A689" i="8"/>
  <c r="B689" i="8"/>
  <c r="C689" i="8"/>
  <c r="D689" i="8"/>
  <c r="G689" i="8"/>
  <c r="O689" i="6" s="1"/>
  <c r="A690" i="8"/>
  <c r="B690" i="8"/>
  <c r="C690" i="8"/>
  <c r="D690" i="8"/>
  <c r="G690" i="8"/>
  <c r="O690" i="6" s="1"/>
  <c r="A691" i="8"/>
  <c r="B691" i="8"/>
  <c r="C691" i="8"/>
  <c r="D691" i="8"/>
  <c r="G691" i="8"/>
  <c r="O691" i="6" s="1"/>
  <c r="A692" i="8"/>
  <c r="B692" i="8"/>
  <c r="C692" i="8"/>
  <c r="D692" i="8"/>
  <c r="G692" i="8"/>
  <c r="O692" i="6" s="1"/>
  <c r="A693" i="8"/>
  <c r="B693" i="8"/>
  <c r="C693" i="8"/>
  <c r="D693" i="8"/>
  <c r="G693" i="8"/>
  <c r="O693" i="6" s="1"/>
  <c r="A694" i="8"/>
  <c r="B694" i="8"/>
  <c r="C694" i="8"/>
  <c r="D694" i="8"/>
  <c r="G694" i="8"/>
  <c r="O694" i="6" s="1"/>
  <c r="A695" i="8"/>
  <c r="B695" i="8"/>
  <c r="C695" i="8"/>
  <c r="D695" i="8"/>
  <c r="G695" i="8"/>
  <c r="O695" i="6" s="1"/>
  <c r="A696" i="8"/>
  <c r="B696" i="8"/>
  <c r="C696" i="8"/>
  <c r="D696" i="8"/>
  <c r="G696" i="8"/>
  <c r="A697" i="8"/>
  <c r="B697" i="8"/>
  <c r="C697" i="8"/>
  <c r="D697" i="8"/>
  <c r="G697" i="8"/>
  <c r="O697" i="6" s="1"/>
  <c r="A698" i="8"/>
  <c r="L698" i="8" s="1"/>
  <c r="B698" i="8"/>
  <c r="C698" i="8"/>
  <c r="D698" i="8"/>
  <c r="G698" i="8"/>
  <c r="O698" i="6" s="1"/>
  <c r="A699" i="8"/>
  <c r="B699" i="8"/>
  <c r="C699" i="8"/>
  <c r="D699" i="8"/>
  <c r="G699" i="8"/>
  <c r="O699" i="6" s="1"/>
  <c r="A700" i="8"/>
  <c r="B700" i="8"/>
  <c r="C700" i="8"/>
  <c r="D700" i="8"/>
  <c r="G700" i="8"/>
  <c r="O700" i="6" s="1"/>
  <c r="A701" i="8"/>
  <c r="B701" i="8"/>
  <c r="C701" i="8"/>
  <c r="D701" i="8"/>
  <c r="G701" i="8"/>
  <c r="O701" i="6" s="1"/>
  <c r="A702" i="8"/>
  <c r="B702" i="8"/>
  <c r="C702" i="8"/>
  <c r="D702" i="8"/>
  <c r="G702" i="8"/>
  <c r="O702" i="6" s="1"/>
  <c r="A703" i="8"/>
  <c r="B703" i="8"/>
  <c r="C703" i="8"/>
  <c r="D703" i="8"/>
  <c r="G703" i="8"/>
  <c r="O703" i="6" s="1"/>
  <c r="A704" i="8"/>
  <c r="B704" i="8"/>
  <c r="C704" i="8"/>
  <c r="D704" i="8"/>
  <c r="G704" i="8"/>
  <c r="O704" i="6" s="1"/>
  <c r="A705" i="8"/>
  <c r="B705" i="8"/>
  <c r="C705" i="8"/>
  <c r="D705" i="8"/>
  <c r="G705" i="8"/>
  <c r="O705" i="6" s="1"/>
  <c r="A706" i="8"/>
  <c r="B706" i="8"/>
  <c r="C706" i="8"/>
  <c r="D706" i="8"/>
  <c r="G706" i="8"/>
  <c r="O706" i="6" s="1"/>
  <c r="A707" i="8"/>
  <c r="B707" i="8"/>
  <c r="C707" i="8"/>
  <c r="D707" i="8"/>
  <c r="G707" i="8"/>
  <c r="O707" i="6" s="1"/>
  <c r="A708" i="8"/>
  <c r="B708" i="8"/>
  <c r="C708" i="8"/>
  <c r="D708" i="8"/>
  <c r="G708" i="8"/>
  <c r="O708" i="6" s="1"/>
  <c r="A709" i="8"/>
  <c r="B709" i="8"/>
  <c r="C709" i="8"/>
  <c r="D709" i="8"/>
  <c r="G709" i="8"/>
  <c r="O709" i="6" s="1"/>
  <c r="A710" i="8"/>
  <c r="B710" i="8"/>
  <c r="C710" i="8"/>
  <c r="D710" i="8"/>
  <c r="G710" i="8"/>
  <c r="O710" i="6" s="1"/>
  <c r="A711" i="8"/>
  <c r="B711" i="8"/>
  <c r="C711" i="8"/>
  <c r="D711" i="8"/>
  <c r="G711" i="8"/>
  <c r="O711" i="6" s="1"/>
  <c r="A712" i="8"/>
  <c r="B712" i="8"/>
  <c r="C712" i="8"/>
  <c r="D712" i="8"/>
  <c r="G712" i="8"/>
  <c r="O712" i="6" s="1"/>
  <c r="A713" i="8"/>
  <c r="B713" i="8"/>
  <c r="C713" i="8"/>
  <c r="D713" i="8"/>
  <c r="G713" i="8"/>
  <c r="O713" i="6" s="1"/>
  <c r="A714" i="8"/>
  <c r="B714" i="8"/>
  <c r="C714" i="8"/>
  <c r="D714" i="8"/>
  <c r="G714" i="8"/>
  <c r="O714" i="6" s="1"/>
  <c r="A715" i="8"/>
  <c r="B715" i="8"/>
  <c r="C715" i="8"/>
  <c r="D715" i="8"/>
  <c r="G715" i="8"/>
  <c r="O715" i="6" s="1"/>
  <c r="A716" i="8"/>
  <c r="B716" i="8"/>
  <c r="C716" i="8"/>
  <c r="D716" i="8"/>
  <c r="G716" i="8"/>
  <c r="O716" i="6" s="1"/>
  <c r="A717" i="8"/>
  <c r="B717" i="8"/>
  <c r="C717" i="8"/>
  <c r="D717" i="8"/>
  <c r="G717" i="8"/>
  <c r="O717" i="6" s="1"/>
  <c r="A718" i="8"/>
  <c r="B718" i="8"/>
  <c r="C718" i="8"/>
  <c r="D718" i="8"/>
  <c r="G718" i="8"/>
  <c r="O718" i="6" s="1"/>
  <c r="A719" i="8"/>
  <c r="B719" i="8"/>
  <c r="C719" i="8"/>
  <c r="D719" i="8"/>
  <c r="G719" i="8"/>
  <c r="O719" i="6" s="1"/>
  <c r="A720" i="8"/>
  <c r="B720" i="8"/>
  <c r="C720" i="8"/>
  <c r="D720" i="8"/>
  <c r="G720" i="8"/>
  <c r="O720" i="6" s="1"/>
  <c r="A721" i="8"/>
  <c r="B721" i="8"/>
  <c r="C721" i="8"/>
  <c r="D721" i="8"/>
  <c r="G721" i="8"/>
  <c r="O721" i="6" s="1"/>
  <c r="A722" i="8"/>
  <c r="B722" i="8"/>
  <c r="C722" i="8"/>
  <c r="D722" i="8"/>
  <c r="G722" i="8"/>
  <c r="O722" i="6" s="1"/>
  <c r="A723" i="8"/>
  <c r="B723" i="8"/>
  <c r="C723" i="8"/>
  <c r="D723" i="8"/>
  <c r="G723" i="8"/>
  <c r="O723" i="6" s="1"/>
  <c r="A724" i="8"/>
  <c r="B724" i="8"/>
  <c r="C724" i="8"/>
  <c r="D724" i="8"/>
  <c r="G724" i="8"/>
  <c r="O724" i="6" s="1"/>
  <c r="A725" i="8"/>
  <c r="B725" i="8"/>
  <c r="C725" i="8"/>
  <c r="D725" i="8"/>
  <c r="G725" i="8"/>
  <c r="O725" i="6" s="1"/>
  <c r="A726" i="8"/>
  <c r="B726" i="8"/>
  <c r="C726" i="8"/>
  <c r="D726" i="8"/>
  <c r="G726" i="8"/>
  <c r="O726" i="6" s="1"/>
  <c r="A727" i="8"/>
  <c r="B727" i="8"/>
  <c r="C727" i="8"/>
  <c r="D727" i="8"/>
  <c r="G727" i="8"/>
  <c r="O727" i="6" s="1"/>
  <c r="A728" i="8"/>
  <c r="B728" i="8"/>
  <c r="C728" i="8"/>
  <c r="D728" i="8"/>
  <c r="G728" i="8"/>
  <c r="O728" i="6" s="1"/>
  <c r="A729" i="8"/>
  <c r="B729" i="8"/>
  <c r="C729" i="8"/>
  <c r="D729" i="8"/>
  <c r="G729" i="8"/>
  <c r="O729" i="6" s="1"/>
  <c r="A730" i="8"/>
  <c r="B730" i="8"/>
  <c r="C730" i="8"/>
  <c r="D730" i="8"/>
  <c r="G730" i="8"/>
  <c r="A731" i="8"/>
  <c r="B731" i="8"/>
  <c r="C731" i="8"/>
  <c r="D731" i="8"/>
  <c r="G731" i="8"/>
  <c r="O731" i="6" s="1"/>
  <c r="A732" i="8"/>
  <c r="B732" i="8"/>
  <c r="C732" i="8"/>
  <c r="D732" i="8"/>
  <c r="G732" i="8"/>
  <c r="O732" i="6" s="1"/>
  <c r="A733" i="8"/>
  <c r="B733" i="8"/>
  <c r="C733" i="8"/>
  <c r="D733" i="8"/>
  <c r="G733" i="8"/>
  <c r="O733" i="6" s="1"/>
  <c r="A734" i="8"/>
  <c r="B734" i="8"/>
  <c r="C734" i="8"/>
  <c r="D734" i="8"/>
  <c r="G734" i="8"/>
  <c r="O734" i="6" s="1"/>
  <c r="A735" i="8"/>
  <c r="B735" i="8"/>
  <c r="C735" i="8"/>
  <c r="D735" i="8"/>
  <c r="G735" i="8"/>
  <c r="O735" i="6" s="1"/>
  <c r="A736" i="8"/>
  <c r="B736" i="8"/>
  <c r="C736" i="8"/>
  <c r="D736" i="8"/>
  <c r="G736" i="8"/>
  <c r="O736" i="6" s="1"/>
  <c r="A737" i="8"/>
  <c r="B737" i="8"/>
  <c r="C737" i="8"/>
  <c r="D737" i="8"/>
  <c r="G737" i="8"/>
  <c r="O737" i="6" s="1"/>
  <c r="A738" i="8"/>
  <c r="B738" i="8"/>
  <c r="C738" i="8"/>
  <c r="D738" i="8"/>
  <c r="G738" i="8"/>
  <c r="O738" i="6" s="1"/>
  <c r="A739" i="8"/>
  <c r="B739" i="8"/>
  <c r="C739" i="8"/>
  <c r="D739" i="8"/>
  <c r="G739" i="8"/>
  <c r="O739" i="6" s="1"/>
  <c r="A740" i="8"/>
  <c r="B740" i="8"/>
  <c r="C740" i="8"/>
  <c r="D740" i="8"/>
  <c r="G740" i="8"/>
  <c r="O740" i="6" s="1"/>
  <c r="A741" i="8"/>
  <c r="B741" i="8"/>
  <c r="C741" i="8"/>
  <c r="D741" i="8"/>
  <c r="G741" i="8"/>
  <c r="O741" i="6" s="1"/>
  <c r="A742" i="8"/>
  <c r="B742" i="8"/>
  <c r="C742" i="8"/>
  <c r="D742" i="8"/>
  <c r="G742" i="8"/>
  <c r="O742" i="6" s="1"/>
  <c r="A743" i="8"/>
  <c r="B743" i="8"/>
  <c r="C743" i="8"/>
  <c r="D743" i="8"/>
  <c r="G743" i="8"/>
  <c r="O743" i="6" s="1"/>
  <c r="A744" i="8"/>
  <c r="B744" i="8"/>
  <c r="C744" i="8"/>
  <c r="D744" i="8"/>
  <c r="G744" i="8"/>
  <c r="O744" i="6" s="1"/>
  <c r="A745" i="8"/>
  <c r="B745" i="8"/>
  <c r="C745" i="8"/>
  <c r="D745" i="8"/>
  <c r="G745" i="8"/>
  <c r="O745" i="6" s="1"/>
  <c r="A746" i="8"/>
  <c r="B746" i="8"/>
  <c r="C746" i="8"/>
  <c r="D746" i="8"/>
  <c r="G746" i="8"/>
  <c r="O746" i="6" s="1"/>
  <c r="A747" i="8"/>
  <c r="B747" i="8"/>
  <c r="C747" i="8"/>
  <c r="D747" i="8"/>
  <c r="G747" i="8"/>
  <c r="O747" i="6" s="1"/>
  <c r="A748" i="8"/>
  <c r="B748" i="8"/>
  <c r="C748" i="8"/>
  <c r="D748" i="8"/>
  <c r="G748" i="8"/>
  <c r="O748" i="6" s="1"/>
  <c r="A749" i="8"/>
  <c r="B749" i="8"/>
  <c r="C749" i="8"/>
  <c r="D749" i="8"/>
  <c r="G749" i="8"/>
  <c r="O749" i="6" s="1"/>
  <c r="A750" i="8"/>
  <c r="B750" i="8"/>
  <c r="C750" i="8"/>
  <c r="D750" i="8"/>
  <c r="G750" i="8"/>
  <c r="O750" i="6" s="1"/>
  <c r="A751" i="8"/>
  <c r="B751" i="8"/>
  <c r="C751" i="8"/>
  <c r="D751" i="8"/>
  <c r="G751" i="8"/>
  <c r="O751" i="6" s="1"/>
  <c r="A752" i="8"/>
  <c r="B752" i="8"/>
  <c r="C752" i="8"/>
  <c r="D752" i="8"/>
  <c r="G752" i="8"/>
  <c r="O752" i="6" s="1"/>
  <c r="A753" i="8"/>
  <c r="B753" i="8"/>
  <c r="C753" i="8"/>
  <c r="D753" i="8"/>
  <c r="G753" i="8"/>
  <c r="O753" i="6" s="1"/>
  <c r="A754" i="8"/>
  <c r="B754" i="8"/>
  <c r="C754" i="8"/>
  <c r="D754" i="8"/>
  <c r="G754" i="8"/>
  <c r="O754" i="6" s="1"/>
  <c r="A755" i="8"/>
  <c r="B755" i="8"/>
  <c r="C755" i="8"/>
  <c r="D755" i="8"/>
  <c r="G755" i="8"/>
  <c r="O755" i="6" s="1"/>
  <c r="A756" i="8"/>
  <c r="B756" i="8"/>
  <c r="C756" i="8"/>
  <c r="D756" i="8"/>
  <c r="G756" i="8"/>
  <c r="O756" i="6" s="1"/>
  <c r="A757" i="8"/>
  <c r="B757" i="8"/>
  <c r="C757" i="8"/>
  <c r="D757" i="8"/>
  <c r="G757" i="8"/>
  <c r="O757" i="6" s="1"/>
  <c r="A758" i="8"/>
  <c r="B758" i="8"/>
  <c r="C758" i="8"/>
  <c r="D758" i="8"/>
  <c r="G758" i="8"/>
  <c r="O758" i="6" s="1"/>
  <c r="A759" i="8"/>
  <c r="B759" i="8"/>
  <c r="C759" i="8"/>
  <c r="D759" i="8"/>
  <c r="G759" i="8"/>
  <c r="O759" i="6" s="1"/>
  <c r="A760" i="8"/>
  <c r="B760" i="8"/>
  <c r="C760" i="8"/>
  <c r="D760" i="8"/>
  <c r="G760" i="8"/>
  <c r="O760" i="6" s="1"/>
  <c r="A761" i="8"/>
  <c r="B761" i="8"/>
  <c r="C761" i="8"/>
  <c r="D761" i="8"/>
  <c r="G761" i="8"/>
  <c r="O761" i="6" s="1"/>
  <c r="A762" i="8"/>
  <c r="B762" i="8"/>
  <c r="C762" i="8"/>
  <c r="D762" i="8"/>
  <c r="G762" i="8"/>
  <c r="O762" i="6" s="1"/>
  <c r="A763" i="8"/>
  <c r="B763" i="8"/>
  <c r="C763" i="8"/>
  <c r="D763" i="8"/>
  <c r="G763" i="8"/>
  <c r="O763" i="6" s="1"/>
  <c r="A764" i="8"/>
  <c r="B764" i="8"/>
  <c r="C764" i="8"/>
  <c r="D764" i="8"/>
  <c r="G764" i="8"/>
  <c r="O764" i="6" s="1"/>
  <c r="A765" i="8"/>
  <c r="B765" i="8"/>
  <c r="C765" i="8"/>
  <c r="D765" i="8"/>
  <c r="G765" i="8"/>
  <c r="O765" i="6" s="1"/>
  <c r="A766" i="8"/>
  <c r="B766" i="8"/>
  <c r="C766" i="8"/>
  <c r="D766" i="8"/>
  <c r="G766" i="8"/>
  <c r="O766" i="6" s="1"/>
  <c r="A767" i="8"/>
  <c r="B767" i="8"/>
  <c r="C767" i="8"/>
  <c r="D767" i="8"/>
  <c r="G767" i="8"/>
  <c r="O767" i="6" s="1"/>
  <c r="A768" i="8"/>
  <c r="B768" i="8"/>
  <c r="C768" i="8"/>
  <c r="D768" i="8"/>
  <c r="G768" i="8"/>
  <c r="O768" i="6" s="1"/>
  <c r="A769" i="8"/>
  <c r="B769" i="8"/>
  <c r="C769" i="8"/>
  <c r="D769" i="8"/>
  <c r="G769" i="8"/>
  <c r="O769" i="6" s="1"/>
  <c r="A770" i="8"/>
  <c r="B770" i="8"/>
  <c r="C770" i="8"/>
  <c r="D770" i="8"/>
  <c r="G770" i="8"/>
  <c r="O770" i="6" s="1"/>
  <c r="A771" i="8"/>
  <c r="B771" i="8"/>
  <c r="C771" i="8"/>
  <c r="D771" i="8"/>
  <c r="G771" i="8"/>
  <c r="O771" i="6" s="1"/>
  <c r="A772" i="8"/>
  <c r="B772" i="8"/>
  <c r="C772" i="8"/>
  <c r="D772" i="8"/>
  <c r="G772" i="8"/>
  <c r="O772" i="6" s="1"/>
  <c r="A773" i="8"/>
  <c r="B773" i="8"/>
  <c r="C773" i="8"/>
  <c r="D773" i="8"/>
  <c r="G773" i="8"/>
  <c r="O773" i="6" s="1"/>
  <c r="A774" i="8"/>
  <c r="B774" i="8"/>
  <c r="C774" i="8"/>
  <c r="D774" i="8"/>
  <c r="G774" i="8"/>
  <c r="O774" i="6" s="1"/>
  <c r="A775" i="8"/>
  <c r="B775" i="8"/>
  <c r="C775" i="8"/>
  <c r="D775" i="8"/>
  <c r="G775" i="8"/>
  <c r="O775" i="6" s="1"/>
  <c r="A776" i="8"/>
  <c r="B776" i="8"/>
  <c r="C776" i="8"/>
  <c r="D776" i="8"/>
  <c r="G776" i="8"/>
  <c r="O776" i="6" s="1"/>
  <c r="A777" i="8"/>
  <c r="B777" i="8"/>
  <c r="C777" i="8"/>
  <c r="D777" i="8"/>
  <c r="G777" i="8"/>
  <c r="O777" i="6" s="1"/>
  <c r="A778" i="8"/>
  <c r="B778" i="8"/>
  <c r="C778" i="8"/>
  <c r="D778" i="8"/>
  <c r="G778" i="8"/>
  <c r="O778" i="6" s="1"/>
  <c r="A779" i="8"/>
  <c r="B779" i="8"/>
  <c r="C779" i="8"/>
  <c r="D779" i="8"/>
  <c r="G779" i="8"/>
  <c r="O779" i="6" s="1"/>
  <c r="A780" i="8"/>
  <c r="B780" i="8"/>
  <c r="C780" i="8"/>
  <c r="D780" i="8"/>
  <c r="G780" i="8"/>
  <c r="O780" i="6" s="1"/>
  <c r="A781" i="8"/>
  <c r="B781" i="8"/>
  <c r="C781" i="8"/>
  <c r="D781" i="8"/>
  <c r="G781" i="8"/>
  <c r="O781" i="6" s="1"/>
  <c r="A782" i="8"/>
  <c r="B782" i="8"/>
  <c r="C782" i="8"/>
  <c r="D782" i="8"/>
  <c r="G782" i="8"/>
  <c r="O782" i="6" s="1"/>
  <c r="A783" i="8"/>
  <c r="B783" i="8"/>
  <c r="C783" i="8"/>
  <c r="D783" i="8"/>
  <c r="G783" i="8"/>
  <c r="O783" i="6" s="1"/>
  <c r="A784" i="8"/>
  <c r="B784" i="8"/>
  <c r="C784" i="8"/>
  <c r="D784" i="8"/>
  <c r="G784" i="8"/>
  <c r="O784" i="6" s="1"/>
  <c r="A785" i="8"/>
  <c r="B785" i="8"/>
  <c r="C785" i="8"/>
  <c r="D785" i="8"/>
  <c r="G785" i="8"/>
  <c r="O785" i="6" s="1"/>
  <c r="A786" i="8"/>
  <c r="B786" i="8"/>
  <c r="C786" i="8"/>
  <c r="D786" i="8"/>
  <c r="G786" i="8"/>
  <c r="O786" i="6" s="1"/>
  <c r="A787" i="8"/>
  <c r="B787" i="8"/>
  <c r="C787" i="8"/>
  <c r="D787" i="8"/>
  <c r="G787" i="8"/>
  <c r="O787" i="6" s="1"/>
  <c r="A788" i="8"/>
  <c r="B788" i="8"/>
  <c r="C788" i="8"/>
  <c r="D788" i="8"/>
  <c r="G788" i="8"/>
  <c r="O788" i="6" s="1"/>
  <c r="A789" i="8"/>
  <c r="B789" i="8"/>
  <c r="C789" i="8"/>
  <c r="D789" i="8"/>
  <c r="G789" i="8"/>
  <c r="O789" i="6" s="1"/>
  <c r="A790" i="8"/>
  <c r="B790" i="8"/>
  <c r="C790" i="8"/>
  <c r="D790" i="8"/>
  <c r="G790" i="8"/>
  <c r="O790" i="6" s="1"/>
  <c r="A791" i="8"/>
  <c r="B791" i="8"/>
  <c r="C791" i="8"/>
  <c r="D791" i="8"/>
  <c r="G791" i="8"/>
  <c r="O791" i="6" s="1"/>
  <c r="A792" i="8"/>
  <c r="B792" i="8"/>
  <c r="C792" i="8"/>
  <c r="D792" i="8"/>
  <c r="G792" i="8"/>
  <c r="O792" i="6" s="1"/>
  <c r="A793" i="8"/>
  <c r="B793" i="8"/>
  <c r="C793" i="8"/>
  <c r="D793" i="8"/>
  <c r="G793" i="8"/>
  <c r="O793" i="6" s="1"/>
  <c r="A794" i="8"/>
  <c r="B794" i="8"/>
  <c r="C794" i="8"/>
  <c r="D794" i="8"/>
  <c r="G794" i="8"/>
  <c r="O794" i="6" s="1"/>
  <c r="A795" i="8"/>
  <c r="B795" i="8"/>
  <c r="C795" i="8"/>
  <c r="D795" i="8"/>
  <c r="G795" i="8"/>
  <c r="O795" i="6" s="1"/>
  <c r="A796" i="8"/>
  <c r="B796" i="8"/>
  <c r="C796" i="8"/>
  <c r="D796" i="8"/>
  <c r="G796" i="8"/>
  <c r="O796" i="6" s="1"/>
  <c r="A797" i="8"/>
  <c r="B797" i="8"/>
  <c r="C797" i="8"/>
  <c r="D797" i="8"/>
  <c r="G797" i="8"/>
  <c r="O797" i="6" s="1"/>
  <c r="A798" i="8"/>
  <c r="B798" i="8"/>
  <c r="C798" i="8"/>
  <c r="D798" i="8"/>
  <c r="G798" i="8"/>
  <c r="A799" i="8"/>
  <c r="B799" i="8"/>
  <c r="C799" i="8"/>
  <c r="D799" i="8"/>
  <c r="G799" i="8"/>
  <c r="O799" i="6" s="1"/>
  <c r="A800" i="8"/>
  <c r="B800" i="8"/>
  <c r="C800" i="8"/>
  <c r="D800" i="8"/>
  <c r="G800" i="8"/>
  <c r="O800" i="6" s="1"/>
  <c r="A801" i="8"/>
  <c r="B801" i="8"/>
  <c r="C801" i="8"/>
  <c r="D801" i="8"/>
  <c r="G801" i="8"/>
  <c r="O801" i="6" s="1"/>
  <c r="A802" i="8"/>
  <c r="B802" i="8"/>
  <c r="C802" i="8"/>
  <c r="D802" i="8"/>
  <c r="G802" i="8"/>
  <c r="O802" i="6" s="1"/>
  <c r="A803" i="8"/>
  <c r="B803" i="8"/>
  <c r="C803" i="8"/>
  <c r="D803" i="8"/>
  <c r="G803" i="8"/>
  <c r="O803" i="6" s="1"/>
  <c r="A804" i="8"/>
  <c r="B804" i="8"/>
  <c r="C804" i="8"/>
  <c r="D804" i="8"/>
  <c r="G804" i="8"/>
  <c r="O804" i="6" s="1"/>
  <c r="A805" i="8"/>
  <c r="B805" i="8"/>
  <c r="C805" i="8"/>
  <c r="D805" i="8"/>
  <c r="G805" i="8"/>
  <c r="O805" i="6" s="1"/>
  <c r="A806" i="8"/>
  <c r="L806" i="8" s="1"/>
  <c r="B806" i="8"/>
  <c r="C806" i="8"/>
  <c r="D806" i="8"/>
  <c r="G806" i="8"/>
  <c r="O806" i="6" s="1"/>
  <c r="A807" i="8"/>
  <c r="B807" i="8"/>
  <c r="C807" i="8"/>
  <c r="D807" i="8"/>
  <c r="G807" i="8"/>
  <c r="O807" i="6" s="1"/>
  <c r="A808" i="8"/>
  <c r="B808" i="8"/>
  <c r="C808" i="8"/>
  <c r="D808" i="8"/>
  <c r="G808" i="8"/>
  <c r="O808" i="6" s="1"/>
  <c r="A809" i="8"/>
  <c r="B809" i="8"/>
  <c r="C809" i="8"/>
  <c r="D809" i="8"/>
  <c r="G809" i="8"/>
  <c r="O809" i="6" s="1"/>
  <c r="A810" i="8"/>
  <c r="B810" i="8"/>
  <c r="C810" i="8"/>
  <c r="D810" i="8"/>
  <c r="G810" i="8"/>
  <c r="O810" i="6" s="1"/>
  <c r="A811" i="8"/>
  <c r="B811" i="8"/>
  <c r="C811" i="8"/>
  <c r="D811" i="8"/>
  <c r="G811" i="8"/>
  <c r="O811" i="6" s="1"/>
  <c r="A812" i="8"/>
  <c r="B812" i="8"/>
  <c r="C812" i="8"/>
  <c r="D812" i="8"/>
  <c r="G812" i="8"/>
  <c r="O812" i="6" s="1"/>
  <c r="A813" i="8"/>
  <c r="B813" i="8"/>
  <c r="C813" i="8"/>
  <c r="D813" i="8"/>
  <c r="G813" i="8"/>
  <c r="O813" i="6" s="1"/>
  <c r="A814" i="8"/>
  <c r="B814" i="8"/>
  <c r="C814" i="8"/>
  <c r="D814" i="8"/>
  <c r="G814" i="8"/>
  <c r="O814" i="6" s="1"/>
  <c r="A815" i="8"/>
  <c r="B815" i="8"/>
  <c r="C815" i="8"/>
  <c r="D815" i="8"/>
  <c r="G815" i="8"/>
  <c r="O815" i="6" s="1"/>
  <c r="A816" i="8"/>
  <c r="B816" i="8"/>
  <c r="C816" i="8"/>
  <c r="D816" i="8"/>
  <c r="G816" i="8"/>
  <c r="O816" i="6" s="1"/>
  <c r="A817" i="8"/>
  <c r="B817" i="8"/>
  <c r="C817" i="8"/>
  <c r="D817" i="8"/>
  <c r="G817" i="8"/>
  <c r="O817" i="6" s="1"/>
  <c r="A818" i="8"/>
  <c r="B818" i="8"/>
  <c r="C818" i="8"/>
  <c r="D818" i="8"/>
  <c r="G818" i="8"/>
  <c r="O818" i="6" s="1"/>
  <c r="A819" i="8"/>
  <c r="B819" i="8"/>
  <c r="C819" i="8"/>
  <c r="D819" i="8"/>
  <c r="G819" i="8"/>
  <c r="O819" i="6" s="1"/>
  <c r="A820" i="8"/>
  <c r="B820" i="8"/>
  <c r="C820" i="8"/>
  <c r="D820" i="8"/>
  <c r="G820" i="8"/>
  <c r="O820" i="6" s="1"/>
  <c r="A821" i="8"/>
  <c r="B821" i="8"/>
  <c r="C821" i="8"/>
  <c r="D821" i="8"/>
  <c r="G821" i="8"/>
  <c r="O821" i="6" s="1"/>
  <c r="A822" i="8"/>
  <c r="B822" i="8"/>
  <c r="C822" i="8"/>
  <c r="D822" i="8"/>
  <c r="G822" i="8"/>
  <c r="O822" i="6" s="1"/>
  <c r="A823" i="8"/>
  <c r="B823" i="8"/>
  <c r="C823" i="8"/>
  <c r="D823" i="8"/>
  <c r="G823" i="8"/>
  <c r="O823" i="6" s="1"/>
  <c r="A824" i="8"/>
  <c r="B824" i="8"/>
  <c r="C824" i="8"/>
  <c r="D824" i="8"/>
  <c r="G824" i="8"/>
  <c r="O824" i="6" s="1"/>
  <c r="A825" i="8"/>
  <c r="B825" i="8"/>
  <c r="C825" i="8"/>
  <c r="D825" i="8"/>
  <c r="G825" i="8"/>
  <c r="O825" i="6" s="1"/>
  <c r="A826" i="8"/>
  <c r="B826" i="8"/>
  <c r="C826" i="8"/>
  <c r="D826" i="8"/>
  <c r="G826" i="8"/>
  <c r="O826" i="6" s="1"/>
  <c r="A827" i="8"/>
  <c r="B827" i="8"/>
  <c r="C827" i="8"/>
  <c r="D827" i="8"/>
  <c r="G827" i="8"/>
  <c r="O827" i="6" s="1"/>
  <c r="A828" i="8"/>
  <c r="B828" i="8"/>
  <c r="C828" i="8"/>
  <c r="D828" i="8"/>
  <c r="G828" i="8"/>
  <c r="O828" i="6" s="1"/>
  <c r="A829" i="8"/>
  <c r="B829" i="8"/>
  <c r="C829" i="8"/>
  <c r="D829" i="8"/>
  <c r="G829" i="8"/>
  <c r="O829" i="6" s="1"/>
  <c r="A830" i="8"/>
  <c r="B830" i="8"/>
  <c r="C830" i="8"/>
  <c r="D830" i="8"/>
  <c r="G830" i="8"/>
  <c r="O830" i="6" s="1"/>
  <c r="A831" i="8"/>
  <c r="B831" i="8"/>
  <c r="C831" i="8"/>
  <c r="D831" i="8"/>
  <c r="G831" i="8"/>
  <c r="O831" i="6" s="1"/>
  <c r="A832" i="8"/>
  <c r="B832" i="8"/>
  <c r="C832" i="8"/>
  <c r="D832" i="8"/>
  <c r="G832" i="8"/>
  <c r="O832" i="6" s="1"/>
  <c r="A833" i="8"/>
  <c r="B833" i="8"/>
  <c r="C833" i="8"/>
  <c r="D833" i="8"/>
  <c r="G833" i="8"/>
  <c r="O833" i="6" s="1"/>
  <c r="A834" i="8"/>
  <c r="B834" i="8"/>
  <c r="C834" i="8"/>
  <c r="D834" i="8"/>
  <c r="G834" i="8"/>
  <c r="O834" i="6" s="1"/>
  <c r="A835" i="8"/>
  <c r="B835" i="8"/>
  <c r="C835" i="8"/>
  <c r="D835" i="8"/>
  <c r="G835" i="8"/>
  <c r="O835" i="6" s="1"/>
  <c r="A836" i="8"/>
  <c r="B836" i="8"/>
  <c r="C836" i="8"/>
  <c r="D836" i="8"/>
  <c r="G836" i="8"/>
  <c r="O836" i="6" s="1"/>
  <c r="A837" i="8"/>
  <c r="B837" i="8"/>
  <c r="C837" i="8"/>
  <c r="D837" i="8"/>
  <c r="G837" i="8"/>
  <c r="O837" i="6" s="1"/>
  <c r="A838" i="8"/>
  <c r="B838" i="8"/>
  <c r="C838" i="8"/>
  <c r="D838" i="8"/>
  <c r="G838" i="8"/>
  <c r="O838" i="6" s="1"/>
  <c r="A839" i="8"/>
  <c r="B839" i="8"/>
  <c r="C839" i="8"/>
  <c r="D839" i="8"/>
  <c r="G839" i="8"/>
  <c r="O839" i="6" s="1"/>
  <c r="A840" i="8"/>
  <c r="B840" i="8"/>
  <c r="C840" i="8"/>
  <c r="D840" i="8"/>
  <c r="G840" i="8"/>
  <c r="O840" i="6" s="1"/>
  <c r="A841" i="8"/>
  <c r="B841" i="8"/>
  <c r="C841" i="8"/>
  <c r="D841" i="8"/>
  <c r="G841" i="8"/>
  <c r="O841" i="6" s="1"/>
  <c r="A842" i="8"/>
  <c r="B842" i="8"/>
  <c r="C842" i="8"/>
  <c r="D842" i="8"/>
  <c r="G842" i="8"/>
  <c r="O842" i="6" s="1"/>
  <c r="A843" i="8"/>
  <c r="B843" i="8"/>
  <c r="C843" i="8"/>
  <c r="D843" i="8"/>
  <c r="G843" i="8"/>
  <c r="O843" i="6" s="1"/>
  <c r="A844" i="8"/>
  <c r="B844" i="8"/>
  <c r="C844" i="8"/>
  <c r="D844" i="8"/>
  <c r="G844" i="8"/>
  <c r="O844" i="6" s="1"/>
  <c r="A845" i="8"/>
  <c r="B845" i="8"/>
  <c r="C845" i="8"/>
  <c r="D845" i="8"/>
  <c r="G845" i="8"/>
  <c r="O845" i="6" s="1"/>
  <c r="A846" i="8"/>
  <c r="B846" i="8"/>
  <c r="C846" i="8"/>
  <c r="D846" i="8"/>
  <c r="G846" i="8"/>
  <c r="O846" i="6" s="1"/>
  <c r="A847" i="8"/>
  <c r="B847" i="8"/>
  <c r="C847" i="8"/>
  <c r="D847" i="8"/>
  <c r="G847" i="8"/>
  <c r="O847" i="6" s="1"/>
  <c r="A848" i="8"/>
  <c r="B848" i="8"/>
  <c r="C848" i="8"/>
  <c r="D848" i="8"/>
  <c r="G848" i="8"/>
  <c r="O848" i="6" s="1"/>
  <c r="A849" i="8"/>
  <c r="B849" i="8"/>
  <c r="C849" i="8"/>
  <c r="D849" i="8"/>
  <c r="G849" i="8"/>
  <c r="O849" i="6" s="1"/>
  <c r="A850" i="8"/>
  <c r="B850" i="8"/>
  <c r="C850" i="8"/>
  <c r="D850" i="8"/>
  <c r="G850" i="8"/>
  <c r="O850" i="6" s="1"/>
  <c r="A851" i="8"/>
  <c r="B851" i="8"/>
  <c r="C851" i="8"/>
  <c r="D851" i="8"/>
  <c r="G851" i="8"/>
  <c r="O851" i="6" s="1"/>
  <c r="A852" i="8"/>
  <c r="B852" i="8"/>
  <c r="C852" i="8"/>
  <c r="D852" i="8"/>
  <c r="G852" i="8"/>
  <c r="O852" i="6" s="1"/>
  <c r="A853" i="8"/>
  <c r="B853" i="8"/>
  <c r="C853" i="8"/>
  <c r="D853" i="8"/>
  <c r="G853" i="8"/>
  <c r="O853" i="6" s="1"/>
  <c r="A854" i="8"/>
  <c r="B854" i="8"/>
  <c r="C854" i="8"/>
  <c r="D854" i="8"/>
  <c r="G854" i="8"/>
  <c r="O854" i="6" s="1"/>
  <c r="A855" i="8"/>
  <c r="B855" i="8"/>
  <c r="C855" i="8"/>
  <c r="D855" i="8"/>
  <c r="G855" i="8"/>
  <c r="O855" i="6" s="1"/>
  <c r="A856" i="8"/>
  <c r="B856" i="8"/>
  <c r="C856" i="8"/>
  <c r="D856" i="8"/>
  <c r="G856" i="8"/>
  <c r="O856" i="6" s="1"/>
  <c r="A857" i="8"/>
  <c r="B857" i="8"/>
  <c r="C857" i="8"/>
  <c r="D857" i="8"/>
  <c r="G857" i="8"/>
  <c r="O857" i="6" s="1"/>
  <c r="A858" i="8"/>
  <c r="B858" i="8"/>
  <c r="C858" i="8"/>
  <c r="D858" i="8"/>
  <c r="G858" i="8"/>
  <c r="O858" i="6" s="1"/>
  <c r="A859" i="8"/>
  <c r="B859" i="8"/>
  <c r="C859" i="8"/>
  <c r="D859" i="8"/>
  <c r="G859" i="8"/>
  <c r="O859" i="6" s="1"/>
  <c r="A860" i="8"/>
  <c r="B860" i="8"/>
  <c r="C860" i="8"/>
  <c r="D860" i="8"/>
  <c r="G860" i="8"/>
  <c r="O860" i="6" s="1"/>
  <c r="A861" i="8"/>
  <c r="B861" i="8"/>
  <c r="C861" i="8"/>
  <c r="D861" i="8"/>
  <c r="G861" i="8"/>
  <c r="O861" i="6" s="1"/>
  <c r="A862" i="8"/>
  <c r="B862" i="8"/>
  <c r="C862" i="8"/>
  <c r="D862" i="8"/>
  <c r="G862" i="8"/>
  <c r="O862" i="6" s="1"/>
  <c r="A863" i="8"/>
  <c r="B863" i="8"/>
  <c r="C863" i="8"/>
  <c r="D863" i="8"/>
  <c r="G863" i="8"/>
  <c r="O863" i="6" s="1"/>
  <c r="A864" i="8"/>
  <c r="B864" i="8"/>
  <c r="C864" i="8"/>
  <c r="D864" i="8"/>
  <c r="G864" i="8"/>
  <c r="O864" i="6" s="1"/>
  <c r="A865" i="8"/>
  <c r="B865" i="8"/>
  <c r="C865" i="8"/>
  <c r="D865" i="8"/>
  <c r="G865" i="8"/>
  <c r="O865" i="6" s="1"/>
  <c r="A866" i="8"/>
  <c r="B866" i="8"/>
  <c r="C866" i="8"/>
  <c r="D866" i="8"/>
  <c r="G866" i="8"/>
  <c r="O866" i="6" s="1"/>
  <c r="A867" i="8"/>
  <c r="B867" i="8"/>
  <c r="C867" i="8"/>
  <c r="D867" i="8"/>
  <c r="G867" i="8"/>
  <c r="O867" i="6" s="1"/>
  <c r="A868" i="8"/>
  <c r="B868" i="8"/>
  <c r="C868" i="8"/>
  <c r="D868" i="8"/>
  <c r="G868" i="8"/>
  <c r="O868" i="6" s="1"/>
  <c r="A869" i="8"/>
  <c r="B869" i="8"/>
  <c r="C869" i="8"/>
  <c r="D869" i="8"/>
  <c r="G869" i="8"/>
  <c r="O869" i="6" s="1"/>
  <c r="A870" i="8"/>
  <c r="B870" i="8"/>
  <c r="C870" i="8"/>
  <c r="D870" i="8"/>
  <c r="G870" i="8"/>
  <c r="O870" i="6" s="1"/>
  <c r="A871" i="8"/>
  <c r="B871" i="8"/>
  <c r="C871" i="8"/>
  <c r="D871" i="8"/>
  <c r="G871" i="8"/>
  <c r="O871" i="6" s="1"/>
  <c r="A872" i="8"/>
  <c r="B872" i="8"/>
  <c r="C872" i="8"/>
  <c r="D872" i="8"/>
  <c r="G872" i="8"/>
  <c r="O872" i="6" s="1"/>
  <c r="A873" i="8"/>
  <c r="B873" i="8"/>
  <c r="C873" i="8"/>
  <c r="D873" i="8"/>
  <c r="G873" i="8"/>
  <c r="O873" i="6" s="1"/>
  <c r="A874" i="8"/>
  <c r="B874" i="8"/>
  <c r="C874" i="8"/>
  <c r="D874" i="8"/>
  <c r="G874" i="8"/>
  <c r="O874" i="6" s="1"/>
  <c r="A875" i="8"/>
  <c r="B875" i="8"/>
  <c r="C875" i="8"/>
  <c r="D875" i="8"/>
  <c r="G875" i="8"/>
  <c r="O875" i="6" s="1"/>
  <c r="A876" i="8"/>
  <c r="B876" i="8"/>
  <c r="C876" i="8"/>
  <c r="D876" i="8"/>
  <c r="G876" i="8"/>
  <c r="O876" i="6" s="1"/>
  <c r="A877" i="8"/>
  <c r="B877" i="8"/>
  <c r="C877" i="8"/>
  <c r="D877" i="8"/>
  <c r="G877" i="8"/>
  <c r="O877" i="6" s="1"/>
  <c r="A878" i="8"/>
  <c r="B878" i="8"/>
  <c r="C878" i="8"/>
  <c r="D878" i="8"/>
  <c r="G878" i="8"/>
  <c r="O878" i="6" s="1"/>
  <c r="A879" i="8"/>
  <c r="B879" i="8"/>
  <c r="C879" i="8"/>
  <c r="D879" i="8"/>
  <c r="G879" i="8"/>
  <c r="O879" i="6" s="1"/>
  <c r="A880" i="8"/>
  <c r="B880" i="8"/>
  <c r="C880" i="8"/>
  <c r="D880" i="8"/>
  <c r="G880" i="8"/>
  <c r="O880" i="6" s="1"/>
  <c r="A881" i="8"/>
  <c r="B881" i="8"/>
  <c r="C881" i="8"/>
  <c r="D881" i="8"/>
  <c r="G881" i="8"/>
  <c r="O881" i="6" s="1"/>
  <c r="A882" i="8"/>
  <c r="B882" i="8"/>
  <c r="C882" i="8"/>
  <c r="D882" i="8"/>
  <c r="G882" i="8"/>
  <c r="O882" i="6" s="1"/>
  <c r="A883" i="8"/>
  <c r="B883" i="8"/>
  <c r="C883" i="8"/>
  <c r="D883" i="8"/>
  <c r="G883" i="8"/>
  <c r="O883" i="6" s="1"/>
  <c r="A884" i="8"/>
  <c r="B884" i="8"/>
  <c r="C884" i="8"/>
  <c r="D884" i="8"/>
  <c r="G884" i="8"/>
  <c r="A885" i="8"/>
  <c r="B885" i="8"/>
  <c r="C885" i="8"/>
  <c r="D885" i="8"/>
  <c r="G885" i="8"/>
  <c r="O885" i="6" s="1"/>
  <c r="A886" i="8"/>
  <c r="B886" i="8"/>
  <c r="C886" i="8"/>
  <c r="D886" i="8"/>
  <c r="G886" i="8"/>
  <c r="O886" i="6" s="1"/>
  <c r="A887" i="8"/>
  <c r="B887" i="8"/>
  <c r="C887" i="8"/>
  <c r="D887" i="8"/>
  <c r="G887" i="8"/>
  <c r="O887" i="6" s="1"/>
  <c r="A888" i="8"/>
  <c r="B888" i="8"/>
  <c r="C888" i="8"/>
  <c r="D888" i="8"/>
  <c r="G888" i="8"/>
  <c r="O888" i="6" s="1"/>
  <c r="A889" i="8"/>
  <c r="B889" i="8"/>
  <c r="C889" i="8"/>
  <c r="D889" i="8"/>
  <c r="G889" i="8"/>
  <c r="O889" i="6" s="1"/>
  <c r="A890" i="8"/>
  <c r="B890" i="8"/>
  <c r="C890" i="8"/>
  <c r="D890" i="8"/>
  <c r="G890" i="8"/>
  <c r="O890" i="6" s="1"/>
  <c r="A891" i="8"/>
  <c r="B891" i="8"/>
  <c r="C891" i="8"/>
  <c r="D891" i="8"/>
  <c r="G891" i="8"/>
  <c r="O891" i="6" s="1"/>
  <c r="A892" i="8"/>
  <c r="B892" i="8"/>
  <c r="C892" i="8"/>
  <c r="D892" i="8"/>
  <c r="G892" i="8"/>
  <c r="O892" i="6" s="1"/>
  <c r="A893" i="8"/>
  <c r="B893" i="8"/>
  <c r="C893" i="8"/>
  <c r="D893" i="8"/>
  <c r="G893" i="8"/>
  <c r="O893" i="6" s="1"/>
  <c r="A894" i="8"/>
  <c r="B894" i="8"/>
  <c r="C894" i="8"/>
  <c r="D894" i="8"/>
  <c r="G894" i="8"/>
  <c r="O894" i="6" s="1"/>
  <c r="A895" i="8"/>
  <c r="B895" i="8"/>
  <c r="C895" i="8"/>
  <c r="D895" i="8"/>
  <c r="G895" i="8"/>
  <c r="O895" i="6" s="1"/>
  <c r="A896" i="8"/>
  <c r="B896" i="8"/>
  <c r="C896" i="8"/>
  <c r="D896" i="8"/>
  <c r="G896" i="8"/>
  <c r="O896" i="6" s="1"/>
  <c r="A897" i="8"/>
  <c r="B897" i="8"/>
  <c r="C897" i="8"/>
  <c r="D897" i="8"/>
  <c r="G897" i="8"/>
  <c r="O897" i="6" s="1"/>
  <c r="A898" i="8"/>
  <c r="B898" i="8"/>
  <c r="C898" i="8"/>
  <c r="D898" i="8"/>
  <c r="G898" i="8"/>
  <c r="O898" i="6" s="1"/>
  <c r="A899" i="8"/>
  <c r="B899" i="8"/>
  <c r="C899" i="8"/>
  <c r="D899" i="8"/>
  <c r="G899" i="8"/>
  <c r="O899" i="6" s="1"/>
  <c r="A900" i="8"/>
  <c r="B900" i="8"/>
  <c r="C900" i="8"/>
  <c r="D900" i="8"/>
  <c r="G900" i="8"/>
  <c r="A901" i="8"/>
  <c r="B901" i="8"/>
  <c r="C901" i="8"/>
  <c r="D901" i="8"/>
  <c r="G901" i="8"/>
  <c r="O901" i="6" s="1"/>
  <c r="A902" i="8"/>
  <c r="B902" i="8"/>
  <c r="C902" i="8"/>
  <c r="D902" i="8"/>
  <c r="G902" i="8"/>
  <c r="O902" i="6" s="1"/>
  <c r="A903" i="8"/>
  <c r="B903" i="8"/>
  <c r="C903" i="8"/>
  <c r="D903" i="8"/>
  <c r="G903" i="8"/>
  <c r="O903" i="6" s="1"/>
  <c r="A904" i="8"/>
  <c r="B904" i="8"/>
  <c r="C904" i="8"/>
  <c r="D904" i="8"/>
  <c r="G904" i="8"/>
  <c r="O904" i="6" s="1"/>
  <c r="A905" i="8"/>
  <c r="B905" i="8"/>
  <c r="C905" i="8"/>
  <c r="D905" i="8"/>
  <c r="G905" i="8"/>
  <c r="O905" i="6" s="1"/>
  <c r="A906" i="8"/>
  <c r="B906" i="8"/>
  <c r="C906" i="8"/>
  <c r="D906" i="8"/>
  <c r="G906" i="8"/>
  <c r="O906" i="6" s="1"/>
  <c r="A907" i="8"/>
  <c r="B907" i="8"/>
  <c r="C907" i="8"/>
  <c r="D907" i="8"/>
  <c r="G907" i="8"/>
  <c r="O907" i="6" s="1"/>
  <c r="A908" i="8"/>
  <c r="B908" i="8"/>
  <c r="C908" i="8"/>
  <c r="D908" i="8"/>
  <c r="G908" i="8"/>
  <c r="O908" i="6" s="1"/>
  <c r="A909" i="8"/>
  <c r="B909" i="8"/>
  <c r="C909" i="8"/>
  <c r="D909" i="8"/>
  <c r="G909" i="8"/>
  <c r="O909" i="6" s="1"/>
  <c r="A910" i="8"/>
  <c r="B910" i="8"/>
  <c r="C910" i="8"/>
  <c r="D910" i="8"/>
  <c r="G910" i="8"/>
  <c r="O910" i="6" s="1"/>
  <c r="A911" i="8"/>
  <c r="B911" i="8"/>
  <c r="C911" i="8"/>
  <c r="D911" i="8"/>
  <c r="G911" i="8"/>
  <c r="O911" i="6" s="1"/>
  <c r="A912" i="8"/>
  <c r="B912" i="8"/>
  <c r="C912" i="8"/>
  <c r="D912" i="8"/>
  <c r="G912" i="8"/>
  <c r="O912" i="6" s="1"/>
  <c r="A913" i="8"/>
  <c r="B913" i="8"/>
  <c r="C913" i="8"/>
  <c r="D913" i="8"/>
  <c r="G913" i="8"/>
  <c r="O913" i="6" s="1"/>
  <c r="A914" i="8"/>
  <c r="B914" i="8"/>
  <c r="C914" i="8"/>
  <c r="D914" i="8"/>
  <c r="G914" i="8"/>
  <c r="O914" i="6" s="1"/>
  <c r="A915" i="8"/>
  <c r="B915" i="8"/>
  <c r="C915" i="8"/>
  <c r="D915" i="8"/>
  <c r="G915" i="8"/>
  <c r="O915" i="6" s="1"/>
  <c r="A916" i="8"/>
  <c r="B916" i="8"/>
  <c r="C916" i="8"/>
  <c r="D916" i="8"/>
  <c r="G916" i="8"/>
  <c r="O916" i="6" s="1"/>
  <c r="A917" i="8"/>
  <c r="B917" i="8"/>
  <c r="C917" i="8"/>
  <c r="D917" i="8"/>
  <c r="G917" i="8"/>
  <c r="O917" i="6" s="1"/>
  <c r="A918" i="8"/>
  <c r="B918" i="8"/>
  <c r="C918" i="8"/>
  <c r="D918" i="8"/>
  <c r="G918" i="8"/>
  <c r="O918" i="6" s="1"/>
  <c r="A919" i="8"/>
  <c r="B919" i="8"/>
  <c r="C919" i="8"/>
  <c r="D919" i="8"/>
  <c r="G919" i="8"/>
  <c r="O919" i="6" s="1"/>
  <c r="A920" i="8"/>
  <c r="B920" i="8"/>
  <c r="C920" i="8"/>
  <c r="D920" i="8"/>
  <c r="G920" i="8"/>
  <c r="O920" i="6" s="1"/>
  <c r="A921" i="8"/>
  <c r="B921" i="8"/>
  <c r="C921" i="8"/>
  <c r="D921" i="8"/>
  <c r="G921" i="8"/>
  <c r="O921" i="6" s="1"/>
  <c r="A922" i="8"/>
  <c r="B922" i="8"/>
  <c r="C922" i="8"/>
  <c r="D922" i="8"/>
  <c r="G922" i="8"/>
  <c r="O922" i="6" s="1"/>
  <c r="A923" i="8"/>
  <c r="B923" i="8"/>
  <c r="C923" i="8"/>
  <c r="D923" i="8"/>
  <c r="G923" i="8"/>
  <c r="O923" i="6" s="1"/>
  <c r="A924" i="8"/>
  <c r="B924" i="8"/>
  <c r="C924" i="8"/>
  <c r="D924" i="8"/>
  <c r="G924" i="8"/>
  <c r="O924" i="6" s="1"/>
  <c r="A925" i="8"/>
  <c r="B925" i="8"/>
  <c r="C925" i="8"/>
  <c r="D925" i="8"/>
  <c r="G925" i="8"/>
  <c r="O925" i="6" s="1"/>
  <c r="A926" i="8"/>
  <c r="B926" i="8"/>
  <c r="C926" i="8"/>
  <c r="D926" i="8"/>
  <c r="G926" i="8"/>
  <c r="O926" i="6" s="1"/>
  <c r="A927" i="8"/>
  <c r="B927" i="8"/>
  <c r="C927" i="8"/>
  <c r="D927" i="8"/>
  <c r="G927" i="8"/>
  <c r="O927" i="6" s="1"/>
  <c r="A928" i="8"/>
  <c r="B928" i="8"/>
  <c r="C928" i="8"/>
  <c r="D928" i="8"/>
  <c r="G928" i="8"/>
  <c r="O928" i="6" s="1"/>
  <c r="A929" i="8"/>
  <c r="B929" i="8"/>
  <c r="C929" i="8"/>
  <c r="D929" i="8"/>
  <c r="G929" i="8"/>
  <c r="O929" i="6" s="1"/>
  <c r="A930" i="8"/>
  <c r="B930" i="8"/>
  <c r="C930" i="8"/>
  <c r="D930" i="8"/>
  <c r="G930" i="8"/>
  <c r="O930" i="6" s="1"/>
  <c r="A931" i="8"/>
  <c r="B931" i="8"/>
  <c r="C931" i="8"/>
  <c r="D931" i="8"/>
  <c r="G931" i="8"/>
  <c r="O931" i="6" s="1"/>
  <c r="A932" i="8"/>
  <c r="B932" i="8"/>
  <c r="C932" i="8"/>
  <c r="D932" i="8"/>
  <c r="G932" i="8"/>
  <c r="O932" i="6" s="1"/>
  <c r="A933" i="8"/>
  <c r="B933" i="8"/>
  <c r="C933" i="8"/>
  <c r="D933" i="8"/>
  <c r="G933" i="8"/>
  <c r="O933" i="6" s="1"/>
  <c r="A934" i="8"/>
  <c r="B934" i="8"/>
  <c r="C934" i="8"/>
  <c r="D934" i="8"/>
  <c r="G934" i="8"/>
  <c r="O934" i="6" s="1"/>
  <c r="A935" i="8"/>
  <c r="B935" i="8"/>
  <c r="C935" i="8"/>
  <c r="D935" i="8"/>
  <c r="G935" i="8"/>
  <c r="O935" i="6" s="1"/>
  <c r="A936" i="8"/>
  <c r="B936" i="8"/>
  <c r="C936" i="8"/>
  <c r="D936" i="8"/>
  <c r="G936" i="8"/>
  <c r="O936" i="6" s="1"/>
  <c r="A937" i="8"/>
  <c r="B937" i="8"/>
  <c r="C937" i="8"/>
  <c r="D937" i="8"/>
  <c r="G937" i="8"/>
  <c r="O937" i="6" s="1"/>
  <c r="A938" i="8"/>
  <c r="B938" i="8"/>
  <c r="C938" i="8"/>
  <c r="D938" i="8"/>
  <c r="G938" i="8"/>
  <c r="O938" i="6" s="1"/>
  <c r="A939" i="8"/>
  <c r="B939" i="8"/>
  <c r="C939" i="8"/>
  <c r="D939" i="8"/>
  <c r="G939" i="8"/>
  <c r="O939" i="6" s="1"/>
  <c r="A940" i="8"/>
  <c r="B940" i="8"/>
  <c r="C940" i="8"/>
  <c r="D940" i="8"/>
  <c r="G940" i="8"/>
  <c r="O940" i="6" s="1"/>
  <c r="A941" i="8"/>
  <c r="B941" i="8"/>
  <c r="C941" i="8"/>
  <c r="D941" i="8"/>
  <c r="G941" i="8"/>
  <c r="O941" i="6" s="1"/>
  <c r="A942" i="8"/>
  <c r="B942" i="8"/>
  <c r="C942" i="8"/>
  <c r="D942" i="8"/>
  <c r="G942" i="8"/>
  <c r="O942" i="6" s="1"/>
  <c r="A943" i="8"/>
  <c r="B943" i="8"/>
  <c r="C943" i="8"/>
  <c r="D943" i="8"/>
  <c r="G943" i="8"/>
  <c r="O943" i="6" s="1"/>
  <c r="A944" i="8"/>
  <c r="B944" i="8"/>
  <c r="C944" i="8"/>
  <c r="D944" i="8"/>
  <c r="G944" i="8"/>
  <c r="O944" i="6" s="1"/>
  <c r="A945" i="8"/>
  <c r="B945" i="8"/>
  <c r="C945" i="8"/>
  <c r="D945" i="8"/>
  <c r="G945" i="8"/>
  <c r="O945" i="6" s="1"/>
  <c r="A946" i="8"/>
  <c r="B946" i="8"/>
  <c r="C946" i="8"/>
  <c r="D946" i="8"/>
  <c r="G946" i="8"/>
  <c r="O946" i="6" s="1"/>
  <c r="A947" i="8"/>
  <c r="B947" i="8"/>
  <c r="C947" i="8"/>
  <c r="D947" i="8"/>
  <c r="G947" i="8"/>
  <c r="O947" i="6" s="1"/>
  <c r="A948" i="8"/>
  <c r="B948" i="8"/>
  <c r="C948" i="8"/>
  <c r="D948" i="8"/>
  <c r="G948" i="8"/>
  <c r="O948" i="6" s="1"/>
  <c r="A949" i="8"/>
  <c r="B949" i="8"/>
  <c r="C949" i="8"/>
  <c r="D949" i="8"/>
  <c r="G949" i="8"/>
  <c r="O949" i="6" s="1"/>
  <c r="A950" i="8"/>
  <c r="B950" i="8"/>
  <c r="C950" i="8"/>
  <c r="D950" i="8"/>
  <c r="G950" i="8"/>
  <c r="O950" i="6" s="1"/>
  <c r="A951" i="8"/>
  <c r="B951" i="8"/>
  <c r="C951" i="8"/>
  <c r="D951" i="8"/>
  <c r="G951" i="8"/>
  <c r="O951" i="6" s="1"/>
  <c r="A952" i="8"/>
  <c r="B952" i="8"/>
  <c r="C952" i="8"/>
  <c r="D952" i="8"/>
  <c r="G952" i="8"/>
  <c r="O952" i="6" s="1"/>
  <c r="A953" i="8"/>
  <c r="B953" i="8"/>
  <c r="C953" i="8"/>
  <c r="D953" i="8"/>
  <c r="G953" i="8"/>
  <c r="O953" i="6" s="1"/>
  <c r="A954" i="8"/>
  <c r="B954" i="8"/>
  <c r="C954" i="8"/>
  <c r="D954" i="8"/>
  <c r="G954" i="8"/>
  <c r="O954" i="6" s="1"/>
  <c r="A955" i="8"/>
  <c r="B955" i="8"/>
  <c r="C955" i="8"/>
  <c r="D955" i="8"/>
  <c r="G955" i="8"/>
  <c r="O955" i="6" s="1"/>
  <c r="A956" i="8"/>
  <c r="B956" i="8"/>
  <c r="C956" i="8"/>
  <c r="D956" i="8"/>
  <c r="G956" i="8"/>
  <c r="O956" i="6" s="1"/>
  <c r="A957" i="8"/>
  <c r="B957" i="8"/>
  <c r="C957" i="8"/>
  <c r="D957" i="8"/>
  <c r="G957" i="8"/>
  <c r="O957" i="6" s="1"/>
  <c r="A958" i="8"/>
  <c r="B958" i="8"/>
  <c r="C958" i="8"/>
  <c r="D958" i="8"/>
  <c r="G958" i="8"/>
  <c r="O958" i="6" s="1"/>
  <c r="A959" i="8"/>
  <c r="B959" i="8"/>
  <c r="C959" i="8"/>
  <c r="D959" i="8"/>
  <c r="G959" i="8"/>
  <c r="O959" i="6" s="1"/>
  <c r="A960" i="8"/>
  <c r="B960" i="8"/>
  <c r="C960" i="8"/>
  <c r="D960" i="8"/>
  <c r="G960" i="8"/>
  <c r="O960" i="6" s="1"/>
  <c r="A961" i="8"/>
  <c r="B961" i="8"/>
  <c r="C961" i="8"/>
  <c r="D961" i="8"/>
  <c r="G961" i="8"/>
  <c r="O961" i="6" s="1"/>
  <c r="A962" i="8"/>
  <c r="B962" i="8"/>
  <c r="C962" i="8"/>
  <c r="D962" i="8"/>
  <c r="G962" i="8"/>
  <c r="O962" i="6" s="1"/>
  <c r="A963" i="8"/>
  <c r="B963" i="8"/>
  <c r="C963" i="8"/>
  <c r="D963" i="8"/>
  <c r="G963" i="8"/>
  <c r="O963" i="6" s="1"/>
  <c r="A964" i="8"/>
  <c r="B964" i="8"/>
  <c r="C964" i="8"/>
  <c r="D964" i="8"/>
  <c r="G964" i="8"/>
  <c r="O964" i="6" s="1"/>
  <c r="A965" i="8"/>
  <c r="B965" i="8"/>
  <c r="C965" i="8"/>
  <c r="D965" i="8"/>
  <c r="G965" i="8"/>
  <c r="O965" i="6" s="1"/>
  <c r="A966" i="8"/>
  <c r="B966" i="8"/>
  <c r="C966" i="8"/>
  <c r="D966" i="8"/>
  <c r="G966" i="8"/>
  <c r="O966" i="6" s="1"/>
  <c r="A967" i="8"/>
  <c r="B967" i="8"/>
  <c r="C967" i="8"/>
  <c r="D967" i="8"/>
  <c r="G967" i="8"/>
  <c r="O967" i="6" s="1"/>
  <c r="A968" i="8"/>
  <c r="B968" i="8"/>
  <c r="C968" i="8"/>
  <c r="D968" i="8"/>
  <c r="G968" i="8"/>
  <c r="O968" i="6" s="1"/>
  <c r="A969" i="8"/>
  <c r="B969" i="8"/>
  <c r="C969" i="8"/>
  <c r="D969" i="8"/>
  <c r="G969" i="8"/>
  <c r="O969" i="6" s="1"/>
  <c r="A970" i="8"/>
  <c r="B970" i="8"/>
  <c r="C970" i="8"/>
  <c r="D970" i="8"/>
  <c r="G970" i="8"/>
  <c r="O970" i="6" s="1"/>
  <c r="A971" i="8"/>
  <c r="B971" i="8"/>
  <c r="C971" i="8"/>
  <c r="D971" i="8"/>
  <c r="G971" i="8"/>
  <c r="O971" i="6" s="1"/>
  <c r="A972" i="8"/>
  <c r="B972" i="8"/>
  <c r="C972" i="8"/>
  <c r="D972" i="8"/>
  <c r="G972" i="8"/>
  <c r="O972" i="6" s="1"/>
  <c r="A973" i="8"/>
  <c r="B973" i="8"/>
  <c r="C973" i="8"/>
  <c r="D973" i="8"/>
  <c r="G973" i="8"/>
  <c r="O973" i="6" s="1"/>
  <c r="A974" i="8"/>
  <c r="B974" i="8"/>
  <c r="C974" i="8"/>
  <c r="D974" i="8"/>
  <c r="G974" i="8"/>
  <c r="O974" i="6" s="1"/>
  <c r="A975" i="8"/>
  <c r="B975" i="8"/>
  <c r="C975" i="8"/>
  <c r="D975" i="8"/>
  <c r="G975" i="8"/>
  <c r="O975" i="6" s="1"/>
  <c r="A976" i="8"/>
  <c r="B976" i="8"/>
  <c r="C976" i="8"/>
  <c r="D976" i="8"/>
  <c r="G976" i="8"/>
  <c r="O976" i="6" s="1"/>
  <c r="A977" i="8"/>
  <c r="B977" i="8"/>
  <c r="C977" i="8"/>
  <c r="D977" i="8"/>
  <c r="G977" i="8"/>
  <c r="O977" i="6" s="1"/>
  <c r="A978" i="8"/>
  <c r="B978" i="8"/>
  <c r="C978" i="8"/>
  <c r="D978" i="8"/>
  <c r="G978" i="8"/>
  <c r="O978" i="6" s="1"/>
  <c r="A979" i="8"/>
  <c r="B979" i="8"/>
  <c r="C979" i="8"/>
  <c r="D979" i="8"/>
  <c r="G979" i="8"/>
  <c r="O979" i="6" s="1"/>
  <c r="A980" i="8"/>
  <c r="B980" i="8"/>
  <c r="C980" i="8"/>
  <c r="D980" i="8"/>
  <c r="G980" i="8"/>
  <c r="O980" i="6" s="1"/>
  <c r="A981" i="8"/>
  <c r="B981" i="8"/>
  <c r="C981" i="8"/>
  <c r="D981" i="8"/>
  <c r="G981" i="8"/>
  <c r="O981" i="6" s="1"/>
  <c r="A982" i="8"/>
  <c r="B982" i="8"/>
  <c r="C982" i="8"/>
  <c r="D982" i="8"/>
  <c r="G982" i="8"/>
  <c r="O982" i="6" s="1"/>
  <c r="A983" i="8"/>
  <c r="B983" i="8"/>
  <c r="C983" i="8"/>
  <c r="D983" i="8"/>
  <c r="G983" i="8"/>
  <c r="O983" i="6" s="1"/>
  <c r="A984" i="8"/>
  <c r="B984" i="8"/>
  <c r="C984" i="8"/>
  <c r="D984" i="8"/>
  <c r="G984" i="8"/>
  <c r="O984" i="6" s="1"/>
  <c r="A985" i="8"/>
  <c r="B985" i="8"/>
  <c r="C985" i="8"/>
  <c r="D985" i="8"/>
  <c r="G985" i="8"/>
  <c r="O985" i="6" s="1"/>
  <c r="A986" i="8"/>
  <c r="L986" i="8" s="1"/>
  <c r="B986" i="8"/>
  <c r="C986" i="8"/>
  <c r="D986" i="8"/>
  <c r="G986" i="8"/>
  <c r="O986" i="6" s="1"/>
  <c r="A987" i="8"/>
  <c r="B987" i="8"/>
  <c r="C987" i="8"/>
  <c r="D987" i="8"/>
  <c r="G987" i="8"/>
  <c r="O987" i="6" s="1"/>
  <c r="A988" i="8"/>
  <c r="B988" i="8"/>
  <c r="C988" i="8"/>
  <c r="D988" i="8"/>
  <c r="G988" i="8"/>
  <c r="O988" i="6" s="1"/>
  <c r="A989" i="8"/>
  <c r="B989" i="8"/>
  <c r="C989" i="8"/>
  <c r="D989" i="8"/>
  <c r="G989" i="8"/>
  <c r="O989" i="6" s="1"/>
  <c r="A990" i="8"/>
  <c r="B990" i="8"/>
  <c r="C990" i="8"/>
  <c r="D990" i="8"/>
  <c r="G990" i="8"/>
  <c r="O990" i="6" s="1"/>
  <c r="A991" i="8"/>
  <c r="B991" i="8"/>
  <c r="C991" i="8"/>
  <c r="D991" i="8"/>
  <c r="G991" i="8"/>
  <c r="O991" i="6" s="1"/>
  <c r="A992" i="8"/>
  <c r="B992" i="8"/>
  <c r="C992" i="8"/>
  <c r="D992" i="8"/>
  <c r="G992" i="8"/>
  <c r="O992" i="6" s="1"/>
  <c r="A993" i="8"/>
  <c r="B993" i="8"/>
  <c r="C993" i="8"/>
  <c r="D993" i="8"/>
  <c r="G993" i="8"/>
  <c r="O993" i="6" s="1"/>
  <c r="A994" i="8"/>
  <c r="B994" i="8"/>
  <c r="C994" i="8"/>
  <c r="D994" i="8"/>
  <c r="G994" i="8"/>
  <c r="O994" i="6" s="1"/>
  <c r="A995" i="8"/>
  <c r="B995" i="8"/>
  <c r="C995" i="8"/>
  <c r="D995" i="8"/>
  <c r="G995" i="8"/>
  <c r="O995" i="6" s="1"/>
  <c r="A996" i="8"/>
  <c r="B996" i="8"/>
  <c r="C996" i="8"/>
  <c r="D996" i="8"/>
  <c r="G996" i="8"/>
  <c r="O996" i="6" s="1"/>
  <c r="A997" i="8"/>
  <c r="B997" i="8"/>
  <c r="C997" i="8"/>
  <c r="D997" i="8"/>
  <c r="G997" i="8"/>
  <c r="O997" i="6" s="1"/>
  <c r="A998" i="8"/>
  <c r="B998" i="8"/>
  <c r="C998" i="8"/>
  <c r="D998" i="8"/>
  <c r="G998" i="8"/>
  <c r="O998" i="6" s="1"/>
  <c r="A999" i="8"/>
  <c r="B999" i="8"/>
  <c r="C999" i="8"/>
  <c r="D999" i="8"/>
  <c r="G999" i="8"/>
  <c r="O999" i="6" s="1"/>
  <c r="A1000" i="8"/>
  <c r="B1000" i="8"/>
  <c r="C1000" i="8"/>
  <c r="D1000" i="8"/>
  <c r="G1000" i="8"/>
  <c r="O1000" i="6" s="1"/>
  <c r="A1001" i="8"/>
  <c r="B1001" i="8"/>
  <c r="C1001" i="8"/>
  <c r="D1001" i="8"/>
  <c r="G1001" i="8"/>
  <c r="O1001" i="6" s="1"/>
  <c r="A1002" i="8"/>
  <c r="B1002" i="8"/>
  <c r="C1002" i="8"/>
  <c r="D1002" i="8"/>
  <c r="G1002" i="8"/>
  <c r="O1002" i="6" s="1"/>
  <c r="A1003" i="8"/>
  <c r="B1003" i="8"/>
  <c r="C1003" i="8"/>
  <c r="D1003" i="8"/>
  <c r="G1003" i="8"/>
  <c r="O1003" i="6" s="1"/>
  <c r="A1004" i="8"/>
  <c r="B1004" i="8"/>
  <c r="C1004" i="8"/>
  <c r="D1004" i="8"/>
  <c r="G1004" i="8"/>
  <c r="O1004" i="6" s="1"/>
  <c r="A1005" i="8"/>
  <c r="B1005" i="8"/>
  <c r="C1005" i="8"/>
  <c r="D1005" i="8"/>
  <c r="G1005" i="8"/>
  <c r="O1005" i="6" s="1"/>
  <c r="A1006" i="8"/>
  <c r="B1006" i="8"/>
  <c r="C1006" i="8"/>
  <c r="D1006" i="8"/>
  <c r="G1006" i="8"/>
  <c r="O1006" i="6" s="1"/>
  <c r="A1007" i="8"/>
  <c r="B1007" i="8"/>
  <c r="C1007" i="8"/>
  <c r="D1007" i="8"/>
  <c r="G1007" i="8"/>
  <c r="O1007" i="6" s="1"/>
  <c r="A1008" i="8"/>
  <c r="B1008" i="8"/>
  <c r="C1008" i="8"/>
  <c r="D1008" i="8"/>
  <c r="G1008" i="8"/>
  <c r="O1008" i="6" s="1"/>
  <c r="A1009" i="8"/>
  <c r="B1009" i="8"/>
  <c r="C1009" i="8"/>
  <c r="D1009" i="8"/>
  <c r="G1009" i="8"/>
  <c r="O1009" i="6" s="1"/>
  <c r="A1010" i="8"/>
  <c r="B1010" i="8"/>
  <c r="C1010" i="8"/>
  <c r="D1010" i="8"/>
  <c r="G1010" i="8"/>
  <c r="O1010" i="6" s="1"/>
  <c r="A1011" i="8"/>
  <c r="B1011" i="8"/>
  <c r="C1011" i="8"/>
  <c r="D1011" i="8"/>
  <c r="G1011" i="8"/>
  <c r="O1011" i="6" s="1"/>
  <c r="A1012" i="8"/>
  <c r="B1012" i="8"/>
  <c r="C1012" i="8"/>
  <c r="D1012" i="8"/>
  <c r="G1012" i="8"/>
  <c r="O1012" i="6" s="1"/>
  <c r="A1013" i="8"/>
  <c r="B1013" i="8"/>
  <c r="C1013" i="8"/>
  <c r="D1013" i="8"/>
  <c r="G1013" i="8"/>
  <c r="O1013" i="6" s="1"/>
  <c r="A1014" i="8"/>
  <c r="B1014" i="8"/>
  <c r="C1014" i="8"/>
  <c r="D1014" i="8"/>
  <c r="G1014" i="8"/>
  <c r="O1014" i="6" s="1"/>
  <c r="A1015" i="8"/>
  <c r="B1015" i="8"/>
  <c r="C1015" i="8"/>
  <c r="D1015" i="8"/>
  <c r="G1015" i="8"/>
  <c r="O1015" i="6" s="1"/>
  <c r="A1016" i="8"/>
  <c r="B1016" i="8"/>
  <c r="C1016" i="8"/>
  <c r="D1016" i="8"/>
  <c r="G1016" i="8"/>
  <c r="O1016" i="6" s="1"/>
  <c r="A1017" i="8"/>
  <c r="B1017" i="8"/>
  <c r="C1017" i="8"/>
  <c r="D1017" i="8"/>
  <c r="G1017" i="8"/>
  <c r="O1017" i="6" s="1"/>
  <c r="A1018" i="8"/>
  <c r="B1018" i="8"/>
  <c r="C1018" i="8"/>
  <c r="D1018" i="8"/>
  <c r="O1018" i="6"/>
  <c r="A1019" i="8"/>
  <c r="B1019" i="8"/>
  <c r="C1019" i="8"/>
  <c r="D1019" i="8"/>
  <c r="G1019" i="8"/>
  <c r="O1019" i="6" s="1"/>
  <c r="A1020" i="8"/>
  <c r="B1020" i="8"/>
  <c r="C1020" i="8"/>
  <c r="D1020" i="8"/>
  <c r="G1020" i="8"/>
  <c r="O1020" i="6" s="1"/>
  <c r="A1021" i="8"/>
  <c r="B1021" i="8"/>
  <c r="C1021" i="8"/>
  <c r="D1021" i="8"/>
  <c r="G1021" i="8"/>
  <c r="O1021" i="6" s="1"/>
  <c r="A1022" i="8"/>
  <c r="B1022" i="8"/>
  <c r="C1022" i="8"/>
  <c r="D1022" i="8"/>
  <c r="G1022" i="8"/>
  <c r="O1022" i="6" s="1"/>
  <c r="A1023" i="8"/>
  <c r="B1023" i="8"/>
  <c r="C1023" i="8"/>
  <c r="D1023" i="8"/>
  <c r="G1023" i="8"/>
  <c r="O1023" i="6" s="1"/>
  <c r="A1024" i="8"/>
  <c r="B1024" i="8"/>
  <c r="C1024" i="8"/>
  <c r="D1024" i="8"/>
  <c r="G1024" i="8"/>
  <c r="O1024" i="6" s="1"/>
  <c r="A1025" i="8"/>
  <c r="B1025" i="8"/>
  <c r="C1025" i="8"/>
  <c r="D1025" i="8"/>
  <c r="G1025" i="8"/>
  <c r="O1025" i="6" s="1"/>
  <c r="A1026" i="8"/>
  <c r="B1026" i="8"/>
  <c r="C1026" i="8"/>
  <c r="D1026" i="8"/>
  <c r="G1026" i="8"/>
  <c r="O1026" i="6" s="1"/>
  <c r="A1027" i="8"/>
  <c r="B1027" i="8"/>
  <c r="C1027" i="8"/>
  <c r="D1027" i="8"/>
  <c r="G1027" i="8"/>
  <c r="O1027" i="6" s="1"/>
  <c r="A1028" i="8"/>
  <c r="B1028" i="8"/>
  <c r="C1028" i="8"/>
  <c r="D1028" i="8"/>
  <c r="G1028" i="8"/>
  <c r="O1028" i="6" s="1"/>
  <c r="A1029" i="8"/>
  <c r="B1029" i="8"/>
  <c r="C1029" i="8"/>
  <c r="D1029" i="8"/>
  <c r="G1029" i="8"/>
  <c r="O1029" i="6" s="1"/>
  <c r="A1030" i="8"/>
  <c r="B1030" i="8"/>
  <c r="C1030" i="8"/>
  <c r="D1030" i="8"/>
  <c r="G1030" i="8"/>
  <c r="O1030" i="6" s="1"/>
  <c r="A1031" i="8"/>
  <c r="B1031" i="8"/>
  <c r="C1031" i="8"/>
  <c r="D1031" i="8"/>
  <c r="G1031" i="8"/>
  <c r="O1031" i="6" s="1"/>
  <c r="A1032" i="8"/>
  <c r="B1032" i="8"/>
  <c r="C1032" i="8"/>
  <c r="D1032" i="8"/>
  <c r="G1032" i="8"/>
  <c r="O1032" i="6" s="1"/>
  <c r="A1033" i="8"/>
  <c r="B1033" i="8"/>
  <c r="C1033" i="8"/>
  <c r="D1033" i="8"/>
  <c r="G1033" i="8"/>
  <c r="O1033" i="6" s="1"/>
  <c r="A1034" i="8"/>
  <c r="B1034" i="8"/>
  <c r="C1034" i="8"/>
  <c r="D1034" i="8"/>
  <c r="G1034" i="8"/>
  <c r="O1034" i="6" s="1"/>
  <c r="A1035" i="8"/>
  <c r="B1035" i="8"/>
  <c r="C1035" i="8"/>
  <c r="D1035" i="8"/>
  <c r="G1035" i="8"/>
  <c r="O1035" i="6" s="1"/>
  <c r="A1036" i="8"/>
  <c r="B1036" i="8"/>
  <c r="C1036" i="8"/>
  <c r="D1036" i="8"/>
  <c r="G1036" i="8"/>
  <c r="O1036" i="6" s="1"/>
  <c r="A1037" i="8"/>
  <c r="B1037" i="8"/>
  <c r="C1037" i="8"/>
  <c r="D1037" i="8"/>
  <c r="G1037" i="8"/>
  <c r="O1037" i="6" s="1"/>
  <c r="A1038" i="8"/>
  <c r="B1038" i="8"/>
  <c r="C1038" i="8"/>
  <c r="D1038" i="8"/>
  <c r="G1038" i="8"/>
  <c r="O1038" i="6" s="1"/>
  <c r="A1039" i="8"/>
  <c r="B1039" i="8"/>
  <c r="C1039" i="8"/>
  <c r="D1039" i="8"/>
  <c r="G1039" i="8"/>
  <c r="O1039" i="6" s="1"/>
  <c r="A1040" i="8"/>
  <c r="B1040" i="8"/>
  <c r="C1040" i="8"/>
  <c r="D1040" i="8"/>
  <c r="G1040" i="8"/>
  <c r="O1040" i="6" s="1"/>
  <c r="A1041" i="8"/>
  <c r="B1041" i="8"/>
  <c r="C1041" i="8"/>
  <c r="D1041" i="8"/>
  <c r="G1041" i="8"/>
  <c r="O1041" i="6" s="1"/>
  <c r="A1042" i="8"/>
  <c r="B1042" i="8"/>
  <c r="C1042" i="8"/>
  <c r="D1042" i="8"/>
  <c r="G1042" i="8"/>
  <c r="O1042" i="6" s="1"/>
  <c r="A1043" i="8"/>
  <c r="B1043" i="8"/>
  <c r="C1043" i="8"/>
  <c r="D1043" i="8"/>
  <c r="G1043" i="8"/>
  <c r="O1043" i="6" s="1"/>
  <c r="A1044" i="8"/>
  <c r="B1044" i="8"/>
  <c r="C1044" i="8"/>
  <c r="D1044" i="8"/>
  <c r="G1044" i="8"/>
  <c r="O1044" i="6" s="1"/>
  <c r="A1045" i="8"/>
  <c r="B1045" i="8"/>
  <c r="C1045" i="8"/>
  <c r="D1045" i="8"/>
  <c r="G1045" i="8"/>
  <c r="O1045" i="6" s="1"/>
  <c r="A1046" i="8"/>
  <c r="B1046" i="8"/>
  <c r="C1046" i="8"/>
  <c r="D1046" i="8"/>
  <c r="G1046" i="8"/>
  <c r="O1046" i="6" s="1"/>
  <c r="A1047" i="8"/>
  <c r="B1047" i="8"/>
  <c r="C1047" i="8"/>
  <c r="D1047" i="8"/>
  <c r="G1047" i="8"/>
  <c r="O1047" i="6" s="1"/>
  <c r="A1048" i="8"/>
  <c r="B1048" i="8"/>
  <c r="C1048" i="8"/>
  <c r="D1048" i="8"/>
  <c r="G1048" i="8"/>
  <c r="O1048" i="6" s="1"/>
  <c r="A1049" i="8"/>
  <c r="B1049" i="8"/>
  <c r="C1049" i="8"/>
  <c r="D1049" i="8"/>
  <c r="G1049" i="8"/>
  <c r="O1049" i="6" s="1"/>
  <c r="A1050" i="8"/>
  <c r="B1050" i="8"/>
  <c r="C1050" i="8"/>
  <c r="D1050" i="8"/>
  <c r="G1050" i="8"/>
  <c r="O1050" i="6" s="1"/>
  <c r="A1051" i="8"/>
  <c r="B1051" i="8"/>
  <c r="C1051" i="8"/>
  <c r="D1051" i="8"/>
  <c r="G1051" i="8"/>
  <c r="O1051" i="6" s="1"/>
  <c r="A1052" i="8"/>
  <c r="B1052" i="8"/>
  <c r="C1052" i="8"/>
  <c r="D1052" i="8"/>
  <c r="G1052" i="8"/>
  <c r="O1052" i="6" s="1"/>
  <c r="A1053" i="8"/>
  <c r="B1053" i="8"/>
  <c r="C1053" i="8"/>
  <c r="D1053" i="8"/>
  <c r="G1053" i="8"/>
  <c r="O1053" i="6" s="1"/>
  <c r="A1054" i="8"/>
  <c r="B1054" i="8"/>
  <c r="C1054" i="8"/>
  <c r="D1054" i="8"/>
  <c r="G1054" i="8"/>
  <c r="O1054" i="6" s="1"/>
  <c r="A1055" i="8"/>
  <c r="B1055" i="8"/>
  <c r="C1055" i="8"/>
  <c r="D1055" i="8"/>
  <c r="G1055" i="8"/>
  <c r="O1055" i="6" s="1"/>
  <c r="A1056" i="8"/>
  <c r="B1056" i="8"/>
  <c r="C1056" i="8"/>
  <c r="D1056" i="8"/>
  <c r="G1056" i="8"/>
  <c r="O1056" i="6" s="1"/>
  <c r="A1057" i="8"/>
  <c r="B1057" i="8"/>
  <c r="C1057" i="8"/>
  <c r="D1057" i="8"/>
  <c r="G1057" i="8"/>
  <c r="O1057" i="6" s="1"/>
  <c r="A1058" i="8"/>
  <c r="B1058" i="8"/>
  <c r="C1058" i="8"/>
  <c r="D1058" i="8"/>
  <c r="G1058" i="8"/>
  <c r="O1058" i="6" s="1"/>
  <c r="A1059" i="8"/>
  <c r="B1059" i="8"/>
  <c r="C1059" i="8"/>
  <c r="D1059" i="8"/>
  <c r="G1059" i="8"/>
  <c r="O1059" i="6" s="1"/>
  <c r="A1060" i="8"/>
  <c r="B1060" i="8"/>
  <c r="C1060" i="8"/>
  <c r="D1060" i="8"/>
  <c r="G1060" i="8"/>
  <c r="O1060" i="6" s="1"/>
  <c r="A1061" i="8"/>
  <c r="B1061" i="8"/>
  <c r="C1061" i="8"/>
  <c r="D1061" i="8"/>
  <c r="G1061" i="8"/>
  <c r="O1061" i="6" s="1"/>
  <c r="A1062" i="8"/>
  <c r="B1062" i="8"/>
  <c r="C1062" i="8"/>
  <c r="D1062" i="8"/>
  <c r="G1062" i="8"/>
  <c r="O1062" i="6" s="1"/>
  <c r="A1063" i="8"/>
  <c r="B1063" i="8"/>
  <c r="C1063" i="8"/>
  <c r="D1063" i="8"/>
  <c r="G1063" i="8"/>
  <c r="O1063" i="6" s="1"/>
  <c r="A1064" i="8"/>
  <c r="B1064" i="8"/>
  <c r="C1064" i="8"/>
  <c r="D1064" i="8"/>
  <c r="G1064" i="8"/>
  <c r="A1065" i="8"/>
  <c r="B1065" i="8"/>
  <c r="C1065" i="8"/>
  <c r="D1065" i="8"/>
  <c r="G1065" i="8"/>
  <c r="O1065" i="6" s="1"/>
  <c r="A1066" i="8"/>
  <c r="B1066" i="8"/>
  <c r="C1066" i="8"/>
  <c r="D1066" i="8"/>
  <c r="G1066" i="8"/>
  <c r="O1066" i="6" s="1"/>
  <c r="A1067" i="8"/>
  <c r="B1067" i="8"/>
  <c r="C1067" i="8"/>
  <c r="D1067" i="8"/>
  <c r="G1067" i="8"/>
  <c r="O1067" i="6" s="1"/>
  <c r="A1068" i="8"/>
  <c r="B1068" i="8"/>
  <c r="C1068" i="8"/>
  <c r="D1068" i="8"/>
  <c r="G1068" i="8"/>
  <c r="O1068" i="6" s="1"/>
  <c r="A1069" i="8"/>
  <c r="B1069" i="8"/>
  <c r="C1069" i="8"/>
  <c r="D1069" i="8"/>
  <c r="G1069" i="8"/>
  <c r="O1069" i="6" s="1"/>
  <c r="A1070" i="8"/>
  <c r="B1070" i="8"/>
  <c r="C1070" i="8"/>
  <c r="D1070" i="8"/>
  <c r="G1070" i="8"/>
  <c r="O1070" i="6" s="1"/>
  <c r="A1071" i="8"/>
  <c r="B1071" i="8"/>
  <c r="C1071" i="8"/>
  <c r="D1071" i="8"/>
  <c r="G1071" i="8"/>
  <c r="O1071" i="6" s="1"/>
  <c r="A1072" i="8"/>
  <c r="B1072" i="8"/>
  <c r="C1072" i="8"/>
  <c r="D1072" i="8"/>
  <c r="G1072" i="8"/>
  <c r="O1072" i="6" s="1"/>
  <c r="A1073" i="8"/>
  <c r="B1073" i="8"/>
  <c r="C1073" i="8"/>
  <c r="D1073" i="8"/>
  <c r="G1073" i="8"/>
  <c r="O1073" i="6" s="1"/>
  <c r="A1074" i="8"/>
  <c r="B1074" i="8"/>
  <c r="C1074" i="8"/>
  <c r="D1074" i="8"/>
  <c r="G1074" i="8"/>
  <c r="O1074" i="6" s="1"/>
  <c r="A1075" i="8"/>
  <c r="B1075" i="8"/>
  <c r="C1075" i="8"/>
  <c r="D1075" i="8"/>
  <c r="G1075" i="8"/>
  <c r="O1075" i="6" s="1"/>
  <c r="A1076" i="8"/>
  <c r="B1076" i="8"/>
  <c r="C1076" i="8"/>
  <c r="D1076" i="8"/>
  <c r="G1076" i="8"/>
  <c r="O1076" i="6" s="1"/>
  <c r="A1077" i="8"/>
  <c r="B1077" i="8"/>
  <c r="C1077" i="8"/>
  <c r="D1077" i="8"/>
  <c r="G1077" i="8"/>
  <c r="O1077" i="6" s="1"/>
  <c r="A1078" i="8"/>
  <c r="B1078" i="8"/>
  <c r="C1078" i="8"/>
  <c r="D1078" i="8"/>
  <c r="G1078" i="8"/>
  <c r="O1078" i="6" s="1"/>
  <c r="A1079" i="8"/>
  <c r="B1079" i="8"/>
  <c r="C1079" i="8"/>
  <c r="D1079" i="8"/>
  <c r="G1079" i="8"/>
  <c r="O1079" i="6" s="1"/>
  <c r="A1080" i="8"/>
  <c r="B1080" i="8"/>
  <c r="C1080" i="8"/>
  <c r="D1080" i="8"/>
  <c r="G1080" i="8"/>
  <c r="O1080" i="6" s="1"/>
  <c r="A1081" i="8"/>
  <c r="B1081" i="8"/>
  <c r="C1081" i="8"/>
  <c r="D1081" i="8"/>
  <c r="G1081" i="8"/>
  <c r="O1081" i="6" s="1"/>
  <c r="A1082" i="8"/>
  <c r="B1082" i="8"/>
  <c r="C1082" i="8"/>
  <c r="D1082" i="8"/>
  <c r="G1082" i="8"/>
  <c r="O1082" i="6" s="1"/>
  <c r="A1083" i="8"/>
  <c r="B1083" i="8"/>
  <c r="C1083" i="8"/>
  <c r="D1083" i="8"/>
  <c r="G1083" i="8"/>
  <c r="O1083" i="6" s="1"/>
  <c r="A1084" i="8"/>
  <c r="B1084" i="8"/>
  <c r="C1084" i="8"/>
  <c r="D1084" i="8"/>
  <c r="G1084" i="8"/>
  <c r="O1084" i="6" s="1"/>
  <c r="A1085" i="8"/>
  <c r="B1085" i="8"/>
  <c r="C1085" i="8"/>
  <c r="D1085" i="8"/>
  <c r="G1085" i="8"/>
  <c r="O1085" i="6" s="1"/>
  <c r="A1086" i="8"/>
  <c r="B1086" i="8"/>
  <c r="C1086" i="8"/>
  <c r="D1086" i="8"/>
  <c r="G1086" i="8"/>
  <c r="O1086" i="6" s="1"/>
  <c r="A1087" i="8"/>
  <c r="B1087" i="8"/>
  <c r="C1087" i="8"/>
  <c r="D1087" i="8"/>
  <c r="G1087" i="8"/>
  <c r="O1087" i="6" s="1"/>
  <c r="A1088" i="8"/>
  <c r="B1088" i="8"/>
  <c r="C1088" i="8"/>
  <c r="D1088" i="8"/>
  <c r="G1088" i="8"/>
  <c r="O1088" i="6" s="1"/>
  <c r="A1089" i="8"/>
  <c r="B1089" i="8"/>
  <c r="C1089" i="8"/>
  <c r="D1089" i="8"/>
  <c r="G1089" i="8"/>
  <c r="O1089" i="6" s="1"/>
  <c r="A1090" i="8"/>
  <c r="B1090" i="8"/>
  <c r="C1090" i="8"/>
  <c r="D1090" i="8"/>
  <c r="G1090" i="8"/>
  <c r="O1090" i="6" s="1"/>
  <c r="A1091" i="8"/>
  <c r="B1091" i="8"/>
  <c r="C1091" i="8"/>
  <c r="D1091" i="8"/>
  <c r="G1091" i="8"/>
  <c r="O1091" i="6" s="1"/>
  <c r="A1092" i="8"/>
  <c r="B1092" i="8"/>
  <c r="C1092" i="8"/>
  <c r="D1092" i="8"/>
  <c r="G1092" i="8"/>
  <c r="O1092" i="6" s="1"/>
  <c r="A1093" i="8"/>
  <c r="B1093" i="8"/>
  <c r="C1093" i="8"/>
  <c r="D1093" i="8"/>
  <c r="G1093" i="8"/>
  <c r="O1093" i="6" s="1"/>
  <c r="A1094" i="8"/>
  <c r="L1094" i="8" s="1"/>
  <c r="B1094" i="8"/>
  <c r="C1094" i="8"/>
  <c r="D1094" i="8"/>
  <c r="G1094" i="8"/>
  <c r="O1094" i="6" s="1"/>
  <c r="A1095" i="8"/>
  <c r="L1095" i="8" s="1"/>
  <c r="B1095" i="8"/>
  <c r="C1095" i="8"/>
  <c r="D1095" i="8"/>
  <c r="G1095" i="8"/>
  <c r="O1095" i="6" s="1"/>
  <c r="A1096" i="8"/>
  <c r="B1096" i="8"/>
  <c r="C1096" i="8"/>
  <c r="D1096" i="8"/>
  <c r="G1096" i="8"/>
  <c r="O1096" i="6" s="1"/>
  <c r="A1097" i="8"/>
  <c r="B1097" i="8"/>
  <c r="C1097" i="8"/>
  <c r="D1097" i="8"/>
  <c r="G1097" i="8"/>
  <c r="O1097" i="6" s="1"/>
  <c r="A1098" i="8"/>
  <c r="B1098" i="8"/>
  <c r="C1098" i="8"/>
  <c r="D1098" i="8"/>
  <c r="G1098" i="8"/>
  <c r="O1098" i="6" s="1"/>
  <c r="A1099" i="8"/>
  <c r="B1099" i="8"/>
  <c r="C1099" i="8"/>
  <c r="D1099" i="8"/>
  <c r="G1099" i="8"/>
  <c r="O1099" i="6" s="1"/>
  <c r="A1100" i="8"/>
  <c r="B1100" i="8"/>
  <c r="C1100" i="8"/>
  <c r="D1100" i="8"/>
  <c r="G1100" i="8"/>
  <c r="O1100" i="6" s="1"/>
  <c r="A1101" i="8"/>
  <c r="B1101" i="8"/>
  <c r="C1101" i="8"/>
  <c r="D1101" i="8"/>
  <c r="G1101" i="8"/>
  <c r="O1101" i="6" s="1"/>
  <c r="A1102" i="8"/>
  <c r="B1102" i="8"/>
  <c r="C1102" i="8"/>
  <c r="D1102" i="8"/>
  <c r="G1102" i="8"/>
  <c r="O1102" i="6" s="1"/>
  <c r="A1103" i="8"/>
  <c r="B1103" i="8"/>
  <c r="C1103" i="8"/>
  <c r="D1103" i="8"/>
  <c r="G1103" i="8"/>
  <c r="O1103" i="6" s="1"/>
  <c r="A1104" i="8"/>
  <c r="B1104" i="8"/>
  <c r="C1104" i="8"/>
  <c r="D1104" i="8"/>
  <c r="G1104" i="8"/>
  <c r="A1105" i="8"/>
  <c r="B1105" i="8"/>
  <c r="C1105" i="8"/>
  <c r="D1105" i="8"/>
  <c r="G1105" i="8"/>
  <c r="O1105" i="6" s="1"/>
  <c r="A1106" i="8"/>
  <c r="B1106" i="8"/>
  <c r="C1106" i="8"/>
  <c r="D1106" i="8"/>
  <c r="G1106" i="8"/>
  <c r="O1106" i="6" s="1"/>
  <c r="A1107" i="8"/>
  <c r="B1107" i="8"/>
  <c r="C1107" i="8"/>
  <c r="D1107" i="8"/>
  <c r="G1107" i="8"/>
  <c r="O1107" i="6" s="1"/>
  <c r="A1108" i="8"/>
  <c r="B1108" i="8"/>
  <c r="C1108" i="8"/>
  <c r="D1108" i="8"/>
  <c r="G1108" i="8"/>
  <c r="O1108" i="6" s="1"/>
  <c r="A1109" i="8"/>
  <c r="B1109" i="8"/>
  <c r="C1109" i="8"/>
  <c r="D1109" i="8"/>
  <c r="G1109" i="8"/>
  <c r="O1109" i="6" s="1"/>
  <c r="A1110" i="8"/>
  <c r="B1110" i="8"/>
  <c r="C1110" i="8"/>
  <c r="D1110" i="8"/>
  <c r="G1110" i="8"/>
  <c r="O1110" i="6" s="1"/>
  <c r="A1111" i="8"/>
  <c r="B1111" i="8"/>
  <c r="C1111" i="8"/>
  <c r="D1111" i="8"/>
  <c r="G1111" i="8"/>
  <c r="O1111" i="6" s="1"/>
  <c r="A1112" i="8"/>
  <c r="B1112" i="8"/>
  <c r="C1112" i="8"/>
  <c r="D1112" i="8"/>
  <c r="G1112" i="8"/>
  <c r="O1112" i="6" s="1"/>
  <c r="A1113" i="8"/>
  <c r="B1113" i="8"/>
  <c r="C1113" i="8"/>
  <c r="D1113" i="8"/>
  <c r="G1113" i="8"/>
  <c r="O1113" i="6" s="1"/>
  <c r="A1114" i="8"/>
  <c r="B1114" i="8"/>
  <c r="C1114" i="8"/>
  <c r="D1114" i="8"/>
  <c r="G1114" i="8"/>
  <c r="O1114" i="6" s="1"/>
  <c r="A1115" i="8"/>
  <c r="B1115" i="8"/>
  <c r="C1115" i="8"/>
  <c r="D1115" i="8"/>
  <c r="G1115" i="8"/>
  <c r="O1115" i="6" s="1"/>
  <c r="A1116" i="8"/>
  <c r="B1116" i="8"/>
  <c r="C1116" i="8"/>
  <c r="D1116" i="8"/>
  <c r="G1116" i="8"/>
  <c r="O1116" i="6" s="1"/>
  <c r="A1117" i="8"/>
  <c r="B1117" i="8"/>
  <c r="C1117" i="8"/>
  <c r="D1117" i="8"/>
  <c r="G1117" i="8"/>
  <c r="O1117" i="6" s="1"/>
  <c r="A1118" i="8"/>
  <c r="B1118" i="8"/>
  <c r="C1118" i="8"/>
  <c r="D1118" i="8"/>
  <c r="G1118" i="8"/>
  <c r="O1118" i="6" s="1"/>
  <c r="A1119" i="8"/>
  <c r="B1119" i="8"/>
  <c r="C1119" i="8"/>
  <c r="D1119" i="8"/>
  <c r="G1119" i="8"/>
  <c r="O1119" i="6" s="1"/>
  <c r="A1120" i="8"/>
  <c r="B1120" i="8"/>
  <c r="C1120" i="8"/>
  <c r="D1120" i="8"/>
  <c r="G1120" i="8"/>
  <c r="O1120" i="6" s="1"/>
  <c r="A1121" i="8"/>
  <c r="B1121" i="8"/>
  <c r="C1121" i="8"/>
  <c r="D1121" i="8"/>
  <c r="G1121" i="8"/>
  <c r="O1121" i="6" s="1"/>
  <c r="A1122" i="8"/>
  <c r="B1122" i="8"/>
  <c r="C1122" i="8"/>
  <c r="D1122" i="8"/>
  <c r="G1122" i="8"/>
  <c r="O1122" i="6" s="1"/>
  <c r="A1123" i="8"/>
  <c r="B1123" i="8"/>
  <c r="C1123" i="8"/>
  <c r="D1123" i="8"/>
  <c r="G1123" i="8"/>
  <c r="O1123" i="6" s="1"/>
  <c r="A1124" i="8"/>
  <c r="B1124" i="8"/>
  <c r="C1124" i="8"/>
  <c r="D1124" i="8"/>
  <c r="G1124" i="8"/>
  <c r="O1124" i="6" s="1"/>
  <c r="A1125" i="8"/>
  <c r="B1125" i="8"/>
  <c r="C1125" i="8"/>
  <c r="D1125" i="8"/>
  <c r="G1125" i="8"/>
  <c r="O1125" i="6" s="1"/>
  <c r="A1126" i="8"/>
  <c r="B1126" i="8"/>
  <c r="C1126" i="8"/>
  <c r="D1126" i="8"/>
  <c r="G1126" i="8"/>
  <c r="O1126" i="6" s="1"/>
  <c r="A1127" i="8"/>
  <c r="B1127" i="8"/>
  <c r="C1127" i="8"/>
  <c r="D1127" i="8"/>
  <c r="G1127" i="8"/>
  <c r="O1127" i="6" s="1"/>
  <c r="A1128" i="8"/>
  <c r="B1128" i="8"/>
  <c r="C1128" i="8"/>
  <c r="D1128" i="8"/>
  <c r="G1128" i="8"/>
  <c r="O1128" i="6" s="1"/>
  <c r="A1129" i="8"/>
  <c r="B1129" i="8"/>
  <c r="C1129" i="8"/>
  <c r="D1129" i="8"/>
  <c r="G1129" i="8"/>
  <c r="O1129" i="6" s="1"/>
  <c r="A1130" i="8"/>
  <c r="L1130" i="8" s="1"/>
  <c r="B1130" i="8"/>
  <c r="C1130" i="8"/>
  <c r="D1130" i="8"/>
  <c r="G1130" i="8"/>
  <c r="O1130" i="6" s="1"/>
  <c r="A1131" i="8"/>
  <c r="L1131" i="8" s="1"/>
  <c r="B1131" i="8"/>
  <c r="C1131" i="8"/>
  <c r="D1131" i="8"/>
  <c r="G1131" i="8"/>
  <c r="O1131" i="6" s="1"/>
  <c r="A1132" i="8"/>
  <c r="B1132" i="8"/>
  <c r="C1132" i="8"/>
  <c r="D1132" i="8"/>
  <c r="G1132" i="8"/>
  <c r="O1132" i="6" s="1"/>
  <c r="A1133" i="8"/>
  <c r="B1133" i="8"/>
  <c r="C1133" i="8"/>
  <c r="D1133" i="8"/>
  <c r="G1133" i="8"/>
  <c r="O1133" i="6" s="1"/>
  <c r="A1134" i="8"/>
  <c r="B1134" i="8"/>
  <c r="C1134" i="8"/>
  <c r="D1134" i="8"/>
  <c r="G1134" i="8"/>
  <c r="O1134" i="6" s="1"/>
  <c r="A1135" i="8"/>
  <c r="B1135" i="8"/>
  <c r="C1135" i="8"/>
  <c r="D1135" i="8"/>
  <c r="G1135" i="8"/>
  <c r="O1135" i="6" s="1"/>
  <c r="A1136" i="8"/>
  <c r="B1136" i="8"/>
  <c r="C1136" i="8"/>
  <c r="D1136" i="8"/>
  <c r="G1136" i="8"/>
  <c r="A1137" i="8"/>
  <c r="B1137" i="8"/>
  <c r="C1137" i="8"/>
  <c r="D1137" i="8"/>
  <c r="G1137" i="8"/>
  <c r="O1137" i="6" s="1"/>
  <c r="A1138" i="8"/>
  <c r="B1138" i="8"/>
  <c r="C1138" i="8"/>
  <c r="D1138" i="8"/>
  <c r="G1138" i="8"/>
  <c r="O1138" i="6" s="1"/>
  <c r="A1139" i="8"/>
  <c r="B1139" i="8"/>
  <c r="C1139" i="8"/>
  <c r="D1139" i="8"/>
  <c r="G1139" i="8"/>
  <c r="O1139" i="6" s="1"/>
  <c r="A1140" i="8"/>
  <c r="B1140" i="8"/>
  <c r="C1140" i="8"/>
  <c r="D1140" i="8"/>
  <c r="G1140" i="8"/>
  <c r="O1140" i="6" s="1"/>
  <c r="A1141" i="8"/>
  <c r="B1141" i="8"/>
  <c r="C1141" i="8"/>
  <c r="D1141" i="8"/>
  <c r="G1141" i="8"/>
  <c r="O1141" i="6" s="1"/>
  <c r="A1142" i="8"/>
  <c r="B1142" i="8"/>
  <c r="C1142" i="8"/>
  <c r="D1142" i="8"/>
  <c r="G1142" i="8"/>
  <c r="O1142" i="6" s="1"/>
  <c r="A1143" i="8"/>
  <c r="B1143" i="8"/>
  <c r="C1143" i="8"/>
  <c r="D1143" i="8"/>
  <c r="G1143" i="8"/>
  <c r="O1143" i="6" s="1"/>
  <c r="A1144" i="8"/>
  <c r="B1144" i="8"/>
  <c r="C1144" i="8"/>
  <c r="D1144" i="8"/>
  <c r="G1144" i="8"/>
  <c r="O1144" i="6" s="1"/>
  <c r="A1145" i="8"/>
  <c r="B1145" i="8"/>
  <c r="C1145" i="8"/>
  <c r="D1145" i="8"/>
  <c r="G1145" i="8"/>
  <c r="O1145" i="6" s="1"/>
  <c r="A1146" i="8"/>
  <c r="B1146" i="8"/>
  <c r="C1146" i="8"/>
  <c r="D1146" i="8"/>
  <c r="G1146" i="8"/>
  <c r="O1146" i="6" s="1"/>
  <c r="A1147" i="8"/>
  <c r="B1147" i="8"/>
  <c r="C1147" i="8"/>
  <c r="D1147" i="8"/>
  <c r="G1147" i="8"/>
  <c r="O1147" i="6" s="1"/>
  <c r="A1148" i="8"/>
  <c r="B1148" i="8"/>
  <c r="C1148" i="8"/>
  <c r="D1148" i="8"/>
  <c r="G1148" i="8"/>
  <c r="O1148" i="6" s="1"/>
  <c r="A1149" i="8"/>
  <c r="L1149" i="8" s="1"/>
  <c r="B1149" i="8"/>
  <c r="C1149" i="8"/>
  <c r="D1149" i="8"/>
  <c r="G1149" i="8"/>
  <c r="O1149" i="6" s="1"/>
  <c r="A1150" i="8"/>
  <c r="B1150" i="8"/>
  <c r="C1150" i="8"/>
  <c r="D1150" i="8"/>
  <c r="G1150" i="8"/>
  <c r="O1150" i="6" s="1"/>
  <c r="A1151" i="8"/>
  <c r="B1151" i="8"/>
  <c r="C1151" i="8"/>
  <c r="D1151" i="8"/>
  <c r="G1151" i="8"/>
  <c r="O1151" i="6" s="1"/>
  <c r="A1152" i="8"/>
  <c r="B1152" i="8"/>
  <c r="C1152" i="8"/>
  <c r="D1152" i="8"/>
  <c r="G1152" i="8"/>
  <c r="O1152" i="6" s="1"/>
  <c r="A1153" i="8"/>
  <c r="B1153" i="8"/>
  <c r="C1153" i="8"/>
  <c r="D1153" i="8"/>
  <c r="G1153" i="8"/>
  <c r="O1153" i="6" s="1"/>
  <c r="A1154" i="8"/>
  <c r="B1154" i="8"/>
  <c r="C1154" i="8"/>
  <c r="D1154" i="8"/>
  <c r="G1154" i="8"/>
  <c r="O1154" i="6" s="1"/>
  <c r="A1155" i="8"/>
  <c r="B1155" i="8"/>
  <c r="C1155" i="8"/>
  <c r="D1155" i="8"/>
  <c r="G1155" i="8"/>
  <c r="O1155" i="6" s="1"/>
  <c r="A1156" i="8"/>
  <c r="B1156" i="8"/>
  <c r="C1156" i="8"/>
  <c r="D1156" i="8"/>
  <c r="G1156" i="8"/>
  <c r="O1156" i="6" s="1"/>
  <c r="A1157" i="8"/>
  <c r="B1157" i="8"/>
  <c r="C1157" i="8"/>
  <c r="D1157" i="8"/>
  <c r="G1157" i="8"/>
  <c r="O1157" i="6" s="1"/>
  <c r="A1158" i="8"/>
  <c r="B1158" i="8"/>
  <c r="C1158" i="8"/>
  <c r="D1158" i="8"/>
  <c r="G1158" i="8"/>
  <c r="O1158" i="6" s="1"/>
  <c r="A1159" i="8"/>
  <c r="B1159" i="8"/>
  <c r="C1159" i="8"/>
  <c r="D1159" i="8"/>
  <c r="G1159" i="8"/>
  <c r="O1159" i="6" s="1"/>
  <c r="A1160" i="8"/>
  <c r="B1160" i="8"/>
  <c r="C1160" i="8"/>
  <c r="D1160" i="8"/>
  <c r="G1160" i="8"/>
  <c r="O1160" i="6" s="1"/>
  <c r="A1161" i="8"/>
  <c r="B1161" i="8"/>
  <c r="C1161" i="8"/>
  <c r="D1161" i="8"/>
  <c r="G1161" i="8"/>
  <c r="O1161" i="6" s="1"/>
  <c r="A1162" i="8"/>
  <c r="B1162" i="8"/>
  <c r="C1162" i="8"/>
  <c r="D1162" i="8"/>
  <c r="G1162" i="8"/>
  <c r="O1162" i="6" s="1"/>
  <c r="A1163" i="8"/>
  <c r="B1163" i="8"/>
  <c r="C1163" i="8"/>
  <c r="D1163" i="8"/>
  <c r="G1163" i="8"/>
  <c r="O1163" i="6" s="1"/>
  <c r="A1164" i="8"/>
  <c r="B1164" i="8"/>
  <c r="C1164" i="8"/>
  <c r="D1164" i="8"/>
  <c r="G1164" i="8"/>
  <c r="O1164" i="6" s="1"/>
  <c r="A1165" i="8"/>
  <c r="B1165" i="8"/>
  <c r="C1165" i="8"/>
  <c r="D1165" i="8"/>
  <c r="G1165" i="8"/>
  <c r="O1165" i="6" s="1"/>
  <c r="A1166" i="8"/>
  <c r="B1166" i="8"/>
  <c r="C1166" i="8"/>
  <c r="D1166" i="8"/>
  <c r="G1166" i="8"/>
  <c r="O1166" i="6" s="1"/>
  <c r="A1167" i="8"/>
  <c r="B1167" i="8"/>
  <c r="C1167" i="8"/>
  <c r="D1167" i="8"/>
  <c r="G1167" i="8"/>
  <c r="O1167" i="6" s="1"/>
  <c r="A1168" i="8"/>
  <c r="B1168" i="8"/>
  <c r="C1168" i="8"/>
  <c r="D1168" i="8"/>
  <c r="G1168" i="8"/>
  <c r="O1168" i="6" s="1"/>
  <c r="A1169" i="8"/>
  <c r="B1169" i="8"/>
  <c r="C1169" i="8"/>
  <c r="D1169" i="8"/>
  <c r="G1169" i="8"/>
  <c r="O1169" i="6" s="1"/>
  <c r="A1170" i="8"/>
  <c r="B1170" i="8"/>
  <c r="C1170" i="8"/>
  <c r="D1170" i="8"/>
  <c r="G1170" i="8"/>
  <c r="O1170" i="6" s="1"/>
  <c r="A1171" i="8"/>
  <c r="B1171" i="8"/>
  <c r="C1171" i="8"/>
  <c r="D1171" i="8"/>
  <c r="G1171" i="8"/>
  <c r="O1171" i="6" s="1"/>
  <c r="A1172" i="8"/>
  <c r="B1172" i="8"/>
  <c r="C1172" i="8"/>
  <c r="D1172" i="8"/>
  <c r="G1172" i="8"/>
  <c r="O1172" i="6" s="1"/>
  <c r="A1173" i="8"/>
  <c r="B1173" i="8"/>
  <c r="C1173" i="8"/>
  <c r="D1173" i="8"/>
  <c r="G1173" i="8"/>
  <c r="O1173" i="6" s="1"/>
  <c r="A1174" i="8"/>
  <c r="B1174" i="8"/>
  <c r="C1174" i="8"/>
  <c r="D1174" i="8"/>
  <c r="G1174" i="8"/>
  <c r="O1174" i="6" s="1"/>
  <c r="A1175" i="8"/>
  <c r="B1175" i="8"/>
  <c r="C1175" i="8"/>
  <c r="D1175" i="8"/>
  <c r="G1175" i="8"/>
  <c r="O1175" i="6" s="1"/>
  <c r="A1176" i="8"/>
  <c r="B1176" i="8"/>
  <c r="C1176" i="8"/>
  <c r="D1176" i="8"/>
  <c r="G1176" i="8"/>
  <c r="A1177" i="8"/>
  <c r="B1177" i="8"/>
  <c r="C1177" i="8"/>
  <c r="D1177" i="8"/>
  <c r="G1177" i="8"/>
  <c r="O1177" i="6" s="1"/>
  <c r="A1178" i="8"/>
  <c r="B1178" i="8"/>
  <c r="C1178" i="8"/>
  <c r="D1178" i="8"/>
  <c r="G1178" i="8"/>
  <c r="O1178" i="6" s="1"/>
  <c r="A1179" i="8"/>
  <c r="B1179" i="8"/>
  <c r="C1179" i="8"/>
  <c r="D1179" i="8"/>
  <c r="G1179" i="8"/>
  <c r="O1179" i="6" s="1"/>
  <c r="A1180" i="8"/>
  <c r="B1180" i="8"/>
  <c r="C1180" i="8"/>
  <c r="D1180" i="8"/>
  <c r="G1180" i="8"/>
  <c r="O1180" i="6" s="1"/>
  <c r="A1181" i="8"/>
  <c r="B1181" i="8"/>
  <c r="C1181" i="8"/>
  <c r="D1181" i="8"/>
  <c r="G1181" i="8"/>
  <c r="O1181" i="6" s="1"/>
  <c r="A1182" i="8"/>
  <c r="B1182" i="8"/>
  <c r="C1182" i="8"/>
  <c r="D1182" i="8"/>
  <c r="G1182" i="8"/>
  <c r="O1182" i="6" s="1"/>
  <c r="A1183" i="8"/>
  <c r="B1183" i="8"/>
  <c r="C1183" i="8"/>
  <c r="D1183" i="8"/>
  <c r="G1183" i="8"/>
  <c r="O1183" i="6" s="1"/>
  <c r="A1184" i="8"/>
  <c r="B1184" i="8"/>
  <c r="C1184" i="8"/>
  <c r="D1184" i="8"/>
  <c r="G1184" i="8"/>
  <c r="O1184" i="6" s="1"/>
  <c r="A1185" i="8"/>
  <c r="B1185" i="8"/>
  <c r="C1185" i="8"/>
  <c r="D1185" i="8"/>
  <c r="G1185" i="8"/>
  <c r="O1185" i="6" s="1"/>
  <c r="A1186" i="8"/>
  <c r="B1186" i="8"/>
  <c r="C1186" i="8"/>
  <c r="D1186" i="8"/>
  <c r="G1186" i="8"/>
  <c r="O1186" i="6" s="1"/>
  <c r="A1187" i="8"/>
  <c r="B1187" i="8"/>
  <c r="C1187" i="8"/>
  <c r="D1187" i="8"/>
  <c r="G1187" i="8"/>
  <c r="O1187" i="6" s="1"/>
  <c r="A1188" i="8"/>
  <c r="B1188" i="8"/>
  <c r="C1188" i="8"/>
  <c r="D1188" i="8"/>
  <c r="G1188" i="8"/>
  <c r="O1188" i="6" s="1"/>
  <c r="A1189" i="8"/>
  <c r="B1189" i="8"/>
  <c r="C1189" i="8"/>
  <c r="D1189" i="8"/>
  <c r="G1189" i="8"/>
  <c r="O1189" i="6" s="1"/>
  <c r="A1190" i="8"/>
  <c r="B1190" i="8"/>
  <c r="C1190" i="8"/>
  <c r="D1190" i="8"/>
  <c r="G1190" i="8"/>
  <c r="O1190" i="6" s="1"/>
  <c r="A1191" i="8"/>
  <c r="B1191" i="8"/>
  <c r="C1191" i="8"/>
  <c r="D1191" i="8"/>
  <c r="G1191" i="8"/>
  <c r="O1191" i="6" s="1"/>
  <c r="A1192" i="8"/>
  <c r="B1192" i="8"/>
  <c r="C1192" i="8"/>
  <c r="D1192" i="8"/>
  <c r="G1192" i="8"/>
  <c r="O1192" i="6" s="1"/>
  <c r="A1193" i="8"/>
  <c r="B1193" i="8"/>
  <c r="C1193" i="8"/>
  <c r="D1193" i="8"/>
  <c r="G1193" i="8"/>
  <c r="O1193" i="6" s="1"/>
  <c r="A1194" i="8"/>
  <c r="B1194" i="8"/>
  <c r="C1194" i="8"/>
  <c r="D1194" i="8"/>
  <c r="G1194" i="8"/>
  <c r="O1194" i="6" s="1"/>
  <c r="A1195" i="8"/>
  <c r="B1195" i="8"/>
  <c r="C1195" i="8"/>
  <c r="D1195" i="8"/>
  <c r="G1195" i="8"/>
  <c r="O1195" i="6" s="1"/>
  <c r="A1196" i="8"/>
  <c r="B1196" i="8"/>
  <c r="C1196" i="8"/>
  <c r="D1196" i="8"/>
  <c r="G1196" i="8"/>
  <c r="O1196" i="6" s="1"/>
  <c r="A1197" i="8"/>
  <c r="B1197" i="8"/>
  <c r="C1197" i="8"/>
  <c r="D1197" i="8"/>
  <c r="G1197" i="8"/>
  <c r="O1197" i="6" s="1"/>
  <c r="A1198" i="8"/>
  <c r="B1198" i="8"/>
  <c r="C1198" i="8"/>
  <c r="D1198" i="8"/>
  <c r="G1198" i="8"/>
  <c r="O1198" i="6" s="1"/>
  <c r="A1199" i="8"/>
  <c r="B1199" i="8"/>
  <c r="C1199" i="8"/>
  <c r="D1199" i="8"/>
  <c r="G1199" i="8"/>
  <c r="O1199" i="6" s="1"/>
  <c r="A1200" i="8"/>
  <c r="B1200" i="8"/>
  <c r="C1200" i="8"/>
  <c r="D1200" i="8"/>
  <c r="G1200" i="8"/>
  <c r="O1200" i="6" s="1"/>
  <c r="A1201" i="8"/>
  <c r="B1201" i="8"/>
  <c r="C1201" i="8"/>
  <c r="D1201" i="8"/>
  <c r="G1201" i="8"/>
  <c r="O1201" i="6" s="1"/>
  <c r="A1202" i="8"/>
  <c r="B1202" i="8"/>
  <c r="C1202" i="8"/>
  <c r="D1202" i="8"/>
  <c r="G1202" i="8"/>
  <c r="O1202" i="6" s="1"/>
  <c r="A1203" i="8"/>
  <c r="L1203" i="8" s="1"/>
  <c r="B1203" i="8"/>
  <c r="C1203" i="8"/>
  <c r="D1203" i="8"/>
  <c r="G1203" i="8"/>
  <c r="O1203" i="6" s="1"/>
  <c r="A1204" i="8"/>
  <c r="B1204" i="8"/>
  <c r="C1204" i="8"/>
  <c r="D1204" i="8"/>
  <c r="G1204" i="8"/>
  <c r="O1204" i="6" s="1"/>
  <c r="A1205" i="8"/>
  <c r="B1205" i="8"/>
  <c r="C1205" i="8"/>
  <c r="D1205" i="8"/>
  <c r="G1205" i="8"/>
  <c r="O1205" i="6" s="1"/>
  <c r="A1206" i="8"/>
  <c r="B1206" i="8"/>
  <c r="C1206" i="8"/>
  <c r="D1206" i="8"/>
  <c r="G1206" i="8"/>
  <c r="O1206" i="6" s="1"/>
  <c r="A1207" i="8"/>
  <c r="B1207" i="8"/>
  <c r="C1207" i="8"/>
  <c r="D1207" i="8"/>
  <c r="G1207" i="8"/>
  <c r="O1207" i="6" s="1"/>
  <c r="A1208" i="8"/>
  <c r="B1208" i="8"/>
  <c r="C1208" i="8"/>
  <c r="D1208" i="8"/>
  <c r="G1208" i="8"/>
  <c r="O1208" i="6" s="1"/>
  <c r="A1209" i="8"/>
  <c r="B1209" i="8"/>
  <c r="C1209" i="8"/>
  <c r="D1209" i="8"/>
  <c r="G1209" i="8"/>
  <c r="O1209" i="6" s="1"/>
  <c r="A1210" i="8"/>
  <c r="B1210" i="8"/>
  <c r="C1210" i="8"/>
  <c r="D1210" i="8"/>
  <c r="G1210" i="8"/>
  <c r="O1210" i="6" s="1"/>
  <c r="A1211" i="8"/>
  <c r="B1211" i="8"/>
  <c r="C1211" i="8"/>
  <c r="D1211" i="8"/>
  <c r="G1211" i="8"/>
  <c r="O1211" i="6" s="1"/>
  <c r="A1212" i="8"/>
  <c r="B1212" i="8"/>
  <c r="C1212" i="8"/>
  <c r="D1212" i="8"/>
  <c r="G1212" i="8"/>
  <c r="O1212" i="6" s="1"/>
  <c r="A1213" i="8"/>
  <c r="B1213" i="8"/>
  <c r="C1213" i="8"/>
  <c r="D1213" i="8"/>
  <c r="G1213" i="8"/>
  <c r="O1213" i="6" s="1"/>
  <c r="A1214" i="8"/>
  <c r="B1214" i="8"/>
  <c r="C1214" i="8"/>
  <c r="D1214" i="8"/>
  <c r="G1214" i="8"/>
  <c r="A1215" i="8"/>
  <c r="B1215" i="8"/>
  <c r="C1215" i="8"/>
  <c r="D1215" i="8"/>
  <c r="G1215" i="8"/>
  <c r="O1215" i="6" s="1"/>
  <c r="A1216" i="8"/>
  <c r="B1216" i="8"/>
  <c r="C1216" i="8"/>
  <c r="D1216" i="8"/>
  <c r="G1216" i="8"/>
  <c r="O1216" i="6" s="1"/>
  <c r="A1217" i="8"/>
  <c r="B1217" i="8"/>
  <c r="C1217" i="8"/>
  <c r="D1217" i="8"/>
  <c r="G1217" i="8"/>
  <c r="O1217" i="6" s="1"/>
  <c r="A1218" i="8"/>
  <c r="B1218" i="8"/>
  <c r="C1218" i="8"/>
  <c r="D1218" i="8"/>
  <c r="G1218" i="8"/>
  <c r="O1218" i="6" s="1"/>
  <c r="A1219" i="8"/>
  <c r="B1219" i="8"/>
  <c r="C1219" i="8"/>
  <c r="D1219" i="8"/>
  <c r="G1219" i="8"/>
  <c r="O1219" i="6" s="1"/>
  <c r="A1220" i="8"/>
  <c r="B1220" i="8"/>
  <c r="C1220" i="8"/>
  <c r="D1220" i="8"/>
  <c r="G1220" i="8"/>
  <c r="O1220" i="6" s="1"/>
  <c r="A1221" i="8"/>
  <c r="B1221" i="8"/>
  <c r="C1221" i="8"/>
  <c r="D1221" i="8"/>
  <c r="G1221" i="8"/>
  <c r="O1221" i="6" s="1"/>
  <c r="A1222" i="8"/>
  <c r="B1222" i="8"/>
  <c r="C1222" i="8"/>
  <c r="D1222" i="8"/>
  <c r="G1222" i="8"/>
  <c r="O1222" i="6" s="1"/>
  <c r="A1223" i="8"/>
  <c r="B1223" i="8"/>
  <c r="C1223" i="8"/>
  <c r="D1223" i="8"/>
  <c r="G1223" i="8"/>
  <c r="O1223" i="6" s="1"/>
  <c r="A1224" i="8"/>
  <c r="B1224" i="8"/>
  <c r="C1224" i="8"/>
  <c r="D1224" i="8"/>
  <c r="G1224" i="8"/>
  <c r="O1224" i="6" s="1"/>
  <c r="A1225" i="8"/>
  <c r="B1225" i="8"/>
  <c r="C1225" i="8"/>
  <c r="D1225" i="8"/>
  <c r="G1225" i="8"/>
  <c r="O1225" i="6" s="1"/>
  <c r="A1226" i="8"/>
  <c r="B1226" i="8"/>
  <c r="C1226" i="8"/>
  <c r="D1226" i="8"/>
  <c r="G1226" i="8"/>
  <c r="O1226" i="6" s="1"/>
  <c r="A1227" i="8"/>
  <c r="B1227" i="8"/>
  <c r="C1227" i="8"/>
  <c r="D1227" i="8"/>
  <c r="G1227" i="8"/>
  <c r="O1227" i="6" s="1"/>
  <c r="A1228" i="8"/>
  <c r="B1228" i="8"/>
  <c r="C1228" i="8"/>
  <c r="D1228" i="8"/>
  <c r="G1228" i="8"/>
  <c r="O1228" i="6" s="1"/>
  <c r="A1229" i="8"/>
  <c r="B1229" i="8"/>
  <c r="C1229" i="8"/>
  <c r="D1229" i="8"/>
  <c r="G1229" i="8"/>
  <c r="O1229" i="6" s="1"/>
  <c r="A1230" i="8"/>
  <c r="B1230" i="8"/>
  <c r="C1230" i="8"/>
  <c r="D1230" i="8"/>
  <c r="G1230" i="8"/>
  <c r="O1230" i="6" s="1"/>
  <c r="A1231" i="8"/>
  <c r="B1231" i="8"/>
  <c r="C1231" i="8"/>
  <c r="D1231" i="8"/>
  <c r="G1231" i="8"/>
  <c r="O1231" i="6" s="1"/>
  <c r="A1232" i="8"/>
  <c r="B1232" i="8"/>
  <c r="C1232" i="8"/>
  <c r="D1232" i="8"/>
  <c r="G1232" i="8"/>
  <c r="O1232" i="6" s="1"/>
  <c r="A1233" i="8"/>
  <c r="B1233" i="8"/>
  <c r="C1233" i="8"/>
  <c r="D1233" i="8"/>
  <c r="G1233" i="8"/>
  <c r="O1233" i="6" s="1"/>
  <c r="A1234" i="8"/>
  <c r="B1234" i="8"/>
  <c r="C1234" i="8"/>
  <c r="D1234" i="8"/>
  <c r="G1234" i="8"/>
  <c r="O1234" i="6" s="1"/>
  <c r="A1235" i="8"/>
  <c r="B1235" i="8"/>
  <c r="C1235" i="8"/>
  <c r="D1235" i="8"/>
  <c r="G1235" i="8"/>
  <c r="O1235" i="6" s="1"/>
  <c r="A1236" i="8"/>
  <c r="B1236" i="8"/>
  <c r="C1236" i="8"/>
  <c r="D1236" i="8"/>
  <c r="G1236" i="8"/>
  <c r="O1236" i="6" s="1"/>
  <c r="A1237" i="8"/>
  <c r="B1237" i="8"/>
  <c r="C1237" i="8"/>
  <c r="D1237" i="8"/>
  <c r="G1237" i="8"/>
  <c r="O1237" i="6" s="1"/>
  <c r="A1238" i="8"/>
  <c r="L1238" i="8" s="1"/>
  <c r="B1238" i="8"/>
  <c r="C1238" i="8"/>
  <c r="D1238" i="8"/>
  <c r="G1238" i="8"/>
  <c r="O1238" i="6" s="1"/>
  <c r="A1239" i="8"/>
  <c r="L1239" i="8" s="1"/>
  <c r="B1239" i="8"/>
  <c r="C1239" i="8"/>
  <c r="D1239" i="8"/>
  <c r="G1239" i="8"/>
  <c r="O1239" i="6" s="1"/>
  <c r="A1240" i="8"/>
  <c r="B1240" i="8"/>
  <c r="C1240" i="8"/>
  <c r="D1240" i="8"/>
  <c r="G1240" i="8"/>
  <c r="O1240" i="6" s="1"/>
  <c r="A1241" i="8"/>
  <c r="B1241" i="8"/>
  <c r="C1241" i="8"/>
  <c r="D1241" i="8"/>
  <c r="G1241" i="8"/>
  <c r="O1241" i="6" s="1"/>
  <c r="A1242" i="8"/>
  <c r="B1242" i="8"/>
  <c r="C1242" i="8"/>
  <c r="D1242" i="8"/>
  <c r="G1242" i="8"/>
  <c r="O1242" i="6" s="1"/>
  <c r="A1243" i="8"/>
  <c r="B1243" i="8"/>
  <c r="C1243" i="8"/>
  <c r="D1243" i="8"/>
  <c r="G1243" i="8"/>
  <c r="O1243" i="6" s="1"/>
  <c r="A1244" i="8"/>
  <c r="B1244" i="8"/>
  <c r="C1244" i="8"/>
  <c r="D1244" i="8"/>
  <c r="G1244" i="8"/>
  <c r="O1244" i="6" s="1"/>
  <c r="A1245" i="8"/>
  <c r="B1245" i="8"/>
  <c r="C1245" i="8"/>
  <c r="D1245" i="8"/>
  <c r="G1245" i="8"/>
  <c r="O1245" i="6" s="1"/>
  <c r="A1246" i="8"/>
  <c r="B1246" i="8"/>
  <c r="C1246" i="8"/>
  <c r="D1246" i="8"/>
  <c r="G1246" i="8"/>
  <c r="O1246" i="6" s="1"/>
  <c r="A1247" i="8"/>
  <c r="B1247" i="8"/>
  <c r="C1247" i="8"/>
  <c r="D1247" i="8"/>
  <c r="G1247" i="8"/>
  <c r="O1247" i="6" s="1"/>
  <c r="A1248" i="8"/>
  <c r="B1248" i="8"/>
  <c r="C1248" i="8"/>
  <c r="D1248" i="8"/>
  <c r="G1248" i="8"/>
  <c r="O1248" i="6" s="1"/>
  <c r="A1249" i="8"/>
  <c r="B1249" i="8"/>
  <c r="C1249" i="8"/>
  <c r="D1249" i="8"/>
  <c r="G1249" i="8"/>
  <c r="O1249" i="6" s="1"/>
  <c r="A1250" i="8"/>
  <c r="B1250" i="8"/>
  <c r="C1250" i="8"/>
  <c r="D1250" i="8"/>
  <c r="G1250" i="8"/>
  <c r="O1250" i="6" s="1"/>
  <c r="A1251" i="8"/>
  <c r="B1251" i="8"/>
  <c r="C1251" i="8"/>
  <c r="D1251" i="8"/>
  <c r="G1251" i="8"/>
  <c r="O1251" i="6" s="1"/>
  <c r="A1252" i="8"/>
  <c r="B1252" i="8"/>
  <c r="C1252" i="8"/>
  <c r="D1252" i="8"/>
  <c r="G1252" i="8"/>
  <c r="O1252" i="6" s="1"/>
  <c r="A1253" i="8"/>
  <c r="B1253" i="8"/>
  <c r="C1253" i="8"/>
  <c r="D1253" i="8"/>
  <c r="G1253" i="8"/>
  <c r="O1253" i="6" s="1"/>
  <c r="A1254" i="8"/>
  <c r="B1254" i="8"/>
  <c r="C1254" i="8"/>
  <c r="D1254" i="8"/>
  <c r="G1254" i="8"/>
  <c r="O1254" i="6" s="1"/>
  <c r="A1255" i="8"/>
  <c r="B1255" i="8"/>
  <c r="C1255" i="8"/>
  <c r="D1255" i="8"/>
  <c r="G1255" i="8"/>
  <c r="O1255" i="6" s="1"/>
  <c r="A1256" i="8"/>
  <c r="B1256" i="8"/>
  <c r="C1256" i="8"/>
  <c r="D1256" i="8"/>
  <c r="G1256" i="8"/>
  <c r="O1256" i="6" s="1"/>
  <c r="A1257" i="8"/>
  <c r="L1257" i="8" s="1"/>
  <c r="B1257" i="8"/>
  <c r="C1257" i="8"/>
  <c r="D1257" i="8"/>
  <c r="G1257" i="8"/>
  <c r="O1257" i="6" s="1"/>
  <c r="A1258" i="8"/>
  <c r="B1258" i="8"/>
  <c r="C1258" i="8"/>
  <c r="D1258" i="8"/>
  <c r="L1258" i="8" s="1"/>
  <c r="G1258" i="8"/>
  <c r="O1258" i="6" s="1"/>
  <c r="A1259" i="8"/>
  <c r="B1259" i="8"/>
  <c r="C1259" i="8"/>
  <c r="D1259" i="8"/>
  <c r="G1259" i="8"/>
  <c r="O1259" i="6" s="1"/>
  <c r="A1260" i="8"/>
  <c r="B1260" i="8"/>
  <c r="C1260" i="8"/>
  <c r="D1260" i="8"/>
  <c r="G1260" i="8"/>
  <c r="O1260" i="6" s="1"/>
  <c r="A1261" i="8"/>
  <c r="B1261" i="8"/>
  <c r="C1261" i="8"/>
  <c r="D1261" i="8"/>
  <c r="G1261" i="8"/>
  <c r="O1261" i="6" s="1"/>
  <c r="A1262" i="8"/>
  <c r="B1262" i="8"/>
  <c r="C1262" i="8"/>
  <c r="D1262" i="8"/>
  <c r="G1262" i="8"/>
  <c r="O1262" i="6" s="1"/>
  <c r="A1263" i="8"/>
  <c r="B1263" i="8"/>
  <c r="C1263" i="8"/>
  <c r="D1263" i="8"/>
  <c r="G1263" i="8"/>
  <c r="O1263" i="6" s="1"/>
  <c r="A1264" i="8"/>
  <c r="B1264" i="8"/>
  <c r="C1264" i="8"/>
  <c r="D1264" i="8"/>
  <c r="G1264" i="8"/>
  <c r="O1264" i="6" s="1"/>
  <c r="A1265" i="8"/>
  <c r="B1265" i="8"/>
  <c r="C1265" i="8"/>
  <c r="D1265" i="8"/>
  <c r="G1265" i="8"/>
  <c r="O1265" i="6" s="1"/>
  <c r="A1266" i="8"/>
  <c r="B1266" i="8"/>
  <c r="C1266" i="8"/>
  <c r="D1266" i="8"/>
  <c r="G1266" i="8"/>
  <c r="O1266" i="6" s="1"/>
  <c r="A1267" i="8"/>
  <c r="B1267" i="8"/>
  <c r="C1267" i="8"/>
  <c r="D1267" i="8"/>
  <c r="G1267" i="8"/>
  <c r="O1267" i="6" s="1"/>
  <c r="A1268" i="8"/>
  <c r="B1268" i="8"/>
  <c r="C1268" i="8"/>
  <c r="D1268" i="8"/>
  <c r="G1268" i="8"/>
  <c r="O1268" i="6" s="1"/>
  <c r="A1269" i="8"/>
  <c r="B1269" i="8"/>
  <c r="C1269" i="8"/>
  <c r="D1269" i="8"/>
  <c r="G1269" i="8"/>
  <c r="O1269" i="6" s="1"/>
  <c r="A1270" i="8"/>
  <c r="B1270" i="8"/>
  <c r="C1270" i="8"/>
  <c r="D1270" i="8"/>
  <c r="G1270" i="8"/>
  <c r="O1270" i="6" s="1"/>
  <c r="A1271" i="8"/>
  <c r="B1271" i="8"/>
  <c r="C1271" i="8"/>
  <c r="D1271" i="8"/>
  <c r="G1271" i="8"/>
  <c r="O1271" i="6" s="1"/>
  <c r="A1272" i="8"/>
  <c r="B1272" i="8"/>
  <c r="C1272" i="8"/>
  <c r="D1272" i="8"/>
  <c r="G1272" i="8"/>
  <c r="O1272" i="6" s="1"/>
  <c r="A1273" i="8"/>
  <c r="B1273" i="8"/>
  <c r="C1273" i="8"/>
  <c r="D1273" i="8"/>
  <c r="G1273" i="8"/>
  <c r="O1273" i="6" s="1"/>
  <c r="A1274" i="8"/>
  <c r="B1274" i="8"/>
  <c r="C1274" i="8"/>
  <c r="D1274" i="8"/>
  <c r="G1274" i="8"/>
  <c r="O1274" i="6" s="1"/>
  <c r="A1275" i="8"/>
  <c r="B1275" i="8"/>
  <c r="C1275" i="8"/>
  <c r="D1275" i="8"/>
  <c r="G1275" i="8"/>
  <c r="O1275" i="6" s="1"/>
  <c r="A1276" i="8"/>
  <c r="B1276" i="8"/>
  <c r="C1276" i="8"/>
  <c r="D1276" i="8"/>
  <c r="G1276" i="8"/>
  <c r="O1276" i="6" s="1"/>
  <c r="A1277" i="8"/>
  <c r="L1277" i="8" s="1"/>
  <c r="B1277" i="8"/>
  <c r="C1277" i="8"/>
  <c r="D1277" i="8"/>
  <c r="G1277" i="8"/>
  <c r="O1277" i="6" s="1"/>
  <c r="A1278" i="8"/>
  <c r="B1278" i="8"/>
  <c r="C1278" i="8"/>
  <c r="D1278" i="8"/>
  <c r="G1278" i="8"/>
  <c r="O1278" i="6" s="1"/>
  <c r="A1279" i="8"/>
  <c r="B1279" i="8"/>
  <c r="C1279" i="8"/>
  <c r="D1279" i="8"/>
  <c r="G1279" i="8"/>
  <c r="O1279" i="6" s="1"/>
  <c r="A1280" i="8"/>
  <c r="B1280" i="8"/>
  <c r="C1280" i="8"/>
  <c r="D1280" i="8"/>
  <c r="G1280" i="8"/>
  <c r="O1280" i="6" s="1"/>
  <c r="A1281" i="8"/>
  <c r="B1281" i="8"/>
  <c r="C1281" i="8"/>
  <c r="D1281" i="8"/>
  <c r="G1281" i="8"/>
  <c r="O1281" i="6" s="1"/>
  <c r="A1282" i="8"/>
  <c r="B1282" i="8"/>
  <c r="C1282" i="8"/>
  <c r="D1282" i="8"/>
  <c r="G1282" i="8"/>
  <c r="O1282" i="6" s="1"/>
  <c r="A1283" i="8"/>
  <c r="B1283" i="8"/>
  <c r="C1283" i="8"/>
  <c r="D1283" i="8"/>
  <c r="G1283" i="8"/>
  <c r="O1283" i="6" s="1"/>
  <c r="A1284" i="8"/>
  <c r="B1284" i="8"/>
  <c r="C1284" i="8"/>
  <c r="D1284" i="8"/>
  <c r="G1284" i="8"/>
  <c r="O1284" i="6" s="1"/>
  <c r="A1285" i="8"/>
  <c r="B1285" i="8"/>
  <c r="C1285" i="8"/>
  <c r="D1285" i="8"/>
  <c r="G1285" i="8"/>
  <c r="O1285" i="6" s="1"/>
  <c r="A1286" i="8"/>
  <c r="B1286" i="8"/>
  <c r="C1286" i="8"/>
  <c r="D1286" i="8"/>
  <c r="G1286" i="8"/>
  <c r="O1286" i="6" s="1"/>
  <c r="A1287" i="8"/>
  <c r="B1287" i="8"/>
  <c r="C1287" i="8"/>
  <c r="D1287" i="8"/>
  <c r="G1287" i="8"/>
  <c r="O1287" i="6" s="1"/>
  <c r="A1288" i="8"/>
  <c r="B1288" i="8"/>
  <c r="C1288" i="8"/>
  <c r="D1288" i="8"/>
  <c r="G1288" i="8"/>
  <c r="O1288" i="6" s="1"/>
  <c r="A1289" i="8"/>
  <c r="B1289" i="8"/>
  <c r="C1289" i="8"/>
  <c r="D1289" i="8"/>
  <c r="G1289" i="8"/>
  <c r="O1289" i="6" s="1"/>
  <c r="A1290" i="8"/>
  <c r="B1290" i="8"/>
  <c r="C1290" i="8"/>
  <c r="D1290" i="8"/>
  <c r="G1290" i="8"/>
  <c r="O1290" i="6" s="1"/>
  <c r="A1291" i="8"/>
  <c r="B1291" i="8"/>
  <c r="C1291" i="8"/>
  <c r="D1291" i="8"/>
  <c r="G1291" i="8"/>
  <c r="O1291" i="6" s="1"/>
  <c r="A1292" i="8"/>
  <c r="B1292" i="8"/>
  <c r="C1292" i="8"/>
  <c r="D1292" i="8"/>
  <c r="G1292" i="8"/>
  <c r="O1292" i="6" s="1"/>
  <c r="A1293" i="8"/>
  <c r="B1293" i="8"/>
  <c r="C1293" i="8"/>
  <c r="D1293" i="8"/>
  <c r="G1293" i="8"/>
  <c r="O1293" i="6" s="1"/>
  <c r="A1294" i="8"/>
  <c r="B1294" i="8"/>
  <c r="C1294" i="8"/>
  <c r="D1294" i="8"/>
  <c r="G1294" i="8"/>
  <c r="O1294" i="6" s="1"/>
  <c r="A1295" i="8"/>
  <c r="L1295" i="8" s="1"/>
  <c r="B1295" i="8"/>
  <c r="C1295" i="8"/>
  <c r="D1295" i="8"/>
  <c r="G1295" i="8"/>
  <c r="O1295" i="6" s="1"/>
  <c r="A1296" i="8"/>
  <c r="B1296" i="8"/>
  <c r="C1296" i="8"/>
  <c r="D1296" i="8"/>
  <c r="G1296" i="8"/>
  <c r="O1296" i="6" s="1"/>
  <c r="A1297" i="8"/>
  <c r="B1297" i="8"/>
  <c r="C1297" i="8"/>
  <c r="D1297" i="8"/>
  <c r="G1297" i="8"/>
  <c r="O1297" i="6" s="1"/>
  <c r="A1298" i="8"/>
  <c r="B1298" i="8"/>
  <c r="C1298" i="8"/>
  <c r="D1298" i="8"/>
  <c r="G1298" i="8"/>
  <c r="O1298" i="6" s="1"/>
  <c r="A1299" i="8"/>
  <c r="B1299" i="8"/>
  <c r="C1299" i="8"/>
  <c r="D1299" i="8"/>
  <c r="G1299" i="8"/>
  <c r="O1299" i="6" s="1"/>
  <c r="A1300" i="8"/>
  <c r="B1300" i="8"/>
  <c r="C1300" i="8"/>
  <c r="D1300" i="8"/>
  <c r="G1300" i="8"/>
  <c r="O1300" i="6" s="1"/>
  <c r="A1301" i="8"/>
  <c r="B1301" i="8"/>
  <c r="C1301" i="8"/>
  <c r="D1301" i="8"/>
  <c r="G1301" i="8"/>
  <c r="O1301" i="6" s="1"/>
  <c r="A1302" i="8"/>
  <c r="B1302" i="8"/>
  <c r="C1302" i="8"/>
  <c r="D1302" i="8"/>
  <c r="G1302" i="8"/>
  <c r="O1302" i="6" s="1"/>
  <c r="A1303" i="8"/>
  <c r="B1303" i="8"/>
  <c r="C1303" i="8"/>
  <c r="D1303" i="8"/>
  <c r="G1303" i="8"/>
  <c r="O1303" i="6" s="1"/>
  <c r="A1304" i="8"/>
  <c r="B1304" i="8"/>
  <c r="C1304" i="8"/>
  <c r="D1304" i="8"/>
  <c r="G1304" i="8"/>
  <c r="O1304" i="6" s="1"/>
  <c r="A1305" i="8"/>
  <c r="B1305" i="8"/>
  <c r="C1305" i="8"/>
  <c r="D1305" i="8"/>
  <c r="G1305" i="8"/>
  <c r="O1305" i="6" s="1"/>
  <c r="A1306" i="8"/>
  <c r="B1306" i="8"/>
  <c r="C1306" i="8"/>
  <c r="D1306" i="8"/>
  <c r="G1306" i="8"/>
  <c r="O1306" i="6" s="1"/>
  <c r="A1307" i="8"/>
  <c r="B1307" i="8"/>
  <c r="C1307" i="8"/>
  <c r="D1307" i="8"/>
  <c r="G1307" i="8"/>
  <c r="O1307" i="6" s="1"/>
  <c r="A1308" i="8"/>
  <c r="B1308" i="8"/>
  <c r="C1308" i="8"/>
  <c r="D1308" i="8"/>
  <c r="G1308" i="8"/>
  <c r="O1308" i="6" s="1"/>
  <c r="A1309" i="8"/>
  <c r="B1309" i="8"/>
  <c r="C1309" i="8"/>
  <c r="D1309" i="8"/>
  <c r="G1309" i="8"/>
  <c r="O1309" i="6" s="1"/>
  <c r="A1310" i="8"/>
  <c r="B1310" i="8"/>
  <c r="C1310" i="8"/>
  <c r="D1310" i="8"/>
  <c r="G1310" i="8"/>
  <c r="O1310" i="6" s="1"/>
  <c r="A1311" i="8"/>
  <c r="L1311" i="8" s="1"/>
  <c r="B1311" i="8"/>
  <c r="C1311" i="8"/>
  <c r="D1311" i="8"/>
  <c r="G1311" i="8"/>
  <c r="O1311" i="6" s="1"/>
  <c r="A1312" i="8"/>
  <c r="B1312" i="8"/>
  <c r="C1312" i="8"/>
  <c r="D1312" i="8"/>
  <c r="G1312" i="8"/>
  <c r="O1312" i="6" s="1"/>
  <c r="A1313" i="8"/>
  <c r="L1313" i="8" s="1"/>
  <c r="B1313" i="8"/>
  <c r="C1313" i="8"/>
  <c r="D1313" i="8"/>
  <c r="G1313" i="8"/>
  <c r="O1313" i="6" s="1"/>
  <c r="A1314" i="8"/>
  <c r="B1314" i="8"/>
  <c r="C1314" i="8"/>
  <c r="D1314" i="8"/>
  <c r="G1314" i="8"/>
  <c r="O1314" i="6" s="1"/>
  <c r="A1315" i="8"/>
  <c r="B1315" i="8"/>
  <c r="C1315" i="8"/>
  <c r="D1315" i="8"/>
  <c r="G1315" i="8"/>
  <c r="O1315" i="6" s="1"/>
  <c r="A1316" i="8"/>
  <c r="B1316" i="8"/>
  <c r="C1316" i="8"/>
  <c r="D1316" i="8"/>
  <c r="G1316" i="8"/>
  <c r="O1316" i="6" s="1"/>
  <c r="A1317" i="8"/>
  <c r="B1317" i="8"/>
  <c r="C1317" i="8"/>
  <c r="D1317" i="8"/>
  <c r="G1317" i="8"/>
  <c r="O1317" i="6" s="1"/>
  <c r="A1318" i="8"/>
  <c r="B1318" i="8"/>
  <c r="C1318" i="8"/>
  <c r="D1318" i="8"/>
  <c r="G1318" i="8"/>
  <c r="O1318" i="6" s="1"/>
  <c r="A1319" i="8"/>
  <c r="B1319" i="8"/>
  <c r="C1319" i="8"/>
  <c r="D1319" i="8"/>
  <c r="G1319" i="8"/>
  <c r="O1319" i="6" s="1"/>
  <c r="A1320" i="8"/>
  <c r="B1320" i="8"/>
  <c r="C1320" i="8"/>
  <c r="D1320" i="8"/>
  <c r="G1320" i="8"/>
  <c r="A1321" i="8"/>
  <c r="B1321" i="8"/>
  <c r="C1321" i="8"/>
  <c r="D1321" i="8"/>
  <c r="G1321" i="8"/>
  <c r="O1321" i="6" s="1"/>
  <c r="A1322" i="8"/>
  <c r="B1322" i="8"/>
  <c r="C1322" i="8"/>
  <c r="D1322" i="8"/>
  <c r="G1322" i="8"/>
  <c r="O1322" i="6" s="1"/>
  <c r="A1323" i="8"/>
  <c r="B1323" i="8"/>
  <c r="C1323" i="8"/>
  <c r="D1323" i="8"/>
  <c r="G1323" i="8"/>
  <c r="O1323" i="6" s="1"/>
  <c r="A1324" i="8"/>
  <c r="B1324" i="8"/>
  <c r="C1324" i="8"/>
  <c r="D1324" i="8"/>
  <c r="G1324" i="8"/>
  <c r="O1324" i="6" s="1"/>
  <c r="A1325" i="8"/>
  <c r="B1325" i="8"/>
  <c r="C1325" i="8"/>
  <c r="D1325" i="8"/>
  <c r="G1325" i="8"/>
  <c r="O1325" i="6" s="1"/>
  <c r="A1326" i="8"/>
  <c r="B1326" i="8"/>
  <c r="C1326" i="8"/>
  <c r="D1326" i="8"/>
  <c r="G1326" i="8"/>
  <c r="O1326" i="6" s="1"/>
  <c r="A1327" i="8"/>
  <c r="B1327" i="8"/>
  <c r="C1327" i="8"/>
  <c r="D1327" i="8"/>
  <c r="G1327" i="8"/>
  <c r="O1327" i="6" s="1"/>
  <c r="A1328" i="8"/>
  <c r="B1328" i="8"/>
  <c r="C1328" i="8"/>
  <c r="D1328" i="8"/>
  <c r="G1328" i="8"/>
  <c r="O1328" i="6" s="1"/>
  <c r="A1329" i="8"/>
  <c r="B1329" i="8"/>
  <c r="C1329" i="8"/>
  <c r="D1329" i="8"/>
  <c r="G1329" i="8"/>
  <c r="O1329" i="6" s="1"/>
  <c r="A1330" i="8"/>
  <c r="B1330" i="8"/>
  <c r="C1330" i="8"/>
  <c r="D1330" i="8"/>
  <c r="G1330" i="8"/>
  <c r="O1330" i="6" s="1"/>
  <c r="A1331" i="8"/>
  <c r="L1331" i="8" s="1"/>
  <c r="B1331" i="8"/>
  <c r="C1331" i="8"/>
  <c r="D1331" i="8"/>
  <c r="G1331" i="8"/>
  <c r="O1331" i="6" s="1"/>
  <c r="A1332" i="8"/>
  <c r="B1332" i="8"/>
  <c r="C1332" i="8"/>
  <c r="D1332" i="8"/>
  <c r="G1332" i="8"/>
  <c r="O1332" i="6" s="1"/>
  <c r="A1333" i="8"/>
  <c r="B1333" i="8"/>
  <c r="C1333" i="8"/>
  <c r="D1333" i="8"/>
  <c r="G1333" i="8"/>
  <c r="O1333" i="6" s="1"/>
  <c r="A1334" i="8"/>
  <c r="B1334" i="8"/>
  <c r="C1334" i="8"/>
  <c r="D1334" i="8"/>
  <c r="G1334" i="8"/>
  <c r="O1334" i="6" s="1"/>
  <c r="A1335" i="8"/>
  <c r="B1335" i="8"/>
  <c r="C1335" i="8"/>
  <c r="D1335" i="8"/>
  <c r="G1335" i="8"/>
  <c r="O1335" i="6" s="1"/>
  <c r="A1336" i="8"/>
  <c r="B1336" i="8"/>
  <c r="C1336" i="8"/>
  <c r="D1336" i="8"/>
  <c r="G1336" i="8"/>
  <c r="O1336" i="6" s="1"/>
  <c r="A1337" i="8"/>
  <c r="B1337" i="8"/>
  <c r="C1337" i="8"/>
  <c r="D1337" i="8"/>
  <c r="G1337" i="8"/>
  <c r="O1337" i="6" s="1"/>
  <c r="A1338" i="8"/>
  <c r="B1338" i="8"/>
  <c r="C1338" i="8"/>
  <c r="D1338" i="8"/>
  <c r="G1338" i="8"/>
  <c r="O1338" i="6" s="1"/>
  <c r="A1339" i="8"/>
  <c r="B1339" i="8"/>
  <c r="C1339" i="8"/>
  <c r="D1339" i="8"/>
  <c r="G1339" i="8"/>
  <c r="O1339" i="6" s="1"/>
  <c r="A1340" i="8"/>
  <c r="B1340" i="8"/>
  <c r="C1340" i="8"/>
  <c r="D1340" i="8"/>
  <c r="G1340" i="8"/>
  <c r="O1340" i="6" s="1"/>
  <c r="A1341" i="8"/>
  <c r="B1341" i="8"/>
  <c r="C1341" i="8"/>
  <c r="D1341" i="8"/>
  <c r="G1341" i="8"/>
  <c r="O1341" i="6" s="1"/>
  <c r="A1342" i="8"/>
  <c r="B1342" i="8"/>
  <c r="C1342" i="8"/>
  <c r="D1342" i="8"/>
  <c r="G1342" i="8"/>
  <c r="O1342" i="6" s="1"/>
  <c r="A1343" i="8"/>
  <c r="B1343" i="8"/>
  <c r="C1343" i="8"/>
  <c r="D1343" i="8"/>
  <c r="G1343" i="8"/>
  <c r="O1343" i="6" s="1"/>
  <c r="A1344" i="8"/>
  <c r="B1344" i="8"/>
  <c r="C1344" i="8"/>
  <c r="D1344" i="8"/>
  <c r="G1344" i="8"/>
  <c r="O1344" i="6" s="1"/>
  <c r="A1345" i="8"/>
  <c r="B1345" i="8"/>
  <c r="C1345" i="8"/>
  <c r="D1345" i="8"/>
  <c r="G1345" i="8"/>
  <c r="O1345" i="6" s="1"/>
  <c r="A1346" i="8"/>
  <c r="L1346" i="8" s="1"/>
  <c r="B1346" i="8"/>
  <c r="C1346" i="8"/>
  <c r="D1346" i="8"/>
  <c r="G1346" i="8"/>
  <c r="O1346" i="6" s="1"/>
  <c r="A1347" i="8"/>
  <c r="L1347" i="8" s="1"/>
  <c r="B1347" i="8"/>
  <c r="C1347" i="8"/>
  <c r="D1347" i="8"/>
  <c r="G1347" i="8"/>
  <c r="O1347" i="6" s="1"/>
  <c r="A1348" i="8"/>
  <c r="B1348" i="8"/>
  <c r="C1348" i="8"/>
  <c r="D1348" i="8"/>
  <c r="G1348" i="8"/>
  <c r="O1348" i="6" s="1"/>
  <c r="A1349" i="8"/>
  <c r="L1349" i="8" s="1"/>
  <c r="B1349" i="8"/>
  <c r="C1349" i="8"/>
  <c r="D1349" i="8"/>
  <c r="G1349" i="8"/>
  <c r="O1349" i="6" s="1"/>
  <c r="A1350" i="8"/>
  <c r="B1350" i="8"/>
  <c r="C1350" i="8"/>
  <c r="D1350" i="8"/>
  <c r="G1350" i="8"/>
  <c r="O1350" i="6" s="1"/>
  <c r="A1351" i="8"/>
  <c r="B1351" i="8"/>
  <c r="C1351" i="8"/>
  <c r="D1351" i="8"/>
  <c r="G1351" i="8"/>
  <c r="O1351" i="6" s="1"/>
  <c r="A1352" i="8"/>
  <c r="B1352" i="8"/>
  <c r="C1352" i="8"/>
  <c r="D1352" i="8"/>
  <c r="G1352" i="8"/>
  <c r="A1353" i="8"/>
  <c r="B1353" i="8"/>
  <c r="C1353" i="8"/>
  <c r="D1353" i="8"/>
  <c r="G1353" i="8"/>
  <c r="O1353" i="6" s="1"/>
  <c r="A1354" i="8"/>
  <c r="B1354" i="8"/>
  <c r="C1354" i="8"/>
  <c r="D1354" i="8"/>
  <c r="G1354" i="8"/>
  <c r="O1354" i="6" s="1"/>
  <c r="A1355" i="8"/>
  <c r="B1355" i="8"/>
  <c r="C1355" i="8"/>
  <c r="D1355" i="8"/>
  <c r="G1355" i="8"/>
  <c r="O1355" i="6" s="1"/>
  <c r="A1356" i="8"/>
  <c r="B1356" i="8"/>
  <c r="C1356" i="8"/>
  <c r="D1356" i="8"/>
  <c r="G1356" i="8"/>
  <c r="O1356" i="6" s="1"/>
  <c r="A1357" i="8"/>
  <c r="B1357" i="8"/>
  <c r="C1357" i="8"/>
  <c r="D1357" i="8"/>
  <c r="G1357" i="8"/>
  <c r="O1357" i="6" s="1"/>
  <c r="A1358" i="8"/>
  <c r="B1358" i="8"/>
  <c r="C1358" i="8"/>
  <c r="D1358" i="8"/>
  <c r="G1358" i="8"/>
  <c r="O1358" i="6" s="1"/>
  <c r="A1359" i="8"/>
  <c r="B1359" i="8"/>
  <c r="C1359" i="8"/>
  <c r="D1359" i="8"/>
  <c r="G1359" i="8"/>
  <c r="O1359" i="6" s="1"/>
  <c r="A1360" i="8"/>
  <c r="B1360" i="8"/>
  <c r="C1360" i="8"/>
  <c r="D1360" i="8"/>
  <c r="G1360" i="8"/>
  <c r="O1360" i="6" s="1"/>
  <c r="A1361" i="8"/>
  <c r="B1361" i="8"/>
  <c r="C1361" i="8"/>
  <c r="D1361" i="8"/>
  <c r="G1361" i="8"/>
  <c r="O1361" i="6" s="1"/>
  <c r="A1362" i="8"/>
  <c r="B1362" i="8"/>
  <c r="C1362" i="8"/>
  <c r="D1362" i="8"/>
  <c r="G1362" i="8"/>
  <c r="O1362" i="6" s="1"/>
  <c r="A1363" i="8"/>
  <c r="B1363" i="8"/>
  <c r="C1363" i="8"/>
  <c r="D1363" i="8"/>
  <c r="G1363" i="8"/>
  <c r="O1363" i="6" s="1"/>
  <c r="A1364" i="8"/>
  <c r="B1364" i="8"/>
  <c r="C1364" i="8"/>
  <c r="D1364" i="8"/>
  <c r="G1364" i="8"/>
  <c r="O1364" i="6" s="1"/>
  <c r="A1365" i="8"/>
  <c r="B1365" i="8"/>
  <c r="C1365" i="8"/>
  <c r="D1365" i="8"/>
  <c r="G1365" i="8"/>
  <c r="O1365" i="6" s="1"/>
  <c r="A1366" i="8"/>
  <c r="B1366" i="8"/>
  <c r="C1366" i="8"/>
  <c r="D1366" i="8"/>
  <c r="G1366" i="8"/>
  <c r="O1366" i="6" s="1"/>
  <c r="A1367" i="8"/>
  <c r="L1367" i="8" s="1"/>
  <c r="B1367" i="8"/>
  <c r="C1367" i="8"/>
  <c r="D1367" i="8"/>
  <c r="G1367" i="8"/>
  <c r="O1367" i="6" s="1"/>
  <c r="A1368" i="8"/>
  <c r="B1368" i="8"/>
  <c r="C1368" i="8"/>
  <c r="D1368" i="8"/>
  <c r="G1368" i="8"/>
  <c r="O1368" i="6" s="1"/>
  <c r="A1369" i="8"/>
  <c r="B1369" i="8"/>
  <c r="C1369" i="8"/>
  <c r="D1369" i="8"/>
  <c r="G1369" i="8"/>
  <c r="O1369" i="6" s="1"/>
  <c r="A1370" i="8"/>
  <c r="B1370" i="8"/>
  <c r="C1370" i="8"/>
  <c r="D1370" i="8"/>
  <c r="G1370" i="8"/>
  <c r="O1370" i="6" s="1"/>
  <c r="A1371" i="8"/>
  <c r="B1371" i="8"/>
  <c r="C1371" i="8"/>
  <c r="D1371" i="8"/>
  <c r="G1371" i="8"/>
  <c r="O1371" i="6" s="1"/>
  <c r="A1372" i="8"/>
  <c r="B1372" i="8"/>
  <c r="C1372" i="8"/>
  <c r="D1372" i="8"/>
  <c r="G1372" i="8"/>
  <c r="O1372" i="6" s="1"/>
  <c r="A1373" i="8"/>
  <c r="B1373" i="8"/>
  <c r="C1373" i="8"/>
  <c r="D1373" i="8"/>
  <c r="G1373" i="8"/>
  <c r="O1373" i="6" s="1"/>
  <c r="A1374" i="8"/>
  <c r="B1374" i="8"/>
  <c r="C1374" i="8"/>
  <c r="D1374" i="8"/>
  <c r="G1374" i="8"/>
  <c r="O1374" i="6" s="1"/>
  <c r="A1375" i="8"/>
  <c r="B1375" i="8"/>
  <c r="C1375" i="8"/>
  <c r="D1375" i="8"/>
  <c r="G1375" i="8"/>
  <c r="O1375" i="6" s="1"/>
  <c r="A1376" i="8"/>
  <c r="B1376" i="8"/>
  <c r="C1376" i="8"/>
  <c r="D1376" i="8"/>
  <c r="G1376" i="8"/>
  <c r="O1376" i="6" s="1"/>
  <c r="A1377" i="8"/>
  <c r="B1377" i="8"/>
  <c r="C1377" i="8"/>
  <c r="D1377" i="8"/>
  <c r="G1377" i="8"/>
  <c r="O1377" i="6" s="1"/>
  <c r="A1378" i="8"/>
  <c r="B1378" i="8"/>
  <c r="C1378" i="8"/>
  <c r="D1378" i="8"/>
  <c r="G1378" i="8"/>
  <c r="O1378" i="6" s="1"/>
  <c r="A1379" i="8"/>
  <c r="B1379" i="8"/>
  <c r="C1379" i="8"/>
  <c r="D1379" i="8"/>
  <c r="G1379" i="8"/>
  <c r="O1379" i="6" s="1"/>
  <c r="A1380" i="8"/>
  <c r="B1380" i="8"/>
  <c r="C1380" i="8"/>
  <c r="D1380" i="8"/>
  <c r="G1380" i="8"/>
  <c r="O1380" i="6" s="1"/>
  <c r="A1381" i="8"/>
  <c r="B1381" i="8"/>
  <c r="C1381" i="8"/>
  <c r="D1381" i="8"/>
  <c r="G1381" i="8"/>
  <c r="O1381" i="6" s="1"/>
  <c r="A1382" i="8"/>
  <c r="B1382" i="8"/>
  <c r="C1382" i="8"/>
  <c r="D1382" i="8"/>
  <c r="G1382" i="8"/>
  <c r="O1382" i="6" s="1"/>
  <c r="A1383" i="8"/>
  <c r="B1383" i="8"/>
  <c r="C1383" i="8"/>
  <c r="D1383" i="8"/>
  <c r="G1383" i="8"/>
  <c r="O1383" i="6" s="1"/>
  <c r="A1384" i="8"/>
  <c r="B1384" i="8"/>
  <c r="C1384" i="8"/>
  <c r="D1384" i="8"/>
  <c r="G1384" i="8"/>
  <c r="O1384" i="6" s="1"/>
  <c r="A1385" i="8"/>
  <c r="L1385" i="8" s="1"/>
  <c r="B1385" i="8"/>
  <c r="C1385" i="8"/>
  <c r="D1385" i="8"/>
  <c r="G1385" i="8"/>
  <c r="O1385" i="6" s="1"/>
  <c r="A1386" i="8"/>
  <c r="B1386" i="8"/>
  <c r="C1386" i="8"/>
  <c r="D1386" i="8"/>
  <c r="G1386" i="8"/>
  <c r="O1386" i="6" s="1"/>
  <c r="A1387" i="8"/>
  <c r="B1387" i="8"/>
  <c r="C1387" i="8"/>
  <c r="D1387" i="8"/>
  <c r="G1387" i="8"/>
  <c r="O1387" i="6" s="1"/>
  <c r="A1388" i="8"/>
  <c r="B1388" i="8"/>
  <c r="C1388" i="8"/>
  <c r="D1388" i="8"/>
  <c r="G1388" i="8"/>
  <c r="O1388" i="6" s="1"/>
  <c r="A1389" i="8"/>
  <c r="B1389" i="8"/>
  <c r="C1389" i="8"/>
  <c r="D1389" i="8"/>
  <c r="G1389" i="8"/>
  <c r="O1389" i="6" s="1"/>
  <c r="A1390" i="8"/>
  <c r="B1390" i="8"/>
  <c r="C1390" i="8"/>
  <c r="D1390" i="8"/>
  <c r="G1390" i="8"/>
  <c r="O1390" i="6" s="1"/>
  <c r="A1391" i="8"/>
  <c r="B1391" i="8"/>
  <c r="C1391" i="8"/>
  <c r="D1391" i="8"/>
  <c r="G1391" i="8"/>
  <c r="O1391" i="6" s="1"/>
  <c r="A1392" i="8"/>
  <c r="B1392" i="8"/>
  <c r="C1392" i="8"/>
  <c r="D1392" i="8"/>
  <c r="G1392" i="8"/>
  <c r="O1392" i="6" s="1"/>
  <c r="A1393" i="8"/>
  <c r="B1393" i="8"/>
  <c r="C1393" i="8"/>
  <c r="D1393" i="8"/>
  <c r="G1393" i="8"/>
  <c r="O1393" i="6" s="1"/>
  <c r="A1394" i="8"/>
  <c r="B1394" i="8"/>
  <c r="C1394" i="8"/>
  <c r="D1394" i="8"/>
  <c r="G1394" i="8"/>
  <c r="O1394" i="6" s="1"/>
  <c r="A1395" i="8"/>
  <c r="B1395" i="8"/>
  <c r="C1395" i="8"/>
  <c r="D1395" i="8"/>
  <c r="G1395" i="8"/>
  <c r="O1395" i="6" s="1"/>
  <c r="A1396" i="8"/>
  <c r="B1396" i="8"/>
  <c r="C1396" i="8"/>
  <c r="D1396" i="8"/>
  <c r="G1396" i="8"/>
  <c r="O1396" i="6" s="1"/>
  <c r="A1397" i="8"/>
  <c r="B1397" i="8"/>
  <c r="C1397" i="8"/>
  <c r="D1397" i="8"/>
  <c r="G1397" i="8"/>
  <c r="O1397" i="6" s="1"/>
  <c r="A1398" i="8"/>
  <c r="B1398" i="8"/>
  <c r="C1398" i="8"/>
  <c r="D1398" i="8"/>
  <c r="G1398" i="8"/>
  <c r="O1398" i="6" s="1"/>
  <c r="A1399" i="8"/>
  <c r="B1399" i="8"/>
  <c r="C1399" i="8"/>
  <c r="D1399" i="8"/>
  <c r="G1399" i="8"/>
  <c r="O1399" i="6" s="1"/>
  <c r="A1400" i="8"/>
  <c r="B1400" i="8"/>
  <c r="C1400" i="8"/>
  <c r="D1400" i="8"/>
  <c r="G1400" i="8"/>
  <c r="O1400" i="6" s="1"/>
  <c r="A1401" i="8"/>
  <c r="B1401" i="8"/>
  <c r="C1401" i="8"/>
  <c r="D1401" i="8"/>
  <c r="G1401" i="8"/>
  <c r="O1401" i="6" s="1"/>
  <c r="A1402" i="8"/>
  <c r="B1402" i="8"/>
  <c r="C1402" i="8"/>
  <c r="D1402" i="8"/>
  <c r="G1402" i="8"/>
  <c r="O1402" i="6" s="1"/>
  <c r="A1403" i="8"/>
  <c r="L1403" i="8" s="1"/>
  <c r="B1403" i="8"/>
  <c r="C1403" i="8"/>
  <c r="D1403" i="8"/>
  <c r="G1403" i="8"/>
  <c r="O1403" i="6" s="1"/>
  <c r="A1404" i="8"/>
  <c r="B1404" i="8"/>
  <c r="C1404" i="8"/>
  <c r="D1404" i="8"/>
  <c r="G1404" i="8"/>
  <c r="O1404" i="6" s="1"/>
  <c r="A1405" i="8"/>
  <c r="B1405" i="8"/>
  <c r="C1405" i="8"/>
  <c r="D1405" i="8"/>
  <c r="G1405" i="8"/>
  <c r="O1405" i="6" s="1"/>
  <c r="A1406" i="8"/>
  <c r="B1406" i="8"/>
  <c r="C1406" i="8"/>
  <c r="D1406" i="8"/>
  <c r="G1406" i="8"/>
  <c r="O1406" i="6" s="1"/>
  <c r="A1407" i="8"/>
  <c r="B1407" i="8"/>
  <c r="C1407" i="8"/>
  <c r="D1407" i="8"/>
  <c r="G1407" i="8"/>
  <c r="O1407" i="6" s="1"/>
  <c r="A1408" i="8"/>
  <c r="B1408" i="8"/>
  <c r="C1408" i="8"/>
  <c r="D1408" i="8"/>
  <c r="G1408" i="8"/>
  <c r="O1408" i="6" s="1"/>
  <c r="A1409" i="8"/>
  <c r="B1409" i="8"/>
  <c r="C1409" i="8"/>
  <c r="D1409" i="8"/>
  <c r="G1409" i="8"/>
  <c r="O1409" i="6" s="1"/>
  <c r="A1410" i="8"/>
  <c r="B1410" i="8"/>
  <c r="C1410" i="8"/>
  <c r="D1410" i="8"/>
  <c r="G1410" i="8"/>
  <c r="O1410" i="6" s="1"/>
  <c r="A1411" i="8"/>
  <c r="B1411" i="8"/>
  <c r="C1411" i="8"/>
  <c r="D1411" i="8"/>
  <c r="G1411" i="8"/>
  <c r="O1411" i="6" s="1"/>
  <c r="A1412" i="8"/>
  <c r="B1412" i="8"/>
  <c r="C1412" i="8"/>
  <c r="D1412" i="8"/>
  <c r="G1412" i="8"/>
  <c r="O1412" i="6" s="1"/>
  <c r="J11" i="6"/>
  <c r="J12" i="6"/>
  <c r="J13" i="6"/>
  <c r="J14" i="6"/>
  <c r="J16" i="6"/>
  <c r="J17" i="6"/>
  <c r="G3" i="8"/>
  <c r="O3" i="6" s="1"/>
  <c r="G4" i="8"/>
  <c r="O4" i="6" s="1"/>
  <c r="G5" i="8"/>
  <c r="O5" i="6" s="1"/>
  <c r="G6" i="8"/>
  <c r="O6" i="6" s="1"/>
  <c r="G7" i="8"/>
  <c r="O7" i="6" s="1"/>
  <c r="G8" i="8"/>
  <c r="O8" i="6" s="1"/>
  <c r="G9" i="8"/>
  <c r="O9" i="6" s="1"/>
  <c r="G10" i="8"/>
  <c r="O10" i="6" s="1"/>
  <c r="G11" i="8"/>
  <c r="O11" i="6" s="1"/>
  <c r="G12" i="8"/>
  <c r="O12" i="6" s="1"/>
  <c r="G13" i="8"/>
  <c r="O13" i="6" s="1"/>
  <c r="G14" i="8"/>
  <c r="O14" i="6" s="1"/>
  <c r="G15" i="8"/>
  <c r="O15" i="6" s="1"/>
  <c r="G16" i="8"/>
  <c r="O16" i="6" s="1"/>
  <c r="G17" i="8"/>
  <c r="O17" i="6" s="1"/>
  <c r="G18" i="8"/>
  <c r="O18" i="6" s="1"/>
  <c r="G19" i="8"/>
  <c r="O19" i="6" s="1"/>
  <c r="G20" i="8"/>
  <c r="O20" i="6" s="1"/>
  <c r="G21" i="8"/>
  <c r="O21" i="6" s="1"/>
  <c r="G22" i="8"/>
  <c r="O22" i="6" s="1"/>
  <c r="G23" i="8"/>
  <c r="O23" i="6" s="1"/>
  <c r="G24" i="8"/>
  <c r="O24" i="6" s="1"/>
  <c r="G25" i="8"/>
  <c r="O25" i="6" s="1"/>
  <c r="G26" i="8"/>
  <c r="O26" i="6" s="1"/>
  <c r="G27" i="8"/>
  <c r="O27" i="6" s="1"/>
  <c r="G28" i="8"/>
  <c r="O28" i="6" s="1"/>
  <c r="G29" i="8"/>
  <c r="O29" i="6" s="1"/>
  <c r="G30" i="8"/>
  <c r="O30" i="6" s="1"/>
  <c r="G2" i="8"/>
  <c r="O2" i="6" s="1"/>
  <c r="L3" i="6"/>
  <c r="L4" i="6"/>
  <c r="L5" i="6"/>
  <c r="L6" i="6"/>
  <c r="L7" i="6"/>
  <c r="L8" i="6"/>
  <c r="L9" i="6"/>
  <c r="L10" i="6"/>
  <c r="L11" i="6"/>
  <c r="L12" i="6"/>
  <c r="L13" i="6"/>
  <c r="L14" i="6"/>
  <c r="L15" i="6"/>
  <c r="L16" i="6"/>
  <c r="L17" i="6"/>
  <c r="L18" i="6"/>
  <c r="L19" i="6"/>
  <c r="L20" i="6"/>
  <c r="L21" i="6"/>
  <c r="L22" i="6"/>
  <c r="L23" i="6"/>
  <c r="L24" i="6"/>
  <c r="L25" i="6"/>
  <c r="L26" i="6"/>
  <c r="L27" i="6"/>
  <c r="L28" i="6"/>
  <c r="L29" i="6"/>
  <c r="L30" i="6"/>
  <c r="L2" i="6"/>
  <c r="C3" i="6"/>
  <c r="F3" i="6" s="1"/>
  <c r="C4" i="6"/>
  <c r="F4" i="6" s="1"/>
  <c r="C5" i="6"/>
  <c r="P5" i="6" s="1"/>
  <c r="C6" i="6"/>
  <c r="I6" i="6" s="1"/>
  <c r="C7" i="6"/>
  <c r="P7" i="6" s="1"/>
  <c r="C8" i="6"/>
  <c r="P8" i="6" s="1"/>
  <c r="C9" i="6"/>
  <c r="P9" i="6" s="1"/>
  <c r="C10" i="6"/>
  <c r="P10" i="6" s="1"/>
  <c r="C11" i="6"/>
  <c r="P11" i="6" s="1"/>
  <c r="C12" i="6"/>
  <c r="I12" i="6" s="1"/>
  <c r="M12" i="6" s="1"/>
  <c r="C13" i="6"/>
  <c r="I13" i="6" s="1"/>
  <c r="M13" i="6" s="1"/>
  <c r="C14" i="6"/>
  <c r="I14" i="6" s="1"/>
  <c r="M14" i="6" s="1"/>
  <c r="C15" i="6"/>
  <c r="I15" i="6" s="1"/>
  <c r="C16" i="6"/>
  <c r="I16" i="6" s="1"/>
  <c r="M16" i="6" s="1"/>
  <c r="C17" i="6"/>
  <c r="I17" i="6" s="1"/>
  <c r="M17" i="6" s="1"/>
  <c r="C18" i="6"/>
  <c r="I18" i="6" s="1"/>
  <c r="C19" i="6"/>
  <c r="F19" i="6" s="1"/>
  <c r="C20" i="6"/>
  <c r="F20" i="6" s="1"/>
  <c r="C21" i="6"/>
  <c r="F21" i="6" s="1"/>
  <c r="C22" i="6"/>
  <c r="F22" i="6" s="1"/>
  <c r="C23" i="6"/>
  <c r="C24" i="6"/>
  <c r="C25" i="6"/>
  <c r="P25" i="6" s="1"/>
  <c r="C26" i="6"/>
  <c r="P26" i="6" s="1"/>
  <c r="C27" i="6"/>
  <c r="P27" i="6" s="1"/>
  <c r="C28" i="6"/>
  <c r="P28" i="6" s="1"/>
  <c r="C29" i="6"/>
  <c r="P29" i="6" s="1"/>
  <c r="C30" i="6"/>
  <c r="I30" i="6" s="1"/>
  <c r="C2" i="6"/>
  <c r="I2" i="6" s="1"/>
  <c r="D14" i="6"/>
  <c r="A3" i="6"/>
  <c r="B3" i="6"/>
  <c r="D3" i="6"/>
  <c r="K3" i="6"/>
  <c r="N3" i="6"/>
  <c r="A4" i="6"/>
  <c r="B4" i="6"/>
  <c r="D4" i="6"/>
  <c r="K4" i="6"/>
  <c r="N4" i="6"/>
  <c r="A5" i="6"/>
  <c r="B5" i="6"/>
  <c r="D5" i="6"/>
  <c r="K5" i="6"/>
  <c r="N5" i="6"/>
  <c r="A6" i="6"/>
  <c r="B6" i="6"/>
  <c r="D6" i="6"/>
  <c r="K6" i="6"/>
  <c r="N6" i="6"/>
  <c r="A7" i="6"/>
  <c r="B7" i="6"/>
  <c r="D7" i="6"/>
  <c r="K7" i="6"/>
  <c r="N7" i="6"/>
  <c r="A8" i="6"/>
  <c r="B8" i="6"/>
  <c r="D8" i="6"/>
  <c r="K8" i="6"/>
  <c r="N8" i="6"/>
  <c r="A9" i="6"/>
  <c r="B9" i="6"/>
  <c r="D9" i="6"/>
  <c r="K9" i="6"/>
  <c r="N9" i="6"/>
  <c r="A10" i="6"/>
  <c r="B10" i="6"/>
  <c r="D10" i="6"/>
  <c r="K10" i="6"/>
  <c r="N10" i="6"/>
  <c r="A11" i="6"/>
  <c r="B11" i="6"/>
  <c r="D11" i="6"/>
  <c r="N11" i="6"/>
  <c r="A12" i="6"/>
  <c r="B12" i="6"/>
  <c r="D12" i="6"/>
  <c r="N12" i="6"/>
  <c r="A13" i="6"/>
  <c r="B13" i="6"/>
  <c r="D13" i="6"/>
  <c r="N13" i="6"/>
  <c r="A14" i="6"/>
  <c r="B14" i="6"/>
  <c r="N14" i="6"/>
  <c r="A15" i="6"/>
  <c r="B15" i="6"/>
  <c r="D15" i="6"/>
  <c r="K15" i="6"/>
  <c r="N15" i="6"/>
  <c r="A16" i="6"/>
  <c r="B16" i="6"/>
  <c r="D16" i="6"/>
  <c r="N16" i="6"/>
  <c r="A17" i="6"/>
  <c r="B17" i="6"/>
  <c r="D17" i="6"/>
  <c r="N17" i="6"/>
  <c r="A18" i="6"/>
  <c r="B18" i="6"/>
  <c r="D18" i="6"/>
  <c r="K18" i="6"/>
  <c r="N18" i="6"/>
  <c r="A19" i="6"/>
  <c r="B19" i="6"/>
  <c r="D19" i="6"/>
  <c r="K19" i="6"/>
  <c r="N19" i="6"/>
  <c r="A20" i="6"/>
  <c r="B20" i="6"/>
  <c r="D20" i="6"/>
  <c r="K20" i="6"/>
  <c r="N20" i="6"/>
  <c r="A21" i="6"/>
  <c r="B21" i="6"/>
  <c r="D21" i="6"/>
  <c r="K21" i="6"/>
  <c r="N21" i="6"/>
  <c r="A22" i="6"/>
  <c r="B22" i="6"/>
  <c r="D22" i="6"/>
  <c r="K22" i="6"/>
  <c r="N22" i="6"/>
  <c r="A23" i="6"/>
  <c r="B23" i="6"/>
  <c r="D23" i="6"/>
  <c r="K23" i="6"/>
  <c r="N23" i="6"/>
  <c r="A24" i="6"/>
  <c r="B24" i="6"/>
  <c r="D24" i="6"/>
  <c r="K24" i="6"/>
  <c r="N24" i="6"/>
  <c r="A25" i="6"/>
  <c r="B25" i="6"/>
  <c r="D25" i="6"/>
  <c r="K25" i="6"/>
  <c r="N25" i="6"/>
  <c r="A26" i="6"/>
  <c r="B26" i="6"/>
  <c r="D26" i="6"/>
  <c r="K26" i="6"/>
  <c r="N26" i="6"/>
  <c r="A27" i="6"/>
  <c r="B27" i="6"/>
  <c r="D27" i="6"/>
  <c r="K27" i="6"/>
  <c r="N27" i="6"/>
  <c r="A28" i="6"/>
  <c r="B28" i="6"/>
  <c r="D28" i="6"/>
  <c r="K28" i="6"/>
  <c r="N28" i="6"/>
  <c r="A29" i="6"/>
  <c r="B29" i="6"/>
  <c r="D29" i="6"/>
  <c r="K29" i="6"/>
  <c r="N29" i="6"/>
  <c r="A30" i="6"/>
  <c r="B30" i="6"/>
  <c r="D30" i="6"/>
  <c r="K30" i="6"/>
  <c r="N30" i="6"/>
  <c r="N2" i="6"/>
  <c r="K2" i="6"/>
  <c r="D2" i="6"/>
  <c r="B2" i="6"/>
  <c r="A2" i="6"/>
  <c r="A29" i="8"/>
  <c r="B29" i="8"/>
  <c r="C29" i="8"/>
  <c r="D29" i="8"/>
  <c r="A30" i="8"/>
  <c r="B30" i="8"/>
  <c r="C30" i="8"/>
  <c r="D30" i="8"/>
  <c r="A3" i="8"/>
  <c r="B3" i="8"/>
  <c r="C3" i="8"/>
  <c r="D3" i="8"/>
  <c r="A4" i="8"/>
  <c r="B4" i="8"/>
  <c r="C4" i="8"/>
  <c r="D4" i="8"/>
  <c r="A5" i="8"/>
  <c r="B5" i="8"/>
  <c r="C5" i="8"/>
  <c r="D5" i="8"/>
  <c r="A6" i="8"/>
  <c r="B6" i="8"/>
  <c r="C6" i="8"/>
  <c r="D6" i="8"/>
  <c r="A7" i="8"/>
  <c r="B7" i="8"/>
  <c r="C7" i="8"/>
  <c r="D7" i="8"/>
  <c r="A8" i="8"/>
  <c r="B8" i="8"/>
  <c r="C8" i="8"/>
  <c r="D8" i="8"/>
  <c r="A9" i="8"/>
  <c r="B9" i="8"/>
  <c r="C9" i="8"/>
  <c r="D9" i="8"/>
  <c r="A10" i="8"/>
  <c r="B10" i="8"/>
  <c r="C10" i="8"/>
  <c r="D10" i="8"/>
  <c r="A11" i="8"/>
  <c r="B11" i="8"/>
  <c r="C11" i="8"/>
  <c r="D11" i="8"/>
  <c r="A12" i="8"/>
  <c r="B12" i="8"/>
  <c r="C12" i="8"/>
  <c r="D12" i="8"/>
  <c r="A13" i="8"/>
  <c r="B13" i="8"/>
  <c r="C13" i="8"/>
  <c r="D13" i="8"/>
  <c r="A14" i="8"/>
  <c r="B14" i="8"/>
  <c r="C14" i="8"/>
  <c r="D14" i="8"/>
  <c r="A15" i="8"/>
  <c r="B15" i="8"/>
  <c r="C15" i="8"/>
  <c r="D15" i="8"/>
  <c r="A16" i="8"/>
  <c r="B16" i="8"/>
  <c r="C16" i="8"/>
  <c r="D16" i="8"/>
  <c r="A17" i="8"/>
  <c r="B17" i="8"/>
  <c r="C17" i="8"/>
  <c r="D17" i="8"/>
  <c r="A18" i="8"/>
  <c r="B18" i="8"/>
  <c r="C18" i="8"/>
  <c r="D18" i="8"/>
  <c r="A19" i="8"/>
  <c r="B19" i="8"/>
  <c r="C19" i="8"/>
  <c r="D19" i="8"/>
  <c r="A20" i="8"/>
  <c r="B20" i="8"/>
  <c r="C20" i="8"/>
  <c r="D20" i="8"/>
  <c r="A21" i="8"/>
  <c r="B21" i="8"/>
  <c r="C21" i="8"/>
  <c r="D21" i="8"/>
  <c r="A22" i="8"/>
  <c r="B22" i="8"/>
  <c r="C22" i="8"/>
  <c r="D22" i="8"/>
  <c r="A23" i="8"/>
  <c r="B23" i="8"/>
  <c r="C23" i="8"/>
  <c r="D23" i="8"/>
  <c r="A24" i="8"/>
  <c r="B24" i="8"/>
  <c r="C24" i="8"/>
  <c r="D24" i="8"/>
  <c r="A25" i="8"/>
  <c r="B25" i="8"/>
  <c r="C25" i="8"/>
  <c r="D25" i="8"/>
  <c r="A26" i="8"/>
  <c r="B26" i="8"/>
  <c r="C26" i="8"/>
  <c r="D26" i="8"/>
  <c r="A27" i="8"/>
  <c r="B27" i="8"/>
  <c r="C27" i="8"/>
  <c r="D27" i="8"/>
  <c r="A28" i="8"/>
  <c r="B28" i="8"/>
  <c r="C28" i="8"/>
  <c r="D28" i="8"/>
  <c r="D2" i="8"/>
  <c r="C2" i="8"/>
  <c r="B2" i="8"/>
  <c r="A2" i="8"/>
  <c r="M739" i="6" l="1"/>
  <c r="M646" i="6"/>
  <c r="M106" i="6"/>
  <c r="M49" i="6"/>
  <c r="M1168" i="6"/>
  <c r="M783" i="6"/>
  <c r="M894" i="6"/>
  <c r="M1365" i="6"/>
  <c r="M148" i="6"/>
  <c r="M122" i="6"/>
  <c r="M945" i="6"/>
  <c r="M144" i="6"/>
  <c r="M74" i="6"/>
  <c r="M738" i="6"/>
  <c r="M404" i="6"/>
  <c r="M231" i="6"/>
  <c r="M1271" i="6"/>
  <c r="M159" i="6"/>
  <c r="M1174" i="6"/>
  <c r="M1055" i="6"/>
  <c r="M864" i="6"/>
  <c r="M789" i="6"/>
  <c r="M68" i="6"/>
  <c r="M1122" i="6"/>
  <c r="M1060" i="6"/>
  <c r="M608" i="6"/>
  <c r="M582" i="6"/>
  <c r="M251" i="6"/>
  <c r="M774" i="6"/>
  <c r="M249" i="6"/>
  <c r="M978" i="6"/>
  <c r="M357" i="6"/>
  <c r="M246" i="6"/>
  <c r="M900" i="6"/>
  <c r="M918" i="6"/>
  <c r="M657" i="6"/>
  <c r="M468" i="6"/>
  <c r="M310" i="6"/>
  <c r="M1339" i="6"/>
  <c r="M1192" i="6"/>
  <c r="M221" i="6"/>
  <c r="M1295" i="6"/>
  <c r="M1390" i="6"/>
  <c r="M1318" i="6"/>
  <c r="M1101" i="6"/>
  <c r="M954" i="6"/>
  <c r="M455" i="6"/>
  <c r="M315" i="6"/>
  <c r="M1106" i="6"/>
  <c r="M1062" i="6"/>
  <c r="M302" i="6"/>
  <c r="M912" i="6"/>
  <c r="M855" i="6"/>
  <c r="M1258" i="6"/>
  <c r="M1209" i="6"/>
  <c r="M1384" i="6"/>
  <c r="M1366" i="6"/>
  <c r="M1201" i="6"/>
  <c r="M1131" i="6"/>
  <c r="M687" i="6"/>
  <c r="M1224" i="6"/>
  <c r="M816" i="6"/>
  <c r="M43" i="6"/>
  <c r="M1314" i="6"/>
  <c r="M1265" i="6"/>
  <c r="M1146" i="6"/>
  <c r="M554" i="6"/>
  <c r="M735" i="6"/>
  <c r="M629" i="6"/>
  <c r="J2" i="6"/>
  <c r="M2" i="6"/>
  <c r="J27" i="6"/>
  <c r="J22" i="6"/>
  <c r="J6" i="6"/>
  <c r="M6" i="6"/>
  <c r="L1259" i="8"/>
  <c r="L1241" i="8"/>
  <c r="L1223" i="8"/>
  <c r="L1205" i="8"/>
  <c r="L1187" i="8"/>
  <c r="L1169" i="8"/>
  <c r="L1151" i="8"/>
  <c r="L1133" i="8"/>
  <c r="L1115" i="8"/>
  <c r="L1097" i="8"/>
  <c r="L1079" i="8"/>
  <c r="L1061" i="8"/>
  <c r="L1057" i="8"/>
  <c r="L1043" i="8"/>
  <c r="L1025" i="8"/>
  <c r="L1007" i="8"/>
  <c r="L989" i="8"/>
  <c r="L971" i="8"/>
  <c r="L953" i="8"/>
  <c r="L949" i="8"/>
  <c r="L935" i="8"/>
  <c r="L917" i="8"/>
  <c r="L899" i="8"/>
  <c r="L881" i="8"/>
  <c r="L863" i="8"/>
  <c r="L845" i="8"/>
  <c r="L841" i="8"/>
  <c r="L827" i="8"/>
  <c r="L809" i="8"/>
  <c r="L791" i="8"/>
  <c r="L773" i="8"/>
  <c r="L755" i="8"/>
  <c r="L737" i="8"/>
  <c r="L733" i="8"/>
  <c r="L719" i="8"/>
  <c r="L701" i="8"/>
  <c r="L683" i="8"/>
  <c r="L665" i="8"/>
  <c r="L647" i="8"/>
  <c r="L629" i="8"/>
  <c r="L625" i="8"/>
  <c r="L611" i="8"/>
  <c r="L593" i="8"/>
  <c r="L575" i="8"/>
  <c r="L557" i="8"/>
  <c r="L539" i="8"/>
  <c r="L521" i="8"/>
  <c r="L517" i="8"/>
  <c r="L503" i="8"/>
  <c r="L485" i="8"/>
  <c r="L467" i="8"/>
  <c r="L449" i="8"/>
  <c r="L431" i="8"/>
  <c r="L413" i="8"/>
  <c r="L409" i="8"/>
  <c r="L395" i="8"/>
  <c r="L377" i="8"/>
  <c r="L359" i="8"/>
  <c r="L341" i="8"/>
  <c r="L323" i="8"/>
  <c r="L305" i="8"/>
  <c r="L301" i="8"/>
  <c r="L287" i="8"/>
  <c r="L269" i="8"/>
  <c r="M18" i="6"/>
  <c r="J29" i="6"/>
  <c r="J25" i="6"/>
  <c r="J21" i="6"/>
  <c r="J202" i="6"/>
  <c r="J189" i="6"/>
  <c r="M189" i="6"/>
  <c r="J163" i="6"/>
  <c r="M163" i="6"/>
  <c r="J150" i="6"/>
  <c r="J132" i="6"/>
  <c r="J9" i="6"/>
  <c r="J28" i="6"/>
  <c r="J8" i="6"/>
  <c r="J20" i="6"/>
  <c r="L1080" i="8"/>
  <c r="L1041" i="8"/>
  <c r="L1023" i="8"/>
  <c r="L987" i="8"/>
  <c r="L915" i="8"/>
  <c r="L879" i="8"/>
  <c r="L807" i="8"/>
  <c r="L771" i="8"/>
  <c r="L717" i="8"/>
  <c r="L663" i="8"/>
  <c r="L555" i="8"/>
  <c r="L540" i="8"/>
  <c r="L483" i="8"/>
  <c r="L447" i="8"/>
  <c r="L393" i="8"/>
  <c r="L339" i="8"/>
  <c r="L321" i="8"/>
  <c r="L285" i="8"/>
  <c r="L267" i="8"/>
  <c r="J186" i="6"/>
  <c r="J178" i="6"/>
  <c r="J160" i="6"/>
  <c r="J147" i="6"/>
  <c r="M147" i="6"/>
  <c r="J121" i="6"/>
  <c r="M121" i="6"/>
  <c r="J4" i="6"/>
  <c r="J30" i="6"/>
  <c r="M30" i="6"/>
  <c r="J7" i="6"/>
  <c r="J19" i="6"/>
  <c r="M15" i="6"/>
  <c r="J26" i="6"/>
  <c r="J3" i="6"/>
  <c r="J10" i="6"/>
  <c r="M875" i="6"/>
  <c r="M1270" i="6"/>
  <c r="M1054" i="6"/>
  <c r="M1000" i="6"/>
  <c r="M748" i="6"/>
  <c r="M694" i="6"/>
  <c r="M496" i="6"/>
  <c r="M226" i="6"/>
  <c r="M136" i="6"/>
  <c r="M1395" i="6"/>
  <c r="M1323" i="6"/>
  <c r="M1251" i="6"/>
  <c r="M1233" i="6"/>
  <c r="M1125" i="6"/>
  <c r="M1017" i="6"/>
  <c r="M117" i="6"/>
  <c r="M1142" i="6"/>
  <c r="M998" i="6"/>
  <c r="M926" i="6"/>
  <c r="M674" i="6"/>
  <c r="M620" i="6"/>
  <c r="M350" i="6"/>
  <c r="M1213" i="6"/>
  <c r="M1177" i="6"/>
  <c r="M601" i="6"/>
  <c r="L122" i="8"/>
  <c r="M1266" i="6"/>
  <c r="M1086" i="6"/>
  <c r="M1014" i="6"/>
  <c r="M870" i="6"/>
  <c r="M744" i="6"/>
  <c r="M708" i="6"/>
  <c r="M1391" i="6"/>
  <c r="M1373" i="6"/>
  <c r="M1301" i="6"/>
  <c r="M1229" i="6"/>
  <c r="M1336" i="6"/>
  <c r="M1138" i="6"/>
  <c r="M1102" i="6"/>
  <c r="M1066" i="6"/>
  <c r="M1048" i="6"/>
  <c r="M958" i="6"/>
  <c r="M670" i="6"/>
  <c r="M112" i="6"/>
  <c r="L35" i="8"/>
  <c r="M1263" i="6"/>
  <c r="M849" i="6"/>
  <c r="M597" i="6"/>
  <c r="M525" i="6"/>
  <c r="M471" i="6"/>
  <c r="M129" i="6"/>
  <c r="M1352" i="6"/>
  <c r="M1010" i="6"/>
  <c r="M938" i="6"/>
  <c r="M200" i="6"/>
  <c r="L229" i="8"/>
  <c r="L193" i="8"/>
  <c r="L157" i="8"/>
  <c r="L121" i="8"/>
  <c r="L103" i="8"/>
  <c r="L85" i="8"/>
  <c r="L74" i="8"/>
  <c r="L67" i="8"/>
  <c r="L49" i="8"/>
  <c r="L38" i="8"/>
  <c r="L31" i="8"/>
  <c r="M1333" i="6"/>
  <c r="M937" i="6"/>
  <c r="M145" i="6"/>
  <c r="M1404" i="6"/>
  <c r="M1368" i="6"/>
  <c r="M1188" i="6"/>
  <c r="M594" i="6"/>
  <c r="M432" i="6"/>
  <c r="M378" i="6"/>
  <c r="M180" i="6"/>
  <c r="M827" i="6"/>
  <c r="M503" i="6"/>
  <c r="M359" i="6"/>
  <c r="M323" i="6"/>
  <c r="M71" i="6"/>
  <c r="M1240" i="6"/>
  <c r="M987" i="6"/>
  <c r="M933" i="6"/>
  <c r="M879" i="6"/>
  <c r="M771" i="6"/>
  <c r="M699" i="6"/>
  <c r="M681" i="6"/>
  <c r="M555" i="6"/>
  <c r="M501" i="6"/>
  <c r="M465" i="6"/>
  <c r="M51" i="6"/>
  <c r="L231" i="8"/>
  <c r="L69" i="8"/>
  <c r="M1364" i="6"/>
  <c r="M1346" i="6"/>
  <c r="M1220" i="6"/>
  <c r="M1004" i="6"/>
  <c r="M950" i="6"/>
  <c r="M896" i="6"/>
  <c r="M698" i="6"/>
  <c r="M518" i="6"/>
  <c r="M392" i="6"/>
  <c r="M1309" i="6"/>
  <c r="M1219" i="6"/>
  <c r="M1147" i="6"/>
  <c r="M1111" i="6"/>
  <c r="M1075" i="6"/>
  <c r="M1182" i="6"/>
  <c r="M966" i="6"/>
  <c r="M768" i="6"/>
  <c r="M714" i="6"/>
  <c r="M570" i="6"/>
  <c r="M516" i="6"/>
  <c r="M282" i="6"/>
  <c r="L215" i="8"/>
  <c r="L125" i="8"/>
  <c r="L1345" i="8"/>
  <c r="L769" i="8"/>
  <c r="L481" i="8"/>
  <c r="L373" i="8"/>
  <c r="L337" i="8"/>
  <c r="L214" i="8"/>
  <c r="L1237" i="8"/>
  <c r="L1201" i="8"/>
  <c r="L877" i="8"/>
  <c r="L661" i="8"/>
  <c r="L265" i="8"/>
  <c r="L105" i="8"/>
  <c r="L1309" i="8"/>
  <c r="L1129" i="8"/>
  <c r="L1021" i="8"/>
  <c r="L697" i="8"/>
  <c r="L36" i="8"/>
  <c r="L1093" i="8"/>
  <c r="L589" i="8"/>
  <c r="L553" i="8"/>
  <c r="L445" i="8"/>
  <c r="L106" i="8"/>
  <c r="L1098" i="8"/>
  <c r="L972" i="8"/>
  <c r="L774" i="8"/>
  <c r="L666" i="8"/>
  <c r="L68" i="8"/>
  <c r="L985" i="8"/>
  <c r="L913" i="8"/>
  <c r="L805" i="8"/>
  <c r="L233" i="8"/>
  <c r="L179" i="8"/>
  <c r="L71" i="8"/>
  <c r="L20" i="8"/>
  <c r="L110" i="8"/>
  <c r="L56" i="8"/>
  <c r="L651" i="8"/>
  <c r="L633" i="8"/>
  <c r="L615" i="8"/>
  <c r="L597" i="8"/>
  <c r="L579" i="8"/>
  <c r="L561" i="8"/>
  <c r="L543" i="8"/>
  <c r="L525" i="8"/>
  <c r="L507" i="8"/>
  <c r="L489" i="8"/>
  <c r="L471" i="8"/>
  <c r="L453" i="8"/>
  <c r="L435" i="8"/>
  <c r="L417" i="8"/>
  <c r="L399" i="8"/>
  <c r="L381" i="8"/>
  <c r="L363" i="8"/>
  <c r="L345" i="8"/>
  <c r="L327" i="8"/>
  <c r="L309" i="8"/>
  <c r="L291" i="8"/>
  <c r="L273" i="8"/>
  <c r="L255" i="8"/>
  <c r="L197" i="8"/>
  <c r="L161" i="8"/>
  <c r="L143" i="8"/>
  <c r="L107" i="8"/>
  <c r="L89" i="8"/>
  <c r="L53" i="8"/>
  <c r="L251" i="8"/>
  <c r="L1388" i="8"/>
  <c r="L1280" i="8"/>
  <c r="L1226" i="8"/>
  <c r="L1172" i="8"/>
  <c r="L1082" i="8"/>
  <c r="L992" i="8"/>
  <c r="L974" i="8"/>
  <c r="L902" i="8"/>
  <c r="L848" i="8"/>
  <c r="L722" i="8"/>
  <c r="L632" i="8"/>
  <c r="L452" i="8"/>
  <c r="L290" i="8"/>
  <c r="L196" i="8"/>
  <c r="L160" i="8"/>
  <c r="L124" i="8"/>
  <c r="L52" i="8"/>
  <c r="L1359" i="8"/>
  <c r="L1305" i="8"/>
  <c r="L1251" i="8"/>
  <c r="L1197" i="8"/>
  <c r="L1125" i="8"/>
  <c r="L1053" i="8"/>
  <c r="L999" i="8"/>
  <c r="L873" i="8"/>
  <c r="L783" i="8"/>
  <c r="L639" i="8"/>
  <c r="L459" i="8"/>
  <c r="L423" i="8"/>
  <c r="L351" i="8"/>
  <c r="L261" i="8"/>
  <c r="L239" i="8"/>
  <c r="L167" i="8"/>
  <c r="L95" i="8"/>
  <c r="L322" i="8"/>
  <c r="L84" i="8"/>
  <c r="L300" i="8"/>
  <c r="L1406" i="8"/>
  <c r="L1370" i="8"/>
  <c r="L1352" i="8"/>
  <c r="L1262" i="8"/>
  <c r="L1208" i="8"/>
  <c r="L1190" i="8"/>
  <c r="L1136" i="8"/>
  <c r="L1028" i="8"/>
  <c r="L938" i="8"/>
  <c r="L920" i="8"/>
  <c r="L884" i="8"/>
  <c r="L812" i="8"/>
  <c r="L758" i="8"/>
  <c r="L740" i="8"/>
  <c r="L704" i="8"/>
  <c r="L650" i="8"/>
  <c r="L596" i="8"/>
  <c r="L506" i="8"/>
  <c r="L398" i="8"/>
  <c r="L362" i="8"/>
  <c r="L88" i="8"/>
  <c r="L34" i="8"/>
  <c r="L24" i="8"/>
  <c r="L6" i="8"/>
  <c r="L1377" i="8"/>
  <c r="L1341" i="8"/>
  <c r="L1179" i="8"/>
  <c r="L1107" i="8"/>
  <c r="L1035" i="8"/>
  <c r="L927" i="8"/>
  <c r="L729" i="8"/>
  <c r="L675" i="8"/>
  <c r="L621" i="8"/>
  <c r="L567" i="8"/>
  <c r="L405" i="8"/>
  <c r="L297" i="8"/>
  <c r="L221" i="8"/>
  <c r="L149" i="8"/>
  <c r="L736" i="8"/>
  <c r="L718" i="8"/>
  <c r="L664" i="8"/>
  <c r="L628" i="8"/>
  <c r="L610" i="8"/>
  <c r="L592" i="8"/>
  <c r="L556" i="8"/>
  <c r="L538" i="8"/>
  <c r="L516" i="8"/>
  <c r="L466" i="8"/>
  <c r="L448" i="8"/>
  <c r="L430" i="8"/>
  <c r="L408" i="8"/>
  <c r="L394" i="8"/>
  <c r="L376" i="8"/>
  <c r="L358" i="8"/>
  <c r="L340" i="8"/>
  <c r="L304" i="8"/>
  <c r="L286" i="8"/>
  <c r="L268" i="8"/>
  <c r="L228" i="8"/>
  <c r="L192" i="8"/>
  <c r="L156" i="8"/>
  <c r="L138" i="8"/>
  <c r="L120" i="8"/>
  <c r="L66" i="8"/>
  <c r="L55" i="8"/>
  <c r="L1381" i="8"/>
  <c r="L1334" i="8"/>
  <c r="L1316" i="8"/>
  <c r="L1298" i="8"/>
  <c r="L1244" i="8"/>
  <c r="L1154" i="8"/>
  <c r="L1100" i="8"/>
  <c r="L1064" i="8"/>
  <c r="L1046" i="8"/>
  <c r="L866" i="8"/>
  <c r="L830" i="8"/>
  <c r="L794" i="8"/>
  <c r="L686" i="8"/>
  <c r="L614" i="8"/>
  <c r="L578" i="8"/>
  <c r="L560" i="8"/>
  <c r="L524" i="8"/>
  <c r="L470" i="8"/>
  <c r="L416" i="8"/>
  <c r="L380" i="8"/>
  <c r="L344" i="8"/>
  <c r="L308" i="8"/>
  <c r="L272" i="8"/>
  <c r="L232" i="8"/>
  <c r="L70" i="8"/>
  <c r="L1395" i="8"/>
  <c r="L1287" i="8"/>
  <c r="L1269" i="8"/>
  <c r="L1233" i="8"/>
  <c r="L1143" i="8"/>
  <c r="L1089" i="8"/>
  <c r="L981" i="8"/>
  <c r="L945" i="8"/>
  <c r="L909" i="8"/>
  <c r="L891" i="8"/>
  <c r="L855" i="8"/>
  <c r="L819" i="8"/>
  <c r="L801" i="8"/>
  <c r="L765" i="8"/>
  <c r="L603" i="8"/>
  <c r="L585" i="8"/>
  <c r="L549" i="8"/>
  <c r="L513" i="8"/>
  <c r="L495" i="8"/>
  <c r="L477" i="8"/>
  <c r="L441" i="8"/>
  <c r="L387" i="8"/>
  <c r="L315" i="8"/>
  <c r="L203" i="8"/>
  <c r="L131" i="8"/>
  <c r="L77" i="8"/>
  <c r="L59" i="8"/>
  <c r="L970" i="8"/>
  <c r="L754" i="8"/>
  <c r="L682" i="8"/>
  <c r="L646" i="8"/>
  <c r="L574" i="8"/>
  <c r="L520" i="8"/>
  <c r="L502" i="8"/>
  <c r="L484" i="8"/>
  <c r="L412" i="8"/>
  <c r="L289" i="8"/>
  <c r="L177" i="8"/>
  <c r="L30" i="8"/>
  <c r="L1273" i="8"/>
  <c r="L1118" i="8"/>
  <c r="L1010" i="8"/>
  <c r="L956" i="8"/>
  <c r="L776" i="8"/>
  <c r="L668" i="8"/>
  <c r="L542" i="8"/>
  <c r="L488" i="8"/>
  <c r="L434" i="8"/>
  <c r="L326" i="8"/>
  <c r="L254" i="8"/>
  <c r="L178" i="8"/>
  <c r="L142" i="8"/>
  <c r="L15" i="8"/>
  <c r="L1323" i="8"/>
  <c r="L1215" i="8"/>
  <c r="L1161" i="8"/>
  <c r="L1071" i="8"/>
  <c r="L1017" i="8"/>
  <c r="L963" i="8"/>
  <c r="L837" i="8"/>
  <c r="L747" i="8"/>
  <c r="L711" i="8"/>
  <c r="L693" i="8"/>
  <c r="L657" i="8"/>
  <c r="L531" i="8"/>
  <c r="L369" i="8"/>
  <c r="L333" i="8"/>
  <c r="L279" i="8"/>
  <c r="L250" i="8"/>
  <c r="L185" i="8"/>
  <c r="L113" i="8"/>
  <c r="L41" i="8"/>
  <c r="L700" i="8"/>
  <c r="L210" i="8"/>
  <c r="L174" i="8"/>
  <c r="L102" i="8"/>
  <c r="L48" i="8"/>
  <c r="L181" i="8"/>
  <c r="L1401" i="8"/>
  <c r="L1365" i="8"/>
  <c r="L1293" i="8"/>
  <c r="L1185" i="8"/>
  <c r="L1167" i="8"/>
  <c r="L1113" i="8"/>
  <c r="L1077" i="8"/>
  <c r="L1059" i="8"/>
  <c r="L1005" i="8"/>
  <c r="L969" i="8"/>
  <c r="L951" i="8"/>
  <c r="L933" i="8"/>
  <c r="L897" i="8"/>
  <c r="L861" i="8"/>
  <c r="L843" i="8"/>
  <c r="L825" i="8"/>
  <c r="L789" i="8"/>
  <c r="L753" i="8"/>
  <c r="L735" i="8"/>
  <c r="L699" i="8"/>
  <c r="L681" i="8"/>
  <c r="L645" i="8"/>
  <c r="L627" i="8"/>
  <c r="L609" i="8"/>
  <c r="L591" i="8"/>
  <c r="L573" i="8"/>
  <c r="L537" i="8"/>
  <c r="L519" i="8"/>
  <c r="L501" i="8"/>
  <c r="L465" i="8"/>
  <c r="L429" i="8"/>
  <c r="L411" i="8"/>
  <c r="L375" i="8"/>
  <c r="L357" i="8"/>
  <c r="L303" i="8"/>
  <c r="L1318" i="8"/>
  <c r="L1210" i="8"/>
  <c r="L1138" i="8"/>
  <c r="L1066" i="8"/>
  <c r="L1030" i="8"/>
  <c r="L1012" i="8"/>
  <c r="L994" i="8"/>
  <c r="L976" i="8"/>
  <c r="L958" i="8"/>
  <c r="L940" i="8"/>
  <c r="L922" i="8"/>
  <c r="L904" i="8"/>
  <c r="L868" i="8"/>
  <c r="L850" i="8"/>
  <c r="L832" i="8"/>
  <c r="L814" i="8"/>
  <c r="L796" i="8"/>
  <c r="L778" i="8"/>
  <c r="L760" i="8"/>
  <c r="L742" i="8"/>
  <c r="L724" i="8"/>
  <c r="L706" i="8"/>
  <c r="L688" i="8"/>
  <c r="L670" i="8"/>
  <c r="L652" i="8"/>
  <c r="L634" i="8"/>
  <c r="L616" i="8"/>
  <c r="L598" i="8"/>
  <c r="L580" i="8"/>
  <c r="L562" i="8"/>
  <c r="L544" i="8"/>
  <c r="L526" i="8"/>
  <c r="L508" i="8"/>
  <c r="L490" i="8"/>
  <c r="L472" i="8"/>
  <c r="L454" i="8"/>
  <c r="L436" i="8"/>
  <c r="L418" i="8"/>
  <c r="L400" i="8"/>
  <c r="L382" i="8"/>
  <c r="L364" i="8"/>
  <c r="L346" i="8"/>
  <c r="L328" i="8"/>
  <c r="L310" i="8"/>
  <c r="L292" i="8"/>
  <c r="L274" i="8"/>
  <c r="L256" i="8"/>
  <c r="L245" i="8"/>
  <c r="L234" i="8"/>
  <c r="L216" i="8"/>
  <c r="L212" i="8"/>
  <c r="L198" i="8"/>
  <c r="L194" i="8"/>
  <c r="L180" i="8"/>
  <c r="L176" i="8"/>
  <c r="L162" i="8"/>
  <c r="L158" i="8"/>
  <c r="L144" i="8"/>
  <c r="L140" i="8"/>
  <c r="L126" i="8"/>
  <c r="L108" i="8"/>
  <c r="L104" i="8"/>
  <c r="L90" i="8"/>
  <c r="L86" i="8"/>
  <c r="L72" i="8"/>
  <c r="L1165" i="8"/>
  <c r="L1336" i="8"/>
  <c r="L1246" i="8"/>
  <c r="L1192" i="8"/>
  <c r="L1084" i="8"/>
  <c r="L1202" i="8"/>
  <c r="L878" i="8"/>
  <c r="L590" i="8"/>
  <c r="L536" i="8"/>
  <c r="L500" i="8"/>
  <c r="L482" i="8"/>
  <c r="L464" i="8"/>
  <c r="L446" i="8"/>
  <c r="L428" i="8"/>
  <c r="L410" i="8"/>
  <c r="L392" i="8"/>
  <c r="L374" i="8"/>
  <c r="L356" i="8"/>
  <c r="L338" i="8"/>
  <c r="L320" i="8"/>
  <c r="L302" i="8"/>
  <c r="L284" i="8"/>
  <c r="L266" i="8"/>
  <c r="L115" i="8"/>
  <c r="L97" i="8"/>
  <c r="L79" i="8"/>
  <c r="L61" i="8"/>
  <c r="L43" i="8"/>
  <c r="L1354" i="8"/>
  <c r="L1282" i="8"/>
  <c r="L1264" i="8"/>
  <c r="L1174" i="8"/>
  <c r="L1120" i="8"/>
  <c r="L1048" i="8"/>
  <c r="L1310" i="8"/>
  <c r="L1206" i="8"/>
  <c r="L1022" i="8"/>
  <c r="L914" i="8"/>
  <c r="L594" i="8"/>
  <c r="L518" i="8"/>
  <c r="L1300" i="8"/>
  <c r="L1228" i="8"/>
  <c r="L1156" i="8"/>
  <c r="L1102" i="8"/>
  <c r="L886" i="8"/>
  <c r="L770" i="8"/>
  <c r="L662" i="8"/>
  <c r="L644" i="8"/>
  <c r="L626" i="8"/>
  <c r="L608" i="8"/>
  <c r="L572" i="8"/>
  <c r="L57" i="8"/>
  <c r="L39" i="8"/>
  <c r="L1006" i="8"/>
  <c r="L988" i="8"/>
  <c r="L952" i="8"/>
  <c r="L934" i="8"/>
  <c r="L916" i="8"/>
  <c r="L898" i="8"/>
  <c r="L880" i="8"/>
  <c r="L862" i="8"/>
  <c r="L844" i="8"/>
  <c r="L840" i="8"/>
  <c r="L826" i="8"/>
  <c r="L808" i="8"/>
  <c r="L790" i="8"/>
  <c r="L772" i="8"/>
  <c r="L1348" i="8"/>
  <c r="L1276" i="8"/>
  <c r="L1150" i="8"/>
  <c r="L1193" i="8"/>
  <c r="L1402" i="8"/>
  <c r="L1384" i="8"/>
  <c r="L1366" i="8"/>
  <c r="L1330" i="8"/>
  <c r="L1312" i="8"/>
  <c r="L1294" i="8"/>
  <c r="L1240" i="8"/>
  <c r="L1222" i="8"/>
  <c r="L1204" i="8"/>
  <c r="L1186" i="8"/>
  <c r="L1168" i="8"/>
  <c r="L1132" i="8"/>
  <c r="L1114" i="8"/>
  <c r="L1096" i="8"/>
  <c r="L1078" i="8"/>
  <c r="L1060" i="8"/>
  <c r="L1042" i="8"/>
  <c r="L1024" i="8"/>
  <c r="L28" i="8"/>
  <c r="L19" i="8"/>
  <c r="L14" i="8"/>
  <c r="L10" i="8"/>
  <c r="L29" i="8"/>
  <c r="L1409" i="8"/>
  <c r="L1405" i="8"/>
  <c r="L1398" i="8"/>
  <c r="L1391" i="8"/>
  <c r="L1387" i="8"/>
  <c r="L1380" i="8"/>
  <c r="L1373" i="8"/>
  <c r="L1369" i="8"/>
  <c r="L1362" i="8"/>
  <c r="L1355" i="8"/>
  <c r="L1351" i="8"/>
  <c r="L1344" i="8"/>
  <c r="L1337" i="8"/>
  <c r="L1333" i="8"/>
  <c r="L1326" i="8"/>
  <c r="L1319" i="8"/>
  <c r="L1315" i="8"/>
  <c r="L1308" i="8"/>
  <c r="L1301" i="8"/>
  <c r="L1297" i="8"/>
  <c r="L1290" i="8"/>
  <c r="L1283" i="8"/>
  <c r="L1279" i="8"/>
  <c r="L1272" i="8"/>
  <c r="L1265" i="8"/>
  <c r="L1261" i="8"/>
  <c r="L1254" i="8"/>
  <c r="L1247" i="8"/>
  <c r="L1243" i="8"/>
  <c r="L1236" i="8"/>
  <c r="L1229" i="8"/>
  <c r="L1225" i="8"/>
  <c r="L1218" i="8"/>
  <c r="L1211" i="8"/>
  <c r="L1207" i="8"/>
  <c r="L1200" i="8"/>
  <c r="L1189" i="8"/>
  <c r="L1182" i="8"/>
  <c r="L1175" i="8"/>
  <c r="L1171" i="8"/>
  <c r="L1164" i="8"/>
  <c r="L1157" i="8"/>
  <c r="L1153" i="8"/>
  <c r="L1146" i="8"/>
  <c r="L1139" i="8"/>
  <c r="L1135" i="8"/>
  <c r="L1128" i="8"/>
  <c r="L1121" i="8"/>
  <c r="L1117" i="8"/>
  <c r="L1110" i="8"/>
  <c r="L1103" i="8"/>
  <c r="L1099" i="8"/>
  <c r="L1092" i="8"/>
  <c r="L1412" i="8"/>
  <c r="L1372" i="8"/>
  <c r="L504" i="8"/>
  <c r="L432" i="8"/>
  <c r="L425" i="8"/>
  <c r="L396" i="8"/>
  <c r="L270" i="8"/>
  <c r="L1085" i="8"/>
  <c r="L1081" i="8"/>
  <c r="L1074" i="8"/>
  <c r="L1067" i="8"/>
  <c r="L1063" i="8"/>
  <c r="L1045" i="8"/>
  <c r="L732" i="8"/>
  <c r="L721" i="8"/>
  <c r="L624" i="8"/>
  <c r="L613" i="8"/>
  <c r="L505" i="8"/>
  <c r="L1394" i="8"/>
  <c r="L1376" i="8"/>
  <c r="L1408" i="8"/>
  <c r="L1390" i="8"/>
  <c r="L13" i="8"/>
  <c r="L4" i="8"/>
  <c r="L1397" i="8"/>
  <c r="L1379" i="8"/>
  <c r="L1361" i="8"/>
  <c r="L1289" i="8"/>
  <c r="L1271" i="8"/>
  <c r="L1253" i="8"/>
  <c r="L1188" i="8"/>
  <c r="L1181" i="8"/>
  <c r="L1163" i="8"/>
  <c r="L1055" i="8"/>
  <c r="L1019" i="8"/>
  <c r="L1001" i="8"/>
  <c r="L990" i="8"/>
  <c r="L983" i="8"/>
  <c r="L965" i="8"/>
  <c r="L947" i="8"/>
  <c r="L929" i="8"/>
  <c r="L911" i="8"/>
  <c r="L893" i="8"/>
  <c r="L882" i="8"/>
  <c r="L875" i="8"/>
  <c r="L864" i="8"/>
  <c r="L857" i="8"/>
  <c r="L839" i="8"/>
  <c r="L803" i="8"/>
  <c r="L767" i="8"/>
  <c r="L749" i="8"/>
  <c r="L731" i="8"/>
  <c r="L713" i="8"/>
  <c r="L695" i="8"/>
  <c r="L677" i="8"/>
  <c r="L659" i="8"/>
  <c r="L648" i="8"/>
  <c r="L641" i="8"/>
  <c r="L623" i="8"/>
  <c r="L612" i="8"/>
  <c r="L605" i="8"/>
  <c r="L587" i="8"/>
  <c r="L576" i="8"/>
  <c r="L569" i="8"/>
  <c r="L533" i="8"/>
  <c r="L522" i="8"/>
  <c r="L497" i="8"/>
  <c r="L486" i="8"/>
  <c r="L479" i="8"/>
  <c r="L468" i="8"/>
  <c r="L461" i="8"/>
  <c r="L450" i="8"/>
  <c r="L443" i="8"/>
  <c r="L414" i="8"/>
  <c r="L407" i="8"/>
  <c r="L389" i="8"/>
  <c r="L371" i="8"/>
  <c r="L360" i="8"/>
  <c r="L353" i="8"/>
  <c r="L342" i="8"/>
  <c r="L335" i="8"/>
  <c r="L324" i="8"/>
  <c r="L317" i="8"/>
  <c r="L306" i="8"/>
  <c r="L299" i="8"/>
  <c r="L288" i="8"/>
  <c r="L281" i="8"/>
  <c r="L263" i="8"/>
  <c r="L252" i="8"/>
  <c r="L248" i="8"/>
  <c r="L241" i="8"/>
  <c r="L230" i="8"/>
  <c r="L223" i="8"/>
  <c r="L205" i="8"/>
  <c r="L187" i="8"/>
  <c r="L169" i="8"/>
  <c r="L151" i="8"/>
  <c r="L133" i="8"/>
  <c r="L1404" i="8"/>
  <c r="L1296" i="8"/>
  <c r="L26" i="8"/>
  <c r="L8" i="8"/>
  <c r="L1411" i="8"/>
  <c r="L1393" i="8"/>
  <c r="L1375" i="8"/>
  <c r="L1357" i="8"/>
  <c r="L1339" i="8"/>
  <c r="L1321" i="8"/>
  <c r="L1303" i="8"/>
  <c r="L1285" i="8"/>
  <c r="L1267" i="8"/>
  <c r="L1249" i="8"/>
  <c r="L1231" i="8"/>
  <c r="L1213" i="8"/>
  <c r="L1195" i="8"/>
  <c r="L1177" i="8"/>
  <c r="L1159" i="8"/>
  <c r="L1141" i="8"/>
  <c r="L1123" i="8"/>
  <c r="L1105" i="8"/>
  <c r="L1087" i="8"/>
  <c r="L1069" i="8"/>
  <c r="L1051" i="8"/>
  <c r="L1033" i="8"/>
  <c r="L1015" i="8"/>
  <c r="L997" i="8"/>
  <c r="L979" i="8"/>
  <c r="L961" i="8"/>
  <c r="L943" i="8"/>
  <c r="L925" i="8"/>
  <c r="L907" i="8"/>
  <c r="L889" i="8"/>
  <c r="L871" i="8"/>
  <c r="L853" i="8"/>
  <c r="L835" i="8"/>
  <c r="L817" i="8"/>
  <c r="L799" i="8"/>
  <c r="L781" i="8"/>
  <c r="L763" i="8"/>
  <c r="L745" i="8"/>
  <c r="L727" i="8"/>
  <c r="L709" i="8"/>
  <c r="L691" i="8"/>
  <c r="L673" i="8"/>
  <c r="L655" i="8"/>
  <c r="L637" i="8"/>
  <c r="L619" i="8"/>
  <c r="L601" i="8"/>
  <c r="L583" i="8"/>
  <c r="L565" i="8"/>
  <c r="L547" i="8"/>
  <c r="L529" i="8"/>
  <c r="L511" i="8"/>
  <c r="L493" i="8"/>
  <c r="L475" i="8"/>
  <c r="L457" i="8"/>
  <c r="L439" i="8"/>
  <c r="L421" i="8"/>
  <c r="L403" i="8"/>
  <c r="L385" i="8"/>
  <c r="L367" i="8"/>
  <c r="L349" i="8"/>
  <c r="L331" i="8"/>
  <c r="L313" i="8"/>
  <c r="L295" i="8"/>
  <c r="L277" i="8"/>
  <c r="L259" i="8"/>
  <c r="L237" i="8"/>
  <c r="L219" i="8"/>
  <c r="L23" i="8"/>
  <c r="L22" i="8"/>
  <c r="L1343" i="8"/>
  <c r="L1325" i="8"/>
  <c r="L1314" i="8"/>
  <c r="L1307" i="8"/>
  <c r="L1235" i="8"/>
  <c r="L1217" i="8"/>
  <c r="L1199" i="8"/>
  <c r="L1145" i="8"/>
  <c r="L1127" i="8"/>
  <c r="L1109" i="8"/>
  <c r="L1091" i="8"/>
  <c r="L1073" i="8"/>
  <c r="L1037" i="8"/>
  <c r="L821" i="8"/>
  <c r="L785" i="8"/>
  <c r="L756" i="8"/>
  <c r="L630" i="8"/>
  <c r="L558" i="8"/>
  <c r="L551" i="8"/>
  <c r="L515" i="8"/>
  <c r="L378" i="8"/>
  <c r="L948" i="8"/>
  <c r="L941" i="8"/>
  <c r="L937" i="8"/>
  <c r="L930" i="8"/>
  <c r="L923" i="8"/>
  <c r="L919" i="8"/>
  <c r="L912" i="8"/>
  <c r="L905" i="8"/>
  <c r="L901" i="8"/>
  <c r="L894" i="8"/>
  <c r="L887" i="8"/>
  <c r="L883" i="8"/>
  <c r="L876" i="8"/>
  <c r="L869" i="8"/>
  <c r="L865" i="8"/>
  <c r="L858" i="8"/>
  <c r="L851" i="8"/>
  <c r="L847" i="8"/>
  <c r="L833" i="8"/>
  <c r="L829" i="8"/>
  <c r="L822" i="8"/>
  <c r="L815" i="8"/>
  <c r="L811" i="8"/>
  <c r="L804" i="8"/>
  <c r="L793" i="8"/>
  <c r="L775" i="8"/>
  <c r="L757" i="8"/>
  <c r="L743" i="8"/>
  <c r="L714" i="8"/>
  <c r="L707" i="8"/>
  <c r="L696" i="8"/>
  <c r="L689" i="8"/>
  <c r="L678" i="8"/>
  <c r="L671" i="8"/>
  <c r="L660" i="8"/>
  <c r="L649" i="8"/>
  <c r="L631" i="8"/>
  <c r="L595" i="8"/>
  <c r="L581" i="8"/>
  <c r="L570" i="8"/>
  <c r="L563" i="8"/>
  <c r="L552" i="8"/>
  <c r="L545" i="8"/>
  <c r="L523" i="8"/>
  <c r="L509" i="8"/>
  <c r="L487" i="8"/>
  <c r="L469" i="8"/>
  <c r="L455" i="8"/>
  <c r="L444" i="8"/>
  <c r="L433" i="8"/>
  <c r="L419" i="8"/>
  <c r="L401" i="8"/>
  <c r="L383" i="8"/>
  <c r="L372" i="8"/>
  <c r="L365" i="8"/>
  <c r="L354" i="8"/>
  <c r="L343" i="8"/>
  <c r="L325" i="8"/>
  <c r="L307" i="8"/>
  <c r="L293" i="8"/>
  <c r="L275" i="8"/>
  <c r="L264" i="8"/>
  <c r="L257" i="8"/>
  <c r="L246" i="8"/>
  <c r="L235" i="8"/>
  <c r="L213" i="8"/>
  <c r="L199" i="8"/>
  <c r="L163" i="8"/>
  <c r="L141" i="8"/>
  <c r="L127" i="8"/>
  <c r="L109" i="8"/>
  <c r="L91" i="8"/>
  <c r="L73" i="8"/>
  <c r="L37" i="8"/>
  <c r="L1056" i="8"/>
  <c r="L1049" i="8"/>
  <c r="L1038" i="8"/>
  <c r="L1031" i="8"/>
  <c r="L1027" i="8"/>
  <c r="L1020" i="8"/>
  <c r="L1013" i="8"/>
  <c r="L1009" i="8"/>
  <c r="L1002" i="8"/>
  <c r="L995" i="8"/>
  <c r="L991" i="8"/>
  <c r="L984" i="8"/>
  <c r="L977" i="8"/>
  <c r="L973" i="8"/>
  <c r="L966" i="8"/>
  <c r="L959" i="8"/>
  <c r="L955" i="8"/>
  <c r="L797" i="8"/>
  <c r="L786" i="8"/>
  <c r="L779" i="8"/>
  <c r="L768" i="8"/>
  <c r="L761" i="8"/>
  <c r="L750" i="8"/>
  <c r="L739" i="8"/>
  <c r="L725" i="8"/>
  <c r="L703" i="8"/>
  <c r="L685" i="8"/>
  <c r="L667" i="8"/>
  <c r="L653" i="8"/>
  <c r="L642" i="8"/>
  <c r="L635" i="8"/>
  <c r="L617" i="8"/>
  <c r="L606" i="8"/>
  <c r="L599" i="8"/>
  <c r="L588" i="8"/>
  <c r="L577" i="8"/>
  <c r="L559" i="8"/>
  <c r="L541" i="8"/>
  <c r="L534" i="8"/>
  <c r="L527" i="8"/>
  <c r="L498" i="8"/>
  <c r="L491" i="8"/>
  <c r="L480" i="8"/>
  <c r="L473" i="8"/>
  <c r="L462" i="8"/>
  <c r="L451" i="8"/>
  <c r="L437" i="8"/>
  <c r="L426" i="8"/>
  <c r="L415" i="8"/>
  <c r="L390" i="8"/>
  <c r="L379" i="8"/>
  <c r="L361" i="8"/>
  <c r="L347" i="8"/>
  <c r="L336" i="8"/>
  <c r="L329" i="8"/>
  <c r="L318" i="8"/>
  <c r="L311" i="8"/>
  <c r="L282" i="8"/>
  <c r="L271" i="8"/>
  <c r="L253" i="8"/>
  <c r="L217" i="8"/>
  <c r="L195" i="8"/>
  <c r="L159" i="8"/>
  <c r="L145" i="8"/>
  <c r="L123" i="8"/>
  <c r="L87" i="8"/>
  <c r="L51" i="8"/>
  <c r="L33" i="8"/>
  <c r="L242" i="8"/>
  <c r="L224" i="8"/>
  <c r="L206" i="8"/>
  <c r="L188" i="8"/>
  <c r="L170" i="8"/>
  <c r="L152" i="8"/>
  <c r="L134" i="8"/>
  <c r="L116" i="8"/>
  <c r="L98" i="8"/>
  <c r="L80" i="8"/>
  <c r="L62" i="8"/>
  <c r="L44" i="8"/>
  <c r="L5" i="8"/>
  <c r="L1358" i="8"/>
  <c r="L1340" i="8"/>
  <c r="L1322" i="8"/>
  <c r="L1304" i="8"/>
  <c r="L1286" i="8"/>
  <c r="L1268" i="8"/>
  <c r="L1250" i="8"/>
  <c r="L1232" i="8"/>
  <c r="L1214" i="8"/>
  <c r="L1196" i="8"/>
  <c r="L1178" i="8"/>
  <c r="L1160" i="8"/>
  <c r="L1142" i="8"/>
  <c r="L1124" i="8"/>
  <c r="L1106" i="8"/>
  <c r="L1088" i="8"/>
  <c r="L1070" i="8"/>
  <c r="L1052" i="8"/>
  <c r="L1034" i="8"/>
  <c r="L1016" i="8"/>
  <c r="L998" i="8"/>
  <c r="L980" i="8"/>
  <c r="L962" i="8"/>
  <c r="L944" i="8"/>
  <c r="L926" i="8"/>
  <c r="L908" i="8"/>
  <c r="L890" i="8"/>
  <c r="L872" i="8"/>
  <c r="L854" i="8"/>
  <c r="L836" i="8"/>
  <c r="L818" i="8"/>
  <c r="L800" i="8"/>
  <c r="L782" i="8"/>
  <c r="L764" i="8"/>
  <c r="L746" i="8"/>
  <c r="L728" i="8"/>
  <c r="L710" i="8"/>
  <c r="L692" i="8"/>
  <c r="L674" i="8"/>
  <c r="L656" i="8"/>
  <c r="L638" i="8"/>
  <c r="L620" i="8"/>
  <c r="L602" i="8"/>
  <c r="L584" i="8"/>
  <c r="L566" i="8"/>
  <c r="L548" i="8"/>
  <c r="L530" i="8"/>
  <c r="L512" i="8"/>
  <c r="L494" i="8"/>
  <c r="L476" i="8"/>
  <c r="L458" i="8"/>
  <c r="L440" i="8"/>
  <c r="L422" i="8"/>
  <c r="L404" i="8"/>
  <c r="L386" i="8"/>
  <c r="L368" i="8"/>
  <c r="L350" i="8"/>
  <c r="L332" i="8"/>
  <c r="L314" i="8"/>
  <c r="L296" i="8"/>
  <c r="L249" i="8"/>
  <c r="L18" i="8"/>
  <c r="L1383" i="8"/>
  <c r="L1329" i="8"/>
  <c r="L1275" i="8"/>
  <c r="L1221" i="8"/>
  <c r="L17" i="8"/>
  <c r="L1400" i="8"/>
  <c r="L1386" i="8"/>
  <c r="L1382" i="8"/>
  <c r="L1368" i="8"/>
  <c r="L1364" i="8"/>
  <c r="L1350" i="8"/>
  <c r="L1332" i="8"/>
  <c r="L1328" i="8"/>
  <c r="L1292" i="8"/>
  <c r="L1278" i="8"/>
  <c r="L1274" i="8"/>
  <c r="L1260" i="8"/>
  <c r="L1256" i="8"/>
  <c r="L1242" i="8"/>
  <c r="L1224" i="8"/>
  <c r="L1220" i="8"/>
  <c r="L1184" i="8"/>
  <c r="L1170" i="8"/>
  <c r="L1166" i="8"/>
  <c r="L1152" i="8"/>
  <c r="L1148" i="8"/>
  <c r="L1134" i="8"/>
  <c r="L1116" i="8"/>
  <c r="L1112" i="8"/>
  <c r="L1076" i="8"/>
  <c r="L1062" i="8"/>
  <c r="L1058" i="8"/>
  <c r="L1044" i="8"/>
  <c r="L1040" i="8"/>
  <c r="L1026" i="8"/>
  <c r="L1008" i="8"/>
  <c r="L1004" i="8"/>
  <c r="L968" i="8"/>
  <c r="L954" i="8"/>
  <c r="L950" i="8"/>
  <c r="L936" i="8"/>
  <c r="L932" i="8"/>
  <c r="L918" i="8"/>
  <c r="L900" i="8"/>
  <c r="L896" i="8"/>
  <c r="L860" i="8"/>
  <c r="L846" i="8"/>
  <c r="L842" i="8"/>
  <c r="L828" i="8"/>
  <c r="L824" i="8"/>
  <c r="L810" i="8"/>
  <c r="L792" i="8"/>
  <c r="L788" i="8"/>
  <c r="L752" i="8"/>
  <c r="L738" i="8"/>
  <c r="L734" i="8"/>
  <c r="L720" i="8"/>
  <c r="L716" i="8"/>
  <c r="L702" i="8"/>
  <c r="L684" i="8"/>
  <c r="L680" i="8"/>
  <c r="L278" i="8"/>
  <c r="L260" i="8"/>
  <c r="L238" i="8"/>
  <c r="L220" i="8"/>
  <c r="L202" i="8"/>
  <c r="L184" i="8"/>
  <c r="L166" i="8"/>
  <c r="L148" i="8"/>
  <c r="L130" i="8"/>
  <c r="L112" i="8"/>
  <c r="L94" i="8"/>
  <c r="L76" i="8"/>
  <c r="L58" i="8"/>
  <c r="L40" i="8"/>
  <c r="L27" i="8"/>
  <c r="L9" i="8"/>
  <c r="L54" i="8"/>
  <c r="L226" i="8"/>
  <c r="L1335" i="8"/>
  <c r="L1245" i="8"/>
  <c r="L1137" i="8"/>
  <c r="L1065" i="8"/>
  <c r="L867" i="8"/>
  <c r="L831" i="8"/>
  <c r="L759" i="8"/>
  <c r="L1317" i="8"/>
  <c r="L1227" i="8"/>
  <c r="L795" i="8"/>
  <c r="L1371" i="8"/>
  <c r="L1083" i="8"/>
  <c r="L1270" i="8"/>
  <c r="L139" i="8"/>
  <c r="L1389" i="8"/>
  <c r="L1353" i="8"/>
  <c r="L1281" i="8"/>
  <c r="L1155" i="8"/>
  <c r="L1119" i="8"/>
  <c r="L1047" i="8"/>
  <c r="L993" i="8"/>
  <c r="L921" i="8"/>
  <c r="L813" i="8"/>
  <c r="L1360" i="8"/>
  <c r="L1288" i="8"/>
  <c r="L1216" i="8"/>
  <c r="L1198" i="8"/>
  <c r="L1144" i="8"/>
  <c r="L1126" i="8"/>
  <c r="L982" i="8"/>
  <c r="L928" i="8"/>
  <c r="L910" i="8"/>
  <c r="L892" i="8"/>
  <c r="L856" i="8"/>
  <c r="L838" i="8"/>
  <c r="L802" i="8"/>
  <c r="L766" i="8"/>
  <c r="L712" i="8"/>
  <c r="L676" i="8"/>
  <c r="L658" i="8"/>
  <c r="L622" i="8"/>
  <c r="L568" i="8"/>
  <c r="L514" i="8"/>
  <c r="L442" i="8"/>
  <c r="L352" i="8"/>
  <c r="L334" i="8"/>
  <c r="L280" i="8"/>
  <c r="L262" i="8"/>
  <c r="L186" i="8"/>
  <c r="L132" i="8"/>
  <c r="L42" i="8"/>
  <c r="L175" i="8"/>
  <c r="L236" i="8"/>
  <c r="L164" i="8"/>
  <c r="L128" i="8"/>
  <c r="L92" i="8"/>
  <c r="L201" i="8"/>
  <c r="L183" i="8"/>
  <c r="L165" i="8"/>
  <c r="L147" i="8"/>
  <c r="L129" i="8"/>
  <c r="L111" i="8"/>
  <c r="L93" i="8"/>
  <c r="L75" i="8"/>
  <c r="L21" i="8"/>
  <c r="L12" i="8"/>
  <c r="L3" i="8"/>
  <c r="L1407" i="8"/>
  <c r="L1299" i="8"/>
  <c r="L1263" i="8"/>
  <c r="L1209" i="8"/>
  <c r="L1191" i="8"/>
  <c r="L1173" i="8"/>
  <c r="L1101" i="8"/>
  <c r="L1029" i="8"/>
  <c r="L1011" i="8"/>
  <c r="L975" i="8"/>
  <c r="L957" i="8"/>
  <c r="L939" i="8"/>
  <c r="L903" i="8"/>
  <c r="L885" i="8"/>
  <c r="L849" i="8"/>
  <c r="L777" i="8"/>
  <c r="L741" i="8"/>
  <c r="L723" i="8"/>
  <c r="L705" i="8"/>
  <c r="L687" i="8"/>
  <c r="L669" i="8"/>
  <c r="L1396" i="8"/>
  <c r="L1378" i="8"/>
  <c r="L1342" i="8"/>
  <c r="L1324" i="8"/>
  <c r="L1306" i="8"/>
  <c r="L1252" i="8"/>
  <c r="L1234" i="8"/>
  <c r="L1180" i="8"/>
  <c r="L1162" i="8"/>
  <c r="L1108" i="8"/>
  <c r="L1090" i="8"/>
  <c r="L1072" i="8"/>
  <c r="L1054" i="8"/>
  <c r="L1036" i="8"/>
  <c r="L1018" i="8"/>
  <c r="L1000" i="8"/>
  <c r="L964" i="8"/>
  <c r="L946" i="8"/>
  <c r="L874" i="8"/>
  <c r="L820" i="8"/>
  <c r="L784" i="8"/>
  <c r="L748" i="8"/>
  <c r="L730" i="8"/>
  <c r="L694" i="8"/>
  <c r="L640" i="8"/>
  <c r="L604" i="8"/>
  <c r="L586" i="8"/>
  <c r="L550" i="8"/>
  <c r="L532" i="8"/>
  <c r="L496" i="8"/>
  <c r="L478" i="8"/>
  <c r="L460" i="8"/>
  <c r="L424" i="8"/>
  <c r="L406" i="8"/>
  <c r="L388" i="8"/>
  <c r="L370" i="8"/>
  <c r="L316" i="8"/>
  <c r="L298" i="8"/>
  <c r="L240" i="8"/>
  <c r="L222" i="8"/>
  <c r="L204" i="8"/>
  <c r="L168" i="8"/>
  <c r="L150" i="8"/>
  <c r="L114" i="8"/>
  <c r="L96" i="8"/>
  <c r="L78" i="8"/>
  <c r="L60" i="8"/>
  <c r="L25" i="8"/>
  <c r="L16" i="8"/>
  <c r="L7" i="8"/>
  <c r="L211" i="8"/>
  <c r="L1410" i="8"/>
  <c r="L1392" i="8"/>
  <c r="L1374" i="8"/>
  <c r="L1356" i="8"/>
  <c r="L1338" i="8"/>
  <c r="L1320" i="8"/>
  <c r="L1302" i="8"/>
  <c r="L1284" i="8"/>
  <c r="L1266" i="8"/>
  <c r="L1248" i="8"/>
  <c r="L1230" i="8"/>
  <c r="L1212" i="8"/>
  <c r="L1194" i="8"/>
  <c r="L1176" i="8"/>
  <c r="L247" i="8"/>
  <c r="L218" i="8"/>
  <c r="L200" i="8"/>
  <c r="L182" i="8"/>
  <c r="L146" i="8"/>
  <c r="L1399" i="8"/>
  <c r="L1363" i="8"/>
  <c r="L1327" i="8"/>
  <c r="L1291" i="8"/>
  <c r="L1255" i="8"/>
  <c r="L1219" i="8"/>
  <c r="L1183" i="8"/>
  <c r="L1147" i="8"/>
  <c r="L1111" i="8"/>
  <c r="L1075" i="8"/>
  <c r="L1039" i="8"/>
  <c r="L1003" i="8"/>
  <c r="L967" i="8"/>
  <c r="L931" i="8"/>
  <c r="L895" i="8"/>
  <c r="L859" i="8"/>
  <c r="L823" i="8"/>
  <c r="L787" i="8"/>
  <c r="L751" i="8"/>
  <c r="L715" i="8"/>
  <c r="L679" i="8"/>
  <c r="L643" i="8"/>
  <c r="L607" i="8"/>
  <c r="L571" i="8"/>
  <c r="L535" i="8"/>
  <c r="L499" i="8"/>
  <c r="L463" i="8"/>
  <c r="L427" i="8"/>
  <c r="L391" i="8"/>
  <c r="L355" i="8"/>
  <c r="L319" i="8"/>
  <c r="L283" i="8"/>
  <c r="L227" i="8"/>
  <c r="L209" i="8"/>
  <c r="L191" i="8"/>
  <c r="L173" i="8"/>
  <c r="L155" i="8"/>
  <c r="L137" i="8"/>
  <c r="L119" i="8"/>
  <c r="L101" i="8"/>
  <c r="L83" i="8"/>
  <c r="L65" i="8"/>
  <c r="L47" i="8"/>
  <c r="L1122" i="8"/>
  <c r="L960" i="8"/>
  <c r="L924" i="8"/>
  <c r="L852" i="8"/>
  <c r="L834" i="8"/>
  <c r="L816" i="8"/>
  <c r="L762" i="8"/>
  <c r="L708" i="8"/>
  <c r="L672" i="8"/>
  <c r="L636" i="8"/>
  <c r="L582" i="8"/>
  <c r="L546" i="8"/>
  <c r="L528" i="8"/>
  <c r="L474" i="8"/>
  <c r="L402" i="8"/>
  <c r="L366" i="8"/>
  <c r="L330" i="8"/>
  <c r="L294" i="8"/>
  <c r="L1158" i="8"/>
  <c r="L1140" i="8"/>
  <c r="L1104" i="8"/>
  <c r="L1086" i="8"/>
  <c r="L1068" i="8"/>
  <c r="L1050" i="8"/>
  <c r="L1032" i="8"/>
  <c r="L1014" i="8"/>
  <c r="L996" i="8"/>
  <c r="L978" i="8"/>
  <c r="L942" i="8"/>
  <c r="L906" i="8"/>
  <c r="L888" i="8"/>
  <c r="L870" i="8"/>
  <c r="L798" i="8"/>
  <c r="L780" i="8"/>
  <c r="L744" i="8"/>
  <c r="L726" i="8"/>
  <c r="L690" i="8"/>
  <c r="L654" i="8"/>
  <c r="L618" i="8"/>
  <c r="L600" i="8"/>
  <c r="L564" i="8"/>
  <c r="L510" i="8"/>
  <c r="L492" i="8"/>
  <c r="L456" i="8"/>
  <c r="L438" i="8"/>
  <c r="L420" i="8"/>
  <c r="L384" i="8"/>
  <c r="L348" i="8"/>
  <c r="L312" i="8"/>
  <c r="L276" i="8"/>
  <c r="L258" i="8"/>
  <c r="L11" i="8"/>
  <c r="L243" i="8"/>
  <c r="L225" i="8"/>
  <c r="L207" i="8"/>
  <c r="L189" i="8"/>
  <c r="L171" i="8"/>
  <c r="L153" i="8"/>
  <c r="L135" i="8"/>
  <c r="L117" i="8"/>
  <c r="L99" i="8"/>
  <c r="L81" i="8"/>
  <c r="L63" i="8"/>
  <c r="L45" i="8"/>
  <c r="H244" i="6"/>
  <c r="E239" i="6"/>
  <c r="H398" i="6"/>
  <c r="U127" i="6"/>
  <c r="I45" i="6"/>
  <c r="M45" i="6" s="1"/>
  <c r="F45" i="6"/>
  <c r="H496" i="6"/>
  <c r="H140" i="6"/>
  <c r="E72" i="6"/>
  <c r="E1220" i="6"/>
  <c r="U511" i="6"/>
  <c r="H1250" i="6"/>
  <c r="H1114" i="6"/>
  <c r="H45" i="6"/>
  <c r="P543" i="6"/>
  <c r="H1245" i="6"/>
  <c r="E944" i="6"/>
  <c r="F566" i="6"/>
  <c r="I561" i="6"/>
  <c r="M561" i="6" s="1"/>
  <c r="H224" i="6"/>
  <c r="U658" i="6"/>
  <c r="I1376" i="6"/>
  <c r="M1376" i="6" s="1"/>
  <c r="F1240" i="6"/>
  <c r="F214" i="6"/>
  <c r="F209" i="6"/>
  <c r="I566" i="6"/>
  <c r="M566" i="6" s="1"/>
  <c r="F281" i="6"/>
  <c r="E1080" i="6"/>
  <c r="E723" i="6"/>
  <c r="H638" i="6"/>
  <c r="H1388" i="6"/>
  <c r="E919" i="6"/>
  <c r="U633" i="6"/>
  <c r="F187" i="6"/>
  <c r="I133" i="6"/>
  <c r="M133" i="6" s="1"/>
  <c r="H766" i="6"/>
  <c r="I143" i="6"/>
  <c r="M143" i="6" s="1"/>
  <c r="F133" i="6"/>
  <c r="F222" i="6"/>
  <c r="I951" i="6"/>
  <c r="M951" i="6" s="1"/>
  <c r="H184" i="6"/>
  <c r="F43" i="6"/>
  <c r="H1261" i="6"/>
  <c r="H1033" i="6"/>
  <c r="F667" i="6"/>
  <c r="E542" i="6"/>
  <c r="H375" i="6"/>
  <c r="F264" i="6"/>
  <c r="F206" i="6"/>
  <c r="E86" i="6"/>
  <c r="E869" i="6"/>
  <c r="H833" i="6"/>
  <c r="E546" i="6"/>
  <c r="E766" i="6"/>
  <c r="U612" i="6"/>
  <c r="I235" i="6"/>
  <c r="M235" i="6" s="1"/>
  <c r="H993" i="6"/>
  <c r="U412" i="6"/>
  <c r="I105" i="6"/>
  <c r="M105" i="6" s="1"/>
  <c r="H1375" i="6"/>
  <c r="E970" i="6"/>
  <c r="U535" i="6"/>
  <c r="I1151" i="6"/>
  <c r="M1151" i="6" s="1"/>
  <c r="F1033" i="6"/>
  <c r="H385" i="6"/>
  <c r="H1000" i="6"/>
  <c r="U1097" i="6"/>
  <c r="E735" i="6"/>
  <c r="H1192" i="6"/>
  <c r="U1299" i="6"/>
  <c r="I131" i="6"/>
  <c r="M131" i="6" s="1"/>
  <c r="E1332" i="6"/>
  <c r="I1078" i="6"/>
  <c r="M1078" i="6" s="1"/>
  <c r="E938" i="6"/>
  <c r="E486" i="6"/>
  <c r="E121" i="6"/>
  <c r="I347" i="6"/>
  <c r="M347" i="6" s="1"/>
  <c r="H322" i="6"/>
  <c r="I283" i="6"/>
  <c r="M283" i="6" s="1"/>
  <c r="H131" i="6"/>
  <c r="E1306" i="6"/>
  <c r="U1142" i="6"/>
  <c r="P679" i="6"/>
  <c r="E483" i="6"/>
  <c r="U447" i="6"/>
  <c r="I222" i="6"/>
  <c r="M222" i="6" s="1"/>
  <c r="U161" i="6"/>
  <c r="E1339" i="6"/>
  <c r="F1213" i="6"/>
  <c r="E1139" i="6"/>
  <c r="E339" i="6"/>
  <c r="E1034" i="6"/>
  <c r="I1386" i="6"/>
  <c r="M1386" i="6" s="1"/>
  <c r="F136" i="6"/>
  <c r="H78" i="6"/>
  <c r="U404" i="6"/>
  <c r="U1383" i="6"/>
  <c r="H1252" i="6"/>
  <c r="F561" i="6"/>
  <c r="U403" i="6"/>
  <c r="I196" i="6"/>
  <c r="M196" i="6" s="1"/>
  <c r="I1367" i="6"/>
  <c r="M1367" i="6" s="1"/>
  <c r="F1337" i="6"/>
  <c r="E1299" i="6"/>
  <c r="P1054" i="6"/>
  <c r="E599" i="6"/>
  <c r="F147" i="6"/>
  <c r="I797" i="6"/>
  <c r="M797" i="6" s="1"/>
  <c r="H1339" i="6"/>
  <c r="H1306" i="6"/>
  <c r="I1286" i="6"/>
  <c r="M1286" i="6" s="1"/>
  <c r="I1087" i="6"/>
  <c r="M1087" i="6" s="1"/>
  <c r="I188" i="6"/>
  <c r="M188" i="6" s="1"/>
  <c r="F1286" i="6"/>
  <c r="F797" i="6"/>
  <c r="E734" i="6"/>
  <c r="E1375" i="6"/>
  <c r="H122" i="6"/>
  <c r="H109" i="6"/>
  <c r="F188" i="6"/>
  <c r="U158" i="6"/>
  <c r="E1252" i="6"/>
  <c r="F1227" i="6"/>
  <c r="E800" i="6"/>
  <c r="U137" i="6"/>
  <c r="H1190" i="6"/>
  <c r="H745" i="6"/>
  <c r="H684" i="6"/>
  <c r="U521" i="6"/>
  <c r="P36" i="6"/>
  <c r="F917" i="6"/>
  <c r="U487" i="6"/>
  <c r="P407" i="6"/>
  <c r="E1243" i="6"/>
  <c r="F180" i="6"/>
  <c r="P172" i="6"/>
  <c r="P167" i="6"/>
  <c r="I165" i="6"/>
  <c r="M165" i="6" s="1"/>
  <c r="F1168" i="6"/>
  <c r="H1101" i="6"/>
  <c r="E224" i="6"/>
  <c r="E226" i="6"/>
  <c r="U213" i="6"/>
  <c r="I56" i="6"/>
  <c r="M56" i="6" s="1"/>
  <c r="H39" i="6"/>
  <c r="P567" i="6"/>
  <c r="E520" i="6"/>
  <c r="E1407" i="6"/>
  <c r="U80" i="6"/>
  <c r="E814" i="6"/>
  <c r="P194" i="6"/>
  <c r="I1358" i="6"/>
  <c r="M1358" i="6" s="1"/>
  <c r="P1101" i="6"/>
  <c r="H379" i="6"/>
  <c r="E1410" i="6"/>
  <c r="E1144" i="6"/>
  <c r="U460" i="6"/>
  <c r="F226" i="6"/>
  <c r="E109" i="6"/>
  <c r="E1301" i="6"/>
  <c r="H925" i="6"/>
  <c r="U910" i="6"/>
  <c r="H905" i="6"/>
  <c r="P894" i="6"/>
  <c r="H796" i="6"/>
  <c r="U631" i="6"/>
  <c r="E1405" i="6"/>
  <c r="P196" i="6"/>
  <c r="P106" i="6"/>
  <c r="I41" i="6"/>
  <c r="M41" i="6" s="1"/>
  <c r="I1320" i="6"/>
  <c r="M1320" i="6" s="1"/>
  <c r="H800" i="6"/>
  <c r="E1096" i="6"/>
  <c r="E45" i="6"/>
  <c r="H378" i="6"/>
  <c r="E421" i="6"/>
  <c r="E1027" i="6"/>
  <c r="U834" i="6"/>
  <c r="E66" i="6"/>
  <c r="F41" i="6"/>
  <c r="F1320" i="6"/>
  <c r="U1268" i="6"/>
  <c r="I1134" i="6"/>
  <c r="M1134" i="6" s="1"/>
  <c r="H1084" i="6"/>
  <c r="F980" i="6"/>
  <c r="I866" i="6"/>
  <c r="M866" i="6" s="1"/>
  <c r="F856" i="6"/>
  <c r="E124" i="6"/>
  <c r="U1320" i="6"/>
  <c r="H98" i="6"/>
  <c r="E1379" i="6"/>
  <c r="E548" i="6"/>
  <c r="H1004" i="6"/>
  <c r="U109" i="6"/>
  <c r="H76" i="6"/>
  <c r="F1270" i="6"/>
  <c r="P977" i="6"/>
  <c r="F866" i="6"/>
  <c r="U623" i="6"/>
  <c r="I579" i="6"/>
  <c r="M579" i="6" s="1"/>
  <c r="U514" i="6"/>
  <c r="E402" i="6"/>
  <c r="E203" i="6"/>
  <c r="H32" i="6"/>
  <c r="E1258" i="6"/>
  <c r="E955" i="6"/>
  <c r="H915" i="6"/>
  <c r="E759" i="6"/>
  <c r="H446" i="6"/>
  <c r="E428" i="6"/>
  <c r="E76" i="6"/>
  <c r="H264" i="6"/>
  <c r="H937" i="6"/>
  <c r="H927" i="6"/>
  <c r="E91" i="6"/>
  <c r="H1376" i="6"/>
  <c r="E1388" i="6"/>
  <c r="H1187" i="6"/>
  <c r="U823" i="6"/>
  <c r="U581" i="6"/>
  <c r="H192" i="6"/>
  <c r="E157" i="6"/>
  <c r="H147" i="6"/>
  <c r="F137" i="6"/>
  <c r="U60" i="6"/>
  <c r="H50" i="6"/>
  <c r="H1301" i="6"/>
  <c r="P1296" i="6"/>
  <c r="F1294" i="6"/>
  <c r="U1167" i="6"/>
  <c r="F1054" i="6"/>
  <c r="E1052" i="6"/>
  <c r="U1017" i="6"/>
  <c r="E984" i="6"/>
  <c r="U815" i="6"/>
  <c r="P709" i="6"/>
  <c r="E568" i="6"/>
  <c r="F553" i="6"/>
  <c r="U421" i="6"/>
  <c r="H359" i="6"/>
  <c r="I290" i="6"/>
  <c r="M290" i="6" s="1"/>
  <c r="F235" i="6"/>
  <c r="E80" i="6"/>
  <c r="F72" i="6"/>
  <c r="I62" i="6"/>
  <c r="M62" i="6" s="1"/>
  <c r="I1159" i="6"/>
  <c r="M1159" i="6" s="1"/>
  <c r="U946" i="6"/>
  <c r="F290" i="6"/>
  <c r="H577" i="6"/>
  <c r="E801" i="6"/>
  <c r="E779" i="6"/>
  <c r="P1168" i="6"/>
  <c r="F1101" i="6"/>
  <c r="U955" i="6"/>
  <c r="F913" i="6"/>
  <c r="P779" i="6"/>
  <c r="E1350" i="6"/>
  <c r="H1196" i="6"/>
  <c r="H1074" i="6"/>
  <c r="E817" i="6"/>
  <c r="P312" i="6"/>
  <c r="I633" i="6"/>
  <c r="M633" i="6" s="1"/>
  <c r="U769" i="6"/>
  <c r="E1192" i="6"/>
  <c r="P143" i="6"/>
  <c r="F124" i="6"/>
  <c r="F32" i="6"/>
  <c r="P1401" i="6"/>
  <c r="F633" i="6"/>
  <c r="F373" i="6"/>
  <c r="U1241" i="6"/>
  <c r="E1031" i="6"/>
  <c r="U1293" i="6"/>
  <c r="E1324" i="6"/>
  <c r="E1170" i="6"/>
  <c r="F1384" i="6"/>
  <c r="H1342" i="6"/>
  <c r="I1337" i="6"/>
  <c r="M1337" i="6" s="1"/>
  <c r="I1178" i="6"/>
  <c r="M1178" i="6" s="1"/>
  <c r="E1156" i="6"/>
  <c r="E1091" i="6"/>
  <c r="P1010" i="6"/>
  <c r="I980" i="6"/>
  <c r="M980" i="6" s="1"/>
  <c r="H847" i="6"/>
  <c r="F779" i="6"/>
  <c r="U694" i="6"/>
  <c r="H540" i="6"/>
  <c r="E446" i="6"/>
  <c r="H421" i="6"/>
  <c r="I385" i="6"/>
  <c r="M385" i="6" s="1"/>
  <c r="I322" i="6"/>
  <c r="M322" i="6" s="1"/>
  <c r="O400" i="6"/>
  <c r="E200" i="6"/>
  <c r="H1048" i="6"/>
  <c r="H1087" i="6"/>
  <c r="E999" i="6"/>
  <c r="E870" i="6"/>
  <c r="E217" i="6"/>
  <c r="U681" i="6"/>
  <c r="H845" i="6"/>
  <c r="U124" i="6"/>
  <c r="E209" i="6"/>
  <c r="E97" i="6"/>
  <c r="H1408" i="6"/>
  <c r="U1384" i="6"/>
  <c r="U894" i="6"/>
  <c r="H370" i="6"/>
  <c r="H335" i="6"/>
  <c r="H152" i="6"/>
  <c r="E1364" i="6"/>
  <c r="H297" i="6"/>
  <c r="P863" i="6"/>
  <c r="I577" i="6"/>
  <c r="M577" i="6" s="1"/>
  <c r="E277" i="6"/>
  <c r="U61" i="6"/>
  <c r="H689" i="6"/>
  <c r="H259" i="6"/>
  <c r="E1204" i="6"/>
  <c r="E1167" i="6"/>
  <c r="H1100" i="6"/>
  <c r="U1053" i="6"/>
  <c r="E796" i="6"/>
  <c r="U371" i="6"/>
  <c r="H1333" i="6"/>
  <c r="H1277" i="6"/>
  <c r="U323" i="6"/>
  <c r="H877" i="6"/>
  <c r="U373" i="6"/>
  <c r="U348" i="6"/>
  <c r="E338" i="6"/>
  <c r="E333" i="6"/>
  <c r="E1075" i="6"/>
  <c r="U437" i="6"/>
  <c r="H143" i="6"/>
  <c r="E1362" i="6"/>
  <c r="E1274" i="6"/>
  <c r="E1057" i="6"/>
  <c r="H998" i="6"/>
  <c r="H988" i="6"/>
  <c r="E566" i="6"/>
  <c r="E1146" i="6"/>
  <c r="U407" i="6"/>
  <c r="U126" i="6"/>
  <c r="E1398" i="6"/>
  <c r="U1369" i="6"/>
  <c r="H211" i="6"/>
  <c r="I91" i="6"/>
  <c r="M91" i="6" s="1"/>
  <c r="F1263" i="6"/>
  <c r="E1237" i="6"/>
  <c r="E223" i="6"/>
  <c r="I137" i="6"/>
  <c r="M137" i="6" s="1"/>
  <c r="H1310" i="6"/>
  <c r="F1258" i="6"/>
  <c r="I1217" i="6"/>
  <c r="M1217" i="6" s="1"/>
  <c r="U1007" i="6"/>
  <c r="I977" i="6"/>
  <c r="M977" i="6" s="1"/>
  <c r="P885" i="6"/>
  <c r="I856" i="6"/>
  <c r="M856" i="6" s="1"/>
  <c r="H839" i="6"/>
  <c r="U829" i="6"/>
  <c r="U797" i="6"/>
  <c r="P586" i="6"/>
  <c r="P569" i="6"/>
  <c r="U466" i="6"/>
  <c r="H428" i="6"/>
  <c r="F1229" i="6"/>
  <c r="P1078" i="6"/>
  <c r="E1366" i="6"/>
  <c r="E1239" i="6"/>
  <c r="U1185" i="6"/>
  <c r="H1180" i="6"/>
  <c r="H1175" i="6"/>
  <c r="I1083" i="6"/>
  <c r="M1083" i="6" s="1"/>
  <c r="H950" i="6"/>
  <c r="H762" i="6"/>
  <c r="E682" i="6"/>
  <c r="P515" i="6"/>
  <c r="P261" i="6"/>
  <c r="H96" i="6"/>
  <c r="I32" i="6"/>
  <c r="M32" i="6" s="1"/>
  <c r="F1083" i="6"/>
  <c r="I863" i="6"/>
  <c r="M863" i="6" s="1"/>
  <c r="E789" i="6"/>
  <c r="E1260" i="6"/>
  <c r="H974" i="6"/>
  <c r="E803" i="6"/>
  <c r="H686" i="6"/>
  <c r="E1226" i="6"/>
  <c r="H92" i="6"/>
  <c r="U688" i="6"/>
  <c r="E1067" i="6"/>
  <c r="H758" i="6"/>
  <c r="F193" i="6"/>
  <c r="I1331" i="6"/>
  <c r="M1331" i="6" s="1"/>
  <c r="U76" i="6"/>
  <c r="U44" i="6"/>
  <c r="E1378" i="6"/>
  <c r="F1231" i="6"/>
  <c r="F1142" i="6"/>
  <c r="U1105" i="6"/>
  <c r="E1076" i="6"/>
  <c r="U1051" i="6"/>
  <c r="U1041" i="6"/>
  <c r="H942" i="6"/>
  <c r="I917" i="6"/>
  <c r="M917" i="6" s="1"/>
  <c r="H908" i="6"/>
  <c r="F885" i="6"/>
  <c r="U856" i="6"/>
  <c r="E811" i="6"/>
  <c r="H801" i="6"/>
  <c r="I440" i="6"/>
  <c r="M440" i="6" s="1"/>
  <c r="E334" i="6"/>
  <c r="O447" i="6"/>
  <c r="U183" i="6"/>
  <c r="H229" i="6"/>
  <c r="U1102" i="6"/>
  <c r="E434" i="6"/>
  <c r="H180" i="6"/>
  <c r="H1150" i="6"/>
  <c r="E475" i="6"/>
  <c r="U1261" i="6"/>
  <c r="U1252" i="6"/>
  <c r="E1200" i="6"/>
  <c r="H1131" i="6"/>
  <c r="E208" i="6"/>
  <c r="H1236" i="6"/>
  <c r="U1159" i="6"/>
  <c r="E1009" i="6"/>
  <c r="E861" i="6"/>
  <c r="U790" i="6"/>
  <c r="H631" i="6"/>
  <c r="H339" i="6"/>
  <c r="H300" i="6"/>
  <c r="E276" i="6"/>
  <c r="U217" i="6"/>
  <c r="I167" i="6"/>
  <c r="M167" i="6" s="1"/>
  <c r="F148" i="6"/>
  <c r="I116" i="6"/>
  <c r="M116" i="6" s="1"/>
  <c r="I90" i="6"/>
  <c r="M90" i="6" s="1"/>
  <c r="I38" i="6"/>
  <c r="M38" i="6" s="1"/>
  <c r="P1284" i="6"/>
  <c r="E1256" i="6"/>
  <c r="I1175" i="6"/>
  <c r="M1175" i="6" s="1"/>
  <c r="P1158" i="6"/>
  <c r="I1044" i="6"/>
  <c r="M1044" i="6" s="1"/>
  <c r="P718" i="6"/>
  <c r="U586" i="6"/>
  <c r="I506" i="6"/>
  <c r="M506" i="6" s="1"/>
  <c r="E477" i="6"/>
  <c r="F440" i="6"/>
  <c r="F322" i="6"/>
  <c r="H654" i="6"/>
  <c r="E539" i="6"/>
  <c r="E1354" i="6"/>
  <c r="E1007" i="6"/>
  <c r="H871" i="6"/>
  <c r="H512" i="6"/>
  <c r="U206" i="6"/>
  <c r="U1026" i="6"/>
  <c r="U354" i="6"/>
  <c r="E74" i="6"/>
  <c r="E55" i="6"/>
  <c r="E1395" i="6"/>
  <c r="H1217" i="6"/>
  <c r="E975" i="6"/>
  <c r="U566" i="6"/>
  <c r="H482" i="6"/>
  <c r="I219" i="6"/>
  <c r="M219" i="6" s="1"/>
  <c r="F116" i="6"/>
  <c r="F90" i="6"/>
  <c r="F38" i="6"/>
  <c r="E1404" i="6"/>
  <c r="F1376" i="6"/>
  <c r="U1366" i="6"/>
  <c r="P1364" i="6"/>
  <c r="U1334" i="6"/>
  <c r="H1209" i="6"/>
  <c r="U1180" i="6"/>
  <c r="E1166" i="6"/>
  <c r="F1163" i="6"/>
  <c r="P1134" i="6"/>
  <c r="P1060" i="6"/>
  <c r="F1044" i="6"/>
  <c r="U845" i="6"/>
  <c r="P767" i="6"/>
  <c r="U721" i="6"/>
  <c r="E704" i="6"/>
  <c r="E694" i="6"/>
  <c r="I667" i="6"/>
  <c r="M667" i="6" s="1"/>
  <c r="F623" i="6"/>
  <c r="U538" i="6"/>
  <c r="F506" i="6"/>
  <c r="H462" i="6"/>
  <c r="P253" i="6"/>
  <c r="E995" i="6"/>
  <c r="H966" i="6"/>
  <c r="H644" i="6"/>
  <c r="E563" i="6"/>
  <c r="F221" i="6"/>
  <c r="I195" i="6"/>
  <c r="M195" i="6" s="1"/>
  <c r="H174" i="6"/>
  <c r="H121" i="6"/>
  <c r="F73" i="6"/>
  <c r="E52" i="6"/>
  <c r="I1401" i="6"/>
  <c r="M1401" i="6" s="1"/>
  <c r="U1374" i="6"/>
  <c r="U1333" i="6"/>
  <c r="P1248" i="6"/>
  <c r="F1151" i="6"/>
  <c r="F1020" i="6"/>
  <c r="U977" i="6"/>
  <c r="U931" i="6"/>
  <c r="U706" i="6"/>
  <c r="E583" i="6"/>
  <c r="I559" i="6"/>
  <c r="M559" i="6" s="1"/>
  <c r="U557" i="6"/>
  <c r="E545" i="6"/>
  <c r="I360" i="6"/>
  <c r="M360" i="6" s="1"/>
  <c r="U297" i="6"/>
  <c r="E230" i="6"/>
  <c r="F195" i="6"/>
  <c r="U1376" i="6"/>
  <c r="H1362" i="6"/>
  <c r="F1312" i="6"/>
  <c r="I1284" i="6"/>
  <c r="M1284" i="6" s="1"/>
  <c r="F1196" i="6"/>
  <c r="H1146" i="6"/>
  <c r="H1053" i="6"/>
  <c r="U966" i="6"/>
  <c r="H779" i="6"/>
  <c r="F559" i="6"/>
  <c r="E494" i="6"/>
  <c r="E479" i="6"/>
  <c r="E430" i="6"/>
  <c r="F360" i="6"/>
  <c r="U335" i="6"/>
  <c r="H1090" i="6"/>
  <c r="P147" i="6"/>
  <c r="P131" i="6"/>
  <c r="P124" i="6"/>
  <c r="P91" i="6"/>
  <c r="H1364" i="6"/>
  <c r="E1053" i="6"/>
  <c r="U996" i="6"/>
  <c r="H955" i="6"/>
  <c r="P901" i="6"/>
  <c r="U867" i="6"/>
  <c r="U753" i="6"/>
  <c r="H623" i="6"/>
  <c r="H372" i="6"/>
  <c r="E353" i="6"/>
  <c r="E275" i="6"/>
  <c r="U99" i="6"/>
  <c r="H1405" i="6"/>
  <c r="F1366" i="6"/>
  <c r="F1364" i="6"/>
  <c r="I1257" i="6"/>
  <c r="M1257" i="6" s="1"/>
  <c r="U1253" i="6"/>
  <c r="H1177" i="6"/>
  <c r="H1144" i="6"/>
  <c r="H1025" i="6"/>
  <c r="P441" i="6"/>
  <c r="E1114" i="6"/>
  <c r="E874" i="6"/>
  <c r="U737" i="6"/>
  <c r="E166" i="6"/>
  <c r="E1017" i="6"/>
  <c r="E661" i="6"/>
  <c r="H656" i="6"/>
  <c r="E364" i="6"/>
  <c r="H810" i="6"/>
  <c r="E739" i="6"/>
  <c r="H949" i="6"/>
  <c r="E470" i="6"/>
  <c r="E1273" i="6"/>
  <c r="E1071" i="6"/>
  <c r="U359" i="6"/>
  <c r="U1239" i="6"/>
  <c r="H223" i="6"/>
  <c r="P149" i="6"/>
  <c r="U82" i="6"/>
  <c r="F77" i="6"/>
  <c r="U73" i="6"/>
  <c r="E49" i="6"/>
  <c r="H40" i="6"/>
  <c r="H1387" i="6"/>
  <c r="F1257" i="6"/>
  <c r="I1248" i="6"/>
  <c r="M1248" i="6" s="1"/>
  <c r="H1167" i="6"/>
  <c r="F1136" i="6"/>
  <c r="P1045" i="6"/>
  <c r="E981" i="6"/>
  <c r="P859" i="6"/>
  <c r="H772" i="6"/>
  <c r="E647" i="6"/>
  <c r="U554" i="6"/>
  <c r="H486" i="6"/>
  <c r="U343" i="6"/>
  <c r="H331" i="6"/>
  <c r="H309" i="6"/>
  <c r="I248" i="6"/>
  <c r="M248" i="6" s="1"/>
  <c r="F236" i="6"/>
  <c r="H136" i="6"/>
  <c r="E976" i="6"/>
  <c r="E774" i="6"/>
  <c r="H277" i="6"/>
  <c r="U1129" i="6"/>
  <c r="E1086" i="6"/>
  <c r="E983" i="6"/>
  <c r="E393" i="6"/>
  <c r="H204" i="6"/>
  <c r="E1342" i="6"/>
  <c r="H1281" i="6"/>
  <c r="U149" i="6"/>
  <c r="U1205" i="6"/>
  <c r="E903" i="6"/>
  <c r="U274" i="6"/>
  <c r="H269" i="6"/>
  <c r="H553" i="6"/>
  <c r="U431" i="6"/>
  <c r="U1066" i="6"/>
  <c r="P1366" i="6"/>
  <c r="U143" i="6"/>
  <c r="F1333" i="6"/>
  <c r="H1255" i="6"/>
  <c r="H1237" i="6"/>
  <c r="I1227" i="6"/>
  <c r="M1227" i="6" s="1"/>
  <c r="I1186" i="6"/>
  <c r="M1186" i="6" s="1"/>
  <c r="H1153" i="6"/>
  <c r="U1146" i="6"/>
  <c r="H1105" i="6"/>
  <c r="H1077" i="6"/>
  <c r="H1017" i="6"/>
  <c r="F966" i="6"/>
  <c r="H952" i="6"/>
  <c r="I913" i="6"/>
  <c r="M913" i="6" s="1"/>
  <c r="U889" i="6"/>
  <c r="E840" i="6"/>
  <c r="E745" i="6"/>
  <c r="U730" i="6"/>
  <c r="H718" i="6"/>
  <c r="I644" i="6"/>
  <c r="M644" i="6" s="1"/>
  <c r="H566" i="6"/>
  <c r="H549" i="6"/>
  <c r="P480" i="6"/>
  <c r="U471" i="6"/>
  <c r="U362" i="6"/>
  <c r="F248" i="6"/>
  <c r="U234" i="6"/>
  <c r="P1408" i="6"/>
  <c r="I1408" i="6"/>
  <c r="M1408" i="6" s="1"/>
  <c r="F1408" i="6"/>
  <c r="F424" i="6"/>
  <c r="P424" i="6"/>
  <c r="E84" i="6"/>
  <c r="H84" i="6"/>
  <c r="H1315" i="6"/>
  <c r="U1315" i="6"/>
  <c r="E1292" i="6"/>
  <c r="H1292" i="6"/>
  <c r="F1283" i="6"/>
  <c r="P1283" i="6"/>
  <c r="I1283" i="6"/>
  <c r="M1283" i="6" s="1"/>
  <c r="P1029" i="6"/>
  <c r="F1029" i="6"/>
  <c r="I1029" i="6"/>
  <c r="M1029" i="6" s="1"/>
  <c r="H807" i="6"/>
  <c r="E728" i="6"/>
  <c r="H728" i="6"/>
  <c r="H673" i="6"/>
  <c r="H658" i="6"/>
  <c r="P651" i="6"/>
  <c r="F651" i="6"/>
  <c r="I651" i="6"/>
  <c r="M651" i="6" s="1"/>
  <c r="P86" i="6"/>
  <c r="I86" i="6"/>
  <c r="M86" i="6" s="1"/>
  <c r="F86" i="6"/>
  <c r="I663" i="6"/>
  <c r="M663" i="6" s="1"/>
  <c r="P663" i="6"/>
  <c r="I433" i="6"/>
  <c r="M433" i="6" s="1"/>
  <c r="P433" i="6"/>
  <c r="E35" i="6"/>
  <c r="U35" i="6"/>
  <c r="H35" i="6"/>
  <c r="H1070" i="6"/>
  <c r="P976" i="6"/>
  <c r="F976" i="6"/>
  <c r="I976" i="6"/>
  <c r="M976" i="6" s="1"/>
  <c r="F823" i="6"/>
  <c r="P823" i="6"/>
  <c r="E720" i="6"/>
  <c r="H720" i="6"/>
  <c r="E658" i="6"/>
  <c r="P557" i="6"/>
  <c r="F557" i="6"/>
  <c r="P417" i="6"/>
  <c r="F417" i="6"/>
  <c r="I417" i="6"/>
  <c r="M417" i="6" s="1"/>
  <c r="E1283" i="6"/>
  <c r="P576" i="6"/>
  <c r="F576" i="6"/>
  <c r="E1287" i="6"/>
  <c r="E1219" i="6"/>
  <c r="H1219" i="6"/>
  <c r="E79" i="6"/>
  <c r="H1383" i="6"/>
  <c r="P182" i="6"/>
  <c r="I182" i="6"/>
  <c r="M182" i="6" s="1"/>
  <c r="E102" i="6"/>
  <c r="H102" i="6"/>
  <c r="E58" i="6"/>
  <c r="H58" i="6"/>
  <c r="I1387" i="6"/>
  <c r="M1387" i="6" s="1"/>
  <c r="F1387" i="6"/>
  <c r="P1330" i="6"/>
  <c r="I1330" i="6"/>
  <c r="M1330" i="6" s="1"/>
  <c r="F1330" i="6"/>
  <c r="H1317" i="6"/>
  <c r="H1133" i="6"/>
  <c r="P166" i="6"/>
  <c r="F166" i="6"/>
  <c r="I170" i="6"/>
  <c r="M170" i="6" s="1"/>
  <c r="P170" i="6"/>
  <c r="F170" i="6"/>
  <c r="J41" i="6"/>
  <c r="H1268" i="6"/>
  <c r="H622" i="6"/>
  <c r="E1294" i="6"/>
  <c r="H1294" i="6"/>
  <c r="E933" i="6"/>
  <c r="H933" i="6"/>
  <c r="I751" i="6"/>
  <c r="M751" i="6" s="1"/>
  <c r="P751" i="6"/>
  <c r="F751" i="6"/>
  <c r="I1121" i="6"/>
  <c r="M1121" i="6" s="1"/>
  <c r="F1121" i="6"/>
  <c r="E130" i="6"/>
  <c r="H130" i="6"/>
  <c r="P1383" i="6"/>
  <c r="F1383" i="6"/>
  <c r="I1383" i="6"/>
  <c r="M1383" i="6" s="1"/>
  <c r="F185" i="6"/>
  <c r="P185" i="6"/>
  <c r="I185" i="6"/>
  <c r="M185" i="6" s="1"/>
  <c r="I152" i="6"/>
  <c r="M152" i="6" s="1"/>
  <c r="F152" i="6"/>
  <c r="P152" i="6"/>
  <c r="H189" i="6"/>
  <c r="U136" i="6"/>
  <c r="H67" i="6"/>
  <c r="E67" i="6"/>
  <c r="U1011" i="6"/>
  <c r="H890" i="6"/>
  <c r="U784" i="6"/>
  <c r="I540" i="6"/>
  <c r="M540" i="6" s="1"/>
  <c r="P540" i="6"/>
  <c r="F540" i="6"/>
  <c r="E312" i="6"/>
  <c r="U170" i="6"/>
  <c r="H26" i="6"/>
  <c r="J167" i="6"/>
  <c r="F69" i="6"/>
  <c r="P69" i="6"/>
  <c r="H1295" i="6"/>
  <c r="F1150" i="6"/>
  <c r="I1150" i="6"/>
  <c r="M1150" i="6" s="1"/>
  <c r="U940" i="6"/>
  <c r="E940" i="6"/>
  <c r="I911" i="6"/>
  <c r="M911" i="6" s="1"/>
  <c r="F911" i="6"/>
  <c r="P911" i="6"/>
  <c r="H741" i="6"/>
  <c r="H500" i="6"/>
  <c r="H326" i="6"/>
  <c r="E1297" i="6"/>
  <c r="P542" i="6"/>
  <c r="F542" i="6"/>
  <c r="I542" i="6"/>
  <c r="M542" i="6" s="1"/>
  <c r="P1121" i="6"/>
  <c r="F532" i="6"/>
  <c r="I532" i="6"/>
  <c r="M532" i="6" s="1"/>
  <c r="P532" i="6"/>
  <c r="P140" i="6"/>
  <c r="I140" i="6"/>
  <c r="M140" i="6" s="1"/>
  <c r="F140" i="6"/>
  <c r="U1302" i="6"/>
  <c r="P1295" i="6"/>
  <c r="F1295" i="6"/>
  <c r="U1164" i="6"/>
  <c r="E1164" i="6"/>
  <c r="H1164" i="6"/>
  <c r="P144" i="6"/>
  <c r="F144" i="6"/>
  <c r="H1345" i="6"/>
  <c r="E1247" i="6"/>
  <c r="I1140" i="6"/>
  <c r="M1140" i="6" s="1"/>
  <c r="P1140" i="6"/>
  <c r="F1140" i="6"/>
  <c r="P654" i="6"/>
  <c r="I654" i="6"/>
  <c r="M654" i="6" s="1"/>
  <c r="F654" i="6"/>
  <c r="P649" i="6"/>
  <c r="F649" i="6"/>
  <c r="I649" i="6"/>
  <c r="M649" i="6" s="1"/>
  <c r="F204" i="6"/>
  <c r="I204" i="6"/>
  <c r="M204" i="6" s="1"/>
  <c r="H208" i="6"/>
  <c r="E144" i="6"/>
  <c r="H117" i="6"/>
  <c r="E103" i="6"/>
  <c r="U551" i="6"/>
  <c r="P221" i="6"/>
  <c r="E117" i="6"/>
  <c r="E1317" i="6"/>
  <c r="E1113" i="6"/>
  <c r="H1113" i="6"/>
  <c r="I1077" i="6"/>
  <c r="M1077" i="6" s="1"/>
  <c r="P1077" i="6"/>
  <c r="H1011" i="6"/>
  <c r="I819" i="6"/>
  <c r="M819" i="6" s="1"/>
  <c r="P819" i="6"/>
  <c r="I553" i="6"/>
  <c r="M553" i="6" s="1"/>
  <c r="H491" i="6"/>
  <c r="E491" i="6"/>
  <c r="U451" i="6"/>
  <c r="I193" i="6"/>
  <c r="M193" i="6" s="1"/>
  <c r="I187" i="6"/>
  <c r="M187" i="6" s="1"/>
  <c r="P180" i="6"/>
  <c r="U164" i="6"/>
  <c r="U162" i="6"/>
  <c r="U103" i="6"/>
  <c r="U102" i="6"/>
  <c r="I77" i="6"/>
  <c r="M77" i="6" s="1"/>
  <c r="H73" i="6"/>
  <c r="U1410" i="6"/>
  <c r="P1391" i="6"/>
  <c r="U1352" i="6"/>
  <c r="H1232" i="6"/>
  <c r="H1199" i="6"/>
  <c r="H1142" i="6"/>
  <c r="E1104" i="6"/>
  <c r="F796" i="6"/>
  <c r="U600" i="6"/>
  <c r="H324" i="6"/>
  <c r="E322" i="6"/>
  <c r="H302" i="6"/>
  <c r="I264" i="6"/>
  <c r="M264" i="6" s="1"/>
  <c r="U228" i="6"/>
  <c r="E1063" i="6"/>
  <c r="I1038" i="6"/>
  <c r="M1038" i="6" s="1"/>
  <c r="P1038" i="6"/>
  <c r="P1025" i="6"/>
  <c r="I1025" i="6"/>
  <c r="M1025" i="6" s="1"/>
  <c r="F753" i="6"/>
  <c r="I753" i="6"/>
  <c r="M753" i="6" s="1"/>
  <c r="P753" i="6"/>
  <c r="E560" i="6"/>
  <c r="U560" i="6"/>
  <c r="H493" i="6"/>
  <c r="E357" i="6"/>
  <c r="E23" i="6"/>
  <c r="U204" i="6"/>
  <c r="H166" i="6"/>
  <c r="P118" i="6"/>
  <c r="E1389" i="6"/>
  <c r="P1384" i="6"/>
  <c r="U1363" i="6"/>
  <c r="E1347" i="6"/>
  <c r="P1333" i="6"/>
  <c r="H1304" i="6"/>
  <c r="U1279" i="6"/>
  <c r="E1261" i="6"/>
  <c r="H1220" i="6"/>
  <c r="H1124" i="6"/>
  <c r="E1047" i="6"/>
  <c r="H1047" i="6"/>
  <c r="I1031" i="6"/>
  <c r="M1031" i="6" s="1"/>
  <c r="U967" i="6"/>
  <c r="I955" i="6"/>
  <c r="M955" i="6" s="1"/>
  <c r="E949" i="6"/>
  <c r="U751" i="6"/>
  <c r="E654" i="6"/>
  <c r="E617" i="6"/>
  <c r="U576" i="6"/>
  <c r="I415" i="6"/>
  <c r="M415" i="6" s="1"/>
  <c r="P415" i="6"/>
  <c r="H366" i="6"/>
  <c r="H276" i="6"/>
  <c r="U271" i="6"/>
  <c r="H246" i="6"/>
  <c r="U246" i="6"/>
  <c r="H230" i="6"/>
  <c r="U262" i="6"/>
  <c r="E244" i="6"/>
  <c r="U244" i="6"/>
  <c r="U86" i="6"/>
  <c r="I214" i="6"/>
  <c r="M214" i="6" s="1"/>
  <c r="E210" i="6"/>
  <c r="H206" i="6"/>
  <c r="F35" i="6"/>
  <c r="P35" i="6"/>
  <c r="I1312" i="6"/>
  <c r="M1312" i="6" s="1"/>
  <c r="I1231" i="6"/>
  <c r="M1231" i="6" s="1"/>
  <c r="I1163" i="6"/>
  <c r="M1163" i="6" s="1"/>
  <c r="F1031" i="6"/>
  <c r="F955" i="6"/>
  <c r="I883" i="6"/>
  <c r="M883" i="6" s="1"/>
  <c r="P883" i="6"/>
  <c r="E838" i="6"/>
  <c r="H838" i="6"/>
  <c r="P513" i="6"/>
  <c r="I370" i="6"/>
  <c r="M370" i="6" s="1"/>
  <c r="E368" i="6"/>
  <c r="I236" i="6"/>
  <c r="M236" i="6" s="1"/>
  <c r="U445" i="6"/>
  <c r="E384" i="6"/>
  <c r="H296" i="6"/>
  <c r="E296" i="6"/>
  <c r="U379" i="6"/>
  <c r="E370" i="6"/>
  <c r="F298" i="6"/>
  <c r="I298" i="6"/>
  <c r="M298" i="6" s="1"/>
  <c r="P298" i="6"/>
  <c r="H289" i="6"/>
  <c r="U261" i="6"/>
  <c r="E261" i="6"/>
  <c r="H261" i="6"/>
  <c r="E218" i="6"/>
  <c r="H216" i="6"/>
  <c r="U165" i="6"/>
  <c r="I149" i="6"/>
  <c r="M149" i="6" s="1"/>
  <c r="U87" i="6"/>
  <c r="U70" i="6"/>
  <c r="F36" i="6"/>
  <c r="E1320" i="6"/>
  <c r="U1317" i="6"/>
  <c r="P1250" i="6"/>
  <c r="F1250" i="6"/>
  <c r="H1139" i="6"/>
  <c r="E1094" i="6"/>
  <c r="F1057" i="6"/>
  <c r="I1057" i="6"/>
  <c r="M1057" i="6" s="1"/>
  <c r="P1057" i="6"/>
  <c r="H1046" i="6"/>
  <c r="U1034" i="6"/>
  <c r="E996" i="6"/>
  <c r="H922" i="6"/>
  <c r="I901" i="6"/>
  <c r="M901" i="6" s="1"/>
  <c r="E887" i="6"/>
  <c r="U825" i="6"/>
  <c r="U606" i="6"/>
  <c r="E591" i="6"/>
  <c r="I586" i="6"/>
  <c r="M586" i="6" s="1"/>
  <c r="U464" i="6"/>
  <c r="U388" i="6"/>
  <c r="F66" i="6"/>
  <c r="I66" i="6"/>
  <c r="M66" i="6" s="1"/>
  <c r="U199" i="6"/>
  <c r="E1312" i="6"/>
  <c r="H1163" i="6"/>
  <c r="I1096" i="6"/>
  <c r="M1096" i="6" s="1"/>
  <c r="P1096" i="6"/>
  <c r="E724" i="6"/>
  <c r="H724" i="6"/>
  <c r="U540" i="6"/>
  <c r="U312" i="6"/>
  <c r="H203" i="6"/>
  <c r="U1195" i="6"/>
  <c r="E707" i="6"/>
  <c r="P475" i="6"/>
  <c r="I475" i="6"/>
  <c r="M475" i="6" s="1"/>
  <c r="U287" i="6"/>
  <c r="E287" i="6"/>
  <c r="H287" i="6"/>
  <c r="H250" i="6"/>
  <c r="H144" i="6"/>
  <c r="H1283" i="6"/>
  <c r="U1114" i="6"/>
  <c r="E911" i="6"/>
  <c r="E715" i="6"/>
  <c r="H363" i="6"/>
  <c r="P254" i="6"/>
  <c r="F254" i="6"/>
  <c r="I254" i="6"/>
  <c r="M254" i="6" s="1"/>
  <c r="P252" i="6"/>
  <c r="I252" i="6"/>
  <c r="M252" i="6" s="1"/>
  <c r="U152" i="6"/>
  <c r="E83" i="6"/>
  <c r="P68" i="6"/>
  <c r="F68" i="6"/>
  <c r="U1395" i="6"/>
  <c r="P1055" i="6"/>
  <c r="F1055" i="6"/>
  <c r="E532" i="6"/>
  <c r="P447" i="6"/>
  <c r="I447" i="6"/>
  <c r="M447" i="6" s="1"/>
  <c r="U180" i="6"/>
  <c r="U175" i="6"/>
  <c r="P74" i="6"/>
  <c r="F74" i="6"/>
  <c r="E1344" i="6"/>
  <c r="E1231" i="6"/>
  <c r="H1154" i="6"/>
  <c r="U885" i="6"/>
  <c r="E830" i="6"/>
  <c r="E693" i="6"/>
  <c r="E684" i="6"/>
  <c r="U1277" i="6"/>
  <c r="I929" i="6"/>
  <c r="M929" i="6" s="1"/>
  <c r="P929" i="6"/>
  <c r="H473" i="6"/>
  <c r="U473" i="6"/>
  <c r="U167" i="6"/>
  <c r="U96" i="6"/>
  <c r="P1142" i="6"/>
  <c r="E1064" i="6"/>
  <c r="H1057" i="6"/>
  <c r="P801" i="6"/>
  <c r="F801" i="6"/>
  <c r="I801" i="6"/>
  <c r="M801" i="6" s="1"/>
  <c r="U543" i="6"/>
  <c r="H209" i="6"/>
  <c r="E162" i="6"/>
  <c r="U141" i="6"/>
  <c r="I113" i="6"/>
  <c r="M113" i="6" s="1"/>
  <c r="P73" i="6"/>
  <c r="F1398" i="6"/>
  <c r="I1394" i="6"/>
  <c r="M1394" i="6" s="1"/>
  <c r="E1333" i="6"/>
  <c r="I1313" i="6"/>
  <c r="M1313" i="6" s="1"/>
  <c r="I1292" i="6"/>
  <c r="M1292" i="6" s="1"/>
  <c r="U1258" i="6"/>
  <c r="P1240" i="6"/>
  <c r="E1224" i="6"/>
  <c r="I1199" i="6"/>
  <c r="M1199" i="6" s="1"/>
  <c r="P1149" i="6"/>
  <c r="F1149" i="6"/>
  <c r="I1149" i="6"/>
  <c r="M1149" i="6" s="1"/>
  <c r="H1096" i="6"/>
  <c r="U1096" i="6"/>
  <c r="I1070" i="6"/>
  <c r="M1070" i="6" s="1"/>
  <c r="E1003" i="6"/>
  <c r="H1003" i="6"/>
  <c r="U936" i="6"/>
  <c r="H778" i="6"/>
  <c r="I730" i="6"/>
  <c r="M730" i="6" s="1"/>
  <c r="E608" i="6"/>
  <c r="H608" i="6"/>
  <c r="E524" i="6"/>
  <c r="U475" i="6"/>
  <c r="I172" i="6"/>
  <c r="M172" i="6" s="1"/>
  <c r="U144" i="6"/>
  <c r="F113" i="6"/>
  <c r="F1394" i="6"/>
  <c r="P1339" i="6"/>
  <c r="F1339" i="6"/>
  <c r="F1313" i="6"/>
  <c r="I1275" i="6"/>
  <c r="M1275" i="6" s="1"/>
  <c r="F1266" i="6"/>
  <c r="F1199" i="6"/>
  <c r="P1100" i="6"/>
  <c r="I1100" i="6"/>
  <c r="M1100" i="6" s="1"/>
  <c r="F1077" i="6"/>
  <c r="E961" i="6"/>
  <c r="H961" i="6"/>
  <c r="P951" i="6"/>
  <c r="F730" i="6"/>
  <c r="P547" i="6"/>
  <c r="I547" i="6"/>
  <c r="M547" i="6" s="1"/>
  <c r="F385" i="6"/>
  <c r="E1191" i="6"/>
  <c r="H1184" i="6"/>
  <c r="E1137" i="6"/>
  <c r="U1137" i="6"/>
  <c r="E755" i="6"/>
  <c r="I1139" i="6"/>
  <c r="M1139" i="6" s="1"/>
  <c r="F1139" i="6"/>
  <c r="P1139" i="6"/>
  <c r="E762" i="6"/>
  <c r="U762" i="6"/>
  <c r="H1274" i="6"/>
  <c r="P724" i="6"/>
  <c r="I724" i="6"/>
  <c r="M724" i="6" s="1"/>
  <c r="E388" i="6"/>
  <c r="H388" i="6"/>
  <c r="P148" i="6"/>
  <c r="U147" i="6"/>
  <c r="H86" i="6"/>
  <c r="H1337" i="6"/>
  <c r="F1319" i="6"/>
  <c r="E1296" i="6"/>
  <c r="F1292" i="6"/>
  <c r="U1284" i="6"/>
  <c r="H1264" i="6"/>
  <c r="H1226" i="6"/>
  <c r="I1212" i="6"/>
  <c r="M1212" i="6" s="1"/>
  <c r="U1113" i="6"/>
  <c r="E1111" i="6"/>
  <c r="F1070" i="6"/>
  <c r="E867" i="6"/>
  <c r="H856" i="6"/>
  <c r="I796" i="6"/>
  <c r="M796" i="6" s="1"/>
  <c r="U735" i="6"/>
  <c r="P477" i="6"/>
  <c r="I477" i="6"/>
  <c r="M477" i="6" s="1"/>
  <c r="U260" i="6"/>
  <c r="F1095" i="6"/>
  <c r="F1086" i="6"/>
  <c r="U1080" i="6"/>
  <c r="I1069" i="6"/>
  <c r="M1069" i="6" s="1"/>
  <c r="H995" i="6"/>
  <c r="E993" i="6"/>
  <c r="U896" i="6"/>
  <c r="E889" i="6"/>
  <c r="E873" i="6"/>
  <c r="I838" i="6"/>
  <c r="M838" i="6" s="1"/>
  <c r="I824" i="6"/>
  <c r="M824" i="6" s="1"/>
  <c r="E804" i="6"/>
  <c r="H774" i="6"/>
  <c r="H723" i="6"/>
  <c r="E686" i="6"/>
  <c r="F644" i="6"/>
  <c r="P634" i="6"/>
  <c r="E609" i="6"/>
  <c r="H605" i="6"/>
  <c r="U533" i="6"/>
  <c r="E515" i="6"/>
  <c r="I441" i="6"/>
  <c r="M441" i="6" s="1"/>
  <c r="H423" i="6"/>
  <c r="U367" i="6"/>
  <c r="E1386" i="6"/>
  <c r="U1338" i="6"/>
  <c r="H1246" i="6"/>
  <c r="I1196" i="6"/>
  <c r="M1196" i="6" s="1"/>
  <c r="U1192" i="6"/>
  <c r="F1187" i="6"/>
  <c r="F950" i="6"/>
  <c r="I932" i="6"/>
  <c r="M932" i="6" s="1"/>
  <c r="H866" i="6"/>
  <c r="H836" i="6"/>
  <c r="F831" i="6"/>
  <c r="F824" i="6"/>
  <c r="I767" i="6"/>
  <c r="M767" i="6" s="1"/>
  <c r="U669" i="6"/>
  <c r="I623" i="6"/>
  <c r="M623" i="6" s="1"/>
  <c r="U499" i="6"/>
  <c r="I398" i="6"/>
  <c r="M398" i="6" s="1"/>
  <c r="I373" i="6"/>
  <c r="M373" i="6" s="1"/>
  <c r="I281" i="6"/>
  <c r="M281" i="6" s="1"/>
  <c r="I1115" i="6"/>
  <c r="M1115" i="6" s="1"/>
  <c r="F1060" i="6"/>
  <c r="F1045" i="6"/>
  <c r="U1024" i="6"/>
  <c r="F1010" i="6"/>
  <c r="E966" i="6"/>
  <c r="F877" i="6"/>
  <c r="F838" i="6"/>
  <c r="H554" i="6"/>
  <c r="I261" i="6"/>
  <c r="M261" i="6" s="1"/>
  <c r="H1127" i="6"/>
  <c r="U1095" i="6"/>
  <c r="E979" i="6"/>
  <c r="E916" i="6"/>
  <c r="U822" i="6"/>
  <c r="E621" i="6"/>
  <c r="E602" i="6"/>
  <c r="I585" i="6"/>
  <c r="M585" i="6" s="1"/>
  <c r="H583" i="6"/>
  <c r="H559" i="6"/>
  <c r="U546" i="6"/>
  <c r="E462" i="6"/>
  <c r="F398" i="6"/>
  <c r="F283" i="6"/>
  <c r="I272" i="6"/>
  <c r="M272" i="6" s="1"/>
  <c r="I386" i="6"/>
  <c r="M386" i="6" s="1"/>
  <c r="F272" i="6"/>
  <c r="H1060" i="6"/>
  <c r="H1030" i="6"/>
  <c r="H983" i="6"/>
  <c r="E950" i="6"/>
  <c r="U806" i="6"/>
  <c r="E683" i="6"/>
  <c r="U639" i="6"/>
  <c r="E512" i="6"/>
  <c r="E441" i="6"/>
  <c r="H405" i="6"/>
  <c r="H353" i="6"/>
  <c r="U85" i="6"/>
  <c r="U1402" i="6"/>
  <c r="U1398" i="6"/>
  <c r="U1348" i="6"/>
  <c r="H1266" i="6"/>
  <c r="U1196" i="6"/>
  <c r="E1149" i="6"/>
  <c r="U1062" i="6"/>
  <c r="E1014" i="6"/>
  <c r="H920" i="6"/>
  <c r="H900" i="6"/>
  <c r="H790" i="6"/>
  <c r="E648" i="6"/>
  <c r="E613" i="6"/>
  <c r="H539" i="6"/>
  <c r="H530" i="6"/>
  <c r="U482" i="6"/>
  <c r="E409" i="6"/>
  <c r="U386" i="6"/>
  <c r="E348" i="6"/>
  <c r="O696" i="6"/>
  <c r="O319" i="6"/>
  <c r="O1176" i="6"/>
  <c r="O1320" i="6"/>
  <c r="O900" i="6"/>
  <c r="O1352" i="6"/>
  <c r="O1104" i="6"/>
  <c r="O1136" i="6"/>
  <c r="O798" i="6"/>
  <c r="O221" i="6"/>
  <c r="O1064" i="6"/>
  <c r="O730" i="6"/>
  <c r="O1214" i="6"/>
  <c r="O884" i="6"/>
  <c r="H719" i="6"/>
  <c r="P697" i="6"/>
  <c r="I697" i="6"/>
  <c r="M697" i="6" s="1"/>
  <c r="F697" i="6"/>
  <c r="P203" i="6"/>
  <c r="I203" i="6"/>
  <c r="M203" i="6" s="1"/>
  <c r="F203" i="6"/>
  <c r="P177" i="6"/>
  <c r="F177" i="6"/>
  <c r="P1321" i="6"/>
  <c r="I1321" i="6"/>
  <c r="M1321" i="6" s="1"/>
  <c r="H1108" i="6"/>
  <c r="E1108" i="6"/>
  <c r="U1108" i="6"/>
  <c r="P723" i="6"/>
  <c r="I723" i="6"/>
  <c r="M723" i="6" s="1"/>
  <c r="F723" i="6"/>
  <c r="I1223" i="6"/>
  <c r="M1223" i="6" s="1"/>
  <c r="P1223" i="6"/>
  <c r="F1223" i="6"/>
  <c r="E795" i="6"/>
  <c r="H795" i="6"/>
  <c r="E1400" i="6"/>
  <c r="E1373" i="6"/>
  <c r="H1373" i="6"/>
  <c r="P848" i="6"/>
  <c r="I848" i="6"/>
  <c r="M848" i="6" s="1"/>
  <c r="F848" i="6"/>
  <c r="P1289" i="6"/>
  <c r="I1289" i="6"/>
  <c r="M1289" i="6" s="1"/>
  <c r="F1289" i="6"/>
  <c r="F1128" i="6"/>
  <c r="I1128" i="6"/>
  <c r="M1128" i="6" s="1"/>
  <c r="P179" i="6"/>
  <c r="F179" i="6"/>
  <c r="I179" i="6"/>
  <c r="M179" i="6" s="1"/>
  <c r="F138" i="6"/>
  <c r="I138" i="6"/>
  <c r="M138" i="6" s="1"/>
  <c r="F982" i="6"/>
  <c r="P982" i="6"/>
  <c r="I982" i="6"/>
  <c r="M982" i="6" s="1"/>
  <c r="P846" i="6"/>
  <c r="I846" i="6"/>
  <c r="M846" i="6" s="1"/>
  <c r="F846" i="6"/>
  <c r="F145" i="6"/>
  <c r="P145" i="6"/>
  <c r="I104" i="6"/>
  <c r="M104" i="6" s="1"/>
  <c r="P104" i="6"/>
  <c r="F104" i="6"/>
  <c r="F40" i="6"/>
  <c r="I40" i="6"/>
  <c r="M40" i="6" s="1"/>
  <c r="H1327" i="6"/>
  <c r="I1225" i="6"/>
  <c r="M1225" i="6" s="1"/>
  <c r="P1225" i="6"/>
  <c r="F1225" i="6"/>
  <c r="J152" i="6"/>
  <c r="I46" i="6"/>
  <c r="M46" i="6" s="1"/>
  <c r="P46" i="6"/>
  <c r="F46" i="6"/>
  <c r="H1329" i="6"/>
  <c r="E1329" i="6"/>
  <c r="H1225" i="6"/>
  <c r="E1225" i="6"/>
  <c r="H1380" i="6"/>
  <c r="E1152" i="6"/>
  <c r="H848" i="6"/>
  <c r="P614" i="6"/>
  <c r="F614" i="6"/>
  <c r="I614" i="6"/>
  <c r="M614" i="6" s="1"/>
  <c r="H612" i="6"/>
  <c r="H177" i="6"/>
  <c r="P1327" i="6"/>
  <c r="F1327" i="6"/>
  <c r="I1327" i="6"/>
  <c r="M1327" i="6" s="1"/>
  <c r="P1221" i="6"/>
  <c r="F1221" i="6"/>
  <c r="I1221" i="6"/>
  <c r="M1221" i="6" s="1"/>
  <c r="F1132" i="6"/>
  <c r="P1132" i="6"/>
  <c r="E227" i="6"/>
  <c r="H227" i="6"/>
  <c r="U227" i="6"/>
  <c r="J50" i="6"/>
  <c r="E1248" i="6"/>
  <c r="H1248" i="6"/>
  <c r="U1248" i="6"/>
  <c r="P662" i="6"/>
  <c r="I662" i="6"/>
  <c r="M662" i="6" s="1"/>
  <c r="F662" i="6"/>
  <c r="F852" i="6"/>
  <c r="I852" i="6"/>
  <c r="M852" i="6" s="1"/>
  <c r="P192" i="6"/>
  <c r="I192" i="6"/>
  <c r="M192" i="6" s="1"/>
  <c r="E154" i="6"/>
  <c r="H112" i="6"/>
  <c r="E112" i="6"/>
  <c r="F1202" i="6"/>
  <c r="P1202" i="6"/>
  <c r="P1016" i="6"/>
  <c r="I1016" i="6"/>
  <c r="M1016" i="6" s="1"/>
  <c r="F1016" i="6"/>
  <c r="P1336" i="6"/>
  <c r="F1336" i="6"/>
  <c r="U1307" i="6"/>
  <c r="P1204" i="6"/>
  <c r="F1204" i="6"/>
  <c r="I1204" i="6"/>
  <c r="M1204" i="6" s="1"/>
  <c r="F1026" i="6"/>
  <c r="P1026" i="6"/>
  <c r="I1026" i="6"/>
  <c r="M1026" i="6" s="1"/>
  <c r="U1018" i="6"/>
  <c r="E664" i="6"/>
  <c r="U664" i="6"/>
  <c r="H664" i="6"/>
  <c r="E1323" i="6"/>
  <c r="E1289" i="6"/>
  <c r="U468" i="6"/>
  <c r="E468" i="6"/>
  <c r="E1291" i="6"/>
  <c r="P156" i="6"/>
  <c r="F156" i="6"/>
  <c r="I156" i="6"/>
  <c r="M156" i="6" s="1"/>
  <c r="E1382" i="6"/>
  <c r="F225" i="6"/>
  <c r="I225" i="6"/>
  <c r="M225" i="6" s="1"/>
  <c r="P225" i="6"/>
  <c r="E1391" i="6"/>
  <c r="H1391" i="6"/>
  <c r="U1358" i="6"/>
  <c r="H1358" i="6"/>
  <c r="I1171" i="6"/>
  <c r="M1171" i="6" s="1"/>
  <c r="P1171" i="6"/>
  <c r="F1171" i="6"/>
  <c r="U1022" i="6"/>
  <c r="H1022" i="6"/>
  <c r="E1020" i="6"/>
  <c r="U666" i="6"/>
  <c r="J1314" i="6"/>
  <c r="H1212" i="6"/>
  <c r="E1212" i="6"/>
  <c r="U1212" i="6"/>
  <c r="U1210" i="6"/>
  <c r="E1210" i="6"/>
  <c r="H225" i="6"/>
  <c r="E225" i="6"/>
  <c r="F197" i="6"/>
  <c r="P197" i="6"/>
  <c r="I197" i="6"/>
  <c r="M197" i="6" s="1"/>
  <c r="F123" i="6"/>
  <c r="I123" i="6"/>
  <c r="M123" i="6" s="1"/>
  <c r="P123" i="6"/>
  <c r="P689" i="6"/>
  <c r="I689" i="6"/>
  <c r="M689" i="6" s="1"/>
  <c r="F689" i="6"/>
  <c r="E194" i="6"/>
  <c r="H1173" i="6"/>
  <c r="F175" i="6"/>
  <c r="I175" i="6"/>
  <c r="M175" i="6" s="1"/>
  <c r="U1173" i="6"/>
  <c r="E1173" i="6"/>
  <c r="I1047" i="6"/>
  <c r="M1047" i="6" s="1"/>
  <c r="F1047" i="6"/>
  <c r="P1047" i="6"/>
  <c r="U156" i="6"/>
  <c r="H1111" i="6"/>
  <c r="H148" i="6"/>
  <c r="U220" i="6"/>
  <c r="I166" i="6"/>
  <c r="M166" i="6" s="1"/>
  <c r="P136" i="6"/>
  <c r="P1217" i="6"/>
  <c r="P1213" i="6"/>
  <c r="I1185" i="6"/>
  <c r="M1185" i="6" s="1"/>
  <c r="F1185" i="6"/>
  <c r="P1178" i="6"/>
  <c r="H1102" i="6"/>
  <c r="H1051" i="6"/>
  <c r="P1033" i="6"/>
  <c r="H1014" i="6"/>
  <c r="P998" i="6"/>
  <c r="P741" i="6"/>
  <c r="I741" i="6"/>
  <c r="M741" i="6" s="1"/>
  <c r="F741" i="6"/>
  <c r="H729" i="6"/>
  <c r="U729" i="6"/>
  <c r="H679" i="6"/>
  <c r="U679" i="6"/>
  <c r="I174" i="6"/>
  <c r="M174" i="6" s="1"/>
  <c r="F174" i="6"/>
  <c r="P204" i="6"/>
  <c r="U142" i="6"/>
  <c r="I72" i="6"/>
  <c r="M72" i="6" s="1"/>
  <c r="E1380" i="6"/>
  <c r="H1320" i="6"/>
  <c r="U1318" i="6"/>
  <c r="H1307" i="6"/>
  <c r="I1294" i="6"/>
  <c r="M1294" i="6" s="1"/>
  <c r="U1282" i="6"/>
  <c r="P1258" i="6"/>
  <c r="E1227" i="6"/>
  <c r="H1185" i="6"/>
  <c r="P1159" i="6"/>
  <c r="H1106" i="6"/>
  <c r="I1104" i="6"/>
  <c r="M1104" i="6" s="1"/>
  <c r="F1104" i="6"/>
  <c r="E1102" i="6"/>
  <c r="I1095" i="6"/>
  <c r="M1095" i="6" s="1"/>
  <c r="I1074" i="6"/>
  <c r="M1074" i="6" s="1"/>
  <c r="E1051" i="6"/>
  <c r="P966" i="6"/>
  <c r="E920" i="6"/>
  <c r="U842" i="6"/>
  <c r="H727" i="6"/>
  <c r="U715" i="6"/>
  <c r="H715" i="6"/>
  <c r="U644" i="6"/>
  <c r="U642" i="6"/>
  <c r="U604" i="6"/>
  <c r="E604" i="6"/>
  <c r="H604" i="6"/>
  <c r="P380" i="6"/>
  <c r="F380" i="6"/>
  <c r="I380" i="6"/>
  <c r="M380" i="6" s="1"/>
  <c r="E374" i="6"/>
  <c r="U203" i="6"/>
  <c r="H1204" i="6"/>
  <c r="U1204" i="6"/>
  <c r="E1130" i="6"/>
  <c r="F895" i="6"/>
  <c r="I895" i="6"/>
  <c r="M895" i="6" s="1"/>
  <c r="I790" i="6"/>
  <c r="M790" i="6" s="1"/>
  <c r="F790" i="6"/>
  <c r="P459" i="6"/>
  <c r="I459" i="6"/>
  <c r="M459" i="6" s="1"/>
  <c r="E332" i="6"/>
  <c r="H332" i="6"/>
  <c r="H249" i="6"/>
  <c r="E249" i="6"/>
  <c r="U249" i="6"/>
  <c r="P1345" i="6"/>
  <c r="I1345" i="6"/>
  <c r="M1345" i="6" s="1"/>
  <c r="F1215" i="6"/>
  <c r="I1215" i="6"/>
  <c r="M1215" i="6" s="1"/>
  <c r="P1141" i="6"/>
  <c r="I1141" i="6"/>
  <c r="M1141" i="6" s="1"/>
  <c r="F812" i="6"/>
  <c r="I812" i="6"/>
  <c r="M812" i="6" s="1"/>
  <c r="P812" i="6"/>
  <c r="U446" i="6"/>
  <c r="H317" i="6"/>
  <c r="P245" i="6"/>
  <c r="I245" i="6"/>
  <c r="M245" i="6" s="1"/>
  <c r="I243" i="6"/>
  <c r="M243" i="6" s="1"/>
  <c r="P243" i="6"/>
  <c r="E98" i="6"/>
  <c r="H1396" i="6"/>
  <c r="E1117" i="6"/>
  <c r="E1043" i="6"/>
  <c r="H1043" i="6"/>
  <c r="H459" i="6"/>
  <c r="U132" i="6"/>
  <c r="E1341" i="6"/>
  <c r="E1150" i="6"/>
  <c r="H928" i="6"/>
  <c r="U928" i="6"/>
  <c r="E928" i="6"/>
  <c r="H812" i="6"/>
  <c r="I531" i="6"/>
  <c r="M531" i="6" s="1"/>
  <c r="P531" i="6"/>
  <c r="I504" i="6"/>
  <c r="M504" i="6" s="1"/>
  <c r="P504" i="6"/>
  <c r="H1394" i="6"/>
  <c r="E1319" i="6"/>
  <c r="E1159" i="6"/>
  <c r="H1159" i="6"/>
  <c r="H1054" i="6"/>
  <c r="H996" i="6"/>
  <c r="I818" i="6"/>
  <c r="M818" i="6" s="1"/>
  <c r="P818" i="6"/>
  <c r="U808" i="6"/>
  <c r="P785" i="6"/>
  <c r="F785" i="6"/>
  <c r="I785" i="6"/>
  <c r="M785" i="6" s="1"/>
  <c r="U592" i="6"/>
  <c r="F518" i="6"/>
  <c r="P518" i="6"/>
  <c r="H344" i="6"/>
  <c r="U344" i="6"/>
  <c r="H1258" i="6"/>
  <c r="J1055" i="6"/>
  <c r="E818" i="6"/>
  <c r="H818" i="6"/>
  <c r="P539" i="6"/>
  <c r="F539" i="6"/>
  <c r="I539" i="6"/>
  <c r="M539" i="6" s="1"/>
  <c r="E1290" i="6"/>
  <c r="P1256" i="6"/>
  <c r="I1256" i="6"/>
  <c r="M1256" i="6" s="1"/>
  <c r="E1105" i="6"/>
  <c r="P890" i="6"/>
  <c r="I890" i="6"/>
  <c r="M890" i="6" s="1"/>
  <c r="F890" i="6"/>
  <c r="U1152" i="6"/>
  <c r="E180" i="6"/>
  <c r="H167" i="6"/>
  <c r="H157" i="6"/>
  <c r="J1384" i="6"/>
  <c r="H1324" i="6"/>
  <c r="E1135" i="6"/>
  <c r="H1109" i="6"/>
  <c r="U1077" i="6"/>
  <c r="E1077" i="6"/>
  <c r="H1075" i="6"/>
  <c r="U976" i="6"/>
  <c r="H976" i="6"/>
  <c r="P941" i="6"/>
  <c r="I941" i="6"/>
  <c r="M941" i="6" s="1"/>
  <c r="U796" i="6"/>
  <c r="I632" i="6"/>
  <c r="M632" i="6" s="1"/>
  <c r="P632" i="6"/>
  <c r="F632" i="6"/>
  <c r="H628" i="6"/>
  <c r="I587" i="6"/>
  <c r="M587" i="6" s="1"/>
  <c r="P587" i="6"/>
  <c r="U539" i="6"/>
  <c r="E406" i="6"/>
  <c r="U174" i="6"/>
  <c r="U146" i="6"/>
  <c r="U139" i="6"/>
  <c r="U130" i="6"/>
  <c r="F87" i="6"/>
  <c r="I87" i="6"/>
  <c r="M87" i="6" s="1"/>
  <c r="P80" i="6"/>
  <c r="I80" i="6"/>
  <c r="M80" i="6" s="1"/>
  <c r="P1387" i="6"/>
  <c r="H1366" i="6"/>
  <c r="E1288" i="6"/>
  <c r="P1220" i="6"/>
  <c r="F1220" i="6"/>
  <c r="U1207" i="6"/>
  <c r="U1092" i="6"/>
  <c r="H1092" i="6"/>
  <c r="E1092" i="6"/>
  <c r="I1090" i="6"/>
  <c r="M1090" i="6" s="1"/>
  <c r="F1090" i="6"/>
  <c r="P1074" i="6"/>
  <c r="P1036" i="6"/>
  <c r="I1036" i="6"/>
  <c r="M1036" i="6" s="1"/>
  <c r="I947" i="6"/>
  <c r="M947" i="6" s="1"/>
  <c r="F947" i="6"/>
  <c r="P947" i="6"/>
  <c r="E845" i="6"/>
  <c r="E828" i="6"/>
  <c r="U828" i="6"/>
  <c r="U711" i="6"/>
  <c r="H711" i="6"/>
  <c r="U598" i="6"/>
  <c r="E598" i="6"/>
  <c r="P589" i="6"/>
  <c r="F589" i="6"/>
  <c r="I589" i="6"/>
  <c r="M589" i="6" s="1"/>
  <c r="U1403" i="6"/>
  <c r="U211" i="6"/>
  <c r="P1398" i="6"/>
  <c r="E1377" i="6"/>
  <c r="F959" i="6"/>
  <c r="P959" i="6"/>
  <c r="U941" i="6"/>
  <c r="P832" i="6"/>
  <c r="F832" i="6"/>
  <c r="I832" i="6"/>
  <c r="M832" i="6" s="1"/>
  <c r="U526" i="6"/>
  <c r="E526" i="6"/>
  <c r="U1126" i="6"/>
  <c r="E1126" i="6"/>
  <c r="U850" i="6"/>
  <c r="H784" i="6"/>
  <c r="E784" i="6"/>
  <c r="U311" i="6"/>
  <c r="E311" i="6"/>
  <c r="U177" i="6"/>
  <c r="U40" i="6"/>
  <c r="E40" i="6"/>
  <c r="J1258" i="6"/>
  <c r="U1134" i="6"/>
  <c r="I1035" i="6"/>
  <c r="M1035" i="6" s="1"/>
  <c r="P1035" i="6"/>
  <c r="U223" i="6"/>
  <c r="H759" i="6"/>
  <c r="U759" i="6"/>
  <c r="U527" i="6"/>
  <c r="E50" i="6"/>
  <c r="E1345" i="6"/>
  <c r="I1092" i="6"/>
  <c r="M1092" i="6" s="1"/>
  <c r="F1092" i="6"/>
  <c r="I303" i="6"/>
  <c r="M303" i="6" s="1"/>
  <c r="P303" i="6"/>
  <c r="F303" i="6"/>
  <c r="U224" i="6"/>
  <c r="F207" i="6"/>
  <c r="I207" i="6"/>
  <c r="M207" i="6" s="1"/>
  <c r="I194" i="6"/>
  <c r="M194" i="6" s="1"/>
  <c r="I218" i="6"/>
  <c r="M218" i="6" s="1"/>
  <c r="U196" i="6"/>
  <c r="E196" i="6"/>
  <c r="I168" i="6"/>
  <c r="M168" i="6" s="1"/>
  <c r="P168" i="6"/>
  <c r="U151" i="6"/>
  <c r="E122" i="6"/>
  <c r="I110" i="6"/>
  <c r="M110" i="6" s="1"/>
  <c r="U98" i="6"/>
  <c r="I85" i="6"/>
  <c r="M85" i="6" s="1"/>
  <c r="H80" i="6"/>
  <c r="F1367" i="6"/>
  <c r="F1358" i="6"/>
  <c r="F1331" i="6"/>
  <c r="E1302" i="6"/>
  <c r="I1296" i="6"/>
  <c r="M1296" i="6" s="1"/>
  <c r="H1286" i="6"/>
  <c r="U1271" i="6"/>
  <c r="F1212" i="6"/>
  <c r="I1158" i="6"/>
  <c r="M1158" i="6" s="1"/>
  <c r="U1150" i="6"/>
  <c r="E1131" i="6"/>
  <c r="U1101" i="6"/>
  <c r="E1101" i="6"/>
  <c r="U1090" i="6"/>
  <c r="E1090" i="6"/>
  <c r="P1087" i="6"/>
  <c r="E1069" i="6"/>
  <c r="H1055" i="6"/>
  <c r="P950" i="6"/>
  <c r="P949" i="6"/>
  <c r="F949" i="6"/>
  <c r="I949" i="6"/>
  <c r="M949" i="6" s="1"/>
  <c r="H947" i="6"/>
  <c r="E859" i="6"/>
  <c r="I428" i="6"/>
  <c r="M428" i="6" s="1"/>
  <c r="P428" i="6"/>
  <c r="F428" i="6"/>
  <c r="P414" i="6"/>
  <c r="I414" i="6"/>
  <c r="M414" i="6" s="1"/>
  <c r="H352" i="6"/>
  <c r="H1072" i="6"/>
  <c r="H1020" i="6"/>
  <c r="E662" i="6"/>
  <c r="U1365" i="6"/>
  <c r="E1307" i="6"/>
  <c r="U1223" i="6"/>
  <c r="P1000" i="6"/>
  <c r="F1000" i="6"/>
  <c r="U763" i="6"/>
  <c r="H763" i="6"/>
  <c r="E710" i="6"/>
  <c r="H710" i="6"/>
  <c r="U697" i="6"/>
  <c r="H693" i="6"/>
  <c r="H448" i="6"/>
  <c r="U448" i="6"/>
  <c r="I446" i="6"/>
  <c r="M446" i="6" s="1"/>
  <c r="F446" i="6"/>
  <c r="P446" i="6"/>
  <c r="E216" i="6"/>
  <c r="H1132" i="6"/>
  <c r="P1062" i="6"/>
  <c r="F1062" i="6"/>
  <c r="P1043" i="6"/>
  <c r="I1043" i="6"/>
  <c r="M1043" i="6" s="1"/>
  <c r="F1041" i="6"/>
  <c r="I1041" i="6"/>
  <c r="M1041" i="6" s="1"/>
  <c r="U914" i="6"/>
  <c r="E914" i="6"/>
  <c r="H914" i="6"/>
  <c r="H755" i="6"/>
  <c r="P50" i="6"/>
  <c r="I50" i="6"/>
  <c r="M50" i="6" s="1"/>
  <c r="H1398" i="6"/>
  <c r="F964" i="6"/>
  <c r="I964" i="6"/>
  <c r="M964" i="6" s="1"/>
  <c r="U924" i="6"/>
  <c r="P1113" i="6"/>
  <c r="I1113" i="6"/>
  <c r="M1113" i="6" s="1"/>
  <c r="E866" i="6"/>
  <c r="E767" i="6"/>
  <c r="H767" i="6"/>
  <c r="P529" i="6"/>
  <c r="I529" i="6"/>
  <c r="M529" i="6" s="1"/>
  <c r="U121" i="6"/>
  <c r="U1407" i="6"/>
  <c r="I781" i="6"/>
  <c r="M781" i="6" s="1"/>
  <c r="P781" i="6"/>
  <c r="F516" i="6"/>
  <c r="P516" i="6"/>
  <c r="F389" i="6"/>
  <c r="P389" i="6"/>
  <c r="I389" i="6"/>
  <c r="M389" i="6" s="1"/>
  <c r="H1157" i="6"/>
  <c r="F1011" i="6"/>
  <c r="I1011" i="6"/>
  <c r="M1011" i="6" s="1"/>
  <c r="P1011" i="6"/>
  <c r="P159" i="6"/>
  <c r="F159" i="6"/>
  <c r="U105" i="6"/>
  <c r="U1322" i="6"/>
  <c r="E1281" i="6"/>
  <c r="P1277" i="6"/>
  <c r="I1277" i="6"/>
  <c r="M1277" i="6" s="1"/>
  <c r="U1245" i="6"/>
  <c r="U1226" i="6"/>
  <c r="I1127" i="6"/>
  <c r="M1127" i="6" s="1"/>
  <c r="F1127" i="6"/>
  <c r="H783" i="6"/>
  <c r="P596" i="6"/>
  <c r="F596" i="6"/>
  <c r="I596" i="6"/>
  <c r="M596" i="6" s="1"/>
  <c r="U594" i="6"/>
  <c r="E518" i="6"/>
  <c r="U346" i="6"/>
  <c r="E301" i="6"/>
  <c r="F218" i="6"/>
  <c r="E135" i="6"/>
  <c r="F110" i="6"/>
  <c r="F85" i="6"/>
  <c r="U63" i="6"/>
  <c r="I61" i="6"/>
  <c r="M61" i="6" s="1"/>
  <c r="P61" i="6"/>
  <c r="U1396" i="6"/>
  <c r="F1391" i="6"/>
  <c r="P1375" i="6"/>
  <c r="I1375" i="6"/>
  <c r="M1375" i="6" s="1"/>
  <c r="U1345" i="6"/>
  <c r="P1318" i="6"/>
  <c r="F1318" i="6"/>
  <c r="P1270" i="6"/>
  <c r="P1266" i="6"/>
  <c r="P1183" i="6"/>
  <c r="I1183" i="6"/>
  <c r="M1183" i="6" s="1"/>
  <c r="F1175" i="6"/>
  <c r="P1150" i="6"/>
  <c r="U1043" i="6"/>
  <c r="F604" i="6"/>
  <c r="I604" i="6"/>
  <c r="M604" i="6" s="1"/>
  <c r="P604" i="6"/>
  <c r="E424" i="6"/>
  <c r="U424" i="6"/>
  <c r="E418" i="6"/>
  <c r="P795" i="6"/>
  <c r="F795" i="6"/>
  <c r="I795" i="6"/>
  <c r="M795" i="6" s="1"/>
  <c r="U793" i="6"/>
  <c r="E793" i="6"/>
  <c r="E705" i="6"/>
  <c r="H705" i="6"/>
  <c r="U705" i="6"/>
  <c r="H590" i="6"/>
  <c r="H578" i="6"/>
  <c r="E578" i="6"/>
  <c r="U578" i="6"/>
  <c r="E521" i="6"/>
  <c r="H521" i="6"/>
  <c r="I309" i="6"/>
  <c r="M309" i="6" s="1"/>
  <c r="P309" i="6"/>
  <c r="E902" i="6"/>
  <c r="H892" i="6"/>
  <c r="P845" i="6"/>
  <c r="I845" i="6"/>
  <c r="M845" i="6" s="1"/>
  <c r="U833" i="6"/>
  <c r="E823" i="6"/>
  <c r="I410" i="6"/>
  <c r="M410" i="6" s="1"/>
  <c r="P410" i="6"/>
  <c r="F317" i="6"/>
  <c r="I317" i="6"/>
  <c r="M317" i="6" s="1"/>
  <c r="P317" i="6"/>
  <c r="F227" i="6"/>
  <c r="I227" i="6"/>
  <c r="M227" i="6" s="1"/>
  <c r="P227" i="6"/>
  <c r="E915" i="6"/>
  <c r="U870" i="6"/>
  <c r="E787" i="6"/>
  <c r="E699" i="6"/>
  <c r="H699" i="6"/>
  <c r="U614" i="6"/>
  <c r="E614" i="6"/>
  <c r="H614" i="6"/>
  <c r="F370" i="6"/>
  <c r="H202" i="6"/>
  <c r="H118" i="6"/>
  <c r="H103" i="6"/>
  <c r="U1342" i="6"/>
  <c r="E1310" i="6"/>
  <c r="F1188" i="6"/>
  <c r="P1188" i="6"/>
  <c r="H1149" i="6"/>
  <c r="I1136" i="6"/>
  <c r="M1136" i="6" s="1"/>
  <c r="E1087" i="6"/>
  <c r="I831" i="6"/>
  <c r="M831" i="6" s="1"/>
  <c r="I823" i="6"/>
  <c r="M823" i="6" s="1"/>
  <c r="I791" i="6"/>
  <c r="M791" i="6" s="1"/>
  <c r="F791" i="6"/>
  <c r="P791" i="6"/>
  <c r="H568" i="6"/>
  <c r="F382" i="6"/>
  <c r="I382" i="6"/>
  <c r="M382" i="6" s="1"/>
  <c r="P382" i="6"/>
  <c r="E303" i="6"/>
  <c r="U303" i="6"/>
  <c r="H303" i="6"/>
  <c r="E284" i="6"/>
  <c r="I276" i="6"/>
  <c r="M276" i="6" s="1"/>
  <c r="P276" i="6"/>
  <c r="E882" i="6"/>
  <c r="P841" i="6"/>
  <c r="F841" i="6"/>
  <c r="I841" i="6"/>
  <c r="M841" i="6" s="1"/>
  <c r="E833" i="6"/>
  <c r="H823" i="6"/>
  <c r="I576" i="6"/>
  <c r="M576" i="6" s="1"/>
  <c r="H495" i="6"/>
  <c r="E495" i="6"/>
  <c r="E464" i="6"/>
  <c r="E378" i="6"/>
  <c r="U378" i="6"/>
  <c r="P793" i="6"/>
  <c r="I793" i="6"/>
  <c r="M793" i="6" s="1"/>
  <c r="F793" i="6"/>
  <c r="I578" i="6"/>
  <c r="M578" i="6" s="1"/>
  <c r="P578" i="6"/>
  <c r="E558" i="6"/>
  <c r="H558" i="6"/>
  <c r="F309" i="6"/>
  <c r="H1347" i="6"/>
  <c r="H1214" i="6"/>
  <c r="H1083" i="6"/>
  <c r="E1083" i="6"/>
  <c r="H981" i="6"/>
  <c r="F894" i="6"/>
  <c r="I859" i="6"/>
  <c r="M859" i="6" s="1"/>
  <c r="F845" i="6"/>
  <c r="U835" i="6"/>
  <c r="P626" i="6"/>
  <c r="I626" i="6"/>
  <c r="M626" i="6" s="1"/>
  <c r="F626" i="6"/>
  <c r="F590" i="6"/>
  <c r="I590" i="6"/>
  <c r="M590" i="6" s="1"/>
  <c r="P590" i="6"/>
  <c r="H501" i="6"/>
  <c r="H466" i="6"/>
  <c r="I464" i="6"/>
  <c r="M464" i="6" s="1"/>
  <c r="P464" i="6"/>
  <c r="F410" i="6"/>
  <c r="U370" i="6"/>
  <c r="U961" i="6"/>
  <c r="E942" i="6"/>
  <c r="F932" i="6"/>
  <c r="H889" i="6"/>
  <c r="I811" i="6"/>
  <c r="M811" i="6" s="1"/>
  <c r="P811" i="6"/>
  <c r="H768" i="6"/>
  <c r="E756" i="6"/>
  <c r="E635" i="6"/>
  <c r="H611" i="6"/>
  <c r="U611" i="6"/>
  <c r="H609" i="6"/>
  <c r="F585" i="6"/>
  <c r="F579" i="6"/>
  <c r="H526" i="6"/>
  <c r="H520" i="6"/>
  <c r="U516" i="6"/>
  <c r="F477" i="6"/>
  <c r="U462" i="6"/>
  <c r="P458" i="6"/>
  <c r="F458" i="6"/>
  <c r="I458" i="6"/>
  <c r="M458" i="6" s="1"/>
  <c r="F447" i="6"/>
  <c r="F347" i="6"/>
  <c r="F228" i="6"/>
  <c r="P228" i="6"/>
  <c r="E1199" i="6"/>
  <c r="U1197" i="6"/>
  <c r="I1187" i="6"/>
  <c r="M1187" i="6" s="1"/>
  <c r="F1065" i="6"/>
  <c r="I1065" i="6"/>
  <c r="M1065" i="6" s="1"/>
  <c r="E1040" i="6"/>
  <c r="U1021" i="6"/>
  <c r="H999" i="6"/>
  <c r="I877" i="6"/>
  <c r="M877" i="6" s="1"/>
  <c r="H867" i="6"/>
  <c r="U813" i="6"/>
  <c r="E772" i="6"/>
  <c r="U754" i="6"/>
  <c r="E744" i="6"/>
  <c r="U674" i="6"/>
  <c r="U587" i="6"/>
  <c r="I557" i="6"/>
  <c r="M557" i="6" s="1"/>
  <c r="F481" i="6"/>
  <c r="P481" i="6"/>
  <c r="F475" i="6"/>
  <c r="E456" i="6"/>
  <c r="H456" i="6"/>
  <c r="U425" i="6"/>
  <c r="U391" i="6"/>
  <c r="U294" i="6"/>
  <c r="U276" i="6"/>
  <c r="P232" i="6"/>
  <c r="I232" i="6"/>
  <c r="M232" i="6" s="1"/>
  <c r="H817" i="6"/>
  <c r="U817" i="6"/>
  <c r="P774" i="6"/>
  <c r="F774" i="6"/>
  <c r="P734" i="6"/>
  <c r="I734" i="6"/>
  <c r="M734" i="6" s="1"/>
  <c r="U569" i="6"/>
  <c r="E569" i="6"/>
  <c r="E458" i="6"/>
  <c r="H458" i="6"/>
  <c r="F405" i="6"/>
  <c r="I405" i="6"/>
  <c r="M405" i="6" s="1"/>
  <c r="U296" i="6"/>
  <c r="P230" i="6"/>
  <c r="I230" i="6"/>
  <c r="M230" i="6" s="1"/>
  <c r="F686" i="6"/>
  <c r="I686" i="6"/>
  <c r="M686" i="6" s="1"/>
  <c r="I659" i="6"/>
  <c r="M659" i="6" s="1"/>
  <c r="P659" i="6"/>
  <c r="H563" i="6"/>
  <c r="U563" i="6"/>
  <c r="H561" i="6"/>
  <c r="U483" i="6"/>
  <c r="U481" i="6"/>
  <c r="E407" i="6"/>
  <c r="H407" i="6"/>
  <c r="F397" i="6"/>
  <c r="P397" i="6"/>
  <c r="H395" i="6"/>
  <c r="U258" i="6"/>
  <c r="U995" i="6"/>
  <c r="U985" i="6"/>
  <c r="J941" i="6"/>
  <c r="I828" i="6"/>
  <c r="M828" i="6" s="1"/>
  <c r="P828" i="6"/>
  <c r="U774" i="6"/>
  <c r="E688" i="6"/>
  <c r="H688" i="6"/>
  <c r="I645" i="6"/>
  <c r="M645" i="6" s="1"/>
  <c r="P645" i="6"/>
  <c r="E585" i="6"/>
  <c r="U585" i="6"/>
  <c r="H579" i="6"/>
  <c r="U579" i="6"/>
  <c r="E565" i="6"/>
  <c r="E437" i="6"/>
  <c r="H437" i="6"/>
  <c r="I326" i="6"/>
  <c r="M326" i="6" s="1"/>
  <c r="P326" i="6"/>
  <c r="I263" i="6"/>
  <c r="M263" i="6" s="1"/>
  <c r="U252" i="6"/>
  <c r="E234" i="6"/>
  <c r="H1227" i="6"/>
  <c r="U1047" i="6"/>
  <c r="U907" i="6"/>
  <c r="U895" i="6"/>
  <c r="H893" i="6"/>
  <c r="U887" i="6"/>
  <c r="F857" i="6"/>
  <c r="I857" i="6"/>
  <c r="M857" i="6" s="1"/>
  <c r="E847" i="6"/>
  <c r="J791" i="6"/>
  <c r="E489" i="6"/>
  <c r="E401" i="6"/>
  <c r="H401" i="6"/>
  <c r="F338" i="6"/>
  <c r="I338" i="6"/>
  <c r="M338" i="6" s="1"/>
  <c r="U318" i="6"/>
  <c r="I299" i="6"/>
  <c r="M299" i="6" s="1"/>
  <c r="F263" i="6"/>
  <c r="E240" i="6"/>
  <c r="H240" i="6"/>
  <c r="I710" i="6"/>
  <c r="M710" i="6" s="1"/>
  <c r="F710" i="6"/>
  <c r="P710" i="6"/>
  <c r="H523" i="6"/>
  <c r="H357" i="6"/>
  <c r="U357" i="6"/>
  <c r="F299" i="6"/>
  <c r="H291" i="6"/>
  <c r="I600" i="6"/>
  <c r="M600" i="6" s="1"/>
  <c r="F600" i="6"/>
  <c r="P600" i="6"/>
  <c r="U267" i="6"/>
  <c r="E267" i="6"/>
  <c r="H267" i="6"/>
  <c r="I758" i="6"/>
  <c r="M758" i="6" s="1"/>
  <c r="F709" i="6"/>
  <c r="I683" i="6"/>
  <c r="M683" i="6" s="1"/>
  <c r="E623" i="6"/>
  <c r="H621" i="6"/>
  <c r="F577" i="6"/>
  <c r="I569" i="6"/>
  <c r="M569" i="6" s="1"/>
  <c r="I543" i="6"/>
  <c r="M543" i="6" s="1"/>
  <c r="H532" i="6"/>
  <c r="E500" i="6"/>
  <c r="I480" i="6"/>
  <c r="M480" i="6" s="1"/>
  <c r="I424" i="6"/>
  <c r="M424" i="6" s="1"/>
  <c r="F386" i="6"/>
  <c r="I312" i="6"/>
  <c r="M312" i="6" s="1"/>
  <c r="E268" i="6"/>
  <c r="I244" i="6"/>
  <c r="M244" i="6" s="1"/>
  <c r="F819" i="6"/>
  <c r="F756" i="6"/>
  <c r="U726" i="6"/>
  <c r="I515" i="6"/>
  <c r="M515" i="6" s="1"/>
  <c r="I450" i="6"/>
  <c r="M450" i="6" s="1"/>
  <c r="F407" i="6"/>
  <c r="U327" i="6"/>
  <c r="I262" i="6"/>
  <c r="M262" i="6" s="1"/>
  <c r="F244" i="6"/>
  <c r="H233" i="6"/>
  <c r="E229" i="6"/>
  <c r="U792" i="6"/>
  <c r="F758" i="6"/>
  <c r="F718" i="6"/>
  <c r="F663" i="6"/>
  <c r="I634" i="6"/>
  <c r="M634" i="6" s="1"/>
  <c r="E586" i="6"/>
  <c r="I513" i="6"/>
  <c r="M513" i="6" s="1"/>
  <c r="F450" i="6"/>
  <c r="F433" i="6"/>
  <c r="I363" i="6"/>
  <c r="M363" i="6" s="1"/>
  <c r="I356" i="6"/>
  <c r="M356" i="6" s="1"/>
  <c r="F262" i="6"/>
  <c r="H257" i="6"/>
  <c r="H255" i="6"/>
  <c r="I253" i="6"/>
  <c r="M253" i="6" s="1"/>
  <c r="U779" i="6"/>
  <c r="U720" i="6"/>
  <c r="F679" i="6"/>
  <c r="U608" i="6"/>
  <c r="F567" i="6"/>
  <c r="F356" i="6"/>
  <c r="U683" i="6"/>
  <c r="E671" i="6"/>
  <c r="H591" i="6"/>
  <c r="H365" i="6"/>
  <c r="F363" i="6"/>
  <c r="U701" i="6"/>
  <c r="U580" i="6"/>
  <c r="E1001" i="6"/>
  <c r="E994" i="6"/>
  <c r="H956" i="6"/>
  <c r="E927" i="6"/>
  <c r="U878" i="6"/>
  <c r="U804" i="6"/>
  <c r="E729" i="6"/>
  <c r="E673" i="6"/>
  <c r="E448" i="6"/>
  <c r="U429" i="6"/>
  <c r="U322" i="6"/>
  <c r="F181" i="6"/>
  <c r="P181" i="6"/>
  <c r="I181" i="6"/>
  <c r="M181" i="6" s="1"/>
  <c r="U1213" i="6"/>
  <c r="E1213" i="6"/>
  <c r="H1213" i="6"/>
  <c r="U1010" i="6"/>
  <c r="H1010" i="6"/>
  <c r="E1010" i="6"/>
  <c r="E181" i="6"/>
  <c r="U181" i="6"/>
  <c r="F44" i="6"/>
  <c r="I44" i="6"/>
  <c r="M44" i="6" s="1"/>
  <c r="P44" i="6"/>
  <c r="I1370" i="6"/>
  <c r="M1370" i="6" s="1"/>
  <c r="P1370" i="6"/>
  <c r="P1124" i="6"/>
  <c r="F1124" i="6"/>
  <c r="I1124" i="6"/>
  <c r="M1124" i="6" s="1"/>
  <c r="P973" i="6"/>
  <c r="F973" i="6"/>
  <c r="I973" i="6"/>
  <c r="M973" i="6" s="1"/>
  <c r="H742" i="6"/>
  <c r="E742" i="6"/>
  <c r="E722" i="6"/>
  <c r="H722" i="6"/>
  <c r="I1042" i="6"/>
  <c r="M1042" i="6" s="1"/>
  <c r="P1042" i="6"/>
  <c r="P752" i="6"/>
  <c r="I752" i="6"/>
  <c r="M752" i="6" s="1"/>
  <c r="F752" i="6"/>
  <c r="H921" i="6"/>
  <c r="E921" i="6"/>
  <c r="U921" i="6"/>
  <c r="F851" i="6"/>
  <c r="I851" i="6"/>
  <c r="M851" i="6" s="1"/>
  <c r="P851" i="6"/>
  <c r="J49" i="6"/>
  <c r="J1271" i="6"/>
  <c r="F1061" i="6"/>
  <c r="P1061" i="6"/>
  <c r="I1061" i="6"/>
  <c r="M1061" i="6" s="1"/>
  <c r="U752" i="6"/>
  <c r="E752" i="6"/>
  <c r="H752" i="6"/>
  <c r="H93" i="6"/>
  <c r="U663" i="6"/>
  <c r="E663" i="6"/>
  <c r="F646" i="6"/>
  <c r="P646" i="6"/>
  <c r="I393" i="6"/>
  <c r="M393" i="6" s="1"/>
  <c r="P393" i="6"/>
  <c r="F393" i="6"/>
  <c r="E1183" i="6"/>
  <c r="H1183" i="6"/>
  <c r="U1183" i="6"/>
  <c r="E1112" i="6"/>
  <c r="H1112" i="6"/>
  <c r="U1061" i="6"/>
  <c r="E1061" i="6"/>
  <c r="H1061" i="6"/>
  <c r="I217" i="6"/>
  <c r="M217" i="6" s="1"/>
  <c r="P217" i="6"/>
  <c r="F1145" i="6"/>
  <c r="I1145" i="6"/>
  <c r="M1145" i="6" s="1"/>
  <c r="P1145" i="6"/>
  <c r="I983" i="6"/>
  <c r="M983" i="6" s="1"/>
  <c r="F983" i="6"/>
  <c r="P983" i="6"/>
  <c r="F884" i="6"/>
  <c r="P884" i="6"/>
  <c r="I884" i="6"/>
  <c r="M884" i="6" s="1"/>
  <c r="F573" i="6"/>
  <c r="P573" i="6"/>
  <c r="I573" i="6"/>
  <c r="M573" i="6" s="1"/>
  <c r="J32" i="6"/>
  <c r="E1233" i="6"/>
  <c r="U1233" i="6"/>
  <c r="U1027" i="6"/>
  <c r="H1027" i="6"/>
  <c r="U855" i="6"/>
  <c r="E855" i="6"/>
  <c r="H855" i="6"/>
  <c r="F655" i="6"/>
  <c r="I655" i="6"/>
  <c r="M655" i="6" s="1"/>
  <c r="P655" i="6"/>
  <c r="U432" i="6"/>
  <c r="H432" i="6"/>
  <c r="E414" i="6"/>
  <c r="H414" i="6"/>
  <c r="E173" i="6"/>
  <c r="U173" i="6"/>
  <c r="H173" i="6"/>
  <c r="P1389" i="6"/>
  <c r="I1389" i="6"/>
  <c r="M1389" i="6" s="1"/>
  <c r="F1389" i="6"/>
  <c r="H1355" i="6"/>
  <c r="E1355" i="6"/>
  <c r="I1351" i="6"/>
  <c r="M1351" i="6" s="1"/>
  <c r="F1351" i="6"/>
  <c r="P1351" i="6"/>
  <c r="J659" i="6"/>
  <c r="E650" i="6"/>
  <c r="U650" i="6"/>
  <c r="H555" i="6"/>
  <c r="U555" i="6"/>
  <c r="E127" i="6"/>
  <c r="H127" i="6"/>
  <c r="U31" i="6"/>
  <c r="E31" i="6"/>
  <c r="H31" i="6"/>
  <c r="I1407" i="6"/>
  <c r="M1407" i="6" s="1"/>
  <c r="F1407" i="6"/>
  <c r="P1303" i="6"/>
  <c r="I1303" i="6"/>
  <c r="M1303" i="6" s="1"/>
  <c r="J976" i="6"/>
  <c r="U925" i="6"/>
  <c r="E925" i="6"/>
  <c r="J868" i="6"/>
  <c r="I534" i="6"/>
  <c r="M534" i="6" s="1"/>
  <c r="P534" i="6"/>
  <c r="F878" i="6"/>
  <c r="I878" i="6"/>
  <c r="M878" i="6" s="1"/>
  <c r="P878" i="6"/>
  <c r="E549" i="6"/>
  <c r="U549" i="6"/>
  <c r="J56" i="6"/>
  <c r="H1357" i="6"/>
  <c r="U1357" i="6"/>
  <c r="E1357" i="6"/>
  <c r="H1194" i="6"/>
  <c r="E1194" i="6"/>
  <c r="E980" i="6"/>
  <c r="H980" i="6"/>
  <c r="U980" i="6"/>
  <c r="F49" i="6"/>
  <c r="P49" i="6"/>
  <c r="P939" i="6"/>
  <c r="F939" i="6"/>
  <c r="I939" i="6"/>
  <c r="M939" i="6" s="1"/>
  <c r="J651" i="6"/>
  <c r="H64" i="6"/>
  <c r="E64" i="6"/>
  <c r="U64" i="6"/>
  <c r="I1317" i="6"/>
  <c r="M1317" i="6" s="1"/>
  <c r="P1317" i="6"/>
  <c r="F1155" i="6"/>
  <c r="I1155" i="6"/>
  <c r="M1155" i="6" s="1"/>
  <c r="P1155" i="6"/>
  <c r="H1145" i="6"/>
  <c r="E1145" i="6"/>
  <c r="U1145" i="6"/>
  <c r="J1141" i="6"/>
  <c r="F1068" i="6"/>
  <c r="I1068" i="6"/>
  <c r="M1068" i="6" s="1"/>
  <c r="P1068" i="6"/>
  <c r="F1066" i="6"/>
  <c r="P1066" i="6"/>
  <c r="E1029" i="6"/>
  <c r="H1029" i="6"/>
  <c r="U1029" i="6"/>
  <c r="E884" i="6"/>
  <c r="H884" i="6"/>
  <c r="H1331" i="6"/>
  <c r="E1032" i="6"/>
  <c r="H1032" i="6"/>
  <c r="U1032" i="6"/>
  <c r="U939" i="6"/>
  <c r="I891" i="6"/>
  <c r="M891" i="6" s="1"/>
  <c r="F891" i="6"/>
  <c r="P891" i="6"/>
  <c r="U874" i="6"/>
  <c r="P419" i="6"/>
  <c r="F419" i="6"/>
  <c r="I419" i="6"/>
  <c r="M419" i="6" s="1"/>
  <c r="H60" i="6"/>
  <c r="I1329" i="6"/>
  <c r="M1329" i="6" s="1"/>
  <c r="P1329" i="6"/>
  <c r="J1283" i="6"/>
  <c r="H1115" i="6"/>
  <c r="U1115" i="6"/>
  <c r="P937" i="6"/>
  <c r="F937" i="6"/>
  <c r="J795" i="6"/>
  <c r="F674" i="6"/>
  <c r="P674" i="6"/>
  <c r="H589" i="6"/>
  <c r="E589" i="6"/>
  <c r="U589" i="6"/>
  <c r="J347" i="6"/>
  <c r="E104" i="6"/>
  <c r="E1360" i="6"/>
  <c r="H1360" i="6"/>
  <c r="U1360" i="6"/>
  <c r="U1039" i="6"/>
  <c r="H1039" i="6"/>
  <c r="E1039" i="6"/>
  <c r="H897" i="6"/>
  <c r="U897" i="6"/>
  <c r="F804" i="6"/>
  <c r="I804" i="6"/>
  <c r="M804" i="6" s="1"/>
  <c r="P804" i="6"/>
  <c r="I678" i="6"/>
  <c r="M678" i="6" s="1"/>
  <c r="P678" i="6"/>
  <c r="H419" i="6"/>
  <c r="E419" i="6"/>
  <c r="U419" i="6"/>
  <c r="P176" i="6"/>
  <c r="F176" i="6"/>
  <c r="I176" i="6"/>
  <c r="M176" i="6" s="1"/>
  <c r="F102" i="6"/>
  <c r="P102" i="6"/>
  <c r="U58" i="6"/>
  <c r="U1329" i="6"/>
  <c r="H1288" i="6"/>
  <c r="I1208" i="6"/>
  <c r="M1208" i="6" s="1"/>
  <c r="P1208" i="6"/>
  <c r="F1208" i="6"/>
  <c r="E946" i="6"/>
  <c r="J885" i="6"/>
  <c r="H313" i="6"/>
  <c r="E313" i="6"/>
  <c r="U313" i="6"/>
  <c r="P39" i="6"/>
  <c r="F39" i="6"/>
  <c r="I39" i="6"/>
  <c r="M39" i="6" s="1"/>
  <c r="E1162" i="6"/>
  <c r="H1162" i="6"/>
  <c r="U1121" i="6"/>
  <c r="E1121" i="6"/>
  <c r="H1121" i="6"/>
  <c r="E899" i="6"/>
  <c r="H899" i="6"/>
  <c r="U899" i="6"/>
  <c r="P815" i="6"/>
  <c r="F815" i="6"/>
  <c r="I815" i="6"/>
  <c r="M815" i="6" s="1"/>
  <c r="P639" i="6"/>
  <c r="F639" i="6"/>
  <c r="I639" i="6"/>
  <c r="M639" i="6" s="1"/>
  <c r="I618" i="6"/>
  <c r="M618" i="6" s="1"/>
  <c r="P618" i="6"/>
  <c r="F618" i="6"/>
  <c r="H176" i="6"/>
  <c r="U176" i="6"/>
  <c r="U1259" i="6"/>
  <c r="U1073" i="6"/>
  <c r="E1073" i="6"/>
  <c r="J705" i="6"/>
  <c r="H696" i="6"/>
  <c r="U696" i="6"/>
  <c r="E696" i="6"/>
  <c r="I499" i="6"/>
  <c r="M499" i="6" s="1"/>
  <c r="F499" i="6"/>
  <c r="P499" i="6"/>
  <c r="I493" i="6"/>
  <c r="M493" i="6" s="1"/>
  <c r="F493" i="6"/>
  <c r="P493" i="6"/>
  <c r="U83" i="6"/>
  <c r="H83" i="6"/>
  <c r="P1264" i="6"/>
  <c r="F1264" i="6"/>
  <c r="I1264" i="6"/>
  <c r="M1264" i="6" s="1"/>
  <c r="I1344" i="6"/>
  <c r="M1344" i="6" s="1"/>
  <c r="F1344" i="6"/>
  <c r="P1344" i="6"/>
  <c r="U1298" i="6"/>
  <c r="E1298" i="6"/>
  <c r="F967" i="6"/>
  <c r="I967" i="6"/>
  <c r="M967" i="6" s="1"/>
  <c r="P967" i="6"/>
  <c r="J917" i="6"/>
  <c r="E822" i="6"/>
  <c r="H822" i="6"/>
  <c r="J725" i="6"/>
  <c r="E1372" i="6"/>
  <c r="J1366" i="6"/>
  <c r="E1266" i="6"/>
  <c r="U1266" i="6"/>
  <c r="F1022" i="6"/>
  <c r="P1022" i="6"/>
  <c r="P1013" i="6"/>
  <c r="F1013" i="6"/>
  <c r="I1013" i="6"/>
  <c r="M1013" i="6" s="1"/>
  <c r="J646" i="6"/>
  <c r="H514" i="6"/>
  <c r="H44" i="6"/>
  <c r="E44" i="6"/>
  <c r="F31" i="6"/>
  <c r="P31" i="6"/>
  <c r="I31" i="6"/>
  <c r="M31" i="6" s="1"/>
  <c r="H1370" i="6"/>
  <c r="U1370" i="6"/>
  <c r="P1355" i="6"/>
  <c r="I1355" i="6"/>
  <c r="M1355" i="6" s="1"/>
  <c r="F1355" i="6"/>
  <c r="E1024" i="6"/>
  <c r="H1024" i="6"/>
  <c r="P521" i="6"/>
  <c r="F521" i="6"/>
  <c r="I521" i="6"/>
  <c r="M521" i="6" s="1"/>
  <c r="I1133" i="6"/>
  <c r="M1133" i="6" s="1"/>
  <c r="P1133" i="6"/>
  <c r="J1096" i="6"/>
  <c r="U969" i="6"/>
  <c r="H969" i="6"/>
  <c r="E748" i="6"/>
  <c r="H748" i="6"/>
  <c r="P648" i="6"/>
  <c r="F648" i="6"/>
  <c r="I648" i="6"/>
  <c r="M648" i="6" s="1"/>
  <c r="E165" i="6"/>
  <c r="U125" i="6"/>
  <c r="I95" i="6"/>
  <c r="M95" i="6" s="1"/>
  <c r="P95" i="6"/>
  <c r="F95" i="6"/>
  <c r="U1314" i="6"/>
  <c r="E1314" i="6"/>
  <c r="U1133" i="6"/>
  <c r="I1027" i="6"/>
  <c r="M1027" i="6" s="1"/>
  <c r="P1027" i="6"/>
  <c r="F1027" i="6"/>
  <c r="J538" i="6"/>
  <c r="H188" i="6"/>
  <c r="E188" i="6"/>
  <c r="U188" i="6"/>
  <c r="E1216" i="6"/>
  <c r="U757" i="6"/>
  <c r="U781" i="6"/>
  <c r="I666" i="6"/>
  <c r="M666" i="6" s="1"/>
  <c r="F666" i="6"/>
  <c r="P666" i="6"/>
  <c r="H198" i="6"/>
  <c r="E198" i="6"/>
  <c r="I1249" i="6"/>
  <c r="M1249" i="6" s="1"/>
  <c r="F1249" i="6"/>
  <c r="P1249" i="6"/>
  <c r="E1229" i="6"/>
  <c r="H1229" i="6"/>
  <c r="J1204" i="6"/>
  <c r="E1068" i="6"/>
  <c r="H1068" i="6"/>
  <c r="I981" i="6"/>
  <c r="M981" i="6" s="1"/>
  <c r="P981" i="6"/>
  <c r="I946" i="6"/>
  <c r="M946" i="6" s="1"/>
  <c r="F946" i="6"/>
  <c r="E792" i="6"/>
  <c r="U193" i="6"/>
  <c r="E891" i="6"/>
  <c r="U891" i="6"/>
  <c r="U676" i="6"/>
  <c r="E676" i="6"/>
  <c r="J1365" i="6"/>
  <c r="H1285" i="6"/>
  <c r="E1285" i="6"/>
  <c r="I944" i="6"/>
  <c r="M944" i="6" s="1"/>
  <c r="P944" i="6"/>
  <c r="E632" i="6"/>
  <c r="H632" i="6"/>
  <c r="I439" i="6"/>
  <c r="M439" i="6" s="1"/>
  <c r="F439" i="6"/>
  <c r="P439" i="6"/>
  <c r="J135" i="6"/>
  <c r="I130" i="6"/>
  <c r="M130" i="6" s="1"/>
  <c r="P130" i="6"/>
  <c r="E1336" i="6"/>
  <c r="H1336" i="6"/>
  <c r="U1160" i="6"/>
  <c r="J1076" i="6"/>
  <c r="E951" i="6"/>
  <c r="H951" i="6"/>
  <c r="U951" i="6"/>
  <c r="E22" i="6"/>
  <c r="E85" i="6"/>
  <c r="H85" i="6"/>
  <c r="I817" i="6"/>
  <c r="M817" i="6" s="1"/>
  <c r="P817" i="6"/>
  <c r="F817" i="6"/>
  <c r="I495" i="6"/>
  <c r="M495" i="6" s="1"/>
  <c r="P495" i="6"/>
  <c r="F495" i="6"/>
  <c r="I353" i="6"/>
  <c r="M353" i="6" s="1"/>
  <c r="F353" i="6"/>
  <c r="P353" i="6"/>
  <c r="E39" i="6"/>
  <c r="F1370" i="6"/>
  <c r="I1288" i="6"/>
  <c r="M1288" i="6" s="1"/>
  <c r="P1288" i="6"/>
  <c r="P1167" i="6"/>
  <c r="I1167" i="6"/>
  <c r="M1167" i="6" s="1"/>
  <c r="F1167" i="6"/>
  <c r="P1165" i="6"/>
  <c r="F1165" i="6"/>
  <c r="I1165" i="6"/>
  <c r="M1165" i="6" s="1"/>
  <c r="J1122" i="6"/>
  <c r="H1035" i="6"/>
  <c r="E1035" i="6"/>
  <c r="U1035" i="6"/>
  <c r="F960" i="6"/>
  <c r="I960" i="6"/>
  <c r="M960" i="6" s="1"/>
  <c r="P960" i="6"/>
  <c r="E815" i="6"/>
  <c r="H815" i="6"/>
  <c r="P641" i="6"/>
  <c r="F641" i="6"/>
  <c r="I641" i="6"/>
  <c r="M641" i="6" s="1"/>
  <c r="F210" i="6"/>
  <c r="I210" i="6"/>
  <c r="M210" i="6" s="1"/>
  <c r="P210" i="6"/>
  <c r="P1268" i="6"/>
  <c r="F1268" i="6"/>
  <c r="I1268" i="6"/>
  <c r="M1268" i="6" s="1"/>
  <c r="P958" i="6"/>
  <c r="F958" i="6"/>
  <c r="U641" i="6"/>
  <c r="E641" i="6"/>
  <c r="P514" i="6"/>
  <c r="I514" i="6"/>
  <c r="M514" i="6" s="1"/>
  <c r="F514" i="6"/>
  <c r="P1411" i="6"/>
  <c r="F1411" i="6"/>
  <c r="I1411" i="6"/>
  <c r="M1411" i="6" s="1"/>
  <c r="H1044" i="6"/>
  <c r="F906" i="6"/>
  <c r="I906" i="6"/>
  <c r="M906" i="6" s="1"/>
  <c r="P906" i="6"/>
  <c r="E214" i="6"/>
  <c r="H1270" i="6"/>
  <c r="U1270" i="6"/>
  <c r="E1270" i="6"/>
  <c r="U1264" i="6"/>
  <c r="I1049" i="6"/>
  <c r="M1049" i="6" s="1"/>
  <c r="F1049" i="6"/>
  <c r="P1049" i="6"/>
  <c r="J823" i="6"/>
  <c r="H746" i="6"/>
  <c r="U746" i="6"/>
  <c r="H529" i="6"/>
  <c r="U529" i="6"/>
  <c r="F358" i="6"/>
  <c r="P358" i="6"/>
  <c r="F93" i="6"/>
  <c r="I93" i="6"/>
  <c r="M93" i="6" s="1"/>
  <c r="P93" i="6"/>
  <c r="J1347" i="6"/>
  <c r="U973" i="6"/>
  <c r="H844" i="6"/>
  <c r="P840" i="6"/>
  <c r="I840" i="6"/>
  <c r="M840" i="6" s="1"/>
  <c r="F266" i="6"/>
  <c r="P266" i="6"/>
  <c r="I266" i="6"/>
  <c r="M266" i="6" s="1"/>
  <c r="H1088" i="6"/>
  <c r="E849" i="6"/>
  <c r="H849" i="6"/>
  <c r="U849" i="6"/>
  <c r="U736" i="6"/>
  <c r="P403" i="6"/>
  <c r="F403" i="6"/>
  <c r="I403" i="6"/>
  <c r="M403" i="6" s="1"/>
  <c r="J389" i="6"/>
  <c r="P369" i="6"/>
  <c r="F369" i="6"/>
  <c r="I369" i="6"/>
  <c r="M369" i="6" s="1"/>
  <c r="P1349" i="6"/>
  <c r="I1349" i="6"/>
  <c r="M1349" i="6" s="1"/>
  <c r="I1112" i="6"/>
  <c r="M1112" i="6" s="1"/>
  <c r="P1112" i="6"/>
  <c r="F1112" i="6"/>
  <c r="U1093" i="6"/>
  <c r="H923" i="6"/>
  <c r="U923" i="6"/>
  <c r="H851" i="6"/>
  <c r="E851" i="6"/>
  <c r="U851" i="6"/>
  <c r="P757" i="6"/>
  <c r="F757" i="6"/>
  <c r="I757" i="6"/>
  <c r="M757" i="6" s="1"/>
  <c r="I257" i="6"/>
  <c r="M257" i="6" s="1"/>
  <c r="P257" i="6"/>
  <c r="F257" i="6"/>
  <c r="P173" i="6"/>
  <c r="I173" i="6"/>
  <c r="M173" i="6" s="1"/>
  <c r="E129" i="6"/>
  <c r="U129" i="6"/>
  <c r="H129" i="6"/>
  <c r="I89" i="6"/>
  <c r="M89" i="6" s="1"/>
  <c r="F89" i="6"/>
  <c r="P89" i="6"/>
  <c r="U978" i="6"/>
  <c r="H930" i="6"/>
  <c r="P668" i="6"/>
  <c r="F668" i="6"/>
  <c r="I668" i="6"/>
  <c r="M668" i="6" s="1"/>
  <c r="H1221" i="6"/>
  <c r="U1221" i="6"/>
  <c r="U876" i="6"/>
  <c r="E876" i="6"/>
  <c r="H876" i="6"/>
  <c r="I792" i="6"/>
  <c r="M792" i="6" s="1"/>
  <c r="P792" i="6"/>
  <c r="F792" i="6"/>
  <c r="U573" i="6"/>
  <c r="I1360" i="6"/>
  <c r="M1360" i="6" s="1"/>
  <c r="F1360" i="6"/>
  <c r="P1360" i="6"/>
  <c r="H1282" i="6"/>
  <c r="E1282" i="6"/>
  <c r="U1201" i="6"/>
  <c r="H1201" i="6"/>
  <c r="E1201" i="6"/>
  <c r="J988" i="6"/>
  <c r="I609" i="6"/>
  <c r="M609" i="6" s="1"/>
  <c r="F609" i="6"/>
  <c r="P609" i="6"/>
  <c r="E1401" i="6"/>
  <c r="U1401" i="6"/>
  <c r="H1401" i="6"/>
  <c r="I111" i="6"/>
  <c r="M111" i="6" s="1"/>
  <c r="P111" i="6"/>
  <c r="F111" i="6"/>
  <c r="E1037" i="6"/>
  <c r="H1037" i="6"/>
  <c r="I1003" i="6"/>
  <c r="M1003" i="6" s="1"/>
  <c r="P1003" i="6"/>
  <c r="F1003" i="6"/>
  <c r="P463" i="6"/>
  <c r="F463" i="6"/>
  <c r="I463" i="6"/>
  <c r="M463" i="6" s="1"/>
  <c r="I67" i="6"/>
  <c r="M67" i="6" s="1"/>
  <c r="P67" i="6"/>
  <c r="H1208" i="6"/>
  <c r="U1208" i="6"/>
  <c r="E1208" i="6"/>
  <c r="I813" i="6"/>
  <c r="M813" i="6" s="1"/>
  <c r="P813" i="6"/>
  <c r="U225" i="6"/>
  <c r="F212" i="6"/>
  <c r="P212" i="6"/>
  <c r="I212" i="6"/>
  <c r="M212" i="6" s="1"/>
  <c r="H111" i="6"/>
  <c r="E111" i="6"/>
  <c r="U111" i="6"/>
  <c r="F81" i="6"/>
  <c r="I81" i="6"/>
  <c r="M81" i="6" s="1"/>
  <c r="P81" i="6"/>
  <c r="I37" i="6"/>
  <c r="M37" i="6" s="1"/>
  <c r="P37" i="6"/>
  <c r="I1262" i="6"/>
  <c r="M1262" i="6" s="1"/>
  <c r="P135" i="6"/>
  <c r="F135" i="6"/>
  <c r="I135" i="6"/>
  <c r="M135" i="6" s="1"/>
  <c r="I1402" i="6"/>
  <c r="M1402" i="6" s="1"/>
  <c r="P1402" i="6"/>
  <c r="E1370" i="6"/>
  <c r="P1300" i="6"/>
  <c r="F1300" i="6"/>
  <c r="I1300" i="6"/>
  <c r="M1300" i="6" s="1"/>
  <c r="F1262" i="6"/>
  <c r="H1256" i="6"/>
  <c r="H1254" i="6"/>
  <c r="J1163" i="6"/>
  <c r="U1128" i="6"/>
  <c r="H1128" i="6"/>
  <c r="I1076" i="6"/>
  <c r="M1076" i="6" s="1"/>
  <c r="P1076" i="6"/>
  <c r="F1076" i="6"/>
  <c r="I1022" i="6"/>
  <c r="M1022" i="6" s="1"/>
  <c r="E964" i="6"/>
  <c r="H964" i="6"/>
  <c r="P822" i="6"/>
  <c r="F822" i="6"/>
  <c r="I822" i="6"/>
  <c r="M822" i="6" s="1"/>
  <c r="E820" i="6"/>
  <c r="P716" i="6"/>
  <c r="F716" i="6"/>
  <c r="I716" i="6"/>
  <c r="M716" i="6" s="1"/>
  <c r="J703" i="6"/>
  <c r="H503" i="6"/>
  <c r="U503" i="6"/>
  <c r="J358" i="6"/>
  <c r="P231" i="6"/>
  <c r="F231" i="6"/>
  <c r="E231" i="6"/>
  <c r="H231" i="6"/>
  <c r="U231" i="6"/>
  <c r="E65" i="6"/>
  <c r="U45" i="6"/>
  <c r="E32" i="6"/>
  <c r="P1400" i="6"/>
  <c r="I1400" i="6"/>
  <c r="M1400" i="6" s="1"/>
  <c r="U1380" i="6"/>
  <c r="F1373" i="6"/>
  <c r="P1373" i="6"/>
  <c r="E1308" i="6"/>
  <c r="F1301" i="6"/>
  <c r="P1301" i="6"/>
  <c r="E1276" i="6"/>
  <c r="H1276" i="6"/>
  <c r="J1265" i="6"/>
  <c r="E1245" i="6"/>
  <c r="I1189" i="6"/>
  <c r="M1189" i="6" s="1"/>
  <c r="F1189" i="6"/>
  <c r="P1189" i="6"/>
  <c r="U949" i="6"/>
  <c r="F879" i="6"/>
  <c r="P879" i="6"/>
  <c r="U862" i="6"/>
  <c r="E862" i="6"/>
  <c r="H862" i="6"/>
  <c r="H712" i="6"/>
  <c r="U712" i="6"/>
  <c r="P631" i="6"/>
  <c r="I631" i="6"/>
  <c r="M631" i="6" s="1"/>
  <c r="F631" i="6"/>
  <c r="I625" i="6"/>
  <c r="M625" i="6" s="1"/>
  <c r="F625" i="6"/>
  <c r="P625" i="6"/>
  <c r="P479" i="6"/>
  <c r="I479" i="6"/>
  <c r="M479" i="6" s="1"/>
  <c r="F479" i="6"/>
  <c r="P442" i="6"/>
  <c r="I442" i="6"/>
  <c r="M442" i="6" s="1"/>
  <c r="U356" i="6"/>
  <c r="E356" i="6"/>
  <c r="H356" i="6"/>
  <c r="E143" i="6"/>
  <c r="H1378" i="6"/>
  <c r="U1378" i="6"/>
  <c r="U1347" i="6"/>
  <c r="H1340" i="6"/>
  <c r="P1274" i="6"/>
  <c r="I1274" i="6"/>
  <c r="M1274" i="6" s="1"/>
  <c r="E1195" i="6"/>
  <c r="H1195" i="6"/>
  <c r="U1163" i="6"/>
  <c r="E1163" i="6"/>
  <c r="I961" i="6"/>
  <c r="M961" i="6" s="1"/>
  <c r="P961" i="6"/>
  <c r="E900" i="6"/>
  <c r="U900" i="6"/>
  <c r="F675" i="6"/>
  <c r="I675" i="6"/>
  <c r="M675" i="6" s="1"/>
  <c r="F601" i="6"/>
  <c r="P601" i="6"/>
  <c r="I563" i="6"/>
  <c r="M563" i="6" s="1"/>
  <c r="P563" i="6"/>
  <c r="F563" i="6"/>
  <c r="U1060" i="6"/>
  <c r="E1060" i="6"/>
  <c r="E1048" i="6"/>
  <c r="U1048" i="6"/>
  <c r="H936" i="6"/>
  <c r="E936" i="6"/>
  <c r="H934" i="6"/>
  <c r="I907" i="6"/>
  <c r="M907" i="6" s="1"/>
  <c r="P907" i="6"/>
  <c r="P905" i="6"/>
  <c r="I905" i="6"/>
  <c r="M905" i="6" s="1"/>
  <c r="E776" i="6"/>
  <c r="H737" i="6"/>
  <c r="E737" i="6"/>
  <c r="E697" i="6"/>
  <c r="H697" i="6"/>
  <c r="I693" i="6"/>
  <c r="M693" i="6" s="1"/>
  <c r="P693" i="6"/>
  <c r="E667" i="6"/>
  <c r="U667" i="6"/>
  <c r="H667" i="6"/>
  <c r="U634" i="6"/>
  <c r="E634" i="6"/>
  <c r="J595" i="6"/>
  <c r="J586" i="6"/>
  <c r="H368" i="6"/>
  <c r="I297" i="6"/>
  <c r="M297" i="6" s="1"/>
  <c r="P297" i="6"/>
  <c r="J281" i="6"/>
  <c r="I224" i="6"/>
  <c r="M224" i="6" s="1"/>
  <c r="F224" i="6"/>
  <c r="I216" i="6"/>
  <c r="M216" i="6" s="1"/>
  <c r="P216" i="6"/>
  <c r="U172" i="6"/>
  <c r="H158" i="6"/>
  <c r="I127" i="6"/>
  <c r="M127" i="6" s="1"/>
  <c r="P122" i="6"/>
  <c r="F122" i="6"/>
  <c r="I118" i="6"/>
  <c r="M118" i="6" s="1"/>
  <c r="E1383" i="6"/>
  <c r="E1369" i="6"/>
  <c r="H1369" i="6"/>
  <c r="J1339" i="6"/>
  <c r="E1326" i="6"/>
  <c r="H1326" i="6"/>
  <c r="U1326" i="6"/>
  <c r="U1316" i="6"/>
  <c r="F1302" i="6"/>
  <c r="I1302" i="6"/>
  <c r="M1302" i="6" s="1"/>
  <c r="F1275" i="6"/>
  <c r="U1263" i="6"/>
  <c r="E1263" i="6"/>
  <c r="P1246" i="6"/>
  <c r="F1246" i="6"/>
  <c r="I1246" i="6"/>
  <c r="M1246" i="6" s="1"/>
  <c r="H1239" i="6"/>
  <c r="U1187" i="6"/>
  <c r="U1149" i="6"/>
  <c r="H1123" i="6"/>
  <c r="I1117" i="6"/>
  <c r="M1117" i="6" s="1"/>
  <c r="P1117" i="6"/>
  <c r="F1115" i="6"/>
  <c r="P1102" i="6"/>
  <c r="F1102" i="6"/>
  <c r="H1097" i="6"/>
  <c r="E1056" i="6"/>
  <c r="F1053" i="6"/>
  <c r="I1053" i="6"/>
  <c r="M1053" i="6" s="1"/>
  <c r="E1026" i="6"/>
  <c r="H1026" i="6"/>
  <c r="H1021" i="6"/>
  <c r="E1021" i="6"/>
  <c r="F998" i="6"/>
  <c r="E991" i="6"/>
  <c r="H911" i="6"/>
  <c r="E909" i="6"/>
  <c r="E865" i="6"/>
  <c r="U837" i="6"/>
  <c r="H837" i="6"/>
  <c r="E837" i="6"/>
  <c r="P794" i="6"/>
  <c r="F794" i="6"/>
  <c r="I794" i="6"/>
  <c r="M794" i="6" s="1"/>
  <c r="J781" i="6"/>
  <c r="U761" i="6"/>
  <c r="H761" i="6"/>
  <c r="I715" i="6"/>
  <c r="M715" i="6" s="1"/>
  <c r="P715" i="6"/>
  <c r="J668" i="6"/>
  <c r="J577" i="6"/>
  <c r="E576" i="6"/>
  <c r="E440" i="6"/>
  <c r="H440" i="6"/>
  <c r="U434" i="6"/>
  <c r="P289" i="6"/>
  <c r="F289" i="6"/>
  <c r="U798" i="6"/>
  <c r="F760" i="6"/>
  <c r="I760" i="6"/>
  <c r="M760" i="6" s="1"/>
  <c r="H757" i="6"/>
  <c r="E757" i="6"/>
  <c r="H716" i="6"/>
  <c r="U618" i="6"/>
  <c r="E618" i="6"/>
  <c r="F598" i="6"/>
  <c r="P598" i="6"/>
  <c r="I598" i="6"/>
  <c r="M598" i="6" s="1"/>
  <c r="E575" i="6"/>
  <c r="P485" i="6"/>
  <c r="I485" i="6"/>
  <c r="M485" i="6" s="1"/>
  <c r="F485" i="6"/>
  <c r="P472" i="6"/>
  <c r="I472" i="6"/>
  <c r="M472" i="6" s="1"/>
  <c r="I454" i="6"/>
  <c r="M454" i="6" s="1"/>
  <c r="P454" i="6"/>
  <c r="J309" i="6"/>
  <c r="H298" i="6"/>
  <c r="U298" i="6"/>
  <c r="H210" i="6"/>
  <c r="E159" i="6"/>
  <c r="F112" i="6"/>
  <c r="P112" i="6"/>
  <c r="F54" i="6"/>
  <c r="I54" i="6"/>
  <c r="M54" i="6" s="1"/>
  <c r="H49" i="6"/>
  <c r="U49" i="6"/>
  <c r="E1305" i="6"/>
  <c r="H1064" i="6"/>
  <c r="E992" i="6"/>
  <c r="H992" i="6"/>
  <c r="I988" i="6"/>
  <c r="M988" i="6" s="1"/>
  <c r="P988" i="6"/>
  <c r="U981" i="6"/>
  <c r="U904" i="6"/>
  <c r="F705" i="6"/>
  <c r="P705" i="6"/>
  <c r="I705" i="6"/>
  <c r="M705" i="6" s="1"/>
  <c r="P703" i="6"/>
  <c r="F703" i="6"/>
  <c r="I703" i="6"/>
  <c r="M703" i="6" s="1"/>
  <c r="H666" i="6"/>
  <c r="E666" i="6"/>
  <c r="P653" i="6"/>
  <c r="I653" i="6"/>
  <c r="M653" i="6" s="1"/>
  <c r="F653" i="6"/>
  <c r="U620" i="6"/>
  <c r="H620" i="6"/>
  <c r="E620" i="6"/>
  <c r="J590" i="6"/>
  <c r="P538" i="6"/>
  <c r="I538" i="6"/>
  <c r="M538" i="6" s="1"/>
  <c r="F538" i="6"/>
  <c r="E536" i="6"/>
  <c r="H536" i="6"/>
  <c r="U426" i="6"/>
  <c r="E426" i="6"/>
  <c r="H426" i="6"/>
  <c r="P986" i="6"/>
  <c r="I986" i="6"/>
  <c r="M986" i="6" s="1"/>
  <c r="U954" i="6"/>
  <c r="E954" i="6"/>
  <c r="H954" i="6"/>
  <c r="H860" i="6"/>
  <c r="E860" i="6"/>
  <c r="I858" i="6"/>
  <c r="M858" i="6" s="1"/>
  <c r="F858" i="6"/>
  <c r="P858" i="6"/>
  <c r="J816" i="6"/>
  <c r="U771" i="6"/>
  <c r="E771" i="6"/>
  <c r="H771" i="6"/>
  <c r="U760" i="6"/>
  <c r="E760" i="6"/>
  <c r="H692" i="6"/>
  <c r="E692" i="6"/>
  <c r="U692" i="6"/>
  <c r="P530" i="6"/>
  <c r="F530" i="6"/>
  <c r="I530" i="6"/>
  <c r="M530" i="6" s="1"/>
  <c r="U415" i="6"/>
  <c r="H415" i="6"/>
  <c r="U389" i="6"/>
  <c r="H389" i="6"/>
  <c r="E253" i="6"/>
  <c r="H253" i="6"/>
  <c r="U253" i="6"/>
  <c r="H182" i="6"/>
  <c r="U166" i="6"/>
  <c r="H141" i="6"/>
  <c r="P126" i="6"/>
  <c r="F126" i="6"/>
  <c r="P1354" i="6"/>
  <c r="F1354" i="6"/>
  <c r="I1354" i="6"/>
  <c r="M1354" i="6" s="1"/>
  <c r="U1236" i="6"/>
  <c r="E1236" i="6"/>
  <c r="U1222" i="6"/>
  <c r="H1158" i="6"/>
  <c r="E1158" i="6"/>
  <c r="F1146" i="6"/>
  <c r="P1146" i="6"/>
  <c r="H1129" i="6"/>
  <c r="E1129" i="6"/>
  <c r="H858" i="6"/>
  <c r="P594" i="6"/>
  <c r="F594" i="6"/>
  <c r="F558" i="6"/>
  <c r="P558" i="6"/>
  <c r="I558" i="6"/>
  <c r="M558" i="6" s="1"/>
  <c r="P1299" i="6"/>
  <c r="F1299" i="6"/>
  <c r="I1299" i="6"/>
  <c r="M1299" i="6" s="1"/>
  <c r="F1267" i="6"/>
  <c r="I1267" i="6"/>
  <c r="M1267" i="6" s="1"/>
  <c r="P1267" i="6"/>
  <c r="F1230" i="6"/>
  <c r="I1230" i="6"/>
  <c r="M1230" i="6" s="1"/>
  <c r="P1230" i="6"/>
  <c r="E1177" i="6"/>
  <c r="U1177" i="6"/>
  <c r="I1114" i="6"/>
  <c r="M1114" i="6" s="1"/>
  <c r="F1114" i="6"/>
  <c r="U1106" i="6"/>
  <c r="H1069" i="6"/>
  <c r="F1002" i="6"/>
  <c r="I1002" i="6"/>
  <c r="M1002" i="6" s="1"/>
  <c r="P1002" i="6"/>
  <c r="F695" i="6"/>
  <c r="I695" i="6"/>
  <c r="M695" i="6" s="1"/>
  <c r="P695" i="6"/>
  <c r="E1189" i="6"/>
  <c r="H1189" i="6"/>
  <c r="U1189" i="6"/>
  <c r="I1180" i="6"/>
  <c r="M1180" i="6" s="1"/>
  <c r="F1180" i="6"/>
  <c r="I1154" i="6"/>
  <c r="M1154" i="6" s="1"/>
  <c r="F1154" i="6"/>
  <c r="J1137" i="6"/>
  <c r="U1084" i="6"/>
  <c r="E1033" i="6"/>
  <c r="U1009" i="6"/>
  <c r="H1009" i="6"/>
  <c r="J989" i="6"/>
  <c r="U972" i="6"/>
  <c r="E972" i="6"/>
  <c r="H972" i="6"/>
  <c r="P920" i="6"/>
  <c r="F920" i="6"/>
  <c r="F918" i="6"/>
  <c r="P918" i="6"/>
  <c r="J907" i="6"/>
  <c r="P892" i="6"/>
  <c r="F892" i="6"/>
  <c r="I892" i="6"/>
  <c r="M892" i="6" s="1"/>
  <c r="J886" i="6"/>
  <c r="P873" i="6"/>
  <c r="I873" i="6"/>
  <c r="M873" i="6" s="1"/>
  <c r="F873" i="6"/>
  <c r="I850" i="6"/>
  <c r="M850" i="6" s="1"/>
  <c r="P850" i="6"/>
  <c r="I763" i="6"/>
  <c r="M763" i="6" s="1"/>
  <c r="P763" i="6"/>
  <c r="E749" i="6"/>
  <c r="I572" i="6"/>
  <c r="M572" i="6" s="1"/>
  <c r="F572" i="6"/>
  <c r="U558" i="6"/>
  <c r="P554" i="6"/>
  <c r="F554" i="6"/>
  <c r="F522" i="6"/>
  <c r="I522" i="6"/>
  <c r="M522" i="6" s="1"/>
  <c r="U479" i="6"/>
  <c r="P451" i="6"/>
  <c r="I451" i="6"/>
  <c r="M451" i="6" s="1"/>
  <c r="F451" i="6"/>
  <c r="J357" i="6"/>
  <c r="P335" i="6"/>
  <c r="I335" i="6"/>
  <c r="M335" i="6" s="1"/>
  <c r="E206" i="6"/>
  <c r="I99" i="6"/>
  <c r="M99" i="6" s="1"/>
  <c r="P99" i="6"/>
  <c r="H68" i="6"/>
  <c r="E68" i="6"/>
  <c r="U68" i="6"/>
  <c r="H59" i="6"/>
  <c r="H1299" i="6"/>
  <c r="U1294" i="6"/>
  <c r="P1255" i="6"/>
  <c r="F1255" i="6"/>
  <c r="J1201" i="6"/>
  <c r="P1094" i="6"/>
  <c r="I1094" i="6"/>
  <c r="M1094" i="6" s="1"/>
  <c r="U1083" i="6"/>
  <c r="E1074" i="6"/>
  <c r="U1074" i="6"/>
  <c r="F867" i="6"/>
  <c r="I867" i="6"/>
  <c r="M867" i="6" s="1"/>
  <c r="P867" i="6"/>
  <c r="U816" i="6"/>
  <c r="E816" i="6"/>
  <c r="H816" i="6"/>
  <c r="E765" i="6"/>
  <c r="I737" i="6"/>
  <c r="M737" i="6" s="1"/>
  <c r="F737" i="6"/>
  <c r="E730" i="6"/>
  <c r="H730" i="6"/>
  <c r="P552" i="6"/>
  <c r="F552" i="6"/>
  <c r="I552" i="6"/>
  <c r="M552" i="6" s="1"/>
  <c r="U256" i="6"/>
  <c r="E256" i="6"/>
  <c r="I240" i="6"/>
  <c r="M240" i="6" s="1"/>
  <c r="P240" i="6"/>
  <c r="U32" i="6"/>
  <c r="H1094" i="6"/>
  <c r="U1012" i="6"/>
  <c r="U1000" i="6"/>
  <c r="P174" i="6"/>
  <c r="U157" i="6"/>
  <c r="U122" i="6"/>
  <c r="U97" i="6"/>
  <c r="I1357" i="6"/>
  <c r="M1357" i="6" s="1"/>
  <c r="P1357" i="6"/>
  <c r="F1348" i="6"/>
  <c r="I1348" i="6"/>
  <c r="M1348" i="6" s="1"/>
  <c r="U1171" i="6"/>
  <c r="E1171" i="6"/>
  <c r="H1171" i="6"/>
  <c r="U1158" i="6"/>
  <c r="U1132" i="6"/>
  <c r="E1132" i="6"/>
  <c r="I1130" i="6"/>
  <c r="M1130" i="6" s="1"/>
  <c r="F1130" i="6"/>
  <c r="F1109" i="6"/>
  <c r="P1109" i="6"/>
  <c r="J802" i="6"/>
  <c r="P790" i="6"/>
  <c r="U787" i="6"/>
  <c r="H787" i="6"/>
  <c r="E778" i="6"/>
  <c r="U778" i="6"/>
  <c r="I650" i="6"/>
  <c r="M650" i="6" s="1"/>
  <c r="F650" i="6"/>
  <c r="P650" i="6"/>
  <c r="H645" i="6"/>
  <c r="U645" i="6"/>
  <c r="J441" i="6"/>
  <c r="E427" i="6"/>
  <c r="H427" i="6"/>
  <c r="U427" i="6"/>
  <c r="P388" i="6"/>
  <c r="I388" i="6"/>
  <c r="M388" i="6" s="1"/>
  <c r="U375" i="6"/>
  <c r="F310" i="6"/>
  <c r="P310" i="6"/>
  <c r="E293" i="6"/>
  <c r="U293" i="6"/>
  <c r="U1214" i="6"/>
  <c r="H1211" i="6"/>
  <c r="F1209" i="6"/>
  <c r="P1209" i="6"/>
  <c r="E1100" i="6"/>
  <c r="U1098" i="6"/>
  <c r="H1076" i="6"/>
  <c r="U1071" i="6"/>
  <c r="E1054" i="6"/>
  <c r="U1054" i="6"/>
  <c r="E1049" i="6"/>
  <c r="F1040" i="6"/>
  <c r="I1040" i="6"/>
  <c r="M1040" i="6" s="1"/>
  <c r="H990" i="6"/>
  <c r="U990" i="6"/>
  <c r="E990" i="6"/>
  <c r="U958" i="6"/>
  <c r="H958" i="6"/>
  <c r="E958" i="6"/>
  <c r="P954" i="6"/>
  <c r="F954" i="6"/>
  <c r="I952" i="6"/>
  <c r="M952" i="6" s="1"/>
  <c r="P952" i="6"/>
  <c r="U944" i="6"/>
  <c r="U847" i="6"/>
  <c r="U840" i="6"/>
  <c r="P800" i="6"/>
  <c r="I800" i="6"/>
  <c r="M800" i="6" s="1"/>
  <c r="I769" i="6"/>
  <c r="M769" i="6" s="1"/>
  <c r="P769" i="6"/>
  <c r="F769" i="6"/>
  <c r="E616" i="6"/>
  <c r="J194" i="6"/>
  <c r="F189" i="6"/>
  <c r="P189" i="6"/>
  <c r="I184" i="6"/>
  <c r="M184" i="6" s="1"/>
  <c r="F184" i="6"/>
  <c r="H135" i="6"/>
  <c r="F1382" i="6"/>
  <c r="I1382" i="6"/>
  <c r="M1382" i="6" s="1"/>
  <c r="P1356" i="6"/>
  <c r="F1356" i="6"/>
  <c r="I1356" i="6"/>
  <c r="M1356" i="6" s="1"/>
  <c r="H1351" i="6"/>
  <c r="E1351" i="6"/>
  <c r="E1264" i="6"/>
  <c r="P1030" i="6"/>
  <c r="I1030" i="6"/>
  <c r="M1030" i="6" s="1"/>
  <c r="H906" i="6"/>
  <c r="E906" i="6"/>
  <c r="U906" i="6"/>
  <c r="J856" i="6"/>
  <c r="H827" i="6"/>
  <c r="U718" i="6"/>
  <c r="E718" i="6"/>
  <c r="U690" i="6"/>
  <c r="E659" i="6"/>
  <c r="H659" i="6"/>
  <c r="U553" i="6"/>
  <c r="E553" i="6"/>
  <c r="H519" i="6"/>
  <c r="J197" i="6"/>
  <c r="E191" i="6"/>
  <c r="P141" i="6"/>
  <c r="I141" i="6"/>
  <c r="M141" i="6" s="1"/>
  <c r="H105" i="6"/>
  <c r="U89" i="6"/>
  <c r="E89" i="6"/>
  <c r="H54" i="6"/>
  <c r="E54" i="6"/>
  <c r="P1380" i="6"/>
  <c r="I1380" i="6"/>
  <c r="M1380" i="6" s="1"/>
  <c r="E1368" i="6"/>
  <c r="I1342" i="6"/>
  <c r="M1342" i="6" s="1"/>
  <c r="P1342" i="6"/>
  <c r="I1308" i="6"/>
  <c r="M1308" i="6" s="1"/>
  <c r="F1308" i="6"/>
  <c r="I1276" i="6"/>
  <c r="M1276" i="6" s="1"/>
  <c r="F1276" i="6"/>
  <c r="I1245" i="6"/>
  <c r="M1245" i="6" s="1"/>
  <c r="F1245" i="6"/>
  <c r="I1222" i="6"/>
  <c r="M1222" i="6" s="1"/>
  <c r="P1222" i="6"/>
  <c r="U1209" i="6"/>
  <c r="E1148" i="6"/>
  <c r="H1148" i="6"/>
  <c r="J913" i="6"/>
  <c r="J848" i="6"/>
  <c r="I701" i="6"/>
  <c r="M701" i="6" s="1"/>
  <c r="P701" i="6"/>
  <c r="J662" i="6"/>
  <c r="J623" i="6"/>
  <c r="U512" i="6"/>
  <c r="P502" i="6"/>
  <c r="F502" i="6"/>
  <c r="I502" i="6"/>
  <c r="M502" i="6" s="1"/>
  <c r="J187" i="6"/>
  <c r="U184" i="6"/>
  <c r="E179" i="6"/>
  <c r="E174" i="6"/>
  <c r="H169" i="6"/>
  <c r="U112" i="6"/>
  <c r="H87" i="6"/>
  <c r="I79" i="6"/>
  <c r="M79" i="6" s="1"/>
  <c r="F79" i="6"/>
  <c r="P79" i="6"/>
  <c r="H1382" i="6"/>
  <c r="I1347" i="6"/>
  <c r="M1347" i="6" s="1"/>
  <c r="P1347" i="6"/>
  <c r="F1340" i="6"/>
  <c r="I1340" i="6"/>
  <c r="M1340" i="6" s="1"/>
  <c r="U1283" i="6"/>
  <c r="I1252" i="6"/>
  <c r="M1252" i="6" s="1"/>
  <c r="P1252" i="6"/>
  <c r="U1234" i="6"/>
  <c r="H1234" i="6"/>
  <c r="P1232" i="6"/>
  <c r="I1232" i="6"/>
  <c r="M1232" i="6" s="1"/>
  <c r="P1195" i="6"/>
  <c r="F1195" i="6"/>
  <c r="I1195" i="6"/>
  <c r="M1195" i="6" s="1"/>
  <c r="H1186" i="6"/>
  <c r="E1186" i="6"/>
  <c r="F1177" i="6"/>
  <c r="P1177" i="6"/>
  <c r="E1168" i="6"/>
  <c r="I1108" i="6"/>
  <c r="M1108" i="6" s="1"/>
  <c r="F1108" i="6"/>
  <c r="F1106" i="6"/>
  <c r="P1106" i="6"/>
  <c r="E1006" i="6"/>
  <c r="H1006" i="6"/>
  <c r="E988" i="6"/>
  <c r="U988" i="6"/>
  <c r="I922" i="6"/>
  <c r="M922" i="6" s="1"/>
  <c r="P922" i="6"/>
  <c r="F922" i="6"/>
  <c r="F915" i="6"/>
  <c r="I915" i="6"/>
  <c r="M915" i="6" s="1"/>
  <c r="F900" i="6"/>
  <c r="P900" i="6"/>
  <c r="J667" i="6"/>
  <c r="U653" i="6"/>
  <c r="E653" i="6"/>
  <c r="H653" i="6"/>
  <c r="J608" i="6"/>
  <c r="E538" i="6"/>
  <c r="H538" i="6"/>
  <c r="P498" i="6"/>
  <c r="F498" i="6"/>
  <c r="I498" i="6"/>
  <c r="M498" i="6" s="1"/>
  <c r="F468" i="6"/>
  <c r="P468" i="6"/>
  <c r="J464" i="6"/>
  <c r="U456" i="6"/>
  <c r="J352" i="6"/>
  <c r="F280" i="6"/>
  <c r="I280" i="6"/>
  <c r="M280" i="6" s="1"/>
  <c r="P280" i="6"/>
  <c r="U275" i="6"/>
  <c r="H275" i="6"/>
  <c r="P271" i="6"/>
  <c r="I271" i="6"/>
  <c r="M271" i="6" s="1"/>
  <c r="F271" i="6"/>
  <c r="P269" i="6"/>
  <c r="F269" i="6"/>
  <c r="I269" i="6"/>
  <c r="M269" i="6" s="1"/>
  <c r="F265" i="6"/>
  <c r="I265" i="6"/>
  <c r="M265" i="6" s="1"/>
  <c r="P265" i="6"/>
  <c r="P1084" i="6"/>
  <c r="I1084" i="6"/>
  <c r="M1084" i="6" s="1"/>
  <c r="F972" i="6"/>
  <c r="I972" i="6"/>
  <c r="M972" i="6" s="1"/>
  <c r="P881" i="6"/>
  <c r="I881" i="6"/>
  <c r="M881" i="6" s="1"/>
  <c r="P749" i="6"/>
  <c r="F749" i="6"/>
  <c r="I749" i="6"/>
  <c r="M749" i="6" s="1"/>
  <c r="J221" i="6"/>
  <c r="E199" i="6"/>
  <c r="H199" i="6"/>
  <c r="U94" i="6"/>
  <c r="E94" i="6"/>
  <c r="H94" i="6"/>
  <c r="H63" i="6"/>
  <c r="F59" i="6"/>
  <c r="I59" i="6"/>
  <c r="M59" i="6" s="1"/>
  <c r="F1205" i="6"/>
  <c r="I1205" i="6"/>
  <c r="M1205" i="6" s="1"/>
  <c r="J1132" i="6"/>
  <c r="P1009" i="6"/>
  <c r="I1009" i="6"/>
  <c r="M1009" i="6" s="1"/>
  <c r="E625" i="6"/>
  <c r="U625" i="6"/>
  <c r="E603" i="6"/>
  <c r="E594" i="6"/>
  <c r="H594" i="6"/>
  <c r="J539" i="6"/>
  <c r="I526" i="6"/>
  <c r="M526" i="6" s="1"/>
  <c r="P526" i="6"/>
  <c r="U498" i="6"/>
  <c r="E498" i="6"/>
  <c r="H498" i="6"/>
  <c r="P320" i="6"/>
  <c r="F320" i="6"/>
  <c r="I320" i="6"/>
  <c r="M320" i="6" s="1"/>
  <c r="H280" i="6"/>
  <c r="J224" i="6"/>
  <c r="I211" i="6"/>
  <c r="M211" i="6" s="1"/>
  <c r="P211" i="6"/>
  <c r="E92" i="6"/>
  <c r="H1400" i="6"/>
  <c r="H1354" i="6"/>
  <c r="F1352" i="6"/>
  <c r="P1352" i="6"/>
  <c r="H1313" i="6"/>
  <c r="I1279" i="6"/>
  <c r="M1279" i="6" s="1"/>
  <c r="F1279" i="6"/>
  <c r="U1257" i="6"/>
  <c r="H242" i="6"/>
  <c r="E242" i="6"/>
  <c r="U242" i="6"/>
  <c r="H151" i="6"/>
  <c r="P1410" i="6"/>
  <c r="I1410" i="6"/>
  <c r="M1410" i="6" s="1"/>
  <c r="I1393" i="6"/>
  <c r="M1393" i="6" s="1"/>
  <c r="F1393" i="6"/>
  <c r="H1297" i="6"/>
  <c r="U1297" i="6"/>
  <c r="J1019" i="6"/>
  <c r="E1002" i="6"/>
  <c r="U1002" i="6"/>
  <c r="H1002" i="6"/>
  <c r="U877" i="6"/>
  <c r="E877" i="6"/>
  <c r="J863" i="6"/>
  <c r="F776" i="6"/>
  <c r="I776" i="6"/>
  <c r="M776" i="6" s="1"/>
  <c r="P776" i="6"/>
  <c r="P359" i="6"/>
  <c r="F359" i="6"/>
  <c r="U159" i="6"/>
  <c r="P158" i="6"/>
  <c r="I158" i="6"/>
  <c r="M158" i="6" s="1"/>
  <c r="E101" i="6"/>
  <c r="U67" i="6"/>
  <c r="J1389" i="6"/>
  <c r="U1388" i="6"/>
  <c r="I1369" i="6"/>
  <c r="M1369" i="6" s="1"/>
  <c r="P1369" i="6"/>
  <c r="F1369" i="6"/>
  <c r="I1326" i="6"/>
  <c r="M1326" i="6" s="1"/>
  <c r="F1326" i="6"/>
  <c r="I1306" i="6"/>
  <c r="M1306" i="6" s="1"/>
  <c r="P1306" i="6"/>
  <c r="H1279" i="6"/>
  <c r="E1279" i="6"/>
  <c r="J1275" i="6"/>
  <c r="H1272" i="6"/>
  <c r="F1239" i="6"/>
  <c r="I1239" i="6"/>
  <c r="M1239" i="6" s="1"/>
  <c r="U1227" i="6"/>
  <c r="E1180" i="6"/>
  <c r="U1154" i="6"/>
  <c r="E1154" i="6"/>
  <c r="U1127" i="6"/>
  <c r="E1127" i="6"/>
  <c r="I1123" i="6"/>
  <c r="M1123" i="6" s="1"/>
  <c r="P1123" i="6"/>
  <c r="I1097" i="6"/>
  <c r="M1097" i="6" s="1"/>
  <c r="F1097" i="6"/>
  <c r="U1049" i="6"/>
  <c r="U1038" i="6"/>
  <c r="I1021" i="6"/>
  <c r="M1021" i="6" s="1"/>
  <c r="F1021" i="6"/>
  <c r="F989" i="6"/>
  <c r="I989" i="6"/>
  <c r="M989" i="6" s="1"/>
  <c r="E957" i="6"/>
  <c r="H957" i="6"/>
  <c r="E913" i="6"/>
  <c r="H913" i="6"/>
  <c r="U913" i="6"/>
  <c r="E854" i="6"/>
  <c r="J833" i="6"/>
  <c r="U818" i="6"/>
  <c r="F617" i="6"/>
  <c r="I617" i="6"/>
  <c r="M617" i="6" s="1"/>
  <c r="U572" i="6"/>
  <c r="H572" i="6"/>
  <c r="E572" i="6"/>
  <c r="E396" i="6"/>
  <c r="H396" i="6"/>
  <c r="P379" i="6"/>
  <c r="I379" i="6"/>
  <c r="M379" i="6" s="1"/>
  <c r="P366" i="6"/>
  <c r="I366" i="6"/>
  <c r="M366" i="6" s="1"/>
  <c r="E316" i="6"/>
  <c r="H316" i="6"/>
  <c r="U316" i="6"/>
  <c r="F291" i="6"/>
  <c r="I291" i="6"/>
  <c r="M291" i="6" s="1"/>
  <c r="P291" i="6"/>
  <c r="U247" i="6"/>
  <c r="U210" i="6"/>
  <c r="E167" i="6"/>
  <c r="J118" i="6"/>
  <c r="F108" i="6"/>
  <c r="I108" i="6"/>
  <c r="M108" i="6" s="1"/>
  <c r="E99" i="6"/>
  <c r="H99" i="6"/>
  <c r="H82" i="6"/>
  <c r="J62" i="6"/>
  <c r="J39" i="6"/>
  <c r="H1410" i="6"/>
  <c r="H1393" i="6"/>
  <c r="E1393" i="6"/>
  <c r="U1351" i="6"/>
  <c r="F1338" i="6"/>
  <c r="I1338" i="6"/>
  <c r="M1338" i="6" s="1"/>
  <c r="U1311" i="6"/>
  <c r="P1237" i="6"/>
  <c r="I1237" i="6"/>
  <c r="M1237" i="6" s="1"/>
  <c r="J1192" i="6"/>
  <c r="E1125" i="6"/>
  <c r="P226" i="6"/>
  <c r="U218" i="6"/>
  <c r="E170" i="6"/>
  <c r="H170" i="6"/>
  <c r="F163" i="6"/>
  <c r="P163" i="6"/>
  <c r="H137" i="6"/>
  <c r="E137" i="6"/>
  <c r="P87" i="6"/>
  <c r="P54" i="6"/>
  <c r="P40" i="6"/>
  <c r="P1382" i="6"/>
  <c r="J1329" i="6"/>
  <c r="H1319" i="6"/>
  <c r="J1296" i="6"/>
  <c r="F1285" i="6"/>
  <c r="I1285" i="6"/>
  <c r="M1285" i="6" s="1"/>
  <c r="P1282" i="6"/>
  <c r="I1282" i="6"/>
  <c r="M1282" i="6" s="1"/>
  <c r="U1276" i="6"/>
  <c r="U1194" i="6"/>
  <c r="P1186" i="6"/>
  <c r="F1176" i="6"/>
  <c r="I1176" i="6"/>
  <c r="M1176" i="6" s="1"/>
  <c r="E1119" i="6"/>
  <c r="H1119" i="6"/>
  <c r="H1117" i="6"/>
  <c r="U1117" i="6"/>
  <c r="P1069" i="6"/>
  <c r="P1040" i="6"/>
  <c r="U1033" i="6"/>
  <c r="U1006" i="6"/>
  <c r="E1005" i="6"/>
  <c r="H1005" i="6"/>
  <c r="H944" i="6"/>
  <c r="P915" i="6"/>
  <c r="J912" i="6"/>
  <c r="H840" i="6"/>
  <c r="J838" i="6"/>
  <c r="U789" i="6"/>
  <c r="H789" i="6"/>
  <c r="P760" i="6"/>
  <c r="F746" i="6"/>
  <c r="I746" i="6"/>
  <c r="M746" i="6" s="1"/>
  <c r="P746" i="6"/>
  <c r="P680" i="6"/>
  <c r="F680" i="6"/>
  <c r="I680" i="6"/>
  <c r="M680" i="6" s="1"/>
  <c r="I630" i="6"/>
  <c r="M630" i="6" s="1"/>
  <c r="F630" i="6"/>
  <c r="P630" i="6"/>
  <c r="U501" i="6"/>
  <c r="E447" i="6"/>
  <c r="H447" i="6"/>
  <c r="E436" i="6"/>
  <c r="U436" i="6"/>
  <c r="F432" i="6"/>
  <c r="P432" i="6"/>
  <c r="E323" i="6"/>
  <c r="H323" i="6"/>
  <c r="J1356" i="6"/>
  <c r="P1343" i="6"/>
  <c r="I1343" i="6"/>
  <c r="M1343" i="6" s="1"/>
  <c r="H1215" i="6"/>
  <c r="J1176" i="6"/>
  <c r="I1173" i="6"/>
  <c r="M1173" i="6" s="1"/>
  <c r="F1173" i="6"/>
  <c r="U1122" i="6"/>
  <c r="I1105" i="6"/>
  <c r="M1105" i="6" s="1"/>
  <c r="F1105" i="6"/>
  <c r="U1087" i="6"/>
  <c r="E1013" i="6"/>
  <c r="I745" i="6"/>
  <c r="M745" i="6" s="1"/>
  <c r="P745" i="6"/>
  <c r="E708" i="6"/>
  <c r="H708" i="6"/>
  <c r="U675" i="6"/>
  <c r="H675" i="6"/>
  <c r="U568" i="6"/>
  <c r="F117" i="6"/>
  <c r="P117" i="6"/>
  <c r="F96" i="6"/>
  <c r="P96" i="6"/>
  <c r="I96" i="6"/>
  <c r="M96" i="6" s="1"/>
  <c r="F55" i="6"/>
  <c r="P55" i="6"/>
  <c r="H1289" i="6"/>
  <c r="U1289" i="6"/>
  <c r="J1256" i="6"/>
  <c r="E1255" i="6"/>
  <c r="H1205" i="6"/>
  <c r="P1200" i="6"/>
  <c r="I1200" i="6"/>
  <c r="M1200" i="6" s="1"/>
  <c r="U1118" i="6"/>
  <c r="I1018" i="6"/>
  <c r="M1018" i="6" s="1"/>
  <c r="F1018" i="6"/>
  <c r="U1003" i="6"/>
  <c r="F996" i="6"/>
  <c r="I996" i="6"/>
  <c r="M996" i="6" s="1"/>
  <c r="U950" i="6"/>
  <c r="H926" i="6"/>
  <c r="J922" i="6"/>
  <c r="H919" i="6"/>
  <c r="E894" i="6"/>
  <c r="E883" i="6"/>
  <c r="H883" i="6"/>
  <c r="U879" i="6"/>
  <c r="F864" i="6"/>
  <c r="P864" i="6"/>
  <c r="J780" i="6"/>
  <c r="I773" i="6"/>
  <c r="M773" i="6" s="1"/>
  <c r="P773" i="6"/>
  <c r="F773" i="6"/>
  <c r="E743" i="6"/>
  <c r="H743" i="6"/>
  <c r="E732" i="6"/>
  <c r="U732" i="6"/>
  <c r="J654" i="6"/>
  <c r="U651" i="6"/>
  <c r="F642" i="6"/>
  <c r="I642" i="6"/>
  <c r="M642" i="6" s="1"/>
  <c r="J629" i="6"/>
  <c r="I591" i="6"/>
  <c r="M591" i="6" s="1"/>
  <c r="F591" i="6"/>
  <c r="P591" i="6"/>
  <c r="P546" i="6"/>
  <c r="F546" i="6"/>
  <c r="I546" i="6"/>
  <c r="M546" i="6" s="1"/>
  <c r="H544" i="6"/>
  <c r="J531" i="6"/>
  <c r="P505" i="6"/>
  <c r="I505" i="6"/>
  <c r="M505" i="6" s="1"/>
  <c r="F505" i="6"/>
  <c r="H431" i="6"/>
  <c r="E431" i="6"/>
  <c r="U422" i="6"/>
  <c r="E422" i="6"/>
  <c r="E365" i="6"/>
  <c r="E351" i="6"/>
  <c r="H349" i="6"/>
  <c r="U315" i="6"/>
  <c r="E315" i="6"/>
  <c r="H315" i="6"/>
  <c r="F308" i="6"/>
  <c r="I308" i="6"/>
  <c r="M308" i="6" s="1"/>
  <c r="P308" i="6"/>
  <c r="E306" i="6"/>
  <c r="H306" i="6"/>
  <c r="U306" i="6"/>
  <c r="P300" i="6"/>
  <c r="I300" i="6"/>
  <c r="M300" i="6" s="1"/>
  <c r="U289" i="6"/>
  <c r="E289" i="6"/>
  <c r="E1337" i="6"/>
  <c r="H1302" i="6"/>
  <c r="P1273" i="6"/>
  <c r="I1273" i="6"/>
  <c r="M1273" i="6" s="1"/>
  <c r="H1243" i="6"/>
  <c r="E1217" i="6"/>
  <c r="U1217" i="6"/>
  <c r="E1175" i="6"/>
  <c r="P1137" i="6"/>
  <c r="F1137" i="6"/>
  <c r="I1137" i="6"/>
  <c r="M1137" i="6" s="1"/>
  <c r="U800" i="6"/>
  <c r="E751" i="6"/>
  <c r="H751" i="6"/>
  <c r="F725" i="6"/>
  <c r="I725" i="6"/>
  <c r="M725" i="6" s="1"/>
  <c r="P725" i="6"/>
  <c r="I422" i="6"/>
  <c r="M422" i="6" s="1"/>
  <c r="F422" i="6"/>
  <c r="H404" i="6"/>
  <c r="E404" i="6"/>
  <c r="H217" i="6"/>
  <c r="H226" i="6"/>
  <c r="U226" i="6"/>
  <c r="U155" i="6"/>
  <c r="H155" i="6"/>
  <c r="F129" i="6"/>
  <c r="P129" i="6"/>
  <c r="U50" i="6"/>
  <c r="H1412" i="6"/>
  <c r="H1407" i="6"/>
  <c r="H1389" i="6"/>
  <c r="F1377" i="6"/>
  <c r="I1377" i="6"/>
  <c r="M1377" i="6" s="1"/>
  <c r="E1335" i="6"/>
  <c r="H1273" i="6"/>
  <c r="F1271" i="6"/>
  <c r="P1271" i="6"/>
  <c r="I1236" i="6"/>
  <c r="M1236" i="6" s="1"/>
  <c r="P1236" i="6"/>
  <c r="H1231" i="6"/>
  <c r="E1185" i="6"/>
  <c r="P1181" i="6"/>
  <c r="F1181" i="6"/>
  <c r="I1181" i="6"/>
  <c r="M1181" i="6" s="1"/>
  <c r="H1103" i="6"/>
  <c r="U1065" i="6"/>
  <c r="E1065" i="6"/>
  <c r="H1065" i="6"/>
  <c r="F985" i="6"/>
  <c r="I985" i="6"/>
  <c r="M985" i="6" s="1"/>
  <c r="E977" i="6"/>
  <c r="H977" i="6"/>
  <c r="J884" i="6"/>
  <c r="U811" i="6"/>
  <c r="H811" i="6"/>
  <c r="U795" i="6"/>
  <c r="U725" i="6"/>
  <c r="H725" i="6"/>
  <c r="U702" i="6"/>
  <c r="E702" i="6"/>
  <c r="H702" i="6"/>
  <c r="I682" i="6"/>
  <c r="M682" i="6" s="1"/>
  <c r="F682" i="6"/>
  <c r="P682" i="6"/>
  <c r="U671" i="6"/>
  <c r="J634" i="6"/>
  <c r="E611" i="6"/>
  <c r="J573" i="6"/>
  <c r="U509" i="6"/>
  <c r="E509" i="6"/>
  <c r="H509" i="6"/>
  <c r="J436" i="6"/>
  <c r="I420" i="6"/>
  <c r="M420" i="6" s="1"/>
  <c r="F420" i="6"/>
  <c r="P420" i="6"/>
  <c r="F390" i="6"/>
  <c r="I390" i="6"/>
  <c r="M390" i="6" s="1"/>
  <c r="P390" i="6"/>
  <c r="U302" i="6"/>
  <c r="I279" i="6"/>
  <c r="M279" i="6" s="1"/>
  <c r="F279" i="6"/>
  <c r="U1025" i="6"/>
  <c r="E1025" i="6"/>
  <c r="U881" i="6"/>
  <c r="E881" i="6"/>
  <c r="H881" i="6"/>
  <c r="U848" i="6"/>
  <c r="E848" i="6"/>
  <c r="E839" i="6"/>
  <c r="I766" i="6"/>
  <c r="M766" i="6" s="1"/>
  <c r="F766" i="6"/>
  <c r="E677" i="6"/>
  <c r="H677" i="6"/>
  <c r="U369" i="6"/>
  <c r="E369" i="6"/>
  <c r="I334" i="6"/>
  <c r="M334" i="6" s="1"/>
  <c r="F334" i="6"/>
  <c r="P334" i="6"/>
  <c r="P328" i="6"/>
  <c r="F328" i="6"/>
  <c r="I328" i="6"/>
  <c r="M328" i="6" s="1"/>
  <c r="P287" i="6"/>
  <c r="I287" i="6"/>
  <c r="M287" i="6" s="1"/>
  <c r="E258" i="6"/>
  <c r="H258" i="6"/>
  <c r="I234" i="6"/>
  <c r="M234" i="6" s="1"/>
  <c r="F234" i="6"/>
  <c r="F160" i="6"/>
  <c r="I160" i="6"/>
  <c r="M160" i="6" s="1"/>
  <c r="H200" i="6"/>
  <c r="U200" i="6"/>
  <c r="U195" i="6"/>
  <c r="U117" i="6"/>
  <c r="J104" i="6"/>
  <c r="E96" i="6"/>
  <c r="U91" i="6"/>
  <c r="E73" i="6"/>
  <c r="H66" i="6"/>
  <c r="H55" i="6"/>
  <c r="U55" i="6"/>
  <c r="F1305" i="6"/>
  <c r="I1305" i="6"/>
  <c r="M1305" i="6" s="1"/>
  <c r="F1259" i="6"/>
  <c r="I1259" i="6"/>
  <c r="M1259" i="6" s="1"/>
  <c r="H1200" i="6"/>
  <c r="J1133" i="6"/>
  <c r="P1088" i="6"/>
  <c r="F1088" i="6"/>
  <c r="H1018" i="6"/>
  <c r="J978" i="6"/>
  <c r="H931" i="6"/>
  <c r="E931" i="6"/>
  <c r="P860" i="6"/>
  <c r="I860" i="6"/>
  <c r="M860" i="6" s="1"/>
  <c r="F860" i="6"/>
  <c r="F807" i="6"/>
  <c r="I807" i="6"/>
  <c r="M807" i="6" s="1"/>
  <c r="H773" i="6"/>
  <c r="U773" i="6"/>
  <c r="E773" i="6"/>
  <c r="J767" i="6"/>
  <c r="E711" i="6"/>
  <c r="H682" i="6"/>
  <c r="U673" i="6"/>
  <c r="U595" i="6"/>
  <c r="H595" i="6"/>
  <c r="H586" i="6"/>
  <c r="H546" i="6"/>
  <c r="U440" i="6"/>
  <c r="P434" i="6"/>
  <c r="F434" i="6"/>
  <c r="I434" i="6"/>
  <c r="M434" i="6" s="1"/>
  <c r="P396" i="6"/>
  <c r="F396" i="6"/>
  <c r="I396" i="6"/>
  <c r="M396" i="6" s="1"/>
  <c r="F354" i="6"/>
  <c r="I354" i="6"/>
  <c r="M354" i="6" s="1"/>
  <c r="E308" i="6"/>
  <c r="U270" i="6"/>
  <c r="E270" i="6"/>
  <c r="H270" i="6"/>
  <c r="E136" i="6"/>
  <c r="H95" i="6"/>
  <c r="U1364" i="6"/>
  <c r="I1261" i="6"/>
  <c r="M1261" i="6" s="1"/>
  <c r="P1261" i="6"/>
  <c r="U1237" i="6"/>
  <c r="E1023" i="6"/>
  <c r="H940" i="6"/>
  <c r="E878" i="6"/>
  <c r="H878" i="6"/>
  <c r="U873" i="6"/>
  <c r="H873" i="6"/>
  <c r="E864" i="6"/>
  <c r="H864" i="6"/>
  <c r="U864" i="6"/>
  <c r="H859" i="6"/>
  <c r="U859" i="6"/>
  <c r="F834" i="6"/>
  <c r="P834" i="6"/>
  <c r="I834" i="6"/>
  <c r="M834" i="6" s="1"/>
  <c r="H803" i="6"/>
  <c r="P782" i="6"/>
  <c r="F782" i="6"/>
  <c r="I782" i="6"/>
  <c r="M782" i="6" s="1"/>
  <c r="E763" i="6"/>
  <c r="P731" i="6"/>
  <c r="I731" i="6"/>
  <c r="M731" i="6" s="1"/>
  <c r="J712" i="6"/>
  <c r="U700" i="6"/>
  <c r="E674" i="6"/>
  <c r="H674" i="6"/>
  <c r="P658" i="6"/>
  <c r="I658" i="6"/>
  <c r="M658" i="6" s="1"/>
  <c r="U636" i="6"/>
  <c r="E636" i="6"/>
  <c r="H636" i="6"/>
  <c r="P629" i="6"/>
  <c r="F629" i="6"/>
  <c r="H613" i="6"/>
  <c r="P608" i="6"/>
  <c r="F608" i="6"/>
  <c r="F599" i="6"/>
  <c r="I599" i="6"/>
  <c r="M599" i="6" s="1"/>
  <c r="P599" i="6"/>
  <c r="J563" i="6"/>
  <c r="E557" i="6"/>
  <c r="H557" i="6"/>
  <c r="U410" i="6"/>
  <c r="E410" i="6"/>
  <c r="H410" i="6"/>
  <c r="I384" i="6"/>
  <c r="M384" i="6" s="1"/>
  <c r="F384" i="6"/>
  <c r="E245" i="6"/>
  <c r="U208" i="6"/>
  <c r="P98" i="6"/>
  <c r="I98" i="6"/>
  <c r="M98" i="6" s="1"/>
  <c r="I1310" i="6"/>
  <c r="M1310" i="6" s="1"/>
  <c r="F1310" i="6"/>
  <c r="P1131" i="6"/>
  <c r="F1131" i="6"/>
  <c r="F780" i="6"/>
  <c r="I780" i="6"/>
  <c r="M780" i="6" s="1"/>
  <c r="U670" i="6"/>
  <c r="E656" i="6"/>
  <c r="U656" i="6"/>
  <c r="U622" i="6"/>
  <c r="E622" i="6"/>
  <c r="F560" i="6"/>
  <c r="I560" i="6"/>
  <c r="M560" i="6" s="1"/>
  <c r="F549" i="6"/>
  <c r="I549" i="6"/>
  <c r="M549" i="6" s="1"/>
  <c r="P549" i="6"/>
  <c r="F503" i="6"/>
  <c r="P503" i="6"/>
  <c r="P431" i="6"/>
  <c r="F431" i="6"/>
  <c r="U393" i="6"/>
  <c r="I344" i="6"/>
  <c r="M344" i="6" s="1"/>
  <c r="F344" i="6"/>
  <c r="U340" i="6"/>
  <c r="E340" i="6"/>
  <c r="H340" i="6"/>
  <c r="P316" i="6"/>
  <c r="I316" i="6"/>
  <c r="M316" i="6" s="1"/>
  <c r="P275" i="6"/>
  <c r="F275" i="6"/>
  <c r="I275" i="6"/>
  <c r="M275" i="6" s="1"/>
  <c r="E211" i="6"/>
  <c r="E152" i="6"/>
  <c r="U84" i="6"/>
  <c r="E61" i="6"/>
  <c r="E1387" i="6"/>
  <c r="F1365" i="6"/>
  <c r="P1365" i="6"/>
  <c r="U1339" i="6"/>
  <c r="U1240" i="6"/>
  <c r="E1221" i="6"/>
  <c r="E1178" i="6"/>
  <c r="U1131" i="6"/>
  <c r="U1086" i="6"/>
  <c r="U1057" i="6"/>
  <c r="E1046" i="6"/>
  <c r="H1007" i="6"/>
  <c r="U999" i="6"/>
  <c r="P992" i="6"/>
  <c r="I992" i="6"/>
  <c r="M992" i="6" s="1"/>
  <c r="F969" i="6"/>
  <c r="I969" i="6"/>
  <c r="M969" i="6" s="1"/>
  <c r="U962" i="6"/>
  <c r="U933" i="6"/>
  <c r="J929" i="6"/>
  <c r="P926" i="6"/>
  <c r="F926" i="6"/>
  <c r="E834" i="6"/>
  <c r="H834" i="6"/>
  <c r="E782" i="6"/>
  <c r="F712" i="6"/>
  <c r="I712" i="6"/>
  <c r="M712" i="6" s="1"/>
  <c r="E709" i="6"/>
  <c r="P677" i="6"/>
  <c r="F677" i="6"/>
  <c r="I677" i="6"/>
  <c r="M677" i="6" s="1"/>
  <c r="U638" i="6"/>
  <c r="E638" i="6"/>
  <c r="U629" i="6"/>
  <c r="H606" i="6"/>
  <c r="I574" i="6"/>
  <c r="M574" i="6" s="1"/>
  <c r="F574" i="6"/>
  <c r="E503" i="6"/>
  <c r="P501" i="6"/>
  <c r="F501" i="6"/>
  <c r="P486" i="6"/>
  <c r="F486" i="6"/>
  <c r="I486" i="6"/>
  <c r="M486" i="6" s="1"/>
  <c r="U484" i="6"/>
  <c r="H438" i="6"/>
  <c r="U397" i="6"/>
  <c r="H397" i="6"/>
  <c r="E395" i="6"/>
  <c r="E342" i="6"/>
  <c r="H333" i="6"/>
  <c r="U333" i="6"/>
  <c r="U273" i="6"/>
  <c r="P714" i="6"/>
  <c r="F714" i="6"/>
  <c r="F664" i="6"/>
  <c r="P664" i="6"/>
  <c r="U522" i="6"/>
  <c r="H451" i="6"/>
  <c r="H444" i="6"/>
  <c r="U444" i="6"/>
  <c r="I416" i="6"/>
  <c r="M416" i="6" s="1"/>
  <c r="F416" i="6"/>
  <c r="F400" i="6"/>
  <c r="I400" i="6"/>
  <c r="M400" i="6" s="1"/>
  <c r="P400" i="6"/>
  <c r="U334" i="6"/>
  <c r="H334" i="6"/>
  <c r="I321" i="6"/>
  <c r="M321" i="6" s="1"/>
  <c r="P321" i="6"/>
  <c r="U265" i="6"/>
  <c r="H234" i="6"/>
  <c r="P868" i="6"/>
  <c r="F868" i="6"/>
  <c r="I868" i="6"/>
  <c r="M868" i="6" s="1"/>
  <c r="J811" i="6"/>
  <c r="J789" i="6"/>
  <c r="I704" i="6"/>
  <c r="M704" i="6" s="1"/>
  <c r="P704" i="6"/>
  <c r="U661" i="6"/>
  <c r="U654" i="6"/>
  <c r="I628" i="6"/>
  <c r="M628" i="6" s="1"/>
  <c r="P628" i="6"/>
  <c r="J591" i="6"/>
  <c r="I548" i="6"/>
  <c r="M548" i="6" s="1"/>
  <c r="F548" i="6"/>
  <c r="P548" i="6"/>
  <c r="U515" i="6"/>
  <c r="E493" i="6"/>
  <c r="U493" i="6"/>
  <c r="P491" i="6"/>
  <c r="I491" i="6"/>
  <c r="M491" i="6" s="1"/>
  <c r="H471" i="6"/>
  <c r="H469" i="6"/>
  <c r="P435" i="6"/>
  <c r="I435" i="6"/>
  <c r="M435" i="6" s="1"/>
  <c r="U366" i="6"/>
  <c r="I337" i="6"/>
  <c r="M337" i="6" s="1"/>
  <c r="F337" i="6"/>
  <c r="P330" i="6"/>
  <c r="F330" i="6"/>
  <c r="I330" i="6"/>
  <c r="M330" i="6" s="1"/>
  <c r="J315" i="6"/>
  <c r="U309" i="6"/>
  <c r="E305" i="6"/>
  <c r="P284" i="6"/>
  <c r="F284" i="6"/>
  <c r="I284" i="6"/>
  <c r="M284" i="6" s="1"/>
  <c r="P855" i="6"/>
  <c r="F855" i="6"/>
  <c r="U826" i="6"/>
  <c r="E810" i="6"/>
  <c r="I784" i="6"/>
  <c r="M784" i="6" s="1"/>
  <c r="P784" i="6"/>
  <c r="I732" i="6"/>
  <c r="M732" i="6" s="1"/>
  <c r="F732" i="6"/>
  <c r="U714" i="6"/>
  <c r="E714" i="6"/>
  <c r="H714" i="6"/>
  <c r="U699" i="6"/>
  <c r="F605" i="6"/>
  <c r="I605" i="6"/>
  <c r="M605" i="6" s="1"/>
  <c r="E600" i="6"/>
  <c r="H600" i="6"/>
  <c r="J560" i="6"/>
  <c r="P465" i="6"/>
  <c r="F465" i="6"/>
  <c r="U453" i="6"/>
  <c r="H416" i="6"/>
  <c r="U416" i="6"/>
  <c r="E416" i="6"/>
  <c r="F371" i="6"/>
  <c r="I371" i="6"/>
  <c r="M371" i="6" s="1"/>
  <c r="F346" i="6"/>
  <c r="I346" i="6"/>
  <c r="M346" i="6" s="1"/>
  <c r="E272" i="6"/>
  <c r="F246" i="6"/>
  <c r="P246" i="6"/>
  <c r="J235" i="6"/>
  <c r="E948" i="6"/>
  <c r="F938" i="6"/>
  <c r="P938" i="6"/>
  <c r="F928" i="6"/>
  <c r="P928" i="6"/>
  <c r="H870" i="6"/>
  <c r="I836" i="6"/>
  <c r="M836" i="6" s="1"/>
  <c r="F836" i="6"/>
  <c r="H824" i="6"/>
  <c r="E806" i="6"/>
  <c r="U801" i="6"/>
  <c r="E717" i="6"/>
  <c r="H704" i="6"/>
  <c r="E679" i="6"/>
  <c r="H633" i="6"/>
  <c r="E628" i="6"/>
  <c r="U628" i="6"/>
  <c r="F595" i="6"/>
  <c r="P595" i="6"/>
  <c r="F581" i="6"/>
  <c r="P581" i="6"/>
  <c r="H541" i="6"/>
  <c r="U520" i="6"/>
  <c r="P487" i="6"/>
  <c r="I487" i="6"/>
  <c r="M487" i="6" s="1"/>
  <c r="E465" i="6"/>
  <c r="H465" i="6"/>
  <c r="H460" i="6"/>
  <c r="U398" i="6"/>
  <c r="E382" i="6"/>
  <c r="U380" i="6"/>
  <c r="H380" i="6"/>
  <c r="U326" i="6"/>
  <c r="J310" i="6"/>
  <c r="H286" i="6"/>
  <c r="F282" i="6"/>
  <c r="P282" i="6"/>
  <c r="E228" i="6"/>
  <c r="H228" i="6"/>
  <c r="H788" i="6"/>
  <c r="U772" i="6"/>
  <c r="F738" i="6"/>
  <c r="P738" i="6"/>
  <c r="E678" i="6"/>
  <c r="J645" i="6"/>
  <c r="E644" i="6"/>
  <c r="I612" i="6"/>
  <c r="M612" i="6" s="1"/>
  <c r="P612" i="6"/>
  <c r="U591" i="6"/>
  <c r="E581" i="6"/>
  <c r="H581" i="6"/>
  <c r="E529" i="6"/>
  <c r="H464" i="6"/>
  <c r="H443" i="6"/>
  <c r="E443" i="6"/>
  <c r="U443" i="6"/>
  <c r="E415" i="6"/>
  <c r="U401" i="6"/>
  <c r="E371" i="6"/>
  <c r="J360" i="6"/>
  <c r="E359" i="6"/>
  <c r="F339" i="6"/>
  <c r="I339" i="6"/>
  <c r="M339" i="6" s="1"/>
  <c r="H320" i="6"/>
  <c r="E320" i="6"/>
  <c r="E786" i="6"/>
  <c r="U756" i="6"/>
  <c r="I684" i="6"/>
  <c r="M684" i="6" s="1"/>
  <c r="F684" i="6"/>
  <c r="U428" i="6"/>
  <c r="J304" i="6"/>
  <c r="H841" i="6"/>
  <c r="P833" i="6"/>
  <c r="I833" i="6"/>
  <c r="M833" i="6" s="1"/>
  <c r="F802" i="6"/>
  <c r="I802" i="6"/>
  <c r="M802" i="6" s="1"/>
  <c r="H735" i="6"/>
  <c r="U724" i="6"/>
  <c r="J687" i="6"/>
  <c r="J679" i="6"/>
  <c r="I509" i="6"/>
  <c r="M509" i="6" s="1"/>
  <c r="F509" i="6"/>
  <c r="E499" i="6"/>
  <c r="I374" i="6"/>
  <c r="M374" i="6" s="1"/>
  <c r="F374" i="6"/>
  <c r="U331" i="6"/>
  <c r="E331" i="6"/>
  <c r="H271" i="6"/>
  <c r="E271" i="6"/>
  <c r="I228" i="6"/>
  <c r="M228" i="6" s="1"/>
  <c r="H218" i="6"/>
  <c r="H181" i="6"/>
  <c r="H162" i="6"/>
  <c r="E128" i="6"/>
  <c r="E120" i="6"/>
  <c r="H70" i="6"/>
  <c r="H57" i="6"/>
  <c r="U1375" i="6"/>
  <c r="U1361" i="6"/>
  <c r="E1349" i="6"/>
  <c r="H1312" i="6"/>
  <c r="U1295" i="6"/>
  <c r="U1280" i="6"/>
  <c r="E1268" i="6"/>
  <c r="E1238" i="6"/>
  <c r="H1137" i="6"/>
  <c r="P1052" i="6"/>
  <c r="I1052" i="6"/>
  <c r="M1052" i="6" s="1"/>
  <c r="E953" i="6"/>
  <c r="F945" i="6"/>
  <c r="P945" i="6"/>
  <c r="U905" i="6"/>
  <c r="E905" i="6"/>
  <c r="I862" i="6"/>
  <c r="M862" i="6" s="1"/>
  <c r="P862" i="6"/>
  <c r="I826" i="6"/>
  <c r="M826" i="6" s="1"/>
  <c r="P826" i="6"/>
  <c r="U767" i="6"/>
  <c r="J763" i="6"/>
  <c r="J751" i="6"/>
  <c r="H738" i="6"/>
  <c r="U686" i="6"/>
  <c r="F610" i="6"/>
  <c r="I610" i="6"/>
  <c r="M610" i="6" s="1"/>
  <c r="P597" i="6"/>
  <c r="F597" i="6"/>
  <c r="U523" i="6"/>
  <c r="F436" i="6"/>
  <c r="I436" i="6"/>
  <c r="M436" i="6" s="1"/>
  <c r="F362" i="6"/>
  <c r="I362" i="6"/>
  <c r="M362" i="6" s="1"/>
  <c r="P323" i="6"/>
  <c r="F323" i="6"/>
  <c r="U264" i="6"/>
  <c r="H1169" i="6"/>
  <c r="U1155" i="6"/>
  <c r="E1142" i="6"/>
  <c r="U1120" i="6"/>
  <c r="U1099" i="6"/>
  <c r="H1031" i="6"/>
  <c r="U1005" i="6"/>
  <c r="H744" i="6"/>
  <c r="P692" i="6"/>
  <c r="I692" i="6"/>
  <c r="M692" i="6" s="1"/>
  <c r="E631" i="6"/>
  <c r="H618" i="6"/>
  <c r="H565" i="6"/>
  <c r="H525" i="6"/>
  <c r="H487" i="6"/>
  <c r="H475" i="6"/>
  <c r="U458" i="6"/>
  <c r="H442" i="6"/>
  <c r="H293" i="6"/>
  <c r="F277" i="6"/>
  <c r="I277" i="6"/>
  <c r="M277" i="6" s="1"/>
  <c r="J252" i="6"/>
  <c r="U488" i="6"/>
  <c r="I461" i="6"/>
  <c r="M461" i="6" s="1"/>
  <c r="P461" i="6"/>
  <c r="H422" i="6"/>
  <c r="J398" i="6"/>
  <c r="E397" i="6"/>
  <c r="U339" i="6"/>
  <c r="I331" i="6"/>
  <c r="M331" i="6" s="1"/>
  <c r="P331" i="6"/>
  <c r="U329" i="6"/>
  <c r="H327" i="6"/>
  <c r="U285" i="6"/>
  <c r="U768" i="6"/>
  <c r="U745" i="6"/>
  <c r="H663" i="6"/>
  <c r="E595" i="6"/>
  <c r="P564" i="6"/>
  <c r="F564" i="6"/>
  <c r="I564" i="6"/>
  <c r="M564" i="6" s="1"/>
  <c r="U561" i="6"/>
  <c r="U550" i="6"/>
  <c r="P492" i="6"/>
  <c r="F492" i="6"/>
  <c r="I492" i="6"/>
  <c r="M492" i="6" s="1"/>
  <c r="U472" i="6"/>
  <c r="U465" i="6"/>
  <c r="I460" i="6"/>
  <c r="M460" i="6" s="1"/>
  <c r="F460" i="6"/>
  <c r="U411" i="6"/>
  <c r="U396" i="6"/>
  <c r="E379" i="6"/>
  <c r="U372" i="6"/>
  <c r="I352" i="6"/>
  <c r="M352" i="6" s="1"/>
  <c r="P352" i="6"/>
  <c r="I324" i="6"/>
  <c r="M324" i="6" s="1"/>
  <c r="P324" i="6"/>
  <c r="E298" i="6"/>
  <c r="U574" i="6"/>
  <c r="U491" i="6"/>
  <c r="U394" i="6"/>
  <c r="U353" i="6"/>
  <c r="U332" i="6"/>
  <c r="U240" i="6"/>
  <c r="H236" i="6"/>
  <c r="E554" i="6"/>
  <c r="H543" i="6"/>
  <c r="H441" i="6"/>
  <c r="E389" i="6"/>
  <c r="E1392" i="6"/>
  <c r="H1392" i="6"/>
  <c r="F497" i="6"/>
  <c r="I497" i="6"/>
  <c r="M497" i="6" s="1"/>
  <c r="P497" i="6"/>
  <c r="E1385" i="6"/>
  <c r="U1385" i="6"/>
  <c r="I494" i="6"/>
  <c r="M494" i="6" s="1"/>
  <c r="P494" i="6"/>
  <c r="F494" i="6"/>
  <c r="F874" i="6"/>
  <c r="I874" i="6"/>
  <c r="M874" i="6" s="1"/>
  <c r="F1371" i="6"/>
  <c r="P1371" i="6"/>
  <c r="E1367" i="6"/>
  <c r="U1367" i="6"/>
  <c r="I1335" i="6"/>
  <c r="M1335" i="6" s="1"/>
  <c r="P1335" i="6"/>
  <c r="U1328" i="6"/>
  <c r="H1328" i="6"/>
  <c r="U1325" i="6"/>
  <c r="E1325" i="6"/>
  <c r="H1325" i="6"/>
  <c r="U1265" i="6"/>
  <c r="E1265" i="6"/>
  <c r="P1228" i="6"/>
  <c r="F1228" i="6"/>
  <c r="P1218" i="6"/>
  <c r="F1218" i="6"/>
  <c r="I1218" i="6"/>
  <c r="M1218" i="6" s="1"/>
  <c r="I1157" i="6"/>
  <c r="M1157" i="6" s="1"/>
  <c r="P1157" i="6"/>
  <c r="P1120" i="6"/>
  <c r="F1120" i="6"/>
  <c r="H997" i="6"/>
  <c r="U997" i="6"/>
  <c r="E997" i="6"/>
  <c r="P971" i="6"/>
  <c r="I971" i="6"/>
  <c r="M971" i="6" s="1"/>
  <c r="H968" i="6"/>
  <c r="U968" i="6"/>
  <c r="H901" i="6"/>
  <c r="U901" i="6"/>
  <c r="I889" i="6"/>
  <c r="M889" i="6" s="1"/>
  <c r="F889" i="6"/>
  <c r="P889" i="6"/>
  <c r="U875" i="6"/>
  <c r="H875" i="6"/>
  <c r="E875" i="6"/>
  <c r="H872" i="6"/>
  <c r="E872" i="6"/>
  <c r="I844" i="6"/>
  <c r="M844" i="6" s="1"/>
  <c r="P844" i="6"/>
  <c r="P788" i="6"/>
  <c r="I788" i="6"/>
  <c r="M788" i="6" s="1"/>
  <c r="U713" i="6"/>
  <c r="H713" i="6"/>
  <c r="E713" i="6"/>
  <c r="U703" i="6"/>
  <c r="H703" i="6"/>
  <c r="F672" i="6"/>
  <c r="P672" i="6"/>
  <c r="F652" i="6"/>
  <c r="I652" i="6"/>
  <c r="M652" i="6" s="1"/>
  <c r="P652" i="6"/>
  <c r="P571" i="6"/>
  <c r="F571" i="6"/>
  <c r="I571" i="6"/>
  <c r="M571" i="6" s="1"/>
  <c r="E534" i="6"/>
  <c r="H534" i="6"/>
  <c r="H531" i="6"/>
  <c r="U531" i="6"/>
  <c r="P528" i="6"/>
  <c r="I528" i="6"/>
  <c r="M528" i="6" s="1"/>
  <c r="P413" i="6"/>
  <c r="F413" i="6"/>
  <c r="I413" i="6"/>
  <c r="M413" i="6" s="1"/>
  <c r="P343" i="6"/>
  <c r="F343" i="6"/>
  <c r="I343" i="6"/>
  <c r="M343" i="6" s="1"/>
  <c r="I285" i="6"/>
  <c r="M285" i="6" s="1"/>
  <c r="P285" i="6"/>
  <c r="J273" i="6"/>
  <c r="H266" i="6"/>
  <c r="E266" i="6"/>
  <c r="U266" i="6"/>
  <c r="J1320" i="6"/>
  <c r="J1302" i="6"/>
  <c r="U1300" i="6"/>
  <c r="F1269" i="6"/>
  <c r="P1269" i="6"/>
  <c r="J1249" i="6"/>
  <c r="H1198" i="6"/>
  <c r="U1174" i="6"/>
  <c r="H1143" i="6"/>
  <c r="E1143" i="6"/>
  <c r="U1136" i="6"/>
  <c r="H1110" i="6"/>
  <c r="E1110" i="6"/>
  <c r="H1089" i="6"/>
  <c r="E1089" i="6"/>
  <c r="F1059" i="6"/>
  <c r="P1059" i="6"/>
  <c r="U987" i="6"/>
  <c r="J972" i="6"/>
  <c r="E886" i="6"/>
  <c r="U886" i="6"/>
  <c r="F685" i="6"/>
  <c r="I685" i="6"/>
  <c r="M685" i="6" s="1"/>
  <c r="P685" i="6"/>
  <c r="P593" i="6"/>
  <c r="F593" i="6"/>
  <c r="F562" i="6"/>
  <c r="I562" i="6"/>
  <c r="M562" i="6" s="1"/>
  <c r="P562" i="6"/>
  <c r="P537" i="6"/>
  <c r="F537" i="6"/>
  <c r="F508" i="6"/>
  <c r="P508" i="6"/>
  <c r="J486" i="6"/>
  <c r="E454" i="6"/>
  <c r="H454" i="6"/>
  <c r="P293" i="6"/>
  <c r="I293" i="6"/>
  <c r="M293" i="6" s="1"/>
  <c r="U1406" i="6"/>
  <c r="E1406" i="6"/>
  <c r="H1406" i="6"/>
  <c r="E1371" i="6"/>
  <c r="H1353" i="6"/>
  <c r="U1346" i="6"/>
  <c r="E1346" i="6"/>
  <c r="F1287" i="6"/>
  <c r="P1287" i="6"/>
  <c r="E1218" i="6"/>
  <c r="H1218" i="6"/>
  <c r="J1196" i="6"/>
  <c r="P1169" i="6"/>
  <c r="F1169" i="6"/>
  <c r="I1169" i="6"/>
  <c r="M1169" i="6" s="1"/>
  <c r="H1161" i="6"/>
  <c r="E1147" i="6"/>
  <c r="H1147" i="6"/>
  <c r="U1082" i="6"/>
  <c r="U1036" i="6"/>
  <c r="E1036" i="6"/>
  <c r="J1024" i="6"/>
  <c r="F676" i="6"/>
  <c r="I676" i="6"/>
  <c r="M676" i="6" s="1"/>
  <c r="J673" i="6"/>
  <c r="U672" i="6"/>
  <c r="H672" i="6"/>
  <c r="H655" i="6"/>
  <c r="E655" i="6"/>
  <c r="U655" i="6"/>
  <c r="J628" i="6"/>
  <c r="J607" i="6"/>
  <c r="H571" i="6"/>
  <c r="U571" i="6"/>
  <c r="H537" i="6"/>
  <c r="U537" i="6"/>
  <c r="H528" i="6"/>
  <c r="U528" i="6"/>
  <c r="U513" i="6"/>
  <c r="H513" i="6"/>
  <c r="E513" i="6"/>
  <c r="H508" i="6"/>
  <c r="E508" i="6"/>
  <c r="J455" i="6"/>
  <c r="J444" i="6"/>
  <c r="F423" i="6"/>
  <c r="I423" i="6"/>
  <c r="M423" i="6" s="1"/>
  <c r="H413" i="6"/>
  <c r="U413" i="6"/>
  <c r="P402" i="6"/>
  <c r="F402" i="6"/>
  <c r="I402" i="6"/>
  <c r="M402" i="6" s="1"/>
  <c r="J302" i="6"/>
  <c r="U1381" i="6"/>
  <c r="P1309" i="6"/>
  <c r="F1309" i="6"/>
  <c r="F1280" i="6"/>
  <c r="I1280" i="6"/>
  <c r="M1280" i="6" s="1"/>
  <c r="J1246" i="6"/>
  <c r="H1242" i="6"/>
  <c r="U1242" i="6"/>
  <c r="J1180" i="6"/>
  <c r="H1179" i="6"/>
  <c r="U1179" i="6"/>
  <c r="E1140" i="6"/>
  <c r="U1140" i="6"/>
  <c r="J1101" i="6"/>
  <c r="P1093" i="6"/>
  <c r="F1093" i="6"/>
  <c r="I1093" i="6"/>
  <c r="M1093" i="6" s="1"/>
  <c r="U1059" i="6"/>
  <c r="E1016" i="6"/>
  <c r="E917" i="6"/>
  <c r="H917" i="6"/>
  <c r="J855" i="6"/>
  <c r="P483" i="6"/>
  <c r="I483" i="6"/>
  <c r="M483" i="6" s="1"/>
  <c r="F483" i="6"/>
  <c r="F411" i="6"/>
  <c r="I411" i="6"/>
  <c r="M411" i="6" s="1"/>
  <c r="I349" i="6"/>
  <c r="M349" i="6" s="1"/>
  <c r="F349" i="6"/>
  <c r="P349" i="6"/>
  <c r="H338" i="6"/>
  <c r="U338" i="6"/>
  <c r="P1372" i="6"/>
  <c r="I1372" i="6"/>
  <c r="M1372" i="6" s="1"/>
  <c r="H1368" i="6"/>
  <c r="U1368" i="6"/>
  <c r="U1349" i="6"/>
  <c r="E1340" i="6"/>
  <c r="F1298" i="6"/>
  <c r="I1298" i="6"/>
  <c r="M1298" i="6" s="1"/>
  <c r="H1291" i="6"/>
  <c r="F1166" i="6"/>
  <c r="I1166" i="6"/>
  <c r="M1166" i="6" s="1"/>
  <c r="P1166" i="6"/>
  <c r="U1123" i="6"/>
  <c r="F936" i="6"/>
  <c r="I936" i="6"/>
  <c r="M936" i="6" s="1"/>
  <c r="F933" i="6"/>
  <c r="P933" i="6"/>
  <c r="I880" i="6"/>
  <c r="M880" i="6" s="1"/>
  <c r="F880" i="6"/>
  <c r="J877" i="6"/>
  <c r="P876" i="6"/>
  <c r="I876" i="6"/>
  <c r="M876" i="6" s="1"/>
  <c r="E827" i="6"/>
  <c r="U827" i="6"/>
  <c r="F805" i="6"/>
  <c r="P805" i="6"/>
  <c r="J797" i="6"/>
  <c r="F770" i="6"/>
  <c r="I770" i="6"/>
  <c r="M770" i="6" s="1"/>
  <c r="F739" i="6"/>
  <c r="P739" i="6"/>
  <c r="U534" i="6"/>
  <c r="E517" i="6"/>
  <c r="H517" i="6"/>
  <c r="U351" i="6"/>
  <c r="H351" i="6"/>
  <c r="J1408" i="6"/>
  <c r="H1404" i="6"/>
  <c r="U1404" i="6"/>
  <c r="E1390" i="6"/>
  <c r="H1390" i="6"/>
  <c r="U1390" i="6"/>
  <c r="U1273" i="6"/>
  <c r="U1254" i="6"/>
  <c r="E1249" i="6"/>
  <c r="H1249" i="6"/>
  <c r="H1172" i="6"/>
  <c r="E1172" i="6"/>
  <c r="F1152" i="6"/>
  <c r="I1152" i="6"/>
  <c r="M1152" i="6" s="1"/>
  <c r="I1073" i="6"/>
  <c r="M1073" i="6" s="1"/>
  <c r="F1073" i="6"/>
  <c r="P1067" i="6"/>
  <c r="F1067" i="6"/>
  <c r="I1067" i="6"/>
  <c r="M1067" i="6" s="1"/>
  <c r="E1050" i="6"/>
  <c r="H1050" i="6"/>
  <c r="I1024" i="6"/>
  <c r="M1024" i="6" s="1"/>
  <c r="P1024" i="6"/>
  <c r="F1008" i="6"/>
  <c r="I1008" i="6"/>
  <c r="M1008" i="6" s="1"/>
  <c r="E918" i="6"/>
  <c r="H918" i="6"/>
  <c r="P899" i="6"/>
  <c r="F899" i="6"/>
  <c r="I899" i="6"/>
  <c r="M899" i="6" s="1"/>
  <c r="U893" i="6"/>
  <c r="E893" i="6"/>
  <c r="U861" i="6"/>
  <c r="H861" i="6"/>
  <c r="F789" i="6"/>
  <c r="P789" i="6"/>
  <c r="H786" i="6"/>
  <c r="F711" i="6"/>
  <c r="I711" i="6"/>
  <c r="M711" i="6" s="1"/>
  <c r="U695" i="6"/>
  <c r="E695" i="6"/>
  <c r="H695" i="6"/>
  <c r="F635" i="6"/>
  <c r="I635" i="6"/>
  <c r="M635" i="6" s="1"/>
  <c r="P635" i="6"/>
  <c r="F619" i="6"/>
  <c r="I619" i="6"/>
  <c r="M619" i="6" s="1"/>
  <c r="P616" i="6"/>
  <c r="I616" i="6"/>
  <c r="M616" i="6" s="1"/>
  <c r="H607" i="6"/>
  <c r="E607" i="6"/>
  <c r="U607" i="6"/>
  <c r="P575" i="6"/>
  <c r="I575" i="6"/>
  <c r="M575" i="6" s="1"/>
  <c r="H556" i="6"/>
  <c r="E556" i="6"/>
  <c r="J554" i="6"/>
  <c r="J536" i="6"/>
  <c r="H497" i="6"/>
  <c r="E497" i="6"/>
  <c r="I489" i="6"/>
  <c r="M489" i="6" s="1"/>
  <c r="F489" i="6"/>
  <c r="F478" i="6"/>
  <c r="P478" i="6"/>
  <c r="I478" i="6"/>
  <c r="M478" i="6" s="1"/>
  <c r="P470" i="6"/>
  <c r="F470" i="6"/>
  <c r="I470" i="6"/>
  <c r="M470" i="6" s="1"/>
  <c r="H461" i="6"/>
  <c r="E461" i="6"/>
  <c r="U461" i="6"/>
  <c r="H455" i="6"/>
  <c r="E455" i="6"/>
  <c r="U455" i="6"/>
  <c r="E363" i="6"/>
  <c r="U363" i="6"/>
  <c r="E360" i="6"/>
  <c r="U360" i="6"/>
  <c r="H360" i="6"/>
  <c r="I1397" i="6"/>
  <c r="M1397" i="6" s="1"/>
  <c r="F1397" i="6"/>
  <c r="U1389" i="6"/>
  <c r="H1386" i="6"/>
  <c r="F1379" i="6"/>
  <c r="I1379" i="6"/>
  <c r="M1379" i="6" s="1"/>
  <c r="H1372" i="6"/>
  <c r="U788" i="6"/>
  <c r="U748" i="6"/>
  <c r="J734" i="6"/>
  <c r="I721" i="6"/>
  <c r="M721" i="6" s="1"/>
  <c r="F721" i="6"/>
  <c r="P638" i="6"/>
  <c r="I638" i="6"/>
  <c r="M638" i="6" s="1"/>
  <c r="P627" i="6"/>
  <c r="F527" i="6"/>
  <c r="I527" i="6"/>
  <c r="M527" i="6" s="1"/>
  <c r="P527" i="6"/>
  <c r="P524" i="6"/>
  <c r="I524" i="6"/>
  <c r="M524" i="6" s="1"/>
  <c r="F476" i="6"/>
  <c r="I476" i="6"/>
  <c r="M476" i="6" s="1"/>
  <c r="P476" i="6"/>
  <c r="E433" i="6"/>
  <c r="H433" i="6"/>
  <c r="U433" i="6"/>
  <c r="F427" i="6"/>
  <c r="P427" i="6"/>
  <c r="F421" i="6"/>
  <c r="I421" i="6"/>
  <c r="M421" i="6" s="1"/>
  <c r="H418" i="6"/>
  <c r="U418" i="6"/>
  <c r="F376" i="6"/>
  <c r="I376" i="6"/>
  <c r="M376" i="6" s="1"/>
  <c r="P376" i="6"/>
  <c r="E1321" i="6"/>
  <c r="H1321" i="6"/>
  <c r="E1303" i="6"/>
  <c r="H1303" i="6"/>
  <c r="F1233" i="6"/>
  <c r="P1233" i="6"/>
  <c r="J1224" i="6"/>
  <c r="P1210" i="6"/>
  <c r="I1210" i="6"/>
  <c r="M1210" i="6" s="1"/>
  <c r="F1210" i="6"/>
  <c r="U1186" i="6"/>
  <c r="F1170" i="6"/>
  <c r="I1170" i="6"/>
  <c r="M1170" i="6" s="1"/>
  <c r="P1170" i="6"/>
  <c r="J1099" i="6"/>
  <c r="P1086" i="6"/>
  <c r="U1058" i="6"/>
  <c r="H1058" i="6"/>
  <c r="E1058" i="6"/>
  <c r="I1051" i="6"/>
  <c r="M1051" i="6" s="1"/>
  <c r="P1051" i="6"/>
  <c r="U1028" i="6"/>
  <c r="H1028" i="6"/>
  <c r="E1028" i="6"/>
  <c r="P942" i="6"/>
  <c r="F903" i="6"/>
  <c r="I903" i="6"/>
  <c r="M903" i="6" s="1"/>
  <c r="F888" i="6"/>
  <c r="I888" i="6"/>
  <c r="M888" i="6" s="1"/>
  <c r="I865" i="6"/>
  <c r="M865" i="6" s="1"/>
  <c r="P865" i="6"/>
  <c r="F865" i="6"/>
  <c r="U843" i="6"/>
  <c r="E843" i="6"/>
  <c r="H843" i="6"/>
  <c r="P820" i="6"/>
  <c r="H1012" i="6"/>
  <c r="E1012" i="6"/>
  <c r="F999" i="6"/>
  <c r="I999" i="6"/>
  <c r="M999" i="6" s="1"/>
  <c r="J981" i="6"/>
  <c r="U957" i="6"/>
  <c r="J920" i="6"/>
  <c r="P919" i="6"/>
  <c r="I919" i="6"/>
  <c r="M919" i="6" s="1"/>
  <c r="F897" i="6"/>
  <c r="P897" i="6"/>
  <c r="I897" i="6"/>
  <c r="M897" i="6" s="1"/>
  <c r="H826" i="6"/>
  <c r="I803" i="6"/>
  <c r="M803" i="6" s="1"/>
  <c r="F803" i="6"/>
  <c r="U766" i="6"/>
  <c r="E721" i="6"/>
  <c r="H721" i="6"/>
  <c r="I706" i="6"/>
  <c r="M706" i="6" s="1"/>
  <c r="F706" i="6"/>
  <c r="P706" i="6"/>
  <c r="F702" i="6"/>
  <c r="P702" i="6"/>
  <c r="E689" i="6"/>
  <c r="U689" i="6"/>
  <c r="E484" i="6"/>
  <c r="H484" i="6"/>
  <c r="P423" i="6"/>
  <c r="H376" i="6"/>
  <c r="U376" i="6"/>
  <c r="E376" i="6"/>
  <c r="H1367" i="6"/>
  <c r="H1359" i="6"/>
  <c r="E1359" i="6"/>
  <c r="U1359" i="6"/>
  <c r="F1322" i="6"/>
  <c r="I1322" i="6"/>
  <c r="M1322" i="6" s="1"/>
  <c r="F1314" i="6"/>
  <c r="P1314" i="6"/>
  <c r="P1305" i="6"/>
  <c r="E1271" i="6"/>
  <c r="H1271" i="6"/>
  <c r="H1210" i="6"/>
  <c r="F1191" i="6"/>
  <c r="I1191" i="6"/>
  <c r="M1191" i="6" s="1"/>
  <c r="P1191" i="6"/>
  <c r="J1171" i="6"/>
  <c r="H1168" i="6"/>
  <c r="I1153" i="6"/>
  <c r="M1153" i="6" s="1"/>
  <c r="F1153" i="6"/>
  <c r="U1055" i="6"/>
  <c r="E1055" i="6"/>
  <c r="H1052" i="6"/>
  <c r="E1038" i="6"/>
  <c r="H1038" i="6"/>
  <c r="J1036" i="6"/>
  <c r="U947" i="6"/>
  <c r="E947" i="6"/>
  <c r="E937" i="6"/>
  <c r="U937" i="6"/>
  <c r="U922" i="6"/>
  <c r="E922" i="6"/>
  <c r="I916" i="6"/>
  <c r="M916" i="6" s="1"/>
  <c r="F916" i="6"/>
  <c r="U903" i="6"/>
  <c r="H903" i="6"/>
  <c r="U888" i="6"/>
  <c r="E888" i="6"/>
  <c r="H888" i="6"/>
  <c r="F837" i="6"/>
  <c r="I837" i="6"/>
  <c r="M837" i="6" s="1"/>
  <c r="F775" i="6"/>
  <c r="I775" i="6"/>
  <c r="M775" i="6" s="1"/>
  <c r="P775" i="6"/>
  <c r="F768" i="6"/>
  <c r="P768" i="6"/>
  <c r="E727" i="6"/>
  <c r="U727" i="6"/>
  <c r="I669" i="6"/>
  <c r="M669" i="6" s="1"/>
  <c r="F669" i="6"/>
  <c r="P669" i="6"/>
  <c r="H647" i="6"/>
  <c r="U647" i="6"/>
  <c r="U564" i="6"/>
  <c r="E564" i="6"/>
  <c r="H564" i="6"/>
  <c r="H545" i="6"/>
  <c r="U545" i="6"/>
  <c r="P510" i="6"/>
  <c r="F510" i="6"/>
  <c r="I510" i="6"/>
  <c r="M510" i="6" s="1"/>
  <c r="F437" i="6"/>
  <c r="I437" i="6"/>
  <c r="M437" i="6" s="1"/>
  <c r="P437" i="6"/>
  <c r="H367" i="6"/>
  <c r="E367" i="6"/>
  <c r="I1381" i="6"/>
  <c r="M1381" i="6" s="1"/>
  <c r="U1362" i="6"/>
  <c r="H1335" i="6"/>
  <c r="E1318" i="6"/>
  <c r="H1308" i="6"/>
  <c r="F1307" i="6"/>
  <c r="I1307" i="6"/>
  <c r="M1307" i="6" s="1"/>
  <c r="I1304" i="6"/>
  <c r="M1304" i="6" s="1"/>
  <c r="P1304" i="6"/>
  <c r="P1293" i="6"/>
  <c r="I1293" i="6"/>
  <c r="M1293" i="6" s="1"/>
  <c r="F1293" i="6"/>
  <c r="H1290" i="6"/>
  <c r="P1280" i="6"/>
  <c r="E1272" i="6"/>
  <c r="H1265" i="6"/>
  <c r="H1257" i="6"/>
  <c r="E1257" i="6"/>
  <c r="E1254" i="6"/>
  <c r="U1249" i="6"/>
  <c r="F1247" i="6"/>
  <c r="I1247" i="6"/>
  <c r="M1247" i="6" s="1"/>
  <c r="F1244" i="6"/>
  <c r="I1244" i="6"/>
  <c r="M1244" i="6" s="1"/>
  <c r="I1238" i="6"/>
  <c r="M1238" i="6" s="1"/>
  <c r="I1211" i="6"/>
  <c r="M1211" i="6" s="1"/>
  <c r="E1207" i="6"/>
  <c r="J1189" i="6"/>
  <c r="H1174" i="6"/>
  <c r="U1172" i="6"/>
  <c r="E1123" i="6"/>
  <c r="I1120" i="6"/>
  <c r="M1120" i="6" s="1"/>
  <c r="E1099" i="6"/>
  <c r="U1094" i="6"/>
  <c r="H1082" i="6"/>
  <c r="F1079" i="6"/>
  <c r="I1079" i="6"/>
  <c r="M1079" i="6" s="1"/>
  <c r="P1079" i="6"/>
  <c r="J1059" i="6"/>
  <c r="U1050" i="6"/>
  <c r="F1048" i="6"/>
  <c r="P1048" i="6"/>
  <c r="J1026" i="6"/>
  <c r="H987" i="6"/>
  <c r="E968" i="6"/>
  <c r="J945" i="6"/>
  <c r="E941" i="6"/>
  <c r="U934" i="6"/>
  <c r="E934" i="6"/>
  <c r="U919" i="6"/>
  <c r="I904" i="6"/>
  <c r="M904" i="6" s="1"/>
  <c r="E901" i="6"/>
  <c r="E897" i="6"/>
  <c r="J889" i="6"/>
  <c r="I882" i="6"/>
  <c r="M882" i="6" s="1"/>
  <c r="U853" i="6"/>
  <c r="E853" i="6"/>
  <c r="H853" i="6"/>
  <c r="F847" i="6"/>
  <c r="I847" i="6"/>
  <c r="M847" i="6" s="1"/>
  <c r="P847" i="6"/>
  <c r="E826" i="6"/>
  <c r="I806" i="6"/>
  <c r="M806" i="6" s="1"/>
  <c r="P806" i="6"/>
  <c r="F806" i="6"/>
  <c r="J801" i="6"/>
  <c r="F771" i="6"/>
  <c r="P771" i="6"/>
  <c r="H740" i="6"/>
  <c r="E740" i="6"/>
  <c r="H662" i="6"/>
  <c r="U662" i="6"/>
  <c r="J648" i="6"/>
  <c r="J642" i="6"/>
  <c r="P620" i="6"/>
  <c r="F620" i="6"/>
  <c r="U613" i="6"/>
  <c r="F583" i="6"/>
  <c r="P583" i="6"/>
  <c r="I583" i="6"/>
  <c r="M583" i="6" s="1"/>
  <c r="F580" i="6"/>
  <c r="I580" i="6"/>
  <c r="M580" i="6" s="1"/>
  <c r="H567" i="6"/>
  <c r="U567" i="6"/>
  <c r="E567" i="6"/>
  <c r="H551" i="6"/>
  <c r="E551" i="6"/>
  <c r="H518" i="6"/>
  <c r="U518" i="6"/>
  <c r="J449" i="6"/>
  <c r="E445" i="6"/>
  <c r="H445" i="6"/>
  <c r="H384" i="6"/>
  <c r="U384" i="6"/>
  <c r="U345" i="6"/>
  <c r="H345" i="6"/>
  <c r="I340" i="6"/>
  <c r="M340" i="6" s="1"/>
  <c r="F340" i="6"/>
  <c r="I318" i="6"/>
  <c r="M318" i="6" s="1"/>
  <c r="F318" i="6"/>
  <c r="H254" i="6"/>
  <c r="U254" i="6"/>
  <c r="E254" i="6"/>
  <c r="H238" i="6"/>
  <c r="U238" i="6"/>
  <c r="E238" i="6"/>
  <c r="J234" i="6"/>
  <c r="E1412" i="6"/>
  <c r="U1412" i="6"/>
  <c r="F1403" i="6"/>
  <c r="I1403" i="6"/>
  <c r="M1403" i="6" s="1"/>
  <c r="F1399" i="6"/>
  <c r="F1395" i="6"/>
  <c r="P1395" i="6"/>
  <c r="P1386" i="6"/>
  <c r="H1381" i="6"/>
  <c r="U1372" i="6"/>
  <c r="I1371" i="6"/>
  <c r="M1371" i="6" s="1"/>
  <c r="F1363" i="6"/>
  <c r="E1352" i="6"/>
  <c r="H1352" i="6"/>
  <c r="F1335" i="6"/>
  <c r="E1331" i="6"/>
  <c r="U1331" i="6"/>
  <c r="E1322" i="6"/>
  <c r="H1322" i="6"/>
  <c r="I1311" i="6"/>
  <c r="M1311" i="6" s="1"/>
  <c r="F1311" i="6"/>
  <c r="E1300" i="6"/>
  <c r="H1296" i="6"/>
  <c r="U1296" i="6"/>
  <c r="E1293" i="6"/>
  <c r="H1293" i="6"/>
  <c r="U1275" i="6"/>
  <c r="H1275" i="6"/>
  <c r="E1275" i="6"/>
  <c r="H1238" i="6"/>
  <c r="U1230" i="6"/>
  <c r="H1230" i="6"/>
  <c r="E1230" i="6"/>
  <c r="J1228" i="6"/>
  <c r="F1224" i="6"/>
  <c r="P1224" i="6"/>
  <c r="J1215" i="6"/>
  <c r="E1198" i="6"/>
  <c r="H1191" i="6"/>
  <c r="U1191" i="6"/>
  <c r="H1188" i="6"/>
  <c r="U1188" i="6"/>
  <c r="E1188" i="6"/>
  <c r="U1181" i="6"/>
  <c r="H1181" i="6"/>
  <c r="E1181" i="6"/>
  <c r="E1174" i="6"/>
  <c r="I1164" i="6"/>
  <c r="M1164" i="6" s="1"/>
  <c r="F1164" i="6"/>
  <c r="I1161" i="6"/>
  <c r="M1161" i="6" s="1"/>
  <c r="F1157" i="6"/>
  <c r="E1153" i="6"/>
  <c r="U1153" i="6"/>
  <c r="J1140" i="6"/>
  <c r="E1136" i="6"/>
  <c r="I1126" i="6"/>
  <c r="M1126" i="6" s="1"/>
  <c r="P1126" i="6"/>
  <c r="F1126" i="6"/>
  <c r="H1120" i="6"/>
  <c r="F1103" i="6"/>
  <c r="I1103" i="6"/>
  <c r="M1103" i="6" s="1"/>
  <c r="E1095" i="6"/>
  <c r="U1085" i="6"/>
  <c r="H1085" i="6"/>
  <c r="E1085" i="6"/>
  <c r="F1082" i="6"/>
  <c r="P1075" i="6"/>
  <c r="F1075" i="6"/>
  <c r="I1059" i="6"/>
  <c r="M1059" i="6" s="1"/>
  <c r="I1056" i="6"/>
  <c r="M1056" i="6" s="1"/>
  <c r="F1056" i="6"/>
  <c r="P1056" i="6"/>
  <c r="H1036" i="6"/>
  <c r="F1032" i="6"/>
  <c r="I1032" i="6"/>
  <c r="M1032" i="6" s="1"/>
  <c r="P1032" i="6"/>
  <c r="I1006" i="6"/>
  <c r="M1006" i="6" s="1"/>
  <c r="F1006" i="6"/>
  <c r="E987" i="6"/>
  <c r="F984" i="6"/>
  <c r="I984" i="6"/>
  <c r="M984" i="6" s="1"/>
  <c r="F971" i="6"/>
  <c r="J959" i="6"/>
  <c r="P946" i="6"/>
  <c r="P936" i="6"/>
  <c r="F923" i="6"/>
  <c r="I923" i="6"/>
  <c r="M923" i="6" s="1"/>
  <c r="P923" i="6"/>
  <c r="U918" i="6"/>
  <c r="H904" i="6"/>
  <c r="H886" i="6"/>
  <c r="E885" i="6"/>
  <c r="H885" i="6"/>
  <c r="H882" i="6"/>
  <c r="I869" i="6"/>
  <c r="M869" i="6" s="1"/>
  <c r="F869" i="6"/>
  <c r="P852" i="6"/>
  <c r="H850" i="6"/>
  <c r="E850" i="6"/>
  <c r="F844" i="6"/>
  <c r="F829" i="6"/>
  <c r="I829" i="6"/>
  <c r="M829" i="6" s="1"/>
  <c r="P829" i="6"/>
  <c r="E819" i="6"/>
  <c r="H819" i="6"/>
  <c r="U819" i="6"/>
  <c r="F788" i="6"/>
  <c r="U786" i="6"/>
  <c r="H781" i="6"/>
  <c r="E781" i="6"/>
  <c r="I778" i="6"/>
  <c r="M778" i="6" s="1"/>
  <c r="E775" i="6"/>
  <c r="H775" i="6"/>
  <c r="U775" i="6"/>
  <c r="F759" i="6"/>
  <c r="I759" i="6"/>
  <c r="M759" i="6" s="1"/>
  <c r="J756" i="6"/>
  <c r="P755" i="6"/>
  <c r="I755" i="6"/>
  <c r="M755" i="6" s="1"/>
  <c r="U731" i="6"/>
  <c r="E731" i="6"/>
  <c r="H731" i="6"/>
  <c r="E703" i="6"/>
  <c r="I672" i="6"/>
  <c r="M672" i="6" s="1"/>
  <c r="H657" i="6"/>
  <c r="E657" i="6"/>
  <c r="U657" i="6"/>
  <c r="J655" i="6"/>
  <c r="I627" i="6"/>
  <c r="M627" i="6" s="1"/>
  <c r="U626" i="6"/>
  <c r="E626" i="6"/>
  <c r="H626" i="6"/>
  <c r="P615" i="6"/>
  <c r="F615" i="6"/>
  <c r="I615" i="6"/>
  <c r="M615" i="6" s="1"/>
  <c r="J593" i="6"/>
  <c r="I568" i="6"/>
  <c r="M568" i="6" s="1"/>
  <c r="J537" i="6"/>
  <c r="E531" i="6"/>
  <c r="F528" i="6"/>
  <c r="U517" i="6"/>
  <c r="E510" i="6"/>
  <c r="U510" i="6"/>
  <c r="H510" i="6"/>
  <c r="P490" i="6"/>
  <c r="F490" i="6"/>
  <c r="I490" i="6"/>
  <c r="M490" i="6" s="1"/>
  <c r="I482" i="6"/>
  <c r="M482" i="6" s="1"/>
  <c r="F482" i="6"/>
  <c r="P482" i="6"/>
  <c r="J469" i="6"/>
  <c r="E387" i="6"/>
  <c r="H387" i="6"/>
  <c r="U387" i="6"/>
  <c r="J380" i="6"/>
  <c r="J329" i="6"/>
  <c r="H281" i="6"/>
  <c r="U281" i="6"/>
  <c r="E281" i="6"/>
  <c r="E278" i="6"/>
  <c r="U278" i="6"/>
  <c r="H278" i="6"/>
  <c r="E260" i="6"/>
  <c r="F1409" i="6"/>
  <c r="I1409" i="6"/>
  <c r="M1409" i="6" s="1"/>
  <c r="F1406" i="6"/>
  <c r="I1406" i="6"/>
  <c r="M1406" i="6" s="1"/>
  <c r="U738" i="6"/>
  <c r="I707" i="6"/>
  <c r="M707" i="6" s="1"/>
  <c r="F707" i="6"/>
  <c r="U627" i="6"/>
  <c r="E601" i="6"/>
  <c r="H601" i="6"/>
  <c r="U601" i="6"/>
  <c r="U562" i="6"/>
  <c r="H562" i="6"/>
  <c r="I544" i="6"/>
  <c r="M544" i="6" s="1"/>
  <c r="P544" i="6"/>
  <c r="E423" i="6"/>
  <c r="U423" i="6"/>
  <c r="E304" i="6"/>
  <c r="U304" i="6"/>
  <c r="H304" i="6"/>
  <c r="E282" i="6"/>
  <c r="U282" i="6"/>
  <c r="J1411" i="6"/>
  <c r="F1368" i="6"/>
  <c r="P1368" i="6"/>
  <c r="H1332" i="6"/>
  <c r="U1332" i="6"/>
  <c r="P1291" i="6"/>
  <c r="I1291" i="6"/>
  <c r="M1291" i="6" s="1"/>
  <c r="H1287" i="6"/>
  <c r="U1287" i="6"/>
  <c r="J1274" i="6"/>
  <c r="I1235" i="6"/>
  <c r="M1235" i="6" s="1"/>
  <c r="F1235" i="6"/>
  <c r="U1202" i="6"/>
  <c r="E1202" i="6"/>
  <c r="H1202" i="6"/>
  <c r="E1165" i="6"/>
  <c r="H1134" i="6"/>
  <c r="E1134" i="6"/>
  <c r="J1128" i="6"/>
  <c r="J1044" i="6"/>
  <c r="J983" i="6"/>
  <c r="I975" i="6"/>
  <c r="M975" i="6" s="1"/>
  <c r="P975" i="6"/>
  <c r="F896" i="6"/>
  <c r="P896" i="6"/>
  <c r="U854" i="6"/>
  <c r="J846" i="6"/>
  <c r="F827" i="6"/>
  <c r="P827" i="6"/>
  <c r="U782" i="6"/>
  <c r="H691" i="6"/>
  <c r="E691" i="6"/>
  <c r="I688" i="6"/>
  <c r="M688" i="6" s="1"/>
  <c r="P688" i="6"/>
  <c r="H676" i="6"/>
  <c r="E597" i="6"/>
  <c r="U597" i="6"/>
  <c r="E535" i="6"/>
  <c r="H535" i="6"/>
  <c r="I517" i="6"/>
  <c r="M517" i="6" s="1"/>
  <c r="F517" i="6"/>
  <c r="P517" i="6"/>
  <c r="H467" i="6"/>
  <c r="U467" i="6"/>
  <c r="E467" i="6"/>
  <c r="U402" i="6"/>
  <c r="P375" i="6"/>
  <c r="F375" i="6"/>
  <c r="I375" i="6"/>
  <c r="M375" i="6" s="1"/>
  <c r="P372" i="6"/>
  <c r="F372" i="6"/>
  <c r="I372" i="6"/>
  <c r="M372" i="6" s="1"/>
  <c r="E341" i="6"/>
  <c r="U341" i="6"/>
  <c r="H341" i="6"/>
  <c r="P307" i="6"/>
  <c r="F307" i="6"/>
  <c r="I307" i="6"/>
  <c r="M307" i="6" s="1"/>
  <c r="H288" i="6"/>
  <c r="U288" i="6"/>
  <c r="E288" i="6"/>
  <c r="P1390" i="6"/>
  <c r="F1390" i="6"/>
  <c r="F1361" i="6"/>
  <c r="I1361" i="6"/>
  <c r="M1361" i="6" s="1"/>
  <c r="H1350" i="6"/>
  <c r="U1350" i="6"/>
  <c r="H1323" i="6"/>
  <c r="U1323" i="6"/>
  <c r="E1309" i="6"/>
  <c r="H1309" i="6"/>
  <c r="U1309" i="6"/>
  <c r="E1280" i="6"/>
  <c r="H1280" i="6"/>
  <c r="H1040" i="6"/>
  <c r="U1040" i="6"/>
  <c r="F1014" i="6"/>
  <c r="P1014" i="6"/>
  <c r="H982" i="6"/>
  <c r="E982" i="6"/>
  <c r="I953" i="6"/>
  <c r="M953" i="6" s="1"/>
  <c r="P953" i="6"/>
  <c r="F953" i="6"/>
  <c r="F870" i="6"/>
  <c r="P870" i="6"/>
  <c r="F861" i="6"/>
  <c r="P861" i="6"/>
  <c r="I861" i="6"/>
  <c r="M861" i="6" s="1"/>
  <c r="F786" i="6"/>
  <c r="I786" i="6"/>
  <c r="M786" i="6" s="1"/>
  <c r="F764" i="6"/>
  <c r="I764" i="6"/>
  <c r="M764" i="6" s="1"/>
  <c r="P764" i="6"/>
  <c r="U750" i="6"/>
  <c r="E750" i="6"/>
  <c r="H750" i="6"/>
  <c r="J665" i="6"/>
  <c r="F661" i="6"/>
  <c r="P661" i="6"/>
  <c r="H634" i="6"/>
  <c r="J632" i="6"/>
  <c r="J614" i="6"/>
  <c r="F607" i="6"/>
  <c r="P607" i="6"/>
  <c r="J605" i="6"/>
  <c r="F582" i="6"/>
  <c r="P582" i="6"/>
  <c r="J579" i="6"/>
  <c r="E550" i="6"/>
  <c r="H550" i="6"/>
  <c r="E541" i="6"/>
  <c r="U541" i="6"/>
  <c r="F511" i="6"/>
  <c r="P511" i="6"/>
  <c r="E1316" i="6"/>
  <c r="H1316" i="6"/>
  <c r="H1298" i="6"/>
  <c r="H1263" i="6"/>
  <c r="I1243" i="6"/>
  <c r="M1243" i="6" s="1"/>
  <c r="P1243" i="6"/>
  <c r="H1206" i="6"/>
  <c r="U1206" i="6"/>
  <c r="E1206" i="6"/>
  <c r="U1199" i="6"/>
  <c r="U1166" i="6"/>
  <c r="H1166" i="6"/>
  <c r="J1149" i="6"/>
  <c r="U1111" i="6"/>
  <c r="U1089" i="6"/>
  <c r="E1070" i="6"/>
  <c r="U1070" i="6"/>
  <c r="U1016" i="6"/>
  <c r="U952" i="6"/>
  <c r="U917" i="6"/>
  <c r="J894" i="6"/>
  <c r="H880" i="6"/>
  <c r="E880" i="6"/>
  <c r="J859" i="6"/>
  <c r="H770" i="6"/>
  <c r="E770" i="6"/>
  <c r="J693" i="6"/>
  <c r="J644" i="6"/>
  <c r="J641" i="6"/>
  <c r="J521" i="6"/>
  <c r="P520" i="6"/>
  <c r="I520" i="6"/>
  <c r="M520" i="6" s="1"/>
  <c r="J498" i="6"/>
  <c r="J451" i="6"/>
  <c r="P305" i="6"/>
  <c r="I305" i="6"/>
  <c r="M305" i="6" s="1"/>
  <c r="P256" i="6"/>
  <c r="F256" i="6"/>
  <c r="I256" i="6"/>
  <c r="M256" i="6" s="1"/>
  <c r="J233" i="6"/>
  <c r="U1354" i="6"/>
  <c r="H1341" i="6"/>
  <c r="U1341" i="6"/>
  <c r="E1240" i="6"/>
  <c r="H1240" i="6"/>
  <c r="U1231" i="6"/>
  <c r="P1219" i="6"/>
  <c r="F1219" i="6"/>
  <c r="H1216" i="6"/>
  <c r="U1198" i="6"/>
  <c r="U1165" i="6"/>
  <c r="P1161" i="6"/>
  <c r="J1146" i="6"/>
  <c r="U1144" i="6"/>
  <c r="E1141" i="6"/>
  <c r="H1141" i="6"/>
  <c r="U1141" i="6"/>
  <c r="U1110" i="6"/>
  <c r="I1064" i="6"/>
  <c r="M1064" i="6" s="1"/>
  <c r="P1064" i="6"/>
  <c r="F1028" i="6"/>
  <c r="I1028" i="6"/>
  <c r="M1028" i="6" s="1"/>
  <c r="P1028" i="6"/>
  <c r="U1008" i="6"/>
  <c r="E1008" i="6"/>
  <c r="H1008" i="6"/>
  <c r="J1003" i="6"/>
  <c r="U998" i="6"/>
  <c r="E998" i="6"/>
  <c r="U994" i="6"/>
  <c r="E969" i="6"/>
  <c r="E960" i="6"/>
  <c r="H960" i="6"/>
  <c r="F940" i="6"/>
  <c r="I940" i="6"/>
  <c r="M940" i="6" s="1"/>
  <c r="J862" i="6"/>
  <c r="E858" i="6"/>
  <c r="U858" i="6"/>
  <c r="F843" i="6"/>
  <c r="I843" i="6"/>
  <c r="M843" i="6" s="1"/>
  <c r="J819" i="6"/>
  <c r="H814" i="6"/>
  <c r="U814" i="6"/>
  <c r="E668" i="6"/>
  <c r="U668" i="6"/>
  <c r="H668" i="6"/>
  <c r="E665" i="6"/>
  <c r="H665" i="6"/>
  <c r="U665" i="6"/>
  <c r="J576" i="6"/>
  <c r="P507" i="6"/>
  <c r="I507" i="6"/>
  <c r="M507" i="6" s="1"/>
  <c r="F507" i="6"/>
  <c r="I473" i="6"/>
  <c r="M473" i="6" s="1"/>
  <c r="P473" i="6"/>
  <c r="P430" i="6"/>
  <c r="F430" i="6"/>
  <c r="I406" i="6"/>
  <c r="M406" i="6" s="1"/>
  <c r="P406" i="6"/>
  <c r="H400" i="6"/>
  <c r="E400" i="6"/>
  <c r="E381" i="6"/>
  <c r="U381" i="6"/>
  <c r="H381" i="6"/>
  <c r="J236" i="6"/>
  <c r="P1406" i="6"/>
  <c r="U1353" i="6"/>
  <c r="J1342" i="6"/>
  <c r="I1324" i="6"/>
  <c r="M1324" i="6" s="1"/>
  <c r="P1324" i="6"/>
  <c r="J1318" i="6"/>
  <c r="E1313" i="6"/>
  <c r="U1313" i="6"/>
  <c r="P1281" i="6"/>
  <c r="I1281" i="6"/>
  <c r="M1281" i="6" s="1"/>
  <c r="E1246" i="6"/>
  <c r="U1246" i="6"/>
  <c r="F1226" i="6"/>
  <c r="I1226" i="6"/>
  <c r="M1226" i="6" s="1"/>
  <c r="E1223" i="6"/>
  <c r="H1223" i="6"/>
  <c r="U1215" i="6"/>
  <c r="U1193" i="6"/>
  <c r="E1193" i="6"/>
  <c r="H1193" i="6"/>
  <c r="P1156" i="6"/>
  <c r="F1156" i="6"/>
  <c r="I1156" i="6"/>
  <c r="M1156" i="6" s="1"/>
  <c r="U1138" i="6"/>
  <c r="H1138" i="6"/>
  <c r="E1138" i="6"/>
  <c r="H1135" i="6"/>
  <c r="U1135" i="6"/>
  <c r="P1107" i="6"/>
  <c r="H1098" i="6"/>
  <c r="E1098" i="6"/>
  <c r="J1068" i="6"/>
  <c r="P994" i="6"/>
  <c r="E989" i="6"/>
  <c r="H989" i="6"/>
  <c r="J977" i="6"/>
  <c r="U915" i="6"/>
  <c r="H736" i="6"/>
  <c r="E736" i="6"/>
  <c r="F1353" i="6"/>
  <c r="I1353" i="6"/>
  <c r="M1353" i="6" s="1"/>
  <c r="P1353" i="6"/>
  <c r="F1346" i="6"/>
  <c r="P1346" i="6"/>
  <c r="F1251" i="6"/>
  <c r="P1251" i="6"/>
  <c r="U1042" i="6"/>
  <c r="E1042" i="6"/>
  <c r="H1042" i="6"/>
  <c r="U948" i="6"/>
  <c r="H948" i="6"/>
  <c r="U932" i="6"/>
  <c r="E932" i="6"/>
  <c r="H932" i="6"/>
  <c r="E910" i="6"/>
  <c r="H910" i="6"/>
  <c r="E841" i="6"/>
  <c r="U841" i="6"/>
  <c r="F1242" i="6"/>
  <c r="P1242" i="6"/>
  <c r="U1013" i="6"/>
  <c r="J927" i="6"/>
  <c r="E926" i="6"/>
  <c r="U926" i="6"/>
  <c r="E895" i="6"/>
  <c r="H895" i="6"/>
  <c r="U794" i="6"/>
  <c r="E794" i="6"/>
  <c r="H794" i="6"/>
  <c r="H791" i="6"/>
  <c r="E791" i="6"/>
  <c r="U785" i="6"/>
  <c r="E785" i="6"/>
  <c r="H785" i="6"/>
  <c r="H747" i="6"/>
  <c r="E747" i="6"/>
  <c r="J569" i="6"/>
  <c r="J529" i="6"/>
  <c r="J526" i="6"/>
  <c r="E485" i="6"/>
  <c r="H485" i="6"/>
  <c r="U485" i="6"/>
  <c r="F452" i="6"/>
  <c r="P452" i="6"/>
  <c r="P438" i="6"/>
  <c r="I438" i="6"/>
  <c r="M438" i="6" s="1"/>
  <c r="F438" i="6"/>
  <c r="F391" i="6"/>
  <c r="I391" i="6"/>
  <c r="M391" i="6" s="1"/>
  <c r="P391" i="6"/>
  <c r="H382" i="6"/>
  <c r="U382" i="6"/>
  <c r="U1409" i="6"/>
  <c r="H1409" i="6"/>
  <c r="U1399" i="6"/>
  <c r="J1390" i="6"/>
  <c r="J1386" i="6"/>
  <c r="F1332" i="6"/>
  <c r="P1332" i="6"/>
  <c r="J1295" i="6"/>
  <c r="J1284" i="6"/>
  <c r="U1262" i="6"/>
  <c r="H1262" i="6"/>
  <c r="E1262" i="6"/>
  <c r="H1251" i="6"/>
  <c r="U1251" i="6"/>
  <c r="E1228" i="6"/>
  <c r="H1228" i="6"/>
  <c r="U1228" i="6"/>
  <c r="J1209" i="6"/>
  <c r="U1157" i="6"/>
  <c r="J1108" i="6"/>
  <c r="H1107" i="6"/>
  <c r="U1107" i="6"/>
  <c r="E1107" i="6"/>
  <c r="J1087" i="6"/>
  <c r="E1066" i="6"/>
  <c r="H1066" i="6"/>
  <c r="F1063" i="6"/>
  <c r="P1063" i="6"/>
  <c r="J1060" i="6"/>
  <c r="J1011" i="6"/>
  <c r="J992" i="6"/>
  <c r="I991" i="6"/>
  <c r="M991" i="6" s="1"/>
  <c r="P991" i="6"/>
  <c r="U971" i="6"/>
  <c r="H971" i="6"/>
  <c r="E965" i="6"/>
  <c r="H965" i="6"/>
  <c r="P956" i="6"/>
  <c r="F956" i="6"/>
  <c r="I956" i="6"/>
  <c r="M956" i="6" s="1"/>
  <c r="E945" i="6"/>
  <c r="U945" i="6"/>
  <c r="H935" i="6"/>
  <c r="E935" i="6"/>
  <c r="F930" i="6"/>
  <c r="I930" i="6"/>
  <c r="M930" i="6" s="1"/>
  <c r="P930" i="6"/>
  <c r="F914" i="6"/>
  <c r="I914" i="6"/>
  <c r="M914" i="6" s="1"/>
  <c r="J893" i="6"/>
  <c r="J887" i="6"/>
  <c r="U857" i="6"/>
  <c r="H857" i="6"/>
  <c r="E857" i="6"/>
  <c r="P854" i="6"/>
  <c r="F854" i="6"/>
  <c r="I854" i="6"/>
  <c r="M854" i="6" s="1"/>
  <c r="J852" i="6"/>
  <c r="U844" i="6"/>
  <c r="H835" i="6"/>
  <c r="E835" i="6"/>
  <c r="J830" i="6"/>
  <c r="U809" i="6"/>
  <c r="H809" i="6"/>
  <c r="E809" i="6"/>
  <c r="J786" i="6"/>
  <c r="J783" i="6"/>
  <c r="J757" i="6"/>
  <c r="J739" i="6"/>
  <c r="I691" i="6"/>
  <c r="M691" i="6" s="1"/>
  <c r="F691" i="6"/>
  <c r="H685" i="6"/>
  <c r="U685" i="6"/>
  <c r="J653" i="6"/>
  <c r="H652" i="6"/>
  <c r="U652" i="6"/>
  <c r="J649" i="6"/>
  <c r="J610" i="6"/>
  <c r="J598" i="6"/>
  <c r="J397" i="6"/>
  <c r="P341" i="6"/>
  <c r="F341" i="6"/>
  <c r="I341" i="6"/>
  <c r="M341" i="6" s="1"/>
  <c r="P332" i="6"/>
  <c r="F332" i="6"/>
  <c r="I332" i="6"/>
  <c r="M332" i="6" s="1"/>
  <c r="P288" i="6"/>
  <c r="F288" i="6"/>
  <c r="I288" i="6"/>
  <c r="M288" i="6" s="1"/>
  <c r="F1350" i="6"/>
  <c r="P1350" i="6"/>
  <c r="J1330" i="6"/>
  <c r="F1323" i="6"/>
  <c r="P1323" i="6"/>
  <c r="H1269" i="6"/>
  <c r="U1269" i="6"/>
  <c r="U1211" i="6"/>
  <c r="H1182" i="6"/>
  <c r="J1131" i="6"/>
  <c r="E978" i="6"/>
  <c r="H978" i="6"/>
  <c r="F908" i="6"/>
  <c r="P908" i="6"/>
  <c r="E898" i="6"/>
  <c r="H898" i="6"/>
  <c r="J761" i="6"/>
  <c r="P750" i="6"/>
  <c r="F750" i="6"/>
  <c r="I750" i="6"/>
  <c r="M750" i="6" s="1"/>
  <c r="F717" i="6"/>
  <c r="I717" i="6"/>
  <c r="M717" i="6" s="1"/>
  <c r="J677" i="6"/>
  <c r="P640" i="6"/>
  <c r="F640" i="6"/>
  <c r="I640" i="6"/>
  <c r="M640" i="6" s="1"/>
  <c r="H593" i="6"/>
  <c r="U593" i="6"/>
  <c r="H574" i="6"/>
  <c r="E574" i="6"/>
  <c r="I550" i="6"/>
  <c r="M550" i="6" s="1"/>
  <c r="F550" i="6"/>
  <c r="P550" i="6"/>
  <c r="F535" i="6"/>
  <c r="I535" i="6"/>
  <c r="M535" i="6" s="1"/>
  <c r="P535" i="6"/>
  <c r="J1376" i="6"/>
  <c r="U1343" i="6"/>
  <c r="H1343" i="6"/>
  <c r="E1343" i="6"/>
  <c r="E1259" i="6"/>
  <c r="U1178" i="6"/>
  <c r="E1151" i="6"/>
  <c r="U1151" i="6"/>
  <c r="H1151" i="6"/>
  <c r="F1080" i="6"/>
  <c r="I1080" i="6"/>
  <c r="M1080" i="6" s="1"/>
  <c r="H1063" i="6"/>
  <c r="U1063" i="6"/>
  <c r="F1046" i="6"/>
  <c r="I1046" i="6"/>
  <c r="M1046" i="6" s="1"/>
  <c r="J1021" i="6"/>
  <c r="F1001" i="6"/>
  <c r="I1001" i="6"/>
  <c r="M1001" i="6" s="1"/>
  <c r="U991" i="6"/>
  <c r="U959" i="6"/>
  <c r="E959" i="6"/>
  <c r="U956" i="6"/>
  <c r="E956" i="6"/>
  <c r="E930" i="6"/>
  <c r="U930" i="6"/>
  <c r="H813" i="6"/>
  <c r="E813" i="6"/>
  <c r="F720" i="6"/>
  <c r="I720" i="6"/>
  <c r="M720" i="6" s="1"/>
  <c r="U648" i="6"/>
  <c r="U640" i="6"/>
  <c r="E640" i="6"/>
  <c r="H640" i="6"/>
  <c r="U637" i="6"/>
  <c r="E637" i="6"/>
  <c r="H637" i="6"/>
  <c r="I613" i="6"/>
  <c r="M613" i="6" s="1"/>
  <c r="F613" i="6"/>
  <c r="U552" i="6"/>
  <c r="E552" i="6"/>
  <c r="H552" i="6"/>
  <c r="U420" i="6"/>
  <c r="E420" i="6"/>
  <c r="H420" i="6"/>
  <c r="E417" i="6"/>
  <c r="U417" i="6"/>
  <c r="H417" i="6"/>
  <c r="E408" i="6"/>
  <c r="U408" i="6"/>
  <c r="H408" i="6"/>
  <c r="E405" i="6"/>
  <c r="U405" i="6"/>
  <c r="P351" i="6"/>
  <c r="I351" i="6"/>
  <c r="M351" i="6" s="1"/>
  <c r="J305" i="6"/>
  <c r="F1404" i="6"/>
  <c r="P1404" i="6"/>
  <c r="J1327" i="6"/>
  <c r="F1260" i="6"/>
  <c r="I1260" i="6"/>
  <c r="M1260" i="6" s="1"/>
  <c r="P1260" i="6"/>
  <c r="J1203" i="6"/>
  <c r="J1200" i="6"/>
  <c r="U1168" i="6"/>
  <c r="I1162" i="6"/>
  <c r="M1162" i="6" s="1"/>
  <c r="P1162" i="6"/>
  <c r="U1130" i="6"/>
  <c r="H1130" i="6"/>
  <c r="E1124" i="6"/>
  <c r="U1124" i="6"/>
  <c r="F1118" i="6"/>
  <c r="I1118" i="6"/>
  <c r="M1118" i="6" s="1"/>
  <c r="H1104" i="6"/>
  <c r="U1104" i="6"/>
  <c r="E1093" i="6"/>
  <c r="H1093" i="6"/>
  <c r="U1030" i="6"/>
  <c r="E1030" i="6"/>
  <c r="F1017" i="6"/>
  <c r="P1017" i="6"/>
  <c r="F927" i="6"/>
  <c r="I927" i="6"/>
  <c r="M927" i="6" s="1"/>
  <c r="P921" i="6"/>
  <c r="I921" i="6"/>
  <c r="M921" i="6" s="1"/>
  <c r="F921" i="6"/>
  <c r="E908" i="6"/>
  <c r="U908" i="6"/>
  <c r="P893" i="6"/>
  <c r="F893" i="6"/>
  <c r="I893" i="6"/>
  <c r="M893" i="6" s="1"/>
  <c r="P839" i="6"/>
  <c r="F839" i="6"/>
  <c r="I839" i="6"/>
  <c r="M839" i="6" s="1"/>
  <c r="U832" i="6"/>
  <c r="E832" i="6"/>
  <c r="H832" i="6"/>
  <c r="F830" i="6"/>
  <c r="I830" i="6"/>
  <c r="M830" i="6" s="1"/>
  <c r="P830" i="6"/>
  <c r="E741" i="6"/>
  <c r="U741" i="6"/>
  <c r="F729" i="6"/>
  <c r="I729" i="6"/>
  <c r="M729" i="6" s="1"/>
  <c r="H726" i="6"/>
  <c r="E726" i="6"/>
  <c r="U717" i="6"/>
  <c r="H717" i="6"/>
  <c r="H707" i="6"/>
  <c r="U584" i="6"/>
  <c r="H584" i="6"/>
  <c r="E584" i="6"/>
  <c r="F455" i="6"/>
  <c r="P455" i="6"/>
  <c r="J448" i="6"/>
  <c r="F444" i="6"/>
  <c r="I444" i="6"/>
  <c r="M444" i="6" s="1"/>
  <c r="H435" i="6"/>
  <c r="E435" i="6"/>
  <c r="F394" i="6"/>
  <c r="I394" i="6"/>
  <c r="M394" i="6" s="1"/>
  <c r="E307" i="6"/>
  <c r="U307" i="6"/>
  <c r="H307" i="6"/>
  <c r="F302" i="6"/>
  <c r="P302" i="6"/>
  <c r="H299" i="6"/>
  <c r="E299" i="6"/>
  <c r="U299" i="6"/>
  <c r="E279" i="6"/>
  <c r="U279" i="6"/>
  <c r="J1355" i="6"/>
  <c r="I1316" i="6"/>
  <c r="M1316" i="6" s="1"/>
  <c r="F1316" i="6"/>
  <c r="U1308" i="6"/>
  <c r="H1305" i="6"/>
  <c r="U1255" i="6"/>
  <c r="E1235" i="6"/>
  <c r="H1235" i="6"/>
  <c r="E1222" i="6"/>
  <c r="H1222" i="6"/>
  <c r="F1206" i="6"/>
  <c r="P1206" i="6"/>
  <c r="I1206" i="6"/>
  <c r="M1206" i="6" s="1"/>
  <c r="F1190" i="6"/>
  <c r="I1190" i="6"/>
  <c r="M1190" i="6" s="1"/>
  <c r="H1155" i="6"/>
  <c r="E1155" i="6"/>
  <c r="P1111" i="6"/>
  <c r="F1111" i="6"/>
  <c r="J1041" i="6"/>
  <c r="U1020" i="6"/>
  <c r="U1001" i="6"/>
  <c r="H1001" i="6"/>
  <c r="F995" i="6"/>
  <c r="I995" i="6"/>
  <c r="M995" i="6" s="1"/>
  <c r="P995" i="6"/>
  <c r="H985" i="6"/>
  <c r="E985" i="6"/>
  <c r="H975" i="6"/>
  <c r="U975" i="6"/>
  <c r="J909" i="6"/>
  <c r="J828" i="6"/>
  <c r="I799" i="6"/>
  <c r="M799" i="6" s="1"/>
  <c r="P799" i="6"/>
  <c r="F799" i="6"/>
  <c r="J793" i="6"/>
  <c r="F783" i="6"/>
  <c r="P783" i="6"/>
  <c r="P733" i="6"/>
  <c r="I733" i="6"/>
  <c r="M733" i="6" s="1"/>
  <c r="F733" i="6"/>
  <c r="J718" i="6"/>
  <c r="J715" i="6"/>
  <c r="U698" i="6"/>
  <c r="E698" i="6"/>
  <c r="H698" i="6"/>
  <c r="J542" i="6"/>
  <c r="I500" i="6"/>
  <c r="M500" i="6" s="1"/>
  <c r="F500" i="6"/>
  <c r="H494" i="6"/>
  <c r="U494" i="6"/>
  <c r="H472" i="6"/>
  <c r="E472" i="6"/>
  <c r="H319" i="6"/>
  <c r="E319" i="6"/>
  <c r="U319" i="6"/>
  <c r="H310" i="6"/>
  <c r="E310" i="6"/>
  <c r="P296" i="6"/>
  <c r="I296" i="6"/>
  <c r="M296" i="6" s="1"/>
  <c r="J246" i="6"/>
  <c r="E1361" i="6"/>
  <c r="H1361" i="6"/>
  <c r="F1341" i="6"/>
  <c r="I1341" i="6"/>
  <c r="M1341" i="6" s="1"/>
  <c r="P1341" i="6"/>
  <c r="U1290" i="6"/>
  <c r="H1260" i="6"/>
  <c r="U1260" i="6"/>
  <c r="I1216" i="6"/>
  <c r="M1216" i="6" s="1"/>
  <c r="F1216" i="6"/>
  <c r="P1216" i="6"/>
  <c r="U1162" i="6"/>
  <c r="I1148" i="6"/>
  <c r="M1148" i="6" s="1"/>
  <c r="P1148" i="6"/>
  <c r="I1144" i="6"/>
  <c r="M1144" i="6" s="1"/>
  <c r="P1144" i="6"/>
  <c r="E1118" i="6"/>
  <c r="H1118" i="6"/>
  <c r="J1058" i="6"/>
  <c r="H953" i="6"/>
  <c r="U953" i="6"/>
  <c r="J874" i="6"/>
  <c r="E852" i="6"/>
  <c r="H852" i="6"/>
  <c r="U852" i="6"/>
  <c r="U830" i="6"/>
  <c r="H830" i="6"/>
  <c r="I814" i="6"/>
  <c r="M814" i="6" s="1"/>
  <c r="P814" i="6"/>
  <c r="P810" i="6"/>
  <c r="I810" i="6"/>
  <c r="M810" i="6" s="1"/>
  <c r="E807" i="6"/>
  <c r="U807" i="6"/>
  <c r="U791" i="6"/>
  <c r="E764" i="6"/>
  <c r="H764" i="6"/>
  <c r="U764" i="6"/>
  <c r="P665" i="6"/>
  <c r="I665" i="6"/>
  <c r="M665" i="6" s="1"/>
  <c r="F665" i="6"/>
  <c r="P656" i="6"/>
  <c r="I656" i="6"/>
  <c r="M656" i="6" s="1"/>
  <c r="F656" i="6"/>
  <c r="H643" i="6"/>
  <c r="U643" i="6"/>
  <c r="E643" i="6"/>
  <c r="H582" i="6"/>
  <c r="E582" i="6"/>
  <c r="U582" i="6"/>
  <c r="J462" i="6"/>
  <c r="J409" i="6"/>
  <c r="H394" i="6"/>
  <c r="E394" i="6"/>
  <c r="E349" i="6"/>
  <c r="U349" i="6"/>
  <c r="U283" i="6"/>
  <c r="E283" i="6"/>
  <c r="J251" i="6"/>
  <c r="U232" i="6"/>
  <c r="E232" i="6"/>
  <c r="H232" i="6"/>
  <c r="U1336" i="6"/>
  <c r="U1272" i="6"/>
  <c r="J1261" i="6"/>
  <c r="J1237" i="6"/>
  <c r="E1232" i="6"/>
  <c r="U1232" i="6"/>
  <c r="F1203" i="6"/>
  <c r="P1203" i="6"/>
  <c r="F1193" i="6"/>
  <c r="I1193" i="6"/>
  <c r="M1193" i="6" s="1"/>
  <c r="E1190" i="6"/>
  <c r="U1190" i="6"/>
  <c r="U1161" i="6"/>
  <c r="I1135" i="6"/>
  <c r="M1135" i="6" s="1"/>
  <c r="F1135" i="6"/>
  <c r="P1135" i="6"/>
  <c r="F1005" i="6"/>
  <c r="I1005" i="6"/>
  <c r="M1005" i="6" s="1"/>
  <c r="J999" i="6"/>
  <c r="I979" i="6"/>
  <c r="M979" i="6" s="1"/>
  <c r="P979" i="6"/>
  <c r="H963" i="6"/>
  <c r="E963" i="6"/>
  <c r="U892" i="6"/>
  <c r="U872" i="6"/>
  <c r="U799" i="6"/>
  <c r="H799" i="6"/>
  <c r="E799" i="6"/>
  <c r="J790" i="6"/>
  <c r="F748" i="6"/>
  <c r="P748" i="6"/>
  <c r="F742" i="6"/>
  <c r="I742" i="6"/>
  <c r="M742" i="6" s="1"/>
  <c r="U733" i="6"/>
  <c r="E733" i="6"/>
  <c r="H733" i="6"/>
  <c r="J721" i="6"/>
  <c r="E701" i="6"/>
  <c r="H701" i="6"/>
  <c r="J684" i="6"/>
  <c r="J476" i="6"/>
  <c r="J468" i="6"/>
  <c r="U454" i="6"/>
  <c r="I418" i="6"/>
  <c r="M418" i="6" s="1"/>
  <c r="P418" i="6"/>
  <c r="J376" i="6"/>
  <c r="J320" i="6"/>
  <c r="J249" i="6"/>
  <c r="U248" i="6"/>
  <c r="H248" i="6"/>
  <c r="E248" i="6"/>
  <c r="E235" i="6"/>
  <c r="U235" i="6"/>
  <c r="H235" i="6"/>
  <c r="P1409" i="6"/>
  <c r="U1392" i="6"/>
  <c r="U1371" i="6"/>
  <c r="U1335" i="6"/>
  <c r="E1330" i="6"/>
  <c r="H1330" i="6"/>
  <c r="F1278" i="6"/>
  <c r="I1278" i="6"/>
  <c r="M1278" i="6" s="1"/>
  <c r="E1203" i="6"/>
  <c r="H1203" i="6"/>
  <c r="U1203" i="6"/>
  <c r="U1148" i="6"/>
  <c r="J1106" i="6"/>
  <c r="H1073" i="6"/>
  <c r="U1069" i="6"/>
  <c r="U1067" i="6"/>
  <c r="H1067" i="6"/>
  <c r="J1065" i="6"/>
  <c r="U943" i="6"/>
  <c r="H943" i="6"/>
  <c r="E943" i="6"/>
  <c r="U935" i="6"/>
  <c r="P912" i="6"/>
  <c r="F912" i="6"/>
  <c r="J891" i="6"/>
  <c r="U890" i="6"/>
  <c r="E890" i="6"/>
  <c r="J834" i="6"/>
  <c r="U821" i="6"/>
  <c r="E821" i="6"/>
  <c r="H821" i="6"/>
  <c r="U810" i="6"/>
  <c r="H754" i="6"/>
  <c r="E754" i="6"/>
  <c r="J749" i="6"/>
  <c r="U680" i="6"/>
  <c r="E680" i="6"/>
  <c r="H680" i="6"/>
  <c r="P622" i="6"/>
  <c r="I622" i="6"/>
  <c r="M622" i="6" s="1"/>
  <c r="F622" i="6"/>
  <c r="H619" i="6"/>
  <c r="E619" i="6"/>
  <c r="H616" i="6"/>
  <c r="U616" i="6"/>
  <c r="E588" i="6"/>
  <c r="U588" i="6"/>
  <c r="H588" i="6"/>
  <c r="H575" i="6"/>
  <c r="U575" i="6"/>
  <c r="P525" i="6"/>
  <c r="E478" i="6"/>
  <c r="U478" i="6"/>
  <c r="H478" i="6"/>
  <c r="I453" i="6"/>
  <c r="M453" i="6" s="1"/>
  <c r="F453" i="6"/>
  <c r="U450" i="6"/>
  <c r="E450" i="6"/>
  <c r="H450" i="6"/>
  <c r="J419" i="6"/>
  <c r="E1411" i="6"/>
  <c r="H1411" i="6"/>
  <c r="E1397" i="6"/>
  <c r="H1397" i="6"/>
  <c r="H1379" i="6"/>
  <c r="H1344" i="6"/>
  <c r="U1340" i="6"/>
  <c r="J1230" i="6"/>
  <c r="U1182" i="6"/>
  <c r="E1176" i="6"/>
  <c r="H1176" i="6"/>
  <c r="U1147" i="6"/>
  <c r="U1143" i="6"/>
  <c r="E1122" i="6"/>
  <c r="H1122" i="6"/>
  <c r="F1116" i="6"/>
  <c r="I1116" i="6"/>
  <c r="M1116" i="6" s="1"/>
  <c r="F1091" i="6"/>
  <c r="I1091" i="6"/>
  <c r="M1091" i="6" s="1"/>
  <c r="E1078" i="6"/>
  <c r="U1078" i="6"/>
  <c r="H1078" i="6"/>
  <c r="H979" i="6"/>
  <c r="U979" i="6"/>
  <c r="P962" i="6"/>
  <c r="I957" i="6"/>
  <c r="M957" i="6" s="1"/>
  <c r="F957" i="6"/>
  <c r="P957" i="6"/>
  <c r="I931" i="6"/>
  <c r="M931" i="6" s="1"/>
  <c r="F931" i="6"/>
  <c r="U898" i="6"/>
  <c r="E836" i="6"/>
  <c r="U836" i="6"/>
  <c r="U820" i="6"/>
  <c r="P777" i="6"/>
  <c r="F777" i="6"/>
  <c r="I777" i="6"/>
  <c r="M777" i="6" s="1"/>
  <c r="J752" i="6"/>
  <c r="U723" i="6"/>
  <c r="J706" i="6"/>
  <c r="F671" i="6"/>
  <c r="I671" i="6"/>
  <c r="M671" i="6" s="1"/>
  <c r="J589" i="6"/>
  <c r="U439" i="6"/>
  <c r="H439" i="6"/>
  <c r="E439" i="6"/>
  <c r="E330" i="6"/>
  <c r="H330" i="6"/>
  <c r="J326" i="6"/>
  <c r="P314" i="6"/>
  <c r="I314" i="6"/>
  <c r="M314" i="6" s="1"/>
  <c r="I311" i="6"/>
  <c r="M311" i="6" s="1"/>
  <c r="P311" i="6"/>
  <c r="P251" i="6"/>
  <c r="F251" i="6"/>
  <c r="F1359" i="6"/>
  <c r="I1359" i="6"/>
  <c r="M1359" i="6" s="1"/>
  <c r="U1312" i="6"/>
  <c r="H1278" i="6"/>
  <c r="E1278" i="6"/>
  <c r="U1278" i="6"/>
  <c r="E1267" i="6"/>
  <c r="H1267" i="6"/>
  <c r="F1241" i="6"/>
  <c r="I1241" i="6"/>
  <c r="M1241" i="6" s="1"/>
  <c r="U1219" i="6"/>
  <c r="F1184" i="6"/>
  <c r="I1184" i="6"/>
  <c r="M1184" i="6" s="1"/>
  <c r="P1182" i="6"/>
  <c r="J1168" i="6"/>
  <c r="J1123" i="6"/>
  <c r="E1044" i="6"/>
  <c r="U1044" i="6"/>
  <c r="E1041" i="6"/>
  <c r="H1041" i="6"/>
  <c r="U986" i="6"/>
  <c r="E986" i="6"/>
  <c r="H986" i="6"/>
  <c r="J955" i="6"/>
  <c r="I925" i="6"/>
  <c r="M925" i="6" s="1"/>
  <c r="F925" i="6"/>
  <c r="U912" i="6"/>
  <c r="E912" i="6"/>
  <c r="H912" i="6"/>
  <c r="E825" i="6"/>
  <c r="H825" i="6"/>
  <c r="U747" i="6"/>
  <c r="I727" i="6"/>
  <c r="M727" i="6" s="1"/>
  <c r="P727" i="6"/>
  <c r="I696" i="6"/>
  <c r="M696" i="6" s="1"/>
  <c r="P696" i="6"/>
  <c r="F592" i="6"/>
  <c r="I592" i="6"/>
  <c r="M592" i="6" s="1"/>
  <c r="P592" i="6"/>
  <c r="J549" i="6"/>
  <c r="H548" i="6"/>
  <c r="U548" i="6"/>
  <c r="I545" i="6"/>
  <c r="M545" i="6" s="1"/>
  <c r="F545" i="6"/>
  <c r="P545" i="6"/>
  <c r="U507" i="6"/>
  <c r="H507" i="6"/>
  <c r="E507" i="6"/>
  <c r="H504" i="6"/>
  <c r="E504" i="6"/>
  <c r="U504" i="6"/>
  <c r="E481" i="6"/>
  <c r="H481" i="6"/>
  <c r="E476" i="6"/>
  <c r="U476" i="6"/>
  <c r="H476" i="6"/>
  <c r="U438" i="6"/>
  <c r="J431" i="6"/>
  <c r="H430" i="6"/>
  <c r="U430" i="6"/>
  <c r="J422" i="6"/>
  <c r="P378" i="6"/>
  <c r="F378" i="6"/>
  <c r="H355" i="6"/>
  <c r="U355" i="6"/>
  <c r="E355" i="6"/>
  <c r="P329" i="6"/>
  <c r="E317" i="6"/>
  <c r="U317" i="6"/>
  <c r="J306" i="6"/>
  <c r="U251" i="6"/>
  <c r="E251" i="6"/>
  <c r="H251" i="6"/>
  <c r="P233" i="6"/>
  <c r="F233" i="6"/>
  <c r="I233" i="6"/>
  <c r="M233" i="6" s="1"/>
  <c r="I1405" i="6"/>
  <c r="M1405" i="6" s="1"/>
  <c r="P1405" i="6"/>
  <c r="J1399" i="6"/>
  <c r="E1394" i="6"/>
  <c r="U1394" i="6"/>
  <c r="P1362" i="6"/>
  <c r="I1362" i="6"/>
  <c r="M1362" i="6" s="1"/>
  <c r="E1327" i="6"/>
  <c r="U1327" i="6"/>
  <c r="H1318" i="6"/>
  <c r="U1305" i="6"/>
  <c r="U1281" i="6"/>
  <c r="H1253" i="6"/>
  <c r="E1253" i="6"/>
  <c r="P1245" i="6"/>
  <c r="U1218" i="6"/>
  <c r="F1214" i="6"/>
  <c r="I1214" i="6"/>
  <c r="M1214" i="6" s="1"/>
  <c r="H1207" i="6"/>
  <c r="J1174" i="6"/>
  <c r="U1156" i="6"/>
  <c r="H1156" i="6"/>
  <c r="P1130" i="6"/>
  <c r="P1119" i="6"/>
  <c r="I1119" i="6"/>
  <c r="M1119" i="6" s="1"/>
  <c r="H1116" i="6"/>
  <c r="E1116" i="6"/>
  <c r="U1116" i="6"/>
  <c r="H1099" i="6"/>
  <c r="H1091" i="6"/>
  <c r="U1091" i="6"/>
  <c r="U1081" i="6"/>
  <c r="E1081" i="6"/>
  <c r="H1081" i="6"/>
  <c r="F1071" i="6"/>
  <c r="I1071" i="6"/>
  <c r="M1071" i="6" s="1"/>
  <c r="P1071" i="6"/>
  <c r="U982" i="6"/>
  <c r="E967" i="6"/>
  <c r="H967" i="6"/>
  <c r="H941" i="6"/>
  <c r="U777" i="6"/>
  <c r="E777" i="6"/>
  <c r="H777" i="6"/>
  <c r="U707" i="6"/>
  <c r="F699" i="6"/>
  <c r="P699" i="6"/>
  <c r="P647" i="6"/>
  <c r="I647" i="6"/>
  <c r="M647" i="6" s="1"/>
  <c r="J639" i="6"/>
  <c r="P611" i="6"/>
  <c r="I611" i="6"/>
  <c r="M611" i="6" s="1"/>
  <c r="P551" i="6"/>
  <c r="I551" i="6"/>
  <c r="M551" i="6" s="1"/>
  <c r="F551" i="6"/>
  <c r="E527" i="6"/>
  <c r="H527" i="6"/>
  <c r="H524" i="6"/>
  <c r="U524" i="6"/>
  <c r="H492" i="6"/>
  <c r="U492" i="6"/>
  <c r="J482" i="6"/>
  <c r="I462" i="6"/>
  <c r="M462" i="6" s="1"/>
  <c r="P462" i="6"/>
  <c r="E361" i="6"/>
  <c r="H361" i="6"/>
  <c r="U361" i="6"/>
  <c r="J356" i="6"/>
  <c r="U314" i="6"/>
  <c r="E314" i="6"/>
  <c r="H314" i="6"/>
  <c r="F268" i="6"/>
  <c r="I268" i="6"/>
  <c r="M268" i="6" s="1"/>
  <c r="E259" i="6"/>
  <c r="U259" i="6"/>
  <c r="P238" i="6"/>
  <c r="F238" i="6"/>
  <c r="I238" i="6"/>
  <c r="M238" i="6" s="1"/>
  <c r="E233" i="6"/>
  <c r="U233" i="6"/>
  <c r="P1412" i="6"/>
  <c r="I1412" i="6"/>
  <c r="M1412" i="6" s="1"/>
  <c r="E1402" i="6"/>
  <c r="H1402" i="6"/>
  <c r="I1399" i="6"/>
  <c r="M1399" i="6" s="1"/>
  <c r="U1393" i="6"/>
  <c r="H1385" i="6"/>
  <c r="E1384" i="6"/>
  <c r="H1384" i="6"/>
  <c r="I1363" i="6"/>
  <c r="M1363" i="6" s="1"/>
  <c r="H1349" i="6"/>
  <c r="E1348" i="6"/>
  <c r="H1348" i="6"/>
  <c r="H1300" i="6"/>
  <c r="U1291" i="6"/>
  <c r="E1250" i="6"/>
  <c r="U1250" i="6"/>
  <c r="E1241" i="6"/>
  <c r="H1241" i="6"/>
  <c r="U1235" i="6"/>
  <c r="U1184" i="6"/>
  <c r="E1184" i="6"/>
  <c r="H1178" i="6"/>
  <c r="H1170" i="6"/>
  <c r="U1170" i="6"/>
  <c r="H1136" i="6"/>
  <c r="P1104" i="6"/>
  <c r="H1095" i="6"/>
  <c r="I1082" i="6"/>
  <c r="M1082" i="6" s="1"/>
  <c r="U1015" i="6"/>
  <c r="E1015" i="6"/>
  <c r="H1015" i="6"/>
  <c r="H1013" i="6"/>
  <c r="P993" i="6"/>
  <c r="I993" i="6"/>
  <c r="M993" i="6" s="1"/>
  <c r="F993" i="6"/>
  <c r="I990" i="6"/>
  <c r="M990" i="6" s="1"/>
  <c r="P990" i="6"/>
  <c r="J882" i="6"/>
  <c r="U865" i="6"/>
  <c r="H865" i="6"/>
  <c r="P766" i="6"/>
  <c r="I740" i="6"/>
  <c r="M740" i="6" s="1"/>
  <c r="F740" i="6"/>
  <c r="P707" i="6"/>
  <c r="U691" i="6"/>
  <c r="P676" i="6"/>
  <c r="J615" i="6"/>
  <c r="J612" i="6"/>
  <c r="E592" i="6"/>
  <c r="H592" i="6"/>
  <c r="F466" i="6"/>
  <c r="I466" i="6"/>
  <c r="M466" i="6" s="1"/>
  <c r="U435" i="6"/>
  <c r="J371" i="6"/>
  <c r="H328" i="6"/>
  <c r="E328" i="6"/>
  <c r="U328" i="6"/>
  <c r="U310" i="6"/>
  <c r="P278" i="6"/>
  <c r="F278" i="6"/>
  <c r="I278" i="6"/>
  <c r="M278" i="6" s="1"/>
  <c r="U268" i="6"/>
  <c r="H268" i="6"/>
  <c r="J266" i="6"/>
  <c r="E243" i="6"/>
  <c r="H243" i="6"/>
  <c r="U243" i="6"/>
  <c r="J231" i="6"/>
  <c r="E1408" i="6"/>
  <c r="U1408" i="6"/>
  <c r="H1399" i="6"/>
  <c r="U1386" i="6"/>
  <c r="H1363" i="6"/>
  <c r="H1334" i="6"/>
  <c r="E1334" i="6"/>
  <c r="E1328" i="6"/>
  <c r="P1326" i="6"/>
  <c r="U1411" i="6"/>
  <c r="E1409" i="6"/>
  <c r="P1407" i="6"/>
  <c r="E1399" i="6"/>
  <c r="F1388" i="6"/>
  <c r="I1388" i="6"/>
  <c r="M1388" i="6" s="1"/>
  <c r="I1385" i="6"/>
  <c r="M1385" i="6" s="1"/>
  <c r="P1385" i="6"/>
  <c r="F1381" i="6"/>
  <c r="P1374" i="6"/>
  <c r="F1374" i="6"/>
  <c r="I1374" i="6"/>
  <c r="M1374" i="6" s="1"/>
  <c r="H1371" i="6"/>
  <c r="E1363" i="6"/>
  <c r="P1361" i="6"/>
  <c r="E1353" i="6"/>
  <c r="H1346" i="6"/>
  <c r="H1338" i="6"/>
  <c r="E1338" i="6"/>
  <c r="U1330" i="6"/>
  <c r="F1328" i="6"/>
  <c r="I1328" i="6"/>
  <c r="M1328" i="6" s="1"/>
  <c r="I1325" i="6"/>
  <c r="M1325" i="6" s="1"/>
  <c r="F1325" i="6"/>
  <c r="U1321" i="6"/>
  <c r="I1319" i="6"/>
  <c r="M1319" i="6" s="1"/>
  <c r="P1316" i="6"/>
  <c r="E1311" i="6"/>
  <c r="H1311" i="6"/>
  <c r="E1304" i="6"/>
  <c r="U1304" i="6"/>
  <c r="P1298" i="6"/>
  <c r="F1290" i="6"/>
  <c r="P1290" i="6"/>
  <c r="U1288" i="6"/>
  <c r="E1286" i="6"/>
  <c r="U1286" i="6"/>
  <c r="F1272" i="6"/>
  <c r="I1272" i="6"/>
  <c r="M1272" i="6" s="1"/>
  <c r="P1272" i="6"/>
  <c r="I1269" i="6"/>
  <c r="M1269" i="6" s="1"/>
  <c r="F1265" i="6"/>
  <c r="P1265" i="6"/>
  <c r="P1263" i="6"/>
  <c r="I1254" i="6"/>
  <c r="M1254" i="6" s="1"/>
  <c r="P1254" i="6"/>
  <c r="E1251" i="6"/>
  <c r="U1247" i="6"/>
  <c r="H1247" i="6"/>
  <c r="U1244" i="6"/>
  <c r="E1244" i="6"/>
  <c r="H1244" i="6"/>
  <c r="I1242" i="6"/>
  <c r="M1242" i="6" s="1"/>
  <c r="F1238" i="6"/>
  <c r="I1228" i="6"/>
  <c r="M1228" i="6" s="1"/>
  <c r="J1218" i="6"/>
  <c r="F1211" i="6"/>
  <c r="I1207" i="6"/>
  <c r="M1207" i="6" s="1"/>
  <c r="P1207" i="6"/>
  <c r="P1194" i="6"/>
  <c r="I1194" i="6"/>
  <c r="M1194" i="6" s="1"/>
  <c r="P1190" i="6"/>
  <c r="F1182" i="6"/>
  <c r="U1176" i="6"/>
  <c r="E1161" i="6"/>
  <c r="E1157" i="6"/>
  <c r="E1120" i="6"/>
  <c r="P1118" i="6"/>
  <c r="P1108" i="6"/>
  <c r="I1107" i="6"/>
  <c r="M1107" i="6" s="1"/>
  <c r="I1099" i="6"/>
  <c r="M1099" i="6" s="1"/>
  <c r="P1099" i="6"/>
  <c r="E1082" i="6"/>
  <c r="E1079" i="6"/>
  <c r="H1079" i="6"/>
  <c r="U1079" i="6"/>
  <c r="P1073" i="6"/>
  <c r="H1062" i="6"/>
  <c r="E1062" i="6"/>
  <c r="H1059" i="6"/>
  <c r="J1040" i="6"/>
  <c r="F1039" i="6"/>
  <c r="I1039" i="6"/>
  <c r="M1039" i="6" s="1"/>
  <c r="U1019" i="6"/>
  <c r="H1019" i="6"/>
  <c r="E1019" i="6"/>
  <c r="H1016" i="6"/>
  <c r="I994" i="6"/>
  <c r="M994" i="6" s="1"/>
  <c r="H991" i="6"/>
  <c r="U989" i="6"/>
  <c r="E971" i="6"/>
  <c r="I968" i="6"/>
  <c r="M968" i="6" s="1"/>
  <c r="F968" i="6"/>
  <c r="P968" i="6"/>
  <c r="I965" i="6"/>
  <c r="M965" i="6" s="1"/>
  <c r="I962" i="6"/>
  <c r="M962" i="6" s="1"/>
  <c r="P948" i="6"/>
  <c r="F948" i="6"/>
  <c r="I948" i="6"/>
  <c r="M948" i="6" s="1"/>
  <c r="H945" i="6"/>
  <c r="U929" i="6"/>
  <c r="E929" i="6"/>
  <c r="H929" i="6"/>
  <c r="F904" i="6"/>
  <c r="F882" i="6"/>
  <c r="I872" i="6"/>
  <c r="M872" i="6" s="1"/>
  <c r="F872" i="6"/>
  <c r="E844" i="6"/>
  <c r="U831" i="6"/>
  <c r="H831" i="6"/>
  <c r="E831" i="6"/>
  <c r="I820" i="6"/>
  <c r="M820" i="6" s="1"/>
  <c r="H804" i="6"/>
  <c r="F798" i="6"/>
  <c r="I798" i="6"/>
  <c r="M798" i="6" s="1"/>
  <c r="E788" i="6"/>
  <c r="P786" i="6"/>
  <c r="H782" i="6"/>
  <c r="I756" i="6"/>
  <c r="M756" i="6" s="1"/>
  <c r="F713" i="6"/>
  <c r="I713" i="6"/>
  <c r="M713" i="6" s="1"/>
  <c r="P713" i="6"/>
  <c r="P711" i="6"/>
  <c r="J685" i="6"/>
  <c r="E672" i="6"/>
  <c r="E652" i="6"/>
  <c r="E651" i="6"/>
  <c r="H651" i="6"/>
  <c r="H648" i="6"/>
  <c r="H627" i="6"/>
  <c r="H617" i="6"/>
  <c r="U617" i="6"/>
  <c r="P603" i="6"/>
  <c r="F603" i="6"/>
  <c r="I603" i="6"/>
  <c r="M603" i="6" s="1"/>
  <c r="U596" i="6"/>
  <c r="H596" i="6"/>
  <c r="E596" i="6"/>
  <c r="I593" i="6"/>
  <c r="M593" i="6" s="1"/>
  <c r="E571" i="6"/>
  <c r="U556" i="6"/>
  <c r="I537" i="6"/>
  <c r="M537" i="6" s="1"/>
  <c r="E528" i="6"/>
  <c r="F525" i="6"/>
  <c r="E505" i="6"/>
  <c r="H505" i="6"/>
  <c r="U505" i="6"/>
  <c r="P474" i="6"/>
  <c r="F474" i="6"/>
  <c r="I474" i="6"/>
  <c r="M474" i="6" s="1"/>
  <c r="F471" i="6"/>
  <c r="P471" i="6"/>
  <c r="P444" i="6"/>
  <c r="I443" i="6"/>
  <c r="M443" i="6" s="1"/>
  <c r="F443" i="6"/>
  <c r="P443" i="6"/>
  <c r="E413" i="6"/>
  <c r="P411" i="6"/>
  <c r="J402" i="6"/>
  <c r="U400" i="6"/>
  <c r="P394" i="6"/>
  <c r="F348" i="6"/>
  <c r="P348" i="6"/>
  <c r="I348" i="6"/>
  <c r="M348" i="6" s="1"/>
  <c r="J338" i="6"/>
  <c r="H337" i="6"/>
  <c r="U337" i="6"/>
  <c r="E337" i="6"/>
  <c r="J332" i="6"/>
  <c r="I329" i="6"/>
  <c r="M329" i="6" s="1"/>
  <c r="E318" i="6"/>
  <c r="H318" i="6"/>
  <c r="F285" i="6"/>
  <c r="H282" i="6"/>
  <c r="E1403" i="6"/>
  <c r="H1403" i="6"/>
  <c r="U1397" i="6"/>
  <c r="F1392" i="6"/>
  <c r="I1392" i="6"/>
  <c r="M1392" i="6" s="1"/>
  <c r="E1381" i="6"/>
  <c r="U1379" i="6"/>
  <c r="H1377" i="6"/>
  <c r="U1377" i="6"/>
  <c r="E1374" i="6"/>
  <c r="H1374" i="6"/>
  <c r="U1356" i="6"/>
  <c r="H1356" i="6"/>
  <c r="E1356" i="6"/>
  <c r="U1344" i="6"/>
  <c r="I1332" i="6"/>
  <c r="M1332" i="6" s="1"/>
  <c r="U1303" i="6"/>
  <c r="I1287" i="6"/>
  <c r="M1287" i="6" s="1"/>
  <c r="U1285" i="6"/>
  <c r="E1269" i="6"/>
  <c r="U1267" i="6"/>
  <c r="H1259" i="6"/>
  <c r="I1255" i="6"/>
  <c r="M1255" i="6" s="1"/>
  <c r="E1242" i="6"/>
  <c r="P1229" i="6"/>
  <c r="H1224" i="6"/>
  <c r="U1224" i="6"/>
  <c r="U1216" i="6"/>
  <c r="E1215" i="6"/>
  <c r="E1211" i="6"/>
  <c r="I1198" i="6"/>
  <c r="M1198" i="6" s="1"/>
  <c r="F1198" i="6"/>
  <c r="E1182" i="6"/>
  <c r="P1180" i="6"/>
  <c r="E1179" i="6"/>
  <c r="P1174" i="6"/>
  <c r="F1174" i="6"/>
  <c r="H1165" i="6"/>
  <c r="P1152" i="6"/>
  <c r="F1143" i="6"/>
  <c r="I1143" i="6"/>
  <c r="M1143" i="6" s="1"/>
  <c r="H1140" i="6"/>
  <c r="P1128" i="6"/>
  <c r="H1126" i="6"/>
  <c r="F1110" i="6"/>
  <c r="I1110" i="6"/>
  <c r="M1110" i="6" s="1"/>
  <c r="U1103" i="6"/>
  <c r="E1103" i="6"/>
  <c r="H1086" i="6"/>
  <c r="J1083" i="6"/>
  <c r="U1075" i="6"/>
  <c r="I1063" i="6"/>
  <c r="M1063" i="6" s="1"/>
  <c r="E1059" i="6"/>
  <c r="H1056" i="6"/>
  <c r="U1056" i="6"/>
  <c r="J1053" i="6"/>
  <c r="I1020" i="6"/>
  <c r="M1020" i="6" s="1"/>
  <c r="H994" i="6"/>
  <c r="F991" i="6"/>
  <c r="F987" i="6"/>
  <c r="P987" i="6"/>
  <c r="H984" i="6"/>
  <c r="U984" i="6"/>
  <c r="F965" i="6"/>
  <c r="U963" i="6"/>
  <c r="U960" i="6"/>
  <c r="H959" i="6"/>
  <c r="I942" i="6"/>
  <c r="M942" i="6" s="1"/>
  <c r="I910" i="6"/>
  <c r="M910" i="6" s="1"/>
  <c r="F910" i="6"/>
  <c r="E907" i="6"/>
  <c r="H907" i="6"/>
  <c r="E904" i="6"/>
  <c r="E892" i="6"/>
  <c r="F886" i="6"/>
  <c r="P886" i="6"/>
  <c r="U880" i="6"/>
  <c r="H869" i="6"/>
  <c r="U869" i="6"/>
  <c r="H854" i="6"/>
  <c r="H829" i="6"/>
  <c r="E829" i="6"/>
  <c r="F778" i="6"/>
  <c r="U770" i="6"/>
  <c r="H760" i="6"/>
  <c r="H756" i="6"/>
  <c r="U755" i="6"/>
  <c r="I747" i="6"/>
  <c r="M747" i="6" s="1"/>
  <c r="F747" i="6"/>
  <c r="P747" i="6"/>
  <c r="U742" i="6"/>
  <c r="E738" i="6"/>
  <c r="J735" i="6"/>
  <c r="U734" i="6"/>
  <c r="H734" i="6"/>
  <c r="U709" i="6"/>
  <c r="H709" i="6"/>
  <c r="E685" i="6"/>
  <c r="P683" i="6"/>
  <c r="U678" i="6"/>
  <c r="H678" i="6"/>
  <c r="H630" i="6"/>
  <c r="U630" i="6"/>
  <c r="E630" i="6"/>
  <c r="E627" i="6"/>
  <c r="U619" i="6"/>
  <c r="U603" i="6"/>
  <c r="H603" i="6"/>
  <c r="H597" i="6"/>
  <c r="E593" i="6"/>
  <c r="F568" i="6"/>
  <c r="I565" i="6"/>
  <c r="M565" i="6" s="1"/>
  <c r="F565" i="6"/>
  <c r="P565" i="6"/>
  <c r="E562" i="6"/>
  <c r="E537" i="6"/>
  <c r="I508" i="6"/>
  <c r="M508" i="6" s="1"/>
  <c r="U497" i="6"/>
  <c r="U490" i="6"/>
  <c r="E490" i="6"/>
  <c r="H490" i="6"/>
  <c r="I452" i="6"/>
  <c r="M452" i="6" s="1"/>
  <c r="E449" i="6"/>
  <c r="H449" i="6"/>
  <c r="U449" i="6"/>
  <c r="J420" i="6"/>
  <c r="J408" i="6"/>
  <c r="H402" i="6"/>
  <c r="E399" i="6"/>
  <c r="H399" i="6"/>
  <c r="U399" i="6"/>
  <c r="E391" i="6"/>
  <c r="U330" i="6"/>
  <c r="E329" i="6"/>
  <c r="J321" i="6"/>
  <c r="U295" i="6"/>
  <c r="E295" i="6"/>
  <c r="H295" i="6"/>
  <c r="F293" i="6"/>
  <c r="H290" i="6"/>
  <c r="E290" i="6"/>
  <c r="U290" i="6"/>
  <c r="J264" i="6"/>
  <c r="U263" i="6"/>
  <c r="H263" i="6"/>
  <c r="E263" i="6"/>
  <c r="P260" i="6"/>
  <c r="I260" i="6"/>
  <c r="M260" i="6" s="1"/>
  <c r="F229" i="6"/>
  <c r="I229" i="6"/>
  <c r="M229" i="6" s="1"/>
  <c r="U927" i="6"/>
  <c r="U882" i="6"/>
  <c r="F849" i="6"/>
  <c r="P849" i="6"/>
  <c r="E798" i="6"/>
  <c r="H798" i="6"/>
  <c r="H793" i="6"/>
  <c r="I772" i="6"/>
  <c r="M772" i="6" s="1"/>
  <c r="P772" i="6"/>
  <c r="E753" i="6"/>
  <c r="H753" i="6"/>
  <c r="F690" i="6"/>
  <c r="I690" i="6"/>
  <c r="M690" i="6" s="1"/>
  <c r="F670" i="6"/>
  <c r="P670" i="6"/>
  <c r="E642" i="6"/>
  <c r="H642" i="6"/>
  <c r="P621" i="6"/>
  <c r="I621" i="6"/>
  <c r="M621" i="6" s="1"/>
  <c r="P602" i="6"/>
  <c r="I602" i="6"/>
  <c r="M602" i="6" s="1"/>
  <c r="E525" i="6"/>
  <c r="U525" i="6"/>
  <c r="U474" i="6"/>
  <c r="E474" i="6"/>
  <c r="H474" i="6"/>
  <c r="E438" i="6"/>
  <c r="F425" i="6"/>
  <c r="I425" i="6"/>
  <c r="M425" i="6" s="1"/>
  <c r="U414" i="6"/>
  <c r="E324" i="6"/>
  <c r="U324" i="6"/>
  <c r="E257" i="6"/>
  <c r="U257" i="6"/>
  <c r="U1400" i="6"/>
  <c r="I1396" i="6"/>
  <c r="M1396" i="6" s="1"/>
  <c r="F1396" i="6"/>
  <c r="U1319" i="6"/>
  <c r="I1315" i="6"/>
  <c r="M1315" i="6" s="1"/>
  <c r="F1315" i="6"/>
  <c r="I1234" i="6"/>
  <c r="M1234" i="6" s="1"/>
  <c r="F1234" i="6"/>
  <c r="F1125" i="6"/>
  <c r="P1125" i="6"/>
  <c r="U1100" i="6"/>
  <c r="U1064" i="6"/>
  <c r="P1037" i="6"/>
  <c r="I1037" i="6"/>
  <c r="M1037" i="6" s="1"/>
  <c r="E962" i="6"/>
  <c r="H962" i="6"/>
  <c r="H946" i="6"/>
  <c r="I887" i="6"/>
  <c r="M887" i="6" s="1"/>
  <c r="P887" i="6"/>
  <c r="J774" i="6"/>
  <c r="I765" i="6"/>
  <c r="M765" i="6" s="1"/>
  <c r="F765" i="6"/>
  <c r="J750" i="6"/>
  <c r="I728" i="6"/>
  <c r="M728" i="6" s="1"/>
  <c r="P728" i="6"/>
  <c r="U693" i="6"/>
  <c r="E629" i="6"/>
  <c r="H629" i="6"/>
  <c r="H580" i="6"/>
  <c r="E580" i="6"/>
  <c r="J567" i="6"/>
  <c r="H522" i="6"/>
  <c r="E522" i="6"/>
  <c r="H489" i="6"/>
  <c r="U489" i="6"/>
  <c r="H374" i="6"/>
  <c r="U374" i="6"/>
  <c r="E1396" i="6"/>
  <c r="U1391" i="6"/>
  <c r="U1355" i="6"/>
  <c r="U1337" i="6"/>
  <c r="E1315" i="6"/>
  <c r="U1310" i="6"/>
  <c r="U1274" i="6"/>
  <c r="U1256" i="6"/>
  <c r="E1234" i="6"/>
  <c r="U1225" i="6"/>
  <c r="P1201" i="6"/>
  <c r="F1201" i="6"/>
  <c r="H1197" i="6"/>
  <c r="E1197" i="6"/>
  <c r="U1175" i="6"/>
  <c r="F1160" i="6"/>
  <c r="I1160" i="6"/>
  <c r="M1160" i="6" s="1"/>
  <c r="J1143" i="6"/>
  <c r="H1125" i="6"/>
  <c r="U1125" i="6"/>
  <c r="U1076" i="6"/>
  <c r="E1072" i="6"/>
  <c r="U1072" i="6"/>
  <c r="U1045" i="6"/>
  <c r="H1045" i="6"/>
  <c r="E1045" i="6"/>
  <c r="I1034" i="6"/>
  <c r="M1034" i="6" s="1"/>
  <c r="F1034" i="6"/>
  <c r="P1034" i="6"/>
  <c r="E1022" i="6"/>
  <c r="I1007" i="6"/>
  <c r="M1007" i="6" s="1"/>
  <c r="F1007" i="6"/>
  <c r="U992" i="6"/>
  <c r="J986" i="6"/>
  <c r="I974" i="6"/>
  <c r="M974" i="6" s="1"/>
  <c r="F974" i="6"/>
  <c r="I970" i="6"/>
  <c r="M970" i="6" s="1"/>
  <c r="P970" i="6"/>
  <c r="U920" i="6"/>
  <c r="H894" i="6"/>
  <c r="H887" i="6"/>
  <c r="U868" i="6"/>
  <c r="E868" i="6"/>
  <c r="H868" i="6"/>
  <c r="P787" i="6"/>
  <c r="I787" i="6"/>
  <c r="M787" i="6" s="1"/>
  <c r="U780" i="6"/>
  <c r="E780" i="6"/>
  <c r="H780" i="6"/>
  <c r="H769" i="6"/>
  <c r="E769" i="6"/>
  <c r="U765" i="6"/>
  <c r="H765" i="6"/>
  <c r="F762" i="6"/>
  <c r="I762" i="6"/>
  <c r="M762" i="6" s="1"/>
  <c r="P743" i="6"/>
  <c r="I743" i="6"/>
  <c r="M743" i="6" s="1"/>
  <c r="H732" i="6"/>
  <c r="P722" i="6"/>
  <c r="F722" i="6"/>
  <c r="I722" i="6"/>
  <c r="M722" i="6" s="1"/>
  <c r="J720" i="6"/>
  <c r="F708" i="6"/>
  <c r="P708" i="6"/>
  <c r="U687" i="6"/>
  <c r="E687" i="6"/>
  <c r="H687" i="6"/>
  <c r="F681" i="6"/>
  <c r="P681" i="6"/>
  <c r="J671" i="6"/>
  <c r="U660" i="6"/>
  <c r="H660" i="6"/>
  <c r="F636" i="6"/>
  <c r="I636" i="6"/>
  <c r="M636" i="6" s="1"/>
  <c r="P536" i="6"/>
  <c r="I536" i="6"/>
  <c r="M536" i="6" s="1"/>
  <c r="J497" i="6"/>
  <c r="F487" i="6"/>
  <c r="P429" i="6"/>
  <c r="F429" i="6"/>
  <c r="I429" i="6"/>
  <c r="M429" i="6" s="1"/>
  <c r="P401" i="6"/>
  <c r="I401" i="6"/>
  <c r="M401" i="6" s="1"/>
  <c r="J399" i="6"/>
  <c r="P395" i="6"/>
  <c r="I395" i="6"/>
  <c r="M395" i="6" s="1"/>
  <c r="F395" i="6"/>
  <c r="E392" i="6"/>
  <c r="U392" i="6"/>
  <c r="H392" i="6"/>
  <c r="J390" i="6"/>
  <c r="E350" i="6"/>
  <c r="H350" i="6"/>
  <c r="U350" i="6"/>
  <c r="E344" i="6"/>
  <c r="J340" i="6"/>
  <c r="P315" i="6"/>
  <c r="F315" i="6"/>
  <c r="I274" i="6"/>
  <c r="M274" i="6" s="1"/>
  <c r="P274" i="6"/>
  <c r="J262" i="6"/>
  <c r="E252" i="6"/>
  <c r="H252" i="6"/>
  <c r="U250" i="6"/>
  <c r="E250" i="6"/>
  <c r="J237" i="6"/>
  <c r="P250" i="6"/>
  <c r="F250" i="6"/>
  <c r="I250" i="6"/>
  <c r="M250" i="6" s="1"/>
  <c r="U1243" i="6"/>
  <c r="U1112" i="6"/>
  <c r="E1084" i="6"/>
  <c r="J1062" i="6"/>
  <c r="J843" i="6"/>
  <c r="U749" i="6"/>
  <c r="H749" i="6"/>
  <c r="E700" i="6"/>
  <c r="H700" i="6"/>
  <c r="E690" i="6"/>
  <c r="H690" i="6"/>
  <c r="I673" i="6"/>
  <c r="M673" i="6" s="1"/>
  <c r="P673" i="6"/>
  <c r="H625" i="6"/>
  <c r="H573" i="6"/>
  <c r="E573" i="6"/>
  <c r="E570" i="6"/>
  <c r="U570" i="6"/>
  <c r="H570" i="6"/>
  <c r="F533" i="6"/>
  <c r="I533" i="6"/>
  <c r="M533" i="6" s="1"/>
  <c r="H506" i="6"/>
  <c r="U506" i="6"/>
  <c r="E506" i="6"/>
  <c r="U486" i="6"/>
  <c r="J467" i="6"/>
  <c r="J457" i="6"/>
  <c r="E403" i="6"/>
  <c r="H403" i="6"/>
  <c r="I336" i="6"/>
  <c r="M336" i="6" s="1"/>
  <c r="F336" i="6"/>
  <c r="F1172" i="6"/>
  <c r="I1172" i="6"/>
  <c r="M1172" i="6" s="1"/>
  <c r="F1050" i="6"/>
  <c r="I1050" i="6"/>
  <c r="M1050" i="6" s="1"/>
  <c r="E1004" i="6"/>
  <c r="U1004" i="6"/>
  <c r="I935" i="6"/>
  <c r="M935" i="6" s="1"/>
  <c r="F935" i="6"/>
  <c r="P875" i="6"/>
  <c r="F875" i="6"/>
  <c r="I853" i="6"/>
  <c r="M853" i="6" s="1"/>
  <c r="P853" i="6"/>
  <c r="I821" i="6"/>
  <c r="M821" i="6" s="1"/>
  <c r="P821" i="6"/>
  <c r="U802" i="6"/>
  <c r="E802" i="6"/>
  <c r="H802" i="6"/>
  <c r="I754" i="6"/>
  <c r="M754" i="6" s="1"/>
  <c r="F754" i="6"/>
  <c r="J747" i="6"/>
  <c r="I606" i="6"/>
  <c r="M606" i="6" s="1"/>
  <c r="F606" i="6"/>
  <c r="J550" i="6"/>
  <c r="U519" i="6"/>
  <c r="E519" i="6"/>
  <c r="I457" i="6"/>
  <c r="M457" i="6" s="1"/>
  <c r="F457" i="6"/>
  <c r="I445" i="6"/>
  <c r="M445" i="6" s="1"/>
  <c r="P445" i="6"/>
  <c r="F445" i="6"/>
  <c r="F924" i="6"/>
  <c r="I924" i="6"/>
  <c r="M924" i="6" s="1"/>
  <c r="P924" i="6"/>
  <c r="I902" i="6"/>
  <c r="M902" i="6" s="1"/>
  <c r="F902" i="6"/>
  <c r="H874" i="6"/>
  <c r="I871" i="6"/>
  <c r="M871" i="6" s="1"/>
  <c r="P871" i="6"/>
  <c r="E863" i="6"/>
  <c r="H863" i="6"/>
  <c r="F816" i="6"/>
  <c r="P816" i="6"/>
  <c r="E783" i="6"/>
  <c r="U783" i="6"/>
  <c r="F719" i="6"/>
  <c r="P719" i="6"/>
  <c r="I719" i="6"/>
  <c r="M719" i="6" s="1"/>
  <c r="H683" i="6"/>
  <c r="E590" i="6"/>
  <c r="U590" i="6"/>
  <c r="P570" i="6"/>
  <c r="F570" i="6"/>
  <c r="J475" i="6"/>
  <c r="J439" i="6"/>
  <c r="P377" i="6"/>
  <c r="I377" i="6"/>
  <c r="M377" i="6" s="1"/>
  <c r="F377" i="6"/>
  <c r="U358" i="6"/>
  <c r="H358" i="6"/>
  <c r="E358" i="6"/>
  <c r="U230" i="6"/>
  <c r="U1238" i="6"/>
  <c r="U1229" i="6"/>
  <c r="F1197" i="6"/>
  <c r="I1197" i="6"/>
  <c r="M1197" i="6" s="1"/>
  <c r="P1192" i="6"/>
  <c r="F1192" i="6"/>
  <c r="H1080" i="6"/>
  <c r="I1072" i="6"/>
  <c r="M1072" i="6" s="1"/>
  <c r="F1072" i="6"/>
  <c r="H916" i="6"/>
  <c r="U916" i="6"/>
  <c r="E842" i="6"/>
  <c r="H842" i="6"/>
  <c r="U824" i="6"/>
  <c r="E824" i="6"/>
  <c r="E805" i="6"/>
  <c r="U805" i="6"/>
  <c r="H805" i="6"/>
  <c r="H739" i="6"/>
  <c r="U739" i="6"/>
  <c r="F687" i="6"/>
  <c r="P687" i="6"/>
  <c r="E649" i="6"/>
  <c r="H649" i="6"/>
  <c r="U649" i="6"/>
  <c r="E615" i="6"/>
  <c r="U615" i="6"/>
  <c r="H615" i="6"/>
  <c r="H598" i="6"/>
  <c r="U502" i="6"/>
  <c r="H502" i="6"/>
  <c r="E502" i="6"/>
  <c r="I469" i="6"/>
  <c r="M469" i="6" s="1"/>
  <c r="F469" i="6"/>
  <c r="P448" i="6"/>
  <c r="I448" i="6"/>
  <c r="M448" i="6" s="1"/>
  <c r="I270" i="6"/>
  <c r="M270" i="6" s="1"/>
  <c r="F270" i="6"/>
  <c r="P255" i="6"/>
  <c r="I255" i="6"/>
  <c r="M255" i="6" s="1"/>
  <c r="U229" i="6"/>
  <c r="U1405" i="6"/>
  <c r="I1378" i="6"/>
  <c r="M1378" i="6" s="1"/>
  <c r="F1378" i="6"/>
  <c r="U1324" i="6"/>
  <c r="I1297" i="6"/>
  <c r="M1297" i="6" s="1"/>
  <c r="F1297" i="6"/>
  <c r="J1227" i="6"/>
  <c r="P1129" i="6"/>
  <c r="I1129" i="6"/>
  <c r="M1129" i="6" s="1"/>
  <c r="F1129" i="6"/>
  <c r="F1004" i="6"/>
  <c r="P1004" i="6"/>
  <c r="E924" i="6"/>
  <c r="H924" i="6"/>
  <c r="J903" i="6"/>
  <c r="U902" i="6"/>
  <c r="H902" i="6"/>
  <c r="E871" i="6"/>
  <c r="U871" i="6"/>
  <c r="E719" i="6"/>
  <c r="U719" i="6"/>
  <c r="H670" i="6"/>
  <c r="E670" i="6"/>
  <c r="I660" i="6"/>
  <c r="M660" i="6" s="1"/>
  <c r="F660" i="6"/>
  <c r="J657" i="6"/>
  <c r="U621" i="6"/>
  <c r="U602" i="6"/>
  <c r="H602" i="6"/>
  <c r="H587" i="6"/>
  <c r="E587" i="6"/>
  <c r="J510" i="6"/>
  <c r="H480" i="6"/>
  <c r="E480" i="6"/>
  <c r="U480" i="6"/>
  <c r="E459" i="6"/>
  <c r="U459" i="6"/>
  <c r="E425" i="6"/>
  <c r="H425" i="6"/>
  <c r="E377" i="6"/>
  <c r="U377" i="6"/>
  <c r="H377" i="6"/>
  <c r="H347" i="6"/>
  <c r="E347" i="6"/>
  <c r="U347" i="6"/>
  <c r="J325" i="6"/>
  <c r="J319" i="6"/>
  <c r="H292" i="6"/>
  <c r="U292" i="6"/>
  <c r="E292" i="6"/>
  <c r="I267" i="6"/>
  <c r="M267" i="6" s="1"/>
  <c r="P267" i="6"/>
  <c r="E241" i="6"/>
  <c r="H241" i="6"/>
  <c r="U241" i="6"/>
  <c r="P229" i="6"/>
  <c r="E1365" i="6"/>
  <c r="H1365" i="6"/>
  <c r="E1284" i="6"/>
  <c r="H1284" i="6"/>
  <c r="E1109" i="6"/>
  <c r="U1109" i="6"/>
  <c r="F1085" i="6"/>
  <c r="I1085" i="6"/>
  <c r="M1085" i="6" s="1"/>
  <c r="I1015" i="6"/>
  <c r="M1015" i="6" s="1"/>
  <c r="P1015" i="6"/>
  <c r="I1012" i="6"/>
  <c r="M1012" i="6" s="1"/>
  <c r="F1012" i="6"/>
  <c r="I898" i="6"/>
  <c r="M898" i="6" s="1"/>
  <c r="P898" i="6"/>
  <c r="U846" i="6"/>
  <c r="E846" i="6"/>
  <c r="H846" i="6"/>
  <c r="I736" i="6"/>
  <c r="M736" i="6" s="1"/>
  <c r="F736" i="6"/>
  <c r="U716" i="6"/>
  <c r="E716" i="6"/>
  <c r="F643" i="6"/>
  <c r="I643" i="6"/>
  <c r="M643" i="6" s="1"/>
  <c r="E639" i="6"/>
  <c r="H639" i="6"/>
  <c r="I556" i="6"/>
  <c r="M556" i="6" s="1"/>
  <c r="P556" i="6"/>
  <c r="E412" i="6"/>
  <c r="H412" i="6"/>
  <c r="E386" i="6"/>
  <c r="H386" i="6"/>
  <c r="P368" i="6"/>
  <c r="I368" i="6"/>
  <c r="M368" i="6" s="1"/>
  <c r="F365" i="6"/>
  <c r="P365" i="6"/>
  <c r="J351" i="6"/>
  <c r="I342" i="6"/>
  <c r="M342" i="6" s="1"/>
  <c r="P342" i="6"/>
  <c r="E336" i="6"/>
  <c r="U336" i="6"/>
  <c r="H336" i="6"/>
  <c r="J328" i="6"/>
  <c r="U321" i="6"/>
  <c r="E321" i="6"/>
  <c r="H321" i="6"/>
  <c r="J299" i="6"/>
  <c r="F295" i="6"/>
  <c r="P295" i="6"/>
  <c r="I295" i="6"/>
  <c r="M295" i="6" s="1"/>
  <c r="J293" i="6"/>
  <c r="U1387" i="6"/>
  <c r="J1380" i="6"/>
  <c r="U1373" i="6"/>
  <c r="J1349" i="6"/>
  <c r="F1334" i="6"/>
  <c r="I1334" i="6"/>
  <c r="M1334" i="6" s="1"/>
  <c r="U1306" i="6"/>
  <c r="J1299" i="6"/>
  <c r="U1292" i="6"/>
  <c r="J1268" i="6"/>
  <c r="F1253" i="6"/>
  <c r="I1253" i="6"/>
  <c r="M1253" i="6" s="1"/>
  <c r="E1205" i="6"/>
  <c r="E1160" i="6"/>
  <c r="H1160" i="6"/>
  <c r="P1147" i="6"/>
  <c r="F1147" i="6"/>
  <c r="P1138" i="6"/>
  <c r="F1138" i="6"/>
  <c r="F1122" i="6"/>
  <c r="P1122" i="6"/>
  <c r="E1097" i="6"/>
  <c r="J1090" i="6"/>
  <c r="F1089" i="6"/>
  <c r="I1089" i="6"/>
  <c r="M1089" i="6" s="1"/>
  <c r="I1081" i="6"/>
  <c r="M1081" i="6" s="1"/>
  <c r="P1081" i="6"/>
  <c r="U1068" i="6"/>
  <c r="P1058" i="6"/>
  <c r="F1058" i="6"/>
  <c r="I1058" i="6"/>
  <c r="M1058" i="6" s="1"/>
  <c r="H1034" i="6"/>
  <c r="E1000" i="6"/>
  <c r="I997" i="6"/>
  <c r="M997" i="6" s="1"/>
  <c r="F997" i="6"/>
  <c r="P997" i="6"/>
  <c r="U974" i="6"/>
  <c r="E974" i="6"/>
  <c r="U970" i="6"/>
  <c r="H970" i="6"/>
  <c r="J964" i="6"/>
  <c r="P963" i="6"/>
  <c r="I963" i="6"/>
  <c r="M963" i="6" s="1"/>
  <c r="I943" i="6"/>
  <c r="M943" i="6" s="1"/>
  <c r="F943" i="6"/>
  <c r="J940" i="6"/>
  <c r="E939" i="6"/>
  <c r="H939" i="6"/>
  <c r="J918" i="6"/>
  <c r="J900" i="6"/>
  <c r="H891" i="6"/>
  <c r="U863" i="6"/>
  <c r="U860" i="6"/>
  <c r="J847" i="6"/>
  <c r="U838" i="6"/>
  <c r="J826" i="6"/>
  <c r="P809" i="6"/>
  <c r="I809" i="6"/>
  <c r="M809" i="6" s="1"/>
  <c r="U758" i="6"/>
  <c r="E758" i="6"/>
  <c r="U743" i="6"/>
  <c r="J723" i="6"/>
  <c r="U722" i="6"/>
  <c r="E712" i="6"/>
  <c r="U708" i="6"/>
  <c r="E681" i="6"/>
  <c r="H681" i="6"/>
  <c r="U677" i="6"/>
  <c r="J675" i="6"/>
  <c r="U659" i="6"/>
  <c r="F657" i="6"/>
  <c r="P657" i="6"/>
  <c r="U646" i="6"/>
  <c r="H646" i="6"/>
  <c r="E646" i="6"/>
  <c r="J631" i="6"/>
  <c r="E612" i="6"/>
  <c r="F588" i="6"/>
  <c r="I588" i="6"/>
  <c r="M588" i="6" s="1"/>
  <c r="J585" i="6"/>
  <c r="J582" i="6"/>
  <c r="U577" i="6"/>
  <c r="E577" i="6"/>
  <c r="J557" i="6"/>
  <c r="U532" i="6"/>
  <c r="J514" i="6"/>
  <c r="J491" i="6"/>
  <c r="I484" i="6"/>
  <c r="M484" i="6" s="1"/>
  <c r="F484" i="6"/>
  <c r="J470" i="6"/>
  <c r="I467" i="6"/>
  <c r="M467" i="6" s="1"/>
  <c r="P467" i="6"/>
  <c r="F467" i="6"/>
  <c r="U463" i="6"/>
  <c r="E463" i="6"/>
  <c r="H463" i="6"/>
  <c r="H457" i="6"/>
  <c r="E457" i="6"/>
  <c r="U457" i="6"/>
  <c r="U441" i="6"/>
  <c r="J440" i="6"/>
  <c r="E429" i="6"/>
  <c r="H429" i="6"/>
  <c r="I399" i="6"/>
  <c r="M399" i="6" s="1"/>
  <c r="F399" i="6"/>
  <c r="P399" i="6"/>
  <c r="J396" i="6"/>
  <c r="U395" i="6"/>
  <c r="J393" i="6"/>
  <c r="I381" i="6"/>
  <c r="M381" i="6" s="1"/>
  <c r="F381" i="6"/>
  <c r="P381" i="6"/>
  <c r="P345" i="6"/>
  <c r="I345" i="6"/>
  <c r="M345" i="6" s="1"/>
  <c r="J337" i="6"/>
  <c r="F325" i="6"/>
  <c r="P325" i="6"/>
  <c r="I319" i="6"/>
  <c r="M319" i="6" s="1"/>
  <c r="P319" i="6"/>
  <c r="J275" i="6"/>
  <c r="H274" i="6"/>
  <c r="E274" i="6"/>
  <c r="U1052" i="6"/>
  <c r="F1023" i="6"/>
  <c r="I1023" i="6"/>
  <c r="M1023" i="6" s="1"/>
  <c r="E1018" i="6"/>
  <c r="U1014" i="6"/>
  <c r="U942" i="6"/>
  <c r="U938" i="6"/>
  <c r="H938" i="6"/>
  <c r="I909" i="6"/>
  <c r="M909" i="6" s="1"/>
  <c r="P909" i="6"/>
  <c r="E896" i="6"/>
  <c r="H896" i="6"/>
  <c r="H820" i="6"/>
  <c r="I808" i="6"/>
  <c r="M808" i="6" s="1"/>
  <c r="F808" i="6"/>
  <c r="U776" i="6"/>
  <c r="H776" i="6"/>
  <c r="F761" i="6"/>
  <c r="P761" i="6"/>
  <c r="F744" i="6"/>
  <c r="P744" i="6"/>
  <c r="U728" i="6"/>
  <c r="E706" i="6"/>
  <c r="H706" i="6"/>
  <c r="P694" i="6"/>
  <c r="F694" i="6"/>
  <c r="U682" i="6"/>
  <c r="H671" i="6"/>
  <c r="H635" i="6"/>
  <c r="U635" i="6"/>
  <c r="U583" i="6"/>
  <c r="E561" i="6"/>
  <c r="E540" i="6"/>
  <c r="U536" i="6"/>
  <c r="H533" i="6"/>
  <c r="E533" i="6"/>
  <c r="F523" i="6"/>
  <c r="I523" i="6"/>
  <c r="M523" i="6" s="1"/>
  <c r="E501" i="6"/>
  <c r="J430" i="6"/>
  <c r="P364" i="6"/>
  <c r="F364" i="6"/>
  <c r="I364" i="6"/>
  <c r="M364" i="6" s="1"/>
  <c r="J349" i="6"/>
  <c r="P333" i="6"/>
  <c r="I333" i="6"/>
  <c r="M333" i="6" s="1"/>
  <c r="F333" i="6"/>
  <c r="U308" i="6"/>
  <c r="H308" i="6"/>
  <c r="P306" i="6"/>
  <c r="F306" i="6"/>
  <c r="I306" i="6"/>
  <c r="M306" i="6" s="1"/>
  <c r="H294" i="6"/>
  <c r="E294" i="6"/>
  <c r="I286" i="6"/>
  <c r="M286" i="6" s="1"/>
  <c r="F286" i="6"/>
  <c r="P286" i="6"/>
  <c r="H272" i="6"/>
  <c r="U272" i="6"/>
  <c r="E1209" i="6"/>
  <c r="U1200" i="6"/>
  <c r="E1187" i="6"/>
  <c r="F1179" i="6"/>
  <c r="I1179" i="6"/>
  <c r="M1179" i="6" s="1"/>
  <c r="E1169" i="6"/>
  <c r="U1169" i="6"/>
  <c r="E1128" i="6"/>
  <c r="U1119" i="6"/>
  <c r="E1106" i="6"/>
  <c r="F1098" i="6"/>
  <c r="I1098" i="6"/>
  <c r="M1098" i="6" s="1"/>
  <c r="E1088" i="6"/>
  <c r="U1088" i="6"/>
  <c r="U1031" i="6"/>
  <c r="U1023" i="6"/>
  <c r="H1023" i="6"/>
  <c r="F1019" i="6"/>
  <c r="P1019" i="6"/>
  <c r="E973" i="6"/>
  <c r="H973" i="6"/>
  <c r="U964" i="6"/>
  <c r="E952" i="6"/>
  <c r="H909" i="6"/>
  <c r="U909" i="6"/>
  <c r="U866" i="6"/>
  <c r="F842" i="6"/>
  <c r="I842" i="6"/>
  <c r="M842" i="6" s="1"/>
  <c r="F825" i="6"/>
  <c r="I825" i="6"/>
  <c r="M825" i="6" s="1"/>
  <c r="E808" i="6"/>
  <c r="H808" i="6"/>
  <c r="H797" i="6"/>
  <c r="E797" i="6"/>
  <c r="H792" i="6"/>
  <c r="E761" i="6"/>
  <c r="U744" i="6"/>
  <c r="F698" i="6"/>
  <c r="P698" i="6"/>
  <c r="U610" i="6"/>
  <c r="H610" i="6"/>
  <c r="E610" i="6"/>
  <c r="H599" i="6"/>
  <c r="U599" i="6"/>
  <c r="E547" i="6"/>
  <c r="U547" i="6"/>
  <c r="H547" i="6"/>
  <c r="I541" i="6"/>
  <c r="M541" i="6" s="1"/>
  <c r="P541" i="6"/>
  <c r="P519" i="6"/>
  <c r="I519" i="6"/>
  <c r="M519" i="6" s="1"/>
  <c r="E453" i="6"/>
  <c r="H453" i="6"/>
  <c r="I426" i="6"/>
  <c r="M426" i="6" s="1"/>
  <c r="P426" i="6"/>
  <c r="F392" i="6"/>
  <c r="P392" i="6"/>
  <c r="U385" i="6"/>
  <c r="E385" i="6"/>
  <c r="F367" i="6"/>
  <c r="I367" i="6"/>
  <c r="M367" i="6" s="1"/>
  <c r="I361" i="6"/>
  <c r="M361" i="6" s="1"/>
  <c r="P361" i="6"/>
  <c r="F355" i="6"/>
  <c r="I355" i="6"/>
  <c r="M355" i="6" s="1"/>
  <c r="P355" i="6"/>
  <c r="H325" i="6"/>
  <c r="U325" i="6"/>
  <c r="E325" i="6"/>
  <c r="P301" i="6"/>
  <c r="I301" i="6"/>
  <c r="M301" i="6" s="1"/>
  <c r="F301" i="6"/>
  <c r="I292" i="6"/>
  <c r="M292" i="6" s="1"/>
  <c r="F292" i="6"/>
  <c r="P292" i="6"/>
  <c r="U286" i="6"/>
  <c r="E286" i="6"/>
  <c r="F273" i="6"/>
  <c r="I273" i="6"/>
  <c r="M273" i="6" s="1"/>
  <c r="P242" i="6"/>
  <c r="I242" i="6"/>
  <c r="M242" i="6" s="1"/>
  <c r="F239" i="6"/>
  <c r="P239" i="6"/>
  <c r="I237" i="6"/>
  <c r="M237" i="6" s="1"/>
  <c r="F237" i="6"/>
  <c r="P237" i="6"/>
  <c r="H806" i="6"/>
  <c r="E768" i="6"/>
  <c r="U740" i="6"/>
  <c r="F735" i="6"/>
  <c r="P735" i="6"/>
  <c r="E1295" i="6"/>
  <c r="E1214" i="6"/>
  <c r="E1133" i="6"/>
  <c r="J696" i="6"/>
  <c r="E645" i="6"/>
  <c r="H641" i="6"/>
  <c r="H483" i="6"/>
  <c r="H468" i="6"/>
  <c r="J404" i="6"/>
  <c r="E383" i="6"/>
  <c r="U383" i="6"/>
  <c r="H383" i="6"/>
  <c r="J314" i="6"/>
  <c r="F313" i="6"/>
  <c r="I313" i="6"/>
  <c r="M313" i="6" s="1"/>
  <c r="E300" i="6"/>
  <c r="U300" i="6"/>
  <c r="J263" i="6"/>
  <c r="E255" i="6"/>
  <c r="U255" i="6"/>
  <c r="H1395" i="6"/>
  <c r="U1382" i="6"/>
  <c r="J1335" i="6"/>
  <c r="H1314" i="6"/>
  <c r="U1301" i="6"/>
  <c r="H1233" i="6"/>
  <c r="U1220" i="6"/>
  <c r="H1152" i="6"/>
  <c r="U1139" i="6"/>
  <c r="H1071" i="6"/>
  <c r="U993" i="6"/>
  <c r="E923" i="6"/>
  <c r="E856" i="6"/>
  <c r="E746" i="6"/>
  <c r="E725" i="6"/>
  <c r="I700" i="6"/>
  <c r="M700" i="6" s="1"/>
  <c r="F700" i="6"/>
  <c r="I637" i="6"/>
  <c r="M637" i="6" s="1"/>
  <c r="P637" i="6"/>
  <c r="E605" i="6"/>
  <c r="U605" i="6"/>
  <c r="J561" i="6"/>
  <c r="E530" i="6"/>
  <c r="U530" i="6"/>
  <c r="H499" i="6"/>
  <c r="F496" i="6"/>
  <c r="P496" i="6"/>
  <c r="H488" i="6"/>
  <c r="E488" i="6"/>
  <c r="H479" i="6"/>
  <c r="H424" i="6"/>
  <c r="J410" i="6"/>
  <c r="H409" i="6"/>
  <c r="U409" i="6"/>
  <c r="J401" i="6"/>
  <c r="J384" i="6"/>
  <c r="H346" i="6"/>
  <c r="E346" i="6"/>
  <c r="U269" i="6"/>
  <c r="E269" i="6"/>
  <c r="I259" i="6"/>
  <c r="M259" i="6" s="1"/>
  <c r="P259" i="6"/>
  <c r="U839" i="6"/>
  <c r="U704" i="6"/>
  <c r="H694" i="6"/>
  <c r="E669" i="6"/>
  <c r="H669" i="6"/>
  <c r="H585" i="6"/>
  <c r="H576" i="6"/>
  <c r="H542" i="6"/>
  <c r="U542" i="6"/>
  <c r="H516" i="6"/>
  <c r="E516" i="6"/>
  <c r="H511" i="6"/>
  <c r="E511" i="6"/>
  <c r="U495" i="6"/>
  <c r="F488" i="6"/>
  <c r="I488" i="6"/>
  <c r="M488" i="6" s="1"/>
  <c r="E471" i="6"/>
  <c r="H452" i="6"/>
  <c r="U452" i="6"/>
  <c r="E452" i="6"/>
  <c r="J425" i="6"/>
  <c r="P409" i="6"/>
  <c r="F409" i="6"/>
  <c r="I409" i="6"/>
  <c r="M409" i="6" s="1"/>
  <c r="J407" i="6"/>
  <c r="H406" i="6"/>
  <c r="U406" i="6"/>
  <c r="H362" i="6"/>
  <c r="E362" i="6"/>
  <c r="U352" i="6"/>
  <c r="E352" i="6"/>
  <c r="H343" i="6"/>
  <c r="E343" i="6"/>
  <c r="H329" i="6"/>
  <c r="J327" i="6"/>
  <c r="H265" i="6"/>
  <c r="E265" i="6"/>
  <c r="H262" i="6"/>
  <c r="E262" i="6"/>
  <c r="F249" i="6"/>
  <c r="P249" i="6"/>
  <c r="H239" i="6"/>
  <c r="U239" i="6"/>
  <c r="E237" i="6"/>
  <c r="H237" i="6"/>
  <c r="U237" i="6"/>
  <c r="E1376" i="6"/>
  <c r="U1037" i="6"/>
  <c r="U883" i="6"/>
  <c r="H828" i="6"/>
  <c r="U812" i="6"/>
  <c r="E812" i="6"/>
  <c r="E790" i="6"/>
  <c r="J765" i="6"/>
  <c r="U632" i="6"/>
  <c r="F624" i="6"/>
  <c r="I624" i="6"/>
  <c r="M624" i="6" s="1"/>
  <c r="E559" i="6"/>
  <c r="U559" i="6"/>
  <c r="P555" i="6"/>
  <c r="F555" i="6"/>
  <c r="J535" i="6"/>
  <c r="E444" i="6"/>
  <c r="J429" i="6"/>
  <c r="J387" i="6"/>
  <c r="J364" i="6"/>
  <c r="E1358" i="6"/>
  <c r="E1277" i="6"/>
  <c r="E1196" i="6"/>
  <c r="E1115" i="6"/>
  <c r="H1049" i="6"/>
  <c r="E1011" i="6"/>
  <c r="J990" i="6"/>
  <c r="U983" i="6"/>
  <c r="F978" i="6"/>
  <c r="P978" i="6"/>
  <c r="I934" i="6"/>
  <c r="M934" i="6" s="1"/>
  <c r="P934" i="6"/>
  <c r="U911" i="6"/>
  <c r="E879" i="6"/>
  <c r="H879" i="6"/>
  <c r="J864" i="6"/>
  <c r="I835" i="6"/>
  <c r="M835" i="6" s="1"/>
  <c r="F835" i="6"/>
  <c r="J738" i="6"/>
  <c r="F726" i="6"/>
  <c r="I726" i="6"/>
  <c r="M726" i="6" s="1"/>
  <c r="U710" i="6"/>
  <c r="U684" i="6"/>
  <c r="E675" i="6"/>
  <c r="J625" i="6"/>
  <c r="E624" i="6"/>
  <c r="U624" i="6"/>
  <c r="H624" i="6"/>
  <c r="U609" i="6"/>
  <c r="E555" i="6"/>
  <c r="J524" i="6"/>
  <c r="I512" i="6"/>
  <c r="M512" i="6" s="1"/>
  <c r="P512" i="6"/>
  <c r="J458" i="6"/>
  <c r="J454" i="6"/>
  <c r="I449" i="6"/>
  <c r="M449" i="6" s="1"/>
  <c r="F449" i="6"/>
  <c r="P449" i="6"/>
  <c r="H436" i="6"/>
  <c r="P387" i="6"/>
  <c r="I387" i="6"/>
  <c r="M387" i="6" s="1"/>
  <c r="F387" i="6"/>
  <c r="H373" i="6"/>
  <c r="E373" i="6"/>
  <c r="J354" i="6"/>
  <c r="P350" i="6"/>
  <c r="F350" i="6"/>
  <c r="I327" i="6"/>
  <c r="M327" i="6" s="1"/>
  <c r="F327" i="6"/>
  <c r="F304" i="6"/>
  <c r="P304" i="6"/>
  <c r="F294" i="6"/>
  <c r="I294" i="6"/>
  <c r="M294" i="6" s="1"/>
  <c r="U284" i="6"/>
  <c r="H284" i="6"/>
  <c r="J274" i="6"/>
  <c r="J247" i="6"/>
  <c r="U1046" i="6"/>
  <c r="U965" i="6"/>
  <c r="U884" i="6"/>
  <c r="U803" i="6"/>
  <c r="H661" i="6"/>
  <c r="H650" i="6"/>
  <c r="E606" i="6"/>
  <c r="P584" i="6"/>
  <c r="I584" i="6"/>
  <c r="M584" i="6" s="1"/>
  <c r="E496" i="6"/>
  <c r="U496" i="6"/>
  <c r="U477" i="6"/>
  <c r="H477" i="6"/>
  <c r="E451" i="6"/>
  <c r="E432" i="6"/>
  <c r="P404" i="6"/>
  <c r="F404" i="6"/>
  <c r="P383" i="6"/>
  <c r="I383" i="6"/>
  <c r="M383" i="6" s="1"/>
  <c r="H371" i="6"/>
  <c r="H364" i="6"/>
  <c r="U364" i="6"/>
  <c r="U320" i="6"/>
  <c r="H305" i="6"/>
  <c r="U305" i="6"/>
  <c r="E291" i="6"/>
  <c r="U291" i="6"/>
  <c r="H247" i="6"/>
  <c r="E247" i="6"/>
  <c r="J1035" i="6"/>
  <c r="J954" i="6"/>
  <c r="J873" i="6"/>
  <c r="J792" i="6"/>
  <c r="E579" i="6"/>
  <c r="H569" i="6"/>
  <c r="U544" i="6"/>
  <c r="E544" i="6"/>
  <c r="H515" i="6"/>
  <c r="U500" i="6"/>
  <c r="E482" i="6"/>
  <c r="E473" i="6"/>
  <c r="E469" i="6"/>
  <c r="U469" i="6"/>
  <c r="P456" i="6"/>
  <c r="I456" i="6"/>
  <c r="M456" i="6" s="1"/>
  <c r="E442" i="6"/>
  <c r="U442" i="6"/>
  <c r="J434" i="6"/>
  <c r="P408" i="6"/>
  <c r="F408" i="6"/>
  <c r="J405" i="6"/>
  <c r="E390" i="6"/>
  <c r="U390" i="6"/>
  <c r="H390" i="6"/>
  <c r="E375" i="6"/>
  <c r="J369" i="6"/>
  <c r="U368" i="6"/>
  <c r="E335" i="6"/>
  <c r="H312" i="6"/>
  <c r="J303" i="6"/>
  <c r="E280" i="6"/>
  <c r="U280" i="6"/>
  <c r="F258" i="6"/>
  <c r="I258" i="6"/>
  <c r="M258" i="6" s="1"/>
  <c r="F241" i="6"/>
  <c r="I241" i="6"/>
  <c r="M241" i="6" s="1"/>
  <c r="E660" i="6"/>
  <c r="U565" i="6"/>
  <c r="E543" i="6"/>
  <c r="E514" i="6"/>
  <c r="U508" i="6"/>
  <c r="E492" i="6"/>
  <c r="H470" i="6"/>
  <c r="U470" i="6"/>
  <c r="I412" i="6"/>
  <c r="M412" i="6" s="1"/>
  <c r="F412" i="6"/>
  <c r="H369" i="6"/>
  <c r="E354" i="6"/>
  <c r="H354" i="6"/>
  <c r="H342" i="6"/>
  <c r="U342" i="6"/>
  <c r="E326" i="6"/>
  <c r="H301" i="6"/>
  <c r="U301" i="6"/>
  <c r="H285" i="6"/>
  <c r="E285" i="6"/>
  <c r="H260" i="6"/>
  <c r="U245" i="6"/>
  <c r="H245" i="6"/>
  <c r="J395" i="6"/>
  <c r="J331" i="6"/>
  <c r="H411" i="6"/>
  <c r="E411" i="6"/>
  <c r="P357" i="6"/>
  <c r="F357" i="6"/>
  <c r="H279" i="6"/>
  <c r="E236" i="6"/>
  <c r="U236" i="6"/>
  <c r="E633" i="6"/>
  <c r="H560" i="6"/>
  <c r="E523" i="6"/>
  <c r="E466" i="6"/>
  <c r="E460" i="6"/>
  <c r="H434" i="6"/>
  <c r="H393" i="6"/>
  <c r="J386" i="6"/>
  <c r="E380" i="6"/>
  <c r="H348" i="6"/>
  <c r="H311" i="6"/>
  <c r="J254" i="6"/>
  <c r="H256" i="6"/>
  <c r="E487" i="6"/>
  <c r="E366" i="6"/>
  <c r="E327" i="6"/>
  <c r="E302" i="6"/>
  <c r="E297" i="6"/>
  <c r="E273" i="6"/>
  <c r="H273" i="6"/>
  <c r="P247" i="6"/>
  <c r="F247" i="6"/>
  <c r="H391" i="6"/>
  <c r="U365" i="6"/>
  <c r="E309" i="6"/>
  <c r="H283" i="6"/>
  <c r="E398" i="6"/>
  <c r="E372" i="6"/>
  <c r="U277" i="6"/>
  <c r="E246" i="6"/>
  <c r="E345" i="6"/>
  <c r="E264" i="6"/>
  <c r="P201" i="6"/>
  <c r="F201" i="6"/>
  <c r="I201" i="6"/>
  <c r="M201" i="6" s="1"/>
  <c r="F151" i="6"/>
  <c r="U215" i="6"/>
  <c r="E215" i="6"/>
  <c r="H215" i="6"/>
  <c r="J210" i="6"/>
  <c r="J193" i="6"/>
  <c r="P164" i="6"/>
  <c r="F164" i="6"/>
  <c r="I164" i="6"/>
  <c r="M164" i="6" s="1"/>
  <c r="U116" i="6"/>
  <c r="E116" i="6"/>
  <c r="H116" i="6"/>
  <c r="E37" i="6"/>
  <c r="H37" i="6"/>
  <c r="U37" i="6"/>
  <c r="F125" i="6"/>
  <c r="I125" i="6"/>
  <c r="M125" i="6" s="1"/>
  <c r="P101" i="6"/>
  <c r="I101" i="6"/>
  <c r="M101" i="6" s="1"/>
  <c r="F101" i="6"/>
  <c r="H221" i="6"/>
  <c r="E221" i="6"/>
  <c r="J174" i="6"/>
  <c r="H133" i="6"/>
  <c r="U133" i="6"/>
  <c r="E133" i="6"/>
  <c r="J128" i="6"/>
  <c r="E81" i="6"/>
  <c r="H81" i="6"/>
  <c r="U81" i="6"/>
  <c r="I57" i="6"/>
  <c r="M57" i="6" s="1"/>
  <c r="F57" i="6"/>
  <c r="J55" i="6"/>
  <c r="H213" i="6"/>
  <c r="I202" i="6"/>
  <c r="M202" i="6" s="1"/>
  <c r="J134" i="6"/>
  <c r="J115" i="6"/>
  <c r="J113" i="6"/>
  <c r="U90" i="6"/>
  <c r="E90" i="6"/>
  <c r="H90" i="6"/>
  <c r="P84" i="6"/>
  <c r="F84" i="6"/>
  <c r="I84" i="6"/>
  <c r="M84" i="6" s="1"/>
  <c r="F33" i="6"/>
  <c r="P33" i="6"/>
  <c r="I33" i="6"/>
  <c r="M33" i="6" s="1"/>
  <c r="E207" i="6"/>
  <c r="H207" i="6"/>
  <c r="U207" i="6"/>
  <c r="I134" i="6"/>
  <c r="M134" i="6" s="1"/>
  <c r="P128" i="6"/>
  <c r="F128" i="6"/>
  <c r="I128" i="6"/>
  <c r="M128" i="6" s="1"/>
  <c r="P65" i="6"/>
  <c r="F65" i="6"/>
  <c r="I65" i="6"/>
  <c r="M65" i="6" s="1"/>
  <c r="J205" i="6"/>
  <c r="I154" i="6"/>
  <c r="M154" i="6" s="1"/>
  <c r="F154" i="6"/>
  <c r="P154" i="6"/>
  <c r="F78" i="6"/>
  <c r="P78" i="6"/>
  <c r="I78" i="6"/>
  <c r="M78" i="6" s="1"/>
  <c r="E62" i="6"/>
  <c r="H62" i="6"/>
  <c r="U62" i="6"/>
  <c r="E182" i="6"/>
  <c r="U182" i="6"/>
  <c r="F205" i="6"/>
  <c r="I205" i="6"/>
  <c r="M205" i="6" s="1"/>
  <c r="P205" i="6"/>
  <c r="P199" i="6"/>
  <c r="I199" i="6"/>
  <c r="M199" i="6" s="1"/>
  <c r="F199" i="6"/>
  <c r="H187" i="6"/>
  <c r="U187" i="6"/>
  <c r="E187" i="6"/>
  <c r="H154" i="6"/>
  <c r="U154" i="6"/>
  <c r="I88" i="6"/>
  <c r="M88" i="6" s="1"/>
  <c r="F88" i="6"/>
  <c r="P88" i="6"/>
  <c r="E219" i="6"/>
  <c r="H219" i="6"/>
  <c r="U219" i="6"/>
  <c r="H205" i="6"/>
  <c r="E205" i="6"/>
  <c r="U205" i="6"/>
  <c r="F202" i="6"/>
  <c r="U185" i="6"/>
  <c r="E185" i="6"/>
  <c r="H185" i="6"/>
  <c r="E168" i="6"/>
  <c r="H168" i="6"/>
  <c r="U168" i="6"/>
  <c r="E140" i="6"/>
  <c r="F134" i="6"/>
  <c r="P120" i="6"/>
  <c r="I120" i="6"/>
  <c r="M120" i="6" s="1"/>
  <c r="F120" i="6"/>
  <c r="I115" i="6"/>
  <c r="M115" i="6" s="1"/>
  <c r="P115" i="6"/>
  <c r="F115" i="6"/>
  <c r="J105" i="6"/>
  <c r="H91" i="6"/>
  <c r="U59" i="6"/>
  <c r="E41" i="6"/>
  <c r="H41" i="6"/>
  <c r="U41" i="6"/>
  <c r="E145" i="6"/>
  <c r="U145" i="6"/>
  <c r="P155" i="6"/>
  <c r="I155" i="6"/>
  <c r="M155" i="6" s="1"/>
  <c r="J124" i="6"/>
  <c r="E118" i="6"/>
  <c r="U118" i="6"/>
  <c r="P186" i="6"/>
  <c r="F186" i="6"/>
  <c r="I186" i="6"/>
  <c r="M186" i="6" s="1"/>
  <c r="E158" i="6"/>
  <c r="E147" i="6"/>
  <c r="H126" i="6"/>
  <c r="E126" i="6"/>
  <c r="J72" i="6"/>
  <c r="E108" i="6"/>
  <c r="U108" i="6"/>
  <c r="J99" i="6"/>
  <c r="U179" i="6"/>
  <c r="H179" i="6"/>
  <c r="J158" i="6"/>
  <c r="I107" i="6"/>
  <c r="M107" i="6" s="1"/>
  <c r="F107" i="6"/>
  <c r="P107" i="6"/>
  <c r="P191" i="6"/>
  <c r="I191" i="6"/>
  <c r="M191" i="6" s="1"/>
  <c r="F191" i="6"/>
  <c r="H160" i="6"/>
  <c r="E160" i="6"/>
  <c r="U160" i="6"/>
  <c r="U221" i="6"/>
  <c r="E69" i="6"/>
  <c r="H69" i="6"/>
  <c r="U69" i="6"/>
  <c r="U47" i="6"/>
  <c r="H47" i="6"/>
  <c r="E47" i="6"/>
  <c r="P208" i="6"/>
  <c r="F208" i="6"/>
  <c r="I208" i="6"/>
  <c r="M208" i="6" s="1"/>
  <c r="H191" i="6"/>
  <c r="U191" i="6"/>
  <c r="I220" i="6"/>
  <c r="M220" i="6" s="1"/>
  <c r="F220" i="6"/>
  <c r="F169" i="6"/>
  <c r="I169" i="6"/>
  <c r="M169" i="6" s="1"/>
  <c r="P169" i="6"/>
  <c r="J119" i="6"/>
  <c r="P53" i="6"/>
  <c r="I53" i="6"/>
  <c r="M53" i="6" s="1"/>
  <c r="H195" i="6"/>
  <c r="U194" i="6"/>
  <c r="H194" i="6"/>
  <c r="H186" i="6"/>
  <c r="H172" i="6"/>
  <c r="E163" i="6"/>
  <c r="H163" i="6"/>
  <c r="U163" i="6"/>
  <c r="I161" i="6"/>
  <c r="M161" i="6" s="1"/>
  <c r="F161" i="6"/>
  <c r="P161" i="6"/>
  <c r="E150" i="6"/>
  <c r="U150" i="6"/>
  <c r="H150" i="6"/>
  <c r="E138" i="6"/>
  <c r="H138" i="6"/>
  <c r="U138" i="6"/>
  <c r="U53" i="6"/>
  <c r="E53" i="6"/>
  <c r="H53" i="6"/>
  <c r="E222" i="6"/>
  <c r="H222" i="6"/>
  <c r="F114" i="6"/>
  <c r="P114" i="6"/>
  <c r="I114" i="6"/>
  <c r="M114" i="6" s="1"/>
  <c r="J106" i="6"/>
  <c r="P57" i="6"/>
  <c r="U201" i="6"/>
  <c r="H201" i="6"/>
  <c r="U65" i="6"/>
  <c r="H65" i="6"/>
  <c r="H120" i="6"/>
  <c r="U120" i="6"/>
  <c r="I183" i="6"/>
  <c r="M183" i="6" s="1"/>
  <c r="F183" i="6"/>
  <c r="E123" i="6"/>
  <c r="U123" i="6"/>
  <c r="H123" i="6"/>
  <c r="H107" i="6"/>
  <c r="E107" i="6"/>
  <c r="U107" i="6"/>
  <c r="F94" i="6"/>
  <c r="I94" i="6"/>
  <c r="M94" i="6" s="1"/>
  <c r="P94" i="6"/>
  <c r="U222" i="6"/>
  <c r="E175" i="6"/>
  <c r="H175" i="6"/>
  <c r="P125" i="6"/>
  <c r="U110" i="6"/>
  <c r="E110" i="6"/>
  <c r="H110" i="6"/>
  <c r="H108" i="6"/>
  <c r="E201" i="6"/>
  <c r="J176" i="6"/>
  <c r="E172" i="6"/>
  <c r="H164" i="6"/>
  <c r="J151" i="6"/>
  <c r="H145" i="6"/>
  <c r="F121" i="6"/>
  <c r="P121" i="6"/>
  <c r="E77" i="6"/>
  <c r="H77" i="6"/>
  <c r="U77" i="6"/>
  <c r="J68" i="6"/>
  <c r="E59" i="6"/>
  <c r="U56" i="6"/>
  <c r="E56" i="6"/>
  <c r="H56" i="6"/>
  <c r="J131" i="6"/>
  <c r="P171" i="6"/>
  <c r="F171" i="6"/>
  <c r="I171" i="6"/>
  <c r="M171" i="6" s="1"/>
  <c r="P157" i="6"/>
  <c r="I157" i="6"/>
  <c r="M157" i="6" s="1"/>
  <c r="P47" i="6"/>
  <c r="F47" i="6"/>
  <c r="I47" i="6"/>
  <c r="M47" i="6" s="1"/>
  <c r="E171" i="6"/>
  <c r="H171" i="6"/>
  <c r="E115" i="6"/>
  <c r="J61" i="6"/>
  <c r="U202" i="6"/>
  <c r="E202" i="6"/>
  <c r="U171" i="6"/>
  <c r="J166" i="6"/>
  <c r="U71" i="6"/>
  <c r="E71" i="6"/>
  <c r="H71" i="6"/>
  <c r="I198" i="6"/>
  <c r="M198" i="6" s="1"/>
  <c r="F198" i="6"/>
  <c r="P198" i="6"/>
  <c r="E189" i="6"/>
  <c r="U189" i="6"/>
  <c r="P178" i="6"/>
  <c r="F178" i="6"/>
  <c r="I178" i="6"/>
  <c r="M178" i="6" s="1"/>
  <c r="U140" i="6"/>
  <c r="P215" i="6"/>
  <c r="F215" i="6"/>
  <c r="I215" i="6"/>
  <c r="M215" i="6" s="1"/>
  <c r="E212" i="6"/>
  <c r="H212" i="6"/>
  <c r="U212" i="6"/>
  <c r="H178" i="6"/>
  <c r="E178" i="6"/>
  <c r="U178" i="6"/>
  <c r="E164" i="6"/>
  <c r="I151" i="6"/>
  <c r="M151" i="6" s="1"/>
  <c r="P142" i="6"/>
  <c r="F142" i="6"/>
  <c r="I142" i="6"/>
  <c r="M142" i="6" s="1"/>
  <c r="E114" i="6"/>
  <c r="H114" i="6"/>
  <c r="U114" i="6"/>
  <c r="F75" i="6"/>
  <c r="I75" i="6"/>
  <c r="M75" i="6" s="1"/>
  <c r="P75" i="6"/>
  <c r="I70" i="6"/>
  <c r="M70" i="6" s="1"/>
  <c r="P70" i="6"/>
  <c r="F70" i="6"/>
  <c r="U104" i="6"/>
  <c r="I92" i="6"/>
  <c r="M92" i="6" s="1"/>
  <c r="J183" i="6"/>
  <c r="E169" i="6"/>
  <c r="E155" i="6"/>
  <c r="U134" i="6"/>
  <c r="E134" i="6"/>
  <c r="H134" i="6"/>
  <c r="J122" i="6"/>
  <c r="H88" i="6"/>
  <c r="E88" i="6"/>
  <c r="H75" i="6"/>
  <c r="U75" i="6"/>
  <c r="E75" i="6"/>
  <c r="E70" i="6"/>
  <c r="E57" i="6"/>
  <c r="I48" i="6"/>
  <c r="M48" i="6" s="1"/>
  <c r="U38" i="6"/>
  <c r="H38" i="6"/>
  <c r="E38" i="6"/>
  <c r="U101" i="6"/>
  <c r="H101" i="6"/>
  <c r="E95" i="6"/>
  <c r="E78" i="6"/>
  <c r="U78" i="6"/>
  <c r="F60" i="6"/>
  <c r="I60" i="6"/>
  <c r="M60" i="6" s="1"/>
  <c r="P60" i="6"/>
  <c r="J48" i="6"/>
  <c r="J36" i="6"/>
  <c r="P223" i="6"/>
  <c r="F223" i="6"/>
  <c r="I223" i="6"/>
  <c r="M223" i="6" s="1"/>
  <c r="H165" i="6"/>
  <c r="H161" i="6"/>
  <c r="H128" i="6"/>
  <c r="I63" i="6"/>
  <c r="M63" i="6" s="1"/>
  <c r="F63" i="6"/>
  <c r="J220" i="6"/>
  <c r="I213" i="6"/>
  <c r="M213" i="6" s="1"/>
  <c r="F213" i="6"/>
  <c r="F173" i="6"/>
  <c r="F165" i="6"/>
  <c r="J159" i="6"/>
  <c r="U148" i="6"/>
  <c r="E148" i="6"/>
  <c r="E142" i="6"/>
  <c r="E141" i="6"/>
  <c r="E131" i="6"/>
  <c r="U131" i="6"/>
  <c r="I102" i="6"/>
  <c r="M102" i="6" s="1"/>
  <c r="F92" i="6"/>
  <c r="H89" i="6"/>
  <c r="E82" i="6"/>
  <c r="U72" i="6"/>
  <c r="H72" i="6"/>
  <c r="F48" i="6"/>
  <c r="F42" i="6"/>
  <c r="P42" i="6"/>
  <c r="I42" i="6"/>
  <c r="M42" i="6" s="1"/>
  <c r="U198" i="6"/>
  <c r="P119" i="6"/>
  <c r="F119" i="6"/>
  <c r="I119" i="6"/>
  <c r="M119" i="6" s="1"/>
  <c r="P109" i="6"/>
  <c r="F109" i="6"/>
  <c r="I109" i="6"/>
  <c r="M109" i="6" s="1"/>
  <c r="I76" i="6"/>
  <c r="M76" i="6" s="1"/>
  <c r="F76" i="6"/>
  <c r="I52" i="6"/>
  <c r="M52" i="6" s="1"/>
  <c r="F52" i="6"/>
  <c r="E186" i="6"/>
  <c r="U186" i="6"/>
  <c r="H183" i="6"/>
  <c r="J218" i="6"/>
  <c r="H139" i="6"/>
  <c r="E139" i="6"/>
  <c r="U39" i="6"/>
  <c r="I34" i="6"/>
  <c r="M34" i="6" s="1"/>
  <c r="P34" i="6"/>
  <c r="I82" i="6"/>
  <c r="M82" i="6" s="1"/>
  <c r="F82" i="6"/>
  <c r="E42" i="6"/>
  <c r="H42" i="6"/>
  <c r="J139" i="6"/>
  <c r="F132" i="6"/>
  <c r="I132" i="6"/>
  <c r="M132" i="6" s="1"/>
  <c r="H115" i="6"/>
  <c r="U115" i="6"/>
  <c r="U66" i="6"/>
  <c r="J40" i="6"/>
  <c r="J31" i="6"/>
  <c r="U216" i="6"/>
  <c r="J181" i="6"/>
  <c r="P162" i="6"/>
  <c r="I162" i="6"/>
  <c r="M162" i="6" s="1"/>
  <c r="J156" i="6"/>
  <c r="H125" i="6"/>
  <c r="E125" i="6"/>
  <c r="J103" i="6"/>
  <c r="J74" i="6"/>
  <c r="U48" i="6"/>
  <c r="E48" i="6"/>
  <c r="H48" i="6"/>
  <c r="J43" i="6"/>
  <c r="U36" i="6"/>
  <c r="E36" i="6"/>
  <c r="H36" i="6"/>
  <c r="U209" i="6"/>
  <c r="I139" i="6"/>
  <c r="M139" i="6" s="1"/>
  <c r="F139" i="6"/>
  <c r="E132" i="6"/>
  <c r="H132" i="6"/>
  <c r="F190" i="6"/>
  <c r="I190" i="6"/>
  <c r="M190" i="6" s="1"/>
  <c r="P146" i="6"/>
  <c r="F146" i="6"/>
  <c r="I146" i="6"/>
  <c r="M146" i="6" s="1"/>
  <c r="P127" i="6"/>
  <c r="J90" i="6"/>
  <c r="U79" i="6"/>
  <c r="E184" i="6"/>
  <c r="J171" i="6"/>
  <c r="F153" i="6"/>
  <c r="I153" i="6"/>
  <c r="M153" i="6" s="1"/>
  <c r="E149" i="6"/>
  <c r="H149" i="6"/>
  <c r="J137" i="6"/>
  <c r="U135" i="6"/>
  <c r="J130" i="6"/>
  <c r="U119" i="6"/>
  <c r="H119" i="6"/>
  <c r="E119" i="6"/>
  <c r="H106" i="6"/>
  <c r="E106" i="6"/>
  <c r="U106" i="6"/>
  <c r="F100" i="6"/>
  <c r="I100" i="6"/>
  <c r="M100" i="6" s="1"/>
  <c r="U95" i="6"/>
  <c r="U88" i="6"/>
  <c r="P64" i="6"/>
  <c r="I64" i="6"/>
  <c r="M64" i="6" s="1"/>
  <c r="P58" i="6"/>
  <c r="I58" i="6"/>
  <c r="M58" i="6" s="1"/>
  <c r="H52" i="6"/>
  <c r="U52" i="6"/>
  <c r="E46" i="6"/>
  <c r="H46" i="6"/>
  <c r="U46" i="6"/>
  <c r="H220" i="6"/>
  <c r="E220" i="6"/>
  <c r="U192" i="6"/>
  <c r="E192" i="6"/>
  <c r="J215" i="6"/>
  <c r="H214" i="6"/>
  <c r="U214" i="6"/>
  <c r="P200" i="6"/>
  <c r="F200" i="6"/>
  <c r="E193" i="6"/>
  <c r="H193" i="6"/>
  <c r="H190" i="6"/>
  <c r="U190" i="6"/>
  <c r="E190" i="6"/>
  <c r="J188" i="6"/>
  <c r="H146" i="6"/>
  <c r="E146" i="6"/>
  <c r="H113" i="6"/>
  <c r="U113" i="6"/>
  <c r="E113" i="6"/>
  <c r="P103" i="6"/>
  <c r="F103" i="6"/>
  <c r="I103" i="6"/>
  <c r="M103" i="6" s="1"/>
  <c r="P83" i="6"/>
  <c r="I83" i="6"/>
  <c r="M83" i="6" s="1"/>
  <c r="H34" i="6"/>
  <c r="E34" i="6"/>
  <c r="U34" i="6"/>
  <c r="U169" i="6"/>
  <c r="H153" i="6"/>
  <c r="U153" i="6"/>
  <c r="E153" i="6"/>
  <c r="J144" i="6"/>
  <c r="P105" i="6"/>
  <c r="H100" i="6"/>
  <c r="U100" i="6"/>
  <c r="E100" i="6"/>
  <c r="I97" i="6"/>
  <c r="M97" i="6" s="1"/>
  <c r="F97" i="6"/>
  <c r="P97" i="6"/>
  <c r="P71" i="6"/>
  <c r="F71" i="6"/>
  <c r="H43" i="6"/>
  <c r="U43" i="6"/>
  <c r="E43" i="6"/>
  <c r="P213" i="6"/>
  <c r="J208" i="6"/>
  <c r="E197" i="6"/>
  <c r="H197" i="6"/>
  <c r="U197" i="6"/>
  <c r="J164" i="6"/>
  <c r="E156" i="6"/>
  <c r="H156" i="6"/>
  <c r="I150" i="6"/>
  <c r="M150" i="6" s="1"/>
  <c r="P150" i="6"/>
  <c r="H104" i="6"/>
  <c r="E93" i="6"/>
  <c r="U93" i="6"/>
  <c r="U57" i="6"/>
  <c r="U42" i="6"/>
  <c r="I206" i="6"/>
  <c r="M206" i="6" s="1"/>
  <c r="J199" i="6"/>
  <c r="H196" i="6"/>
  <c r="J177" i="6"/>
  <c r="J162" i="6"/>
  <c r="J155" i="6"/>
  <c r="I126" i="6"/>
  <c r="M126" i="6" s="1"/>
  <c r="H124" i="6"/>
  <c r="J120" i="6"/>
  <c r="J114" i="6"/>
  <c r="E87" i="6"/>
  <c r="J83" i="6"/>
  <c r="J77" i="6"/>
  <c r="U74" i="6"/>
  <c r="J70" i="6"/>
  <c r="J64" i="6"/>
  <c r="J58" i="6"/>
  <c r="J214" i="6"/>
  <c r="E204" i="6"/>
  <c r="J192" i="6"/>
  <c r="J185" i="6"/>
  <c r="E183" i="6"/>
  <c r="I177" i="6"/>
  <c r="M177" i="6" s="1"/>
  <c r="E176" i="6"/>
  <c r="E161" i="6"/>
  <c r="J148" i="6"/>
  <c r="J133" i="6"/>
  <c r="J108" i="6"/>
  <c r="E63" i="6"/>
  <c r="E51" i="6"/>
  <c r="E213" i="6"/>
  <c r="J34" i="6"/>
  <c r="E33" i="6"/>
  <c r="H33" i="6"/>
  <c r="P219" i="6"/>
  <c r="I209" i="6"/>
  <c r="M209" i="6" s="1"/>
  <c r="E177" i="6"/>
  <c r="P175" i="6"/>
  <c r="P160" i="6"/>
  <c r="P138" i="6"/>
  <c r="P62" i="6"/>
  <c r="U51" i="6"/>
  <c r="H159" i="6"/>
  <c r="E151" i="6"/>
  <c r="H142" i="6"/>
  <c r="U128" i="6"/>
  <c r="H97" i="6"/>
  <c r="H74" i="6"/>
  <c r="E60" i="6"/>
  <c r="U33" i="6"/>
  <c r="H79" i="6"/>
  <c r="U54" i="6"/>
  <c r="E195" i="6"/>
  <c r="F182" i="6"/>
  <c r="F106" i="6"/>
  <c r="I69" i="6"/>
  <c r="M69" i="6" s="1"/>
  <c r="J63" i="6"/>
  <c r="F56" i="6"/>
  <c r="H51" i="6"/>
  <c r="E105" i="6"/>
  <c r="U92" i="6"/>
  <c r="H61" i="6"/>
  <c r="P43" i="6"/>
  <c r="F51" i="6"/>
  <c r="P51" i="6"/>
  <c r="E16" i="6"/>
  <c r="E19" i="6"/>
  <c r="H7" i="6"/>
  <c r="E29" i="6"/>
  <c r="J15" i="6"/>
  <c r="H20" i="6"/>
  <c r="I24" i="6"/>
  <c r="M24" i="6" s="1"/>
  <c r="F24" i="6"/>
  <c r="P23" i="6"/>
  <c r="F23" i="6"/>
  <c r="E6" i="6"/>
  <c r="U9" i="6"/>
  <c r="E12" i="6"/>
  <c r="U25" i="6"/>
  <c r="E28" i="6"/>
  <c r="H3" i="6"/>
  <c r="E11" i="6"/>
  <c r="J18" i="6"/>
  <c r="F30" i="6"/>
  <c r="E18" i="6"/>
  <c r="E30" i="6"/>
  <c r="U21" i="6"/>
  <c r="H14" i="6"/>
  <c r="E17" i="6"/>
  <c r="E4" i="6"/>
  <c r="I23" i="6"/>
  <c r="M23" i="6" s="1"/>
  <c r="E20" i="6"/>
  <c r="E13" i="6"/>
  <c r="I5" i="6"/>
  <c r="M5" i="6" s="1"/>
  <c r="E8" i="6"/>
  <c r="E10" i="6"/>
  <c r="F6" i="6"/>
  <c r="E7" i="6"/>
  <c r="H9" i="6"/>
  <c r="P24" i="6"/>
  <c r="H27" i="6"/>
  <c r="F12" i="6"/>
  <c r="E26" i="6"/>
  <c r="H12" i="6"/>
  <c r="H6" i="6"/>
  <c r="P6" i="6"/>
  <c r="E15" i="6"/>
  <c r="H24" i="6"/>
  <c r="F5" i="6"/>
  <c r="J24" i="6"/>
  <c r="H19" i="6"/>
  <c r="J23" i="6"/>
  <c r="J5" i="6"/>
  <c r="E25" i="6"/>
  <c r="E5" i="6"/>
  <c r="H21" i="6"/>
  <c r="H18" i="6"/>
  <c r="F18" i="6"/>
  <c r="I29" i="6"/>
  <c r="M29" i="6" s="1"/>
  <c r="I11" i="6"/>
  <c r="M11" i="6" s="1"/>
  <c r="P22" i="6"/>
  <c r="P4" i="6"/>
  <c r="E14" i="6"/>
  <c r="U14" i="6"/>
  <c r="F17" i="6"/>
  <c r="I28" i="6"/>
  <c r="M28" i="6" s="1"/>
  <c r="I10" i="6"/>
  <c r="M10" i="6" s="1"/>
  <c r="P21" i="6"/>
  <c r="P3" i="6"/>
  <c r="F16" i="6"/>
  <c r="I27" i="6"/>
  <c r="M27" i="6" s="1"/>
  <c r="I9" i="6"/>
  <c r="M9" i="6" s="1"/>
  <c r="P20" i="6"/>
  <c r="F15" i="6"/>
  <c r="I26" i="6"/>
  <c r="M26" i="6" s="1"/>
  <c r="I8" i="6"/>
  <c r="M8" i="6" s="1"/>
  <c r="P19" i="6"/>
  <c r="F14" i="6"/>
  <c r="I25" i="6"/>
  <c r="M25" i="6" s="1"/>
  <c r="I7" i="6"/>
  <c r="M7" i="6" s="1"/>
  <c r="P18" i="6"/>
  <c r="F2" i="6"/>
  <c r="F13" i="6"/>
  <c r="P17" i="6"/>
  <c r="E27" i="6"/>
  <c r="E9" i="6"/>
  <c r="P16" i="6"/>
  <c r="F29" i="6"/>
  <c r="F11" i="6"/>
  <c r="I22" i="6"/>
  <c r="M22" i="6" s="1"/>
  <c r="I4" i="6"/>
  <c r="M4" i="6" s="1"/>
  <c r="P15" i="6"/>
  <c r="F28" i="6"/>
  <c r="F10" i="6"/>
  <c r="I21" i="6"/>
  <c r="M21" i="6" s="1"/>
  <c r="I3" i="6"/>
  <c r="M3" i="6" s="1"/>
  <c r="P14" i="6"/>
  <c r="E24" i="6"/>
  <c r="U20" i="6"/>
  <c r="U7" i="6"/>
  <c r="F27" i="6"/>
  <c r="F9" i="6"/>
  <c r="I20" i="6"/>
  <c r="M20" i="6" s="1"/>
  <c r="P2" i="6"/>
  <c r="P13" i="6"/>
  <c r="U13" i="6"/>
  <c r="F26" i="6"/>
  <c r="F8" i="6"/>
  <c r="I19" i="6"/>
  <c r="M19" i="6" s="1"/>
  <c r="P30" i="6"/>
  <c r="P12" i="6"/>
  <c r="U26" i="6"/>
  <c r="F25" i="6"/>
  <c r="F7" i="6"/>
  <c r="E21" i="6"/>
  <c r="E3" i="6"/>
  <c r="U19" i="6"/>
  <c r="H2" i="6"/>
  <c r="U27" i="6"/>
  <c r="U3" i="6"/>
  <c r="E2" i="6"/>
  <c r="U18" i="6"/>
  <c r="H29" i="6"/>
  <c r="H15" i="6"/>
  <c r="U10" i="6"/>
  <c r="U30" i="6"/>
  <c r="U28" i="6"/>
  <c r="H5" i="6"/>
  <c r="H11" i="6"/>
  <c r="H23" i="6"/>
  <c r="U15" i="6"/>
  <c r="U6" i="6"/>
  <c r="U8" i="6"/>
  <c r="H30" i="6"/>
  <c r="H25" i="6"/>
  <c r="U24" i="6"/>
  <c r="U12" i="6"/>
  <c r="H17" i="6"/>
  <c r="H13" i="6"/>
  <c r="H8" i="6"/>
  <c r="U22" i="6"/>
  <c r="U4" i="6"/>
  <c r="U29" i="6"/>
  <c r="U23" i="6"/>
  <c r="U17" i="6"/>
  <c r="U11" i="6"/>
  <c r="U5" i="6"/>
  <c r="H28" i="6"/>
  <c r="H10" i="6"/>
  <c r="H4" i="6"/>
  <c r="U16" i="6"/>
  <c r="H22" i="6"/>
  <c r="H16" i="6"/>
  <c r="U2" i="6"/>
  <c r="L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tc={BE07068E-948D-4DD3-90D7-5814FE7702FB}</author>
    <author>tc={C7C96B89-3D8D-41AC-9F36-7FDD7CF5D57F}</author>
  </authors>
  <commentList>
    <comment ref="K1" authorId="0" shapeId="0" xr:uid="{BE07068E-948D-4DD3-90D7-5814FE7702FB}">
      <text>
        <t>[Threaded comment]
Your version of Excel allows you to read this threaded comment; however, any edits to it will get removed if the file is opened in a newer version of Excel. Learn more: https://go.microsoft.com/fwlink/?linkid=870924
Comment:
    Renamed column name from “INFO-Data Type (Teradata-SRCI)” to “INFO-Data Type (Source)” to be used just as information about original source system data types. This is used in transformation column formula here but not in Snowflake code generation.</t>
      </text>
    </comment>
    <comment ref="L1" authorId="1" shapeId="0" xr:uid="{C7C96B89-3D8D-41AC-9F36-7FDD7CF5D57F}">
      <text>
        <t>[Threaded comment]
Your version of Excel allows you to read this threaded comment; however, any edits to it will get removed if the file is opened in a newer version of Excel. Learn more: https://go.microsoft.com/fwlink/?linkid=870924
Comment:
    This is info column only to see the data type format because some data types are marked as INTEGER but they are actually DATE so this is helpful in setting up proper transformation. This is not used Snowflake code generation.</t>
      </text>
    </comment>
  </commentList>
</comments>
</file>

<file path=xl/sharedStrings.xml><?xml version="1.0" encoding="utf-8"?>
<sst xmlns="http://schemas.openxmlformats.org/spreadsheetml/2006/main" count="39695" uniqueCount="867">
  <si>
    <t>CLK_CIRC_PORT_PODT</t>
  </si>
  <si>
    <t>CLK_CIRC_RES_RSCB</t>
  </si>
  <si>
    <t>CLK_CIRC_RES_RSCV</t>
  </si>
  <si>
    <t>CLK_CIRC_RES_RSEV</t>
  </si>
  <si>
    <t>CLK_CIRD_NREL_NONO</t>
  </si>
  <si>
    <t>CLK_CUST_CST_CUAD_RE</t>
  </si>
  <si>
    <t>CLK_CUST_CST_CUDD</t>
  </si>
  <si>
    <t>CLK_CUST_CST_CUEM</t>
  </si>
  <si>
    <t>CLK_CUST_CST_CUNM_RE</t>
  </si>
  <si>
    <t>CLK_CUST_CST_CUNO_RE</t>
  </si>
  <si>
    <t>CLK_CUST_CST_CUOR</t>
  </si>
  <si>
    <t>CLK_CUST_CST_CUPT</t>
  </si>
  <si>
    <t>CLK_DETM_DETIS_BBDS</t>
  </si>
  <si>
    <t>CLK_DETM_DETIS_C9DS</t>
  </si>
  <si>
    <t>CLK_DETM_DETIS_CBDS</t>
  </si>
  <si>
    <t>CLK_DETM_DETIS_CCDS</t>
  </si>
  <si>
    <t>CLK_DETM_DETIS_CJDS</t>
  </si>
  <si>
    <t>CLK_DETM_DETIS_CZDS</t>
  </si>
  <si>
    <t>CLK_DETM_DETIS_D3DS</t>
  </si>
  <si>
    <t>CLK_DETM_DETIS_DHDS</t>
  </si>
  <si>
    <t>CLK_DETM_DETIS_DPDS</t>
  </si>
  <si>
    <t>CLK_DETM_DETIS_EEDS</t>
  </si>
  <si>
    <t>CLK_DETM_DETIS_EHDS</t>
  </si>
  <si>
    <t>CLK_DETM_DETIS_EMDS</t>
  </si>
  <si>
    <t>CLK_DETM_DETIS_ESDS</t>
  </si>
  <si>
    <t>CLK_DETM_DETIS_F2DS</t>
  </si>
  <si>
    <t>CLK_DETM_DETIS_FDDS</t>
  </si>
  <si>
    <t>CLK_DETM_DETIS_FFDS</t>
  </si>
  <si>
    <t>CLK_DETM_DETIS_FHDS</t>
  </si>
  <si>
    <t>CLK_DETM_DETIS_FTDS</t>
  </si>
  <si>
    <t>CLK_DETM_DETIS_FYDS</t>
  </si>
  <si>
    <t>CLK_DETM_DETIS_GPDS</t>
  </si>
  <si>
    <t>CLK_DETM_DETIS_HDDS</t>
  </si>
  <si>
    <t>CLK_DETM_DETIS_JCDS</t>
  </si>
  <si>
    <t>CLK_DETM_DETIS_JMDS</t>
  </si>
  <si>
    <t>CLK_DETM_DETIS_K9DS</t>
  </si>
  <si>
    <t>CLK_DETM_DETIS_LIDS</t>
  </si>
  <si>
    <t>CLK_DETM_DETIS_LSDS</t>
  </si>
  <si>
    <t>CLK_DETM_DETIS_M9DS</t>
  </si>
  <si>
    <t>CLK_DETM_DETIS_MODS</t>
  </si>
  <si>
    <t>CLK_DETM_DETIS_MPDS</t>
  </si>
  <si>
    <t>CLK_DETM_DETIS_MYDS</t>
  </si>
  <si>
    <t>CLK_DETM_DETIS_N9DS</t>
  </si>
  <si>
    <t>CLK_DETM_DETIS_NRDS</t>
  </si>
  <si>
    <t>CLK_DETM_DETIS_NSDS</t>
  </si>
  <si>
    <t>CLK_DETM_DETIS_P1DS</t>
  </si>
  <si>
    <t>CLK_DETM_DETIS_PGDS</t>
  </si>
  <si>
    <t>CLK_DETM_DETIS_PJDS</t>
  </si>
  <si>
    <t>CLK_DETM_DETIS_PNDS</t>
  </si>
  <si>
    <t>CLK_DETM_DETIS_RCDS</t>
  </si>
  <si>
    <t>CLK_DETM_DETIS_SHDS</t>
  </si>
  <si>
    <t>CLK_DETM_DETIS_TLDS</t>
  </si>
  <si>
    <t>CLK_DETM_DETIS_VBDS</t>
  </si>
  <si>
    <t>CLK_DETM_DETIS_YBDS</t>
  </si>
  <si>
    <t>CLK_DETM_DETIS_YCDS</t>
  </si>
  <si>
    <t>CLK_DETM_DETIS_YPDS</t>
  </si>
  <si>
    <t>CLK_KIDS_CHILD</t>
  </si>
  <si>
    <t>CLK_KIDS_CHILD_CHFC</t>
  </si>
  <si>
    <t>CLK_KIDS_CHILD_CHGP</t>
  </si>
  <si>
    <t>CLK_LNK0_GLNK_CULD</t>
  </si>
  <si>
    <t>Load Type</t>
  </si>
  <si>
    <t>Source System Name</t>
  </si>
  <si>
    <t>Table Name Source</t>
  </si>
  <si>
    <t>Table Name Target</t>
  </si>
  <si>
    <t>Column Name Source</t>
  </si>
  <si>
    <t>Column Name Target</t>
  </si>
  <si>
    <t>Data Type Source</t>
  </si>
  <si>
    <t>Data Type Target</t>
  </si>
  <si>
    <t>Format Target</t>
  </si>
  <si>
    <t xml:space="preserve">PrimaryKeyFlag </t>
  </si>
  <si>
    <t>PI</t>
  </si>
  <si>
    <t>Order</t>
  </si>
  <si>
    <t>Include Column</t>
  </si>
  <si>
    <t>Filter</t>
  </si>
  <si>
    <t>Transformation Required</t>
  </si>
  <si>
    <t>Tranformation Rule</t>
  </si>
  <si>
    <t>Incremental</t>
  </si>
  <si>
    <t>CLK</t>
  </si>
  <si>
    <t>CIRC_PORT_PODT</t>
  </si>
  <si>
    <t>EXTRACT_DATE</t>
  </si>
  <si>
    <t>DATE</t>
  </si>
  <si>
    <t>StringType()</t>
  </si>
  <si>
    <t>YYYY-MM-DD</t>
  </si>
  <si>
    <t>Y</t>
  </si>
  <si>
    <t>CAST({COLREPLACE} AS STRING)</t>
  </si>
  <si>
    <t>NULL</t>
  </si>
  <si>
    <t>LOGICAL_DELETE_DATE</t>
  </si>
  <si>
    <t>ENVIRONMENT_ID</t>
  </si>
  <si>
    <t>CHAR(1)</t>
  </si>
  <si>
    <t>PERSON_ID</t>
  </si>
  <si>
    <t>INTEGER</t>
  </si>
  <si>
    <t>PROCESSING_SEQUENCE</t>
  </si>
  <si>
    <t>SMALLINT</t>
  </si>
  <si>
    <t>PODT_AMR_1</t>
  </si>
  <si>
    <t>CHAR(4)</t>
  </si>
  <si>
    <t>PODT_AMR_2</t>
  </si>
  <si>
    <t>PODT_AMR_3</t>
  </si>
  <si>
    <t>PODT_EXPCT_STAY_LEN_CODE</t>
  </si>
  <si>
    <t>CHAR(3)</t>
  </si>
  <si>
    <t>PODT_AUS_DPRT_DATE</t>
  </si>
  <si>
    <t>CAST(CASE WHEN {COLREPLACE} = 0 THEN NULL ELSE COALESCE(TO_DATE(CONCAT(SUBSTR(CAST({COLREPLACE} AS STRING), 1, 4), '-', SUBSTR(CAST({COLREPLACE} AS STRING), 5, 2), '-', SUBSTR(CAST({COLREPLACE} AS STRING), 7, 2)), 'yyyy-MM-dd'),TO_DATE('3333-03-03', 'yyyy-MM-dd')) END AS STRING)</t>
  </si>
  <si>
    <t>PODT_AUS_DPRT_DATE_ORIG</t>
  </si>
  <si>
    <t>PODT_AUS_RTN_DATE</t>
  </si>
  <si>
    <t>PODT_AUS_RTN_DATE_ORIG</t>
  </si>
  <si>
    <t>PODT_DPRT_CERT_CODE</t>
  </si>
  <si>
    <t>PODT_DOV</t>
  </si>
  <si>
    <t>PODT_DOV_ORIG</t>
  </si>
  <si>
    <t>PODT_LOCN_CTRY_CODE</t>
  </si>
  <si>
    <t>PODT_NZ_CLM_REJ_IND</t>
  </si>
  <si>
    <t>PODT_OSEAS_CAN_EXEMPT_CODE</t>
  </si>
  <si>
    <t>PODT_PRE_PP_SAVE_IND</t>
  </si>
  <si>
    <t>PODT_SPCL_ACT_OF_GRACE_CODE</t>
  </si>
  <si>
    <t>AMR1_RISL_DTS</t>
  </si>
  <si>
    <t>TIMESTAMP(6)</t>
  </si>
  <si>
    <t>YYYY-MM-DDBHH:MI:SS.S(6)</t>
  </si>
  <si>
    <t>AMR3_RISL_DTS</t>
  </si>
  <si>
    <t>PARTY_ID</t>
  </si>
  <si>
    <t>PARTY_ROLE_ID</t>
  </si>
  <si>
    <t>ERROR_COUNT</t>
  </si>
  <si>
    <t>CIRC_RES_RSCB</t>
  </si>
  <si>
    <t>RSCB_DOR</t>
  </si>
  <si>
    <t>RSCB_DOR_ORIG</t>
  </si>
  <si>
    <t>RSCB_AMR_1</t>
  </si>
  <si>
    <t>RSCB_AMR_2</t>
  </si>
  <si>
    <t>RSCB_AMR_3</t>
  </si>
  <si>
    <t>RSCB_BIRTH_CTRY_CODE</t>
  </si>
  <si>
    <t>CHAR(2)</t>
  </si>
  <si>
    <t>RSCB_CHNL_CODE</t>
  </si>
  <si>
    <t>CIRC_RES_RSCV</t>
  </si>
  <si>
    <t>RSCV_DOV</t>
  </si>
  <si>
    <t>RSCV_DOV_ORIG</t>
  </si>
  <si>
    <t>RSCV_AMR_1</t>
  </si>
  <si>
    <t>RSCV_AMR_2</t>
  </si>
  <si>
    <t>RSCV_AMR_3</t>
  </si>
  <si>
    <t>RSCV_AUST_CTZN_VLD_IND</t>
  </si>
  <si>
    <t>CIRC_RES_RSEV</t>
  </si>
  <si>
    <t>RSEV_VISA_GRANT_DATE</t>
  </si>
  <si>
    <t>RSEV_VISA_GRANT_DATE_ORIG</t>
  </si>
  <si>
    <t>RSEV_VISA_SUB_CLASS_CODE</t>
  </si>
  <si>
    <t>CHAR(5)</t>
  </si>
  <si>
    <t>RSEV_AMR_1</t>
  </si>
  <si>
    <t>RSEV_AMR_2</t>
  </si>
  <si>
    <t>RSEV_AMR_3</t>
  </si>
  <si>
    <t>RSEV_CHNL_CODE</t>
  </si>
  <si>
    <t>RSEV_VISA_AOS_IND</t>
  </si>
  <si>
    <t>RSEV_VISA_APPLN_DATE</t>
  </si>
  <si>
    <t>RSEV_VISA_APPLN_DATE_ORIG</t>
  </si>
  <si>
    <t>RSEV_VISA_END_DATE</t>
  </si>
  <si>
    <t>RSEV_VISA_END_DATE_ORIG</t>
  </si>
  <si>
    <t>RSEV_VISA_GRANT_NUM</t>
  </si>
  <si>
    <t>VARCHAR(13)</t>
  </si>
  <si>
    <t>RSEV_VISA_NUM</t>
  </si>
  <si>
    <t>VARCHAR(11)</t>
  </si>
  <si>
    <t>CIRD_NREL_NONO</t>
  </si>
  <si>
    <t>SRC_PERSON_ID</t>
  </si>
  <si>
    <t>NONO_DOE</t>
  </si>
  <si>
    <t>NONO_DOE_ORIG</t>
  </si>
  <si>
    <t>NONO_NOM_TYPE_CODE</t>
  </si>
  <si>
    <t>NONO_AMR_1</t>
  </si>
  <si>
    <t>NONO_AMR_2</t>
  </si>
  <si>
    <t>NONO_AMR_3</t>
  </si>
  <si>
    <t>NONO_ARNGMT_RSN_CODE</t>
  </si>
  <si>
    <t>NONO_DOCU_TEXT</t>
  </si>
  <si>
    <t>VARCHAR(40)</t>
  </si>
  <si>
    <t>NONO_END_RSN_CODE</t>
  </si>
  <si>
    <t>NONO_INDEF_ARNGMT_IND</t>
  </si>
  <si>
    <t>NONO_ON_IND</t>
  </si>
  <si>
    <t>NONO_PASSWORD_TEXT</t>
  </si>
  <si>
    <t>VARCHAR(20)</t>
  </si>
  <si>
    <t>NONO_REL_TYPE_CODE</t>
  </si>
  <si>
    <t>NONO_SPRS_LTTR_IND</t>
  </si>
  <si>
    <t>NONO_UPDT_DATE</t>
  </si>
  <si>
    <t>NONO_UPDT_DATE_ORIG</t>
  </si>
  <si>
    <t>NONO_VAR_TEXT</t>
  </si>
  <si>
    <t>RELATED_PARTY_ROLE_ID</t>
  </si>
  <si>
    <t>CUST_CST_CUAD_RE</t>
  </si>
  <si>
    <t>CUAD_DOE</t>
  </si>
  <si>
    <t>CUAD_DOE_ORIG</t>
  </si>
  <si>
    <t>CUAD_TYPE_CODE</t>
  </si>
  <si>
    <t>CUAD_ADDR_1ST_LINE</t>
  </si>
  <si>
    <t>VARCHAR(50)</t>
  </si>
  <si>
    <t>CUAD_ADDR_2ND_LINE</t>
  </si>
  <si>
    <t>CUAD_AMR_1</t>
  </si>
  <si>
    <t>CUAD_AMR_2</t>
  </si>
  <si>
    <t>CUAD_AMR_3</t>
  </si>
  <si>
    <t>CUAD_AUS_POSTCODE</t>
  </si>
  <si>
    <t>CUAD_CMTY_CODE</t>
  </si>
  <si>
    <t>CUAD_DLVRY_PNT_ID</t>
  </si>
  <si>
    <t>VARCHAR(8)</t>
  </si>
  <si>
    <t>CUAD_EXT_ADDR_SRC_CODE</t>
  </si>
  <si>
    <t>CUAD_GEO_ABS_MESH_BLOCK_ID</t>
  </si>
  <si>
    <t>DECIMAL(11,0)</t>
  </si>
  <si>
    <t>CUAD_GEO_BEST_LVL_CODE</t>
  </si>
  <si>
    <t>CUAD_GEO_CLK_ADDR_VLD_CODE</t>
  </si>
  <si>
    <t>CUAD_GEO_CNFDNC_LVL_CODE</t>
  </si>
  <si>
    <t>CUAD_GEO_GNAF_PERSIST_ID</t>
  </si>
  <si>
    <t>VARCHAR(14)</t>
  </si>
  <si>
    <t>CUAD_GEO_LAT_COORD</t>
  </si>
  <si>
    <t>CUAD_GEO_LOCN_ID</t>
  </si>
  <si>
    <t>VARCHAR(21)</t>
  </si>
  <si>
    <t>CUAD_GEO_LONG_COORD</t>
  </si>
  <si>
    <t>CUAD_GEO_LVL_TYPE_CODE</t>
  </si>
  <si>
    <t>CUAD_GEO_PRCS_DATE</t>
  </si>
  <si>
    <t>CUAD_GEO_PRCS_DATE_ORIG</t>
  </si>
  <si>
    <t>CUAD_GEO_REF_SRC_CODE</t>
  </si>
  <si>
    <t>CUAD_GEO_RELY_LVL_CODE</t>
  </si>
  <si>
    <t>CUAD_OSEAS_ADDR_3RD_LINE</t>
  </si>
  <si>
    <t>CUAD_CTRY_CODE</t>
  </si>
  <si>
    <t>CUAD_OSEAS_POSTCODE</t>
  </si>
  <si>
    <t>VARCHAR(12)</t>
  </si>
  <si>
    <t>CUAD_REMOTE_AREA_IND</t>
  </si>
  <si>
    <t>CUAD_STATE_CODE</t>
  </si>
  <si>
    <t>CUAD_SUBURB_LOCALITY_NAME</t>
  </si>
  <si>
    <t>CUAD_TEMP_POST_ADDR_IND</t>
  </si>
  <si>
    <t>LOC_ID</t>
  </si>
  <si>
    <t>GEOCODE_LOC_ID</t>
  </si>
  <si>
    <t>RAW_ADDR_HASH</t>
  </si>
  <si>
    <t>CHAR(32)</t>
  </si>
  <si>
    <t>CAST(MD5(
			CONCAT_WS(
			  '|',
			  COALESCE(CUAD_ADDR_1ST_LINE, ''),
			  COALESCE(CUAD_ADDR_2ND_LINE, ''),
			  COALESCE(CUAD_SUBURB_LOCALITY_NAME, ''),
			  COALESCE(CUAD_AUS_POSTCODE, ''),
			  COALESCE(CUAD_STATE_CODE, ''),
			  COALESCE(CUAD_CTRY_CODE, '')
			)
		  ) AS STRING)</t>
  </si>
  <si>
    <t>CUST_CST_CUDD</t>
  </si>
  <si>
    <t>CUDD_AMR_1</t>
  </si>
  <si>
    <t>CUDD_AMR_2</t>
  </si>
  <si>
    <t>CUDD_AMR_3</t>
  </si>
  <si>
    <t>CUDD_DOR</t>
  </si>
  <si>
    <t>CUDD_DOR_ORIG</t>
  </si>
  <si>
    <t>CUDD_DEATH_DATE</t>
  </si>
  <si>
    <t>CUDD_DEATH_DATE_ORIG</t>
  </si>
  <si>
    <t>CUST_CST_CUEM</t>
  </si>
  <si>
    <t>CUEM_DOE</t>
  </si>
  <si>
    <t>CUEM_DOE_ORIG</t>
  </si>
  <si>
    <t>CUEM_TYPE_CODE</t>
  </si>
  <si>
    <t>CUEM_AMR_1</t>
  </si>
  <si>
    <t>CUEM_AMR_2</t>
  </si>
  <si>
    <t>CUEM_AMR_3</t>
  </si>
  <si>
    <t>CUEM_ADDR_ID</t>
  </si>
  <si>
    <t>VARCHAR(76)</t>
  </si>
  <si>
    <t>CUEM_UPDT_USER_CODE</t>
  </si>
  <si>
    <t>CUST_CST_CUNM_RE</t>
  </si>
  <si>
    <t>CUNM_DOV</t>
  </si>
  <si>
    <t>CUNM_DOV_ORIG</t>
  </si>
  <si>
    <t>CUNM_NAME_TYPE_CODE</t>
  </si>
  <si>
    <t>CUNM_AMR_1</t>
  </si>
  <si>
    <t>CUNM_AMR_2</t>
  </si>
  <si>
    <t>CUNM_AMR_3</t>
  </si>
  <si>
    <t>CUNM_DOB</t>
  </si>
  <si>
    <t>CUNM_DOB_ORIG</t>
  </si>
  <si>
    <t>CUNM_SEX_CODE</t>
  </si>
  <si>
    <t>CUNM_SUFFIX_TITLE</t>
  </si>
  <si>
    <t>CUNM_SURNAME</t>
  </si>
  <si>
    <t>VARCHAR(30)</t>
  </si>
  <si>
    <t>CUNM_TITLE</t>
  </si>
  <si>
    <t>CUNM_1ST_NAME</t>
  </si>
  <si>
    <t>CUNM_2ND_NAME</t>
  </si>
  <si>
    <t>SLKEG</t>
  </si>
  <si>
    <t>CAST ( CASE
			WHEN COALESCE(CUNM_SURNAME, '') IN ('', 'FICMS Case/Operation', 'Assurance of Support Case') THEN NULL
			WHEN COALESCE(CUNM_1ST_NAME, '') = '' THEN NULL
			WHEN REGEXP_REPLACE(UPPER(CUNM_1ST_NAME), '[^A-Z]', '') = '' THEN NULL
			WHEN CUNM_SURNAME = 'ANONYMOUS' AND COALESCE(CUNM_1ST_NAME, 'MISS') IN ('MISS', 'MR', 'MRS') THEN NULL
			WHEN CUNM_DOB BETWEEN 18000000 AND 29000000 THEN
				CONCAT(
					UPPER(REGEXP_EXTRACT(REGEXP_REPLACE(CUNM_SURNAME, '[- '' ]+', '') || '22222', '^.(..).(.).*$',1)),
					UPPER(REGEXP_EXTRACT(REGEXP_REPLACE(CUNM_SURNAME, '[- '' ]+', '') || '22222', '^.(..).(.).*$',2)),
					UPPER(REGEXP_EXTRACT(REGEXP_REPLACE(CUNM_1ST_NAME, '[- '' ]+', '') || '222', '^.(..).*$', 1)),
					SUBSTR(CAST(CUNM_DOB AS STRING), 7, 2),
					SUBSTR(CAST(CUNM_DOB AS STRING), 5, 2),
					SUBSTR(CAST(CUNM_DOB AS STRING), 1, 4)
				)
			END AS STRING)</t>
  </si>
  <si>
    <t>SLKGC</t>
  </si>
  <si>
    <t>CAST(CASE TRIM(CUNM_SEX_CODE) WHEN 'M' THEN '1' WHEN 'F' THEN '2' ELSE '3' END  AS STRING)</t>
  </si>
  <si>
    <t>CUST_CST_CUNO_RE</t>
  </si>
  <si>
    <t>CUNO_AMR_1</t>
  </si>
  <si>
    <t>CUNO_AMR_2</t>
  </si>
  <si>
    <t>CUNO_AMR_3</t>
  </si>
  <si>
    <t>CUNO_DOV</t>
  </si>
  <si>
    <t>CUNO_ID</t>
  </si>
  <si>
    <t>CHAR(6)</t>
  </si>
  <si>
    <t>CUNO_ADDR_TYPE_CODE</t>
  </si>
  <si>
    <t>CUNO_ADDR_1ST_LINE</t>
  </si>
  <si>
    <t>CUNO_ADDR_2ND_LINE</t>
  </si>
  <si>
    <t>CUNO_AUS_POSTCODE</t>
  </si>
  <si>
    <t>CUNO_CMTY_CODE</t>
  </si>
  <si>
    <t>CUNO_DLVRY_PNT_ID</t>
  </si>
  <si>
    <t>CUNO_CTRY_CODE</t>
  </si>
  <si>
    <t>CUNO_DOB</t>
  </si>
  <si>
    <t>CUNO_INST_CODE</t>
  </si>
  <si>
    <t>CUNO_NOM_PERSON_ID</t>
  </si>
  <si>
    <t>CUNO_NOM_RSN_CODE</t>
  </si>
  <si>
    <t>CUNO_NOM_TYPE_CODE</t>
  </si>
  <si>
    <t>CUNO_ORG_NAME</t>
  </si>
  <si>
    <t>CUNO_OSEAS_ADDR_3RD_LINE</t>
  </si>
  <si>
    <t>CUNO_OSEAS_POSTCODE</t>
  </si>
  <si>
    <t>CUNO_PASSWORD_TEXT</t>
  </si>
  <si>
    <t>VARCHAR(255)</t>
  </si>
  <si>
    <t>CUNO_PHONE_AREA_CODE</t>
  </si>
  <si>
    <t>CUNO_PHONE_NUM</t>
  </si>
  <si>
    <t>VARCHAR(18)</t>
  </si>
  <si>
    <t>CUNO_PHONE_TYPE_CODE</t>
  </si>
  <si>
    <t>CUNO_REL_TYPE_CODE</t>
  </si>
  <si>
    <t>CUNO_SPRS_LTTR_IND</t>
  </si>
  <si>
    <t>CUNO_STATE_CODE</t>
  </si>
  <si>
    <t>CUNO_SUBURB_LOCALITY_NAME</t>
  </si>
  <si>
    <t>CUNO_SURNAME</t>
  </si>
  <si>
    <t>CUNO_TITLE</t>
  </si>
  <si>
    <t>CUNO_VAR_TEXT</t>
  </si>
  <si>
    <t>CUNO_1ST_NAME</t>
  </si>
  <si>
    <t>CUNO_2ND_NAME</t>
  </si>
  <si>
    <t>CUST_CST_CUOR</t>
  </si>
  <si>
    <t>CUOR_AMR_1</t>
  </si>
  <si>
    <t>CUOR_AMR_2</t>
  </si>
  <si>
    <t>CUOR_AMR_3</t>
  </si>
  <si>
    <t>CUOR_DOV</t>
  </si>
  <si>
    <t>CUOR_DOV_ORIG</t>
  </si>
  <si>
    <t>CUOR_REL_CHG_RSN_CODE</t>
  </si>
  <si>
    <t>CUOR_REL_ENV_ID</t>
  </si>
  <si>
    <t>CUOR_REL_SSR</t>
  </si>
  <si>
    <t>CUOR_REL_SVC_RSN_CODE</t>
  </si>
  <si>
    <t>CUOR_REL_TYPE_CODE</t>
  </si>
  <si>
    <t>CUOR_SVC_RSN_CODE</t>
  </si>
  <si>
    <t>CUST_CST_CUPT</t>
  </si>
  <si>
    <t>CUPT_DOV</t>
  </si>
  <si>
    <t>CUPT_DOV_ORIG</t>
  </si>
  <si>
    <t>CUPT_AMR_1</t>
  </si>
  <si>
    <t>CUPT_AMR_2</t>
  </si>
  <si>
    <t>CUPT_AMR_3</t>
  </si>
  <si>
    <t>CUPT_MARITAL_STS_CODE</t>
  </si>
  <si>
    <t>CUPT_PPE_CODE</t>
  </si>
  <si>
    <t>CUPT_PTNR_SSR</t>
  </si>
  <si>
    <t>CUPT_REL_QUAL_CODE</t>
  </si>
  <si>
    <t>PARTNER_PARTY_ROLE_ID</t>
  </si>
  <si>
    <t>DETM_DETIS_BBDS</t>
  </si>
  <si>
    <t>BBDS_DOE</t>
  </si>
  <si>
    <t>BBDS_DOE_ORIG</t>
  </si>
  <si>
    <t>BBDS_AMR_1</t>
  </si>
  <si>
    <t>BBDS_AMR_2</t>
  </si>
  <si>
    <t>BBDS_AMR_3</t>
  </si>
  <si>
    <t>BBDS_BEN_TYPE_CODE</t>
  </si>
  <si>
    <t>BBDS_STS_CODE</t>
  </si>
  <si>
    <t>BBDS_RSN_CODE</t>
  </si>
  <si>
    <t>BBDS_UNIQ_ID</t>
  </si>
  <si>
    <t>EPISODE_ID</t>
  </si>
  <si>
    <t>PAYMENT_TYPE_ID</t>
  </si>
  <si>
    <t>DETM_DETIS_C9DS</t>
  </si>
  <si>
    <t>C9DS_DOE</t>
  </si>
  <si>
    <t>C9DS_DOE_ORIG</t>
  </si>
  <si>
    <t>C9DS_AMR_1</t>
  </si>
  <si>
    <t>C9DS_AMR_2</t>
  </si>
  <si>
    <t>C9DS_AMR_3</t>
  </si>
  <si>
    <t>C9DS_BEN_TYPE_CODE</t>
  </si>
  <si>
    <t>C9DS_STS_CODE</t>
  </si>
  <si>
    <t>C9DS_RSN_CODE</t>
  </si>
  <si>
    <t>C9DS_UNIQ_ID</t>
  </si>
  <si>
    <t>DETM_DETIS_CBDS</t>
  </si>
  <si>
    <t>CBDS_AMR_1</t>
  </si>
  <si>
    <t>CBDS_AMR_2</t>
  </si>
  <si>
    <t>CBDS_AMR_3</t>
  </si>
  <si>
    <t>CBDS_BEN_TYPE_CODE</t>
  </si>
  <si>
    <t>CBDS_DOE</t>
  </si>
  <si>
    <t>CBDS_DOE_ORIG</t>
  </si>
  <si>
    <t>CBDS_RSN_CODE</t>
  </si>
  <si>
    <t>CBDS_STS_CODE</t>
  </si>
  <si>
    <t>DETM_DETIS_CCDS</t>
  </si>
  <si>
    <t>CCDS_DOE</t>
  </si>
  <si>
    <t>CCDS_DOE_ORIG</t>
  </si>
  <si>
    <t>CCDS_AMR_1</t>
  </si>
  <si>
    <t>CCDS_AMR_2</t>
  </si>
  <si>
    <t>CCDS_AMR_3</t>
  </si>
  <si>
    <t>CCDS_BEN_TYPE_CODE</t>
  </si>
  <si>
    <t>CCDS_STS_CODE</t>
  </si>
  <si>
    <t>CCDS_RSN_CODE</t>
  </si>
  <si>
    <t>CCDS_UNIQ_ID</t>
  </si>
  <si>
    <t>DETM_DETIS_CJDS</t>
  </si>
  <si>
    <t>CJDS_DOE</t>
  </si>
  <si>
    <t>CJDS_DOE_ORIG</t>
  </si>
  <si>
    <t>CJDS_AMR_1</t>
  </si>
  <si>
    <t>CJDS_AMR_2</t>
  </si>
  <si>
    <t>CJDS_AMR_3</t>
  </si>
  <si>
    <t>CJDS_BEN_TYPE_CODE</t>
  </si>
  <si>
    <t>CJDS_STS_CODE</t>
  </si>
  <si>
    <t>CJDS_RSN_CODE</t>
  </si>
  <si>
    <t>CJDS_UNIQ_ID</t>
  </si>
  <si>
    <t>DETM_DETIS_CZDS</t>
  </si>
  <si>
    <t>CZDS_DOE</t>
  </si>
  <si>
    <t>CZDS_DOE_ORIG</t>
  </si>
  <si>
    <t>CZDS_AMR_1</t>
  </si>
  <si>
    <t>CZDS_AMR_2</t>
  </si>
  <si>
    <t>CZDS_AMR_3</t>
  </si>
  <si>
    <t>CZDS_BEN_TYPE_CODE</t>
  </si>
  <si>
    <t>CZDS_STS_CODE</t>
  </si>
  <si>
    <t>CZDS_RSN_CODE</t>
  </si>
  <si>
    <t>CZDS_UNIQ_ID</t>
  </si>
  <si>
    <t>DETM_DETIS_D3DS</t>
  </si>
  <si>
    <t>D3DS_DOE</t>
  </si>
  <si>
    <t>D3DS_DOE_ORIG</t>
  </si>
  <si>
    <t>D3DS_AMR_1</t>
  </si>
  <si>
    <t>D3DS_AMR_2</t>
  </si>
  <si>
    <t>D3DS_AMR_3</t>
  </si>
  <si>
    <t>D3DS_BEN_TYPE_CODE</t>
  </si>
  <si>
    <t>D3DS_STS_CODE</t>
  </si>
  <si>
    <t>D3DS_RSN_CODE</t>
  </si>
  <si>
    <t>D3DS_UNIQ_ID</t>
  </si>
  <si>
    <t>DETM_DETIS_DHDS</t>
  </si>
  <si>
    <t>DHDS_DOE</t>
  </si>
  <si>
    <t>DHDS_DOE_ORIG</t>
  </si>
  <si>
    <t>DHDS_AMR_1</t>
  </si>
  <si>
    <t>DHDS_AMR_2</t>
  </si>
  <si>
    <t>DHDS_AMR_3</t>
  </si>
  <si>
    <t>DHDS_BEN_TYPE_CODE</t>
  </si>
  <si>
    <t>DHDS_STS_CODE</t>
  </si>
  <si>
    <t>DHDS_RSN_CODE</t>
  </si>
  <si>
    <t>DHDS_UNIQ_ID</t>
  </si>
  <si>
    <t>DETM_DETIS_DPDS</t>
  </si>
  <si>
    <t>DPDS_DOE</t>
  </si>
  <si>
    <t>DPDS_DOE_ORIG</t>
  </si>
  <si>
    <t>DPDS_AMR_1</t>
  </si>
  <si>
    <t>DPDS_AMR_2</t>
  </si>
  <si>
    <t>DPDS_AMR_3</t>
  </si>
  <si>
    <t>DPDS_BEN_TYPE_CODE</t>
  </si>
  <si>
    <t>DPDS_STS_CODE</t>
  </si>
  <si>
    <t>DPDS_RSN_CODE</t>
  </si>
  <si>
    <t>DPDS_UNIQ_ID</t>
  </si>
  <si>
    <t>DETM_DETIS_EEDS</t>
  </si>
  <si>
    <t>EEDS_DOE</t>
  </si>
  <si>
    <t>EEDS_DOE_ORIG</t>
  </si>
  <si>
    <t>EEDS_AMR_1</t>
  </si>
  <si>
    <t>EEDS_AMR_2</t>
  </si>
  <si>
    <t>EEDS_AMR_3</t>
  </si>
  <si>
    <t>EEDS_BEN_TYPE_CODE</t>
  </si>
  <si>
    <t>EEDS_STS_CODE</t>
  </si>
  <si>
    <t>EEDS_RSN_CODE</t>
  </si>
  <si>
    <t>EEDS_UNIQ_ID</t>
  </si>
  <si>
    <t>DETM_DETIS_EHDS</t>
  </si>
  <si>
    <t>EHDS_DOE</t>
  </si>
  <si>
    <t>EHDS_DOE_ORIG</t>
  </si>
  <si>
    <t>EHDS_STS_CODE</t>
  </si>
  <si>
    <t>EHDS_AMR_1</t>
  </si>
  <si>
    <t>EHDS_AMR_2</t>
  </si>
  <si>
    <t>EHDS_AMR_3</t>
  </si>
  <si>
    <t>EHDS_BEN_TYPE_CODE</t>
  </si>
  <si>
    <t>EHDS_RSN_CODE</t>
  </si>
  <si>
    <t>DETM_DETIS_EMDS</t>
  </si>
  <si>
    <t>EMDS_DOE</t>
  </si>
  <si>
    <t>EMDS_DOE_ORIG</t>
  </si>
  <si>
    <t>EMDS_AMR_1</t>
  </si>
  <si>
    <t>EMDS_AMR_2</t>
  </si>
  <si>
    <t>EMDS_AMR_3</t>
  </si>
  <si>
    <t>EMDS_BEN_TYPE_CODE</t>
  </si>
  <si>
    <t>EMDS_STS_CODE</t>
  </si>
  <si>
    <t>EMDS_RSN_CODE</t>
  </si>
  <si>
    <t>EMDS_UNIQ_ID</t>
  </si>
  <si>
    <t>DETM_DETIS_ESDS</t>
  </si>
  <si>
    <t>ESDS_DOE</t>
  </si>
  <si>
    <t>ESDS_DOE_ORIG</t>
  </si>
  <si>
    <t>ESDS_AMR_1</t>
  </si>
  <si>
    <t>ESDS_AMR_2</t>
  </si>
  <si>
    <t>ESDS_AMR_3</t>
  </si>
  <si>
    <t>ESDS_BEN_TYPE_CODE</t>
  </si>
  <si>
    <t>ESDS_RSN_CODE</t>
  </si>
  <si>
    <t>ESDS_STS_CODE</t>
  </si>
  <si>
    <t>DETM_DETIS_F2DS</t>
  </si>
  <si>
    <t>F2DS_DOE</t>
  </si>
  <si>
    <t>F2DS_DOE_ORIG</t>
  </si>
  <si>
    <t>F2DS_AMR_1</t>
  </si>
  <si>
    <t>F2DS_AMR_2</t>
  </si>
  <si>
    <t>F2DS_AMR_3</t>
  </si>
  <si>
    <t>F2DS_BEN_TYPE_CODE</t>
  </si>
  <si>
    <t>F2DS_STS_CODE</t>
  </si>
  <si>
    <t>F2DS_RSN_CODE</t>
  </si>
  <si>
    <t>F2DS_UNIQ_ID</t>
  </si>
  <si>
    <t>DETM_DETIS_FDDS</t>
  </si>
  <si>
    <t>FDDS_DOE</t>
  </si>
  <si>
    <t>FDDS_DOE_ORIG</t>
  </si>
  <si>
    <t>FDDS_AMR_1</t>
  </si>
  <si>
    <t>FDDS_AMR_2</t>
  </si>
  <si>
    <t>FDDS_AMR_3</t>
  </si>
  <si>
    <t>FDDS_BEN_TYPE_CODE</t>
  </si>
  <si>
    <t>FDDS_STS_CODE</t>
  </si>
  <si>
    <t>FDDS_RSN_CODE</t>
  </si>
  <si>
    <t>FDDS_UNIQ_ID</t>
  </si>
  <si>
    <t>DETM_DETIS_FFDS</t>
  </si>
  <si>
    <t>FFDS_DOE</t>
  </si>
  <si>
    <t>FFDS_DOE_ORIG</t>
  </si>
  <si>
    <t>FFDS_AMR_1</t>
  </si>
  <si>
    <t>FFDS_AMR_2</t>
  </si>
  <si>
    <t>FFDS_AMR_3</t>
  </si>
  <si>
    <t>FFDS_BEN_TYPE_CODE</t>
  </si>
  <si>
    <t>FFDS_STS_CODE</t>
  </si>
  <si>
    <t>FFDS_RSN_CODE</t>
  </si>
  <si>
    <t>FFDS_UNIQ_ID</t>
  </si>
  <si>
    <t>DETM_DETIS_FHDS</t>
  </si>
  <si>
    <t>FHDS_DOE</t>
  </si>
  <si>
    <t>FHDS_DOE_ORIG</t>
  </si>
  <si>
    <t>FHDS_AMR_1</t>
  </si>
  <si>
    <t>FHDS_AMR_2</t>
  </si>
  <si>
    <t>FHDS_AMR_3</t>
  </si>
  <si>
    <t>FHDS_BEN_TYPE_CODE</t>
  </si>
  <si>
    <t>FHDS_RSN_CODE</t>
  </si>
  <si>
    <t>FHDS_STS_CODE</t>
  </si>
  <si>
    <t>DETM_DETIS_FTDS</t>
  </si>
  <si>
    <t>FTDS_DOE</t>
  </si>
  <si>
    <t>FTDS_DOE_ORIG</t>
  </si>
  <si>
    <t>FTDS_AMR_1</t>
  </si>
  <si>
    <t>FTDS_AMR_2</t>
  </si>
  <si>
    <t>FTDS_AMR_3</t>
  </si>
  <si>
    <t>FTDS_BEN_TYPE_CODE</t>
  </si>
  <si>
    <t>FTDS_STS_CODE</t>
  </si>
  <si>
    <t>FTDS_RSN_CODE</t>
  </si>
  <si>
    <t>FTDS_UNIQ_ID</t>
  </si>
  <si>
    <t>DETM_DETIS_FYDS</t>
  </si>
  <si>
    <t>FYDS_DOE</t>
  </si>
  <si>
    <t>FYDS_DOE_ORIG</t>
  </si>
  <si>
    <t>FYDS_AMR_1</t>
  </si>
  <si>
    <t>FYDS_AMR_2</t>
  </si>
  <si>
    <t>FYDS_AMR_3</t>
  </si>
  <si>
    <t>FYDS_BEN_TYPE_CODE</t>
  </si>
  <si>
    <t>FYDS_STS_CODE</t>
  </si>
  <si>
    <t>FYDS_RSN_CODE</t>
  </si>
  <si>
    <t>FYDS_UNIQ_ID</t>
  </si>
  <si>
    <t>DETM_DETIS_GPDS</t>
  </si>
  <si>
    <t>GPDS_AMR_1</t>
  </si>
  <si>
    <t>GPDS_AMR_2</t>
  </si>
  <si>
    <t>GPDS_AMR_3</t>
  </si>
  <si>
    <t>GPDS_DOE</t>
  </si>
  <si>
    <t>GPDS_DOE_ORIG</t>
  </si>
  <si>
    <t>GPDS_BEN_TYPE_CODE</t>
  </si>
  <si>
    <t>GPDS_RSN_CODE</t>
  </si>
  <si>
    <t>GPDS_STS_CODE</t>
  </si>
  <si>
    <t>GPDS_TASK_CODE</t>
  </si>
  <si>
    <t>VARCHAR(7)</t>
  </si>
  <si>
    <t>GPDS_UNIQ_ID</t>
  </si>
  <si>
    <t>DETM_DETIS_HDDS</t>
  </si>
  <si>
    <t>HDDS_DOE</t>
  </si>
  <si>
    <t>HDDS_DOE_ORIG</t>
  </si>
  <si>
    <t>HDDS_AMR_1</t>
  </si>
  <si>
    <t>HDDS_AMR_2</t>
  </si>
  <si>
    <t>HDDS_AMR_3</t>
  </si>
  <si>
    <t>HDDS_BEN_TYPE_CODE</t>
  </si>
  <si>
    <t>HDDS_RSN_CODE</t>
  </si>
  <si>
    <t>HDDS_LMT_DATE</t>
  </si>
  <si>
    <t>HDDS_LMT_DATE_ORIG</t>
  </si>
  <si>
    <t>HDDS_STS_CODE</t>
  </si>
  <si>
    <t>DETM_DETIS_JCDS</t>
  </si>
  <si>
    <t>JCDS_DOE</t>
  </si>
  <si>
    <t>JCDS_DOE_ORIG</t>
  </si>
  <si>
    <t>JCDS_AMR_1</t>
  </si>
  <si>
    <t>JCDS_AMR_2</t>
  </si>
  <si>
    <t>JCDS_AMR_3</t>
  </si>
  <si>
    <t>JCDS_BEN_TYPE_CODE</t>
  </si>
  <si>
    <t>JCDS_STS_CODE</t>
  </si>
  <si>
    <t>JCDS_RSN_CODE</t>
  </si>
  <si>
    <t>JCDS_UNIQ_ID</t>
  </si>
  <si>
    <t>DETM_DETIS_JMDS</t>
  </si>
  <si>
    <t>JMDS_DOE</t>
  </si>
  <si>
    <t>JMDS_DOE_ORIG</t>
  </si>
  <si>
    <t>JMDS_AMR_1</t>
  </si>
  <si>
    <t>JMDS_AMR_2</t>
  </si>
  <si>
    <t>JMDS_AMR_3</t>
  </si>
  <si>
    <t>JMDS_BEN_TYPE_CODE</t>
  </si>
  <si>
    <t>JMDS_STS_CODE</t>
  </si>
  <si>
    <t>JMDS_RSN_CODE</t>
  </si>
  <si>
    <t>DETM_DETIS_K9DS</t>
  </si>
  <si>
    <t>K9DS_AMR_1</t>
  </si>
  <si>
    <t>K9DS_AMR_2</t>
  </si>
  <si>
    <t>K9DS_AMR_3</t>
  </si>
  <si>
    <t>K9DS_DOE</t>
  </si>
  <si>
    <t>K9DS_DOE_ORIG</t>
  </si>
  <si>
    <t>K9DS_BEN_TYPE_CODE</t>
  </si>
  <si>
    <t>K9DS_STS_CODE</t>
  </si>
  <si>
    <t>K9DS_RSN_CODE</t>
  </si>
  <si>
    <t>K9DS_UNIQ_ID</t>
  </si>
  <si>
    <t>DETM_DETIS_LIDS</t>
  </si>
  <si>
    <t>LIDS_DOE</t>
  </si>
  <si>
    <t>LIDS_DOE_ORIG</t>
  </si>
  <si>
    <t>LIDS_STS_CODE</t>
  </si>
  <si>
    <t>LIDS_AMR_1</t>
  </si>
  <si>
    <t>LIDS_AMR_2</t>
  </si>
  <si>
    <t>LIDS_AMR_3</t>
  </si>
  <si>
    <t>LIDS_BEN_TYPE_CODE</t>
  </si>
  <si>
    <t>LIDS_RSN_CODE</t>
  </si>
  <si>
    <t>DETM_DETIS_LSDS</t>
  </si>
  <si>
    <t>LSDS_DOE</t>
  </si>
  <si>
    <t>LSDS_DOE_ORIG</t>
  </si>
  <si>
    <t>LSDS_AMR_1</t>
  </si>
  <si>
    <t>LSDS_AMR_2</t>
  </si>
  <si>
    <t>LSDS_AMR_3</t>
  </si>
  <si>
    <t>LSDS_BEN_TYPE_CODE</t>
  </si>
  <si>
    <t>LSDS_STS_CODE</t>
  </si>
  <si>
    <t>LSDS_RSN_CODE</t>
  </si>
  <si>
    <t>DETM_DETIS_M9DS</t>
  </si>
  <si>
    <t>M9DS_DOE</t>
  </si>
  <si>
    <t>M9DS_DOE_ORIG</t>
  </si>
  <si>
    <t>M9DS_AMR_1</t>
  </si>
  <si>
    <t>M9DS_AMR_2</t>
  </si>
  <si>
    <t>M9DS_AMR_3</t>
  </si>
  <si>
    <t>M9DS_BEN_TYPE_CODE</t>
  </si>
  <si>
    <t>M9DS_STS_CODE</t>
  </si>
  <si>
    <t>M9DS_RSN_CODE</t>
  </si>
  <si>
    <t>M9DS_UNIQ_ID</t>
  </si>
  <si>
    <t>DETM_DETIS_MODS</t>
  </si>
  <si>
    <t>MODS_DOE</t>
  </si>
  <si>
    <t>MODS_DOE_ORIG</t>
  </si>
  <si>
    <t>MODS_AMR_1</t>
  </si>
  <si>
    <t>MODS_AMR_2</t>
  </si>
  <si>
    <t>MODS_AMR_3</t>
  </si>
  <si>
    <t>MODS_BEN_TYPE_CODE</t>
  </si>
  <si>
    <t>MODS_RSN_CODE</t>
  </si>
  <si>
    <t>MODS_STS_CODE</t>
  </si>
  <si>
    <t>DETM_DETIS_MPDS</t>
  </si>
  <si>
    <t>MPDS_DOE</t>
  </si>
  <si>
    <t>MPDS_DOE_ORIG</t>
  </si>
  <si>
    <t>MPDS_AMR_1</t>
  </si>
  <si>
    <t>MPDS_AMR_2</t>
  </si>
  <si>
    <t>MPDS_AMR_3</t>
  </si>
  <si>
    <t>MPDS_BEN_TYPE_CODE</t>
  </si>
  <si>
    <t>MPDS_STS_CODE</t>
  </si>
  <si>
    <t>MPDS_RSN_CODE</t>
  </si>
  <si>
    <t>MPDS_UNIQ_ID</t>
  </si>
  <si>
    <t>DETM_DETIS_MYDS</t>
  </si>
  <si>
    <t>MYDS_DOE</t>
  </si>
  <si>
    <t>MYDS_DOE_ORIG</t>
  </si>
  <si>
    <t>MYDS_AMR_1</t>
  </si>
  <si>
    <t>MYDS_AMR_2</t>
  </si>
  <si>
    <t>MYDS_AMR_3</t>
  </si>
  <si>
    <t>MYDS_BEN_TYPE_CODE</t>
  </si>
  <si>
    <t>MYDS_STS_CODE</t>
  </si>
  <si>
    <t>MYDS_RSN_CODE</t>
  </si>
  <si>
    <t>MYDS_UNIQ_ID</t>
  </si>
  <si>
    <t>DETM_DETIS_N9DS</t>
  </si>
  <si>
    <t>N9DS_DOE</t>
  </si>
  <si>
    <t>N9DS_DOE_ORIG</t>
  </si>
  <si>
    <t>N9DS_AMR_1</t>
  </si>
  <si>
    <t>N9DS_AMR_2</t>
  </si>
  <si>
    <t>N9DS_AMR_3</t>
  </si>
  <si>
    <t>N9DS_BEN_TYPE_CODE</t>
  </si>
  <si>
    <t>N9DS_STS_CODE</t>
  </si>
  <si>
    <t>N9DS_RSN_CODE</t>
  </si>
  <si>
    <t>N9DS_UNIQ_ID</t>
  </si>
  <si>
    <t>DETM_DETIS_NRDS</t>
  </si>
  <si>
    <t>NRDS_DOE</t>
  </si>
  <si>
    <t>NRDS_DOE_ORIG</t>
  </si>
  <si>
    <t>NRDS_AMR_1</t>
  </si>
  <si>
    <t>NRDS_AMR_2</t>
  </si>
  <si>
    <t>NRDS_AMR_3</t>
  </si>
  <si>
    <t>NRDS_BEN_TYPE_CODE</t>
  </si>
  <si>
    <t>NRDS_STS_CODE</t>
  </si>
  <si>
    <t>NRDS_RSN_CODE</t>
  </si>
  <si>
    <t>NRDS_UNIQ_ID</t>
  </si>
  <si>
    <t>DETM_DETIS_NSDS</t>
  </si>
  <si>
    <t>NSDS_DOE</t>
  </si>
  <si>
    <t>NSDS_DOE_ORIG</t>
  </si>
  <si>
    <t>NSDS_BEN_TYPE_CODE</t>
  </si>
  <si>
    <t>NSDS_AMR_1</t>
  </si>
  <si>
    <t>NSDS_AMR_2</t>
  </si>
  <si>
    <t>NSDS_AMR_3</t>
  </si>
  <si>
    <t>NSDS_STS_CODE</t>
  </si>
  <si>
    <t>NSDS_RSN_CODE</t>
  </si>
  <si>
    <t>NSDS_UNIQ_ID</t>
  </si>
  <si>
    <t>DETM_DETIS_P1DS</t>
  </si>
  <si>
    <t>P1DS_DOE</t>
  </si>
  <si>
    <t>P1DS_DOE_ORIG</t>
  </si>
  <si>
    <t>P1DS_AMR_1</t>
  </si>
  <si>
    <t>P1DS_AMR_2</t>
  </si>
  <si>
    <t>P1DS_AMR_3</t>
  </si>
  <si>
    <t>P1DS_BEN_TYPE_CODE</t>
  </si>
  <si>
    <t>P1DS_STS_CODE</t>
  </si>
  <si>
    <t>P1DS_RSN_CODE</t>
  </si>
  <si>
    <t>P1DS_UNIQ_ID</t>
  </si>
  <si>
    <t>DETM_DETIS_PGDS</t>
  </si>
  <si>
    <t>PGDS_DOE</t>
  </si>
  <si>
    <t>PGDS_DOE_ORIG</t>
  </si>
  <si>
    <t>PGDS_AMR_1</t>
  </si>
  <si>
    <t>PGDS_AMR_2</t>
  </si>
  <si>
    <t>PGDS_AMR_3</t>
  </si>
  <si>
    <t>PGDS_BEN_TYPE_CODE</t>
  </si>
  <si>
    <t>PGDS_STS_CODE</t>
  </si>
  <si>
    <t>PGDS_RSN_CODE</t>
  </si>
  <si>
    <t>PGDS_UNIQ_ID</t>
  </si>
  <si>
    <t>DETM_DETIS_PJDS</t>
  </si>
  <si>
    <t>PJDS_DOE</t>
  </si>
  <si>
    <t>PJDS_DOE_ORIG</t>
  </si>
  <si>
    <t>PJDS_AMR_1</t>
  </si>
  <si>
    <t>PJDS_AMR_2</t>
  </si>
  <si>
    <t>PJDS_AMR_3</t>
  </si>
  <si>
    <t>PJDS_BEN_TYPE_CODE</t>
  </si>
  <si>
    <t>PJDS_RSN_CODE</t>
  </si>
  <si>
    <t>PJDS_STS_CODE</t>
  </si>
  <si>
    <t>PJDS_UNIQ_ID</t>
  </si>
  <si>
    <t>DETM_DETIS_PNDS</t>
  </si>
  <si>
    <t>PNDS_DOE</t>
  </si>
  <si>
    <t>PNDS_DOE_ORIG</t>
  </si>
  <si>
    <t>PNDS_AMR_1</t>
  </si>
  <si>
    <t>PNDS_AMR_2</t>
  </si>
  <si>
    <t>PNDS_AMR_3</t>
  </si>
  <si>
    <t>PNDS_BEN_TYPE_CODE</t>
  </si>
  <si>
    <t>PNDS_PRCL_END_DATE</t>
  </si>
  <si>
    <t>PNDS_PRCL_END_DATE_ORIG</t>
  </si>
  <si>
    <t>PNDS_RSN_CODE</t>
  </si>
  <si>
    <t>PNDS_STS_CODE</t>
  </si>
  <si>
    <t>DETM_DETIS_RCDS</t>
  </si>
  <si>
    <t>RCDS_DOE</t>
  </si>
  <si>
    <t>RCDS_DOE_ORIG</t>
  </si>
  <si>
    <t>RCDS_AMR_1</t>
  </si>
  <si>
    <t>RCDS_AMR_2</t>
  </si>
  <si>
    <t>RCDS_AMR_3</t>
  </si>
  <si>
    <t>RCDS_BEN_TYPE_CODE</t>
  </si>
  <si>
    <t>RCDS_STS_CODE</t>
  </si>
  <si>
    <t>RCDS_RSN_CODE</t>
  </si>
  <si>
    <t>RCDS_UNIQ_ID</t>
  </si>
  <si>
    <t>DETM_DETIS_SHDS</t>
  </si>
  <si>
    <t>SHDS_DOE</t>
  </si>
  <si>
    <t>SHDS_DOE_ORIG</t>
  </si>
  <si>
    <t>SHDS_AMR_1</t>
  </si>
  <si>
    <t>SHDS_AMR_2</t>
  </si>
  <si>
    <t>SHDS_AMR_3</t>
  </si>
  <si>
    <t>SHDS_BEN_TYPE_CODE</t>
  </si>
  <si>
    <t>SHDS_STS_CODE</t>
  </si>
  <si>
    <t>SHDS_RSN_CODE</t>
  </si>
  <si>
    <t>SHDS_UNIQ_ID</t>
  </si>
  <si>
    <t>DETM_DETIS_TLDS</t>
  </si>
  <si>
    <t>TLDS_DOE</t>
  </si>
  <si>
    <t>TLDS_DOE_ORIG</t>
  </si>
  <si>
    <t>TLDS_AMR_1</t>
  </si>
  <si>
    <t>TLDS_AMR_2</t>
  </si>
  <si>
    <t>TLDS_AMR_3</t>
  </si>
  <si>
    <t>TLDS_BEN_TYPE_CODE</t>
  </si>
  <si>
    <t>TLDS_STS_CODE</t>
  </si>
  <si>
    <t>TLDS_RSN_CODE</t>
  </si>
  <si>
    <t>DETM_DETIS_VBDS</t>
  </si>
  <si>
    <t>VBDS_AMR_1</t>
  </si>
  <si>
    <t>VBDS_AMR_2</t>
  </si>
  <si>
    <t>VBDS_AMR_3</t>
  </si>
  <si>
    <t>VBDS_DOE</t>
  </si>
  <si>
    <t>VBDS_DOE_ORIG</t>
  </si>
  <si>
    <t>VBDS_BEN_TYPE_CODE</t>
  </si>
  <si>
    <t>VBDS_RSN_CODE</t>
  </si>
  <si>
    <t>VBDS_STS_CODE</t>
  </si>
  <si>
    <t>DETM_DETIS_YBDS</t>
  </si>
  <si>
    <t>YBDS_DOE</t>
  </si>
  <si>
    <t>YBDS_DOE_ORIG</t>
  </si>
  <si>
    <t>YBDS_AMR_1</t>
  </si>
  <si>
    <t>YBDS_AMR_2</t>
  </si>
  <si>
    <t>YBDS_AMR_3</t>
  </si>
  <si>
    <t>YBDS_BEN_TYPE_CODE</t>
  </si>
  <si>
    <t>YBDS_STS_CODE</t>
  </si>
  <si>
    <t>YBDS_RSN_CODE</t>
  </si>
  <si>
    <t>DETM_DETIS_YCDS</t>
  </si>
  <si>
    <t>YCDS_DOE</t>
  </si>
  <si>
    <t>YCDS_DOE_ORIG</t>
  </si>
  <si>
    <t>YCDS_AMR_1</t>
  </si>
  <si>
    <t>YCDS_AMR_2</t>
  </si>
  <si>
    <t>YCDS_AMR_3</t>
  </si>
  <si>
    <t>YCDS_BEN_TYPE_CODE</t>
  </si>
  <si>
    <t>YCDS_STS_CODE</t>
  </si>
  <si>
    <t>YCDS_RSN_CODE</t>
  </si>
  <si>
    <t>DETM_DETIS_YPDS</t>
  </si>
  <si>
    <t>YPDS_DOE</t>
  </si>
  <si>
    <t>YPDS_DOE_ORIG</t>
  </si>
  <si>
    <t>YPDS_AMR_1</t>
  </si>
  <si>
    <t>YPDS_AMR_2</t>
  </si>
  <si>
    <t>YPDS_AMR_3</t>
  </si>
  <si>
    <t>YPDS_BEN_TYPE_CODE</t>
  </si>
  <si>
    <t>YPDS_STS_CODE</t>
  </si>
  <si>
    <t>YPDS_RSN_CODE</t>
  </si>
  <si>
    <t>KIDS_CHILD</t>
  </si>
  <si>
    <t>CHILD_SSR</t>
  </si>
  <si>
    <t>CHILD_PARTY_ROLE_ID</t>
  </si>
  <si>
    <t>CHP_ANCHOR_IND</t>
  </si>
  <si>
    <t>KIDS_CHILD_CHFC</t>
  </si>
  <si>
    <t>CHFC_DOV</t>
  </si>
  <si>
    <t>CHFC_DOV_ORIG</t>
  </si>
  <si>
    <t>CHFC_AMR_1</t>
  </si>
  <si>
    <t>CHFC_AMR_2</t>
  </si>
  <si>
    <t>CHFC_AMR_3</t>
  </si>
  <si>
    <t>CHFC_FOSTER_CARE_MI_TYPE_CODE</t>
  </si>
  <si>
    <t>CHFC_FOSTER_CHILD_IND</t>
  </si>
  <si>
    <t>CHFC_FOSTER_CHILD_ORIG_FAM_IND</t>
  </si>
  <si>
    <t>CHFC_UNIQ_ID</t>
  </si>
  <si>
    <t>KIDS_CHILD_CHGP</t>
  </si>
  <si>
    <t>CHGP_DOV</t>
  </si>
  <si>
    <t>CHGP_DOV_ORIG</t>
  </si>
  <si>
    <t>CHGP_AMR_1</t>
  </si>
  <si>
    <t>CHGP_AMR_2</t>
  </si>
  <si>
    <t>CHGP_AMR_3</t>
  </si>
  <si>
    <t>CHGP_ELIG_IND</t>
  </si>
  <si>
    <t>CHGP_RSN_CODE</t>
  </si>
  <si>
    <t>LNK0_GLNK_CULD</t>
  </si>
  <si>
    <t>DEST_PERSON_ID</t>
  </si>
  <si>
    <t>LINK_TYPE_CODE</t>
  </si>
  <si>
    <t>SRC_SVC_RSN_CODE</t>
  </si>
  <si>
    <t>DEST_SVC_RSN_CODE</t>
  </si>
  <si>
    <t>CULD_DOV</t>
  </si>
  <si>
    <t>CULD_DOV_ORIG</t>
  </si>
  <si>
    <t>CULD_AMR_1</t>
  </si>
  <si>
    <t>CULD_AMR_2</t>
  </si>
  <si>
    <t>CULD_AMR_3</t>
  </si>
  <si>
    <t>CULD_END_RSN_CODE</t>
  </si>
  <si>
    <t>History</t>
  </si>
  <si>
    <t>Start_Date</t>
  </si>
  <si>
    <t>End_Date</t>
  </si>
  <si>
    <t>Record_Deleted_Flag</t>
  </si>
  <si>
    <t>BYTEINT</t>
  </si>
  <si>
    <t>NONO_DOE_ORIG_ORIG</t>
  </si>
  <si>
    <t>CHAR(13)</t>
  </si>
  <si>
    <t>Character Set</t>
  </si>
  <si>
    <t>Source Security Classification</t>
  </si>
  <si>
    <t>Description</t>
  </si>
  <si>
    <t>EDW Security Classification ID</t>
  </si>
  <si>
    <t>Start Date</t>
  </si>
  <si>
    <t>End Date</t>
  </si>
  <si>
    <t>Generated Metadata SQL</t>
  </si>
  <si>
    <t xml:space="preserve">Personal_IdentityInfoDirect	</t>
  </si>
  <si>
    <t xml:space="preserve">Personal_IdentityInfoIndirect	</t>
  </si>
  <si>
    <t>Personal_IdentityInfoIndirect</t>
  </si>
  <si>
    <t>Personal_IdentityInfoDirect</t>
  </si>
  <si>
    <t>Personal_ContactInfo</t>
  </si>
  <si>
    <t>Personal_OtherInfo</t>
  </si>
  <si>
    <t>Personal_IdentityInfroDirect</t>
  </si>
  <si>
    <t>Table Name Source (DL)</t>
  </si>
  <si>
    <t>Column Name Source (DL)</t>
  </si>
  <si>
    <t>Data Type DL</t>
  </si>
  <si>
    <t>Table Name Target- Snowflake STG</t>
  </si>
  <si>
    <t>Column Name Target- Snowflake STG</t>
  </si>
  <si>
    <t>Data Type STG</t>
  </si>
  <si>
    <t>Table Name Target- Snowflake SRC</t>
  </si>
  <si>
    <t>Column Name Target- Snowflake SRC</t>
  </si>
  <si>
    <t>Data Type (Snowflake) SRC</t>
  </si>
  <si>
    <t>INFO-Data Type (Source)</t>
  </si>
  <si>
    <t>INFO-Format (Source)</t>
  </si>
  <si>
    <t>transformation rule for STG Views</t>
  </si>
  <si>
    <t>PK</t>
  </si>
  <si>
    <t>Source Security Classificaiton</t>
  </si>
  <si>
    <t>Include Flag</t>
  </si>
  <si>
    <t>INFO-start_date</t>
  </si>
  <si>
    <t>INFO-end_date</t>
  </si>
  <si>
    <t>INFO-update_user</t>
  </si>
  <si>
    <t>INFO-update_timestamp</t>
  </si>
  <si>
    <t>INFO-View Name STG</t>
  </si>
  <si>
    <t>Stiching Required</t>
  </si>
  <si>
    <t>VARCHAR</t>
  </si>
  <si>
    <t>sysdate()</t>
  </si>
  <si>
    <t>migration_pipeline</t>
  </si>
  <si>
    <t>current_timestamp()</t>
  </si>
  <si>
    <t>N</t>
  </si>
  <si>
    <t>General</t>
  </si>
  <si>
    <t xml:space="preserve">All date fields in CLK comes as INTEGER in form of YYYYMMDD and then converted to DATE with derived _ORIG columns whereas the original field is kept as is in INTEGER format. It is observed in some tables (e.g. CIRC_PORT_PODT) that historical data (1900-01-01) has those values converted to STRINGS of format YYYY-MM-DD instead of keeping them as YYYYMMDD, therefore it is no longer INTEGER, whereas incremental data has those values as is and can be stored as INTEGER. 
Observation: Where PK includes a DATE type column, PK in datalake and also in TD is defined on its corrosponding _ORIG column. </t>
  </si>
  <si>
    <t>Table Specific Issues</t>
  </si>
  <si>
    <t>_ORIG column type?</t>
  </si>
  <si>
    <t>2026-01-16</t>
  </si>
  <si>
    <t>transformation=&gt;</t>
  </si>
  <si>
    <r>
      <t xml:space="preserve">PK is defined only on PERSON_ID field, whereas data sharing page listed these three columns as PKs: ENVIRONMENT_ID, PERSON_ID, PROCESSING_SEQUENCE
</t>
    </r>
    <r>
      <rPr>
        <b/>
        <sz val="11"/>
        <color theme="1"/>
        <rFont val="Calibri"/>
        <family val="2"/>
        <scheme val="minor"/>
      </rPr>
      <t xml:space="preserve">Action: </t>
    </r>
    <r>
      <rPr>
        <sz val="11"/>
        <color theme="1"/>
        <rFont val="Calibri"/>
        <family val="2"/>
        <scheme val="minor"/>
      </rPr>
      <t xml:space="preserve">confirmed in TD PK has three columns, so need to update etlmetadata and file_schema in datalake
CUNO_DOB is a date field, all date fields in CLK comes as INTEGER in form of YYYYMMDD and then converted to DATE with derived _ORIG columns. This one does not have _ORIG column for it. 
</t>
    </r>
    <r>
      <rPr>
        <b/>
        <sz val="11"/>
        <color theme="1"/>
        <rFont val="Calibri"/>
        <family val="2"/>
        <scheme val="minor"/>
      </rPr>
      <t xml:space="preserve">Action: </t>
    </r>
    <r>
      <rPr>
        <sz val="11"/>
        <color theme="1"/>
        <rFont val="Calibri"/>
        <family val="2"/>
        <scheme val="minor"/>
      </rPr>
      <t>as per discussion with Mubashir, we will not introduce a new column _ORIG to be aligned with Teradata</t>
    </r>
  </si>
  <si>
    <t>NONE</t>
  </si>
  <si>
    <t>_ORIG column type?
Observation: SRC_PERSON_ID is PII, while DEST_PERSON_ID is not?</t>
  </si>
  <si>
    <t>TABLE_NAME</t>
  </si>
  <si>
    <t>circ_port_podt</t>
  </si>
  <si>
    <t>circ_res_rsev</t>
  </si>
  <si>
    <t>cust_cst_cuor</t>
  </si>
  <si>
    <t>cust_cst_cupt</t>
  </si>
  <si>
    <t>detm_detis_jmds</t>
  </si>
  <si>
    <t>detm_detis_k9ds</t>
  </si>
  <si>
    <t>detm_detis_lids</t>
  </si>
  <si>
    <t>detm_detis_lsds</t>
  </si>
  <si>
    <t>detm_detis_m9ds</t>
  </si>
  <si>
    <t>detm_detis_mods</t>
  </si>
  <si>
    <t>detm_detis_mpds</t>
  </si>
  <si>
    <t>detm_detis_myds</t>
  </si>
  <si>
    <t>detm_detis_n9ds</t>
  </si>
  <si>
    <t>detm_detis_nrds</t>
  </si>
  <si>
    <t>detm_detis_p1ds</t>
  </si>
  <si>
    <t>detm_detis_pgds</t>
  </si>
  <si>
    <t>detm_detis_pjds</t>
  </si>
  <si>
    <t>detm_detis_pnds</t>
  </si>
  <si>
    <t>detm_detis_rcds</t>
  </si>
  <si>
    <t>detm_detis_shds</t>
  </si>
  <si>
    <t>detm_detis_tlds</t>
  </si>
  <si>
    <t>detm_detis_vbds</t>
  </si>
  <si>
    <t>detm_detis_ybds</t>
  </si>
  <si>
    <t>detm_detis_ycds</t>
  </si>
  <si>
    <t>detm_detis_ypds</t>
  </si>
  <si>
    <t>kids_child_chfc</t>
  </si>
  <si>
    <t>kids_child_chgp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</si>
</sst>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color theme="1"/>
      <name val="Calibri"/>
      <family val="2"/>
      <scheme val="minor"/>
    </font>
    <font>
      <b/>
      <sz val="11"/>
      <color theme="1"/>
      <name val="Calibri"/>
      <family val="2"/>
      <scheme val="minor"/>
    </font>
    <font>
      <b/>
      <sz val="11"/>
      <color rgb="FF000000"/>
      <name val="Aptos Narrow"/>
      <family val="2"/>
    </font>
    <font>
      <b/>
      <sz val="11"/>
      <color rgb="FF000000"/>
      <name val="Calibri"/>
      <family val="2"/>
      <scheme val="minor"/>
    </font>
    <font>
      <b/>
      <sz val="10"/>
      <color theme="1"/>
      <name val="Calibri"/>
      <family val="2"/>
      <scheme val="minor"/>
    </font>
    <font>
      <sz val="10"/>
      <color theme="1"/>
      <name val="Calibri"/>
      <family val="2"/>
      <scheme val="minor"/>
    </font>
    <font>
      <sz val="10"/>
      <color rgb="FF000000"/>
      <name val="Calibri"/>
      <family val="2"/>
      <scheme val="minor"/>
    </font>
    <font>
      <sz val="11"/>
      <name val="Calibri"/>
      <family val="2"/>
      <scheme val="minor"/>
    </font>
    <font>
      <sz val="11"/>
      <color rgb="FF172B4D"/>
      <name val="Arial"/>
      <family val="2"/>
    </font>
  </fonts>
  <fills count="10">
    <fill>
      <patternFill patternType="none"/>
    </fill>
    <fill>
      <patternFill patternType="gray125"/>
    </fill>
    <fill>
      <patternFill patternType="solid">
        <fgColor rgb="FFF1A983"/>
        <bgColor rgb="FF000000"/>
      </patternFill>
    </fill>
    <fill>
      <patternFill patternType="solid">
        <fgColor theme="0" tint="-0.14999847407452621"/>
        <bgColor indexed="64"/>
      </patternFill>
    </fill>
    <fill>
      <patternFill patternType="solid">
        <fgColor rgb="FF94DCF8"/>
        <bgColor rgb="FF000000"/>
      </patternFill>
    </fill>
    <fill>
      <patternFill patternType="solid">
        <fgColor theme="3" tint="0.89999084444715716"/>
        <bgColor rgb="FF000000"/>
      </patternFill>
    </fill>
    <fill>
      <patternFill patternType="solid">
        <fgColor theme="5" tint="0.39997558519241921"/>
        <bgColor indexed="64"/>
      </patternFill>
    </fill>
    <fill>
      <patternFill patternType="solid">
        <fgColor theme="4" tint="0.39997558519241921"/>
        <bgColor rgb="FF000000"/>
      </patternFill>
    </fill>
    <fill>
      <patternFill patternType="solid">
        <fgColor theme="5" tint="0.59999389629810485"/>
        <bgColor rgb="FF000000"/>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2" fillId="2" borderId="1" xfId="0" applyFont="1" applyFill="1" applyBorder="1"/>
    <xf numFmtId="0" fontId="0" fillId="0" borderId="1" xfId="0" applyBorder="1"/>
    <xf numFmtId="0" fontId="3" fillId="4" borderId="2" xfId="0" applyFont="1" applyFill="1" applyBorder="1" applyAlignment="1">
      <alignment horizontal="left" vertical="top"/>
    </xf>
    <xf numFmtId="0" fontId="3" fillId="5" borderId="2" xfId="0" applyFont="1" applyFill="1" applyBorder="1" applyAlignment="1">
      <alignment horizontal="left" vertical="top"/>
    </xf>
    <xf numFmtId="0" fontId="4" fillId="3" borderId="1" xfId="0" applyFont="1" applyFill="1" applyBorder="1"/>
    <xf numFmtId="0" fontId="4" fillId="6" borderId="1" xfId="0" applyFont="1" applyFill="1" applyBorder="1"/>
    <xf numFmtId="0" fontId="5" fillId="0" borderId="0" xfId="0" applyFont="1"/>
    <xf numFmtId="0" fontId="6" fillId="0" borderId="0" xfId="0" applyFont="1"/>
    <xf numFmtId="164" fontId="5" fillId="0" borderId="0" xfId="0" applyNumberFormat="1" applyFont="1"/>
    <xf numFmtId="0" fontId="1" fillId="6" borderId="1" xfId="0" applyFont="1" applyFill="1" applyBorder="1"/>
    <xf numFmtId="0" fontId="0" fillId="3" borderId="1" xfId="0" applyFill="1" applyBorder="1"/>
    <xf numFmtId="0" fontId="7" fillId="0" borderId="1" xfId="0" applyFont="1" applyBorder="1" applyAlignment="1">
      <alignment vertical="top"/>
    </xf>
    <xf numFmtId="14" fontId="7" fillId="0" borderId="1" xfId="0" applyNumberFormat="1" applyFont="1" applyBorder="1" applyAlignment="1">
      <alignment vertical="top"/>
    </xf>
    <xf numFmtId="0" fontId="3" fillId="7" borderId="2" xfId="0" applyFont="1" applyFill="1" applyBorder="1" applyAlignment="1">
      <alignment horizontal="left" vertical="top"/>
    </xf>
    <xf numFmtId="0" fontId="3" fillId="8" borderId="2" xfId="0" applyFont="1" applyFill="1" applyBorder="1" applyAlignment="1">
      <alignment horizontal="left" vertical="top"/>
    </xf>
    <xf numFmtId="0" fontId="0" fillId="0" borderId="0" xfId="0" applyAlignment="1">
      <alignment wrapText="1"/>
    </xf>
    <xf numFmtId="0" fontId="5" fillId="9" borderId="0" xfId="0" applyFont="1" applyFill="1"/>
    <xf numFmtId="0" fontId="8" fillId="0" borderId="0" xfId="0" applyFont="1"/>
    <xf numFmtId="0" fontId="0" fillId="9" borderId="1" xfId="0" applyFill="1" applyBorder="1"/>
    <xf numFmtId="0" fontId="0" fillId="9" borderId="0" xfId="0" applyFill="1"/>
    <xf numFmtId="0" fontId="0" fillId="9" borderId="0" xfId="0" applyFill="1" applyAlignment="1">
      <alignment wrapText="1"/>
    </xf>
    <xf numFmtId="0" fontId="0" fillId="3" borderId="0" xfId="0" applyFill="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Sattar, Tanveer" id="{FC7E2F29-7EFE-451B-ABB1-4A4CC84E0178}" userId="S::Tanveer.Sattar@ndis.gov.au::b856e231-6df2-497f-904d-6343fb2c49e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 dT="2025-10-28T06:48:51.31" personId="{FC7E2F29-7EFE-451B-ABB1-4A4CC84E0178}" id="{BE07068E-948D-4DD3-90D7-5814FE7702FB}">
    <text>Renamed column name from “INFO-Data Type (Teradata-SRCI)” to “INFO-Data Type (Source)” to be used just as information about original source system data types. This is used in transformation column formula here but not in Snowflake code generation.</text>
  </threadedComment>
  <threadedComment ref="L1" dT="2025-10-28T06:48:51.31" personId="{FC7E2F29-7EFE-451B-ABB1-4A4CC84E0178}" id="{C7C96B89-3D8D-41AC-9F36-7FDD7CF5D57F}">
    <text>This is info column only to see the data type format because some data types are marked as INTEGER but they are actually DATE so this is helpful in setting up proper transformation. This is not used Snowflake code generation.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841BD-690D-4D55-8235-9E14833737A2}">
  <dimension ref="A1:B60"/>
  <sheetViews>
    <sheetView topLeftCell="A28" workbookViewId="0">
      <selection activeCell="B1" sqref="B1:B60"/>
    </sheetView>
  </sheetViews>
  <sheetFormatPr defaultRowHeight="15"/>
  <cols>
    <col min="1" max="1" width="32.42578125" bestFit="1" customWidth="1"/>
    <col min="2" max="2" width="20.7109375" bestFit="1" customWidth="1"/>
  </cols>
  <sheetData>
    <row r="1" spans="1:2">
      <c r="A1" t="s">
        <v>0</v>
      </c>
      <c r="B1" t="str">
        <f>LOWER(A1)</f>
        <v>clk_circ_port_podt</v>
      </c>
    </row>
    <row r="2" spans="1:2">
      <c r="A2" t="s">
        <v>1</v>
      </c>
      <c r="B2" t="str">
        <f t="shared" ref="B2:B60" si="0">LOWER(A2)</f>
        <v>clk_circ_res_rscb</v>
      </c>
    </row>
    <row r="3" spans="1:2">
      <c r="A3" t="s">
        <v>2</v>
      </c>
      <c r="B3" t="str">
        <f t="shared" si="0"/>
        <v>clk_circ_res_rscv</v>
      </c>
    </row>
    <row r="4" spans="1:2">
      <c r="A4" t="s">
        <v>3</v>
      </c>
      <c r="B4" t="str">
        <f t="shared" si="0"/>
        <v>clk_circ_res_rsev</v>
      </c>
    </row>
    <row r="5" spans="1:2">
      <c r="A5" t="s">
        <v>4</v>
      </c>
      <c r="B5" t="str">
        <f t="shared" si="0"/>
        <v>clk_cird_nrel_nono</v>
      </c>
    </row>
    <row r="6" spans="1:2">
      <c r="A6" t="s">
        <v>5</v>
      </c>
      <c r="B6" t="str">
        <f t="shared" si="0"/>
        <v>clk_cust_cst_cuad_re</v>
      </c>
    </row>
    <row r="7" spans="1:2">
      <c r="A7" t="s">
        <v>6</v>
      </c>
      <c r="B7" t="str">
        <f t="shared" si="0"/>
        <v>clk_cust_cst_cudd</v>
      </c>
    </row>
    <row r="8" spans="1:2">
      <c r="A8" t="s">
        <v>7</v>
      </c>
      <c r="B8" t="str">
        <f t="shared" si="0"/>
        <v>clk_cust_cst_cuem</v>
      </c>
    </row>
    <row r="9" spans="1:2">
      <c r="A9" t="s">
        <v>8</v>
      </c>
      <c r="B9" t="str">
        <f t="shared" si="0"/>
        <v>clk_cust_cst_cunm_re</v>
      </c>
    </row>
    <row r="10" spans="1:2">
      <c r="A10" t="s">
        <v>9</v>
      </c>
      <c r="B10" t="str">
        <f t="shared" si="0"/>
        <v>clk_cust_cst_cuno_re</v>
      </c>
    </row>
    <row r="11" spans="1:2">
      <c r="A11" t="s">
        <v>10</v>
      </c>
      <c r="B11" t="str">
        <f t="shared" si="0"/>
        <v>clk_cust_cst_cuor</v>
      </c>
    </row>
    <row r="12" spans="1:2">
      <c r="A12" t="s">
        <v>11</v>
      </c>
      <c r="B12" t="str">
        <f t="shared" si="0"/>
        <v>clk_cust_cst_cupt</v>
      </c>
    </row>
    <row r="13" spans="1:2">
      <c r="A13" t="s">
        <v>12</v>
      </c>
      <c r="B13" t="str">
        <f t="shared" si="0"/>
        <v>clk_detm_detis_bbds</v>
      </c>
    </row>
    <row r="14" spans="1:2">
      <c r="A14" t="s">
        <v>13</v>
      </c>
      <c r="B14" t="str">
        <f t="shared" si="0"/>
        <v>clk_detm_detis_c9ds</v>
      </c>
    </row>
    <row r="15" spans="1:2">
      <c r="A15" t="s">
        <v>14</v>
      </c>
      <c r="B15" t="str">
        <f t="shared" si="0"/>
        <v>clk_detm_detis_cbds</v>
      </c>
    </row>
    <row r="16" spans="1:2">
      <c r="A16" t="s">
        <v>15</v>
      </c>
      <c r="B16" t="str">
        <f t="shared" si="0"/>
        <v>clk_detm_detis_ccds</v>
      </c>
    </row>
    <row r="17" spans="1:2">
      <c r="A17" t="s">
        <v>16</v>
      </c>
      <c r="B17" t="str">
        <f t="shared" si="0"/>
        <v>clk_detm_detis_cjds</v>
      </c>
    </row>
    <row r="18" spans="1:2">
      <c r="A18" t="s">
        <v>17</v>
      </c>
      <c r="B18" t="str">
        <f t="shared" si="0"/>
        <v>clk_detm_detis_czds</v>
      </c>
    </row>
    <row r="19" spans="1:2">
      <c r="A19" t="s">
        <v>18</v>
      </c>
      <c r="B19" t="str">
        <f t="shared" si="0"/>
        <v>clk_detm_detis_d3ds</v>
      </c>
    </row>
    <row r="20" spans="1:2">
      <c r="A20" t="s">
        <v>19</v>
      </c>
      <c r="B20" t="str">
        <f t="shared" si="0"/>
        <v>clk_detm_detis_dhds</v>
      </c>
    </row>
    <row r="21" spans="1:2">
      <c r="A21" t="s">
        <v>20</v>
      </c>
      <c r="B21" t="str">
        <f t="shared" si="0"/>
        <v>clk_detm_detis_dpds</v>
      </c>
    </row>
    <row r="22" spans="1:2">
      <c r="A22" t="s">
        <v>21</v>
      </c>
      <c r="B22" t="str">
        <f t="shared" si="0"/>
        <v>clk_detm_detis_eeds</v>
      </c>
    </row>
    <row r="23" spans="1:2">
      <c r="A23" t="s">
        <v>22</v>
      </c>
      <c r="B23" t="str">
        <f t="shared" si="0"/>
        <v>clk_detm_detis_ehds</v>
      </c>
    </row>
    <row r="24" spans="1:2">
      <c r="A24" t="s">
        <v>23</v>
      </c>
      <c r="B24" t="str">
        <f t="shared" si="0"/>
        <v>clk_detm_detis_emds</v>
      </c>
    </row>
    <row r="25" spans="1:2">
      <c r="A25" t="s">
        <v>24</v>
      </c>
      <c r="B25" t="str">
        <f t="shared" si="0"/>
        <v>clk_detm_detis_esds</v>
      </c>
    </row>
    <row r="26" spans="1:2">
      <c r="A26" t="s">
        <v>25</v>
      </c>
      <c r="B26" t="str">
        <f t="shared" si="0"/>
        <v>clk_detm_detis_f2ds</v>
      </c>
    </row>
    <row r="27" spans="1:2">
      <c r="A27" t="s">
        <v>26</v>
      </c>
      <c r="B27" t="str">
        <f t="shared" si="0"/>
        <v>clk_detm_detis_fdds</v>
      </c>
    </row>
    <row r="28" spans="1:2">
      <c r="A28" t="s">
        <v>27</v>
      </c>
      <c r="B28" t="str">
        <f t="shared" si="0"/>
        <v>clk_detm_detis_ffds</v>
      </c>
    </row>
    <row r="29" spans="1:2">
      <c r="A29" t="s">
        <v>28</v>
      </c>
      <c r="B29" t="str">
        <f t="shared" si="0"/>
        <v>clk_detm_detis_fhds</v>
      </c>
    </row>
    <row r="30" spans="1:2">
      <c r="A30" t="s">
        <v>29</v>
      </c>
      <c r="B30" t="str">
        <f t="shared" si="0"/>
        <v>clk_detm_detis_ftds</v>
      </c>
    </row>
    <row r="31" spans="1:2">
      <c r="A31" t="s">
        <v>30</v>
      </c>
      <c r="B31" t="str">
        <f t="shared" si="0"/>
        <v>clk_detm_detis_fyds</v>
      </c>
    </row>
    <row r="32" spans="1:2">
      <c r="A32" t="s">
        <v>31</v>
      </c>
      <c r="B32" t="str">
        <f t="shared" si="0"/>
        <v>clk_detm_detis_gpds</v>
      </c>
    </row>
    <row r="33" spans="1:2">
      <c r="A33" t="s">
        <v>32</v>
      </c>
      <c r="B33" t="str">
        <f t="shared" si="0"/>
        <v>clk_detm_detis_hdds</v>
      </c>
    </row>
    <row r="34" spans="1:2">
      <c r="A34" t="s">
        <v>33</v>
      </c>
      <c r="B34" t="str">
        <f t="shared" si="0"/>
        <v>clk_detm_detis_jcds</v>
      </c>
    </row>
    <row r="35" spans="1:2">
      <c r="A35" t="s">
        <v>34</v>
      </c>
      <c r="B35" t="str">
        <f t="shared" si="0"/>
        <v>clk_detm_detis_jmds</v>
      </c>
    </row>
    <row r="36" spans="1:2">
      <c r="A36" t="s">
        <v>35</v>
      </c>
      <c r="B36" t="str">
        <f t="shared" si="0"/>
        <v>clk_detm_detis_k9ds</v>
      </c>
    </row>
    <row r="37" spans="1:2">
      <c r="A37" t="s">
        <v>36</v>
      </c>
      <c r="B37" t="str">
        <f t="shared" si="0"/>
        <v>clk_detm_detis_lids</v>
      </c>
    </row>
    <row r="38" spans="1:2">
      <c r="A38" t="s">
        <v>37</v>
      </c>
      <c r="B38" t="str">
        <f t="shared" si="0"/>
        <v>clk_detm_detis_lsds</v>
      </c>
    </row>
    <row r="39" spans="1:2">
      <c r="A39" t="s">
        <v>38</v>
      </c>
      <c r="B39" t="str">
        <f t="shared" si="0"/>
        <v>clk_detm_detis_m9ds</v>
      </c>
    </row>
    <row r="40" spans="1:2">
      <c r="A40" t="s">
        <v>39</v>
      </c>
      <c r="B40" t="str">
        <f t="shared" si="0"/>
        <v>clk_detm_detis_mods</v>
      </c>
    </row>
    <row r="41" spans="1:2">
      <c r="A41" t="s">
        <v>40</v>
      </c>
      <c r="B41" t="str">
        <f t="shared" si="0"/>
        <v>clk_detm_detis_mpds</v>
      </c>
    </row>
    <row r="42" spans="1:2">
      <c r="A42" t="s">
        <v>41</v>
      </c>
      <c r="B42" t="str">
        <f t="shared" si="0"/>
        <v>clk_detm_detis_myds</v>
      </c>
    </row>
    <row r="43" spans="1:2">
      <c r="A43" t="s">
        <v>42</v>
      </c>
      <c r="B43" t="str">
        <f t="shared" si="0"/>
        <v>clk_detm_detis_n9ds</v>
      </c>
    </row>
    <row r="44" spans="1:2">
      <c r="A44" t="s">
        <v>43</v>
      </c>
      <c r="B44" t="str">
        <f t="shared" si="0"/>
        <v>clk_detm_detis_nrds</v>
      </c>
    </row>
    <row r="45" spans="1:2">
      <c r="A45" t="s">
        <v>44</v>
      </c>
      <c r="B45" t="str">
        <f t="shared" si="0"/>
        <v>clk_detm_detis_nsds</v>
      </c>
    </row>
    <row r="46" spans="1:2">
      <c r="A46" t="s">
        <v>45</v>
      </c>
      <c r="B46" t="str">
        <f t="shared" si="0"/>
        <v>clk_detm_detis_p1ds</v>
      </c>
    </row>
    <row r="47" spans="1:2">
      <c r="A47" t="s">
        <v>46</v>
      </c>
      <c r="B47" t="str">
        <f t="shared" si="0"/>
        <v>clk_detm_detis_pgds</v>
      </c>
    </row>
    <row r="48" spans="1:2">
      <c r="A48" t="s">
        <v>47</v>
      </c>
      <c r="B48" t="str">
        <f t="shared" si="0"/>
        <v>clk_detm_detis_pjds</v>
      </c>
    </row>
    <row r="49" spans="1:2">
      <c r="A49" t="s">
        <v>48</v>
      </c>
      <c r="B49" t="str">
        <f t="shared" si="0"/>
        <v>clk_detm_detis_pnds</v>
      </c>
    </row>
    <row r="50" spans="1:2">
      <c r="A50" t="s">
        <v>49</v>
      </c>
      <c r="B50" t="str">
        <f t="shared" si="0"/>
        <v>clk_detm_detis_rcds</v>
      </c>
    </row>
    <row r="51" spans="1:2">
      <c r="A51" t="s">
        <v>50</v>
      </c>
      <c r="B51" t="str">
        <f t="shared" si="0"/>
        <v>clk_detm_detis_shds</v>
      </c>
    </row>
    <row r="52" spans="1:2">
      <c r="A52" t="s">
        <v>51</v>
      </c>
      <c r="B52" t="str">
        <f t="shared" si="0"/>
        <v>clk_detm_detis_tlds</v>
      </c>
    </row>
    <row r="53" spans="1:2">
      <c r="A53" t="s">
        <v>52</v>
      </c>
      <c r="B53" t="str">
        <f t="shared" si="0"/>
        <v>clk_detm_detis_vbds</v>
      </c>
    </row>
    <row r="54" spans="1:2">
      <c r="A54" t="s">
        <v>53</v>
      </c>
      <c r="B54" t="str">
        <f t="shared" si="0"/>
        <v>clk_detm_detis_ybds</v>
      </c>
    </row>
    <row r="55" spans="1:2">
      <c r="A55" t="s">
        <v>54</v>
      </c>
      <c r="B55" t="str">
        <f t="shared" si="0"/>
        <v>clk_detm_detis_ycds</v>
      </c>
    </row>
    <row r="56" spans="1:2">
      <c r="A56" t="s">
        <v>55</v>
      </c>
      <c r="B56" t="str">
        <f t="shared" si="0"/>
        <v>clk_detm_detis_ypds</v>
      </c>
    </row>
    <row r="57" spans="1:2">
      <c r="A57" t="s">
        <v>56</v>
      </c>
      <c r="B57" t="str">
        <f t="shared" si="0"/>
        <v>clk_kids_child</v>
      </c>
    </row>
    <row r="58" spans="1:2">
      <c r="A58" t="s">
        <v>57</v>
      </c>
      <c r="B58" t="str">
        <f t="shared" si="0"/>
        <v>clk_kids_child_chfc</v>
      </c>
    </row>
    <row r="59" spans="1:2">
      <c r="A59" t="s">
        <v>58</v>
      </c>
      <c r="B59" t="str">
        <f t="shared" si="0"/>
        <v>clk_kids_child_chgp</v>
      </c>
    </row>
    <row r="60" spans="1:2">
      <c r="A60" t="s">
        <v>59</v>
      </c>
      <c r="B60" t="str">
        <f t="shared" si="0"/>
        <v>clk_lnk0_glnk_culd</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53D04-1006-43C3-81C0-D5A71F843CA8}">
  <sheetPr filterMode="1"/>
  <dimension ref="A1:Q1232"/>
  <sheetViews>
    <sheetView topLeftCell="B1" workbookViewId="0">
      <selection activeCell="P73" sqref="P73"/>
    </sheetView>
  </sheetViews>
  <sheetFormatPr defaultRowHeight="15"/>
  <cols>
    <col min="1" max="1" width="12.28515625" bestFit="1" customWidth="1"/>
    <col min="2" max="2" width="22.7109375" bestFit="1" customWidth="1"/>
    <col min="3" max="3" width="20.85546875" bestFit="1" customWidth="1"/>
    <col min="4" max="4" width="20.140625" bestFit="1" customWidth="1"/>
    <col min="5" max="6" width="34.85546875" bestFit="1" customWidth="1"/>
    <col min="7" max="7" width="16.7109375" bestFit="1" customWidth="1"/>
    <col min="8" max="8" width="16" bestFit="1" customWidth="1"/>
    <col min="9" max="9" width="26.140625" bestFit="1" customWidth="1"/>
    <col min="10" max="10" width="15.28515625" bestFit="1" customWidth="1"/>
    <col min="11" max="11" width="2.7109375" bestFit="1" customWidth="1"/>
    <col min="12" max="12" width="6.140625" bestFit="1" customWidth="1"/>
    <col min="13" max="13" width="15.42578125" bestFit="1" customWidth="1"/>
    <col min="14" max="14" width="5.7109375" bestFit="1" customWidth="1"/>
    <col min="15" max="15" width="23.85546875" bestFit="1" customWidth="1"/>
    <col min="16" max="16" width="255.7109375" bestFit="1" customWidth="1"/>
    <col min="17" max="17" width="5.42578125" bestFit="1" customWidth="1"/>
  </cols>
  <sheetData>
    <row r="1" spans="1:17">
      <c r="A1" s="1" t="s">
        <v>60</v>
      </c>
      <c r="B1" s="1" t="s">
        <v>61</v>
      </c>
      <c r="C1" s="1" t="s">
        <v>62</v>
      </c>
      <c r="D1" s="1" t="s">
        <v>63</v>
      </c>
      <c r="E1" s="1" t="s">
        <v>64</v>
      </c>
      <c r="F1" s="1" t="s">
        <v>65</v>
      </c>
      <c r="G1" s="1" t="s">
        <v>66</v>
      </c>
      <c r="H1" s="1" t="s">
        <v>67</v>
      </c>
      <c r="I1" s="1" t="s">
        <v>68</v>
      </c>
      <c r="J1" s="1" t="s">
        <v>69</v>
      </c>
      <c r="K1" s="1" t="s">
        <v>70</v>
      </c>
      <c r="L1" s="1" t="s">
        <v>71</v>
      </c>
      <c r="M1" s="1" t="s">
        <v>72</v>
      </c>
      <c r="N1" s="1" t="s">
        <v>73</v>
      </c>
      <c r="O1" s="1" t="s">
        <v>74</v>
      </c>
      <c r="P1" s="1" t="s">
        <v>75</v>
      </c>
    </row>
    <row r="2" spans="1:17" hidden="1">
      <c r="A2" t="s">
        <v>76</v>
      </c>
      <c r="B2" t="s">
        <v>77</v>
      </c>
      <c r="C2" t="s">
        <v>78</v>
      </c>
      <c r="D2" t="s">
        <v>78</v>
      </c>
      <c r="E2" t="s">
        <v>79</v>
      </c>
      <c r="F2" t="s">
        <v>79</v>
      </c>
      <c r="G2" t="s">
        <v>80</v>
      </c>
      <c r="H2" t="s">
        <v>81</v>
      </c>
      <c r="I2" t="s">
        <v>82</v>
      </c>
      <c r="L2">
        <v>1</v>
      </c>
      <c r="M2" t="s">
        <v>83</v>
      </c>
      <c r="O2" t="s">
        <v>83</v>
      </c>
      <c r="P2" t="s">
        <v>84</v>
      </c>
      <c r="Q2" t="s">
        <v>85</v>
      </c>
    </row>
    <row r="3" spans="1:17" hidden="1">
      <c r="A3" t="s">
        <v>76</v>
      </c>
      <c r="B3" t="s">
        <v>77</v>
      </c>
      <c r="C3" t="s">
        <v>78</v>
      </c>
      <c r="D3" t="s">
        <v>78</v>
      </c>
      <c r="E3" t="s">
        <v>86</v>
      </c>
      <c r="F3" t="s">
        <v>86</v>
      </c>
      <c r="G3" t="s">
        <v>80</v>
      </c>
      <c r="H3" t="s">
        <v>81</v>
      </c>
      <c r="I3" t="s">
        <v>82</v>
      </c>
      <c r="L3">
        <v>2</v>
      </c>
      <c r="M3" t="s">
        <v>83</v>
      </c>
      <c r="O3" t="s">
        <v>83</v>
      </c>
      <c r="P3" t="s">
        <v>84</v>
      </c>
      <c r="Q3" t="s">
        <v>85</v>
      </c>
    </row>
    <row r="4" spans="1:17" hidden="1">
      <c r="A4" t="s">
        <v>76</v>
      </c>
      <c r="B4" t="s">
        <v>77</v>
      </c>
      <c r="C4" t="s">
        <v>78</v>
      </c>
      <c r="D4" t="s">
        <v>78</v>
      </c>
      <c r="E4" t="s">
        <v>87</v>
      </c>
      <c r="F4" t="s">
        <v>87</v>
      </c>
      <c r="G4" t="s">
        <v>88</v>
      </c>
      <c r="H4" t="s">
        <v>81</v>
      </c>
      <c r="J4" t="s">
        <v>83</v>
      </c>
      <c r="L4">
        <v>3</v>
      </c>
      <c r="M4" t="s">
        <v>83</v>
      </c>
      <c r="O4" t="s">
        <v>83</v>
      </c>
      <c r="P4" t="s">
        <v>84</v>
      </c>
      <c r="Q4" t="s">
        <v>85</v>
      </c>
    </row>
    <row r="5" spans="1:17" hidden="1">
      <c r="A5" t="s">
        <v>76</v>
      </c>
      <c r="B5" t="s">
        <v>77</v>
      </c>
      <c r="C5" t="s">
        <v>78</v>
      </c>
      <c r="D5" t="s">
        <v>78</v>
      </c>
      <c r="E5" t="s">
        <v>89</v>
      </c>
      <c r="F5" t="s">
        <v>89</v>
      </c>
      <c r="G5" t="s">
        <v>90</v>
      </c>
      <c r="H5" t="s">
        <v>81</v>
      </c>
      <c r="J5" t="s">
        <v>83</v>
      </c>
      <c r="K5" t="s">
        <v>83</v>
      </c>
      <c r="L5">
        <v>4</v>
      </c>
      <c r="M5" t="s">
        <v>83</v>
      </c>
      <c r="O5" t="s">
        <v>83</v>
      </c>
      <c r="P5" t="s">
        <v>84</v>
      </c>
      <c r="Q5" t="s">
        <v>85</v>
      </c>
    </row>
    <row r="6" spans="1:17" hidden="1">
      <c r="A6" t="s">
        <v>76</v>
      </c>
      <c r="B6" t="s">
        <v>77</v>
      </c>
      <c r="C6" t="s">
        <v>78</v>
      </c>
      <c r="D6" t="s">
        <v>78</v>
      </c>
      <c r="E6" t="s">
        <v>91</v>
      </c>
      <c r="F6" t="s">
        <v>91</v>
      </c>
      <c r="G6" t="s">
        <v>92</v>
      </c>
      <c r="H6" t="s">
        <v>81</v>
      </c>
      <c r="J6" t="s">
        <v>83</v>
      </c>
      <c r="L6">
        <v>5</v>
      </c>
      <c r="M6" t="s">
        <v>83</v>
      </c>
      <c r="O6" t="s">
        <v>83</v>
      </c>
      <c r="P6" t="s">
        <v>84</v>
      </c>
      <c r="Q6" t="s">
        <v>85</v>
      </c>
    </row>
    <row r="7" spans="1:17" hidden="1">
      <c r="A7" t="s">
        <v>76</v>
      </c>
      <c r="B7" t="s">
        <v>77</v>
      </c>
      <c r="C7" t="s">
        <v>78</v>
      </c>
      <c r="D7" t="s">
        <v>78</v>
      </c>
      <c r="E7" t="s">
        <v>93</v>
      </c>
      <c r="F7" t="s">
        <v>93</v>
      </c>
      <c r="G7" t="s">
        <v>94</v>
      </c>
      <c r="H7" t="s">
        <v>81</v>
      </c>
      <c r="L7">
        <v>6</v>
      </c>
      <c r="M7" t="s">
        <v>83</v>
      </c>
      <c r="O7" t="s">
        <v>83</v>
      </c>
      <c r="P7" t="s">
        <v>84</v>
      </c>
      <c r="Q7" t="s">
        <v>85</v>
      </c>
    </row>
    <row r="8" spans="1:17" hidden="1">
      <c r="A8" t="s">
        <v>76</v>
      </c>
      <c r="B8" t="s">
        <v>77</v>
      </c>
      <c r="C8" t="s">
        <v>78</v>
      </c>
      <c r="D8" t="s">
        <v>78</v>
      </c>
      <c r="E8" t="s">
        <v>95</v>
      </c>
      <c r="F8" t="s">
        <v>95</v>
      </c>
      <c r="G8" t="s">
        <v>88</v>
      </c>
      <c r="H8" t="s">
        <v>81</v>
      </c>
      <c r="L8">
        <v>7</v>
      </c>
      <c r="M8" t="s">
        <v>83</v>
      </c>
      <c r="O8" t="s">
        <v>83</v>
      </c>
      <c r="P8" t="s">
        <v>84</v>
      </c>
      <c r="Q8" t="s">
        <v>85</v>
      </c>
    </row>
    <row r="9" spans="1:17" hidden="1">
      <c r="A9" t="s">
        <v>76</v>
      </c>
      <c r="B9" t="s">
        <v>77</v>
      </c>
      <c r="C9" t="s">
        <v>78</v>
      </c>
      <c r="D9" t="s">
        <v>78</v>
      </c>
      <c r="E9" t="s">
        <v>96</v>
      </c>
      <c r="F9" t="s">
        <v>96</v>
      </c>
      <c r="G9" t="s">
        <v>94</v>
      </c>
      <c r="H9" t="s">
        <v>81</v>
      </c>
      <c r="L9">
        <v>8</v>
      </c>
      <c r="M9" t="s">
        <v>83</v>
      </c>
      <c r="O9" t="s">
        <v>83</v>
      </c>
      <c r="P9" t="s">
        <v>84</v>
      </c>
      <c r="Q9" t="s">
        <v>85</v>
      </c>
    </row>
    <row r="10" spans="1:17" hidden="1">
      <c r="A10" t="s">
        <v>76</v>
      </c>
      <c r="B10" t="s">
        <v>77</v>
      </c>
      <c r="C10" t="s">
        <v>78</v>
      </c>
      <c r="D10" t="s">
        <v>78</v>
      </c>
      <c r="E10" t="s">
        <v>97</v>
      </c>
      <c r="F10" t="s">
        <v>97</v>
      </c>
      <c r="G10" t="s">
        <v>98</v>
      </c>
      <c r="H10" t="s">
        <v>81</v>
      </c>
      <c r="L10">
        <v>9</v>
      </c>
      <c r="M10" t="s">
        <v>83</v>
      </c>
      <c r="O10" t="s">
        <v>83</v>
      </c>
      <c r="P10" t="s">
        <v>84</v>
      </c>
      <c r="Q10" t="s">
        <v>85</v>
      </c>
    </row>
    <row r="11" spans="1:17" hidden="1">
      <c r="A11" t="s">
        <v>76</v>
      </c>
      <c r="B11" t="s">
        <v>77</v>
      </c>
      <c r="C11" t="s">
        <v>78</v>
      </c>
      <c r="D11" t="s">
        <v>78</v>
      </c>
      <c r="E11" t="s">
        <v>99</v>
      </c>
      <c r="F11" t="s">
        <v>99</v>
      </c>
      <c r="G11" t="s">
        <v>90</v>
      </c>
      <c r="H11" t="s">
        <v>81</v>
      </c>
      <c r="I11" t="s">
        <v>82</v>
      </c>
      <c r="L11">
        <v>10</v>
      </c>
      <c r="M11" t="s">
        <v>83</v>
      </c>
      <c r="O11" t="s">
        <v>83</v>
      </c>
      <c r="P11" t="s">
        <v>100</v>
      </c>
      <c r="Q11" t="s">
        <v>85</v>
      </c>
    </row>
    <row r="12" spans="1:17" hidden="1">
      <c r="A12" t="s">
        <v>76</v>
      </c>
      <c r="B12" t="s">
        <v>77</v>
      </c>
      <c r="C12" t="s">
        <v>78</v>
      </c>
      <c r="D12" t="s">
        <v>78</v>
      </c>
      <c r="E12" t="s">
        <v>99</v>
      </c>
      <c r="F12" t="s">
        <v>101</v>
      </c>
      <c r="G12" t="s">
        <v>90</v>
      </c>
      <c r="H12" t="s">
        <v>81</v>
      </c>
      <c r="L12">
        <v>11</v>
      </c>
      <c r="M12" t="s">
        <v>83</v>
      </c>
      <c r="O12" t="s">
        <v>83</v>
      </c>
      <c r="P12" t="s">
        <v>84</v>
      </c>
      <c r="Q12" t="s">
        <v>85</v>
      </c>
    </row>
    <row r="13" spans="1:17" hidden="1">
      <c r="A13" t="s">
        <v>76</v>
      </c>
      <c r="B13" t="s">
        <v>77</v>
      </c>
      <c r="C13" t="s">
        <v>78</v>
      </c>
      <c r="D13" t="s">
        <v>78</v>
      </c>
      <c r="E13" t="s">
        <v>102</v>
      </c>
      <c r="F13" t="s">
        <v>102</v>
      </c>
      <c r="G13" t="s">
        <v>90</v>
      </c>
      <c r="H13" t="s">
        <v>81</v>
      </c>
      <c r="I13" t="s">
        <v>82</v>
      </c>
      <c r="L13">
        <v>12</v>
      </c>
      <c r="M13" t="s">
        <v>83</v>
      </c>
      <c r="O13" t="s">
        <v>83</v>
      </c>
      <c r="P13" t="s">
        <v>100</v>
      </c>
      <c r="Q13" t="s">
        <v>85</v>
      </c>
    </row>
    <row r="14" spans="1:17" hidden="1">
      <c r="A14" t="s">
        <v>76</v>
      </c>
      <c r="B14" t="s">
        <v>77</v>
      </c>
      <c r="C14" t="s">
        <v>78</v>
      </c>
      <c r="D14" t="s">
        <v>78</v>
      </c>
      <c r="E14" t="s">
        <v>102</v>
      </c>
      <c r="F14" t="s">
        <v>103</v>
      </c>
      <c r="G14" t="s">
        <v>90</v>
      </c>
      <c r="H14" t="s">
        <v>81</v>
      </c>
      <c r="L14">
        <v>13</v>
      </c>
      <c r="M14" t="s">
        <v>83</v>
      </c>
      <c r="O14" t="s">
        <v>83</v>
      </c>
      <c r="P14" t="s">
        <v>84</v>
      </c>
      <c r="Q14" t="s">
        <v>85</v>
      </c>
    </row>
    <row r="15" spans="1:17" hidden="1">
      <c r="A15" t="s">
        <v>76</v>
      </c>
      <c r="B15" t="s">
        <v>77</v>
      </c>
      <c r="C15" t="s">
        <v>78</v>
      </c>
      <c r="D15" t="s">
        <v>78</v>
      </c>
      <c r="E15" t="s">
        <v>104</v>
      </c>
      <c r="F15" t="s">
        <v>104</v>
      </c>
      <c r="G15" t="s">
        <v>98</v>
      </c>
      <c r="H15" t="s">
        <v>81</v>
      </c>
      <c r="L15">
        <v>14</v>
      </c>
      <c r="M15" t="s">
        <v>83</v>
      </c>
      <c r="O15" t="s">
        <v>83</v>
      </c>
      <c r="P15" t="s">
        <v>84</v>
      </c>
      <c r="Q15" t="s">
        <v>85</v>
      </c>
    </row>
    <row r="16" spans="1:17" hidden="1">
      <c r="A16" t="s">
        <v>76</v>
      </c>
      <c r="B16" t="s">
        <v>77</v>
      </c>
      <c r="C16" t="s">
        <v>78</v>
      </c>
      <c r="D16" t="s">
        <v>78</v>
      </c>
      <c r="E16" t="s">
        <v>105</v>
      </c>
      <c r="F16" t="s">
        <v>105</v>
      </c>
      <c r="G16" t="s">
        <v>90</v>
      </c>
      <c r="H16" t="s">
        <v>81</v>
      </c>
      <c r="I16" t="s">
        <v>82</v>
      </c>
      <c r="L16">
        <v>15</v>
      </c>
      <c r="M16" t="s">
        <v>83</v>
      </c>
      <c r="O16" t="s">
        <v>83</v>
      </c>
      <c r="P16" t="s">
        <v>100</v>
      </c>
      <c r="Q16" t="s">
        <v>85</v>
      </c>
    </row>
    <row r="17" spans="1:17" hidden="1">
      <c r="A17" t="s">
        <v>76</v>
      </c>
      <c r="B17" t="s">
        <v>77</v>
      </c>
      <c r="C17" t="s">
        <v>78</v>
      </c>
      <c r="D17" t="s">
        <v>78</v>
      </c>
      <c r="E17" t="s">
        <v>105</v>
      </c>
      <c r="F17" t="s">
        <v>106</v>
      </c>
      <c r="G17" t="s">
        <v>90</v>
      </c>
      <c r="H17" t="s">
        <v>81</v>
      </c>
      <c r="L17">
        <v>16</v>
      </c>
      <c r="M17" t="s">
        <v>83</v>
      </c>
      <c r="O17" t="s">
        <v>83</v>
      </c>
      <c r="P17" t="s">
        <v>84</v>
      </c>
      <c r="Q17" t="s">
        <v>85</v>
      </c>
    </row>
    <row r="18" spans="1:17" hidden="1">
      <c r="A18" t="s">
        <v>76</v>
      </c>
      <c r="B18" t="s">
        <v>77</v>
      </c>
      <c r="C18" t="s">
        <v>78</v>
      </c>
      <c r="D18" t="s">
        <v>78</v>
      </c>
      <c r="E18" t="s">
        <v>107</v>
      </c>
      <c r="F18" t="s">
        <v>107</v>
      </c>
      <c r="G18" t="s">
        <v>98</v>
      </c>
      <c r="H18" t="s">
        <v>81</v>
      </c>
      <c r="L18">
        <v>17</v>
      </c>
      <c r="M18" t="s">
        <v>83</v>
      </c>
      <c r="O18" t="s">
        <v>83</v>
      </c>
      <c r="P18" t="s">
        <v>84</v>
      </c>
      <c r="Q18" t="s">
        <v>85</v>
      </c>
    </row>
    <row r="19" spans="1:17" hidden="1">
      <c r="A19" t="s">
        <v>76</v>
      </c>
      <c r="B19" t="s">
        <v>77</v>
      </c>
      <c r="C19" t="s">
        <v>78</v>
      </c>
      <c r="D19" t="s">
        <v>78</v>
      </c>
      <c r="E19" t="s">
        <v>108</v>
      </c>
      <c r="F19" t="s">
        <v>108</v>
      </c>
      <c r="G19" t="s">
        <v>88</v>
      </c>
      <c r="H19" t="s">
        <v>81</v>
      </c>
      <c r="L19">
        <v>18</v>
      </c>
      <c r="M19" t="s">
        <v>83</v>
      </c>
      <c r="O19" t="s">
        <v>83</v>
      </c>
      <c r="P19" t="s">
        <v>84</v>
      </c>
      <c r="Q19" t="s">
        <v>85</v>
      </c>
    </row>
    <row r="20" spans="1:17" hidden="1">
      <c r="A20" t="s">
        <v>76</v>
      </c>
      <c r="B20" t="s">
        <v>77</v>
      </c>
      <c r="C20" t="s">
        <v>78</v>
      </c>
      <c r="D20" t="s">
        <v>78</v>
      </c>
      <c r="E20" t="s">
        <v>109</v>
      </c>
      <c r="F20" t="s">
        <v>109</v>
      </c>
      <c r="G20" t="s">
        <v>98</v>
      </c>
      <c r="H20" t="s">
        <v>81</v>
      </c>
      <c r="L20">
        <v>19</v>
      </c>
      <c r="M20" t="s">
        <v>83</v>
      </c>
      <c r="O20" t="s">
        <v>83</v>
      </c>
      <c r="P20" t="s">
        <v>84</v>
      </c>
      <c r="Q20" t="s">
        <v>85</v>
      </c>
    </row>
    <row r="21" spans="1:17" hidden="1">
      <c r="A21" t="s">
        <v>76</v>
      </c>
      <c r="B21" t="s">
        <v>77</v>
      </c>
      <c r="C21" t="s">
        <v>78</v>
      </c>
      <c r="D21" t="s">
        <v>78</v>
      </c>
      <c r="E21" t="s">
        <v>110</v>
      </c>
      <c r="F21" t="s">
        <v>110</v>
      </c>
      <c r="G21" t="s">
        <v>88</v>
      </c>
      <c r="H21" t="s">
        <v>81</v>
      </c>
      <c r="L21">
        <v>20</v>
      </c>
      <c r="M21" t="s">
        <v>83</v>
      </c>
      <c r="O21" t="s">
        <v>83</v>
      </c>
      <c r="P21" t="s">
        <v>84</v>
      </c>
      <c r="Q21" t="s">
        <v>85</v>
      </c>
    </row>
    <row r="22" spans="1:17" hidden="1">
      <c r="A22" t="s">
        <v>76</v>
      </c>
      <c r="B22" t="s">
        <v>77</v>
      </c>
      <c r="C22" t="s">
        <v>78</v>
      </c>
      <c r="D22" t="s">
        <v>78</v>
      </c>
      <c r="E22" t="s">
        <v>111</v>
      </c>
      <c r="F22" t="s">
        <v>111</v>
      </c>
      <c r="G22" t="s">
        <v>98</v>
      </c>
      <c r="H22" t="s">
        <v>81</v>
      </c>
      <c r="L22">
        <v>21</v>
      </c>
      <c r="M22" t="s">
        <v>83</v>
      </c>
      <c r="O22" t="s">
        <v>83</v>
      </c>
      <c r="P22" t="s">
        <v>84</v>
      </c>
      <c r="Q22" t="s">
        <v>85</v>
      </c>
    </row>
    <row r="23" spans="1:17" hidden="1">
      <c r="A23" t="s">
        <v>76</v>
      </c>
      <c r="B23" t="s">
        <v>77</v>
      </c>
      <c r="C23" t="s">
        <v>78</v>
      </c>
      <c r="D23" t="s">
        <v>78</v>
      </c>
      <c r="E23" t="s">
        <v>112</v>
      </c>
      <c r="F23" t="s">
        <v>112</v>
      </c>
      <c r="G23" t="s">
        <v>113</v>
      </c>
      <c r="H23" t="s">
        <v>81</v>
      </c>
      <c r="I23" t="s">
        <v>114</v>
      </c>
      <c r="L23">
        <v>22</v>
      </c>
      <c r="M23" t="s">
        <v>83</v>
      </c>
      <c r="O23" t="s">
        <v>83</v>
      </c>
      <c r="P23" t="s">
        <v>84</v>
      </c>
      <c r="Q23" t="s">
        <v>85</v>
      </c>
    </row>
    <row r="24" spans="1:17" hidden="1">
      <c r="A24" t="s">
        <v>76</v>
      </c>
      <c r="B24" t="s">
        <v>77</v>
      </c>
      <c r="C24" t="s">
        <v>78</v>
      </c>
      <c r="D24" t="s">
        <v>78</v>
      </c>
      <c r="E24" t="s">
        <v>115</v>
      </c>
      <c r="F24" t="s">
        <v>115</v>
      </c>
      <c r="G24" t="s">
        <v>113</v>
      </c>
      <c r="H24" t="s">
        <v>81</v>
      </c>
      <c r="I24" t="s">
        <v>114</v>
      </c>
      <c r="L24">
        <v>23</v>
      </c>
      <c r="M24" t="s">
        <v>83</v>
      </c>
      <c r="O24" t="s">
        <v>83</v>
      </c>
      <c r="P24" t="s">
        <v>84</v>
      </c>
      <c r="Q24" t="s">
        <v>85</v>
      </c>
    </row>
    <row r="25" spans="1:17" hidden="1">
      <c r="A25" t="s">
        <v>76</v>
      </c>
      <c r="B25" t="s">
        <v>77</v>
      </c>
      <c r="C25" t="s">
        <v>78</v>
      </c>
      <c r="D25" t="s">
        <v>78</v>
      </c>
      <c r="E25" t="s">
        <v>116</v>
      </c>
      <c r="F25" t="s">
        <v>116</v>
      </c>
      <c r="G25" t="s">
        <v>90</v>
      </c>
      <c r="H25" t="s">
        <v>81</v>
      </c>
      <c r="L25">
        <v>30</v>
      </c>
      <c r="M25" t="s">
        <v>83</v>
      </c>
      <c r="O25" t="s">
        <v>83</v>
      </c>
      <c r="P25" t="s">
        <v>84</v>
      </c>
      <c r="Q25" t="s">
        <v>85</v>
      </c>
    </row>
    <row r="26" spans="1:17" hidden="1">
      <c r="A26" t="s">
        <v>76</v>
      </c>
      <c r="B26" t="s">
        <v>77</v>
      </c>
      <c r="C26" t="s">
        <v>78</v>
      </c>
      <c r="D26" t="s">
        <v>78</v>
      </c>
      <c r="E26" t="s">
        <v>117</v>
      </c>
      <c r="F26" t="s">
        <v>117</v>
      </c>
      <c r="G26" t="s">
        <v>90</v>
      </c>
      <c r="H26" t="s">
        <v>81</v>
      </c>
      <c r="L26">
        <v>31</v>
      </c>
      <c r="M26" t="s">
        <v>83</v>
      </c>
      <c r="O26" t="s">
        <v>83</v>
      </c>
      <c r="P26" t="s">
        <v>84</v>
      </c>
      <c r="Q26" t="s">
        <v>85</v>
      </c>
    </row>
    <row r="27" spans="1:17" hidden="1">
      <c r="A27" t="s">
        <v>76</v>
      </c>
      <c r="B27" t="s">
        <v>77</v>
      </c>
      <c r="C27" t="s">
        <v>78</v>
      </c>
      <c r="D27" t="s">
        <v>78</v>
      </c>
      <c r="E27" t="s">
        <v>118</v>
      </c>
      <c r="F27" t="s">
        <v>118</v>
      </c>
      <c r="G27" t="s">
        <v>92</v>
      </c>
      <c r="H27" t="s">
        <v>81</v>
      </c>
      <c r="L27">
        <v>32</v>
      </c>
      <c r="M27" t="s">
        <v>83</v>
      </c>
      <c r="O27" t="s">
        <v>83</v>
      </c>
      <c r="P27" t="s">
        <v>84</v>
      </c>
      <c r="Q27" t="s">
        <v>85</v>
      </c>
    </row>
    <row r="28" spans="1:17" hidden="1">
      <c r="A28" t="s">
        <v>76</v>
      </c>
      <c r="B28" t="s">
        <v>77</v>
      </c>
      <c r="C28" t="s">
        <v>119</v>
      </c>
      <c r="D28" t="s">
        <v>119</v>
      </c>
      <c r="E28" t="s">
        <v>79</v>
      </c>
      <c r="F28" t="s">
        <v>79</v>
      </c>
      <c r="G28" t="s">
        <v>80</v>
      </c>
      <c r="H28" t="s">
        <v>81</v>
      </c>
      <c r="I28" t="s">
        <v>82</v>
      </c>
      <c r="L28">
        <v>1</v>
      </c>
      <c r="M28" t="s">
        <v>83</v>
      </c>
      <c r="O28" t="s">
        <v>83</v>
      </c>
      <c r="P28" t="s">
        <v>84</v>
      </c>
      <c r="Q28" t="s">
        <v>85</v>
      </c>
    </row>
    <row r="29" spans="1:17" hidden="1">
      <c r="A29" t="s">
        <v>76</v>
      </c>
      <c r="B29" t="s">
        <v>77</v>
      </c>
      <c r="C29" t="s">
        <v>119</v>
      </c>
      <c r="D29" t="s">
        <v>119</v>
      </c>
      <c r="E29" t="s">
        <v>86</v>
      </c>
      <c r="F29" t="s">
        <v>86</v>
      </c>
      <c r="G29" t="s">
        <v>80</v>
      </c>
      <c r="H29" t="s">
        <v>81</v>
      </c>
      <c r="I29" t="s">
        <v>82</v>
      </c>
      <c r="L29">
        <v>2</v>
      </c>
      <c r="M29" t="s">
        <v>83</v>
      </c>
      <c r="O29" t="s">
        <v>83</v>
      </c>
      <c r="P29" t="s">
        <v>84</v>
      </c>
      <c r="Q29" t="s">
        <v>85</v>
      </c>
    </row>
    <row r="30" spans="1:17" hidden="1">
      <c r="A30" t="s">
        <v>76</v>
      </c>
      <c r="B30" t="s">
        <v>77</v>
      </c>
      <c r="C30" t="s">
        <v>119</v>
      </c>
      <c r="D30" t="s">
        <v>119</v>
      </c>
      <c r="E30" t="s">
        <v>87</v>
      </c>
      <c r="F30" t="s">
        <v>87</v>
      </c>
      <c r="G30" t="s">
        <v>88</v>
      </c>
      <c r="H30" t="s">
        <v>81</v>
      </c>
      <c r="J30" t="s">
        <v>83</v>
      </c>
      <c r="L30">
        <v>3</v>
      </c>
      <c r="M30" t="s">
        <v>83</v>
      </c>
      <c r="O30" t="s">
        <v>83</v>
      </c>
      <c r="P30" t="s">
        <v>84</v>
      </c>
      <c r="Q30" t="s">
        <v>85</v>
      </c>
    </row>
    <row r="31" spans="1:17" hidden="1">
      <c r="A31" t="s">
        <v>76</v>
      </c>
      <c r="B31" t="s">
        <v>77</v>
      </c>
      <c r="C31" t="s">
        <v>119</v>
      </c>
      <c r="D31" t="s">
        <v>119</v>
      </c>
      <c r="E31" t="s">
        <v>89</v>
      </c>
      <c r="F31" t="s">
        <v>89</v>
      </c>
      <c r="G31" t="s">
        <v>90</v>
      </c>
      <c r="H31" t="s">
        <v>81</v>
      </c>
      <c r="J31" t="s">
        <v>83</v>
      </c>
      <c r="K31" t="s">
        <v>83</v>
      </c>
      <c r="L31">
        <v>4</v>
      </c>
      <c r="M31" t="s">
        <v>83</v>
      </c>
      <c r="O31" t="s">
        <v>83</v>
      </c>
      <c r="P31" t="s">
        <v>84</v>
      </c>
      <c r="Q31" t="s">
        <v>85</v>
      </c>
    </row>
    <row r="32" spans="1:17" hidden="1">
      <c r="A32" t="s">
        <v>76</v>
      </c>
      <c r="B32" t="s">
        <v>77</v>
      </c>
      <c r="C32" t="s">
        <v>119</v>
      </c>
      <c r="D32" t="s">
        <v>119</v>
      </c>
      <c r="E32" t="s">
        <v>120</v>
      </c>
      <c r="F32" t="s">
        <v>120</v>
      </c>
      <c r="G32" t="s">
        <v>90</v>
      </c>
      <c r="H32" t="s">
        <v>81</v>
      </c>
      <c r="I32" t="s">
        <v>82</v>
      </c>
      <c r="L32">
        <v>5</v>
      </c>
      <c r="M32" t="s">
        <v>83</v>
      </c>
      <c r="O32" t="s">
        <v>83</v>
      </c>
      <c r="P32" t="s">
        <v>100</v>
      </c>
      <c r="Q32" t="s">
        <v>85</v>
      </c>
    </row>
    <row r="33" spans="1:17" hidden="1">
      <c r="A33" t="s">
        <v>76</v>
      </c>
      <c r="B33" t="s">
        <v>77</v>
      </c>
      <c r="C33" t="s">
        <v>119</v>
      </c>
      <c r="D33" t="s">
        <v>119</v>
      </c>
      <c r="E33" t="s">
        <v>120</v>
      </c>
      <c r="F33" t="s">
        <v>121</v>
      </c>
      <c r="G33" t="s">
        <v>90</v>
      </c>
      <c r="H33" t="s">
        <v>81</v>
      </c>
      <c r="L33">
        <v>6</v>
      </c>
      <c r="M33" t="s">
        <v>83</v>
      </c>
      <c r="O33" t="s">
        <v>83</v>
      </c>
      <c r="P33" t="s">
        <v>84</v>
      </c>
      <c r="Q33" t="s">
        <v>85</v>
      </c>
    </row>
    <row r="34" spans="1:17" hidden="1">
      <c r="A34" t="s">
        <v>76</v>
      </c>
      <c r="B34" t="s">
        <v>77</v>
      </c>
      <c r="C34" t="s">
        <v>119</v>
      </c>
      <c r="D34" t="s">
        <v>119</v>
      </c>
      <c r="E34" t="s">
        <v>91</v>
      </c>
      <c r="F34" t="s">
        <v>91</v>
      </c>
      <c r="G34" t="s">
        <v>92</v>
      </c>
      <c r="H34" t="s">
        <v>81</v>
      </c>
      <c r="J34" t="s">
        <v>83</v>
      </c>
      <c r="L34">
        <v>7</v>
      </c>
      <c r="M34" t="s">
        <v>83</v>
      </c>
      <c r="O34" t="s">
        <v>83</v>
      </c>
      <c r="P34" t="s">
        <v>84</v>
      </c>
      <c r="Q34" t="s">
        <v>85</v>
      </c>
    </row>
    <row r="35" spans="1:17" hidden="1">
      <c r="A35" t="s">
        <v>76</v>
      </c>
      <c r="B35" t="s">
        <v>77</v>
      </c>
      <c r="C35" t="s">
        <v>119</v>
      </c>
      <c r="D35" t="s">
        <v>119</v>
      </c>
      <c r="E35" t="s">
        <v>122</v>
      </c>
      <c r="F35" t="s">
        <v>122</v>
      </c>
      <c r="G35" t="s">
        <v>94</v>
      </c>
      <c r="H35" t="s">
        <v>81</v>
      </c>
      <c r="L35">
        <v>8</v>
      </c>
      <c r="M35" t="s">
        <v>83</v>
      </c>
      <c r="O35" t="s">
        <v>83</v>
      </c>
      <c r="P35" t="s">
        <v>84</v>
      </c>
      <c r="Q35" t="s">
        <v>85</v>
      </c>
    </row>
    <row r="36" spans="1:17" hidden="1">
      <c r="A36" t="s">
        <v>76</v>
      </c>
      <c r="B36" t="s">
        <v>77</v>
      </c>
      <c r="C36" t="s">
        <v>119</v>
      </c>
      <c r="D36" t="s">
        <v>119</v>
      </c>
      <c r="E36" t="s">
        <v>123</v>
      </c>
      <c r="F36" t="s">
        <v>123</v>
      </c>
      <c r="G36" t="s">
        <v>88</v>
      </c>
      <c r="H36" t="s">
        <v>81</v>
      </c>
      <c r="L36">
        <v>9</v>
      </c>
      <c r="M36" t="s">
        <v>83</v>
      </c>
      <c r="O36" t="s">
        <v>83</v>
      </c>
      <c r="P36" t="s">
        <v>84</v>
      </c>
      <c r="Q36" t="s">
        <v>85</v>
      </c>
    </row>
    <row r="37" spans="1:17" hidden="1">
      <c r="A37" t="s">
        <v>76</v>
      </c>
      <c r="B37" t="s">
        <v>77</v>
      </c>
      <c r="C37" t="s">
        <v>119</v>
      </c>
      <c r="D37" t="s">
        <v>119</v>
      </c>
      <c r="E37" t="s">
        <v>124</v>
      </c>
      <c r="F37" t="s">
        <v>124</v>
      </c>
      <c r="G37" t="s">
        <v>94</v>
      </c>
      <c r="H37" t="s">
        <v>81</v>
      </c>
      <c r="L37">
        <v>10</v>
      </c>
      <c r="M37" t="s">
        <v>83</v>
      </c>
      <c r="O37" t="s">
        <v>83</v>
      </c>
      <c r="P37" t="s">
        <v>84</v>
      </c>
      <c r="Q37" t="s">
        <v>85</v>
      </c>
    </row>
    <row r="38" spans="1:17" hidden="1">
      <c r="A38" t="s">
        <v>76</v>
      </c>
      <c r="B38" t="s">
        <v>77</v>
      </c>
      <c r="C38" t="s">
        <v>119</v>
      </c>
      <c r="D38" t="s">
        <v>119</v>
      </c>
      <c r="E38" t="s">
        <v>125</v>
      </c>
      <c r="F38" t="s">
        <v>125</v>
      </c>
      <c r="G38" t="s">
        <v>126</v>
      </c>
      <c r="H38" t="s">
        <v>81</v>
      </c>
      <c r="L38">
        <v>11</v>
      </c>
      <c r="M38" t="s">
        <v>83</v>
      </c>
      <c r="O38" t="s">
        <v>83</v>
      </c>
      <c r="P38" t="s">
        <v>84</v>
      </c>
      <c r="Q38" t="s">
        <v>85</v>
      </c>
    </row>
    <row r="39" spans="1:17" hidden="1">
      <c r="A39" t="s">
        <v>76</v>
      </c>
      <c r="B39" t="s">
        <v>77</v>
      </c>
      <c r="C39" t="s">
        <v>119</v>
      </c>
      <c r="D39" t="s">
        <v>119</v>
      </c>
      <c r="E39" t="s">
        <v>127</v>
      </c>
      <c r="F39" t="s">
        <v>127</v>
      </c>
      <c r="G39" t="s">
        <v>98</v>
      </c>
      <c r="H39" t="s">
        <v>81</v>
      </c>
      <c r="L39">
        <v>12</v>
      </c>
      <c r="M39" t="s">
        <v>83</v>
      </c>
      <c r="O39" t="s">
        <v>83</v>
      </c>
      <c r="P39" t="s">
        <v>84</v>
      </c>
      <c r="Q39" t="s">
        <v>85</v>
      </c>
    </row>
    <row r="40" spans="1:17" hidden="1">
      <c r="A40" t="s">
        <v>76</v>
      </c>
      <c r="B40" t="s">
        <v>77</v>
      </c>
      <c r="C40" t="s">
        <v>119</v>
      </c>
      <c r="D40" t="s">
        <v>119</v>
      </c>
      <c r="E40" t="s">
        <v>112</v>
      </c>
      <c r="F40" t="s">
        <v>112</v>
      </c>
      <c r="G40" t="s">
        <v>113</v>
      </c>
      <c r="H40" t="s">
        <v>81</v>
      </c>
      <c r="I40" t="s">
        <v>114</v>
      </c>
      <c r="L40">
        <v>13</v>
      </c>
      <c r="M40" t="s">
        <v>83</v>
      </c>
      <c r="O40" t="s">
        <v>83</v>
      </c>
      <c r="P40" t="s">
        <v>84</v>
      </c>
      <c r="Q40" t="s">
        <v>85</v>
      </c>
    </row>
    <row r="41" spans="1:17" hidden="1">
      <c r="A41" t="s">
        <v>76</v>
      </c>
      <c r="B41" t="s">
        <v>77</v>
      </c>
      <c r="C41" t="s">
        <v>119</v>
      </c>
      <c r="D41" t="s">
        <v>119</v>
      </c>
      <c r="E41" t="s">
        <v>115</v>
      </c>
      <c r="F41" t="s">
        <v>115</v>
      </c>
      <c r="G41" t="s">
        <v>113</v>
      </c>
      <c r="H41" t="s">
        <v>81</v>
      </c>
      <c r="I41" t="s">
        <v>114</v>
      </c>
      <c r="L41">
        <v>14</v>
      </c>
      <c r="M41" t="s">
        <v>83</v>
      </c>
      <c r="O41" t="s">
        <v>83</v>
      </c>
      <c r="P41" t="s">
        <v>84</v>
      </c>
      <c r="Q41" t="s">
        <v>85</v>
      </c>
    </row>
    <row r="42" spans="1:17" hidden="1">
      <c r="A42" t="s">
        <v>76</v>
      </c>
      <c r="B42" t="s">
        <v>77</v>
      </c>
      <c r="C42" t="s">
        <v>119</v>
      </c>
      <c r="D42" t="s">
        <v>119</v>
      </c>
      <c r="E42" t="s">
        <v>117</v>
      </c>
      <c r="F42" t="s">
        <v>117</v>
      </c>
      <c r="G42" t="s">
        <v>90</v>
      </c>
      <c r="H42" t="s">
        <v>81</v>
      </c>
      <c r="L42">
        <v>21</v>
      </c>
      <c r="M42" t="s">
        <v>83</v>
      </c>
      <c r="O42" t="s">
        <v>83</v>
      </c>
      <c r="P42" t="s">
        <v>84</v>
      </c>
      <c r="Q42" t="s">
        <v>85</v>
      </c>
    </row>
    <row r="43" spans="1:17" hidden="1">
      <c r="A43" t="s">
        <v>76</v>
      </c>
      <c r="B43" t="s">
        <v>77</v>
      </c>
      <c r="C43" t="s">
        <v>119</v>
      </c>
      <c r="D43" t="s">
        <v>119</v>
      </c>
      <c r="E43" t="s">
        <v>118</v>
      </c>
      <c r="F43" t="s">
        <v>118</v>
      </c>
      <c r="G43" t="s">
        <v>92</v>
      </c>
      <c r="H43" t="s">
        <v>81</v>
      </c>
      <c r="L43">
        <v>22</v>
      </c>
      <c r="M43" t="s">
        <v>83</v>
      </c>
      <c r="O43" t="s">
        <v>83</v>
      </c>
      <c r="P43" t="s">
        <v>84</v>
      </c>
      <c r="Q43" t="s">
        <v>85</v>
      </c>
    </row>
    <row r="44" spans="1:17" hidden="1">
      <c r="A44" t="s">
        <v>76</v>
      </c>
      <c r="B44" t="s">
        <v>77</v>
      </c>
      <c r="C44" t="s">
        <v>128</v>
      </c>
      <c r="D44" t="s">
        <v>128</v>
      </c>
      <c r="E44" t="s">
        <v>79</v>
      </c>
      <c r="F44" t="s">
        <v>79</v>
      </c>
      <c r="G44" t="s">
        <v>80</v>
      </c>
      <c r="H44" t="s">
        <v>81</v>
      </c>
      <c r="I44" t="s">
        <v>82</v>
      </c>
      <c r="L44">
        <v>1</v>
      </c>
      <c r="M44" t="s">
        <v>83</v>
      </c>
      <c r="O44" t="s">
        <v>83</v>
      </c>
      <c r="P44" t="s">
        <v>84</v>
      </c>
      <c r="Q44" t="s">
        <v>85</v>
      </c>
    </row>
    <row r="45" spans="1:17" hidden="1">
      <c r="A45" t="s">
        <v>76</v>
      </c>
      <c r="B45" t="s">
        <v>77</v>
      </c>
      <c r="C45" t="s">
        <v>128</v>
      </c>
      <c r="D45" t="s">
        <v>128</v>
      </c>
      <c r="E45" t="s">
        <v>86</v>
      </c>
      <c r="F45" t="s">
        <v>86</v>
      </c>
      <c r="G45" t="s">
        <v>80</v>
      </c>
      <c r="H45" t="s">
        <v>81</v>
      </c>
      <c r="I45" t="s">
        <v>82</v>
      </c>
      <c r="L45">
        <v>2</v>
      </c>
      <c r="M45" t="s">
        <v>83</v>
      </c>
      <c r="O45" t="s">
        <v>83</v>
      </c>
      <c r="P45" t="s">
        <v>84</v>
      </c>
      <c r="Q45" t="s">
        <v>85</v>
      </c>
    </row>
    <row r="46" spans="1:17" hidden="1">
      <c r="A46" t="s">
        <v>76</v>
      </c>
      <c r="B46" t="s">
        <v>77</v>
      </c>
      <c r="C46" t="s">
        <v>128</v>
      </c>
      <c r="D46" t="s">
        <v>128</v>
      </c>
      <c r="E46" t="s">
        <v>87</v>
      </c>
      <c r="F46" t="s">
        <v>87</v>
      </c>
      <c r="G46" t="s">
        <v>88</v>
      </c>
      <c r="H46" t="s">
        <v>81</v>
      </c>
      <c r="J46" t="s">
        <v>83</v>
      </c>
      <c r="L46">
        <v>3</v>
      </c>
      <c r="M46" t="s">
        <v>83</v>
      </c>
      <c r="O46" t="s">
        <v>83</v>
      </c>
      <c r="P46" t="s">
        <v>84</v>
      </c>
      <c r="Q46" t="s">
        <v>85</v>
      </c>
    </row>
    <row r="47" spans="1:17" hidden="1">
      <c r="A47" t="s">
        <v>76</v>
      </c>
      <c r="B47" t="s">
        <v>77</v>
      </c>
      <c r="C47" t="s">
        <v>128</v>
      </c>
      <c r="D47" t="s">
        <v>128</v>
      </c>
      <c r="E47" t="s">
        <v>89</v>
      </c>
      <c r="F47" t="s">
        <v>89</v>
      </c>
      <c r="G47" t="s">
        <v>90</v>
      </c>
      <c r="H47" t="s">
        <v>81</v>
      </c>
      <c r="J47" t="s">
        <v>83</v>
      </c>
      <c r="K47" t="s">
        <v>83</v>
      </c>
      <c r="L47">
        <v>4</v>
      </c>
      <c r="M47" t="s">
        <v>83</v>
      </c>
      <c r="O47" t="s">
        <v>83</v>
      </c>
      <c r="P47" t="s">
        <v>84</v>
      </c>
      <c r="Q47" t="s">
        <v>85</v>
      </c>
    </row>
    <row r="48" spans="1:17" hidden="1">
      <c r="A48" t="s">
        <v>76</v>
      </c>
      <c r="B48" t="s">
        <v>77</v>
      </c>
      <c r="C48" t="s">
        <v>128</v>
      </c>
      <c r="D48" t="s">
        <v>128</v>
      </c>
      <c r="E48" t="s">
        <v>129</v>
      </c>
      <c r="F48" t="s">
        <v>129</v>
      </c>
      <c r="G48" t="s">
        <v>90</v>
      </c>
      <c r="H48" t="s">
        <v>81</v>
      </c>
      <c r="I48" t="s">
        <v>82</v>
      </c>
      <c r="L48">
        <v>5</v>
      </c>
      <c r="M48" t="s">
        <v>83</v>
      </c>
      <c r="O48" t="s">
        <v>83</v>
      </c>
      <c r="P48" t="s">
        <v>100</v>
      </c>
      <c r="Q48" t="s">
        <v>85</v>
      </c>
    </row>
    <row r="49" spans="1:17" hidden="1">
      <c r="A49" t="s">
        <v>76</v>
      </c>
      <c r="B49" t="s">
        <v>77</v>
      </c>
      <c r="C49" t="s">
        <v>128</v>
      </c>
      <c r="D49" t="s">
        <v>128</v>
      </c>
      <c r="E49" t="s">
        <v>129</v>
      </c>
      <c r="F49" t="s">
        <v>130</v>
      </c>
      <c r="G49" t="s">
        <v>90</v>
      </c>
      <c r="H49" t="s">
        <v>81</v>
      </c>
      <c r="L49">
        <v>6</v>
      </c>
      <c r="M49" t="s">
        <v>83</v>
      </c>
      <c r="O49" t="s">
        <v>83</v>
      </c>
      <c r="P49" t="s">
        <v>84</v>
      </c>
      <c r="Q49" t="s">
        <v>85</v>
      </c>
    </row>
    <row r="50" spans="1:17" hidden="1">
      <c r="A50" t="s">
        <v>76</v>
      </c>
      <c r="B50" t="s">
        <v>77</v>
      </c>
      <c r="C50" t="s">
        <v>128</v>
      </c>
      <c r="D50" t="s">
        <v>128</v>
      </c>
      <c r="E50" t="s">
        <v>91</v>
      </c>
      <c r="F50" t="s">
        <v>91</v>
      </c>
      <c r="G50" t="s">
        <v>92</v>
      </c>
      <c r="H50" t="s">
        <v>81</v>
      </c>
      <c r="J50" t="s">
        <v>83</v>
      </c>
      <c r="L50">
        <v>7</v>
      </c>
      <c r="M50" t="s">
        <v>83</v>
      </c>
      <c r="O50" t="s">
        <v>83</v>
      </c>
      <c r="P50" t="s">
        <v>84</v>
      </c>
      <c r="Q50" t="s">
        <v>85</v>
      </c>
    </row>
    <row r="51" spans="1:17" hidden="1">
      <c r="A51" t="s">
        <v>76</v>
      </c>
      <c r="B51" t="s">
        <v>77</v>
      </c>
      <c r="C51" t="s">
        <v>128</v>
      </c>
      <c r="D51" t="s">
        <v>128</v>
      </c>
      <c r="E51" t="s">
        <v>131</v>
      </c>
      <c r="F51" t="s">
        <v>131</v>
      </c>
      <c r="G51" t="s">
        <v>94</v>
      </c>
      <c r="H51" t="s">
        <v>81</v>
      </c>
      <c r="L51">
        <v>8</v>
      </c>
      <c r="M51" t="s">
        <v>83</v>
      </c>
      <c r="O51" t="s">
        <v>83</v>
      </c>
      <c r="P51" t="s">
        <v>84</v>
      </c>
      <c r="Q51" t="s">
        <v>85</v>
      </c>
    </row>
    <row r="52" spans="1:17" hidden="1">
      <c r="A52" t="s">
        <v>76</v>
      </c>
      <c r="B52" t="s">
        <v>77</v>
      </c>
      <c r="C52" t="s">
        <v>128</v>
      </c>
      <c r="D52" t="s">
        <v>128</v>
      </c>
      <c r="E52" t="s">
        <v>132</v>
      </c>
      <c r="F52" t="s">
        <v>132</v>
      </c>
      <c r="G52" t="s">
        <v>88</v>
      </c>
      <c r="H52" t="s">
        <v>81</v>
      </c>
      <c r="L52">
        <v>9</v>
      </c>
      <c r="M52" t="s">
        <v>83</v>
      </c>
      <c r="O52" t="s">
        <v>83</v>
      </c>
      <c r="P52" t="s">
        <v>84</v>
      </c>
      <c r="Q52" t="s">
        <v>85</v>
      </c>
    </row>
    <row r="53" spans="1:17" hidden="1">
      <c r="A53" t="s">
        <v>76</v>
      </c>
      <c r="B53" t="s">
        <v>77</v>
      </c>
      <c r="C53" t="s">
        <v>128</v>
      </c>
      <c r="D53" t="s">
        <v>128</v>
      </c>
      <c r="E53" t="s">
        <v>133</v>
      </c>
      <c r="F53" t="s">
        <v>133</v>
      </c>
      <c r="G53" t="s">
        <v>94</v>
      </c>
      <c r="H53" t="s">
        <v>81</v>
      </c>
      <c r="L53">
        <v>10</v>
      </c>
      <c r="M53" t="s">
        <v>83</v>
      </c>
      <c r="O53" t="s">
        <v>83</v>
      </c>
      <c r="P53" t="s">
        <v>84</v>
      </c>
      <c r="Q53" t="s">
        <v>85</v>
      </c>
    </row>
    <row r="54" spans="1:17" hidden="1">
      <c r="A54" t="s">
        <v>76</v>
      </c>
      <c r="B54" t="s">
        <v>77</v>
      </c>
      <c r="C54" t="s">
        <v>128</v>
      </c>
      <c r="D54" t="s">
        <v>128</v>
      </c>
      <c r="E54" t="s">
        <v>134</v>
      </c>
      <c r="F54" t="s">
        <v>134</v>
      </c>
      <c r="G54" t="s">
        <v>88</v>
      </c>
      <c r="H54" t="s">
        <v>81</v>
      </c>
      <c r="L54">
        <v>11</v>
      </c>
      <c r="M54" t="s">
        <v>83</v>
      </c>
      <c r="O54" t="s">
        <v>83</v>
      </c>
      <c r="P54" t="s">
        <v>84</v>
      </c>
      <c r="Q54" t="s">
        <v>85</v>
      </c>
    </row>
    <row r="55" spans="1:17" hidden="1">
      <c r="A55" t="s">
        <v>76</v>
      </c>
      <c r="B55" t="s">
        <v>77</v>
      </c>
      <c r="C55" t="s">
        <v>128</v>
      </c>
      <c r="D55" t="s">
        <v>128</v>
      </c>
      <c r="E55" t="s">
        <v>117</v>
      </c>
      <c r="F55" t="s">
        <v>117</v>
      </c>
      <c r="G55" t="s">
        <v>90</v>
      </c>
      <c r="H55" t="s">
        <v>81</v>
      </c>
      <c r="L55">
        <v>12</v>
      </c>
      <c r="M55" t="s">
        <v>83</v>
      </c>
      <c r="O55" t="s">
        <v>83</v>
      </c>
      <c r="P55" t="s">
        <v>84</v>
      </c>
      <c r="Q55" t="s">
        <v>85</v>
      </c>
    </row>
    <row r="56" spans="1:17" hidden="1">
      <c r="A56" t="s">
        <v>76</v>
      </c>
      <c r="B56" t="s">
        <v>77</v>
      </c>
      <c r="C56" t="s">
        <v>128</v>
      </c>
      <c r="D56" t="s">
        <v>128</v>
      </c>
      <c r="E56" t="s">
        <v>112</v>
      </c>
      <c r="F56" t="s">
        <v>112</v>
      </c>
      <c r="G56" t="s">
        <v>113</v>
      </c>
      <c r="H56" t="s">
        <v>81</v>
      </c>
      <c r="I56" t="s">
        <v>114</v>
      </c>
      <c r="L56">
        <v>13</v>
      </c>
      <c r="M56" t="s">
        <v>83</v>
      </c>
      <c r="O56" t="s">
        <v>83</v>
      </c>
      <c r="P56" t="s">
        <v>84</v>
      </c>
      <c r="Q56" t="s">
        <v>85</v>
      </c>
    </row>
    <row r="57" spans="1:17" hidden="1">
      <c r="A57" t="s">
        <v>76</v>
      </c>
      <c r="B57" t="s">
        <v>77</v>
      </c>
      <c r="C57" t="s">
        <v>128</v>
      </c>
      <c r="D57" t="s">
        <v>128</v>
      </c>
      <c r="E57" t="s">
        <v>115</v>
      </c>
      <c r="F57" t="s">
        <v>115</v>
      </c>
      <c r="G57" t="s">
        <v>113</v>
      </c>
      <c r="H57" t="s">
        <v>81</v>
      </c>
      <c r="I57" t="s">
        <v>114</v>
      </c>
      <c r="L57">
        <v>14</v>
      </c>
      <c r="M57" t="s">
        <v>83</v>
      </c>
      <c r="O57" t="s">
        <v>83</v>
      </c>
      <c r="P57" t="s">
        <v>84</v>
      </c>
      <c r="Q57" t="s">
        <v>85</v>
      </c>
    </row>
    <row r="58" spans="1:17" hidden="1">
      <c r="A58" t="s">
        <v>76</v>
      </c>
      <c r="B58" t="s">
        <v>77</v>
      </c>
      <c r="C58" t="s">
        <v>128</v>
      </c>
      <c r="D58" t="s">
        <v>128</v>
      </c>
      <c r="E58" t="s">
        <v>118</v>
      </c>
      <c r="F58" t="s">
        <v>118</v>
      </c>
      <c r="G58" t="s">
        <v>92</v>
      </c>
      <c r="H58" t="s">
        <v>81</v>
      </c>
      <c r="L58">
        <v>21</v>
      </c>
      <c r="M58" t="s">
        <v>83</v>
      </c>
      <c r="O58" t="s">
        <v>83</v>
      </c>
      <c r="P58" t="s">
        <v>84</v>
      </c>
      <c r="Q58" t="s">
        <v>85</v>
      </c>
    </row>
    <row r="59" spans="1:17">
      <c r="A59" t="s">
        <v>76</v>
      </c>
      <c r="B59" t="s">
        <v>77</v>
      </c>
      <c r="C59" t="s">
        <v>135</v>
      </c>
      <c r="D59" t="s">
        <v>135</v>
      </c>
      <c r="E59" t="s">
        <v>79</v>
      </c>
      <c r="F59" t="s">
        <v>79</v>
      </c>
      <c r="G59" t="s">
        <v>80</v>
      </c>
      <c r="H59" t="s">
        <v>81</v>
      </c>
      <c r="I59" t="s">
        <v>82</v>
      </c>
      <c r="L59">
        <v>1</v>
      </c>
      <c r="M59" t="s">
        <v>83</v>
      </c>
      <c r="O59" t="s">
        <v>83</v>
      </c>
      <c r="P59" t="s">
        <v>84</v>
      </c>
      <c r="Q59" t="s">
        <v>85</v>
      </c>
    </row>
    <row r="60" spans="1:17">
      <c r="A60" t="s">
        <v>76</v>
      </c>
      <c r="B60" t="s">
        <v>77</v>
      </c>
      <c r="C60" t="s">
        <v>135</v>
      </c>
      <c r="D60" t="s">
        <v>135</v>
      </c>
      <c r="E60" t="s">
        <v>86</v>
      </c>
      <c r="F60" t="s">
        <v>86</v>
      </c>
      <c r="G60" t="s">
        <v>80</v>
      </c>
      <c r="H60" t="s">
        <v>81</v>
      </c>
      <c r="I60" t="s">
        <v>82</v>
      </c>
      <c r="L60">
        <v>2</v>
      </c>
      <c r="M60" t="s">
        <v>83</v>
      </c>
      <c r="O60" t="s">
        <v>83</v>
      </c>
      <c r="P60" t="s">
        <v>84</v>
      </c>
      <c r="Q60" t="s">
        <v>85</v>
      </c>
    </row>
    <row r="61" spans="1:17">
      <c r="A61" t="s">
        <v>76</v>
      </c>
      <c r="B61" t="s">
        <v>77</v>
      </c>
      <c r="C61" t="s">
        <v>135</v>
      </c>
      <c r="D61" t="s">
        <v>135</v>
      </c>
      <c r="E61" t="s">
        <v>87</v>
      </c>
      <c r="F61" t="s">
        <v>87</v>
      </c>
      <c r="G61" t="s">
        <v>88</v>
      </c>
      <c r="H61" t="s">
        <v>81</v>
      </c>
      <c r="J61" t="s">
        <v>83</v>
      </c>
      <c r="L61">
        <v>3</v>
      </c>
      <c r="M61" t="s">
        <v>83</v>
      </c>
      <c r="O61" t="s">
        <v>83</v>
      </c>
      <c r="P61" t="s">
        <v>84</v>
      </c>
      <c r="Q61" t="s">
        <v>85</v>
      </c>
    </row>
    <row r="62" spans="1:17">
      <c r="A62" t="s">
        <v>76</v>
      </c>
      <c r="B62" t="s">
        <v>77</v>
      </c>
      <c r="C62" t="s">
        <v>135</v>
      </c>
      <c r="D62" t="s">
        <v>135</v>
      </c>
      <c r="E62" t="s">
        <v>89</v>
      </c>
      <c r="F62" t="s">
        <v>89</v>
      </c>
      <c r="G62" t="s">
        <v>90</v>
      </c>
      <c r="H62" t="s">
        <v>81</v>
      </c>
      <c r="J62" t="s">
        <v>83</v>
      </c>
      <c r="K62" t="s">
        <v>83</v>
      </c>
      <c r="L62">
        <v>4</v>
      </c>
      <c r="M62" t="s">
        <v>83</v>
      </c>
      <c r="O62" t="s">
        <v>83</v>
      </c>
      <c r="P62" t="s">
        <v>84</v>
      </c>
      <c r="Q62" t="s">
        <v>85</v>
      </c>
    </row>
    <row r="63" spans="1:17">
      <c r="A63" t="s">
        <v>76</v>
      </c>
      <c r="B63" t="s">
        <v>77</v>
      </c>
      <c r="C63" t="s">
        <v>135</v>
      </c>
      <c r="D63" t="s">
        <v>135</v>
      </c>
      <c r="E63" t="s">
        <v>136</v>
      </c>
      <c r="F63" t="s">
        <v>136</v>
      </c>
      <c r="G63" t="s">
        <v>90</v>
      </c>
      <c r="H63" t="s">
        <v>81</v>
      </c>
      <c r="I63" t="s">
        <v>82</v>
      </c>
      <c r="L63">
        <v>5</v>
      </c>
      <c r="M63" t="s">
        <v>83</v>
      </c>
      <c r="O63" t="s">
        <v>83</v>
      </c>
      <c r="P63" t="s">
        <v>100</v>
      </c>
      <c r="Q63" t="s">
        <v>85</v>
      </c>
    </row>
    <row r="64" spans="1:17">
      <c r="A64" t="s">
        <v>76</v>
      </c>
      <c r="B64" t="s">
        <v>77</v>
      </c>
      <c r="C64" t="s">
        <v>135</v>
      </c>
      <c r="D64" t="s">
        <v>135</v>
      </c>
      <c r="E64" t="s">
        <v>136</v>
      </c>
      <c r="F64" t="s">
        <v>137</v>
      </c>
      <c r="G64" t="s">
        <v>90</v>
      </c>
      <c r="H64" t="s">
        <v>81</v>
      </c>
      <c r="L64">
        <v>6</v>
      </c>
      <c r="M64" t="s">
        <v>83</v>
      </c>
      <c r="O64" t="s">
        <v>83</v>
      </c>
      <c r="P64" t="s">
        <v>84</v>
      </c>
      <c r="Q64" t="s">
        <v>85</v>
      </c>
    </row>
    <row r="65" spans="1:17">
      <c r="A65" t="s">
        <v>76</v>
      </c>
      <c r="B65" t="s">
        <v>77</v>
      </c>
      <c r="C65" t="s">
        <v>135</v>
      </c>
      <c r="D65" t="s">
        <v>135</v>
      </c>
      <c r="E65" t="s">
        <v>138</v>
      </c>
      <c r="F65" t="s">
        <v>138</v>
      </c>
      <c r="G65" t="s">
        <v>139</v>
      </c>
      <c r="H65" t="s">
        <v>81</v>
      </c>
      <c r="L65">
        <v>7</v>
      </c>
      <c r="M65" t="s">
        <v>83</v>
      </c>
      <c r="O65" t="s">
        <v>83</v>
      </c>
      <c r="P65" t="s">
        <v>84</v>
      </c>
      <c r="Q65" t="s">
        <v>85</v>
      </c>
    </row>
    <row r="66" spans="1:17">
      <c r="A66" t="s">
        <v>76</v>
      </c>
      <c r="B66" t="s">
        <v>77</v>
      </c>
      <c r="C66" t="s">
        <v>135</v>
      </c>
      <c r="D66" t="s">
        <v>135</v>
      </c>
      <c r="E66" t="s">
        <v>91</v>
      </c>
      <c r="F66" t="s">
        <v>91</v>
      </c>
      <c r="G66" t="s">
        <v>92</v>
      </c>
      <c r="H66" t="s">
        <v>81</v>
      </c>
      <c r="J66" t="s">
        <v>83</v>
      </c>
      <c r="L66">
        <v>8</v>
      </c>
      <c r="M66" t="s">
        <v>83</v>
      </c>
      <c r="O66" t="s">
        <v>83</v>
      </c>
      <c r="P66" t="s">
        <v>84</v>
      </c>
      <c r="Q66" t="s">
        <v>85</v>
      </c>
    </row>
    <row r="67" spans="1:17">
      <c r="A67" t="s">
        <v>76</v>
      </c>
      <c r="B67" t="s">
        <v>77</v>
      </c>
      <c r="C67" t="s">
        <v>135</v>
      </c>
      <c r="D67" t="s">
        <v>135</v>
      </c>
      <c r="E67" t="s">
        <v>140</v>
      </c>
      <c r="F67" t="s">
        <v>140</v>
      </c>
      <c r="G67" t="s">
        <v>94</v>
      </c>
      <c r="H67" t="s">
        <v>81</v>
      </c>
      <c r="L67">
        <v>9</v>
      </c>
      <c r="M67" t="s">
        <v>83</v>
      </c>
      <c r="O67" t="s">
        <v>83</v>
      </c>
      <c r="P67" t="s">
        <v>84</v>
      </c>
      <c r="Q67" t="s">
        <v>85</v>
      </c>
    </row>
    <row r="68" spans="1:17">
      <c r="A68" t="s">
        <v>76</v>
      </c>
      <c r="B68" t="s">
        <v>77</v>
      </c>
      <c r="C68" t="s">
        <v>135</v>
      </c>
      <c r="D68" t="s">
        <v>135</v>
      </c>
      <c r="E68" t="s">
        <v>141</v>
      </c>
      <c r="F68" t="s">
        <v>141</v>
      </c>
      <c r="G68" t="s">
        <v>88</v>
      </c>
      <c r="H68" t="s">
        <v>81</v>
      </c>
      <c r="L68">
        <v>10</v>
      </c>
      <c r="M68" t="s">
        <v>83</v>
      </c>
      <c r="O68" t="s">
        <v>83</v>
      </c>
      <c r="P68" t="s">
        <v>84</v>
      </c>
      <c r="Q68" t="s">
        <v>85</v>
      </c>
    </row>
    <row r="69" spans="1:17">
      <c r="A69" t="s">
        <v>76</v>
      </c>
      <c r="B69" t="s">
        <v>77</v>
      </c>
      <c r="C69" t="s">
        <v>135</v>
      </c>
      <c r="D69" t="s">
        <v>135</v>
      </c>
      <c r="E69" t="s">
        <v>142</v>
      </c>
      <c r="F69" t="s">
        <v>142</v>
      </c>
      <c r="G69" t="s">
        <v>94</v>
      </c>
      <c r="H69" t="s">
        <v>81</v>
      </c>
      <c r="L69">
        <v>11</v>
      </c>
      <c r="M69" t="s">
        <v>83</v>
      </c>
      <c r="O69" t="s">
        <v>83</v>
      </c>
      <c r="P69" t="s">
        <v>84</v>
      </c>
      <c r="Q69" t="s">
        <v>85</v>
      </c>
    </row>
    <row r="70" spans="1:17">
      <c r="A70" t="s">
        <v>76</v>
      </c>
      <c r="B70" t="s">
        <v>77</v>
      </c>
      <c r="C70" t="s">
        <v>135</v>
      </c>
      <c r="D70" t="s">
        <v>135</v>
      </c>
      <c r="E70" t="s">
        <v>143</v>
      </c>
      <c r="F70" t="s">
        <v>143</v>
      </c>
      <c r="G70" t="s">
        <v>98</v>
      </c>
      <c r="H70" t="s">
        <v>81</v>
      </c>
      <c r="L70">
        <v>12</v>
      </c>
      <c r="M70" t="s">
        <v>83</v>
      </c>
      <c r="O70" t="s">
        <v>83</v>
      </c>
      <c r="P70" t="s">
        <v>84</v>
      </c>
      <c r="Q70" t="s">
        <v>85</v>
      </c>
    </row>
    <row r="71" spans="1:17">
      <c r="A71" t="s">
        <v>76</v>
      </c>
      <c r="B71" t="s">
        <v>77</v>
      </c>
      <c r="C71" t="s">
        <v>135</v>
      </c>
      <c r="D71" t="s">
        <v>135</v>
      </c>
      <c r="E71" t="s">
        <v>144</v>
      </c>
      <c r="F71" t="s">
        <v>144</v>
      </c>
      <c r="G71" t="s">
        <v>88</v>
      </c>
      <c r="H71" t="s">
        <v>81</v>
      </c>
      <c r="L71">
        <v>13</v>
      </c>
      <c r="M71" t="s">
        <v>83</v>
      </c>
      <c r="O71" t="s">
        <v>83</v>
      </c>
      <c r="P71" t="s">
        <v>84</v>
      </c>
      <c r="Q71" t="s">
        <v>85</v>
      </c>
    </row>
    <row r="72" spans="1:17">
      <c r="A72" t="s">
        <v>76</v>
      </c>
      <c r="B72" t="s">
        <v>77</v>
      </c>
      <c r="C72" t="s">
        <v>135</v>
      </c>
      <c r="D72" t="s">
        <v>135</v>
      </c>
      <c r="E72" t="s">
        <v>145</v>
      </c>
      <c r="F72" t="s">
        <v>145</v>
      </c>
      <c r="G72" t="s">
        <v>90</v>
      </c>
      <c r="H72" t="s">
        <v>81</v>
      </c>
      <c r="I72" t="s">
        <v>82</v>
      </c>
      <c r="L72">
        <v>14</v>
      </c>
      <c r="M72" t="s">
        <v>83</v>
      </c>
      <c r="O72" t="s">
        <v>83</v>
      </c>
      <c r="P72" t="s">
        <v>100</v>
      </c>
      <c r="Q72" t="s">
        <v>85</v>
      </c>
    </row>
    <row r="73" spans="1:17">
      <c r="A73" t="s">
        <v>76</v>
      </c>
      <c r="B73" t="s">
        <v>77</v>
      </c>
      <c r="C73" t="s">
        <v>135</v>
      </c>
      <c r="D73" t="s">
        <v>135</v>
      </c>
      <c r="E73" t="s">
        <v>145</v>
      </c>
      <c r="F73" t="s">
        <v>146</v>
      </c>
      <c r="G73" t="s">
        <v>90</v>
      </c>
      <c r="H73" t="s">
        <v>81</v>
      </c>
      <c r="L73">
        <v>15</v>
      </c>
      <c r="M73" t="s">
        <v>83</v>
      </c>
      <c r="O73" t="s">
        <v>83</v>
      </c>
      <c r="P73" t="s">
        <v>84</v>
      </c>
      <c r="Q73" t="s">
        <v>85</v>
      </c>
    </row>
    <row r="74" spans="1:17">
      <c r="A74" t="s">
        <v>76</v>
      </c>
      <c r="B74" t="s">
        <v>77</v>
      </c>
      <c r="C74" t="s">
        <v>135</v>
      </c>
      <c r="D74" t="s">
        <v>135</v>
      </c>
      <c r="E74" t="s">
        <v>147</v>
      </c>
      <c r="F74" t="s">
        <v>147</v>
      </c>
      <c r="G74" t="s">
        <v>90</v>
      </c>
      <c r="H74" t="s">
        <v>81</v>
      </c>
      <c r="I74" t="s">
        <v>82</v>
      </c>
      <c r="L74">
        <v>16</v>
      </c>
      <c r="M74" t="s">
        <v>83</v>
      </c>
      <c r="O74" t="s">
        <v>83</v>
      </c>
      <c r="P74" t="s">
        <v>100</v>
      </c>
      <c r="Q74" t="s">
        <v>85</v>
      </c>
    </row>
    <row r="75" spans="1:17">
      <c r="A75" t="s">
        <v>76</v>
      </c>
      <c r="B75" t="s">
        <v>77</v>
      </c>
      <c r="C75" t="s">
        <v>135</v>
      </c>
      <c r="D75" t="s">
        <v>135</v>
      </c>
      <c r="E75" t="s">
        <v>147</v>
      </c>
      <c r="F75" t="s">
        <v>148</v>
      </c>
      <c r="G75" t="s">
        <v>90</v>
      </c>
      <c r="H75" t="s">
        <v>81</v>
      </c>
      <c r="L75">
        <v>17</v>
      </c>
      <c r="M75" t="s">
        <v>83</v>
      </c>
      <c r="O75" t="s">
        <v>83</v>
      </c>
      <c r="P75" t="s">
        <v>84</v>
      </c>
      <c r="Q75" t="s">
        <v>85</v>
      </c>
    </row>
    <row r="76" spans="1:17">
      <c r="A76" t="s">
        <v>76</v>
      </c>
      <c r="B76" t="s">
        <v>77</v>
      </c>
      <c r="C76" t="s">
        <v>135</v>
      </c>
      <c r="D76" t="s">
        <v>135</v>
      </c>
      <c r="E76" t="s">
        <v>149</v>
      </c>
      <c r="F76" t="s">
        <v>149</v>
      </c>
      <c r="G76" t="s">
        <v>150</v>
      </c>
      <c r="H76" t="s">
        <v>81</v>
      </c>
      <c r="L76">
        <v>18</v>
      </c>
      <c r="M76" t="s">
        <v>83</v>
      </c>
      <c r="O76" t="s">
        <v>83</v>
      </c>
      <c r="P76" t="s">
        <v>84</v>
      </c>
      <c r="Q76" t="s">
        <v>85</v>
      </c>
    </row>
    <row r="77" spans="1:17">
      <c r="A77" t="s">
        <v>76</v>
      </c>
      <c r="B77" t="s">
        <v>77</v>
      </c>
      <c r="C77" t="s">
        <v>135</v>
      </c>
      <c r="D77" t="s">
        <v>135</v>
      </c>
      <c r="E77" t="s">
        <v>151</v>
      </c>
      <c r="F77" t="s">
        <v>151</v>
      </c>
      <c r="G77" t="s">
        <v>152</v>
      </c>
      <c r="H77" t="s">
        <v>81</v>
      </c>
      <c r="L77">
        <v>19</v>
      </c>
      <c r="M77" t="s">
        <v>83</v>
      </c>
      <c r="O77" t="s">
        <v>83</v>
      </c>
      <c r="P77" t="s">
        <v>84</v>
      </c>
      <c r="Q77" t="s">
        <v>85</v>
      </c>
    </row>
    <row r="78" spans="1:17">
      <c r="A78" t="s">
        <v>76</v>
      </c>
      <c r="B78" t="s">
        <v>77</v>
      </c>
      <c r="C78" t="s">
        <v>135</v>
      </c>
      <c r="D78" t="s">
        <v>135</v>
      </c>
      <c r="E78" t="s">
        <v>112</v>
      </c>
      <c r="F78" t="s">
        <v>112</v>
      </c>
      <c r="G78" t="s">
        <v>113</v>
      </c>
      <c r="H78" t="s">
        <v>81</v>
      </c>
      <c r="I78" t="s">
        <v>114</v>
      </c>
      <c r="L78">
        <v>20</v>
      </c>
      <c r="M78" t="s">
        <v>83</v>
      </c>
      <c r="O78" t="s">
        <v>83</v>
      </c>
      <c r="P78" t="s">
        <v>84</v>
      </c>
      <c r="Q78" t="s">
        <v>85</v>
      </c>
    </row>
    <row r="79" spans="1:17">
      <c r="A79" t="s">
        <v>76</v>
      </c>
      <c r="B79" t="s">
        <v>77</v>
      </c>
      <c r="C79" t="s">
        <v>135</v>
      </c>
      <c r="D79" t="s">
        <v>135</v>
      </c>
      <c r="E79" t="s">
        <v>115</v>
      </c>
      <c r="F79" t="s">
        <v>115</v>
      </c>
      <c r="G79" t="s">
        <v>113</v>
      </c>
      <c r="H79" t="s">
        <v>81</v>
      </c>
      <c r="I79" t="s">
        <v>114</v>
      </c>
      <c r="L79">
        <v>21</v>
      </c>
      <c r="M79" t="s">
        <v>83</v>
      </c>
      <c r="O79" t="s">
        <v>83</v>
      </c>
      <c r="P79" t="s">
        <v>84</v>
      </c>
      <c r="Q79" t="s">
        <v>85</v>
      </c>
    </row>
    <row r="80" spans="1:17">
      <c r="A80" t="s">
        <v>76</v>
      </c>
      <c r="B80" t="s">
        <v>77</v>
      </c>
      <c r="C80" t="s">
        <v>135</v>
      </c>
      <c r="D80" t="s">
        <v>135</v>
      </c>
      <c r="E80" t="s">
        <v>116</v>
      </c>
      <c r="F80" t="s">
        <v>116</v>
      </c>
      <c r="G80" t="s">
        <v>90</v>
      </c>
      <c r="H80" t="s">
        <v>81</v>
      </c>
      <c r="L80">
        <v>28</v>
      </c>
      <c r="M80" t="s">
        <v>83</v>
      </c>
      <c r="O80" t="s">
        <v>83</v>
      </c>
      <c r="P80" t="s">
        <v>84</v>
      </c>
      <c r="Q80" t="s">
        <v>85</v>
      </c>
    </row>
    <row r="81" spans="1:17">
      <c r="A81" t="s">
        <v>76</v>
      </c>
      <c r="B81" t="s">
        <v>77</v>
      </c>
      <c r="C81" t="s">
        <v>135</v>
      </c>
      <c r="D81" t="s">
        <v>135</v>
      </c>
      <c r="E81" t="s">
        <v>117</v>
      </c>
      <c r="F81" t="s">
        <v>117</v>
      </c>
      <c r="G81" t="s">
        <v>90</v>
      </c>
      <c r="H81" t="s">
        <v>81</v>
      </c>
      <c r="L81">
        <v>29</v>
      </c>
      <c r="M81" t="s">
        <v>83</v>
      </c>
      <c r="O81" t="s">
        <v>83</v>
      </c>
      <c r="P81" t="s">
        <v>84</v>
      </c>
      <c r="Q81" t="s">
        <v>85</v>
      </c>
    </row>
    <row r="82" spans="1:17">
      <c r="A82" t="s">
        <v>76</v>
      </c>
      <c r="B82" t="s">
        <v>77</v>
      </c>
      <c r="C82" t="s">
        <v>135</v>
      </c>
      <c r="D82" t="s">
        <v>135</v>
      </c>
      <c r="E82" t="s">
        <v>118</v>
      </c>
      <c r="F82" t="s">
        <v>118</v>
      </c>
      <c r="G82" t="s">
        <v>92</v>
      </c>
      <c r="H82" t="s">
        <v>81</v>
      </c>
      <c r="L82">
        <v>30</v>
      </c>
      <c r="M82" t="s">
        <v>83</v>
      </c>
      <c r="O82" t="s">
        <v>83</v>
      </c>
      <c r="P82" t="s">
        <v>84</v>
      </c>
      <c r="Q82" t="s">
        <v>85</v>
      </c>
    </row>
    <row r="83" spans="1:17" hidden="1">
      <c r="A83" t="s">
        <v>76</v>
      </c>
      <c r="B83" t="s">
        <v>77</v>
      </c>
      <c r="C83" t="s">
        <v>153</v>
      </c>
      <c r="D83" t="s">
        <v>153</v>
      </c>
      <c r="E83" t="s">
        <v>79</v>
      </c>
      <c r="F83" t="s">
        <v>79</v>
      </c>
      <c r="G83" t="s">
        <v>80</v>
      </c>
      <c r="H83" t="s">
        <v>81</v>
      </c>
      <c r="I83" t="s">
        <v>82</v>
      </c>
      <c r="L83">
        <v>1</v>
      </c>
      <c r="M83" t="s">
        <v>83</v>
      </c>
      <c r="O83" t="s">
        <v>83</v>
      </c>
      <c r="P83" t="s">
        <v>84</v>
      </c>
      <c r="Q83" t="s">
        <v>85</v>
      </c>
    </row>
    <row r="84" spans="1:17" hidden="1">
      <c r="A84" t="s">
        <v>76</v>
      </c>
      <c r="B84" t="s">
        <v>77</v>
      </c>
      <c r="C84" t="s">
        <v>153</v>
      </c>
      <c r="D84" t="s">
        <v>153</v>
      </c>
      <c r="E84" t="s">
        <v>86</v>
      </c>
      <c r="F84" t="s">
        <v>86</v>
      </c>
      <c r="G84" t="s">
        <v>80</v>
      </c>
      <c r="H84" t="s">
        <v>81</v>
      </c>
      <c r="I84" t="s">
        <v>82</v>
      </c>
      <c r="L84">
        <v>2</v>
      </c>
      <c r="M84" t="s">
        <v>83</v>
      </c>
      <c r="O84" t="s">
        <v>83</v>
      </c>
      <c r="P84" t="s">
        <v>84</v>
      </c>
      <c r="Q84" t="s">
        <v>85</v>
      </c>
    </row>
    <row r="85" spans="1:17" hidden="1">
      <c r="A85" t="s">
        <v>76</v>
      </c>
      <c r="B85" t="s">
        <v>77</v>
      </c>
      <c r="C85" t="s">
        <v>153</v>
      </c>
      <c r="D85" t="s">
        <v>153</v>
      </c>
      <c r="E85" t="s">
        <v>87</v>
      </c>
      <c r="F85" t="s">
        <v>87</v>
      </c>
      <c r="G85" t="s">
        <v>88</v>
      </c>
      <c r="H85" t="s">
        <v>81</v>
      </c>
      <c r="J85" t="s">
        <v>83</v>
      </c>
      <c r="L85">
        <v>3</v>
      </c>
      <c r="M85" t="s">
        <v>83</v>
      </c>
      <c r="O85" t="s">
        <v>83</v>
      </c>
      <c r="P85" t="s">
        <v>84</v>
      </c>
      <c r="Q85" t="s">
        <v>85</v>
      </c>
    </row>
    <row r="86" spans="1:17" hidden="1">
      <c r="A86" t="s">
        <v>76</v>
      </c>
      <c r="B86" t="s">
        <v>77</v>
      </c>
      <c r="C86" t="s">
        <v>153</v>
      </c>
      <c r="D86" t="s">
        <v>153</v>
      </c>
      <c r="E86" t="s">
        <v>89</v>
      </c>
      <c r="F86" t="s">
        <v>89</v>
      </c>
      <c r="G86" t="s">
        <v>90</v>
      </c>
      <c r="H86" t="s">
        <v>81</v>
      </c>
      <c r="J86" t="s">
        <v>83</v>
      </c>
      <c r="K86" t="s">
        <v>83</v>
      </c>
      <c r="L86">
        <v>4</v>
      </c>
      <c r="M86" t="s">
        <v>83</v>
      </c>
      <c r="O86" t="s">
        <v>83</v>
      </c>
      <c r="P86" t="s">
        <v>84</v>
      </c>
      <c r="Q86" t="s">
        <v>85</v>
      </c>
    </row>
    <row r="87" spans="1:17" hidden="1">
      <c r="A87" t="s">
        <v>76</v>
      </c>
      <c r="B87" t="s">
        <v>77</v>
      </c>
      <c r="C87" t="s">
        <v>153</v>
      </c>
      <c r="D87" t="s">
        <v>153</v>
      </c>
      <c r="E87" t="s">
        <v>154</v>
      </c>
      <c r="F87" t="s">
        <v>154</v>
      </c>
      <c r="G87" t="s">
        <v>90</v>
      </c>
      <c r="H87" t="s">
        <v>81</v>
      </c>
      <c r="J87" t="s">
        <v>83</v>
      </c>
      <c r="K87" t="s">
        <v>83</v>
      </c>
      <c r="L87">
        <v>5</v>
      </c>
      <c r="M87" t="s">
        <v>83</v>
      </c>
      <c r="O87" t="s">
        <v>83</v>
      </c>
      <c r="P87" t="s">
        <v>84</v>
      </c>
      <c r="Q87" t="s">
        <v>85</v>
      </c>
    </row>
    <row r="88" spans="1:17" hidden="1">
      <c r="A88" t="s">
        <v>76</v>
      </c>
      <c r="B88" t="s">
        <v>77</v>
      </c>
      <c r="C88" t="s">
        <v>153</v>
      </c>
      <c r="D88" t="s">
        <v>153</v>
      </c>
      <c r="E88" t="s">
        <v>155</v>
      </c>
      <c r="F88" t="s">
        <v>155</v>
      </c>
      <c r="G88" t="s">
        <v>90</v>
      </c>
      <c r="H88" t="s">
        <v>81</v>
      </c>
      <c r="I88" t="s">
        <v>82</v>
      </c>
      <c r="L88">
        <v>6</v>
      </c>
      <c r="M88" t="s">
        <v>83</v>
      </c>
      <c r="O88" t="s">
        <v>83</v>
      </c>
      <c r="P88" t="s">
        <v>100</v>
      </c>
      <c r="Q88" t="s">
        <v>85</v>
      </c>
    </row>
    <row r="89" spans="1:17" hidden="1">
      <c r="A89" t="s">
        <v>76</v>
      </c>
      <c r="B89" t="s">
        <v>77</v>
      </c>
      <c r="C89" t="s">
        <v>153</v>
      </c>
      <c r="D89" t="s">
        <v>153</v>
      </c>
      <c r="E89" t="s">
        <v>155</v>
      </c>
      <c r="F89" t="s">
        <v>156</v>
      </c>
      <c r="G89" t="s">
        <v>90</v>
      </c>
      <c r="H89" t="s">
        <v>81</v>
      </c>
      <c r="J89" t="s">
        <v>83</v>
      </c>
      <c r="L89">
        <v>7</v>
      </c>
      <c r="M89" t="s">
        <v>83</v>
      </c>
      <c r="O89" t="s">
        <v>83</v>
      </c>
      <c r="P89" t="s">
        <v>84</v>
      </c>
      <c r="Q89" t="s">
        <v>85</v>
      </c>
    </row>
    <row r="90" spans="1:17" hidden="1">
      <c r="A90" t="s">
        <v>76</v>
      </c>
      <c r="B90" t="s">
        <v>77</v>
      </c>
      <c r="C90" t="s">
        <v>153</v>
      </c>
      <c r="D90" t="s">
        <v>153</v>
      </c>
      <c r="E90" t="s">
        <v>157</v>
      </c>
      <c r="F90" t="s">
        <v>157</v>
      </c>
      <c r="G90" t="s">
        <v>98</v>
      </c>
      <c r="H90" t="s">
        <v>81</v>
      </c>
      <c r="J90" t="s">
        <v>83</v>
      </c>
      <c r="L90">
        <v>8</v>
      </c>
      <c r="M90" t="s">
        <v>83</v>
      </c>
      <c r="O90" t="s">
        <v>83</v>
      </c>
      <c r="P90" t="s">
        <v>84</v>
      </c>
      <c r="Q90" t="s">
        <v>85</v>
      </c>
    </row>
    <row r="91" spans="1:17" hidden="1">
      <c r="A91" t="s">
        <v>76</v>
      </c>
      <c r="B91" t="s">
        <v>77</v>
      </c>
      <c r="C91" t="s">
        <v>153</v>
      </c>
      <c r="D91" t="s">
        <v>153</v>
      </c>
      <c r="E91" t="s">
        <v>91</v>
      </c>
      <c r="F91" t="s">
        <v>91</v>
      </c>
      <c r="G91" t="s">
        <v>92</v>
      </c>
      <c r="H91" t="s">
        <v>81</v>
      </c>
      <c r="J91" t="s">
        <v>83</v>
      </c>
      <c r="L91">
        <v>9</v>
      </c>
      <c r="M91" t="s">
        <v>83</v>
      </c>
      <c r="O91" t="s">
        <v>83</v>
      </c>
      <c r="P91" t="s">
        <v>84</v>
      </c>
      <c r="Q91" t="s">
        <v>85</v>
      </c>
    </row>
    <row r="92" spans="1:17" hidden="1">
      <c r="A92" t="s">
        <v>76</v>
      </c>
      <c r="B92" t="s">
        <v>77</v>
      </c>
      <c r="C92" t="s">
        <v>153</v>
      </c>
      <c r="D92" t="s">
        <v>153</v>
      </c>
      <c r="E92" t="s">
        <v>158</v>
      </c>
      <c r="F92" t="s">
        <v>158</v>
      </c>
      <c r="G92" t="s">
        <v>94</v>
      </c>
      <c r="H92" t="s">
        <v>81</v>
      </c>
      <c r="L92">
        <v>10</v>
      </c>
      <c r="M92" t="s">
        <v>83</v>
      </c>
      <c r="O92" t="s">
        <v>83</v>
      </c>
      <c r="P92" t="s">
        <v>84</v>
      </c>
      <c r="Q92" t="s">
        <v>85</v>
      </c>
    </row>
    <row r="93" spans="1:17" hidden="1">
      <c r="A93" t="s">
        <v>76</v>
      </c>
      <c r="B93" t="s">
        <v>77</v>
      </c>
      <c r="C93" t="s">
        <v>153</v>
      </c>
      <c r="D93" t="s">
        <v>153</v>
      </c>
      <c r="E93" t="s">
        <v>159</v>
      </c>
      <c r="F93" t="s">
        <v>159</v>
      </c>
      <c r="G93" t="s">
        <v>88</v>
      </c>
      <c r="H93" t="s">
        <v>81</v>
      </c>
      <c r="J93" t="s">
        <v>83</v>
      </c>
      <c r="L93">
        <v>11</v>
      </c>
      <c r="M93" t="s">
        <v>83</v>
      </c>
      <c r="O93" t="s">
        <v>83</v>
      </c>
      <c r="P93" t="s">
        <v>84</v>
      </c>
      <c r="Q93" t="s">
        <v>85</v>
      </c>
    </row>
    <row r="94" spans="1:17" hidden="1">
      <c r="A94" t="s">
        <v>76</v>
      </c>
      <c r="B94" t="s">
        <v>77</v>
      </c>
      <c r="C94" t="s">
        <v>153</v>
      </c>
      <c r="D94" t="s">
        <v>153</v>
      </c>
      <c r="E94" t="s">
        <v>160</v>
      </c>
      <c r="F94" t="s">
        <v>160</v>
      </c>
      <c r="G94" t="s">
        <v>94</v>
      </c>
      <c r="H94" t="s">
        <v>81</v>
      </c>
      <c r="L94">
        <v>12</v>
      </c>
      <c r="M94" t="s">
        <v>83</v>
      </c>
      <c r="O94" t="s">
        <v>83</v>
      </c>
      <c r="P94" t="s">
        <v>84</v>
      </c>
      <c r="Q94" t="s">
        <v>85</v>
      </c>
    </row>
    <row r="95" spans="1:17" hidden="1">
      <c r="A95" t="s">
        <v>76</v>
      </c>
      <c r="B95" t="s">
        <v>77</v>
      </c>
      <c r="C95" t="s">
        <v>153</v>
      </c>
      <c r="D95" t="s">
        <v>153</v>
      </c>
      <c r="E95" t="s">
        <v>161</v>
      </c>
      <c r="F95" t="s">
        <v>161</v>
      </c>
      <c r="G95" t="s">
        <v>98</v>
      </c>
      <c r="H95" t="s">
        <v>81</v>
      </c>
      <c r="L95">
        <v>13</v>
      </c>
      <c r="M95" t="s">
        <v>83</v>
      </c>
      <c r="O95" t="s">
        <v>83</v>
      </c>
      <c r="P95" t="s">
        <v>84</v>
      </c>
      <c r="Q95" t="s">
        <v>85</v>
      </c>
    </row>
    <row r="96" spans="1:17" hidden="1">
      <c r="A96" t="s">
        <v>76</v>
      </c>
      <c r="B96" t="s">
        <v>77</v>
      </c>
      <c r="C96" t="s">
        <v>153</v>
      </c>
      <c r="D96" t="s">
        <v>153</v>
      </c>
      <c r="E96" t="s">
        <v>162</v>
      </c>
      <c r="F96" t="s">
        <v>162</v>
      </c>
      <c r="G96" t="s">
        <v>163</v>
      </c>
      <c r="H96" t="s">
        <v>81</v>
      </c>
      <c r="L96">
        <v>14</v>
      </c>
      <c r="M96" t="s">
        <v>83</v>
      </c>
      <c r="O96" t="s">
        <v>83</v>
      </c>
      <c r="P96" t="s">
        <v>84</v>
      </c>
      <c r="Q96" t="s">
        <v>85</v>
      </c>
    </row>
    <row r="97" spans="1:17" hidden="1">
      <c r="A97" t="s">
        <v>76</v>
      </c>
      <c r="B97" t="s">
        <v>77</v>
      </c>
      <c r="C97" t="s">
        <v>153</v>
      </c>
      <c r="D97" t="s">
        <v>153</v>
      </c>
      <c r="E97" t="s">
        <v>164</v>
      </c>
      <c r="F97" t="s">
        <v>164</v>
      </c>
      <c r="G97" t="s">
        <v>98</v>
      </c>
      <c r="H97" t="s">
        <v>81</v>
      </c>
      <c r="L97">
        <v>15</v>
      </c>
      <c r="M97" t="s">
        <v>83</v>
      </c>
      <c r="O97" t="s">
        <v>83</v>
      </c>
      <c r="P97" t="s">
        <v>84</v>
      </c>
      <c r="Q97" t="s">
        <v>85</v>
      </c>
    </row>
    <row r="98" spans="1:17" hidden="1">
      <c r="A98" t="s">
        <v>76</v>
      </c>
      <c r="B98" t="s">
        <v>77</v>
      </c>
      <c r="C98" t="s">
        <v>153</v>
      </c>
      <c r="D98" t="s">
        <v>153</v>
      </c>
      <c r="E98" t="s">
        <v>165</v>
      </c>
      <c r="F98" t="s">
        <v>165</v>
      </c>
      <c r="G98" t="s">
        <v>88</v>
      </c>
      <c r="H98" t="s">
        <v>81</v>
      </c>
      <c r="L98">
        <v>16</v>
      </c>
      <c r="M98" t="s">
        <v>83</v>
      </c>
      <c r="O98" t="s">
        <v>83</v>
      </c>
      <c r="P98" t="s">
        <v>84</v>
      </c>
      <c r="Q98" t="s">
        <v>85</v>
      </c>
    </row>
    <row r="99" spans="1:17" hidden="1">
      <c r="A99" t="s">
        <v>76</v>
      </c>
      <c r="B99" t="s">
        <v>77</v>
      </c>
      <c r="C99" t="s">
        <v>153</v>
      </c>
      <c r="D99" t="s">
        <v>153</v>
      </c>
      <c r="E99" t="s">
        <v>166</v>
      </c>
      <c r="F99" t="s">
        <v>166</v>
      </c>
      <c r="G99" t="s">
        <v>88</v>
      </c>
      <c r="H99" t="s">
        <v>81</v>
      </c>
      <c r="L99">
        <v>17</v>
      </c>
      <c r="M99" t="s">
        <v>83</v>
      </c>
      <c r="O99" t="s">
        <v>83</v>
      </c>
      <c r="P99" t="s">
        <v>84</v>
      </c>
      <c r="Q99" t="s">
        <v>85</v>
      </c>
    </row>
    <row r="100" spans="1:17" hidden="1">
      <c r="A100" t="s">
        <v>76</v>
      </c>
      <c r="B100" t="s">
        <v>77</v>
      </c>
      <c r="C100" t="s">
        <v>153</v>
      </c>
      <c r="D100" t="s">
        <v>153</v>
      </c>
      <c r="E100" t="s">
        <v>167</v>
      </c>
      <c r="F100" t="s">
        <v>167</v>
      </c>
      <c r="G100" t="s">
        <v>168</v>
      </c>
      <c r="H100" t="s">
        <v>81</v>
      </c>
      <c r="L100">
        <v>18</v>
      </c>
      <c r="M100" t="s">
        <v>83</v>
      </c>
      <c r="O100" t="s">
        <v>83</v>
      </c>
      <c r="P100" t="s">
        <v>84</v>
      </c>
      <c r="Q100" t="s">
        <v>85</v>
      </c>
    </row>
    <row r="101" spans="1:17" hidden="1">
      <c r="A101" t="s">
        <v>76</v>
      </c>
      <c r="B101" t="s">
        <v>77</v>
      </c>
      <c r="C101" t="s">
        <v>153</v>
      </c>
      <c r="D101" t="s">
        <v>153</v>
      </c>
      <c r="E101" t="s">
        <v>169</v>
      </c>
      <c r="F101" t="s">
        <v>169</v>
      </c>
      <c r="G101" t="s">
        <v>98</v>
      </c>
      <c r="H101" t="s">
        <v>81</v>
      </c>
      <c r="L101">
        <v>19</v>
      </c>
      <c r="M101" t="s">
        <v>83</v>
      </c>
      <c r="O101" t="s">
        <v>83</v>
      </c>
      <c r="P101" t="s">
        <v>84</v>
      </c>
      <c r="Q101" t="s">
        <v>85</v>
      </c>
    </row>
    <row r="102" spans="1:17" hidden="1">
      <c r="A102" t="s">
        <v>76</v>
      </c>
      <c r="B102" t="s">
        <v>77</v>
      </c>
      <c r="C102" t="s">
        <v>153</v>
      </c>
      <c r="D102" t="s">
        <v>153</v>
      </c>
      <c r="E102" t="s">
        <v>170</v>
      </c>
      <c r="F102" t="s">
        <v>170</v>
      </c>
      <c r="G102" t="s">
        <v>88</v>
      </c>
      <c r="H102" t="s">
        <v>81</v>
      </c>
      <c r="L102">
        <v>20</v>
      </c>
      <c r="M102" t="s">
        <v>83</v>
      </c>
      <c r="O102" t="s">
        <v>83</v>
      </c>
      <c r="P102" t="s">
        <v>84</v>
      </c>
      <c r="Q102" t="s">
        <v>85</v>
      </c>
    </row>
    <row r="103" spans="1:17" hidden="1">
      <c r="A103" t="s">
        <v>76</v>
      </c>
      <c r="B103" t="s">
        <v>77</v>
      </c>
      <c r="C103" t="s">
        <v>153</v>
      </c>
      <c r="D103" t="s">
        <v>153</v>
      </c>
      <c r="E103" t="s">
        <v>171</v>
      </c>
      <c r="F103" t="s">
        <v>171</v>
      </c>
      <c r="G103" t="s">
        <v>90</v>
      </c>
      <c r="H103" t="s">
        <v>81</v>
      </c>
      <c r="I103" t="s">
        <v>82</v>
      </c>
      <c r="L103">
        <v>21</v>
      </c>
      <c r="M103" t="s">
        <v>83</v>
      </c>
      <c r="O103" t="s">
        <v>83</v>
      </c>
      <c r="P103" t="s">
        <v>100</v>
      </c>
      <c r="Q103" t="s">
        <v>85</v>
      </c>
    </row>
    <row r="104" spans="1:17" hidden="1">
      <c r="A104" t="s">
        <v>76</v>
      </c>
      <c r="B104" t="s">
        <v>77</v>
      </c>
      <c r="C104" t="s">
        <v>153</v>
      </c>
      <c r="D104" t="s">
        <v>153</v>
      </c>
      <c r="E104" t="s">
        <v>171</v>
      </c>
      <c r="F104" t="s">
        <v>172</v>
      </c>
      <c r="G104" t="s">
        <v>90</v>
      </c>
      <c r="H104" t="s">
        <v>81</v>
      </c>
      <c r="L104">
        <v>22</v>
      </c>
      <c r="M104" t="s">
        <v>83</v>
      </c>
      <c r="O104" t="s">
        <v>83</v>
      </c>
      <c r="P104" t="s">
        <v>84</v>
      </c>
      <c r="Q104" t="s">
        <v>85</v>
      </c>
    </row>
    <row r="105" spans="1:17" hidden="1">
      <c r="A105" t="s">
        <v>76</v>
      </c>
      <c r="B105" t="s">
        <v>77</v>
      </c>
      <c r="C105" t="s">
        <v>153</v>
      </c>
      <c r="D105" t="s">
        <v>153</v>
      </c>
      <c r="E105" t="s">
        <v>173</v>
      </c>
      <c r="F105" t="s">
        <v>173</v>
      </c>
      <c r="G105" t="s">
        <v>168</v>
      </c>
      <c r="H105" t="s">
        <v>81</v>
      </c>
      <c r="L105">
        <v>23</v>
      </c>
      <c r="M105" t="s">
        <v>83</v>
      </c>
      <c r="O105" t="s">
        <v>83</v>
      </c>
      <c r="P105" t="s">
        <v>84</v>
      </c>
      <c r="Q105" t="s">
        <v>85</v>
      </c>
    </row>
    <row r="106" spans="1:17" hidden="1">
      <c r="A106" t="s">
        <v>76</v>
      </c>
      <c r="B106" t="s">
        <v>77</v>
      </c>
      <c r="C106" t="s">
        <v>153</v>
      </c>
      <c r="D106" t="s">
        <v>153</v>
      </c>
      <c r="E106" t="s">
        <v>117</v>
      </c>
      <c r="F106" t="s">
        <v>117</v>
      </c>
      <c r="G106" t="s">
        <v>90</v>
      </c>
      <c r="H106" t="s">
        <v>81</v>
      </c>
      <c r="L106">
        <v>24</v>
      </c>
      <c r="M106" t="s">
        <v>83</v>
      </c>
      <c r="O106" t="s">
        <v>83</v>
      </c>
      <c r="P106" t="s">
        <v>84</v>
      </c>
      <c r="Q106" t="s">
        <v>85</v>
      </c>
    </row>
    <row r="107" spans="1:17" hidden="1">
      <c r="A107" t="s">
        <v>76</v>
      </c>
      <c r="B107" t="s">
        <v>77</v>
      </c>
      <c r="C107" t="s">
        <v>153</v>
      </c>
      <c r="D107" t="s">
        <v>153</v>
      </c>
      <c r="E107" t="s">
        <v>174</v>
      </c>
      <c r="F107" t="s">
        <v>174</v>
      </c>
      <c r="G107" t="s">
        <v>90</v>
      </c>
      <c r="H107" t="s">
        <v>81</v>
      </c>
      <c r="L107">
        <v>25</v>
      </c>
      <c r="M107" t="s">
        <v>83</v>
      </c>
      <c r="O107" t="s">
        <v>83</v>
      </c>
      <c r="P107" t="s">
        <v>84</v>
      </c>
      <c r="Q107" t="s">
        <v>85</v>
      </c>
    </row>
    <row r="108" spans="1:17" hidden="1">
      <c r="A108" t="s">
        <v>76</v>
      </c>
      <c r="B108" t="s">
        <v>77</v>
      </c>
      <c r="C108" t="s">
        <v>153</v>
      </c>
      <c r="D108" t="s">
        <v>153</v>
      </c>
      <c r="E108" t="s">
        <v>112</v>
      </c>
      <c r="F108" t="s">
        <v>112</v>
      </c>
      <c r="G108" t="s">
        <v>113</v>
      </c>
      <c r="H108" t="s">
        <v>81</v>
      </c>
      <c r="I108" t="s">
        <v>114</v>
      </c>
      <c r="L108">
        <v>26</v>
      </c>
      <c r="M108" t="s">
        <v>83</v>
      </c>
      <c r="O108" t="s">
        <v>83</v>
      </c>
      <c r="P108" t="s">
        <v>84</v>
      </c>
      <c r="Q108" t="s">
        <v>85</v>
      </c>
    </row>
    <row r="109" spans="1:17" hidden="1">
      <c r="A109" t="s">
        <v>76</v>
      </c>
      <c r="B109" t="s">
        <v>77</v>
      </c>
      <c r="C109" t="s">
        <v>153</v>
      </c>
      <c r="D109" t="s">
        <v>153</v>
      </c>
      <c r="E109" t="s">
        <v>115</v>
      </c>
      <c r="F109" t="s">
        <v>115</v>
      </c>
      <c r="G109" t="s">
        <v>113</v>
      </c>
      <c r="H109" t="s">
        <v>81</v>
      </c>
      <c r="I109" t="s">
        <v>114</v>
      </c>
      <c r="L109">
        <v>27</v>
      </c>
      <c r="M109" t="s">
        <v>83</v>
      </c>
      <c r="O109" t="s">
        <v>83</v>
      </c>
      <c r="P109" t="s">
        <v>84</v>
      </c>
      <c r="Q109" t="s">
        <v>85</v>
      </c>
    </row>
    <row r="110" spans="1:17" hidden="1">
      <c r="A110" t="s">
        <v>76</v>
      </c>
      <c r="B110" t="s">
        <v>77</v>
      </c>
      <c r="C110" t="s">
        <v>153</v>
      </c>
      <c r="D110" t="s">
        <v>153</v>
      </c>
      <c r="E110" t="s">
        <v>118</v>
      </c>
      <c r="F110" t="s">
        <v>118</v>
      </c>
      <c r="G110" t="s">
        <v>92</v>
      </c>
      <c r="H110" t="s">
        <v>81</v>
      </c>
      <c r="L110">
        <v>34</v>
      </c>
      <c r="M110" t="s">
        <v>83</v>
      </c>
      <c r="O110" t="s">
        <v>83</v>
      </c>
      <c r="P110" t="s">
        <v>84</v>
      </c>
      <c r="Q110" t="s">
        <v>85</v>
      </c>
    </row>
    <row r="111" spans="1:17" hidden="1">
      <c r="A111" t="s">
        <v>76</v>
      </c>
      <c r="B111" t="s">
        <v>77</v>
      </c>
      <c r="C111" t="s">
        <v>175</v>
      </c>
      <c r="D111" t="s">
        <v>175</v>
      </c>
      <c r="E111" t="s">
        <v>79</v>
      </c>
      <c r="F111" t="s">
        <v>79</v>
      </c>
      <c r="G111" t="s">
        <v>80</v>
      </c>
      <c r="H111" t="s">
        <v>81</v>
      </c>
      <c r="I111" t="s">
        <v>82</v>
      </c>
      <c r="L111">
        <v>1</v>
      </c>
      <c r="M111" t="s">
        <v>83</v>
      </c>
      <c r="O111" t="s">
        <v>83</v>
      </c>
      <c r="P111" t="s">
        <v>84</v>
      </c>
      <c r="Q111" t="s">
        <v>85</v>
      </c>
    </row>
    <row r="112" spans="1:17" hidden="1">
      <c r="A112" t="s">
        <v>76</v>
      </c>
      <c r="B112" t="s">
        <v>77</v>
      </c>
      <c r="C112" t="s">
        <v>175</v>
      </c>
      <c r="D112" t="s">
        <v>175</v>
      </c>
      <c r="E112" t="s">
        <v>86</v>
      </c>
      <c r="F112" t="s">
        <v>86</v>
      </c>
      <c r="G112" t="s">
        <v>80</v>
      </c>
      <c r="H112" t="s">
        <v>81</v>
      </c>
      <c r="I112" t="s">
        <v>82</v>
      </c>
      <c r="L112">
        <v>2</v>
      </c>
      <c r="M112" t="s">
        <v>83</v>
      </c>
      <c r="O112" t="s">
        <v>83</v>
      </c>
      <c r="P112" t="s">
        <v>84</v>
      </c>
      <c r="Q112" t="s">
        <v>85</v>
      </c>
    </row>
    <row r="113" spans="1:17" hidden="1">
      <c r="A113" t="s">
        <v>76</v>
      </c>
      <c r="B113" t="s">
        <v>77</v>
      </c>
      <c r="C113" t="s">
        <v>175</v>
      </c>
      <c r="D113" t="s">
        <v>175</v>
      </c>
      <c r="E113" t="s">
        <v>87</v>
      </c>
      <c r="F113" t="s">
        <v>87</v>
      </c>
      <c r="G113" t="s">
        <v>88</v>
      </c>
      <c r="H113" t="s">
        <v>81</v>
      </c>
      <c r="J113" t="s">
        <v>83</v>
      </c>
      <c r="L113">
        <v>3</v>
      </c>
      <c r="M113" t="s">
        <v>83</v>
      </c>
      <c r="O113" t="s">
        <v>83</v>
      </c>
      <c r="P113" t="s">
        <v>84</v>
      </c>
      <c r="Q113" t="s">
        <v>85</v>
      </c>
    </row>
    <row r="114" spans="1:17" hidden="1">
      <c r="A114" t="s">
        <v>76</v>
      </c>
      <c r="B114" t="s">
        <v>77</v>
      </c>
      <c r="C114" t="s">
        <v>175</v>
      </c>
      <c r="D114" t="s">
        <v>175</v>
      </c>
      <c r="E114" t="s">
        <v>89</v>
      </c>
      <c r="F114" t="s">
        <v>89</v>
      </c>
      <c r="G114" t="s">
        <v>90</v>
      </c>
      <c r="H114" t="s">
        <v>81</v>
      </c>
      <c r="J114" t="s">
        <v>83</v>
      </c>
      <c r="K114" t="s">
        <v>83</v>
      </c>
      <c r="L114">
        <v>4</v>
      </c>
      <c r="M114" t="s">
        <v>83</v>
      </c>
      <c r="O114" t="s">
        <v>83</v>
      </c>
      <c r="P114" t="s">
        <v>84</v>
      </c>
      <c r="Q114" t="s">
        <v>85</v>
      </c>
    </row>
    <row r="115" spans="1:17" hidden="1">
      <c r="A115" t="s">
        <v>76</v>
      </c>
      <c r="B115" t="s">
        <v>77</v>
      </c>
      <c r="C115" t="s">
        <v>175</v>
      </c>
      <c r="D115" t="s">
        <v>175</v>
      </c>
      <c r="E115" t="s">
        <v>176</v>
      </c>
      <c r="F115" t="s">
        <v>176</v>
      </c>
      <c r="G115" t="s">
        <v>90</v>
      </c>
      <c r="H115" t="s">
        <v>81</v>
      </c>
      <c r="I115" t="s">
        <v>82</v>
      </c>
      <c r="L115">
        <v>5</v>
      </c>
      <c r="M115" t="s">
        <v>83</v>
      </c>
      <c r="O115" t="s">
        <v>83</v>
      </c>
      <c r="P115" t="s">
        <v>100</v>
      </c>
      <c r="Q115" t="s">
        <v>85</v>
      </c>
    </row>
    <row r="116" spans="1:17" hidden="1">
      <c r="A116" t="s">
        <v>76</v>
      </c>
      <c r="B116" t="s">
        <v>77</v>
      </c>
      <c r="C116" t="s">
        <v>175</v>
      </c>
      <c r="D116" t="s">
        <v>175</v>
      </c>
      <c r="E116" t="s">
        <v>176</v>
      </c>
      <c r="F116" t="s">
        <v>177</v>
      </c>
      <c r="G116" t="s">
        <v>90</v>
      </c>
      <c r="H116" t="s">
        <v>81</v>
      </c>
      <c r="J116" t="s">
        <v>83</v>
      </c>
      <c r="L116">
        <v>6</v>
      </c>
      <c r="M116" t="s">
        <v>83</v>
      </c>
      <c r="O116" t="s">
        <v>83</v>
      </c>
      <c r="P116" t="s">
        <v>84</v>
      </c>
      <c r="Q116" t="s">
        <v>85</v>
      </c>
    </row>
    <row r="117" spans="1:17" hidden="1">
      <c r="A117" t="s">
        <v>76</v>
      </c>
      <c r="B117" t="s">
        <v>77</v>
      </c>
      <c r="C117" t="s">
        <v>175</v>
      </c>
      <c r="D117" t="s">
        <v>175</v>
      </c>
      <c r="E117" t="s">
        <v>178</v>
      </c>
      <c r="F117" t="s">
        <v>178</v>
      </c>
      <c r="G117" t="s">
        <v>98</v>
      </c>
      <c r="H117" t="s">
        <v>81</v>
      </c>
      <c r="J117" t="s">
        <v>83</v>
      </c>
      <c r="L117">
        <v>7</v>
      </c>
      <c r="M117" t="s">
        <v>83</v>
      </c>
      <c r="O117" t="s">
        <v>83</v>
      </c>
      <c r="P117" t="s">
        <v>84</v>
      </c>
      <c r="Q117" t="s">
        <v>85</v>
      </c>
    </row>
    <row r="118" spans="1:17" hidden="1">
      <c r="A118" t="s">
        <v>76</v>
      </c>
      <c r="B118" t="s">
        <v>77</v>
      </c>
      <c r="C118" t="s">
        <v>175</v>
      </c>
      <c r="D118" t="s">
        <v>175</v>
      </c>
      <c r="E118" t="s">
        <v>91</v>
      </c>
      <c r="F118" t="s">
        <v>91</v>
      </c>
      <c r="G118" t="s">
        <v>92</v>
      </c>
      <c r="H118" t="s">
        <v>81</v>
      </c>
      <c r="J118" t="s">
        <v>83</v>
      </c>
      <c r="L118">
        <v>8</v>
      </c>
      <c r="M118" t="s">
        <v>83</v>
      </c>
      <c r="O118" t="s">
        <v>83</v>
      </c>
      <c r="P118" t="s">
        <v>84</v>
      </c>
      <c r="Q118" t="s">
        <v>85</v>
      </c>
    </row>
    <row r="119" spans="1:17" hidden="1">
      <c r="A119" t="s">
        <v>76</v>
      </c>
      <c r="B119" t="s">
        <v>77</v>
      </c>
      <c r="C119" t="s">
        <v>175</v>
      </c>
      <c r="D119" t="s">
        <v>175</v>
      </c>
      <c r="E119" t="s">
        <v>179</v>
      </c>
      <c r="F119" t="s">
        <v>179</v>
      </c>
      <c r="G119" t="s">
        <v>180</v>
      </c>
      <c r="H119" t="s">
        <v>81</v>
      </c>
      <c r="L119">
        <v>9</v>
      </c>
      <c r="M119" t="s">
        <v>83</v>
      </c>
      <c r="O119" t="s">
        <v>83</v>
      </c>
      <c r="P119" t="s">
        <v>84</v>
      </c>
      <c r="Q119" t="s">
        <v>85</v>
      </c>
    </row>
    <row r="120" spans="1:17" hidden="1">
      <c r="A120" t="s">
        <v>76</v>
      </c>
      <c r="B120" t="s">
        <v>77</v>
      </c>
      <c r="C120" t="s">
        <v>175</v>
      </c>
      <c r="D120" t="s">
        <v>175</v>
      </c>
      <c r="E120" t="s">
        <v>181</v>
      </c>
      <c r="F120" t="s">
        <v>181</v>
      </c>
      <c r="G120" t="s">
        <v>180</v>
      </c>
      <c r="H120" t="s">
        <v>81</v>
      </c>
      <c r="L120">
        <v>10</v>
      </c>
      <c r="M120" t="s">
        <v>83</v>
      </c>
      <c r="O120" t="s">
        <v>83</v>
      </c>
      <c r="P120" t="s">
        <v>84</v>
      </c>
      <c r="Q120" t="s">
        <v>85</v>
      </c>
    </row>
    <row r="121" spans="1:17" hidden="1">
      <c r="A121" t="s">
        <v>76</v>
      </c>
      <c r="B121" t="s">
        <v>77</v>
      </c>
      <c r="C121" t="s">
        <v>175</v>
      </c>
      <c r="D121" t="s">
        <v>175</v>
      </c>
      <c r="E121" t="s">
        <v>182</v>
      </c>
      <c r="F121" t="s">
        <v>182</v>
      </c>
      <c r="G121" t="s">
        <v>94</v>
      </c>
      <c r="H121" t="s">
        <v>81</v>
      </c>
      <c r="J121" t="s">
        <v>83</v>
      </c>
      <c r="L121">
        <v>11</v>
      </c>
      <c r="M121" t="s">
        <v>83</v>
      </c>
      <c r="O121" t="s">
        <v>83</v>
      </c>
      <c r="P121" t="s">
        <v>84</v>
      </c>
      <c r="Q121" t="s">
        <v>85</v>
      </c>
    </row>
    <row r="122" spans="1:17" hidden="1">
      <c r="A122" t="s">
        <v>76</v>
      </c>
      <c r="B122" t="s">
        <v>77</v>
      </c>
      <c r="C122" t="s">
        <v>175</v>
      </c>
      <c r="D122" t="s">
        <v>175</v>
      </c>
      <c r="E122" t="s">
        <v>183</v>
      </c>
      <c r="F122" t="s">
        <v>183</v>
      </c>
      <c r="G122" t="s">
        <v>88</v>
      </c>
      <c r="H122" t="s">
        <v>81</v>
      </c>
      <c r="L122">
        <v>12</v>
      </c>
      <c r="M122" t="s">
        <v>83</v>
      </c>
      <c r="O122" t="s">
        <v>83</v>
      </c>
      <c r="P122" t="s">
        <v>84</v>
      </c>
      <c r="Q122" t="s">
        <v>85</v>
      </c>
    </row>
    <row r="123" spans="1:17" hidden="1">
      <c r="A123" t="s">
        <v>76</v>
      </c>
      <c r="B123" t="s">
        <v>77</v>
      </c>
      <c r="C123" t="s">
        <v>175</v>
      </c>
      <c r="D123" t="s">
        <v>175</v>
      </c>
      <c r="E123" t="s">
        <v>184</v>
      </c>
      <c r="F123" t="s">
        <v>184</v>
      </c>
      <c r="G123" t="s">
        <v>94</v>
      </c>
      <c r="H123" t="s">
        <v>81</v>
      </c>
      <c r="L123">
        <v>13</v>
      </c>
      <c r="M123" t="s">
        <v>83</v>
      </c>
      <c r="O123" t="s">
        <v>83</v>
      </c>
      <c r="P123" t="s">
        <v>84</v>
      </c>
      <c r="Q123" t="s">
        <v>85</v>
      </c>
    </row>
    <row r="124" spans="1:17" hidden="1">
      <c r="A124" t="s">
        <v>76</v>
      </c>
      <c r="B124" t="s">
        <v>77</v>
      </c>
      <c r="C124" t="s">
        <v>175</v>
      </c>
      <c r="D124" t="s">
        <v>175</v>
      </c>
      <c r="E124" t="s">
        <v>185</v>
      </c>
      <c r="F124" t="s">
        <v>185</v>
      </c>
      <c r="G124" t="s">
        <v>94</v>
      </c>
      <c r="H124" t="s">
        <v>81</v>
      </c>
      <c r="L124">
        <v>14</v>
      </c>
      <c r="M124" t="s">
        <v>83</v>
      </c>
      <c r="O124" t="s">
        <v>83</v>
      </c>
      <c r="P124" t="s">
        <v>84</v>
      </c>
      <c r="Q124" t="s">
        <v>85</v>
      </c>
    </row>
    <row r="125" spans="1:17" hidden="1">
      <c r="A125" t="s">
        <v>76</v>
      </c>
      <c r="B125" t="s">
        <v>77</v>
      </c>
      <c r="C125" t="s">
        <v>175</v>
      </c>
      <c r="D125" t="s">
        <v>175</v>
      </c>
      <c r="E125" t="s">
        <v>186</v>
      </c>
      <c r="F125" t="s">
        <v>186</v>
      </c>
      <c r="G125" t="s">
        <v>94</v>
      </c>
      <c r="H125" t="s">
        <v>81</v>
      </c>
      <c r="L125">
        <v>15</v>
      </c>
      <c r="M125" t="s">
        <v>83</v>
      </c>
      <c r="O125" t="s">
        <v>83</v>
      </c>
      <c r="P125" t="s">
        <v>84</v>
      </c>
      <c r="Q125" t="s">
        <v>85</v>
      </c>
    </row>
    <row r="126" spans="1:17" hidden="1">
      <c r="A126" t="s">
        <v>76</v>
      </c>
      <c r="B126" t="s">
        <v>77</v>
      </c>
      <c r="C126" t="s">
        <v>175</v>
      </c>
      <c r="D126" t="s">
        <v>175</v>
      </c>
      <c r="E126" t="s">
        <v>187</v>
      </c>
      <c r="F126" t="s">
        <v>187</v>
      </c>
      <c r="G126" t="s">
        <v>188</v>
      </c>
      <c r="H126" t="s">
        <v>81</v>
      </c>
      <c r="L126">
        <v>16</v>
      </c>
      <c r="M126" t="s">
        <v>83</v>
      </c>
      <c r="O126" t="s">
        <v>83</v>
      </c>
      <c r="P126" t="s">
        <v>84</v>
      </c>
      <c r="Q126" t="s">
        <v>85</v>
      </c>
    </row>
    <row r="127" spans="1:17" hidden="1">
      <c r="A127" t="s">
        <v>76</v>
      </c>
      <c r="B127" t="s">
        <v>77</v>
      </c>
      <c r="C127" t="s">
        <v>175</v>
      </c>
      <c r="D127" t="s">
        <v>175</v>
      </c>
      <c r="E127" t="s">
        <v>189</v>
      </c>
      <c r="F127" t="s">
        <v>189</v>
      </c>
      <c r="G127" t="s">
        <v>98</v>
      </c>
      <c r="H127" t="s">
        <v>81</v>
      </c>
      <c r="L127">
        <v>17</v>
      </c>
      <c r="M127" t="s">
        <v>83</v>
      </c>
      <c r="O127" t="s">
        <v>83</v>
      </c>
      <c r="P127" t="s">
        <v>84</v>
      </c>
      <c r="Q127" t="s">
        <v>85</v>
      </c>
    </row>
    <row r="128" spans="1:17" hidden="1">
      <c r="A128" t="s">
        <v>76</v>
      </c>
      <c r="B128" t="s">
        <v>77</v>
      </c>
      <c r="C128" t="s">
        <v>175</v>
      </c>
      <c r="D128" t="s">
        <v>175</v>
      </c>
      <c r="E128" t="s">
        <v>190</v>
      </c>
      <c r="F128" t="s">
        <v>190</v>
      </c>
      <c r="G128" t="s">
        <v>191</v>
      </c>
      <c r="H128" t="s">
        <v>81</v>
      </c>
      <c r="L128">
        <v>18</v>
      </c>
      <c r="M128" t="s">
        <v>83</v>
      </c>
      <c r="O128" t="s">
        <v>83</v>
      </c>
      <c r="P128" t="s">
        <v>84</v>
      </c>
      <c r="Q128" t="s">
        <v>85</v>
      </c>
    </row>
    <row r="129" spans="1:17" hidden="1">
      <c r="A129" t="s">
        <v>76</v>
      </c>
      <c r="B129" t="s">
        <v>77</v>
      </c>
      <c r="C129" t="s">
        <v>175</v>
      </c>
      <c r="D129" t="s">
        <v>175</v>
      </c>
      <c r="E129" t="s">
        <v>192</v>
      </c>
      <c r="F129" t="s">
        <v>192</v>
      </c>
      <c r="G129" t="s">
        <v>98</v>
      </c>
      <c r="H129" t="s">
        <v>81</v>
      </c>
      <c r="L129">
        <v>19</v>
      </c>
      <c r="M129" t="s">
        <v>83</v>
      </c>
      <c r="O129" t="s">
        <v>83</v>
      </c>
      <c r="P129" t="s">
        <v>84</v>
      </c>
      <c r="Q129" t="s">
        <v>85</v>
      </c>
    </row>
    <row r="130" spans="1:17" hidden="1">
      <c r="A130" t="s">
        <v>76</v>
      </c>
      <c r="B130" t="s">
        <v>77</v>
      </c>
      <c r="C130" t="s">
        <v>175</v>
      </c>
      <c r="D130" t="s">
        <v>175</v>
      </c>
      <c r="E130" t="s">
        <v>193</v>
      </c>
      <c r="F130" t="s">
        <v>193</v>
      </c>
      <c r="G130" t="s">
        <v>92</v>
      </c>
      <c r="H130" t="s">
        <v>81</v>
      </c>
      <c r="L130">
        <v>20</v>
      </c>
      <c r="M130" t="s">
        <v>83</v>
      </c>
      <c r="O130" t="s">
        <v>83</v>
      </c>
      <c r="P130" t="s">
        <v>84</v>
      </c>
      <c r="Q130" t="s">
        <v>85</v>
      </c>
    </row>
    <row r="131" spans="1:17" hidden="1">
      <c r="A131" t="s">
        <v>76</v>
      </c>
      <c r="B131" t="s">
        <v>77</v>
      </c>
      <c r="C131" t="s">
        <v>175</v>
      </c>
      <c r="D131" t="s">
        <v>175</v>
      </c>
      <c r="E131" t="s">
        <v>194</v>
      </c>
      <c r="F131" t="s">
        <v>194</v>
      </c>
      <c r="G131" t="s">
        <v>92</v>
      </c>
      <c r="H131" t="s">
        <v>81</v>
      </c>
      <c r="L131">
        <v>21</v>
      </c>
      <c r="M131" t="s">
        <v>83</v>
      </c>
      <c r="O131" t="s">
        <v>83</v>
      </c>
      <c r="P131" t="s">
        <v>84</v>
      </c>
      <c r="Q131" t="s">
        <v>85</v>
      </c>
    </row>
    <row r="132" spans="1:17" hidden="1">
      <c r="A132" t="s">
        <v>76</v>
      </c>
      <c r="B132" t="s">
        <v>77</v>
      </c>
      <c r="C132" t="s">
        <v>175</v>
      </c>
      <c r="D132" t="s">
        <v>175</v>
      </c>
      <c r="E132" t="s">
        <v>195</v>
      </c>
      <c r="F132" t="s">
        <v>195</v>
      </c>
      <c r="G132" t="s">
        <v>196</v>
      </c>
      <c r="H132" t="s">
        <v>81</v>
      </c>
      <c r="L132">
        <v>22</v>
      </c>
      <c r="M132" t="s">
        <v>83</v>
      </c>
      <c r="O132" t="s">
        <v>83</v>
      </c>
      <c r="P132" t="s">
        <v>84</v>
      </c>
      <c r="Q132" t="s">
        <v>85</v>
      </c>
    </row>
    <row r="133" spans="1:17" hidden="1">
      <c r="A133" t="s">
        <v>76</v>
      </c>
      <c r="B133" t="s">
        <v>77</v>
      </c>
      <c r="C133" t="s">
        <v>175</v>
      </c>
      <c r="D133" t="s">
        <v>175</v>
      </c>
      <c r="E133" t="s">
        <v>197</v>
      </c>
      <c r="F133" t="s">
        <v>197</v>
      </c>
      <c r="G133" t="s">
        <v>150</v>
      </c>
      <c r="H133" t="s">
        <v>81</v>
      </c>
      <c r="L133">
        <v>23</v>
      </c>
      <c r="M133" t="s">
        <v>83</v>
      </c>
      <c r="O133" t="s">
        <v>83</v>
      </c>
      <c r="P133" t="s">
        <v>84</v>
      </c>
      <c r="Q133" t="s">
        <v>85</v>
      </c>
    </row>
    <row r="134" spans="1:17" hidden="1">
      <c r="A134" t="s">
        <v>76</v>
      </c>
      <c r="B134" t="s">
        <v>77</v>
      </c>
      <c r="C134" t="s">
        <v>175</v>
      </c>
      <c r="D134" t="s">
        <v>175</v>
      </c>
      <c r="E134" t="s">
        <v>198</v>
      </c>
      <c r="F134" t="s">
        <v>198</v>
      </c>
      <c r="G134" t="s">
        <v>199</v>
      </c>
      <c r="H134" t="s">
        <v>81</v>
      </c>
      <c r="L134">
        <v>24</v>
      </c>
      <c r="M134" t="s">
        <v>83</v>
      </c>
      <c r="O134" t="s">
        <v>83</v>
      </c>
      <c r="P134" t="s">
        <v>84</v>
      </c>
      <c r="Q134" t="s">
        <v>85</v>
      </c>
    </row>
    <row r="135" spans="1:17" hidden="1">
      <c r="A135" t="s">
        <v>76</v>
      </c>
      <c r="B135" t="s">
        <v>77</v>
      </c>
      <c r="C135" t="s">
        <v>175</v>
      </c>
      <c r="D135" t="s">
        <v>175</v>
      </c>
      <c r="E135" t="s">
        <v>200</v>
      </c>
      <c r="F135" t="s">
        <v>200</v>
      </c>
      <c r="G135" t="s">
        <v>150</v>
      </c>
      <c r="H135" t="s">
        <v>81</v>
      </c>
      <c r="L135">
        <v>25</v>
      </c>
      <c r="M135" t="s">
        <v>83</v>
      </c>
      <c r="O135" t="s">
        <v>83</v>
      </c>
      <c r="P135" t="s">
        <v>84</v>
      </c>
      <c r="Q135" t="s">
        <v>85</v>
      </c>
    </row>
    <row r="136" spans="1:17" hidden="1">
      <c r="A136" t="s">
        <v>76</v>
      </c>
      <c r="B136" t="s">
        <v>77</v>
      </c>
      <c r="C136" t="s">
        <v>175</v>
      </c>
      <c r="D136" t="s">
        <v>175</v>
      </c>
      <c r="E136" t="s">
        <v>201</v>
      </c>
      <c r="F136" t="s">
        <v>201</v>
      </c>
      <c r="G136" t="s">
        <v>92</v>
      </c>
      <c r="H136" t="s">
        <v>81</v>
      </c>
      <c r="L136">
        <v>26</v>
      </c>
      <c r="M136" t="s">
        <v>83</v>
      </c>
      <c r="O136" t="s">
        <v>83</v>
      </c>
      <c r="P136" t="s">
        <v>84</v>
      </c>
      <c r="Q136" t="s">
        <v>85</v>
      </c>
    </row>
    <row r="137" spans="1:17" hidden="1">
      <c r="A137" t="s">
        <v>76</v>
      </c>
      <c r="B137" t="s">
        <v>77</v>
      </c>
      <c r="C137" t="s">
        <v>175</v>
      </c>
      <c r="D137" t="s">
        <v>175</v>
      </c>
      <c r="E137" t="s">
        <v>202</v>
      </c>
      <c r="F137" t="s">
        <v>202</v>
      </c>
      <c r="G137" t="s">
        <v>90</v>
      </c>
      <c r="H137" t="s">
        <v>81</v>
      </c>
      <c r="I137" t="s">
        <v>82</v>
      </c>
      <c r="L137">
        <v>27</v>
      </c>
      <c r="M137" t="s">
        <v>83</v>
      </c>
      <c r="O137" t="s">
        <v>83</v>
      </c>
      <c r="P137" t="s">
        <v>100</v>
      </c>
      <c r="Q137" t="s">
        <v>85</v>
      </c>
    </row>
    <row r="138" spans="1:17" hidden="1">
      <c r="A138" t="s">
        <v>76</v>
      </c>
      <c r="B138" t="s">
        <v>77</v>
      </c>
      <c r="C138" t="s">
        <v>175</v>
      </c>
      <c r="D138" t="s">
        <v>175</v>
      </c>
      <c r="E138" t="s">
        <v>202</v>
      </c>
      <c r="F138" t="s">
        <v>203</v>
      </c>
      <c r="G138" t="s">
        <v>90</v>
      </c>
      <c r="H138" t="s">
        <v>81</v>
      </c>
      <c r="L138">
        <v>28</v>
      </c>
      <c r="M138" t="s">
        <v>83</v>
      </c>
      <c r="O138" t="s">
        <v>83</v>
      </c>
      <c r="P138" t="s">
        <v>84</v>
      </c>
      <c r="Q138" t="s">
        <v>85</v>
      </c>
    </row>
    <row r="139" spans="1:17" hidden="1">
      <c r="A139" t="s">
        <v>76</v>
      </c>
      <c r="B139" t="s">
        <v>77</v>
      </c>
      <c r="C139" t="s">
        <v>175</v>
      </c>
      <c r="D139" t="s">
        <v>175</v>
      </c>
      <c r="E139" t="s">
        <v>204</v>
      </c>
      <c r="F139" t="s">
        <v>204</v>
      </c>
      <c r="G139" t="s">
        <v>94</v>
      </c>
      <c r="H139" t="s">
        <v>81</v>
      </c>
      <c r="L139">
        <v>29</v>
      </c>
      <c r="M139" t="s">
        <v>83</v>
      </c>
      <c r="O139" t="s">
        <v>83</v>
      </c>
      <c r="P139" t="s">
        <v>84</v>
      </c>
      <c r="Q139" t="s">
        <v>85</v>
      </c>
    </row>
    <row r="140" spans="1:17" hidden="1">
      <c r="A140" t="s">
        <v>76</v>
      </c>
      <c r="B140" t="s">
        <v>77</v>
      </c>
      <c r="C140" t="s">
        <v>175</v>
      </c>
      <c r="D140" t="s">
        <v>175</v>
      </c>
      <c r="E140" t="s">
        <v>205</v>
      </c>
      <c r="F140" t="s">
        <v>205</v>
      </c>
      <c r="G140" t="s">
        <v>92</v>
      </c>
      <c r="H140" t="s">
        <v>81</v>
      </c>
      <c r="L140">
        <v>30</v>
      </c>
      <c r="M140" t="s">
        <v>83</v>
      </c>
      <c r="O140" t="s">
        <v>83</v>
      </c>
      <c r="P140" t="s">
        <v>84</v>
      </c>
      <c r="Q140" t="s">
        <v>85</v>
      </c>
    </row>
    <row r="141" spans="1:17" hidden="1">
      <c r="A141" t="s">
        <v>76</v>
      </c>
      <c r="B141" t="s">
        <v>77</v>
      </c>
      <c r="C141" t="s">
        <v>175</v>
      </c>
      <c r="D141" t="s">
        <v>175</v>
      </c>
      <c r="E141" t="s">
        <v>206</v>
      </c>
      <c r="F141" t="s">
        <v>206</v>
      </c>
      <c r="G141" t="s">
        <v>180</v>
      </c>
      <c r="H141" t="s">
        <v>81</v>
      </c>
      <c r="L141">
        <v>31</v>
      </c>
      <c r="M141" t="s">
        <v>83</v>
      </c>
      <c r="O141" t="s">
        <v>83</v>
      </c>
      <c r="P141" t="s">
        <v>84</v>
      </c>
      <c r="Q141" t="s">
        <v>85</v>
      </c>
    </row>
    <row r="142" spans="1:17" hidden="1">
      <c r="A142" t="s">
        <v>76</v>
      </c>
      <c r="B142" t="s">
        <v>77</v>
      </c>
      <c r="C142" t="s">
        <v>175</v>
      </c>
      <c r="D142" t="s">
        <v>175</v>
      </c>
      <c r="E142" t="s">
        <v>207</v>
      </c>
      <c r="F142" t="s">
        <v>207</v>
      </c>
      <c r="G142" t="s">
        <v>126</v>
      </c>
      <c r="H142" t="s">
        <v>81</v>
      </c>
      <c r="L142">
        <v>32</v>
      </c>
      <c r="M142" t="s">
        <v>83</v>
      </c>
      <c r="O142" t="s">
        <v>83</v>
      </c>
      <c r="P142" t="s">
        <v>84</v>
      </c>
      <c r="Q142" t="s">
        <v>85</v>
      </c>
    </row>
    <row r="143" spans="1:17" hidden="1">
      <c r="A143" t="s">
        <v>76</v>
      </c>
      <c r="B143" t="s">
        <v>77</v>
      </c>
      <c r="C143" t="s">
        <v>175</v>
      </c>
      <c r="D143" t="s">
        <v>175</v>
      </c>
      <c r="E143" t="s">
        <v>208</v>
      </c>
      <c r="F143" t="s">
        <v>208</v>
      </c>
      <c r="G143" t="s">
        <v>209</v>
      </c>
      <c r="H143" t="s">
        <v>81</v>
      </c>
      <c r="L143">
        <v>33</v>
      </c>
      <c r="M143" t="s">
        <v>83</v>
      </c>
      <c r="O143" t="s">
        <v>83</v>
      </c>
      <c r="P143" t="s">
        <v>84</v>
      </c>
      <c r="Q143" t="s">
        <v>85</v>
      </c>
    </row>
    <row r="144" spans="1:17" hidden="1">
      <c r="A144" t="s">
        <v>76</v>
      </c>
      <c r="B144" t="s">
        <v>77</v>
      </c>
      <c r="C144" t="s">
        <v>175</v>
      </c>
      <c r="D144" t="s">
        <v>175</v>
      </c>
      <c r="E144" t="s">
        <v>210</v>
      </c>
      <c r="F144" t="s">
        <v>210</v>
      </c>
      <c r="G144" t="s">
        <v>88</v>
      </c>
      <c r="H144" t="s">
        <v>81</v>
      </c>
      <c r="L144">
        <v>34</v>
      </c>
      <c r="M144" t="s">
        <v>83</v>
      </c>
      <c r="O144" t="s">
        <v>83</v>
      </c>
      <c r="P144" t="s">
        <v>84</v>
      </c>
      <c r="Q144" t="s">
        <v>85</v>
      </c>
    </row>
    <row r="145" spans="1:17" hidden="1">
      <c r="A145" t="s">
        <v>76</v>
      </c>
      <c r="B145" t="s">
        <v>77</v>
      </c>
      <c r="C145" t="s">
        <v>175</v>
      </c>
      <c r="D145" t="s">
        <v>175</v>
      </c>
      <c r="E145" t="s">
        <v>211</v>
      </c>
      <c r="F145" t="s">
        <v>211</v>
      </c>
      <c r="G145" t="s">
        <v>98</v>
      </c>
      <c r="H145" t="s">
        <v>81</v>
      </c>
      <c r="L145">
        <v>35</v>
      </c>
      <c r="M145" t="s">
        <v>83</v>
      </c>
      <c r="O145" t="s">
        <v>83</v>
      </c>
      <c r="P145" t="s">
        <v>84</v>
      </c>
      <c r="Q145" t="s">
        <v>85</v>
      </c>
    </row>
    <row r="146" spans="1:17" hidden="1">
      <c r="A146" t="s">
        <v>76</v>
      </c>
      <c r="B146" t="s">
        <v>77</v>
      </c>
      <c r="C146" t="s">
        <v>175</v>
      </c>
      <c r="D146" t="s">
        <v>175</v>
      </c>
      <c r="E146" t="s">
        <v>212</v>
      </c>
      <c r="F146" t="s">
        <v>212</v>
      </c>
      <c r="G146" t="s">
        <v>180</v>
      </c>
      <c r="H146" t="s">
        <v>81</v>
      </c>
      <c r="L146">
        <v>36</v>
      </c>
      <c r="M146" t="s">
        <v>83</v>
      </c>
      <c r="O146" t="s">
        <v>83</v>
      </c>
      <c r="P146" t="s">
        <v>84</v>
      </c>
      <c r="Q146" t="s">
        <v>85</v>
      </c>
    </row>
    <row r="147" spans="1:17" hidden="1">
      <c r="A147" t="s">
        <v>76</v>
      </c>
      <c r="B147" t="s">
        <v>77</v>
      </c>
      <c r="C147" t="s">
        <v>175</v>
      </c>
      <c r="D147" t="s">
        <v>175</v>
      </c>
      <c r="E147" t="s">
        <v>213</v>
      </c>
      <c r="F147" t="s">
        <v>213</v>
      </c>
      <c r="G147" t="s">
        <v>88</v>
      </c>
      <c r="H147" t="s">
        <v>81</v>
      </c>
      <c r="L147">
        <v>37</v>
      </c>
      <c r="M147" t="s">
        <v>83</v>
      </c>
      <c r="O147" t="s">
        <v>83</v>
      </c>
      <c r="P147" t="s">
        <v>84</v>
      </c>
      <c r="Q147" t="s">
        <v>85</v>
      </c>
    </row>
    <row r="148" spans="1:17" hidden="1">
      <c r="A148" t="s">
        <v>76</v>
      </c>
      <c r="B148" t="s">
        <v>77</v>
      </c>
      <c r="C148" t="s">
        <v>175</v>
      </c>
      <c r="D148" t="s">
        <v>175</v>
      </c>
      <c r="E148" t="s">
        <v>112</v>
      </c>
      <c r="F148" t="s">
        <v>112</v>
      </c>
      <c r="G148" t="s">
        <v>113</v>
      </c>
      <c r="H148" t="s">
        <v>81</v>
      </c>
      <c r="I148" t="s">
        <v>114</v>
      </c>
      <c r="L148">
        <v>38</v>
      </c>
      <c r="M148" t="s">
        <v>83</v>
      </c>
      <c r="O148" t="s">
        <v>83</v>
      </c>
      <c r="P148" t="s">
        <v>84</v>
      </c>
      <c r="Q148" t="s">
        <v>85</v>
      </c>
    </row>
    <row r="149" spans="1:17" hidden="1">
      <c r="A149" t="s">
        <v>76</v>
      </c>
      <c r="B149" t="s">
        <v>77</v>
      </c>
      <c r="C149" t="s">
        <v>175</v>
      </c>
      <c r="D149" t="s">
        <v>175</v>
      </c>
      <c r="E149" t="s">
        <v>115</v>
      </c>
      <c r="F149" t="s">
        <v>115</v>
      </c>
      <c r="G149" t="s">
        <v>113</v>
      </c>
      <c r="H149" t="s">
        <v>81</v>
      </c>
      <c r="I149" t="s">
        <v>114</v>
      </c>
      <c r="L149">
        <v>39</v>
      </c>
      <c r="M149" t="s">
        <v>83</v>
      </c>
      <c r="O149" t="s">
        <v>83</v>
      </c>
      <c r="P149" t="s">
        <v>84</v>
      </c>
      <c r="Q149" t="s">
        <v>85</v>
      </c>
    </row>
    <row r="150" spans="1:17" hidden="1">
      <c r="A150" t="s">
        <v>76</v>
      </c>
      <c r="B150" t="s">
        <v>77</v>
      </c>
      <c r="C150" t="s">
        <v>175</v>
      </c>
      <c r="D150" t="s">
        <v>175</v>
      </c>
      <c r="E150" t="s">
        <v>214</v>
      </c>
      <c r="F150" t="s">
        <v>214</v>
      </c>
      <c r="G150" t="s">
        <v>90</v>
      </c>
      <c r="H150" t="s">
        <v>81</v>
      </c>
      <c r="J150" t="s">
        <v>83</v>
      </c>
      <c r="L150">
        <v>46</v>
      </c>
      <c r="M150" t="s">
        <v>83</v>
      </c>
      <c r="O150" t="s">
        <v>83</v>
      </c>
      <c r="P150" t="s">
        <v>84</v>
      </c>
      <c r="Q150" t="s">
        <v>85</v>
      </c>
    </row>
    <row r="151" spans="1:17" hidden="1">
      <c r="A151" t="s">
        <v>76</v>
      </c>
      <c r="B151" t="s">
        <v>77</v>
      </c>
      <c r="C151" t="s">
        <v>175</v>
      </c>
      <c r="D151" t="s">
        <v>175</v>
      </c>
      <c r="E151" t="s">
        <v>116</v>
      </c>
      <c r="F151" t="s">
        <v>116</v>
      </c>
      <c r="G151" t="s">
        <v>90</v>
      </c>
      <c r="H151" t="s">
        <v>81</v>
      </c>
      <c r="L151">
        <v>47</v>
      </c>
      <c r="M151" t="s">
        <v>83</v>
      </c>
      <c r="O151" t="s">
        <v>83</v>
      </c>
      <c r="P151" t="s">
        <v>84</v>
      </c>
      <c r="Q151" t="s">
        <v>85</v>
      </c>
    </row>
    <row r="152" spans="1:17" hidden="1">
      <c r="A152" t="s">
        <v>76</v>
      </c>
      <c r="B152" t="s">
        <v>77</v>
      </c>
      <c r="C152" t="s">
        <v>175</v>
      </c>
      <c r="D152" t="s">
        <v>175</v>
      </c>
      <c r="E152" t="s">
        <v>117</v>
      </c>
      <c r="F152" t="s">
        <v>117</v>
      </c>
      <c r="G152" t="s">
        <v>90</v>
      </c>
      <c r="H152" t="s">
        <v>81</v>
      </c>
      <c r="L152">
        <v>48</v>
      </c>
      <c r="M152" t="s">
        <v>83</v>
      </c>
      <c r="O152" t="s">
        <v>83</v>
      </c>
      <c r="P152" t="s">
        <v>84</v>
      </c>
      <c r="Q152" t="s">
        <v>85</v>
      </c>
    </row>
    <row r="153" spans="1:17" hidden="1">
      <c r="A153" t="s">
        <v>76</v>
      </c>
      <c r="B153" t="s">
        <v>77</v>
      </c>
      <c r="C153" t="s">
        <v>175</v>
      </c>
      <c r="D153" t="s">
        <v>175</v>
      </c>
      <c r="E153" t="s">
        <v>215</v>
      </c>
      <c r="F153" t="s">
        <v>215</v>
      </c>
      <c r="G153" t="s">
        <v>90</v>
      </c>
      <c r="H153" t="s">
        <v>81</v>
      </c>
      <c r="L153">
        <v>49</v>
      </c>
      <c r="M153" t="s">
        <v>83</v>
      </c>
      <c r="O153" t="s">
        <v>83</v>
      </c>
      <c r="P153" t="s">
        <v>84</v>
      </c>
      <c r="Q153" t="s">
        <v>85</v>
      </c>
    </row>
    <row r="154" spans="1:17" hidden="1">
      <c r="A154" t="s">
        <v>76</v>
      </c>
      <c r="B154" t="s">
        <v>77</v>
      </c>
      <c r="C154" t="s">
        <v>175</v>
      </c>
      <c r="D154" t="s">
        <v>175</v>
      </c>
      <c r="E154" t="s">
        <v>118</v>
      </c>
      <c r="F154" t="s">
        <v>118</v>
      </c>
      <c r="G154" t="s">
        <v>92</v>
      </c>
      <c r="H154" t="s">
        <v>81</v>
      </c>
      <c r="L154">
        <v>50</v>
      </c>
      <c r="M154" t="s">
        <v>83</v>
      </c>
      <c r="O154" t="s">
        <v>83</v>
      </c>
      <c r="P154" t="s">
        <v>84</v>
      </c>
      <c r="Q154" t="s">
        <v>85</v>
      </c>
    </row>
    <row r="155" spans="1:17" ht="165" hidden="1">
      <c r="A155" t="s">
        <v>76</v>
      </c>
      <c r="B155" t="s">
        <v>77</v>
      </c>
      <c r="C155" t="s">
        <v>175</v>
      </c>
      <c r="D155" t="s">
        <v>175</v>
      </c>
      <c r="E155" t="s">
        <v>216</v>
      </c>
      <c r="F155" t="s">
        <v>216</v>
      </c>
      <c r="G155" t="s">
        <v>217</v>
      </c>
      <c r="H155" t="s">
        <v>81</v>
      </c>
      <c r="L155">
        <v>51</v>
      </c>
      <c r="M155" t="s">
        <v>83</v>
      </c>
      <c r="O155" t="s">
        <v>83</v>
      </c>
      <c r="P155" s="16" t="s">
        <v>218</v>
      </c>
      <c r="Q155" t="s">
        <v>85</v>
      </c>
    </row>
    <row r="156" spans="1:17" hidden="1">
      <c r="A156" t="s">
        <v>76</v>
      </c>
      <c r="B156" t="s">
        <v>77</v>
      </c>
      <c r="C156" t="s">
        <v>219</v>
      </c>
      <c r="D156" t="s">
        <v>219</v>
      </c>
      <c r="E156" t="s">
        <v>79</v>
      </c>
      <c r="F156" t="s">
        <v>79</v>
      </c>
      <c r="G156" t="s">
        <v>80</v>
      </c>
      <c r="H156" t="s">
        <v>81</v>
      </c>
      <c r="I156" t="s">
        <v>82</v>
      </c>
      <c r="L156">
        <v>1</v>
      </c>
      <c r="M156" t="s">
        <v>83</v>
      </c>
      <c r="O156" t="s">
        <v>83</v>
      </c>
      <c r="P156" t="s">
        <v>84</v>
      </c>
      <c r="Q156" t="s">
        <v>85</v>
      </c>
    </row>
    <row r="157" spans="1:17" hidden="1">
      <c r="A157" t="s">
        <v>76</v>
      </c>
      <c r="B157" t="s">
        <v>77</v>
      </c>
      <c r="C157" t="s">
        <v>219</v>
      </c>
      <c r="D157" t="s">
        <v>219</v>
      </c>
      <c r="E157" t="s">
        <v>86</v>
      </c>
      <c r="F157" t="s">
        <v>86</v>
      </c>
      <c r="G157" t="s">
        <v>80</v>
      </c>
      <c r="H157" t="s">
        <v>81</v>
      </c>
      <c r="I157" t="s">
        <v>82</v>
      </c>
      <c r="L157">
        <v>2</v>
      </c>
      <c r="M157" t="s">
        <v>83</v>
      </c>
      <c r="O157" t="s">
        <v>83</v>
      </c>
      <c r="P157" t="s">
        <v>84</v>
      </c>
      <c r="Q157" t="s">
        <v>85</v>
      </c>
    </row>
    <row r="158" spans="1:17" hidden="1">
      <c r="A158" t="s">
        <v>76</v>
      </c>
      <c r="B158" t="s">
        <v>77</v>
      </c>
      <c r="C158" t="s">
        <v>219</v>
      </c>
      <c r="D158" t="s">
        <v>219</v>
      </c>
      <c r="E158" t="s">
        <v>87</v>
      </c>
      <c r="F158" t="s">
        <v>87</v>
      </c>
      <c r="G158" t="s">
        <v>88</v>
      </c>
      <c r="H158" t="s">
        <v>81</v>
      </c>
      <c r="J158" t="s">
        <v>83</v>
      </c>
      <c r="L158">
        <v>3</v>
      </c>
      <c r="M158" t="s">
        <v>83</v>
      </c>
      <c r="O158" t="s">
        <v>83</v>
      </c>
      <c r="P158" t="s">
        <v>84</v>
      </c>
      <c r="Q158" t="s">
        <v>85</v>
      </c>
    </row>
    <row r="159" spans="1:17" hidden="1">
      <c r="A159" t="s">
        <v>76</v>
      </c>
      <c r="B159" t="s">
        <v>77</v>
      </c>
      <c r="C159" t="s">
        <v>219</v>
      </c>
      <c r="D159" t="s">
        <v>219</v>
      </c>
      <c r="E159" t="s">
        <v>89</v>
      </c>
      <c r="F159" t="s">
        <v>89</v>
      </c>
      <c r="G159" t="s">
        <v>90</v>
      </c>
      <c r="H159" t="s">
        <v>81</v>
      </c>
      <c r="J159" t="s">
        <v>83</v>
      </c>
      <c r="K159" t="s">
        <v>83</v>
      </c>
      <c r="L159">
        <v>4</v>
      </c>
      <c r="M159" t="s">
        <v>83</v>
      </c>
      <c r="O159" t="s">
        <v>83</v>
      </c>
      <c r="P159" t="s">
        <v>84</v>
      </c>
      <c r="Q159" t="s">
        <v>85</v>
      </c>
    </row>
    <row r="160" spans="1:17" hidden="1">
      <c r="A160" t="s">
        <v>76</v>
      </c>
      <c r="B160" t="s">
        <v>77</v>
      </c>
      <c r="C160" t="s">
        <v>219</v>
      </c>
      <c r="D160" t="s">
        <v>219</v>
      </c>
      <c r="E160" t="s">
        <v>91</v>
      </c>
      <c r="F160" t="s">
        <v>91</v>
      </c>
      <c r="G160" t="s">
        <v>92</v>
      </c>
      <c r="H160" t="s">
        <v>81</v>
      </c>
      <c r="J160" t="s">
        <v>83</v>
      </c>
      <c r="L160">
        <v>5</v>
      </c>
      <c r="M160" t="s">
        <v>83</v>
      </c>
      <c r="O160" t="s">
        <v>83</v>
      </c>
      <c r="P160" t="s">
        <v>84</v>
      </c>
      <c r="Q160" t="s">
        <v>85</v>
      </c>
    </row>
    <row r="161" spans="1:17" hidden="1">
      <c r="A161" t="s">
        <v>76</v>
      </c>
      <c r="B161" t="s">
        <v>77</v>
      </c>
      <c r="C161" t="s">
        <v>219</v>
      </c>
      <c r="D161" t="s">
        <v>219</v>
      </c>
      <c r="E161" t="s">
        <v>220</v>
      </c>
      <c r="F161" t="s">
        <v>220</v>
      </c>
      <c r="G161" t="s">
        <v>94</v>
      </c>
      <c r="H161" t="s">
        <v>81</v>
      </c>
      <c r="L161">
        <v>6</v>
      </c>
      <c r="M161" t="s">
        <v>83</v>
      </c>
      <c r="O161" t="s">
        <v>83</v>
      </c>
      <c r="P161" t="s">
        <v>84</v>
      </c>
      <c r="Q161" t="s">
        <v>85</v>
      </c>
    </row>
    <row r="162" spans="1:17" hidden="1">
      <c r="A162" t="s">
        <v>76</v>
      </c>
      <c r="B162" t="s">
        <v>77</v>
      </c>
      <c r="C162" t="s">
        <v>219</v>
      </c>
      <c r="D162" t="s">
        <v>219</v>
      </c>
      <c r="E162" t="s">
        <v>221</v>
      </c>
      <c r="F162" t="s">
        <v>221</v>
      </c>
      <c r="G162" t="s">
        <v>88</v>
      </c>
      <c r="H162" t="s">
        <v>81</v>
      </c>
      <c r="L162">
        <v>7</v>
      </c>
      <c r="M162" t="s">
        <v>83</v>
      </c>
      <c r="O162" t="s">
        <v>83</v>
      </c>
      <c r="P162" t="s">
        <v>84</v>
      </c>
      <c r="Q162" t="s">
        <v>85</v>
      </c>
    </row>
    <row r="163" spans="1:17" hidden="1">
      <c r="A163" t="s">
        <v>76</v>
      </c>
      <c r="B163" t="s">
        <v>77</v>
      </c>
      <c r="C163" t="s">
        <v>219</v>
      </c>
      <c r="D163" t="s">
        <v>219</v>
      </c>
      <c r="E163" t="s">
        <v>222</v>
      </c>
      <c r="F163" t="s">
        <v>222</v>
      </c>
      <c r="G163" t="s">
        <v>94</v>
      </c>
      <c r="H163" t="s">
        <v>81</v>
      </c>
      <c r="L163">
        <v>8</v>
      </c>
      <c r="M163" t="s">
        <v>83</v>
      </c>
      <c r="O163" t="s">
        <v>83</v>
      </c>
      <c r="P163" t="s">
        <v>84</v>
      </c>
      <c r="Q163" t="s">
        <v>85</v>
      </c>
    </row>
    <row r="164" spans="1:17" hidden="1">
      <c r="A164" t="s">
        <v>76</v>
      </c>
      <c r="B164" t="s">
        <v>77</v>
      </c>
      <c r="C164" t="s">
        <v>219</v>
      </c>
      <c r="D164" t="s">
        <v>219</v>
      </c>
      <c r="E164" t="s">
        <v>223</v>
      </c>
      <c r="F164" t="s">
        <v>223</v>
      </c>
      <c r="G164" t="s">
        <v>90</v>
      </c>
      <c r="H164" t="s">
        <v>81</v>
      </c>
      <c r="I164" t="s">
        <v>82</v>
      </c>
      <c r="L164">
        <v>9</v>
      </c>
      <c r="M164" t="s">
        <v>83</v>
      </c>
      <c r="O164" t="s">
        <v>83</v>
      </c>
      <c r="P164" t="s">
        <v>100</v>
      </c>
      <c r="Q164" t="s">
        <v>85</v>
      </c>
    </row>
    <row r="165" spans="1:17" hidden="1">
      <c r="A165" t="s">
        <v>76</v>
      </c>
      <c r="B165" t="s">
        <v>77</v>
      </c>
      <c r="C165" t="s">
        <v>219</v>
      </c>
      <c r="D165" t="s">
        <v>219</v>
      </c>
      <c r="E165" t="s">
        <v>223</v>
      </c>
      <c r="F165" t="s">
        <v>224</v>
      </c>
      <c r="G165" t="s">
        <v>90</v>
      </c>
      <c r="H165" t="s">
        <v>81</v>
      </c>
      <c r="L165">
        <v>10</v>
      </c>
      <c r="M165" t="s">
        <v>83</v>
      </c>
      <c r="O165" t="s">
        <v>83</v>
      </c>
      <c r="P165" t="s">
        <v>84</v>
      </c>
      <c r="Q165" t="s">
        <v>85</v>
      </c>
    </row>
    <row r="166" spans="1:17" hidden="1">
      <c r="A166" t="s">
        <v>76</v>
      </c>
      <c r="B166" t="s">
        <v>77</v>
      </c>
      <c r="C166" t="s">
        <v>219</v>
      </c>
      <c r="D166" t="s">
        <v>219</v>
      </c>
      <c r="E166" t="s">
        <v>225</v>
      </c>
      <c r="F166" t="s">
        <v>225</v>
      </c>
      <c r="G166" t="s">
        <v>90</v>
      </c>
      <c r="H166" t="s">
        <v>81</v>
      </c>
      <c r="I166" t="s">
        <v>82</v>
      </c>
      <c r="L166">
        <v>11</v>
      </c>
      <c r="M166" t="s">
        <v>83</v>
      </c>
      <c r="O166" t="s">
        <v>83</v>
      </c>
      <c r="P166" t="s">
        <v>100</v>
      </c>
      <c r="Q166" t="s">
        <v>85</v>
      </c>
    </row>
    <row r="167" spans="1:17" hidden="1">
      <c r="A167" t="s">
        <v>76</v>
      </c>
      <c r="B167" t="s">
        <v>77</v>
      </c>
      <c r="C167" t="s">
        <v>219</v>
      </c>
      <c r="D167" t="s">
        <v>219</v>
      </c>
      <c r="E167" t="s">
        <v>225</v>
      </c>
      <c r="F167" t="s">
        <v>226</v>
      </c>
      <c r="G167" t="s">
        <v>90</v>
      </c>
      <c r="H167" t="s">
        <v>81</v>
      </c>
      <c r="L167">
        <v>12</v>
      </c>
      <c r="M167" t="s">
        <v>83</v>
      </c>
      <c r="O167" t="s">
        <v>83</v>
      </c>
      <c r="P167" t="s">
        <v>84</v>
      </c>
      <c r="Q167" t="s">
        <v>85</v>
      </c>
    </row>
    <row r="168" spans="1:17" hidden="1">
      <c r="A168" t="s">
        <v>76</v>
      </c>
      <c r="B168" t="s">
        <v>77</v>
      </c>
      <c r="C168" t="s">
        <v>219</v>
      </c>
      <c r="D168" t="s">
        <v>219</v>
      </c>
      <c r="E168" t="s">
        <v>112</v>
      </c>
      <c r="F168" t="s">
        <v>112</v>
      </c>
      <c r="G168" t="s">
        <v>113</v>
      </c>
      <c r="H168" t="s">
        <v>81</v>
      </c>
      <c r="I168" t="s">
        <v>114</v>
      </c>
      <c r="L168">
        <v>13</v>
      </c>
      <c r="M168" t="s">
        <v>83</v>
      </c>
      <c r="O168" t="s">
        <v>83</v>
      </c>
      <c r="P168" t="s">
        <v>84</v>
      </c>
      <c r="Q168" t="s">
        <v>85</v>
      </c>
    </row>
    <row r="169" spans="1:17" hidden="1">
      <c r="A169" t="s">
        <v>76</v>
      </c>
      <c r="B169" t="s">
        <v>77</v>
      </c>
      <c r="C169" t="s">
        <v>219</v>
      </c>
      <c r="D169" t="s">
        <v>219</v>
      </c>
      <c r="E169" t="s">
        <v>115</v>
      </c>
      <c r="F169" t="s">
        <v>115</v>
      </c>
      <c r="G169" t="s">
        <v>113</v>
      </c>
      <c r="H169" t="s">
        <v>81</v>
      </c>
      <c r="I169" t="s">
        <v>114</v>
      </c>
      <c r="L169">
        <v>14</v>
      </c>
      <c r="M169" t="s">
        <v>83</v>
      </c>
      <c r="O169" t="s">
        <v>83</v>
      </c>
      <c r="P169" t="s">
        <v>84</v>
      </c>
      <c r="Q169" t="s">
        <v>85</v>
      </c>
    </row>
    <row r="170" spans="1:17" hidden="1">
      <c r="A170" t="s">
        <v>76</v>
      </c>
      <c r="B170" t="s">
        <v>77</v>
      </c>
      <c r="C170" t="s">
        <v>219</v>
      </c>
      <c r="D170" t="s">
        <v>219</v>
      </c>
      <c r="E170" t="s">
        <v>117</v>
      </c>
      <c r="F170" t="s">
        <v>117</v>
      </c>
      <c r="G170" t="s">
        <v>90</v>
      </c>
      <c r="H170" t="s">
        <v>81</v>
      </c>
      <c r="L170">
        <v>21</v>
      </c>
      <c r="M170" t="s">
        <v>83</v>
      </c>
      <c r="O170" t="s">
        <v>83</v>
      </c>
      <c r="P170" t="s">
        <v>84</v>
      </c>
      <c r="Q170" t="s">
        <v>85</v>
      </c>
    </row>
    <row r="171" spans="1:17" hidden="1">
      <c r="A171" t="s">
        <v>76</v>
      </c>
      <c r="B171" t="s">
        <v>77</v>
      </c>
      <c r="C171" t="s">
        <v>219</v>
      </c>
      <c r="D171" t="s">
        <v>219</v>
      </c>
      <c r="E171" t="s">
        <v>118</v>
      </c>
      <c r="F171" t="s">
        <v>118</v>
      </c>
      <c r="G171" t="s">
        <v>92</v>
      </c>
      <c r="H171" t="s">
        <v>81</v>
      </c>
      <c r="L171">
        <v>22</v>
      </c>
      <c r="M171" t="s">
        <v>83</v>
      </c>
      <c r="O171" t="s">
        <v>83</v>
      </c>
      <c r="P171" t="s">
        <v>84</v>
      </c>
      <c r="Q171" t="s">
        <v>85</v>
      </c>
    </row>
    <row r="172" spans="1:17" hidden="1">
      <c r="A172" t="s">
        <v>76</v>
      </c>
      <c r="B172" t="s">
        <v>77</v>
      </c>
      <c r="C172" t="s">
        <v>227</v>
      </c>
      <c r="D172" t="s">
        <v>227</v>
      </c>
      <c r="E172" t="s">
        <v>79</v>
      </c>
      <c r="F172" t="s">
        <v>79</v>
      </c>
      <c r="G172" t="s">
        <v>80</v>
      </c>
      <c r="H172" t="s">
        <v>81</v>
      </c>
      <c r="I172" t="s">
        <v>82</v>
      </c>
      <c r="L172">
        <v>1</v>
      </c>
      <c r="M172" t="s">
        <v>83</v>
      </c>
      <c r="O172" t="s">
        <v>83</v>
      </c>
      <c r="P172" t="s">
        <v>84</v>
      </c>
      <c r="Q172" t="s">
        <v>85</v>
      </c>
    </row>
    <row r="173" spans="1:17" hidden="1">
      <c r="A173" t="s">
        <v>76</v>
      </c>
      <c r="B173" t="s">
        <v>77</v>
      </c>
      <c r="C173" t="s">
        <v>227</v>
      </c>
      <c r="D173" t="s">
        <v>227</v>
      </c>
      <c r="E173" t="s">
        <v>86</v>
      </c>
      <c r="F173" t="s">
        <v>86</v>
      </c>
      <c r="G173" t="s">
        <v>80</v>
      </c>
      <c r="H173" t="s">
        <v>81</v>
      </c>
      <c r="I173" t="s">
        <v>82</v>
      </c>
      <c r="L173">
        <v>2</v>
      </c>
      <c r="M173" t="s">
        <v>83</v>
      </c>
      <c r="O173" t="s">
        <v>83</v>
      </c>
      <c r="P173" t="s">
        <v>84</v>
      </c>
      <c r="Q173" t="s">
        <v>85</v>
      </c>
    </row>
    <row r="174" spans="1:17" hidden="1">
      <c r="A174" t="s">
        <v>76</v>
      </c>
      <c r="B174" t="s">
        <v>77</v>
      </c>
      <c r="C174" t="s">
        <v>227</v>
      </c>
      <c r="D174" t="s">
        <v>227</v>
      </c>
      <c r="E174" t="s">
        <v>87</v>
      </c>
      <c r="F174" t="s">
        <v>87</v>
      </c>
      <c r="G174" t="s">
        <v>88</v>
      </c>
      <c r="H174" t="s">
        <v>81</v>
      </c>
      <c r="J174" t="s">
        <v>83</v>
      </c>
      <c r="L174">
        <v>3</v>
      </c>
      <c r="M174" t="s">
        <v>83</v>
      </c>
      <c r="O174" t="s">
        <v>83</v>
      </c>
      <c r="P174" t="s">
        <v>84</v>
      </c>
      <c r="Q174" t="s">
        <v>85</v>
      </c>
    </row>
    <row r="175" spans="1:17" hidden="1">
      <c r="A175" t="s">
        <v>76</v>
      </c>
      <c r="B175" t="s">
        <v>77</v>
      </c>
      <c r="C175" t="s">
        <v>227</v>
      </c>
      <c r="D175" t="s">
        <v>227</v>
      </c>
      <c r="E175" t="s">
        <v>89</v>
      </c>
      <c r="F175" t="s">
        <v>89</v>
      </c>
      <c r="G175" t="s">
        <v>90</v>
      </c>
      <c r="H175" t="s">
        <v>81</v>
      </c>
      <c r="J175" t="s">
        <v>83</v>
      </c>
      <c r="K175" t="s">
        <v>83</v>
      </c>
      <c r="L175">
        <v>4</v>
      </c>
      <c r="M175" t="s">
        <v>83</v>
      </c>
      <c r="O175" t="s">
        <v>83</v>
      </c>
      <c r="P175" t="s">
        <v>84</v>
      </c>
      <c r="Q175" t="s">
        <v>85</v>
      </c>
    </row>
    <row r="176" spans="1:17" hidden="1">
      <c r="A176" t="s">
        <v>76</v>
      </c>
      <c r="B176" t="s">
        <v>77</v>
      </c>
      <c r="C176" t="s">
        <v>227</v>
      </c>
      <c r="D176" t="s">
        <v>227</v>
      </c>
      <c r="E176" t="s">
        <v>228</v>
      </c>
      <c r="F176" t="s">
        <v>228</v>
      </c>
      <c r="G176" t="s">
        <v>90</v>
      </c>
      <c r="H176" t="s">
        <v>81</v>
      </c>
      <c r="I176" t="s">
        <v>82</v>
      </c>
      <c r="L176">
        <v>5</v>
      </c>
      <c r="M176" t="s">
        <v>83</v>
      </c>
      <c r="O176" t="s">
        <v>83</v>
      </c>
      <c r="P176" t="s">
        <v>100</v>
      </c>
      <c r="Q176" t="s">
        <v>85</v>
      </c>
    </row>
    <row r="177" spans="1:17" hidden="1">
      <c r="A177" t="s">
        <v>76</v>
      </c>
      <c r="B177" t="s">
        <v>77</v>
      </c>
      <c r="C177" t="s">
        <v>227</v>
      </c>
      <c r="D177" t="s">
        <v>227</v>
      </c>
      <c r="E177" t="s">
        <v>228</v>
      </c>
      <c r="F177" t="s">
        <v>229</v>
      </c>
      <c r="G177" t="s">
        <v>90</v>
      </c>
      <c r="H177" t="s">
        <v>81</v>
      </c>
      <c r="L177">
        <v>6</v>
      </c>
      <c r="M177" t="s">
        <v>83</v>
      </c>
      <c r="O177" t="s">
        <v>83</v>
      </c>
      <c r="P177" t="s">
        <v>84</v>
      </c>
      <c r="Q177" t="s">
        <v>85</v>
      </c>
    </row>
    <row r="178" spans="1:17" hidden="1">
      <c r="A178" t="s">
        <v>76</v>
      </c>
      <c r="B178" t="s">
        <v>77</v>
      </c>
      <c r="C178" t="s">
        <v>227</v>
      </c>
      <c r="D178" t="s">
        <v>227</v>
      </c>
      <c r="E178" t="s">
        <v>230</v>
      </c>
      <c r="F178" t="s">
        <v>230</v>
      </c>
      <c r="G178" t="s">
        <v>94</v>
      </c>
      <c r="H178" t="s">
        <v>81</v>
      </c>
      <c r="L178">
        <v>7</v>
      </c>
      <c r="M178" t="s">
        <v>83</v>
      </c>
      <c r="O178" t="s">
        <v>83</v>
      </c>
      <c r="P178" t="s">
        <v>84</v>
      </c>
      <c r="Q178" t="s">
        <v>85</v>
      </c>
    </row>
    <row r="179" spans="1:17" hidden="1">
      <c r="A179" t="s">
        <v>76</v>
      </c>
      <c r="B179" t="s">
        <v>77</v>
      </c>
      <c r="C179" t="s">
        <v>227</v>
      </c>
      <c r="D179" t="s">
        <v>227</v>
      </c>
      <c r="E179" t="s">
        <v>91</v>
      </c>
      <c r="F179" t="s">
        <v>91</v>
      </c>
      <c r="G179" t="s">
        <v>92</v>
      </c>
      <c r="H179" t="s">
        <v>81</v>
      </c>
      <c r="J179" t="s">
        <v>83</v>
      </c>
      <c r="L179">
        <v>8</v>
      </c>
      <c r="M179" t="s">
        <v>83</v>
      </c>
      <c r="O179" t="s">
        <v>83</v>
      </c>
      <c r="P179" t="s">
        <v>84</v>
      </c>
      <c r="Q179" t="s">
        <v>85</v>
      </c>
    </row>
    <row r="180" spans="1:17" hidden="1">
      <c r="A180" t="s">
        <v>76</v>
      </c>
      <c r="B180" t="s">
        <v>77</v>
      </c>
      <c r="C180" t="s">
        <v>227</v>
      </c>
      <c r="D180" t="s">
        <v>227</v>
      </c>
      <c r="E180" t="s">
        <v>231</v>
      </c>
      <c r="F180" t="s">
        <v>231</v>
      </c>
      <c r="G180" t="s">
        <v>94</v>
      </c>
      <c r="H180" t="s">
        <v>81</v>
      </c>
      <c r="L180">
        <v>9</v>
      </c>
      <c r="M180" t="s">
        <v>83</v>
      </c>
      <c r="O180" t="s">
        <v>83</v>
      </c>
      <c r="P180" t="s">
        <v>84</v>
      </c>
      <c r="Q180" t="s">
        <v>85</v>
      </c>
    </row>
    <row r="181" spans="1:17" hidden="1">
      <c r="A181" t="s">
        <v>76</v>
      </c>
      <c r="B181" t="s">
        <v>77</v>
      </c>
      <c r="C181" t="s">
        <v>227</v>
      </c>
      <c r="D181" t="s">
        <v>227</v>
      </c>
      <c r="E181" t="s">
        <v>232</v>
      </c>
      <c r="F181" t="s">
        <v>232</v>
      </c>
      <c r="G181" t="s">
        <v>88</v>
      </c>
      <c r="H181" t="s">
        <v>81</v>
      </c>
      <c r="L181">
        <v>10</v>
      </c>
      <c r="M181" t="s">
        <v>83</v>
      </c>
      <c r="O181" t="s">
        <v>83</v>
      </c>
      <c r="P181" t="s">
        <v>84</v>
      </c>
      <c r="Q181" t="s">
        <v>85</v>
      </c>
    </row>
    <row r="182" spans="1:17" hidden="1">
      <c r="A182" t="s">
        <v>76</v>
      </c>
      <c r="B182" t="s">
        <v>77</v>
      </c>
      <c r="C182" t="s">
        <v>227</v>
      </c>
      <c r="D182" t="s">
        <v>227</v>
      </c>
      <c r="E182" t="s">
        <v>233</v>
      </c>
      <c r="F182" t="s">
        <v>233</v>
      </c>
      <c r="G182" t="s">
        <v>94</v>
      </c>
      <c r="H182" t="s">
        <v>81</v>
      </c>
      <c r="L182">
        <v>11</v>
      </c>
      <c r="M182" t="s">
        <v>83</v>
      </c>
      <c r="O182" t="s">
        <v>83</v>
      </c>
      <c r="P182" t="s">
        <v>84</v>
      </c>
      <c r="Q182" t="s">
        <v>85</v>
      </c>
    </row>
    <row r="183" spans="1:17" hidden="1">
      <c r="A183" t="s">
        <v>76</v>
      </c>
      <c r="B183" t="s">
        <v>77</v>
      </c>
      <c r="C183" t="s">
        <v>227</v>
      </c>
      <c r="D183" t="s">
        <v>227</v>
      </c>
      <c r="E183" t="s">
        <v>234</v>
      </c>
      <c r="F183" t="s">
        <v>234</v>
      </c>
      <c r="G183" t="s">
        <v>235</v>
      </c>
      <c r="H183" t="s">
        <v>81</v>
      </c>
      <c r="L183">
        <v>12</v>
      </c>
      <c r="M183" t="s">
        <v>83</v>
      </c>
      <c r="O183" t="s">
        <v>83</v>
      </c>
      <c r="P183" t="s">
        <v>84</v>
      </c>
      <c r="Q183" t="s">
        <v>85</v>
      </c>
    </row>
    <row r="184" spans="1:17" hidden="1">
      <c r="A184" t="s">
        <v>76</v>
      </c>
      <c r="B184" t="s">
        <v>77</v>
      </c>
      <c r="C184" t="s">
        <v>227</v>
      </c>
      <c r="D184" t="s">
        <v>227</v>
      </c>
      <c r="E184" t="s">
        <v>236</v>
      </c>
      <c r="F184" t="s">
        <v>236</v>
      </c>
      <c r="G184" t="s">
        <v>209</v>
      </c>
      <c r="H184" t="s">
        <v>81</v>
      </c>
      <c r="L184">
        <v>13</v>
      </c>
      <c r="M184" t="s">
        <v>83</v>
      </c>
      <c r="O184" t="s">
        <v>83</v>
      </c>
      <c r="P184" t="s">
        <v>84</v>
      </c>
      <c r="Q184" t="s">
        <v>85</v>
      </c>
    </row>
    <row r="185" spans="1:17" hidden="1">
      <c r="A185" t="s">
        <v>76</v>
      </c>
      <c r="B185" t="s">
        <v>77</v>
      </c>
      <c r="C185" t="s">
        <v>227</v>
      </c>
      <c r="D185" t="s">
        <v>227</v>
      </c>
      <c r="E185" t="s">
        <v>112</v>
      </c>
      <c r="F185" t="s">
        <v>112</v>
      </c>
      <c r="G185" t="s">
        <v>113</v>
      </c>
      <c r="H185" t="s">
        <v>81</v>
      </c>
      <c r="I185" t="s">
        <v>114</v>
      </c>
      <c r="L185">
        <v>14</v>
      </c>
      <c r="M185" t="s">
        <v>83</v>
      </c>
      <c r="O185" t="s">
        <v>83</v>
      </c>
      <c r="P185" t="s">
        <v>84</v>
      </c>
      <c r="Q185" t="s">
        <v>85</v>
      </c>
    </row>
    <row r="186" spans="1:17" hidden="1">
      <c r="A186" t="s">
        <v>76</v>
      </c>
      <c r="B186" t="s">
        <v>77</v>
      </c>
      <c r="C186" t="s">
        <v>227</v>
      </c>
      <c r="D186" t="s">
        <v>227</v>
      </c>
      <c r="E186" t="s">
        <v>115</v>
      </c>
      <c r="F186" t="s">
        <v>115</v>
      </c>
      <c r="G186" t="s">
        <v>113</v>
      </c>
      <c r="H186" t="s">
        <v>81</v>
      </c>
      <c r="I186" t="s">
        <v>114</v>
      </c>
      <c r="L186">
        <v>15</v>
      </c>
      <c r="M186" t="s">
        <v>83</v>
      </c>
      <c r="O186" t="s">
        <v>83</v>
      </c>
      <c r="P186" t="s">
        <v>84</v>
      </c>
      <c r="Q186" t="s">
        <v>85</v>
      </c>
    </row>
    <row r="187" spans="1:17" hidden="1">
      <c r="A187" t="s">
        <v>76</v>
      </c>
      <c r="B187" t="s">
        <v>77</v>
      </c>
      <c r="C187" t="s">
        <v>227</v>
      </c>
      <c r="D187" t="s">
        <v>227</v>
      </c>
      <c r="E187" t="s">
        <v>117</v>
      </c>
      <c r="F187" t="s">
        <v>117</v>
      </c>
      <c r="G187" t="s">
        <v>90</v>
      </c>
      <c r="H187" t="s">
        <v>81</v>
      </c>
      <c r="L187">
        <v>22</v>
      </c>
      <c r="M187" t="s">
        <v>83</v>
      </c>
      <c r="O187" t="s">
        <v>83</v>
      </c>
      <c r="P187" t="s">
        <v>84</v>
      </c>
      <c r="Q187" t="s">
        <v>85</v>
      </c>
    </row>
    <row r="188" spans="1:17" hidden="1">
      <c r="A188" t="s">
        <v>76</v>
      </c>
      <c r="B188" t="s">
        <v>77</v>
      </c>
      <c r="C188" t="s">
        <v>227</v>
      </c>
      <c r="D188" t="s">
        <v>227</v>
      </c>
      <c r="E188" t="s">
        <v>118</v>
      </c>
      <c r="F188" t="s">
        <v>118</v>
      </c>
      <c r="G188" t="s">
        <v>92</v>
      </c>
      <c r="H188" t="s">
        <v>81</v>
      </c>
      <c r="L188">
        <v>23</v>
      </c>
      <c r="M188" t="s">
        <v>83</v>
      </c>
      <c r="O188" t="s">
        <v>83</v>
      </c>
      <c r="P188" t="s">
        <v>84</v>
      </c>
      <c r="Q188" t="s">
        <v>85</v>
      </c>
    </row>
    <row r="189" spans="1:17" hidden="1">
      <c r="A189" t="s">
        <v>76</v>
      </c>
      <c r="B189" t="s">
        <v>77</v>
      </c>
      <c r="C189" t="s">
        <v>237</v>
      </c>
      <c r="D189" t="s">
        <v>237</v>
      </c>
      <c r="E189" t="s">
        <v>79</v>
      </c>
      <c r="F189" t="s">
        <v>79</v>
      </c>
      <c r="G189" t="s">
        <v>80</v>
      </c>
      <c r="H189" t="s">
        <v>81</v>
      </c>
      <c r="I189" t="s">
        <v>82</v>
      </c>
      <c r="L189">
        <v>1</v>
      </c>
      <c r="M189" t="s">
        <v>83</v>
      </c>
      <c r="O189" t="s">
        <v>83</v>
      </c>
      <c r="P189" t="s">
        <v>84</v>
      </c>
      <c r="Q189" t="s">
        <v>85</v>
      </c>
    </row>
    <row r="190" spans="1:17" hidden="1">
      <c r="A190" t="s">
        <v>76</v>
      </c>
      <c r="B190" t="s">
        <v>77</v>
      </c>
      <c r="C190" t="s">
        <v>237</v>
      </c>
      <c r="D190" t="s">
        <v>237</v>
      </c>
      <c r="E190" t="s">
        <v>86</v>
      </c>
      <c r="F190" t="s">
        <v>86</v>
      </c>
      <c r="G190" t="s">
        <v>80</v>
      </c>
      <c r="H190" t="s">
        <v>81</v>
      </c>
      <c r="I190" t="s">
        <v>82</v>
      </c>
      <c r="L190">
        <v>2</v>
      </c>
      <c r="M190" t="s">
        <v>83</v>
      </c>
      <c r="O190" t="s">
        <v>83</v>
      </c>
      <c r="P190" t="s">
        <v>84</v>
      </c>
      <c r="Q190" t="s">
        <v>85</v>
      </c>
    </row>
    <row r="191" spans="1:17" hidden="1">
      <c r="A191" t="s">
        <v>76</v>
      </c>
      <c r="B191" t="s">
        <v>77</v>
      </c>
      <c r="C191" t="s">
        <v>237</v>
      </c>
      <c r="D191" t="s">
        <v>237</v>
      </c>
      <c r="E191" t="s">
        <v>87</v>
      </c>
      <c r="F191" t="s">
        <v>87</v>
      </c>
      <c r="G191" t="s">
        <v>88</v>
      </c>
      <c r="H191" t="s">
        <v>81</v>
      </c>
      <c r="J191" t="s">
        <v>83</v>
      </c>
      <c r="L191">
        <v>3</v>
      </c>
      <c r="M191" t="s">
        <v>83</v>
      </c>
      <c r="O191" t="s">
        <v>83</v>
      </c>
      <c r="P191" t="s">
        <v>84</v>
      </c>
      <c r="Q191" t="s">
        <v>85</v>
      </c>
    </row>
    <row r="192" spans="1:17" hidden="1">
      <c r="A192" t="s">
        <v>76</v>
      </c>
      <c r="B192" t="s">
        <v>77</v>
      </c>
      <c r="C192" t="s">
        <v>237</v>
      </c>
      <c r="D192" t="s">
        <v>237</v>
      </c>
      <c r="E192" t="s">
        <v>89</v>
      </c>
      <c r="F192" t="s">
        <v>89</v>
      </c>
      <c r="G192" t="s">
        <v>90</v>
      </c>
      <c r="H192" t="s">
        <v>81</v>
      </c>
      <c r="J192" t="s">
        <v>83</v>
      </c>
      <c r="K192" t="s">
        <v>83</v>
      </c>
      <c r="L192">
        <v>4</v>
      </c>
      <c r="M192" t="s">
        <v>83</v>
      </c>
      <c r="O192" t="s">
        <v>83</v>
      </c>
      <c r="P192" t="s">
        <v>84</v>
      </c>
      <c r="Q192" t="s">
        <v>85</v>
      </c>
    </row>
    <row r="193" spans="1:17" hidden="1">
      <c r="A193" t="s">
        <v>76</v>
      </c>
      <c r="B193" t="s">
        <v>77</v>
      </c>
      <c r="C193" t="s">
        <v>237</v>
      </c>
      <c r="D193" t="s">
        <v>237</v>
      </c>
      <c r="E193" t="s">
        <v>238</v>
      </c>
      <c r="F193" t="s">
        <v>238</v>
      </c>
      <c r="G193" t="s">
        <v>90</v>
      </c>
      <c r="H193" t="s">
        <v>81</v>
      </c>
      <c r="I193" t="s">
        <v>82</v>
      </c>
      <c r="L193">
        <v>5</v>
      </c>
      <c r="M193" t="s">
        <v>83</v>
      </c>
      <c r="O193" t="s">
        <v>83</v>
      </c>
      <c r="P193" t="s">
        <v>100</v>
      </c>
      <c r="Q193" t="s">
        <v>85</v>
      </c>
    </row>
    <row r="194" spans="1:17" hidden="1">
      <c r="A194" t="s">
        <v>76</v>
      </c>
      <c r="B194" t="s">
        <v>77</v>
      </c>
      <c r="C194" t="s">
        <v>237</v>
      </c>
      <c r="D194" t="s">
        <v>237</v>
      </c>
      <c r="E194" t="s">
        <v>238</v>
      </c>
      <c r="F194" t="s">
        <v>239</v>
      </c>
      <c r="G194" t="s">
        <v>90</v>
      </c>
      <c r="H194" t="s">
        <v>81</v>
      </c>
      <c r="L194">
        <v>6</v>
      </c>
      <c r="M194" t="s">
        <v>83</v>
      </c>
      <c r="O194" t="s">
        <v>83</v>
      </c>
      <c r="P194" t="s">
        <v>84</v>
      </c>
      <c r="Q194" t="s">
        <v>85</v>
      </c>
    </row>
    <row r="195" spans="1:17" hidden="1">
      <c r="A195" t="s">
        <v>76</v>
      </c>
      <c r="B195" t="s">
        <v>77</v>
      </c>
      <c r="C195" t="s">
        <v>237</v>
      </c>
      <c r="D195" t="s">
        <v>237</v>
      </c>
      <c r="E195" t="s">
        <v>240</v>
      </c>
      <c r="F195" t="s">
        <v>240</v>
      </c>
      <c r="G195" t="s">
        <v>98</v>
      </c>
      <c r="H195" t="s">
        <v>81</v>
      </c>
      <c r="L195">
        <v>7</v>
      </c>
      <c r="M195" t="s">
        <v>83</v>
      </c>
      <c r="O195" t="s">
        <v>83</v>
      </c>
      <c r="P195" t="s">
        <v>84</v>
      </c>
      <c r="Q195" t="s">
        <v>85</v>
      </c>
    </row>
    <row r="196" spans="1:17" hidden="1">
      <c r="A196" t="s">
        <v>76</v>
      </c>
      <c r="B196" t="s">
        <v>77</v>
      </c>
      <c r="C196" t="s">
        <v>237</v>
      </c>
      <c r="D196" t="s">
        <v>237</v>
      </c>
      <c r="E196" t="s">
        <v>91</v>
      </c>
      <c r="F196" t="s">
        <v>91</v>
      </c>
      <c r="G196" t="s">
        <v>92</v>
      </c>
      <c r="H196" t="s">
        <v>81</v>
      </c>
      <c r="J196" t="s">
        <v>83</v>
      </c>
      <c r="L196">
        <v>8</v>
      </c>
      <c r="M196" t="s">
        <v>83</v>
      </c>
      <c r="O196" t="s">
        <v>83</v>
      </c>
      <c r="P196" t="s">
        <v>84</v>
      </c>
      <c r="Q196" t="s">
        <v>85</v>
      </c>
    </row>
    <row r="197" spans="1:17" hidden="1">
      <c r="A197" t="s">
        <v>76</v>
      </c>
      <c r="B197" t="s">
        <v>77</v>
      </c>
      <c r="C197" t="s">
        <v>237</v>
      </c>
      <c r="D197" t="s">
        <v>237</v>
      </c>
      <c r="E197" t="s">
        <v>241</v>
      </c>
      <c r="F197" t="s">
        <v>241</v>
      </c>
      <c r="G197" t="s">
        <v>94</v>
      </c>
      <c r="H197" t="s">
        <v>81</v>
      </c>
      <c r="L197">
        <v>9</v>
      </c>
      <c r="M197" t="s">
        <v>83</v>
      </c>
      <c r="O197" t="s">
        <v>83</v>
      </c>
      <c r="P197" t="s">
        <v>84</v>
      </c>
      <c r="Q197" t="s">
        <v>85</v>
      </c>
    </row>
    <row r="198" spans="1:17" hidden="1">
      <c r="A198" t="s">
        <v>76</v>
      </c>
      <c r="B198" t="s">
        <v>77</v>
      </c>
      <c r="C198" t="s">
        <v>237</v>
      </c>
      <c r="D198" t="s">
        <v>237</v>
      </c>
      <c r="E198" t="s">
        <v>242</v>
      </c>
      <c r="F198" t="s">
        <v>242</v>
      </c>
      <c r="G198" t="s">
        <v>88</v>
      </c>
      <c r="H198" t="s">
        <v>81</v>
      </c>
      <c r="L198">
        <v>10</v>
      </c>
      <c r="M198" t="s">
        <v>83</v>
      </c>
      <c r="O198" t="s">
        <v>83</v>
      </c>
      <c r="P198" t="s">
        <v>84</v>
      </c>
      <c r="Q198" t="s">
        <v>85</v>
      </c>
    </row>
    <row r="199" spans="1:17" hidden="1">
      <c r="A199" t="s">
        <v>76</v>
      </c>
      <c r="B199" t="s">
        <v>77</v>
      </c>
      <c r="C199" t="s">
        <v>237</v>
      </c>
      <c r="D199" t="s">
        <v>237</v>
      </c>
      <c r="E199" t="s">
        <v>243</v>
      </c>
      <c r="F199" t="s">
        <v>243</v>
      </c>
      <c r="G199" t="s">
        <v>94</v>
      </c>
      <c r="H199" t="s">
        <v>81</v>
      </c>
      <c r="L199">
        <v>11</v>
      </c>
      <c r="M199" t="s">
        <v>83</v>
      </c>
      <c r="O199" t="s">
        <v>83</v>
      </c>
      <c r="P199" t="s">
        <v>84</v>
      </c>
      <c r="Q199" t="s">
        <v>85</v>
      </c>
    </row>
    <row r="200" spans="1:17" hidden="1">
      <c r="A200" t="s">
        <v>76</v>
      </c>
      <c r="B200" t="s">
        <v>77</v>
      </c>
      <c r="C200" t="s">
        <v>237</v>
      </c>
      <c r="D200" t="s">
        <v>237</v>
      </c>
      <c r="E200" t="s">
        <v>244</v>
      </c>
      <c r="F200" t="s">
        <v>244</v>
      </c>
      <c r="G200" t="s">
        <v>90</v>
      </c>
      <c r="H200" t="s">
        <v>81</v>
      </c>
      <c r="I200" t="s">
        <v>82</v>
      </c>
      <c r="L200">
        <v>12</v>
      </c>
      <c r="M200" t="s">
        <v>83</v>
      </c>
      <c r="O200" t="s">
        <v>83</v>
      </c>
      <c r="P200" t="s">
        <v>100</v>
      </c>
      <c r="Q200" t="s">
        <v>85</v>
      </c>
    </row>
    <row r="201" spans="1:17" hidden="1">
      <c r="A201" t="s">
        <v>76</v>
      </c>
      <c r="B201" t="s">
        <v>77</v>
      </c>
      <c r="C201" t="s">
        <v>237</v>
      </c>
      <c r="D201" t="s">
        <v>237</v>
      </c>
      <c r="E201" t="s">
        <v>244</v>
      </c>
      <c r="F201" t="s">
        <v>245</v>
      </c>
      <c r="G201" t="s">
        <v>90</v>
      </c>
      <c r="H201" t="s">
        <v>81</v>
      </c>
      <c r="L201">
        <v>13</v>
      </c>
      <c r="M201" t="s">
        <v>83</v>
      </c>
      <c r="O201" t="s">
        <v>83</v>
      </c>
      <c r="P201" t="s">
        <v>84</v>
      </c>
      <c r="Q201" t="s">
        <v>85</v>
      </c>
    </row>
    <row r="202" spans="1:17" hidden="1">
      <c r="A202" t="s">
        <v>76</v>
      </c>
      <c r="B202" t="s">
        <v>77</v>
      </c>
      <c r="C202" t="s">
        <v>237</v>
      </c>
      <c r="D202" t="s">
        <v>237</v>
      </c>
      <c r="E202" t="s">
        <v>246</v>
      </c>
      <c r="F202" t="s">
        <v>246</v>
      </c>
      <c r="G202" t="s">
        <v>88</v>
      </c>
      <c r="H202" t="s">
        <v>81</v>
      </c>
      <c r="L202">
        <v>14</v>
      </c>
      <c r="M202" t="s">
        <v>83</v>
      </c>
      <c r="O202" t="s">
        <v>83</v>
      </c>
      <c r="P202" t="s">
        <v>84</v>
      </c>
      <c r="Q202" t="s">
        <v>85</v>
      </c>
    </row>
    <row r="203" spans="1:17" hidden="1">
      <c r="A203" t="s">
        <v>76</v>
      </c>
      <c r="B203" t="s">
        <v>77</v>
      </c>
      <c r="C203" t="s">
        <v>237</v>
      </c>
      <c r="D203" t="s">
        <v>237</v>
      </c>
      <c r="E203" t="s">
        <v>247</v>
      </c>
      <c r="F203" t="s">
        <v>247</v>
      </c>
      <c r="G203" t="s">
        <v>209</v>
      </c>
      <c r="H203" t="s">
        <v>81</v>
      </c>
      <c r="L203">
        <v>15</v>
      </c>
      <c r="M203" t="s">
        <v>83</v>
      </c>
      <c r="O203" t="s">
        <v>83</v>
      </c>
      <c r="P203" t="s">
        <v>84</v>
      </c>
      <c r="Q203" t="s">
        <v>85</v>
      </c>
    </row>
    <row r="204" spans="1:17" hidden="1">
      <c r="A204" t="s">
        <v>76</v>
      </c>
      <c r="B204" t="s">
        <v>77</v>
      </c>
      <c r="C204" t="s">
        <v>237</v>
      </c>
      <c r="D204" t="s">
        <v>237</v>
      </c>
      <c r="E204" t="s">
        <v>248</v>
      </c>
      <c r="F204" t="s">
        <v>248</v>
      </c>
      <c r="G204" t="s">
        <v>249</v>
      </c>
      <c r="H204" t="s">
        <v>81</v>
      </c>
      <c r="L204">
        <v>16</v>
      </c>
      <c r="M204" t="s">
        <v>83</v>
      </c>
      <c r="O204" t="s">
        <v>83</v>
      </c>
      <c r="P204" t="s">
        <v>84</v>
      </c>
      <c r="Q204" t="s">
        <v>85</v>
      </c>
    </row>
    <row r="205" spans="1:17" hidden="1">
      <c r="A205" t="s">
        <v>76</v>
      </c>
      <c r="B205" t="s">
        <v>77</v>
      </c>
      <c r="C205" t="s">
        <v>237</v>
      </c>
      <c r="D205" t="s">
        <v>237</v>
      </c>
      <c r="E205" t="s">
        <v>250</v>
      </c>
      <c r="F205" t="s">
        <v>250</v>
      </c>
      <c r="G205" t="s">
        <v>209</v>
      </c>
      <c r="H205" t="s">
        <v>81</v>
      </c>
      <c r="L205">
        <v>17</v>
      </c>
      <c r="M205" t="s">
        <v>83</v>
      </c>
      <c r="O205" t="s">
        <v>83</v>
      </c>
      <c r="P205" t="s">
        <v>84</v>
      </c>
      <c r="Q205" t="s">
        <v>85</v>
      </c>
    </row>
    <row r="206" spans="1:17" hidden="1">
      <c r="A206" t="s">
        <v>76</v>
      </c>
      <c r="B206" t="s">
        <v>77</v>
      </c>
      <c r="C206" t="s">
        <v>237</v>
      </c>
      <c r="D206" t="s">
        <v>237</v>
      </c>
      <c r="E206" t="s">
        <v>251</v>
      </c>
      <c r="F206" t="s">
        <v>251</v>
      </c>
      <c r="G206" t="s">
        <v>249</v>
      </c>
      <c r="H206" t="s">
        <v>81</v>
      </c>
      <c r="L206">
        <v>18</v>
      </c>
      <c r="M206" t="s">
        <v>83</v>
      </c>
      <c r="O206" t="s">
        <v>83</v>
      </c>
      <c r="P206" t="s">
        <v>84</v>
      </c>
      <c r="Q206" t="s">
        <v>85</v>
      </c>
    </row>
    <row r="207" spans="1:17" hidden="1">
      <c r="A207" t="s">
        <v>76</v>
      </c>
      <c r="B207" t="s">
        <v>77</v>
      </c>
      <c r="C207" t="s">
        <v>237</v>
      </c>
      <c r="D207" t="s">
        <v>237</v>
      </c>
      <c r="E207" t="s">
        <v>252</v>
      </c>
      <c r="F207" t="s">
        <v>252</v>
      </c>
      <c r="G207" t="s">
        <v>249</v>
      </c>
      <c r="H207" t="s">
        <v>81</v>
      </c>
      <c r="L207">
        <v>19</v>
      </c>
      <c r="M207" t="s">
        <v>83</v>
      </c>
      <c r="O207" t="s">
        <v>83</v>
      </c>
      <c r="P207" t="s">
        <v>84</v>
      </c>
      <c r="Q207" t="s">
        <v>85</v>
      </c>
    </row>
    <row r="208" spans="1:17" hidden="1">
      <c r="A208" t="s">
        <v>76</v>
      </c>
      <c r="B208" t="s">
        <v>77</v>
      </c>
      <c r="C208" t="s">
        <v>237</v>
      </c>
      <c r="D208" t="s">
        <v>237</v>
      </c>
      <c r="E208" t="s">
        <v>112</v>
      </c>
      <c r="F208" t="s">
        <v>112</v>
      </c>
      <c r="G208" t="s">
        <v>113</v>
      </c>
      <c r="H208" t="s">
        <v>81</v>
      </c>
      <c r="I208" t="s">
        <v>114</v>
      </c>
      <c r="L208">
        <v>20</v>
      </c>
      <c r="M208" t="s">
        <v>83</v>
      </c>
      <c r="O208" t="s">
        <v>83</v>
      </c>
      <c r="P208" t="s">
        <v>84</v>
      </c>
      <c r="Q208" t="s">
        <v>85</v>
      </c>
    </row>
    <row r="209" spans="1:17" hidden="1">
      <c r="A209" t="s">
        <v>76</v>
      </c>
      <c r="B209" t="s">
        <v>77</v>
      </c>
      <c r="C209" t="s">
        <v>237</v>
      </c>
      <c r="D209" t="s">
        <v>237</v>
      </c>
      <c r="E209" t="s">
        <v>115</v>
      </c>
      <c r="F209" t="s">
        <v>115</v>
      </c>
      <c r="G209" t="s">
        <v>113</v>
      </c>
      <c r="H209" t="s">
        <v>81</v>
      </c>
      <c r="I209" t="s">
        <v>114</v>
      </c>
      <c r="L209">
        <v>21</v>
      </c>
      <c r="M209" t="s">
        <v>83</v>
      </c>
      <c r="O209" t="s">
        <v>83</v>
      </c>
      <c r="P209" t="s">
        <v>84</v>
      </c>
      <c r="Q209" t="s">
        <v>85</v>
      </c>
    </row>
    <row r="210" spans="1:17" ht="225" hidden="1">
      <c r="A210" t="s">
        <v>76</v>
      </c>
      <c r="B210" t="s">
        <v>77</v>
      </c>
      <c r="C210" t="s">
        <v>237</v>
      </c>
      <c r="D210" t="s">
        <v>237</v>
      </c>
      <c r="F210" t="s">
        <v>253</v>
      </c>
      <c r="H210" t="s">
        <v>81</v>
      </c>
      <c r="L210">
        <v>22</v>
      </c>
      <c r="M210" t="s">
        <v>83</v>
      </c>
      <c r="O210" t="s">
        <v>83</v>
      </c>
      <c r="P210" s="16" t="s">
        <v>254</v>
      </c>
      <c r="Q210" t="s">
        <v>85</v>
      </c>
    </row>
    <row r="211" spans="1:17" hidden="1">
      <c r="A211" t="s">
        <v>76</v>
      </c>
      <c r="B211" t="s">
        <v>77</v>
      </c>
      <c r="C211" t="s">
        <v>237</v>
      </c>
      <c r="D211" t="s">
        <v>237</v>
      </c>
      <c r="F211" t="s">
        <v>255</v>
      </c>
      <c r="H211" t="s">
        <v>81</v>
      </c>
      <c r="L211">
        <v>23</v>
      </c>
      <c r="M211" t="s">
        <v>83</v>
      </c>
      <c r="O211" t="s">
        <v>83</v>
      </c>
      <c r="P211" t="s">
        <v>256</v>
      </c>
      <c r="Q211" t="s">
        <v>85</v>
      </c>
    </row>
    <row r="212" spans="1:17" hidden="1">
      <c r="A212" t="s">
        <v>76</v>
      </c>
      <c r="B212" t="s">
        <v>77</v>
      </c>
      <c r="C212" t="s">
        <v>237</v>
      </c>
      <c r="D212" t="s">
        <v>237</v>
      </c>
      <c r="E212" t="s">
        <v>117</v>
      </c>
      <c r="F212" t="s">
        <v>117</v>
      </c>
      <c r="G212" t="s">
        <v>90</v>
      </c>
      <c r="H212" t="s">
        <v>81</v>
      </c>
      <c r="L212">
        <v>30</v>
      </c>
      <c r="M212" t="s">
        <v>83</v>
      </c>
      <c r="O212" t="s">
        <v>83</v>
      </c>
      <c r="P212" t="s">
        <v>84</v>
      </c>
      <c r="Q212" t="s">
        <v>85</v>
      </c>
    </row>
    <row r="213" spans="1:17" hidden="1">
      <c r="A213" t="s">
        <v>76</v>
      </c>
      <c r="B213" t="s">
        <v>77</v>
      </c>
      <c r="C213" t="s">
        <v>237</v>
      </c>
      <c r="D213" t="s">
        <v>237</v>
      </c>
      <c r="E213" t="s">
        <v>116</v>
      </c>
      <c r="F213" t="s">
        <v>116</v>
      </c>
      <c r="G213" t="s">
        <v>90</v>
      </c>
      <c r="H213" t="s">
        <v>81</v>
      </c>
      <c r="L213">
        <v>31</v>
      </c>
      <c r="M213" t="s">
        <v>83</v>
      </c>
      <c r="O213" t="s">
        <v>83</v>
      </c>
      <c r="P213" t="s">
        <v>84</v>
      </c>
      <c r="Q213" t="s">
        <v>85</v>
      </c>
    </row>
    <row r="214" spans="1:17" hidden="1">
      <c r="A214" t="s">
        <v>76</v>
      </c>
      <c r="B214" t="s">
        <v>77</v>
      </c>
      <c r="C214" t="s">
        <v>237</v>
      </c>
      <c r="D214" t="s">
        <v>237</v>
      </c>
      <c r="E214" t="s">
        <v>118</v>
      </c>
      <c r="F214" t="s">
        <v>118</v>
      </c>
      <c r="G214" t="s">
        <v>92</v>
      </c>
      <c r="H214" t="s">
        <v>81</v>
      </c>
      <c r="L214">
        <v>32</v>
      </c>
      <c r="M214" t="s">
        <v>83</v>
      </c>
      <c r="O214" t="s">
        <v>83</v>
      </c>
      <c r="P214" t="s">
        <v>84</v>
      </c>
      <c r="Q214" t="s">
        <v>85</v>
      </c>
    </row>
    <row r="215" spans="1:17" hidden="1">
      <c r="A215" t="s">
        <v>76</v>
      </c>
      <c r="B215" t="s">
        <v>77</v>
      </c>
      <c r="C215" t="s">
        <v>257</v>
      </c>
      <c r="D215" t="s">
        <v>257</v>
      </c>
      <c r="E215" t="s">
        <v>79</v>
      </c>
      <c r="F215" t="s">
        <v>79</v>
      </c>
      <c r="G215" t="s">
        <v>80</v>
      </c>
      <c r="H215" t="s">
        <v>81</v>
      </c>
      <c r="I215" t="s">
        <v>82</v>
      </c>
      <c r="L215">
        <v>1</v>
      </c>
      <c r="M215" t="s">
        <v>83</v>
      </c>
      <c r="O215" t="s">
        <v>83</v>
      </c>
      <c r="P215" t="s">
        <v>84</v>
      </c>
      <c r="Q215" t="s">
        <v>85</v>
      </c>
    </row>
    <row r="216" spans="1:17" hidden="1">
      <c r="A216" t="s">
        <v>76</v>
      </c>
      <c r="B216" t="s">
        <v>77</v>
      </c>
      <c r="C216" t="s">
        <v>257</v>
      </c>
      <c r="D216" t="s">
        <v>257</v>
      </c>
      <c r="E216" t="s">
        <v>86</v>
      </c>
      <c r="F216" t="s">
        <v>86</v>
      </c>
      <c r="G216" t="s">
        <v>80</v>
      </c>
      <c r="H216" t="s">
        <v>81</v>
      </c>
      <c r="I216" t="s">
        <v>82</v>
      </c>
      <c r="L216">
        <v>2</v>
      </c>
      <c r="M216" t="s">
        <v>83</v>
      </c>
      <c r="O216" t="s">
        <v>83</v>
      </c>
      <c r="P216" t="s">
        <v>84</v>
      </c>
      <c r="Q216" t="s">
        <v>85</v>
      </c>
    </row>
    <row r="217" spans="1:17" hidden="1">
      <c r="A217" t="s">
        <v>76</v>
      </c>
      <c r="B217" t="s">
        <v>77</v>
      </c>
      <c r="C217" t="s">
        <v>257</v>
      </c>
      <c r="D217" t="s">
        <v>257</v>
      </c>
      <c r="E217" t="s">
        <v>87</v>
      </c>
      <c r="F217" t="s">
        <v>87</v>
      </c>
      <c r="G217" t="s">
        <v>88</v>
      </c>
      <c r="H217" t="s">
        <v>81</v>
      </c>
      <c r="L217">
        <v>3</v>
      </c>
      <c r="M217" t="s">
        <v>83</v>
      </c>
      <c r="O217" t="s">
        <v>83</v>
      </c>
      <c r="P217" t="s">
        <v>84</v>
      </c>
      <c r="Q217" t="s">
        <v>85</v>
      </c>
    </row>
    <row r="218" spans="1:17" hidden="1">
      <c r="A218" t="s">
        <v>76</v>
      </c>
      <c r="B218" t="s">
        <v>77</v>
      </c>
      <c r="C218" t="s">
        <v>257</v>
      </c>
      <c r="D218" t="s">
        <v>257</v>
      </c>
      <c r="E218" t="s">
        <v>89</v>
      </c>
      <c r="F218" t="s">
        <v>89</v>
      </c>
      <c r="G218" t="s">
        <v>90</v>
      </c>
      <c r="H218" t="s">
        <v>81</v>
      </c>
      <c r="J218" t="s">
        <v>83</v>
      </c>
      <c r="K218" t="s">
        <v>83</v>
      </c>
      <c r="L218">
        <v>4</v>
      </c>
      <c r="M218" t="s">
        <v>83</v>
      </c>
      <c r="O218" t="s">
        <v>83</v>
      </c>
      <c r="P218" t="s">
        <v>84</v>
      </c>
      <c r="Q218" t="s">
        <v>85</v>
      </c>
    </row>
    <row r="219" spans="1:17" hidden="1">
      <c r="A219" t="s">
        <v>76</v>
      </c>
      <c r="B219" t="s">
        <v>77</v>
      </c>
      <c r="C219" t="s">
        <v>257</v>
      </c>
      <c r="D219" t="s">
        <v>257</v>
      </c>
      <c r="E219" t="s">
        <v>258</v>
      </c>
      <c r="F219" t="s">
        <v>258</v>
      </c>
      <c r="G219" t="s">
        <v>94</v>
      </c>
      <c r="H219" t="s">
        <v>81</v>
      </c>
      <c r="L219">
        <v>5</v>
      </c>
      <c r="M219" t="s">
        <v>83</v>
      </c>
      <c r="O219" t="s">
        <v>83</v>
      </c>
      <c r="P219" t="s">
        <v>84</v>
      </c>
      <c r="Q219" t="s">
        <v>85</v>
      </c>
    </row>
    <row r="220" spans="1:17" hidden="1">
      <c r="A220" t="s">
        <v>76</v>
      </c>
      <c r="B220" t="s">
        <v>77</v>
      </c>
      <c r="C220" t="s">
        <v>257</v>
      </c>
      <c r="D220" t="s">
        <v>257</v>
      </c>
      <c r="E220" t="s">
        <v>259</v>
      </c>
      <c r="F220" t="s">
        <v>259</v>
      </c>
      <c r="G220" t="s">
        <v>88</v>
      </c>
      <c r="H220" t="s">
        <v>81</v>
      </c>
      <c r="L220">
        <v>6</v>
      </c>
      <c r="M220" t="s">
        <v>83</v>
      </c>
      <c r="O220" t="s">
        <v>83</v>
      </c>
      <c r="P220" t="s">
        <v>84</v>
      </c>
      <c r="Q220" t="s">
        <v>85</v>
      </c>
    </row>
    <row r="221" spans="1:17" hidden="1">
      <c r="A221" t="s">
        <v>76</v>
      </c>
      <c r="B221" t="s">
        <v>77</v>
      </c>
      <c r="C221" t="s">
        <v>257</v>
      </c>
      <c r="D221" t="s">
        <v>257</v>
      </c>
      <c r="E221" t="s">
        <v>260</v>
      </c>
      <c r="F221" t="s">
        <v>260</v>
      </c>
      <c r="G221" t="s">
        <v>94</v>
      </c>
      <c r="H221" t="s">
        <v>81</v>
      </c>
      <c r="L221">
        <v>7</v>
      </c>
      <c r="M221" t="s">
        <v>83</v>
      </c>
      <c r="O221" t="s">
        <v>83</v>
      </c>
      <c r="P221" t="s">
        <v>84</v>
      </c>
      <c r="Q221" t="s">
        <v>85</v>
      </c>
    </row>
    <row r="222" spans="1:17" hidden="1">
      <c r="A222" t="s">
        <v>76</v>
      </c>
      <c r="B222" t="s">
        <v>77</v>
      </c>
      <c r="C222" t="s">
        <v>257</v>
      </c>
      <c r="D222" t="s">
        <v>257</v>
      </c>
      <c r="E222" t="s">
        <v>261</v>
      </c>
      <c r="F222" t="s">
        <v>261</v>
      </c>
      <c r="G222" t="s">
        <v>90</v>
      </c>
      <c r="H222" t="s">
        <v>81</v>
      </c>
      <c r="L222">
        <v>8</v>
      </c>
      <c r="M222" t="s">
        <v>83</v>
      </c>
      <c r="O222" t="s">
        <v>83</v>
      </c>
      <c r="P222" t="s">
        <v>84</v>
      </c>
      <c r="Q222" t="s">
        <v>85</v>
      </c>
    </row>
    <row r="223" spans="1:17" hidden="1">
      <c r="A223" t="s">
        <v>76</v>
      </c>
      <c r="B223" t="s">
        <v>77</v>
      </c>
      <c r="C223" t="s">
        <v>257</v>
      </c>
      <c r="D223" t="s">
        <v>257</v>
      </c>
      <c r="E223" t="s">
        <v>262</v>
      </c>
      <c r="F223" t="s">
        <v>262</v>
      </c>
      <c r="G223" t="s">
        <v>263</v>
      </c>
      <c r="H223" t="s">
        <v>81</v>
      </c>
      <c r="L223">
        <v>9</v>
      </c>
      <c r="M223" t="s">
        <v>83</v>
      </c>
      <c r="O223" t="s">
        <v>83</v>
      </c>
      <c r="P223" t="s">
        <v>84</v>
      </c>
      <c r="Q223" t="s">
        <v>85</v>
      </c>
    </row>
    <row r="224" spans="1:17" hidden="1">
      <c r="A224" t="s">
        <v>76</v>
      </c>
      <c r="B224" t="s">
        <v>77</v>
      </c>
      <c r="C224" t="s">
        <v>257</v>
      </c>
      <c r="D224" t="s">
        <v>257</v>
      </c>
      <c r="E224" t="s">
        <v>91</v>
      </c>
      <c r="F224" t="s">
        <v>91</v>
      </c>
      <c r="G224" t="s">
        <v>92</v>
      </c>
      <c r="H224" t="s">
        <v>81</v>
      </c>
      <c r="L224">
        <v>10</v>
      </c>
      <c r="M224" t="s">
        <v>83</v>
      </c>
      <c r="O224" t="s">
        <v>83</v>
      </c>
      <c r="P224" t="s">
        <v>84</v>
      </c>
      <c r="Q224" t="s">
        <v>85</v>
      </c>
    </row>
    <row r="225" spans="1:17" hidden="1">
      <c r="A225" t="s">
        <v>76</v>
      </c>
      <c r="B225" t="s">
        <v>77</v>
      </c>
      <c r="C225" t="s">
        <v>257</v>
      </c>
      <c r="D225" t="s">
        <v>257</v>
      </c>
      <c r="E225" t="s">
        <v>264</v>
      </c>
      <c r="F225" t="s">
        <v>264</v>
      </c>
      <c r="G225" t="s">
        <v>98</v>
      </c>
      <c r="H225" t="s">
        <v>81</v>
      </c>
      <c r="L225">
        <v>11</v>
      </c>
      <c r="M225" t="s">
        <v>83</v>
      </c>
      <c r="O225" t="s">
        <v>83</v>
      </c>
      <c r="P225" t="s">
        <v>84</v>
      </c>
      <c r="Q225" t="s">
        <v>85</v>
      </c>
    </row>
    <row r="226" spans="1:17" hidden="1">
      <c r="A226" t="s">
        <v>76</v>
      </c>
      <c r="B226" t="s">
        <v>77</v>
      </c>
      <c r="C226" t="s">
        <v>257</v>
      </c>
      <c r="D226" t="s">
        <v>257</v>
      </c>
      <c r="E226" t="s">
        <v>265</v>
      </c>
      <c r="F226" t="s">
        <v>265</v>
      </c>
      <c r="G226" t="s">
        <v>180</v>
      </c>
      <c r="H226" t="s">
        <v>81</v>
      </c>
      <c r="L226">
        <v>12</v>
      </c>
      <c r="M226" t="s">
        <v>83</v>
      </c>
      <c r="O226" t="s">
        <v>83</v>
      </c>
      <c r="P226" t="s">
        <v>84</v>
      </c>
      <c r="Q226" t="s">
        <v>85</v>
      </c>
    </row>
    <row r="227" spans="1:17" hidden="1">
      <c r="A227" t="s">
        <v>76</v>
      </c>
      <c r="B227" t="s">
        <v>77</v>
      </c>
      <c r="C227" t="s">
        <v>257</v>
      </c>
      <c r="D227" t="s">
        <v>257</v>
      </c>
      <c r="E227" t="s">
        <v>266</v>
      </c>
      <c r="F227" t="s">
        <v>266</v>
      </c>
      <c r="G227" t="s">
        <v>180</v>
      </c>
      <c r="H227" t="s">
        <v>81</v>
      </c>
      <c r="L227">
        <v>13</v>
      </c>
      <c r="M227" t="s">
        <v>83</v>
      </c>
      <c r="O227" t="s">
        <v>83</v>
      </c>
      <c r="P227" t="s">
        <v>84</v>
      </c>
      <c r="Q227" t="s">
        <v>85</v>
      </c>
    </row>
    <row r="228" spans="1:17" hidden="1">
      <c r="A228" t="s">
        <v>76</v>
      </c>
      <c r="B228" t="s">
        <v>77</v>
      </c>
      <c r="C228" t="s">
        <v>257</v>
      </c>
      <c r="D228" t="s">
        <v>257</v>
      </c>
      <c r="E228" t="s">
        <v>267</v>
      </c>
      <c r="F228" t="s">
        <v>267</v>
      </c>
      <c r="G228" t="s">
        <v>94</v>
      </c>
      <c r="H228" t="s">
        <v>81</v>
      </c>
      <c r="L228">
        <v>14</v>
      </c>
      <c r="M228" t="s">
        <v>83</v>
      </c>
      <c r="O228" t="s">
        <v>83</v>
      </c>
      <c r="P228" t="s">
        <v>84</v>
      </c>
      <c r="Q228" t="s">
        <v>85</v>
      </c>
    </row>
    <row r="229" spans="1:17" hidden="1">
      <c r="A229" t="s">
        <v>76</v>
      </c>
      <c r="B229" t="s">
        <v>77</v>
      </c>
      <c r="C229" t="s">
        <v>257</v>
      </c>
      <c r="D229" t="s">
        <v>257</v>
      </c>
      <c r="E229" t="s">
        <v>268</v>
      </c>
      <c r="F229" t="s">
        <v>268</v>
      </c>
      <c r="G229" t="s">
        <v>94</v>
      </c>
      <c r="H229" t="s">
        <v>81</v>
      </c>
      <c r="L229">
        <v>15</v>
      </c>
      <c r="M229" t="s">
        <v>83</v>
      </c>
      <c r="O229" t="s">
        <v>83</v>
      </c>
      <c r="P229" t="s">
        <v>84</v>
      </c>
      <c r="Q229" t="s">
        <v>85</v>
      </c>
    </row>
    <row r="230" spans="1:17" hidden="1">
      <c r="A230" t="s">
        <v>76</v>
      </c>
      <c r="B230" t="s">
        <v>77</v>
      </c>
      <c r="C230" t="s">
        <v>257</v>
      </c>
      <c r="D230" t="s">
        <v>257</v>
      </c>
      <c r="E230" t="s">
        <v>269</v>
      </c>
      <c r="F230" t="s">
        <v>269</v>
      </c>
      <c r="G230" t="s">
        <v>188</v>
      </c>
      <c r="H230" t="s">
        <v>81</v>
      </c>
      <c r="L230">
        <v>16</v>
      </c>
      <c r="M230" t="s">
        <v>83</v>
      </c>
      <c r="O230" t="s">
        <v>83</v>
      </c>
      <c r="P230" t="s">
        <v>84</v>
      </c>
      <c r="Q230" t="s">
        <v>85</v>
      </c>
    </row>
    <row r="231" spans="1:17" hidden="1">
      <c r="A231" t="s">
        <v>76</v>
      </c>
      <c r="B231" t="s">
        <v>77</v>
      </c>
      <c r="C231" t="s">
        <v>257</v>
      </c>
      <c r="D231" t="s">
        <v>257</v>
      </c>
      <c r="E231" t="s">
        <v>270</v>
      </c>
      <c r="F231" t="s">
        <v>270</v>
      </c>
      <c r="G231" t="s">
        <v>126</v>
      </c>
      <c r="H231" t="s">
        <v>81</v>
      </c>
      <c r="L231">
        <v>17</v>
      </c>
      <c r="M231" t="s">
        <v>83</v>
      </c>
      <c r="O231" t="s">
        <v>83</v>
      </c>
      <c r="P231" t="s">
        <v>84</v>
      </c>
      <c r="Q231" t="s">
        <v>85</v>
      </c>
    </row>
    <row r="232" spans="1:17" hidden="1">
      <c r="A232" t="s">
        <v>76</v>
      </c>
      <c r="B232" t="s">
        <v>77</v>
      </c>
      <c r="C232" t="s">
        <v>257</v>
      </c>
      <c r="D232" t="s">
        <v>257</v>
      </c>
      <c r="E232" t="s">
        <v>271</v>
      </c>
      <c r="F232" t="s">
        <v>271</v>
      </c>
      <c r="G232" t="s">
        <v>90</v>
      </c>
      <c r="H232" t="s">
        <v>81</v>
      </c>
      <c r="L232">
        <v>18</v>
      </c>
      <c r="M232" t="s">
        <v>83</v>
      </c>
      <c r="O232" t="s">
        <v>83</v>
      </c>
      <c r="P232" t="s">
        <v>84</v>
      </c>
      <c r="Q232" t="s">
        <v>85</v>
      </c>
    </row>
    <row r="233" spans="1:17" hidden="1">
      <c r="A233" t="s">
        <v>76</v>
      </c>
      <c r="B233" t="s">
        <v>77</v>
      </c>
      <c r="C233" t="s">
        <v>257</v>
      </c>
      <c r="D233" t="s">
        <v>257</v>
      </c>
      <c r="E233" t="s">
        <v>272</v>
      </c>
      <c r="F233" t="s">
        <v>272</v>
      </c>
      <c r="G233" t="s">
        <v>188</v>
      </c>
      <c r="H233" t="s">
        <v>81</v>
      </c>
      <c r="L233">
        <v>19</v>
      </c>
      <c r="M233" t="s">
        <v>83</v>
      </c>
      <c r="O233" t="s">
        <v>83</v>
      </c>
      <c r="P233" t="s">
        <v>84</v>
      </c>
      <c r="Q233" t="s">
        <v>85</v>
      </c>
    </row>
    <row r="234" spans="1:17" hidden="1">
      <c r="A234" t="s">
        <v>76</v>
      </c>
      <c r="B234" t="s">
        <v>77</v>
      </c>
      <c r="C234" t="s">
        <v>257</v>
      </c>
      <c r="D234" t="s">
        <v>257</v>
      </c>
      <c r="E234" t="s">
        <v>273</v>
      </c>
      <c r="F234" t="s">
        <v>273</v>
      </c>
      <c r="G234" t="s">
        <v>90</v>
      </c>
      <c r="H234" t="s">
        <v>81</v>
      </c>
      <c r="L234">
        <v>20</v>
      </c>
      <c r="M234" t="s">
        <v>83</v>
      </c>
      <c r="O234" t="s">
        <v>83</v>
      </c>
      <c r="P234" t="s">
        <v>84</v>
      </c>
      <c r="Q234" t="s">
        <v>85</v>
      </c>
    </row>
    <row r="235" spans="1:17" hidden="1">
      <c r="A235" t="s">
        <v>76</v>
      </c>
      <c r="B235" t="s">
        <v>77</v>
      </c>
      <c r="C235" t="s">
        <v>257</v>
      </c>
      <c r="D235" t="s">
        <v>257</v>
      </c>
      <c r="E235" t="s">
        <v>274</v>
      </c>
      <c r="F235" t="s">
        <v>274</v>
      </c>
      <c r="G235" t="s">
        <v>98</v>
      </c>
      <c r="H235" t="s">
        <v>81</v>
      </c>
      <c r="L235">
        <v>21</v>
      </c>
      <c r="M235" t="s">
        <v>83</v>
      </c>
      <c r="O235" t="s">
        <v>83</v>
      </c>
      <c r="P235" t="s">
        <v>84</v>
      </c>
      <c r="Q235" t="s">
        <v>85</v>
      </c>
    </row>
    <row r="236" spans="1:17" hidden="1">
      <c r="A236" t="s">
        <v>76</v>
      </c>
      <c r="B236" t="s">
        <v>77</v>
      </c>
      <c r="C236" t="s">
        <v>257</v>
      </c>
      <c r="D236" t="s">
        <v>257</v>
      </c>
      <c r="E236" t="s">
        <v>275</v>
      </c>
      <c r="F236" t="s">
        <v>275</v>
      </c>
      <c r="G236" t="s">
        <v>98</v>
      </c>
      <c r="H236" t="s">
        <v>81</v>
      </c>
      <c r="L236">
        <v>22</v>
      </c>
      <c r="M236" t="s">
        <v>83</v>
      </c>
      <c r="O236" t="s">
        <v>83</v>
      </c>
      <c r="P236" t="s">
        <v>84</v>
      </c>
      <c r="Q236" t="s">
        <v>85</v>
      </c>
    </row>
    <row r="237" spans="1:17" hidden="1">
      <c r="A237" t="s">
        <v>76</v>
      </c>
      <c r="B237" t="s">
        <v>77</v>
      </c>
      <c r="C237" t="s">
        <v>257</v>
      </c>
      <c r="D237" t="s">
        <v>257</v>
      </c>
      <c r="E237" t="s">
        <v>276</v>
      </c>
      <c r="F237" t="s">
        <v>276</v>
      </c>
      <c r="G237" t="s">
        <v>180</v>
      </c>
      <c r="H237" t="s">
        <v>81</v>
      </c>
      <c r="L237">
        <v>23</v>
      </c>
      <c r="M237" t="s">
        <v>83</v>
      </c>
      <c r="O237" t="s">
        <v>83</v>
      </c>
      <c r="P237" t="s">
        <v>84</v>
      </c>
      <c r="Q237" t="s">
        <v>85</v>
      </c>
    </row>
    <row r="238" spans="1:17" hidden="1">
      <c r="A238" t="s">
        <v>76</v>
      </c>
      <c r="B238" t="s">
        <v>77</v>
      </c>
      <c r="C238" t="s">
        <v>257</v>
      </c>
      <c r="D238" t="s">
        <v>257</v>
      </c>
      <c r="E238" t="s">
        <v>277</v>
      </c>
      <c r="F238" t="s">
        <v>277</v>
      </c>
      <c r="G238" t="s">
        <v>180</v>
      </c>
      <c r="H238" t="s">
        <v>81</v>
      </c>
      <c r="L238">
        <v>24</v>
      </c>
      <c r="M238" t="s">
        <v>83</v>
      </c>
      <c r="O238" t="s">
        <v>83</v>
      </c>
      <c r="P238" t="s">
        <v>84</v>
      </c>
      <c r="Q238" t="s">
        <v>85</v>
      </c>
    </row>
    <row r="239" spans="1:17" hidden="1">
      <c r="A239" t="s">
        <v>76</v>
      </c>
      <c r="B239" t="s">
        <v>77</v>
      </c>
      <c r="C239" t="s">
        <v>257</v>
      </c>
      <c r="D239" t="s">
        <v>257</v>
      </c>
      <c r="E239" t="s">
        <v>278</v>
      </c>
      <c r="F239" t="s">
        <v>278</v>
      </c>
      <c r="G239" t="s">
        <v>209</v>
      </c>
      <c r="H239" t="s">
        <v>81</v>
      </c>
      <c r="L239">
        <v>25</v>
      </c>
      <c r="M239" t="s">
        <v>83</v>
      </c>
      <c r="O239" t="s">
        <v>83</v>
      </c>
      <c r="P239" t="s">
        <v>84</v>
      </c>
      <c r="Q239" t="s">
        <v>85</v>
      </c>
    </row>
    <row r="240" spans="1:17" hidden="1">
      <c r="A240" t="s">
        <v>76</v>
      </c>
      <c r="B240" t="s">
        <v>77</v>
      </c>
      <c r="C240" t="s">
        <v>257</v>
      </c>
      <c r="D240" t="s">
        <v>257</v>
      </c>
      <c r="E240" t="s">
        <v>279</v>
      </c>
      <c r="F240" t="s">
        <v>279</v>
      </c>
      <c r="G240" t="s">
        <v>280</v>
      </c>
      <c r="H240" t="s">
        <v>81</v>
      </c>
      <c r="L240">
        <v>26</v>
      </c>
      <c r="M240" t="s">
        <v>83</v>
      </c>
      <c r="O240" t="s">
        <v>83</v>
      </c>
      <c r="P240" t="s">
        <v>84</v>
      </c>
      <c r="Q240" t="s">
        <v>85</v>
      </c>
    </row>
    <row r="241" spans="1:17" hidden="1">
      <c r="A241" t="s">
        <v>76</v>
      </c>
      <c r="B241" t="s">
        <v>77</v>
      </c>
      <c r="C241" t="s">
        <v>257</v>
      </c>
      <c r="D241" t="s">
        <v>257</v>
      </c>
      <c r="E241" t="s">
        <v>281</v>
      </c>
      <c r="F241" t="s">
        <v>281</v>
      </c>
      <c r="G241" t="s">
        <v>92</v>
      </c>
      <c r="H241" t="s">
        <v>81</v>
      </c>
      <c r="L241">
        <v>27</v>
      </c>
      <c r="M241" t="s">
        <v>83</v>
      </c>
      <c r="O241" t="s">
        <v>83</v>
      </c>
      <c r="P241" t="s">
        <v>84</v>
      </c>
      <c r="Q241" t="s">
        <v>85</v>
      </c>
    </row>
    <row r="242" spans="1:17" hidden="1">
      <c r="A242" t="s">
        <v>76</v>
      </c>
      <c r="B242" t="s">
        <v>77</v>
      </c>
      <c r="C242" t="s">
        <v>257</v>
      </c>
      <c r="D242" t="s">
        <v>257</v>
      </c>
      <c r="E242" t="s">
        <v>282</v>
      </c>
      <c r="F242" t="s">
        <v>282</v>
      </c>
      <c r="G242" t="s">
        <v>283</v>
      </c>
      <c r="H242" t="s">
        <v>81</v>
      </c>
      <c r="L242">
        <v>28</v>
      </c>
      <c r="M242" t="s">
        <v>83</v>
      </c>
      <c r="O242" t="s">
        <v>83</v>
      </c>
      <c r="P242" t="s">
        <v>84</v>
      </c>
      <c r="Q242" t="s">
        <v>85</v>
      </c>
    </row>
    <row r="243" spans="1:17" hidden="1">
      <c r="A243" t="s">
        <v>76</v>
      </c>
      <c r="B243" t="s">
        <v>77</v>
      </c>
      <c r="C243" t="s">
        <v>257</v>
      </c>
      <c r="D243" t="s">
        <v>257</v>
      </c>
      <c r="E243" t="s">
        <v>284</v>
      </c>
      <c r="F243" t="s">
        <v>284</v>
      </c>
      <c r="G243" t="s">
        <v>98</v>
      </c>
      <c r="H243" t="s">
        <v>81</v>
      </c>
      <c r="L243">
        <v>29</v>
      </c>
      <c r="M243" t="s">
        <v>83</v>
      </c>
      <c r="O243" t="s">
        <v>83</v>
      </c>
      <c r="P243" t="s">
        <v>84</v>
      </c>
      <c r="Q243" t="s">
        <v>85</v>
      </c>
    </row>
    <row r="244" spans="1:17" hidden="1">
      <c r="A244" t="s">
        <v>76</v>
      </c>
      <c r="B244" t="s">
        <v>77</v>
      </c>
      <c r="C244" t="s">
        <v>257</v>
      </c>
      <c r="D244" t="s">
        <v>257</v>
      </c>
      <c r="E244" t="s">
        <v>285</v>
      </c>
      <c r="F244" t="s">
        <v>285</v>
      </c>
      <c r="G244" t="s">
        <v>98</v>
      </c>
      <c r="H244" t="s">
        <v>81</v>
      </c>
      <c r="L244">
        <v>30</v>
      </c>
      <c r="M244" t="s">
        <v>83</v>
      </c>
      <c r="O244" t="s">
        <v>83</v>
      </c>
      <c r="P244" t="s">
        <v>84</v>
      </c>
      <c r="Q244" t="s">
        <v>85</v>
      </c>
    </row>
    <row r="245" spans="1:17" hidden="1">
      <c r="A245" t="s">
        <v>76</v>
      </c>
      <c r="B245" t="s">
        <v>77</v>
      </c>
      <c r="C245" t="s">
        <v>257</v>
      </c>
      <c r="D245" t="s">
        <v>257</v>
      </c>
      <c r="E245" t="s">
        <v>286</v>
      </c>
      <c r="F245" t="s">
        <v>286</v>
      </c>
      <c r="G245" t="s">
        <v>88</v>
      </c>
      <c r="H245" t="s">
        <v>81</v>
      </c>
      <c r="L245">
        <v>31</v>
      </c>
      <c r="M245" t="s">
        <v>83</v>
      </c>
      <c r="O245" t="s">
        <v>83</v>
      </c>
      <c r="P245" t="s">
        <v>84</v>
      </c>
      <c r="Q245" t="s">
        <v>85</v>
      </c>
    </row>
    <row r="246" spans="1:17" hidden="1">
      <c r="A246" t="s">
        <v>76</v>
      </c>
      <c r="B246" t="s">
        <v>77</v>
      </c>
      <c r="C246" t="s">
        <v>257</v>
      </c>
      <c r="D246" t="s">
        <v>257</v>
      </c>
      <c r="E246" t="s">
        <v>287</v>
      </c>
      <c r="F246" t="s">
        <v>287</v>
      </c>
      <c r="G246" t="s">
        <v>98</v>
      </c>
      <c r="H246" t="s">
        <v>81</v>
      </c>
      <c r="L246">
        <v>32</v>
      </c>
      <c r="M246" t="s">
        <v>83</v>
      </c>
      <c r="O246" t="s">
        <v>83</v>
      </c>
      <c r="P246" t="s">
        <v>84</v>
      </c>
      <c r="Q246" t="s">
        <v>85</v>
      </c>
    </row>
    <row r="247" spans="1:17" hidden="1">
      <c r="A247" t="s">
        <v>76</v>
      </c>
      <c r="B247" t="s">
        <v>77</v>
      </c>
      <c r="C247" t="s">
        <v>257</v>
      </c>
      <c r="D247" t="s">
        <v>257</v>
      </c>
      <c r="E247" t="s">
        <v>288</v>
      </c>
      <c r="F247" t="s">
        <v>288</v>
      </c>
      <c r="G247" t="s">
        <v>180</v>
      </c>
      <c r="H247" t="s">
        <v>81</v>
      </c>
      <c r="L247">
        <v>33</v>
      </c>
      <c r="M247" t="s">
        <v>83</v>
      </c>
      <c r="O247" t="s">
        <v>83</v>
      </c>
      <c r="P247" t="s">
        <v>84</v>
      </c>
      <c r="Q247" t="s">
        <v>85</v>
      </c>
    </row>
    <row r="248" spans="1:17" hidden="1">
      <c r="A248" t="s">
        <v>76</v>
      </c>
      <c r="B248" t="s">
        <v>77</v>
      </c>
      <c r="C248" t="s">
        <v>257</v>
      </c>
      <c r="D248" t="s">
        <v>257</v>
      </c>
      <c r="E248" t="s">
        <v>289</v>
      </c>
      <c r="F248" t="s">
        <v>289</v>
      </c>
      <c r="G248" t="s">
        <v>249</v>
      </c>
      <c r="H248" t="s">
        <v>81</v>
      </c>
      <c r="L248">
        <v>34</v>
      </c>
      <c r="M248" t="s">
        <v>83</v>
      </c>
      <c r="O248" t="s">
        <v>83</v>
      </c>
      <c r="P248" t="s">
        <v>84</v>
      </c>
      <c r="Q248" t="s">
        <v>85</v>
      </c>
    </row>
    <row r="249" spans="1:17" hidden="1">
      <c r="A249" t="s">
        <v>76</v>
      </c>
      <c r="B249" t="s">
        <v>77</v>
      </c>
      <c r="C249" t="s">
        <v>257</v>
      </c>
      <c r="D249" t="s">
        <v>257</v>
      </c>
      <c r="E249" t="s">
        <v>290</v>
      </c>
      <c r="F249" t="s">
        <v>290</v>
      </c>
      <c r="G249" t="s">
        <v>209</v>
      </c>
      <c r="H249" t="s">
        <v>81</v>
      </c>
      <c r="L249">
        <v>35</v>
      </c>
      <c r="M249" t="s">
        <v>83</v>
      </c>
      <c r="O249" t="s">
        <v>83</v>
      </c>
      <c r="P249" t="s">
        <v>84</v>
      </c>
      <c r="Q249" t="s">
        <v>85</v>
      </c>
    </row>
    <row r="250" spans="1:17" hidden="1">
      <c r="A250" t="s">
        <v>76</v>
      </c>
      <c r="B250" t="s">
        <v>77</v>
      </c>
      <c r="C250" t="s">
        <v>257</v>
      </c>
      <c r="D250" t="s">
        <v>257</v>
      </c>
      <c r="E250" t="s">
        <v>291</v>
      </c>
      <c r="F250" t="s">
        <v>291</v>
      </c>
      <c r="G250" t="s">
        <v>168</v>
      </c>
      <c r="H250" t="s">
        <v>81</v>
      </c>
      <c r="L250">
        <v>36</v>
      </c>
      <c r="M250" t="s">
        <v>83</v>
      </c>
      <c r="O250" t="s">
        <v>83</v>
      </c>
      <c r="P250" t="s">
        <v>84</v>
      </c>
      <c r="Q250" t="s">
        <v>85</v>
      </c>
    </row>
    <row r="251" spans="1:17" hidden="1">
      <c r="A251" t="s">
        <v>76</v>
      </c>
      <c r="B251" t="s">
        <v>77</v>
      </c>
      <c r="C251" t="s">
        <v>257</v>
      </c>
      <c r="D251" t="s">
        <v>257</v>
      </c>
      <c r="E251" t="s">
        <v>292</v>
      </c>
      <c r="F251" t="s">
        <v>292</v>
      </c>
      <c r="G251" t="s">
        <v>249</v>
      </c>
      <c r="H251" t="s">
        <v>81</v>
      </c>
      <c r="L251">
        <v>37</v>
      </c>
      <c r="M251" t="s">
        <v>83</v>
      </c>
      <c r="O251" t="s">
        <v>83</v>
      </c>
      <c r="P251" t="s">
        <v>84</v>
      </c>
      <c r="Q251" t="s">
        <v>85</v>
      </c>
    </row>
    <row r="252" spans="1:17" hidden="1">
      <c r="A252" t="s">
        <v>76</v>
      </c>
      <c r="B252" t="s">
        <v>77</v>
      </c>
      <c r="C252" t="s">
        <v>257</v>
      </c>
      <c r="D252" t="s">
        <v>257</v>
      </c>
      <c r="E252" t="s">
        <v>293</v>
      </c>
      <c r="F252" t="s">
        <v>293</v>
      </c>
      <c r="G252" t="s">
        <v>249</v>
      </c>
      <c r="H252" t="s">
        <v>81</v>
      </c>
      <c r="L252">
        <v>38</v>
      </c>
      <c r="M252" t="s">
        <v>83</v>
      </c>
      <c r="O252" t="s">
        <v>83</v>
      </c>
      <c r="P252" t="s">
        <v>84</v>
      </c>
      <c r="Q252" t="s">
        <v>85</v>
      </c>
    </row>
    <row r="253" spans="1:17" hidden="1">
      <c r="A253" t="s">
        <v>76</v>
      </c>
      <c r="B253" t="s">
        <v>77</v>
      </c>
      <c r="C253" t="s">
        <v>257</v>
      </c>
      <c r="D253" t="s">
        <v>257</v>
      </c>
      <c r="E253" t="s">
        <v>112</v>
      </c>
      <c r="F253" t="s">
        <v>112</v>
      </c>
      <c r="G253" t="s">
        <v>113</v>
      </c>
      <c r="H253" t="s">
        <v>81</v>
      </c>
      <c r="I253" t="s">
        <v>114</v>
      </c>
      <c r="L253">
        <v>39</v>
      </c>
      <c r="M253" t="s">
        <v>83</v>
      </c>
      <c r="O253" t="s">
        <v>83</v>
      </c>
      <c r="P253" t="s">
        <v>84</v>
      </c>
      <c r="Q253" t="s">
        <v>85</v>
      </c>
    </row>
    <row r="254" spans="1:17" hidden="1">
      <c r="A254" t="s">
        <v>76</v>
      </c>
      <c r="B254" t="s">
        <v>77</v>
      </c>
      <c r="C254" t="s">
        <v>257</v>
      </c>
      <c r="D254" t="s">
        <v>257</v>
      </c>
      <c r="E254" t="s">
        <v>115</v>
      </c>
      <c r="F254" t="s">
        <v>115</v>
      </c>
      <c r="G254" t="s">
        <v>113</v>
      </c>
      <c r="H254" t="s">
        <v>81</v>
      </c>
      <c r="I254" t="s">
        <v>114</v>
      </c>
      <c r="L254">
        <v>40</v>
      </c>
      <c r="M254" t="s">
        <v>83</v>
      </c>
      <c r="O254" t="s">
        <v>83</v>
      </c>
      <c r="P254" t="s">
        <v>84</v>
      </c>
      <c r="Q254" t="s">
        <v>85</v>
      </c>
    </row>
    <row r="255" spans="1:17" hidden="1">
      <c r="A255" t="s">
        <v>76</v>
      </c>
      <c r="B255" t="s">
        <v>77</v>
      </c>
      <c r="C255" t="s">
        <v>257</v>
      </c>
      <c r="D255" t="s">
        <v>257</v>
      </c>
      <c r="E255" t="s">
        <v>117</v>
      </c>
      <c r="F255" t="s">
        <v>117</v>
      </c>
      <c r="G255" t="s">
        <v>90</v>
      </c>
      <c r="H255" t="s">
        <v>81</v>
      </c>
      <c r="L255">
        <v>47</v>
      </c>
      <c r="M255" t="s">
        <v>83</v>
      </c>
      <c r="O255" t="s">
        <v>83</v>
      </c>
      <c r="P255" t="s">
        <v>84</v>
      </c>
      <c r="Q255" t="s">
        <v>85</v>
      </c>
    </row>
    <row r="256" spans="1:17" hidden="1">
      <c r="A256" t="s">
        <v>76</v>
      </c>
      <c r="B256" t="s">
        <v>77</v>
      </c>
      <c r="C256" t="s">
        <v>257</v>
      </c>
      <c r="D256" t="s">
        <v>257</v>
      </c>
      <c r="E256" t="s">
        <v>174</v>
      </c>
      <c r="F256" t="s">
        <v>174</v>
      </c>
      <c r="G256" t="s">
        <v>90</v>
      </c>
      <c r="H256" t="s">
        <v>81</v>
      </c>
      <c r="L256">
        <v>48</v>
      </c>
      <c r="M256" t="s">
        <v>83</v>
      </c>
      <c r="O256" t="s">
        <v>83</v>
      </c>
      <c r="P256" t="s">
        <v>84</v>
      </c>
      <c r="Q256" t="s">
        <v>85</v>
      </c>
    </row>
    <row r="257" spans="1:17" hidden="1">
      <c r="A257" t="s">
        <v>76</v>
      </c>
      <c r="B257" t="s">
        <v>77</v>
      </c>
      <c r="C257" t="s">
        <v>257</v>
      </c>
      <c r="D257" t="s">
        <v>257</v>
      </c>
      <c r="E257" t="s">
        <v>118</v>
      </c>
      <c r="F257" t="s">
        <v>118</v>
      </c>
      <c r="G257" t="s">
        <v>92</v>
      </c>
      <c r="H257" t="s">
        <v>81</v>
      </c>
      <c r="L257">
        <v>49</v>
      </c>
      <c r="M257" t="s">
        <v>83</v>
      </c>
      <c r="O257" t="s">
        <v>83</v>
      </c>
      <c r="P257" t="s">
        <v>84</v>
      </c>
      <c r="Q257" t="s">
        <v>85</v>
      </c>
    </row>
    <row r="258" spans="1:17" hidden="1">
      <c r="A258" t="s">
        <v>76</v>
      </c>
      <c r="B258" t="s">
        <v>77</v>
      </c>
      <c r="C258" t="s">
        <v>294</v>
      </c>
      <c r="D258" t="s">
        <v>294</v>
      </c>
      <c r="E258" t="s">
        <v>79</v>
      </c>
      <c r="F258" t="s">
        <v>79</v>
      </c>
      <c r="G258" t="s">
        <v>80</v>
      </c>
      <c r="H258" t="s">
        <v>81</v>
      </c>
      <c r="I258" t="s">
        <v>82</v>
      </c>
      <c r="L258">
        <v>1</v>
      </c>
      <c r="M258" t="s">
        <v>83</v>
      </c>
      <c r="O258" t="s">
        <v>83</v>
      </c>
      <c r="P258" t="s">
        <v>84</v>
      </c>
      <c r="Q258" t="s">
        <v>85</v>
      </c>
    </row>
    <row r="259" spans="1:17" hidden="1">
      <c r="A259" t="s">
        <v>76</v>
      </c>
      <c r="B259" t="s">
        <v>77</v>
      </c>
      <c r="C259" t="s">
        <v>294</v>
      </c>
      <c r="D259" t="s">
        <v>294</v>
      </c>
      <c r="E259" t="s">
        <v>86</v>
      </c>
      <c r="F259" t="s">
        <v>86</v>
      </c>
      <c r="G259" t="s">
        <v>80</v>
      </c>
      <c r="H259" t="s">
        <v>81</v>
      </c>
      <c r="I259" t="s">
        <v>82</v>
      </c>
      <c r="L259">
        <v>2</v>
      </c>
      <c r="M259" t="s">
        <v>83</v>
      </c>
      <c r="O259" t="s">
        <v>83</v>
      </c>
      <c r="P259" t="s">
        <v>84</v>
      </c>
      <c r="Q259" t="s">
        <v>85</v>
      </c>
    </row>
    <row r="260" spans="1:17" hidden="1">
      <c r="A260" t="s">
        <v>76</v>
      </c>
      <c r="B260" t="s">
        <v>77</v>
      </c>
      <c r="C260" t="s">
        <v>294</v>
      </c>
      <c r="D260" t="s">
        <v>294</v>
      </c>
      <c r="E260" t="s">
        <v>87</v>
      </c>
      <c r="F260" t="s">
        <v>87</v>
      </c>
      <c r="G260" t="s">
        <v>88</v>
      </c>
      <c r="H260" t="s">
        <v>81</v>
      </c>
      <c r="J260" t="s">
        <v>83</v>
      </c>
      <c r="L260">
        <v>3</v>
      </c>
      <c r="M260" t="s">
        <v>83</v>
      </c>
      <c r="O260" t="s">
        <v>83</v>
      </c>
      <c r="P260" t="s">
        <v>84</v>
      </c>
      <c r="Q260" t="s">
        <v>85</v>
      </c>
    </row>
    <row r="261" spans="1:17" hidden="1">
      <c r="A261" t="s">
        <v>76</v>
      </c>
      <c r="B261" t="s">
        <v>77</v>
      </c>
      <c r="C261" t="s">
        <v>294</v>
      </c>
      <c r="D261" t="s">
        <v>294</v>
      </c>
      <c r="E261" t="s">
        <v>89</v>
      </c>
      <c r="F261" t="s">
        <v>89</v>
      </c>
      <c r="G261" t="s">
        <v>90</v>
      </c>
      <c r="H261" t="s">
        <v>81</v>
      </c>
      <c r="J261" t="s">
        <v>83</v>
      </c>
      <c r="K261" t="s">
        <v>83</v>
      </c>
      <c r="L261">
        <v>4</v>
      </c>
      <c r="M261" t="s">
        <v>83</v>
      </c>
      <c r="O261" t="s">
        <v>83</v>
      </c>
      <c r="P261" t="s">
        <v>84</v>
      </c>
      <c r="Q261" t="s">
        <v>85</v>
      </c>
    </row>
    <row r="262" spans="1:17" hidden="1">
      <c r="A262" t="s">
        <v>76</v>
      </c>
      <c r="B262" t="s">
        <v>77</v>
      </c>
      <c r="C262" t="s">
        <v>294</v>
      </c>
      <c r="D262" t="s">
        <v>294</v>
      </c>
      <c r="E262" t="s">
        <v>91</v>
      </c>
      <c r="F262" t="s">
        <v>91</v>
      </c>
      <c r="G262" t="s">
        <v>92</v>
      </c>
      <c r="H262" t="s">
        <v>81</v>
      </c>
      <c r="J262" t="s">
        <v>83</v>
      </c>
      <c r="L262">
        <v>5</v>
      </c>
      <c r="M262" t="s">
        <v>83</v>
      </c>
      <c r="O262" t="s">
        <v>83</v>
      </c>
      <c r="P262" t="s">
        <v>84</v>
      </c>
      <c r="Q262" t="s">
        <v>85</v>
      </c>
    </row>
    <row r="263" spans="1:17" hidden="1">
      <c r="A263" t="s">
        <v>76</v>
      </c>
      <c r="B263" t="s">
        <v>77</v>
      </c>
      <c r="C263" t="s">
        <v>294</v>
      </c>
      <c r="D263" t="s">
        <v>294</v>
      </c>
      <c r="E263" t="s">
        <v>295</v>
      </c>
      <c r="F263" t="s">
        <v>295</v>
      </c>
      <c r="G263" t="s">
        <v>94</v>
      </c>
      <c r="H263" t="s">
        <v>81</v>
      </c>
      <c r="L263">
        <v>6</v>
      </c>
      <c r="M263" t="s">
        <v>83</v>
      </c>
      <c r="O263" t="s">
        <v>83</v>
      </c>
      <c r="P263" t="s">
        <v>84</v>
      </c>
      <c r="Q263" t="s">
        <v>85</v>
      </c>
    </row>
    <row r="264" spans="1:17" hidden="1">
      <c r="A264" t="s">
        <v>76</v>
      </c>
      <c r="B264" t="s">
        <v>77</v>
      </c>
      <c r="C264" t="s">
        <v>294</v>
      </c>
      <c r="D264" t="s">
        <v>294</v>
      </c>
      <c r="E264" t="s">
        <v>296</v>
      </c>
      <c r="F264" t="s">
        <v>296</v>
      </c>
      <c r="G264" t="s">
        <v>88</v>
      </c>
      <c r="H264" t="s">
        <v>81</v>
      </c>
      <c r="L264">
        <v>7</v>
      </c>
      <c r="M264" t="s">
        <v>83</v>
      </c>
      <c r="O264" t="s">
        <v>83</v>
      </c>
      <c r="P264" t="s">
        <v>84</v>
      </c>
      <c r="Q264" t="s">
        <v>85</v>
      </c>
    </row>
    <row r="265" spans="1:17" hidden="1">
      <c r="A265" t="s">
        <v>76</v>
      </c>
      <c r="B265" t="s">
        <v>77</v>
      </c>
      <c r="C265" t="s">
        <v>294</v>
      </c>
      <c r="D265" t="s">
        <v>294</v>
      </c>
      <c r="E265" t="s">
        <v>297</v>
      </c>
      <c r="F265" t="s">
        <v>297</v>
      </c>
      <c r="G265" t="s">
        <v>94</v>
      </c>
      <c r="H265" t="s">
        <v>81</v>
      </c>
      <c r="L265">
        <v>8</v>
      </c>
      <c r="M265" t="s">
        <v>83</v>
      </c>
      <c r="O265" t="s">
        <v>83</v>
      </c>
      <c r="P265" t="s">
        <v>84</v>
      </c>
      <c r="Q265" t="s">
        <v>85</v>
      </c>
    </row>
    <row r="266" spans="1:17" hidden="1">
      <c r="A266" t="s">
        <v>76</v>
      </c>
      <c r="B266" t="s">
        <v>77</v>
      </c>
      <c r="C266" t="s">
        <v>294</v>
      </c>
      <c r="D266" t="s">
        <v>294</v>
      </c>
      <c r="E266" t="s">
        <v>298</v>
      </c>
      <c r="F266" t="s">
        <v>298</v>
      </c>
      <c r="G266" t="s">
        <v>90</v>
      </c>
      <c r="H266" t="s">
        <v>81</v>
      </c>
      <c r="I266" t="s">
        <v>82</v>
      </c>
      <c r="L266">
        <v>9</v>
      </c>
      <c r="M266" t="s">
        <v>83</v>
      </c>
      <c r="O266" t="s">
        <v>83</v>
      </c>
      <c r="P266" t="s">
        <v>100</v>
      </c>
      <c r="Q266" t="s">
        <v>85</v>
      </c>
    </row>
    <row r="267" spans="1:17" hidden="1">
      <c r="A267" t="s">
        <v>76</v>
      </c>
      <c r="B267" t="s">
        <v>77</v>
      </c>
      <c r="C267" t="s">
        <v>294</v>
      </c>
      <c r="D267" t="s">
        <v>294</v>
      </c>
      <c r="E267" t="s">
        <v>298</v>
      </c>
      <c r="F267" t="s">
        <v>299</v>
      </c>
      <c r="G267" t="s">
        <v>90</v>
      </c>
      <c r="H267" t="s">
        <v>81</v>
      </c>
      <c r="L267">
        <v>10</v>
      </c>
      <c r="M267" t="s">
        <v>83</v>
      </c>
      <c r="O267" t="s">
        <v>83</v>
      </c>
      <c r="P267" t="s">
        <v>84</v>
      </c>
      <c r="Q267" t="s">
        <v>85</v>
      </c>
    </row>
    <row r="268" spans="1:17" hidden="1">
      <c r="A268" t="s">
        <v>76</v>
      </c>
      <c r="B268" t="s">
        <v>77</v>
      </c>
      <c r="C268" t="s">
        <v>294</v>
      </c>
      <c r="D268" t="s">
        <v>294</v>
      </c>
      <c r="E268" t="s">
        <v>300</v>
      </c>
      <c r="F268" t="s">
        <v>300</v>
      </c>
      <c r="G268" t="s">
        <v>98</v>
      </c>
      <c r="H268" t="s">
        <v>81</v>
      </c>
      <c r="L268">
        <v>11</v>
      </c>
      <c r="M268" t="s">
        <v>83</v>
      </c>
      <c r="O268" t="s">
        <v>83</v>
      </c>
      <c r="P268" t="s">
        <v>84</v>
      </c>
      <c r="Q268" t="s">
        <v>85</v>
      </c>
    </row>
    <row r="269" spans="1:17" hidden="1">
      <c r="A269" t="s">
        <v>76</v>
      </c>
      <c r="B269" t="s">
        <v>77</v>
      </c>
      <c r="C269" t="s">
        <v>294</v>
      </c>
      <c r="D269" t="s">
        <v>294</v>
      </c>
      <c r="E269" t="s">
        <v>301</v>
      </c>
      <c r="F269" t="s">
        <v>301</v>
      </c>
      <c r="G269" t="s">
        <v>88</v>
      </c>
      <c r="H269" t="s">
        <v>81</v>
      </c>
      <c r="L269">
        <v>12</v>
      </c>
      <c r="M269" t="s">
        <v>83</v>
      </c>
      <c r="O269" t="s">
        <v>83</v>
      </c>
      <c r="P269" t="s">
        <v>84</v>
      </c>
      <c r="Q269" t="s">
        <v>85</v>
      </c>
    </row>
    <row r="270" spans="1:17" hidden="1">
      <c r="A270" t="s">
        <v>76</v>
      </c>
      <c r="B270" t="s">
        <v>77</v>
      </c>
      <c r="C270" t="s">
        <v>294</v>
      </c>
      <c r="D270" t="s">
        <v>294</v>
      </c>
      <c r="E270" t="s">
        <v>302</v>
      </c>
      <c r="F270" t="s">
        <v>302</v>
      </c>
      <c r="G270" t="s">
        <v>90</v>
      </c>
      <c r="H270" t="s">
        <v>81</v>
      </c>
      <c r="L270">
        <v>13</v>
      </c>
      <c r="M270" t="s">
        <v>83</v>
      </c>
      <c r="O270" t="s">
        <v>83</v>
      </c>
      <c r="P270" t="s">
        <v>84</v>
      </c>
      <c r="Q270" t="s">
        <v>85</v>
      </c>
    </row>
    <row r="271" spans="1:17" hidden="1">
      <c r="A271" t="s">
        <v>76</v>
      </c>
      <c r="B271" t="s">
        <v>77</v>
      </c>
      <c r="C271" t="s">
        <v>294</v>
      </c>
      <c r="D271" t="s">
        <v>294</v>
      </c>
      <c r="E271" t="s">
        <v>303</v>
      </c>
      <c r="F271" t="s">
        <v>303</v>
      </c>
      <c r="G271" t="s">
        <v>98</v>
      </c>
      <c r="H271" t="s">
        <v>81</v>
      </c>
      <c r="L271">
        <v>14</v>
      </c>
      <c r="M271" t="s">
        <v>83</v>
      </c>
      <c r="O271" t="s">
        <v>83</v>
      </c>
      <c r="P271" t="s">
        <v>84</v>
      </c>
      <c r="Q271" t="s">
        <v>85</v>
      </c>
    </row>
    <row r="272" spans="1:17" hidden="1">
      <c r="A272" t="s">
        <v>76</v>
      </c>
      <c r="B272" t="s">
        <v>77</v>
      </c>
      <c r="C272" t="s">
        <v>294</v>
      </c>
      <c r="D272" t="s">
        <v>294</v>
      </c>
      <c r="E272" t="s">
        <v>304</v>
      </c>
      <c r="F272" t="s">
        <v>304</v>
      </c>
      <c r="G272" t="s">
        <v>98</v>
      </c>
      <c r="H272" t="s">
        <v>81</v>
      </c>
      <c r="L272">
        <v>15</v>
      </c>
      <c r="M272" t="s">
        <v>83</v>
      </c>
      <c r="O272" t="s">
        <v>83</v>
      </c>
      <c r="P272" t="s">
        <v>84</v>
      </c>
      <c r="Q272" t="s">
        <v>85</v>
      </c>
    </row>
    <row r="273" spans="1:17" hidden="1">
      <c r="A273" t="s">
        <v>76</v>
      </c>
      <c r="B273" t="s">
        <v>77</v>
      </c>
      <c r="C273" t="s">
        <v>294</v>
      </c>
      <c r="D273" t="s">
        <v>294</v>
      </c>
      <c r="E273" t="s">
        <v>305</v>
      </c>
      <c r="F273" t="s">
        <v>305</v>
      </c>
      <c r="G273" t="s">
        <v>98</v>
      </c>
      <c r="H273" t="s">
        <v>81</v>
      </c>
      <c r="L273">
        <v>16</v>
      </c>
      <c r="M273" t="s">
        <v>83</v>
      </c>
      <c r="O273" t="s">
        <v>83</v>
      </c>
      <c r="P273" t="s">
        <v>84</v>
      </c>
      <c r="Q273" t="s">
        <v>85</v>
      </c>
    </row>
    <row r="274" spans="1:17" hidden="1">
      <c r="A274" t="s">
        <v>76</v>
      </c>
      <c r="B274" t="s">
        <v>77</v>
      </c>
      <c r="C274" t="s">
        <v>294</v>
      </c>
      <c r="D274" t="s">
        <v>294</v>
      </c>
      <c r="E274" t="s">
        <v>117</v>
      </c>
      <c r="F274" t="s">
        <v>117</v>
      </c>
      <c r="G274" t="s">
        <v>90</v>
      </c>
      <c r="H274" t="s">
        <v>81</v>
      </c>
      <c r="L274">
        <v>17</v>
      </c>
      <c r="M274" t="s">
        <v>83</v>
      </c>
      <c r="O274" t="s">
        <v>83</v>
      </c>
      <c r="P274" t="s">
        <v>84</v>
      </c>
      <c r="Q274" t="s">
        <v>85</v>
      </c>
    </row>
    <row r="275" spans="1:17" hidden="1">
      <c r="A275" t="s">
        <v>76</v>
      </c>
      <c r="B275" t="s">
        <v>77</v>
      </c>
      <c r="C275" t="s">
        <v>294</v>
      </c>
      <c r="D275" t="s">
        <v>294</v>
      </c>
      <c r="E275" t="s">
        <v>174</v>
      </c>
      <c r="F275" t="s">
        <v>174</v>
      </c>
      <c r="G275" t="s">
        <v>90</v>
      </c>
      <c r="H275" t="s">
        <v>81</v>
      </c>
      <c r="L275">
        <v>18</v>
      </c>
      <c r="M275" t="s">
        <v>83</v>
      </c>
      <c r="O275" t="s">
        <v>83</v>
      </c>
      <c r="P275" t="s">
        <v>84</v>
      </c>
      <c r="Q275" t="s">
        <v>85</v>
      </c>
    </row>
    <row r="276" spans="1:17" hidden="1">
      <c r="A276" t="s">
        <v>76</v>
      </c>
      <c r="B276" t="s">
        <v>77</v>
      </c>
      <c r="C276" t="s">
        <v>294</v>
      </c>
      <c r="D276" t="s">
        <v>294</v>
      </c>
      <c r="E276" t="s">
        <v>112</v>
      </c>
      <c r="F276" t="s">
        <v>112</v>
      </c>
      <c r="G276" t="s">
        <v>113</v>
      </c>
      <c r="H276" t="s">
        <v>81</v>
      </c>
      <c r="I276" t="s">
        <v>114</v>
      </c>
      <c r="L276">
        <v>19</v>
      </c>
      <c r="M276" t="s">
        <v>83</v>
      </c>
      <c r="O276" t="s">
        <v>83</v>
      </c>
      <c r="P276" t="s">
        <v>84</v>
      </c>
      <c r="Q276" t="s">
        <v>85</v>
      </c>
    </row>
    <row r="277" spans="1:17" hidden="1">
      <c r="A277" t="s">
        <v>76</v>
      </c>
      <c r="B277" t="s">
        <v>77</v>
      </c>
      <c r="C277" t="s">
        <v>294</v>
      </c>
      <c r="D277" t="s">
        <v>294</v>
      </c>
      <c r="E277" t="s">
        <v>115</v>
      </c>
      <c r="F277" t="s">
        <v>115</v>
      </c>
      <c r="G277" t="s">
        <v>113</v>
      </c>
      <c r="H277" t="s">
        <v>81</v>
      </c>
      <c r="I277" t="s">
        <v>114</v>
      </c>
      <c r="L277">
        <v>20</v>
      </c>
      <c r="M277" t="s">
        <v>83</v>
      </c>
      <c r="O277" t="s">
        <v>83</v>
      </c>
      <c r="P277" t="s">
        <v>84</v>
      </c>
      <c r="Q277" t="s">
        <v>85</v>
      </c>
    </row>
    <row r="278" spans="1:17" hidden="1">
      <c r="A278" t="s">
        <v>76</v>
      </c>
      <c r="B278" t="s">
        <v>77</v>
      </c>
      <c r="C278" t="s">
        <v>294</v>
      </c>
      <c r="D278" t="s">
        <v>294</v>
      </c>
      <c r="E278" t="s">
        <v>118</v>
      </c>
      <c r="F278" t="s">
        <v>118</v>
      </c>
      <c r="G278" t="s">
        <v>92</v>
      </c>
      <c r="H278" t="s">
        <v>81</v>
      </c>
      <c r="L278">
        <v>27</v>
      </c>
      <c r="M278" t="s">
        <v>83</v>
      </c>
      <c r="O278" t="s">
        <v>83</v>
      </c>
      <c r="P278" t="s">
        <v>84</v>
      </c>
      <c r="Q278" t="s">
        <v>85</v>
      </c>
    </row>
    <row r="279" spans="1:17" hidden="1">
      <c r="A279" t="s">
        <v>76</v>
      </c>
      <c r="B279" t="s">
        <v>77</v>
      </c>
      <c r="C279" t="s">
        <v>306</v>
      </c>
      <c r="D279" t="s">
        <v>306</v>
      </c>
      <c r="E279" t="s">
        <v>79</v>
      </c>
      <c r="F279" t="s">
        <v>79</v>
      </c>
      <c r="G279" t="s">
        <v>80</v>
      </c>
      <c r="H279" t="s">
        <v>81</v>
      </c>
      <c r="I279" t="s">
        <v>82</v>
      </c>
      <c r="L279">
        <v>1</v>
      </c>
      <c r="M279" t="s">
        <v>83</v>
      </c>
      <c r="O279" t="s">
        <v>83</v>
      </c>
      <c r="P279" t="s">
        <v>84</v>
      </c>
      <c r="Q279" t="s">
        <v>85</v>
      </c>
    </row>
    <row r="280" spans="1:17" hidden="1">
      <c r="A280" t="s">
        <v>76</v>
      </c>
      <c r="B280" t="s">
        <v>77</v>
      </c>
      <c r="C280" t="s">
        <v>306</v>
      </c>
      <c r="D280" t="s">
        <v>306</v>
      </c>
      <c r="E280" t="s">
        <v>86</v>
      </c>
      <c r="F280" t="s">
        <v>86</v>
      </c>
      <c r="G280" t="s">
        <v>80</v>
      </c>
      <c r="H280" t="s">
        <v>81</v>
      </c>
      <c r="I280" t="s">
        <v>82</v>
      </c>
      <c r="L280">
        <v>2</v>
      </c>
      <c r="M280" t="s">
        <v>83</v>
      </c>
      <c r="O280" t="s">
        <v>83</v>
      </c>
      <c r="P280" t="s">
        <v>84</v>
      </c>
      <c r="Q280" t="s">
        <v>85</v>
      </c>
    </row>
    <row r="281" spans="1:17" hidden="1">
      <c r="A281" t="s">
        <v>76</v>
      </c>
      <c r="B281" t="s">
        <v>77</v>
      </c>
      <c r="C281" t="s">
        <v>306</v>
      </c>
      <c r="D281" t="s">
        <v>306</v>
      </c>
      <c r="E281" t="s">
        <v>87</v>
      </c>
      <c r="F281" t="s">
        <v>87</v>
      </c>
      <c r="G281" t="s">
        <v>88</v>
      </c>
      <c r="H281" t="s">
        <v>81</v>
      </c>
      <c r="J281" t="s">
        <v>83</v>
      </c>
      <c r="L281">
        <v>3</v>
      </c>
      <c r="M281" t="s">
        <v>83</v>
      </c>
      <c r="O281" t="s">
        <v>83</v>
      </c>
      <c r="P281" t="s">
        <v>84</v>
      </c>
      <c r="Q281" t="s">
        <v>85</v>
      </c>
    </row>
    <row r="282" spans="1:17" hidden="1">
      <c r="A282" t="s">
        <v>76</v>
      </c>
      <c r="B282" t="s">
        <v>77</v>
      </c>
      <c r="C282" t="s">
        <v>306</v>
      </c>
      <c r="D282" t="s">
        <v>306</v>
      </c>
      <c r="E282" t="s">
        <v>89</v>
      </c>
      <c r="F282" t="s">
        <v>89</v>
      </c>
      <c r="G282" t="s">
        <v>90</v>
      </c>
      <c r="H282" t="s">
        <v>81</v>
      </c>
      <c r="J282" t="s">
        <v>83</v>
      </c>
      <c r="K282" t="s">
        <v>83</v>
      </c>
      <c r="L282">
        <v>4</v>
      </c>
      <c r="M282" t="s">
        <v>83</v>
      </c>
      <c r="O282" t="s">
        <v>83</v>
      </c>
      <c r="P282" t="s">
        <v>84</v>
      </c>
      <c r="Q282" t="s">
        <v>85</v>
      </c>
    </row>
    <row r="283" spans="1:17" hidden="1">
      <c r="A283" t="s">
        <v>76</v>
      </c>
      <c r="B283" t="s">
        <v>77</v>
      </c>
      <c r="C283" t="s">
        <v>306</v>
      </c>
      <c r="D283" t="s">
        <v>306</v>
      </c>
      <c r="E283" t="s">
        <v>307</v>
      </c>
      <c r="F283" t="s">
        <v>307</v>
      </c>
      <c r="G283" t="s">
        <v>90</v>
      </c>
      <c r="H283" t="s">
        <v>81</v>
      </c>
      <c r="I283" t="s">
        <v>82</v>
      </c>
      <c r="L283">
        <v>5</v>
      </c>
      <c r="M283" t="s">
        <v>83</v>
      </c>
      <c r="O283" t="s">
        <v>83</v>
      </c>
      <c r="P283" t="s">
        <v>100</v>
      </c>
      <c r="Q283" t="s">
        <v>85</v>
      </c>
    </row>
    <row r="284" spans="1:17" hidden="1">
      <c r="A284" t="s">
        <v>76</v>
      </c>
      <c r="B284" t="s">
        <v>77</v>
      </c>
      <c r="C284" t="s">
        <v>306</v>
      </c>
      <c r="D284" t="s">
        <v>306</v>
      </c>
      <c r="E284" t="s">
        <v>307</v>
      </c>
      <c r="F284" t="s">
        <v>308</v>
      </c>
      <c r="G284" t="s">
        <v>90</v>
      </c>
      <c r="H284" t="s">
        <v>81</v>
      </c>
      <c r="L284">
        <v>6</v>
      </c>
      <c r="M284" t="s">
        <v>83</v>
      </c>
      <c r="O284" t="s">
        <v>83</v>
      </c>
      <c r="P284" t="s">
        <v>84</v>
      </c>
      <c r="Q284" t="s">
        <v>85</v>
      </c>
    </row>
    <row r="285" spans="1:17" hidden="1">
      <c r="A285" t="s">
        <v>76</v>
      </c>
      <c r="B285" t="s">
        <v>77</v>
      </c>
      <c r="C285" t="s">
        <v>306</v>
      </c>
      <c r="D285" t="s">
        <v>306</v>
      </c>
      <c r="E285" t="s">
        <v>91</v>
      </c>
      <c r="F285" t="s">
        <v>91</v>
      </c>
      <c r="G285" t="s">
        <v>92</v>
      </c>
      <c r="H285" t="s">
        <v>81</v>
      </c>
      <c r="J285" t="s">
        <v>83</v>
      </c>
      <c r="L285">
        <v>7</v>
      </c>
      <c r="M285" t="s">
        <v>83</v>
      </c>
      <c r="O285" t="s">
        <v>83</v>
      </c>
      <c r="P285" t="s">
        <v>84</v>
      </c>
      <c r="Q285" t="s">
        <v>85</v>
      </c>
    </row>
    <row r="286" spans="1:17" hidden="1">
      <c r="A286" t="s">
        <v>76</v>
      </c>
      <c r="B286" t="s">
        <v>77</v>
      </c>
      <c r="C286" t="s">
        <v>306</v>
      </c>
      <c r="D286" t="s">
        <v>306</v>
      </c>
      <c r="E286" t="s">
        <v>309</v>
      </c>
      <c r="F286" t="s">
        <v>309</v>
      </c>
      <c r="G286" t="s">
        <v>94</v>
      </c>
      <c r="H286" t="s">
        <v>81</v>
      </c>
      <c r="L286">
        <v>8</v>
      </c>
      <c r="M286" t="s">
        <v>83</v>
      </c>
      <c r="O286" t="s">
        <v>83</v>
      </c>
      <c r="P286" t="s">
        <v>84</v>
      </c>
      <c r="Q286" t="s">
        <v>85</v>
      </c>
    </row>
    <row r="287" spans="1:17" hidden="1">
      <c r="A287" t="s">
        <v>76</v>
      </c>
      <c r="B287" t="s">
        <v>77</v>
      </c>
      <c r="C287" t="s">
        <v>306</v>
      </c>
      <c r="D287" t="s">
        <v>306</v>
      </c>
      <c r="E287" t="s">
        <v>310</v>
      </c>
      <c r="F287" t="s">
        <v>310</v>
      </c>
      <c r="G287" t="s">
        <v>88</v>
      </c>
      <c r="H287" t="s">
        <v>81</v>
      </c>
      <c r="L287">
        <v>9</v>
      </c>
      <c r="M287" t="s">
        <v>83</v>
      </c>
      <c r="O287" t="s">
        <v>83</v>
      </c>
      <c r="P287" t="s">
        <v>84</v>
      </c>
      <c r="Q287" t="s">
        <v>85</v>
      </c>
    </row>
    <row r="288" spans="1:17" hidden="1">
      <c r="A288" t="s">
        <v>76</v>
      </c>
      <c r="B288" t="s">
        <v>77</v>
      </c>
      <c r="C288" t="s">
        <v>306</v>
      </c>
      <c r="D288" t="s">
        <v>306</v>
      </c>
      <c r="E288" t="s">
        <v>311</v>
      </c>
      <c r="F288" t="s">
        <v>311</v>
      </c>
      <c r="G288" t="s">
        <v>94</v>
      </c>
      <c r="H288" t="s">
        <v>81</v>
      </c>
      <c r="L288">
        <v>10</v>
      </c>
      <c r="M288" t="s">
        <v>83</v>
      </c>
      <c r="O288" t="s">
        <v>83</v>
      </c>
      <c r="P288" t="s">
        <v>84</v>
      </c>
      <c r="Q288" t="s">
        <v>85</v>
      </c>
    </row>
    <row r="289" spans="1:17" hidden="1">
      <c r="A289" t="s">
        <v>76</v>
      </c>
      <c r="B289" t="s">
        <v>77</v>
      </c>
      <c r="C289" t="s">
        <v>306</v>
      </c>
      <c r="D289" t="s">
        <v>306</v>
      </c>
      <c r="E289" t="s">
        <v>312</v>
      </c>
      <c r="F289" t="s">
        <v>312</v>
      </c>
      <c r="G289" t="s">
        <v>98</v>
      </c>
      <c r="H289" t="s">
        <v>81</v>
      </c>
      <c r="L289">
        <v>11</v>
      </c>
      <c r="M289" t="s">
        <v>83</v>
      </c>
      <c r="O289" t="s">
        <v>83</v>
      </c>
      <c r="P289" t="s">
        <v>84</v>
      </c>
      <c r="Q289" t="s">
        <v>85</v>
      </c>
    </row>
    <row r="290" spans="1:17" hidden="1">
      <c r="A290" t="s">
        <v>76</v>
      </c>
      <c r="B290" t="s">
        <v>77</v>
      </c>
      <c r="C290" t="s">
        <v>306</v>
      </c>
      <c r="D290" t="s">
        <v>306</v>
      </c>
      <c r="E290" t="s">
        <v>313</v>
      </c>
      <c r="F290" t="s">
        <v>313</v>
      </c>
      <c r="G290" t="s">
        <v>88</v>
      </c>
      <c r="H290" t="s">
        <v>81</v>
      </c>
      <c r="L290">
        <v>12</v>
      </c>
      <c r="M290" t="s">
        <v>83</v>
      </c>
      <c r="O290" t="s">
        <v>83</v>
      </c>
      <c r="P290" t="s">
        <v>84</v>
      </c>
      <c r="Q290" t="s">
        <v>85</v>
      </c>
    </row>
    <row r="291" spans="1:17" hidden="1">
      <c r="A291" t="s">
        <v>76</v>
      </c>
      <c r="B291" t="s">
        <v>77</v>
      </c>
      <c r="C291" t="s">
        <v>306</v>
      </c>
      <c r="D291" t="s">
        <v>306</v>
      </c>
      <c r="E291" t="s">
        <v>314</v>
      </c>
      <c r="F291" t="s">
        <v>314</v>
      </c>
      <c r="G291" t="s">
        <v>90</v>
      </c>
      <c r="H291" t="s">
        <v>81</v>
      </c>
      <c r="L291">
        <v>13</v>
      </c>
      <c r="M291" t="s">
        <v>83</v>
      </c>
      <c r="O291" t="s">
        <v>83</v>
      </c>
      <c r="P291" t="s">
        <v>84</v>
      </c>
      <c r="Q291" t="s">
        <v>85</v>
      </c>
    </row>
    <row r="292" spans="1:17" hidden="1">
      <c r="A292" t="s">
        <v>76</v>
      </c>
      <c r="B292" t="s">
        <v>77</v>
      </c>
      <c r="C292" t="s">
        <v>306</v>
      </c>
      <c r="D292" t="s">
        <v>306</v>
      </c>
      <c r="E292" t="s">
        <v>315</v>
      </c>
      <c r="F292" t="s">
        <v>315</v>
      </c>
      <c r="G292" t="s">
        <v>98</v>
      </c>
      <c r="H292" t="s">
        <v>81</v>
      </c>
      <c r="L292">
        <v>14</v>
      </c>
      <c r="M292" t="s">
        <v>83</v>
      </c>
      <c r="O292" t="s">
        <v>83</v>
      </c>
      <c r="P292" t="s">
        <v>84</v>
      </c>
      <c r="Q292" t="s">
        <v>85</v>
      </c>
    </row>
    <row r="293" spans="1:17" hidden="1">
      <c r="A293" t="s">
        <v>76</v>
      </c>
      <c r="B293" t="s">
        <v>77</v>
      </c>
      <c r="C293" t="s">
        <v>306</v>
      </c>
      <c r="D293" t="s">
        <v>306</v>
      </c>
      <c r="E293" t="s">
        <v>112</v>
      </c>
      <c r="F293" t="s">
        <v>112</v>
      </c>
      <c r="G293" t="s">
        <v>113</v>
      </c>
      <c r="H293" t="s">
        <v>81</v>
      </c>
      <c r="I293" t="s">
        <v>114</v>
      </c>
      <c r="L293">
        <v>15</v>
      </c>
      <c r="M293" t="s">
        <v>83</v>
      </c>
      <c r="O293" t="s">
        <v>83</v>
      </c>
      <c r="P293" t="s">
        <v>84</v>
      </c>
      <c r="Q293" t="s">
        <v>85</v>
      </c>
    </row>
    <row r="294" spans="1:17" hidden="1">
      <c r="A294" t="s">
        <v>76</v>
      </c>
      <c r="B294" t="s">
        <v>77</v>
      </c>
      <c r="C294" t="s">
        <v>306</v>
      </c>
      <c r="D294" t="s">
        <v>306</v>
      </c>
      <c r="E294" t="s">
        <v>115</v>
      </c>
      <c r="F294" t="s">
        <v>115</v>
      </c>
      <c r="G294" t="s">
        <v>113</v>
      </c>
      <c r="H294" t="s">
        <v>81</v>
      </c>
      <c r="I294" t="s">
        <v>114</v>
      </c>
      <c r="L294">
        <v>16</v>
      </c>
      <c r="M294" t="s">
        <v>83</v>
      </c>
      <c r="O294" t="s">
        <v>83</v>
      </c>
      <c r="P294" t="s">
        <v>84</v>
      </c>
      <c r="Q294" t="s">
        <v>85</v>
      </c>
    </row>
    <row r="295" spans="1:17" hidden="1">
      <c r="A295" t="s">
        <v>76</v>
      </c>
      <c r="B295" t="s">
        <v>77</v>
      </c>
      <c r="C295" t="s">
        <v>306</v>
      </c>
      <c r="D295" t="s">
        <v>306</v>
      </c>
      <c r="E295" t="s">
        <v>316</v>
      </c>
      <c r="F295" t="s">
        <v>316</v>
      </c>
      <c r="G295" t="s">
        <v>90</v>
      </c>
      <c r="H295" t="s">
        <v>81</v>
      </c>
      <c r="L295">
        <v>23</v>
      </c>
      <c r="M295" t="s">
        <v>83</v>
      </c>
      <c r="O295" t="s">
        <v>83</v>
      </c>
      <c r="P295" t="s">
        <v>84</v>
      </c>
      <c r="Q295" t="s">
        <v>85</v>
      </c>
    </row>
    <row r="296" spans="1:17" hidden="1">
      <c r="A296" t="s">
        <v>76</v>
      </c>
      <c r="B296" t="s">
        <v>77</v>
      </c>
      <c r="C296" t="s">
        <v>306</v>
      </c>
      <c r="D296" t="s">
        <v>306</v>
      </c>
      <c r="E296" t="s">
        <v>117</v>
      </c>
      <c r="F296" t="s">
        <v>117</v>
      </c>
      <c r="G296" t="s">
        <v>90</v>
      </c>
      <c r="H296" t="s">
        <v>81</v>
      </c>
      <c r="L296">
        <v>24</v>
      </c>
      <c r="M296" t="s">
        <v>83</v>
      </c>
      <c r="O296" t="s">
        <v>83</v>
      </c>
      <c r="P296" t="s">
        <v>84</v>
      </c>
      <c r="Q296" t="s">
        <v>85</v>
      </c>
    </row>
    <row r="297" spans="1:17" hidden="1">
      <c r="A297" t="s">
        <v>76</v>
      </c>
      <c r="B297" t="s">
        <v>77</v>
      </c>
      <c r="C297" t="s">
        <v>306</v>
      </c>
      <c r="D297" t="s">
        <v>306</v>
      </c>
      <c r="E297" t="s">
        <v>174</v>
      </c>
      <c r="F297" t="s">
        <v>174</v>
      </c>
      <c r="G297" t="s">
        <v>90</v>
      </c>
      <c r="H297" t="s">
        <v>81</v>
      </c>
      <c r="L297">
        <v>25</v>
      </c>
      <c r="M297" t="s">
        <v>83</v>
      </c>
      <c r="O297" t="s">
        <v>83</v>
      </c>
      <c r="P297" t="s">
        <v>84</v>
      </c>
      <c r="Q297" t="s">
        <v>85</v>
      </c>
    </row>
    <row r="298" spans="1:17" hidden="1">
      <c r="A298" t="s">
        <v>76</v>
      </c>
      <c r="B298" t="s">
        <v>77</v>
      </c>
      <c r="C298" t="s">
        <v>306</v>
      </c>
      <c r="D298" t="s">
        <v>306</v>
      </c>
      <c r="E298" t="s">
        <v>118</v>
      </c>
      <c r="F298" t="s">
        <v>118</v>
      </c>
      <c r="G298" t="s">
        <v>92</v>
      </c>
      <c r="H298" t="s">
        <v>81</v>
      </c>
      <c r="L298">
        <v>26</v>
      </c>
      <c r="M298" t="s">
        <v>83</v>
      </c>
      <c r="O298" t="s">
        <v>83</v>
      </c>
      <c r="P298" t="s">
        <v>84</v>
      </c>
      <c r="Q298" t="s">
        <v>85</v>
      </c>
    </row>
    <row r="299" spans="1:17" hidden="1">
      <c r="A299" t="s">
        <v>76</v>
      </c>
      <c r="B299" t="s">
        <v>77</v>
      </c>
      <c r="C299" t="s">
        <v>317</v>
      </c>
      <c r="D299" t="s">
        <v>317</v>
      </c>
      <c r="E299" t="s">
        <v>79</v>
      </c>
      <c r="F299" t="s">
        <v>79</v>
      </c>
      <c r="G299" t="s">
        <v>80</v>
      </c>
      <c r="H299" t="s">
        <v>81</v>
      </c>
      <c r="I299" t="s">
        <v>82</v>
      </c>
      <c r="L299">
        <v>1</v>
      </c>
      <c r="M299" t="s">
        <v>83</v>
      </c>
      <c r="O299" t="s">
        <v>83</v>
      </c>
      <c r="P299" t="s">
        <v>84</v>
      </c>
      <c r="Q299" t="s">
        <v>85</v>
      </c>
    </row>
    <row r="300" spans="1:17" hidden="1">
      <c r="A300" t="s">
        <v>76</v>
      </c>
      <c r="B300" t="s">
        <v>77</v>
      </c>
      <c r="C300" t="s">
        <v>317</v>
      </c>
      <c r="D300" t="s">
        <v>317</v>
      </c>
      <c r="E300" t="s">
        <v>86</v>
      </c>
      <c r="F300" t="s">
        <v>86</v>
      </c>
      <c r="G300" t="s">
        <v>80</v>
      </c>
      <c r="H300" t="s">
        <v>81</v>
      </c>
      <c r="I300" t="s">
        <v>82</v>
      </c>
      <c r="L300">
        <v>2</v>
      </c>
      <c r="M300" t="s">
        <v>83</v>
      </c>
      <c r="O300" t="s">
        <v>83</v>
      </c>
      <c r="P300" t="s">
        <v>84</v>
      </c>
      <c r="Q300" t="s">
        <v>85</v>
      </c>
    </row>
    <row r="301" spans="1:17" hidden="1">
      <c r="A301" t="s">
        <v>76</v>
      </c>
      <c r="B301" t="s">
        <v>77</v>
      </c>
      <c r="C301" t="s">
        <v>317</v>
      </c>
      <c r="D301" t="s">
        <v>317</v>
      </c>
      <c r="E301" t="s">
        <v>87</v>
      </c>
      <c r="F301" t="s">
        <v>87</v>
      </c>
      <c r="G301" t="s">
        <v>88</v>
      </c>
      <c r="H301" t="s">
        <v>81</v>
      </c>
      <c r="J301" t="s">
        <v>83</v>
      </c>
      <c r="L301">
        <v>3</v>
      </c>
      <c r="M301" t="s">
        <v>83</v>
      </c>
      <c r="O301" t="s">
        <v>83</v>
      </c>
      <c r="P301" t="s">
        <v>84</v>
      </c>
      <c r="Q301" t="s">
        <v>85</v>
      </c>
    </row>
    <row r="302" spans="1:17" hidden="1">
      <c r="A302" t="s">
        <v>76</v>
      </c>
      <c r="B302" t="s">
        <v>77</v>
      </c>
      <c r="C302" t="s">
        <v>317</v>
      </c>
      <c r="D302" t="s">
        <v>317</v>
      </c>
      <c r="E302" t="s">
        <v>89</v>
      </c>
      <c r="F302" t="s">
        <v>89</v>
      </c>
      <c r="G302" t="s">
        <v>90</v>
      </c>
      <c r="H302" t="s">
        <v>81</v>
      </c>
      <c r="J302" t="s">
        <v>83</v>
      </c>
      <c r="K302" t="s">
        <v>83</v>
      </c>
      <c r="L302">
        <v>4</v>
      </c>
      <c r="M302" t="s">
        <v>83</v>
      </c>
      <c r="O302" t="s">
        <v>83</v>
      </c>
      <c r="P302" t="s">
        <v>84</v>
      </c>
      <c r="Q302" t="s">
        <v>85</v>
      </c>
    </row>
    <row r="303" spans="1:17" hidden="1">
      <c r="A303" t="s">
        <v>76</v>
      </c>
      <c r="B303" t="s">
        <v>77</v>
      </c>
      <c r="C303" t="s">
        <v>317</v>
      </c>
      <c r="D303" t="s">
        <v>317</v>
      </c>
      <c r="E303" t="s">
        <v>318</v>
      </c>
      <c r="F303" t="s">
        <v>318</v>
      </c>
      <c r="G303" t="s">
        <v>90</v>
      </c>
      <c r="H303" t="s">
        <v>81</v>
      </c>
      <c r="I303" t="s">
        <v>82</v>
      </c>
      <c r="L303">
        <v>5</v>
      </c>
      <c r="M303" t="s">
        <v>83</v>
      </c>
      <c r="O303" t="s">
        <v>83</v>
      </c>
      <c r="P303" t="s">
        <v>100</v>
      </c>
      <c r="Q303" t="s">
        <v>85</v>
      </c>
    </row>
    <row r="304" spans="1:17" hidden="1">
      <c r="A304" t="s">
        <v>76</v>
      </c>
      <c r="B304" t="s">
        <v>77</v>
      </c>
      <c r="C304" t="s">
        <v>317</v>
      </c>
      <c r="D304" t="s">
        <v>317</v>
      </c>
      <c r="E304" t="s">
        <v>318</v>
      </c>
      <c r="F304" t="s">
        <v>319</v>
      </c>
      <c r="G304" t="s">
        <v>90</v>
      </c>
      <c r="H304" t="s">
        <v>81</v>
      </c>
      <c r="L304">
        <v>6</v>
      </c>
      <c r="M304" t="s">
        <v>83</v>
      </c>
      <c r="O304" t="s">
        <v>83</v>
      </c>
      <c r="P304" t="s">
        <v>84</v>
      </c>
      <c r="Q304" t="s">
        <v>85</v>
      </c>
    </row>
    <row r="305" spans="1:17" hidden="1">
      <c r="A305" t="s">
        <v>76</v>
      </c>
      <c r="B305" t="s">
        <v>77</v>
      </c>
      <c r="C305" t="s">
        <v>317</v>
      </c>
      <c r="D305" t="s">
        <v>317</v>
      </c>
      <c r="E305" t="s">
        <v>91</v>
      </c>
      <c r="F305" t="s">
        <v>91</v>
      </c>
      <c r="G305" t="s">
        <v>92</v>
      </c>
      <c r="H305" t="s">
        <v>81</v>
      </c>
      <c r="J305" t="s">
        <v>83</v>
      </c>
      <c r="L305">
        <v>7</v>
      </c>
      <c r="M305" t="s">
        <v>83</v>
      </c>
      <c r="O305" t="s">
        <v>83</v>
      </c>
      <c r="P305" t="s">
        <v>84</v>
      </c>
      <c r="Q305" t="s">
        <v>85</v>
      </c>
    </row>
    <row r="306" spans="1:17" hidden="1">
      <c r="A306" t="s">
        <v>76</v>
      </c>
      <c r="B306" t="s">
        <v>77</v>
      </c>
      <c r="C306" t="s">
        <v>317</v>
      </c>
      <c r="D306" t="s">
        <v>317</v>
      </c>
      <c r="E306" t="s">
        <v>320</v>
      </c>
      <c r="F306" t="s">
        <v>320</v>
      </c>
      <c r="G306" t="s">
        <v>94</v>
      </c>
      <c r="H306" t="s">
        <v>81</v>
      </c>
      <c r="L306">
        <v>8</v>
      </c>
      <c r="M306" t="s">
        <v>83</v>
      </c>
      <c r="O306" t="s">
        <v>83</v>
      </c>
      <c r="P306" t="s">
        <v>84</v>
      </c>
      <c r="Q306" t="s">
        <v>85</v>
      </c>
    </row>
    <row r="307" spans="1:17" hidden="1">
      <c r="A307" t="s">
        <v>76</v>
      </c>
      <c r="B307" t="s">
        <v>77</v>
      </c>
      <c r="C307" t="s">
        <v>317</v>
      </c>
      <c r="D307" t="s">
        <v>317</v>
      </c>
      <c r="E307" t="s">
        <v>321</v>
      </c>
      <c r="F307" t="s">
        <v>321</v>
      </c>
      <c r="G307" t="s">
        <v>88</v>
      </c>
      <c r="H307" t="s">
        <v>81</v>
      </c>
      <c r="L307">
        <v>9</v>
      </c>
      <c r="M307" t="s">
        <v>83</v>
      </c>
      <c r="O307" t="s">
        <v>83</v>
      </c>
      <c r="P307" t="s">
        <v>84</v>
      </c>
      <c r="Q307" t="s">
        <v>85</v>
      </c>
    </row>
    <row r="308" spans="1:17" hidden="1">
      <c r="A308" t="s">
        <v>76</v>
      </c>
      <c r="B308" t="s">
        <v>77</v>
      </c>
      <c r="C308" t="s">
        <v>317</v>
      </c>
      <c r="D308" t="s">
        <v>317</v>
      </c>
      <c r="E308" t="s">
        <v>322</v>
      </c>
      <c r="F308" t="s">
        <v>322</v>
      </c>
      <c r="G308" t="s">
        <v>94</v>
      </c>
      <c r="H308" t="s">
        <v>81</v>
      </c>
      <c r="L308">
        <v>10</v>
      </c>
      <c r="M308" t="s">
        <v>83</v>
      </c>
      <c r="O308" t="s">
        <v>83</v>
      </c>
      <c r="P308" t="s">
        <v>84</v>
      </c>
      <c r="Q308" t="s">
        <v>85</v>
      </c>
    </row>
    <row r="309" spans="1:17" hidden="1">
      <c r="A309" t="s">
        <v>76</v>
      </c>
      <c r="B309" t="s">
        <v>77</v>
      </c>
      <c r="C309" t="s">
        <v>317</v>
      </c>
      <c r="D309" t="s">
        <v>317</v>
      </c>
      <c r="E309" t="s">
        <v>323</v>
      </c>
      <c r="F309" t="s">
        <v>323</v>
      </c>
      <c r="G309" t="s">
        <v>98</v>
      </c>
      <c r="H309" t="s">
        <v>81</v>
      </c>
      <c r="L309">
        <v>11</v>
      </c>
      <c r="M309" t="s">
        <v>83</v>
      </c>
      <c r="O309" t="s">
        <v>83</v>
      </c>
      <c r="P309" t="s">
        <v>84</v>
      </c>
      <c r="Q309" t="s">
        <v>85</v>
      </c>
    </row>
    <row r="310" spans="1:17" hidden="1">
      <c r="A310" t="s">
        <v>76</v>
      </c>
      <c r="B310" t="s">
        <v>77</v>
      </c>
      <c r="C310" t="s">
        <v>317</v>
      </c>
      <c r="D310" t="s">
        <v>317</v>
      </c>
      <c r="E310" t="s">
        <v>324</v>
      </c>
      <c r="F310" t="s">
        <v>324</v>
      </c>
      <c r="G310" t="s">
        <v>98</v>
      </c>
      <c r="H310" t="s">
        <v>81</v>
      </c>
      <c r="L310">
        <v>12</v>
      </c>
      <c r="M310" t="s">
        <v>83</v>
      </c>
      <c r="O310" t="s">
        <v>83</v>
      </c>
      <c r="P310" t="s">
        <v>84</v>
      </c>
      <c r="Q310" t="s">
        <v>85</v>
      </c>
    </row>
    <row r="311" spans="1:17" hidden="1">
      <c r="A311" t="s">
        <v>76</v>
      </c>
      <c r="B311" t="s">
        <v>77</v>
      </c>
      <c r="C311" t="s">
        <v>317</v>
      </c>
      <c r="D311" t="s">
        <v>317</v>
      </c>
      <c r="E311" t="s">
        <v>325</v>
      </c>
      <c r="F311" t="s">
        <v>325</v>
      </c>
      <c r="G311" t="s">
        <v>98</v>
      </c>
      <c r="H311" t="s">
        <v>81</v>
      </c>
      <c r="L311">
        <v>13</v>
      </c>
      <c r="M311" t="s">
        <v>83</v>
      </c>
      <c r="O311" t="s">
        <v>83</v>
      </c>
      <c r="P311" t="s">
        <v>84</v>
      </c>
      <c r="Q311" t="s">
        <v>85</v>
      </c>
    </row>
    <row r="312" spans="1:17" hidden="1">
      <c r="A312" t="s">
        <v>76</v>
      </c>
      <c r="B312" t="s">
        <v>77</v>
      </c>
      <c r="C312" t="s">
        <v>317</v>
      </c>
      <c r="D312" t="s">
        <v>317</v>
      </c>
      <c r="E312" t="s">
        <v>326</v>
      </c>
      <c r="F312" t="s">
        <v>326</v>
      </c>
      <c r="G312" t="s">
        <v>188</v>
      </c>
      <c r="H312" t="s">
        <v>81</v>
      </c>
      <c r="L312">
        <v>14</v>
      </c>
      <c r="M312" t="s">
        <v>83</v>
      </c>
      <c r="O312" t="s">
        <v>83</v>
      </c>
      <c r="P312" t="s">
        <v>84</v>
      </c>
      <c r="Q312" t="s">
        <v>85</v>
      </c>
    </row>
    <row r="313" spans="1:17" hidden="1">
      <c r="A313" t="s">
        <v>76</v>
      </c>
      <c r="B313" t="s">
        <v>77</v>
      </c>
      <c r="C313" t="s">
        <v>317</v>
      </c>
      <c r="D313" t="s">
        <v>317</v>
      </c>
      <c r="E313" t="s">
        <v>112</v>
      </c>
      <c r="F313" t="s">
        <v>112</v>
      </c>
      <c r="G313" t="s">
        <v>113</v>
      </c>
      <c r="H313" t="s">
        <v>81</v>
      </c>
      <c r="I313" t="s">
        <v>114</v>
      </c>
      <c r="L313">
        <v>15</v>
      </c>
      <c r="M313" t="s">
        <v>83</v>
      </c>
      <c r="O313" t="s">
        <v>83</v>
      </c>
      <c r="P313" t="s">
        <v>84</v>
      </c>
      <c r="Q313" t="s">
        <v>85</v>
      </c>
    </row>
    <row r="314" spans="1:17" hidden="1">
      <c r="A314" t="s">
        <v>76</v>
      </c>
      <c r="B314" t="s">
        <v>77</v>
      </c>
      <c r="C314" t="s">
        <v>317</v>
      </c>
      <c r="D314" t="s">
        <v>317</v>
      </c>
      <c r="E314" t="s">
        <v>115</v>
      </c>
      <c r="F314" t="s">
        <v>115</v>
      </c>
      <c r="G314" t="s">
        <v>113</v>
      </c>
      <c r="H314" t="s">
        <v>81</v>
      </c>
      <c r="I314" t="s">
        <v>114</v>
      </c>
      <c r="L314">
        <v>16</v>
      </c>
      <c r="M314" t="s">
        <v>83</v>
      </c>
      <c r="O314" t="s">
        <v>83</v>
      </c>
      <c r="P314" t="s">
        <v>84</v>
      </c>
      <c r="Q314" t="s">
        <v>85</v>
      </c>
    </row>
    <row r="315" spans="1:17" hidden="1">
      <c r="A315" t="s">
        <v>76</v>
      </c>
      <c r="B315" t="s">
        <v>77</v>
      </c>
      <c r="C315" t="s">
        <v>317</v>
      </c>
      <c r="D315" t="s">
        <v>317</v>
      </c>
      <c r="E315" t="s">
        <v>327</v>
      </c>
      <c r="F315" t="s">
        <v>327</v>
      </c>
      <c r="G315" t="s">
        <v>90</v>
      </c>
      <c r="H315" t="s">
        <v>81</v>
      </c>
      <c r="L315">
        <v>17</v>
      </c>
      <c r="M315" t="s">
        <v>83</v>
      </c>
      <c r="O315" t="s">
        <v>83</v>
      </c>
      <c r="P315" t="s">
        <v>84</v>
      </c>
      <c r="Q315" t="s">
        <v>85</v>
      </c>
    </row>
    <row r="316" spans="1:17" hidden="1">
      <c r="A316" t="s">
        <v>76</v>
      </c>
      <c r="B316" t="s">
        <v>77</v>
      </c>
      <c r="C316" t="s">
        <v>317</v>
      </c>
      <c r="D316" t="s">
        <v>317</v>
      </c>
      <c r="E316" t="s">
        <v>117</v>
      </c>
      <c r="F316" t="s">
        <v>117</v>
      </c>
      <c r="G316" t="s">
        <v>90</v>
      </c>
      <c r="H316" t="s">
        <v>81</v>
      </c>
      <c r="L316">
        <v>24</v>
      </c>
      <c r="M316" t="s">
        <v>83</v>
      </c>
      <c r="O316" t="s">
        <v>83</v>
      </c>
      <c r="P316" t="s">
        <v>84</v>
      </c>
      <c r="Q316" t="s">
        <v>85</v>
      </c>
    </row>
    <row r="317" spans="1:17" hidden="1">
      <c r="A317" t="s">
        <v>76</v>
      </c>
      <c r="B317" t="s">
        <v>77</v>
      </c>
      <c r="C317" t="s">
        <v>317</v>
      </c>
      <c r="D317" t="s">
        <v>317</v>
      </c>
      <c r="E317" t="s">
        <v>328</v>
      </c>
      <c r="F317" t="s">
        <v>328</v>
      </c>
      <c r="G317" t="s">
        <v>90</v>
      </c>
      <c r="H317" t="s">
        <v>81</v>
      </c>
      <c r="L317">
        <v>25</v>
      </c>
      <c r="M317" t="s">
        <v>83</v>
      </c>
      <c r="O317" t="s">
        <v>83</v>
      </c>
      <c r="P317" t="s">
        <v>84</v>
      </c>
      <c r="Q317" t="s">
        <v>85</v>
      </c>
    </row>
    <row r="318" spans="1:17" hidden="1">
      <c r="A318" t="s">
        <v>76</v>
      </c>
      <c r="B318" t="s">
        <v>77</v>
      </c>
      <c r="C318" t="s">
        <v>317</v>
      </c>
      <c r="D318" t="s">
        <v>317</v>
      </c>
      <c r="E318" t="s">
        <v>118</v>
      </c>
      <c r="F318" t="s">
        <v>118</v>
      </c>
      <c r="G318" t="s">
        <v>92</v>
      </c>
      <c r="H318" t="s">
        <v>81</v>
      </c>
      <c r="L318">
        <v>26</v>
      </c>
      <c r="M318" t="s">
        <v>83</v>
      </c>
      <c r="O318" t="s">
        <v>83</v>
      </c>
      <c r="P318" t="s">
        <v>84</v>
      </c>
      <c r="Q318" t="s">
        <v>85</v>
      </c>
    </row>
    <row r="319" spans="1:17" hidden="1">
      <c r="A319" t="s">
        <v>76</v>
      </c>
      <c r="B319" t="s">
        <v>77</v>
      </c>
      <c r="C319" t="s">
        <v>329</v>
      </c>
      <c r="D319" t="s">
        <v>329</v>
      </c>
      <c r="E319" t="s">
        <v>79</v>
      </c>
      <c r="F319" t="s">
        <v>79</v>
      </c>
      <c r="G319" t="s">
        <v>80</v>
      </c>
      <c r="H319" t="s">
        <v>81</v>
      </c>
      <c r="I319" t="s">
        <v>82</v>
      </c>
      <c r="L319">
        <v>1</v>
      </c>
      <c r="M319" t="s">
        <v>83</v>
      </c>
      <c r="O319" t="s">
        <v>83</v>
      </c>
      <c r="P319" t="s">
        <v>84</v>
      </c>
      <c r="Q319" t="s">
        <v>85</v>
      </c>
    </row>
    <row r="320" spans="1:17" hidden="1">
      <c r="A320" t="s">
        <v>76</v>
      </c>
      <c r="B320" t="s">
        <v>77</v>
      </c>
      <c r="C320" t="s">
        <v>329</v>
      </c>
      <c r="D320" t="s">
        <v>329</v>
      </c>
      <c r="E320" t="s">
        <v>86</v>
      </c>
      <c r="F320" t="s">
        <v>86</v>
      </c>
      <c r="G320" t="s">
        <v>80</v>
      </c>
      <c r="H320" t="s">
        <v>81</v>
      </c>
      <c r="I320" t="s">
        <v>82</v>
      </c>
      <c r="L320">
        <v>2</v>
      </c>
      <c r="M320" t="s">
        <v>83</v>
      </c>
      <c r="O320" t="s">
        <v>83</v>
      </c>
      <c r="P320" t="s">
        <v>84</v>
      </c>
      <c r="Q320" t="s">
        <v>85</v>
      </c>
    </row>
    <row r="321" spans="1:17" hidden="1">
      <c r="A321" t="s">
        <v>76</v>
      </c>
      <c r="B321" t="s">
        <v>77</v>
      </c>
      <c r="C321" t="s">
        <v>329</v>
      </c>
      <c r="D321" t="s">
        <v>329</v>
      </c>
      <c r="E321" t="s">
        <v>87</v>
      </c>
      <c r="F321" t="s">
        <v>87</v>
      </c>
      <c r="G321" t="s">
        <v>88</v>
      </c>
      <c r="H321" t="s">
        <v>81</v>
      </c>
      <c r="J321" t="s">
        <v>83</v>
      </c>
      <c r="L321">
        <v>3</v>
      </c>
      <c r="M321" t="s">
        <v>83</v>
      </c>
      <c r="O321" t="s">
        <v>83</v>
      </c>
      <c r="P321" t="s">
        <v>84</v>
      </c>
      <c r="Q321" t="s">
        <v>85</v>
      </c>
    </row>
    <row r="322" spans="1:17" hidden="1">
      <c r="A322" t="s">
        <v>76</v>
      </c>
      <c r="B322" t="s">
        <v>77</v>
      </c>
      <c r="C322" t="s">
        <v>329</v>
      </c>
      <c r="D322" t="s">
        <v>329</v>
      </c>
      <c r="E322" t="s">
        <v>89</v>
      </c>
      <c r="F322" t="s">
        <v>89</v>
      </c>
      <c r="G322" t="s">
        <v>90</v>
      </c>
      <c r="H322" t="s">
        <v>81</v>
      </c>
      <c r="J322" t="s">
        <v>83</v>
      </c>
      <c r="K322" t="s">
        <v>83</v>
      </c>
      <c r="L322">
        <v>4</v>
      </c>
      <c r="M322" t="s">
        <v>83</v>
      </c>
      <c r="O322" t="s">
        <v>83</v>
      </c>
      <c r="P322" t="s">
        <v>84</v>
      </c>
      <c r="Q322" t="s">
        <v>85</v>
      </c>
    </row>
    <row r="323" spans="1:17" hidden="1">
      <c r="A323" t="s">
        <v>76</v>
      </c>
      <c r="B323" t="s">
        <v>77</v>
      </c>
      <c r="C323" t="s">
        <v>329</v>
      </c>
      <c r="D323" t="s">
        <v>329</v>
      </c>
      <c r="E323" t="s">
        <v>330</v>
      </c>
      <c r="F323" t="s">
        <v>330</v>
      </c>
      <c r="G323" t="s">
        <v>90</v>
      </c>
      <c r="H323" t="s">
        <v>81</v>
      </c>
      <c r="I323" t="s">
        <v>82</v>
      </c>
      <c r="L323">
        <v>5</v>
      </c>
      <c r="M323" t="s">
        <v>83</v>
      </c>
      <c r="O323" t="s">
        <v>83</v>
      </c>
      <c r="P323" t="s">
        <v>100</v>
      </c>
      <c r="Q323" t="s">
        <v>85</v>
      </c>
    </row>
    <row r="324" spans="1:17" hidden="1">
      <c r="A324" t="s">
        <v>76</v>
      </c>
      <c r="B324" t="s">
        <v>77</v>
      </c>
      <c r="C324" t="s">
        <v>329</v>
      </c>
      <c r="D324" t="s">
        <v>329</v>
      </c>
      <c r="E324" t="s">
        <v>330</v>
      </c>
      <c r="F324" t="s">
        <v>331</v>
      </c>
      <c r="G324" t="s">
        <v>90</v>
      </c>
      <c r="H324" t="s">
        <v>81</v>
      </c>
      <c r="L324">
        <v>6</v>
      </c>
      <c r="M324" t="s">
        <v>83</v>
      </c>
      <c r="O324" t="s">
        <v>83</v>
      </c>
      <c r="P324" t="s">
        <v>84</v>
      </c>
      <c r="Q324" t="s">
        <v>85</v>
      </c>
    </row>
    <row r="325" spans="1:17" hidden="1">
      <c r="A325" t="s">
        <v>76</v>
      </c>
      <c r="B325" t="s">
        <v>77</v>
      </c>
      <c r="C325" t="s">
        <v>329</v>
      </c>
      <c r="D325" t="s">
        <v>329</v>
      </c>
      <c r="E325" t="s">
        <v>91</v>
      </c>
      <c r="F325" t="s">
        <v>91</v>
      </c>
      <c r="G325" t="s">
        <v>92</v>
      </c>
      <c r="H325" t="s">
        <v>81</v>
      </c>
      <c r="J325" t="s">
        <v>83</v>
      </c>
      <c r="L325">
        <v>7</v>
      </c>
      <c r="M325" t="s">
        <v>83</v>
      </c>
      <c r="O325" t="s">
        <v>83</v>
      </c>
      <c r="P325" t="s">
        <v>84</v>
      </c>
      <c r="Q325" t="s">
        <v>85</v>
      </c>
    </row>
    <row r="326" spans="1:17" hidden="1">
      <c r="A326" t="s">
        <v>76</v>
      </c>
      <c r="B326" t="s">
        <v>77</v>
      </c>
      <c r="C326" t="s">
        <v>329</v>
      </c>
      <c r="D326" t="s">
        <v>329</v>
      </c>
      <c r="E326" t="s">
        <v>332</v>
      </c>
      <c r="F326" t="s">
        <v>332</v>
      </c>
      <c r="G326" t="s">
        <v>94</v>
      </c>
      <c r="H326" t="s">
        <v>81</v>
      </c>
      <c r="L326">
        <v>8</v>
      </c>
      <c r="M326" t="s">
        <v>83</v>
      </c>
      <c r="O326" t="s">
        <v>83</v>
      </c>
      <c r="P326" t="s">
        <v>84</v>
      </c>
      <c r="Q326" t="s">
        <v>85</v>
      </c>
    </row>
    <row r="327" spans="1:17" hidden="1">
      <c r="A327" t="s">
        <v>76</v>
      </c>
      <c r="B327" t="s">
        <v>77</v>
      </c>
      <c r="C327" t="s">
        <v>329</v>
      </c>
      <c r="D327" t="s">
        <v>329</v>
      </c>
      <c r="E327" t="s">
        <v>333</v>
      </c>
      <c r="F327" t="s">
        <v>333</v>
      </c>
      <c r="G327" t="s">
        <v>88</v>
      </c>
      <c r="H327" t="s">
        <v>81</v>
      </c>
      <c r="L327">
        <v>9</v>
      </c>
      <c r="M327" t="s">
        <v>83</v>
      </c>
      <c r="O327" t="s">
        <v>83</v>
      </c>
      <c r="P327" t="s">
        <v>84</v>
      </c>
      <c r="Q327" t="s">
        <v>85</v>
      </c>
    </row>
    <row r="328" spans="1:17" hidden="1">
      <c r="A328" t="s">
        <v>76</v>
      </c>
      <c r="B328" t="s">
        <v>77</v>
      </c>
      <c r="C328" t="s">
        <v>329</v>
      </c>
      <c r="D328" t="s">
        <v>329</v>
      </c>
      <c r="E328" t="s">
        <v>334</v>
      </c>
      <c r="F328" t="s">
        <v>334</v>
      </c>
      <c r="G328" t="s">
        <v>94</v>
      </c>
      <c r="H328" t="s">
        <v>81</v>
      </c>
      <c r="L328">
        <v>10</v>
      </c>
      <c r="M328" t="s">
        <v>83</v>
      </c>
      <c r="O328" t="s">
        <v>83</v>
      </c>
      <c r="P328" t="s">
        <v>84</v>
      </c>
      <c r="Q328" t="s">
        <v>85</v>
      </c>
    </row>
    <row r="329" spans="1:17" hidden="1">
      <c r="A329" t="s">
        <v>76</v>
      </c>
      <c r="B329" t="s">
        <v>77</v>
      </c>
      <c r="C329" t="s">
        <v>329</v>
      </c>
      <c r="D329" t="s">
        <v>329</v>
      </c>
      <c r="E329" t="s">
        <v>335</v>
      </c>
      <c r="F329" t="s">
        <v>335</v>
      </c>
      <c r="G329" t="s">
        <v>98</v>
      </c>
      <c r="H329" t="s">
        <v>81</v>
      </c>
      <c r="L329">
        <v>11</v>
      </c>
      <c r="M329" t="s">
        <v>83</v>
      </c>
      <c r="O329" t="s">
        <v>83</v>
      </c>
      <c r="P329" t="s">
        <v>84</v>
      </c>
      <c r="Q329" t="s">
        <v>85</v>
      </c>
    </row>
    <row r="330" spans="1:17" hidden="1">
      <c r="A330" t="s">
        <v>76</v>
      </c>
      <c r="B330" t="s">
        <v>77</v>
      </c>
      <c r="C330" t="s">
        <v>329</v>
      </c>
      <c r="D330" t="s">
        <v>329</v>
      </c>
      <c r="E330" t="s">
        <v>336</v>
      </c>
      <c r="F330" t="s">
        <v>336</v>
      </c>
      <c r="G330" t="s">
        <v>98</v>
      </c>
      <c r="H330" t="s">
        <v>81</v>
      </c>
      <c r="L330">
        <v>12</v>
      </c>
      <c r="M330" t="s">
        <v>83</v>
      </c>
      <c r="O330" t="s">
        <v>83</v>
      </c>
      <c r="P330" t="s">
        <v>84</v>
      </c>
      <c r="Q330" t="s">
        <v>85</v>
      </c>
    </row>
    <row r="331" spans="1:17" hidden="1">
      <c r="A331" t="s">
        <v>76</v>
      </c>
      <c r="B331" t="s">
        <v>77</v>
      </c>
      <c r="C331" t="s">
        <v>329</v>
      </c>
      <c r="D331" t="s">
        <v>329</v>
      </c>
      <c r="E331" t="s">
        <v>337</v>
      </c>
      <c r="F331" t="s">
        <v>337</v>
      </c>
      <c r="G331" t="s">
        <v>98</v>
      </c>
      <c r="H331" t="s">
        <v>81</v>
      </c>
      <c r="L331">
        <v>13</v>
      </c>
      <c r="M331" t="s">
        <v>83</v>
      </c>
      <c r="O331" t="s">
        <v>83</v>
      </c>
      <c r="P331" t="s">
        <v>84</v>
      </c>
      <c r="Q331" t="s">
        <v>85</v>
      </c>
    </row>
    <row r="332" spans="1:17" hidden="1">
      <c r="A332" t="s">
        <v>76</v>
      </c>
      <c r="B332" t="s">
        <v>77</v>
      </c>
      <c r="C332" t="s">
        <v>329</v>
      </c>
      <c r="D332" t="s">
        <v>329</v>
      </c>
      <c r="E332" t="s">
        <v>338</v>
      </c>
      <c r="F332" t="s">
        <v>338</v>
      </c>
      <c r="G332" t="s">
        <v>188</v>
      </c>
      <c r="H332" t="s">
        <v>81</v>
      </c>
      <c r="L332">
        <v>14</v>
      </c>
      <c r="M332" t="s">
        <v>83</v>
      </c>
      <c r="O332" t="s">
        <v>83</v>
      </c>
      <c r="P332" t="s">
        <v>84</v>
      </c>
      <c r="Q332" t="s">
        <v>85</v>
      </c>
    </row>
    <row r="333" spans="1:17" hidden="1">
      <c r="A333" t="s">
        <v>76</v>
      </c>
      <c r="B333" t="s">
        <v>77</v>
      </c>
      <c r="C333" t="s">
        <v>329</v>
      </c>
      <c r="D333" t="s">
        <v>329</v>
      </c>
      <c r="E333" t="s">
        <v>112</v>
      </c>
      <c r="F333" t="s">
        <v>112</v>
      </c>
      <c r="G333" t="s">
        <v>113</v>
      </c>
      <c r="H333" t="s">
        <v>81</v>
      </c>
      <c r="I333" t="s">
        <v>114</v>
      </c>
      <c r="L333">
        <v>15</v>
      </c>
      <c r="M333" t="s">
        <v>83</v>
      </c>
      <c r="O333" t="s">
        <v>83</v>
      </c>
      <c r="P333" t="s">
        <v>84</v>
      </c>
      <c r="Q333" t="s">
        <v>85</v>
      </c>
    </row>
    <row r="334" spans="1:17" hidden="1">
      <c r="A334" t="s">
        <v>76</v>
      </c>
      <c r="B334" t="s">
        <v>77</v>
      </c>
      <c r="C334" t="s">
        <v>329</v>
      </c>
      <c r="D334" t="s">
        <v>329</v>
      </c>
      <c r="E334" t="s">
        <v>115</v>
      </c>
      <c r="F334" t="s">
        <v>115</v>
      </c>
      <c r="G334" t="s">
        <v>113</v>
      </c>
      <c r="H334" t="s">
        <v>81</v>
      </c>
      <c r="I334" t="s">
        <v>114</v>
      </c>
      <c r="L334">
        <v>16</v>
      </c>
      <c r="M334" t="s">
        <v>83</v>
      </c>
      <c r="O334" t="s">
        <v>83</v>
      </c>
      <c r="P334" t="s">
        <v>84</v>
      </c>
      <c r="Q334" t="s">
        <v>85</v>
      </c>
    </row>
    <row r="335" spans="1:17" hidden="1">
      <c r="A335" t="s">
        <v>76</v>
      </c>
      <c r="B335" t="s">
        <v>77</v>
      </c>
      <c r="C335" t="s">
        <v>329</v>
      </c>
      <c r="D335" t="s">
        <v>329</v>
      </c>
      <c r="E335" t="s">
        <v>327</v>
      </c>
      <c r="F335" t="s">
        <v>327</v>
      </c>
      <c r="G335" t="s">
        <v>90</v>
      </c>
      <c r="H335" t="s">
        <v>81</v>
      </c>
      <c r="L335">
        <v>17</v>
      </c>
      <c r="M335" t="s">
        <v>83</v>
      </c>
      <c r="O335" t="s">
        <v>83</v>
      </c>
      <c r="P335" t="s">
        <v>84</v>
      </c>
      <c r="Q335" t="s">
        <v>85</v>
      </c>
    </row>
    <row r="336" spans="1:17" hidden="1">
      <c r="A336" t="s">
        <v>76</v>
      </c>
      <c r="B336" t="s">
        <v>77</v>
      </c>
      <c r="C336" t="s">
        <v>329</v>
      </c>
      <c r="D336" t="s">
        <v>329</v>
      </c>
      <c r="E336" t="s">
        <v>117</v>
      </c>
      <c r="F336" t="s">
        <v>117</v>
      </c>
      <c r="G336" t="s">
        <v>90</v>
      </c>
      <c r="H336" t="s">
        <v>81</v>
      </c>
      <c r="L336">
        <v>24</v>
      </c>
      <c r="M336" t="s">
        <v>83</v>
      </c>
      <c r="O336" t="s">
        <v>83</v>
      </c>
      <c r="P336" t="s">
        <v>84</v>
      </c>
      <c r="Q336" t="s">
        <v>85</v>
      </c>
    </row>
    <row r="337" spans="1:17" hidden="1">
      <c r="A337" t="s">
        <v>76</v>
      </c>
      <c r="B337" t="s">
        <v>77</v>
      </c>
      <c r="C337" t="s">
        <v>329</v>
      </c>
      <c r="D337" t="s">
        <v>329</v>
      </c>
      <c r="E337" t="s">
        <v>328</v>
      </c>
      <c r="F337" t="s">
        <v>328</v>
      </c>
      <c r="G337" t="s">
        <v>90</v>
      </c>
      <c r="H337" t="s">
        <v>81</v>
      </c>
      <c r="L337">
        <v>25</v>
      </c>
      <c r="M337" t="s">
        <v>83</v>
      </c>
      <c r="O337" t="s">
        <v>83</v>
      </c>
      <c r="P337" t="s">
        <v>84</v>
      </c>
      <c r="Q337" t="s">
        <v>85</v>
      </c>
    </row>
    <row r="338" spans="1:17" hidden="1">
      <c r="A338" t="s">
        <v>76</v>
      </c>
      <c r="B338" t="s">
        <v>77</v>
      </c>
      <c r="C338" t="s">
        <v>329</v>
      </c>
      <c r="D338" t="s">
        <v>329</v>
      </c>
      <c r="E338" t="s">
        <v>118</v>
      </c>
      <c r="F338" t="s">
        <v>118</v>
      </c>
      <c r="G338" t="s">
        <v>92</v>
      </c>
      <c r="H338" t="s">
        <v>81</v>
      </c>
      <c r="L338">
        <v>26</v>
      </c>
      <c r="M338" t="s">
        <v>83</v>
      </c>
      <c r="O338" t="s">
        <v>83</v>
      </c>
      <c r="P338" t="s">
        <v>84</v>
      </c>
      <c r="Q338" t="s">
        <v>85</v>
      </c>
    </row>
    <row r="339" spans="1:17" hidden="1">
      <c r="A339" t="s">
        <v>76</v>
      </c>
      <c r="B339" t="s">
        <v>77</v>
      </c>
      <c r="C339" t="s">
        <v>339</v>
      </c>
      <c r="D339" t="s">
        <v>339</v>
      </c>
      <c r="E339" t="s">
        <v>79</v>
      </c>
      <c r="F339" t="s">
        <v>79</v>
      </c>
      <c r="G339" t="s">
        <v>80</v>
      </c>
      <c r="H339" t="s">
        <v>81</v>
      </c>
      <c r="I339" t="s">
        <v>82</v>
      </c>
      <c r="L339">
        <v>1</v>
      </c>
      <c r="M339" t="s">
        <v>83</v>
      </c>
      <c r="O339" t="s">
        <v>83</v>
      </c>
      <c r="P339" t="s">
        <v>84</v>
      </c>
      <c r="Q339" t="s">
        <v>85</v>
      </c>
    </row>
    <row r="340" spans="1:17" hidden="1">
      <c r="A340" t="s">
        <v>76</v>
      </c>
      <c r="B340" t="s">
        <v>77</v>
      </c>
      <c r="C340" t="s">
        <v>339</v>
      </c>
      <c r="D340" t="s">
        <v>339</v>
      </c>
      <c r="E340" t="s">
        <v>86</v>
      </c>
      <c r="F340" t="s">
        <v>86</v>
      </c>
      <c r="G340" t="s">
        <v>80</v>
      </c>
      <c r="H340" t="s">
        <v>81</v>
      </c>
      <c r="I340" t="s">
        <v>82</v>
      </c>
      <c r="L340">
        <v>2</v>
      </c>
      <c r="M340" t="s">
        <v>83</v>
      </c>
      <c r="O340" t="s">
        <v>83</v>
      </c>
      <c r="P340" t="s">
        <v>84</v>
      </c>
      <c r="Q340" t="s">
        <v>85</v>
      </c>
    </row>
    <row r="341" spans="1:17" hidden="1">
      <c r="A341" t="s">
        <v>76</v>
      </c>
      <c r="B341" t="s">
        <v>77</v>
      </c>
      <c r="C341" t="s">
        <v>339</v>
      </c>
      <c r="D341" t="s">
        <v>339</v>
      </c>
      <c r="E341" t="s">
        <v>87</v>
      </c>
      <c r="F341" t="s">
        <v>87</v>
      </c>
      <c r="G341" t="s">
        <v>88</v>
      </c>
      <c r="H341" t="s">
        <v>81</v>
      </c>
      <c r="J341" t="s">
        <v>83</v>
      </c>
      <c r="L341">
        <v>3</v>
      </c>
      <c r="M341" t="s">
        <v>83</v>
      </c>
      <c r="O341" t="s">
        <v>83</v>
      </c>
      <c r="P341" t="s">
        <v>84</v>
      </c>
      <c r="Q341" t="s">
        <v>85</v>
      </c>
    </row>
    <row r="342" spans="1:17" hidden="1">
      <c r="A342" t="s">
        <v>76</v>
      </c>
      <c r="B342" t="s">
        <v>77</v>
      </c>
      <c r="C342" t="s">
        <v>339</v>
      </c>
      <c r="D342" t="s">
        <v>339</v>
      </c>
      <c r="E342" t="s">
        <v>89</v>
      </c>
      <c r="F342" t="s">
        <v>89</v>
      </c>
      <c r="G342" t="s">
        <v>90</v>
      </c>
      <c r="H342" t="s">
        <v>81</v>
      </c>
      <c r="J342" t="s">
        <v>83</v>
      </c>
      <c r="K342" t="s">
        <v>83</v>
      </c>
      <c r="L342">
        <v>4</v>
      </c>
      <c r="M342" t="s">
        <v>83</v>
      </c>
      <c r="O342" t="s">
        <v>83</v>
      </c>
      <c r="P342" t="s">
        <v>84</v>
      </c>
      <c r="Q342" t="s">
        <v>85</v>
      </c>
    </row>
    <row r="343" spans="1:17" hidden="1">
      <c r="A343" t="s">
        <v>76</v>
      </c>
      <c r="B343" t="s">
        <v>77</v>
      </c>
      <c r="C343" t="s">
        <v>339</v>
      </c>
      <c r="D343" t="s">
        <v>339</v>
      </c>
      <c r="E343" t="s">
        <v>91</v>
      </c>
      <c r="F343" t="s">
        <v>91</v>
      </c>
      <c r="G343" t="s">
        <v>92</v>
      </c>
      <c r="H343" t="s">
        <v>81</v>
      </c>
      <c r="J343" t="s">
        <v>83</v>
      </c>
      <c r="L343">
        <v>5</v>
      </c>
      <c r="M343" t="s">
        <v>83</v>
      </c>
      <c r="O343" t="s">
        <v>83</v>
      </c>
      <c r="P343" t="s">
        <v>84</v>
      </c>
      <c r="Q343" t="s">
        <v>85</v>
      </c>
    </row>
    <row r="344" spans="1:17" hidden="1">
      <c r="A344" t="s">
        <v>76</v>
      </c>
      <c r="B344" t="s">
        <v>77</v>
      </c>
      <c r="C344" t="s">
        <v>339</v>
      </c>
      <c r="D344" t="s">
        <v>339</v>
      </c>
      <c r="E344" t="s">
        <v>340</v>
      </c>
      <c r="F344" t="s">
        <v>340</v>
      </c>
      <c r="G344" t="s">
        <v>94</v>
      </c>
      <c r="H344" t="s">
        <v>81</v>
      </c>
      <c r="L344">
        <v>6</v>
      </c>
      <c r="M344" t="s">
        <v>83</v>
      </c>
      <c r="O344" t="s">
        <v>83</v>
      </c>
      <c r="P344" t="s">
        <v>84</v>
      </c>
      <c r="Q344" t="s">
        <v>85</v>
      </c>
    </row>
    <row r="345" spans="1:17" hidden="1">
      <c r="A345" t="s">
        <v>76</v>
      </c>
      <c r="B345" t="s">
        <v>77</v>
      </c>
      <c r="C345" t="s">
        <v>339</v>
      </c>
      <c r="D345" t="s">
        <v>339</v>
      </c>
      <c r="E345" t="s">
        <v>341</v>
      </c>
      <c r="F345" t="s">
        <v>341</v>
      </c>
      <c r="G345" t="s">
        <v>88</v>
      </c>
      <c r="H345" t="s">
        <v>81</v>
      </c>
      <c r="L345">
        <v>7</v>
      </c>
      <c r="M345" t="s">
        <v>83</v>
      </c>
      <c r="O345" t="s">
        <v>83</v>
      </c>
      <c r="P345" t="s">
        <v>84</v>
      </c>
      <c r="Q345" t="s">
        <v>85</v>
      </c>
    </row>
    <row r="346" spans="1:17" hidden="1">
      <c r="A346" t="s">
        <v>76</v>
      </c>
      <c r="B346" t="s">
        <v>77</v>
      </c>
      <c r="C346" t="s">
        <v>339</v>
      </c>
      <c r="D346" t="s">
        <v>339</v>
      </c>
      <c r="E346" t="s">
        <v>342</v>
      </c>
      <c r="F346" t="s">
        <v>342</v>
      </c>
      <c r="G346" t="s">
        <v>94</v>
      </c>
      <c r="H346" t="s">
        <v>81</v>
      </c>
      <c r="L346">
        <v>8</v>
      </c>
      <c r="M346" t="s">
        <v>83</v>
      </c>
      <c r="O346" t="s">
        <v>83</v>
      </c>
      <c r="P346" t="s">
        <v>84</v>
      </c>
      <c r="Q346" t="s">
        <v>85</v>
      </c>
    </row>
    <row r="347" spans="1:17" hidden="1">
      <c r="A347" t="s">
        <v>76</v>
      </c>
      <c r="B347" t="s">
        <v>77</v>
      </c>
      <c r="C347" t="s">
        <v>339</v>
      </c>
      <c r="D347" t="s">
        <v>339</v>
      </c>
      <c r="E347" t="s">
        <v>343</v>
      </c>
      <c r="F347" t="s">
        <v>343</v>
      </c>
      <c r="G347" t="s">
        <v>98</v>
      </c>
      <c r="H347" t="s">
        <v>81</v>
      </c>
      <c r="L347">
        <v>9</v>
      </c>
      <c r="M347" t="s">
        <v>83</v>
      </c>
      <c r="O347" t="s">
        <v>83</v>
      </c>
      <c r="P347" t="s">
        <v>84</v>
      </c>
      <c r="Q347" t="s">
        <v>85</v>
      </c>
    </row>
    <row r="348" spans="1:17" hidden="1">
      <c r="A348" t="s">
        <v>76</v>
      </c>
      <c r="B348" t="s">
        <v>77</v>
      </c>
      <c r="C348" t="s">
        <v>339</v>
      </c>
      <c r="D348" t="s">
        <v>339</v>
      </c>
      <c r="E348" t="s">
        <v>344</v>
      </c>
      <c r="F348" t="s">
        <v>344</v>
      </c>
      <c r="G348" t="s">
        <v>90</v>
      </c>
      <c r="H348" t="s">
        <v>81</v>
      </c>
      <c r="I348" t="s">
        <v>82</v>
      </c>
      <c r="L348">
        <v>10</v>
      </c>
      <c r="M348" t="s">
        <v>83</v>
      </c>
      <c r="O348" t="s">
        <v>83</v>
      </c>
      <c r="P348" t="s">
        <v>100</v>
      </c>
      <c r="Q348" t="s">
        <v>85</v>
      </c>
    </row>
    <row r="349" spans="1:17" hidden="1">
      <c r="A349" t="s">
        <v>76</v>
      </c>
      <c r="B349" t="s">
        <v>77</v>
      </c>
      <c r="C349" t="s">
        <v>339</v>
      </c>
      <c r="D349" t="s">
        <v>339</v>
      </c>
      <c r="E349" t="s">
        <v>344</v>
      </c>
      <c r="F349" t="s">
        <v>345</v>
      </c>
      <c r="G349" t="s">
        <v>90</v>
      </c>
      <c r="H349" t="s">
        <v>81</v>
      </c>
      <c r="L349">
        <v>11</v>
      </c>
      <c r="M349" t="s">
        <v>83</v>
      </c>
      <c r="O349" t="s">
        <v>83</v>
      </c>
      <c r="P349" t="s">
        <v>84</v>
      </c>
      <c r="Q349" t="s">
        <v>85</v>
      </c>
    </row>
    <row r="350" spans="1:17" hidden="1">
      <c r="A350" t="s">
        <v>76</v>
      </c>
      <c r="B350" t="s">
        <v>77</v>
      </c>
      <c r="C350" t="s">
        <v>339</v>
      </c>
      <c r="D350" t="s">
        <v>339</v>
      </c>
      <c r="E350" t="s">
        <v>346</v>
      </c>
      <c r="F350" t="s">
        <v>346</v>
      </c>
      <c r="G350" t="s">
        <v>98</v>
      </c>
      <c r="H350" t="s">
        <v>81</v>
      </c>
      <c r="L350">
        <v>12</v>
      </c>
      <c r="M350" t="s">
        <v>83</v>
      </c>
      <c r="O350" t="s">
        <v>83</v>
      </c>
      <c r="P350" t="s">
        <v>84</v>
      </c>
      <c r="Q350" t="s">
        <v>85</v>
      </c>
    </row>
    <row r="351" spans="1:17" hidden="1">
      <c r="A351" t="s">
        <v>76</v>
      </c>
      <c r="B351" t="s">
        <v>77</v>
      </c>
      <c r="C351" t="s">
        <v>339</v>
      </c>
      <c r="D351" t="s">
        <v>339</v>
      </c>
      <c r="E351" t="s">
        <v>347</v>
      </c>
      <c r="F351" t="s">
        <v>347</v>
      </c>
      <c r="G351" t="s">
        <v>98</v>
      </c>
      <c r="H351" t="s">
        <v>81</v>
      </c>
      <c r="L351">
        <v>13</v>
      </c>
      <c r="M351" t="s">
        <v>83</v>
      </c>
      <c r="O351" t="s">
        <v>83</v>
      </c>
      <c r="P351" t="s">
        <v>84</v>
      </c>
      <c r="Q351" t="s">
        <v>85</v>
      </c>
    </row>
    <row r="352" spans="1:17" hidden="1">
      <c r="A352" t="s">
        <v>76</v>
      </c>
      <c r="B352" t="s">
        <v>77</v>
      </c>
      <c r="C352" t="s">
        <v>339</v>
      </c>
      <c r="D352" t="s">
        <v>339</v>
      </c>
      <c r="E352" t="s">
        <v>118</v>
      </c>
      <c r="F352" t="s">
        <v>118</v>
      </c>
      <c r="G352" t="s">
        <v>92</v>
      </c>
      <c r="H352" t="s">
        <v>81</v>
      </c>
      <c r="L352">
        <v>14</v>
      </c>
      <c r="M352" t="s">
        <v>83</v>
      </c>
      <c r="O352" t="s">
        <v>83</v>
      </c>
      <c r="P352" t="s">
        <v>84</v>
      </c>
      <c r="Q352" t="s">
        <v>85</v>
      </c>
    </row>
    <row r="353" spans="1:17" hidden="1">
      <c r="A353" t="s">
        <v>76</v>
      </c>
      <c r="B353" t="s">
        <v>77</v>
      </c>
      <c r="C353" t="s">
        <v>339</v>
      </c>
      <c r="D353" t="s">
        <v>339</v>
      </c>
      <c r="E353" t="s">
        <v>112</v>
      </c>
      <c r="F353" t="s">
        <v>112</v>
      </c>
      <c r="G353" t="s">
        <v>113</v>
      </c>
      <c r="H353" t="s">
        <v>81</v>
      </c>
      <c r="I353" t="s">
        <v>114</v>
      </c>
      <c r="L353">
        <v>15</v>
      </c>
      <c r="M353" t="s">
        <v>83</v>
      </c>
      <c r="O353" t="s">
        <v>83</v>
      </c>
      <c r="P353" t="s">
        <v>84</v>
      </c>
      <c r="Q353" t="s">
        <v>85</v>
      </c>
    </row>
    <row r="354" spans="1:17" hidden="1">
      <c r="A354" t="s">
        <v>76</v>
      </c>
      <c r="B354" t="s">
        <v>77</v>
      </c>
      <c r="C354" t="s">
        <v>339</v>
      </c>
      <c r="D354" t="s">
        <v>339</v>
      </c>
      <c r="E354" t="s">
        <v>115</v>
      </c>
      <c r="F354" t="s">
        <v>115</v>
      </c>
      <c r="G354" t="s">
        <v>113</v>
      </c>
      <c r="H354" t="s">
        <v>81</v>
      </c>
      <c r="I354" t="s">
        <v>114</v>
      </c>
      <c r="L354">
        <v>16</v>
      </c>
      <c r="M354" t="s">
        <v>83</v>
      </c>
      <c r="O354" t="s">
        <v>83</v>
      </c>
      <c r="P354" t="s">
        <v>84</v>
      </c>
      <c r="Q354" t="s">
        <v>85</v>
      </c>
    </row>
    <row r="355" spans="1:17" hidden="1">
      <c r="A355" t="s">
        <v>76</v>
      </c>
      <c r="B355" t="s">
        <v>77</v>
      </c>
      <c r="C355" t="s">
        <v>339</v>
      </c>
      <c r="D355" t="s">
        <v>339</v>
      </c>
      <c r="E355" t="s">
        <v>117</v>
      </c>
      <c r="F355" t="s">
        <v>117</v>
      </c>
      <c r="G355" t="s">
        <v>90</v>
      </c>
      <c r="H355" t="s">
        <v>81</v>
      </c>
      <c r="L355">
        <v>23</v>
      </c>
      <c r="M355" t="s">
        <v>83</v>
      </c>
      <c r="O355" t="s">
        <v>83</v>
      </c>
      <c r="P355" t="s">
        <v>84</v>
      </c>
      <c r="Q355" t="s">
        <v>85</v>
      </c>
    </row>
    <row r="356" spans="1:17" hidden="1">
      <c r="A356" t="s">
        <v>76</v>
      </c>
      <c r="B356" t="s">
        <v>77</v>
      </c>
      <c r="C356" t="s">
        <v>339</v>
      </c>
      <c r="D356" t="s">
        <v>339</v>
      </c>
      <c r="E356" t="s">
        <v>327</v>
      </c>
      <c r="F356" t="s">
        <v>327</v>
      </c>
      <c r="G356" t="s">
        <v>90</v>
      </c>
      <c r="H356" t="s">
        <v>81</v>
      </c>
      <c r="L356">
        <v>24</v>
      </c>
      <c r="M356" t="s">
        <v>83</v>
      </c>
      <c r="O356" t="s">
        <v>83</v>
      </c>
      <c r="P356" t="s">
        <v>84</v>
      </c>
      <c r="Q356" t="s">
        <v>85</v>
      </c>
    </row>
    <row r="357" spans="1:17" hidden="1">
      <c r="A357" t="s">
        <v>76</v>
      </c>
      <c r="B357" t="s">
        <v>77</v>
      </c>
      <c r="C357" t="s">
        <v>339</v>
      </c>
      <c r="D357" t="s">
        <v>339</v>
      </c>
      <c r="E357" t="s">
        <v>328</v>
      </c>
      <c r="F357" t="s">
        <v>328</v>
      </c>
      <c r="G357" t="s">
        <v>90</v>
      </c>
      <c r="H357" t="s">
        <v>81</v>
      </c>
      <c r="L357">
        <v>25</v>
      </c>
      <c r="M357" t="s">
        <v>83</v>
      </c>
      <c r="O357" t="s">
        <v>83</v>
      </c>
      <c r="P357" t="s">
        <v>84</v>
      </c>
      <c r="Q357" t="s">
        <v>85</v>
      </c>
    </row>
    <row r="358" spans="1:17" hidden="1">
      <c r="A358" t="s">
        <v>76</v>
      </c>
      <c r="B358" t="s">
        <v>77</v>
      </c>
      <c r="C358" t="s">
        <v>348</v>
      </c>
      <c r="D358" t="s">
        <v>348</v>
      </c>
      <c r="E358" t="s">
        <v>79</v>
      </c>
      <c r="F358" t="s">
        <v>79</v>
      </c>
      <c r="G358" t="s">
        <v>80</v>
      </c>
      <c r="H358" t="s">
        <v>81</v>
      </c>
      <c r="I358" t="s">
        <v>82</v>
      </c>
      <c r="L358">
        <v>1</v>
      </c>
      <c r="M358" t="s">
        <v>83</v>
      </c>
      <c r="O358" t="s">
        <v>83</v>
      </c>
      <c r="P358" t="s">
        <v>84</v>
      </c>
      <c r="Q358" t="s">
        <v>85</v>
      </c>
    </row>
    <row r="359" spans="1:17" hidden="1">
      <c r="A359" t="s">
        <v>76</v>
      </c>
      <c r="B359" t="s">
        <v>77</v>
      </c>
      <c r="C359" t="s">
        <v>348</v>
      </c>
      <c r="D359" t="s">
        <v>348</v>
      </c>
      <c r="E359" t="s">
        <v>86</v>
      </c>
      <c r="F359" t="s">
        <v>86</v>
      </c>
      <c r="G359" t="s">
        <v>80</v>
      </c>
      <c r="H359" t="s">
        <v>81</v>
      </c>
      <c r="I359" t="s">
        <v>82</v>
      </c>
      <c r="L359">
        <v>2</v>
      </c>
      <c r="M359" t="s">
        <v>83</v>
      </c>
      <c r="O359" t="s">
        <v>83</v>
      </c>
      <c r="P359" t="s">
        <v>84</v>
      </c>
      <c r="Q359" t="s">
        <v>85</v>
      </c>
    </row>
    <row r="360" spans="1:17" hidden="1">
      <c r="A360" t="s">
        <v>76</v>
      </c>
      <c r="B360" t="s">
        <v>77</v>
      </c>
      <c r="C360" t="s">
        <v>348</v>
      </c>
      <c r="D360" t="s">
        <v>348</v>
      </c>
      <c r="E360" t="s">
        <v>87</v>
      </c>
      <c r="F360" t="s">
        <v>87</v>
      </c>
      <c r="G360" t="s">
        <v>88</v>
      </c>
      <c r="H360" t="s">
        <v>81</v>
      </c>
      <c r="J360" t="s">
        <v>83</v>
      </c>
      <c r="L360">
        <v>3</v>
      </c>
      <c r="M360" t="s">
        <v>83</v>
      </c>
      <c r="O360" t="s">
        <v>83</v>
      </c>
      <c r="P360" t="s">
        <v>84</v>
      </c>
      <c r="Q360" t="s">
        <v>85</v>
      </c>
    </row>
    <row r="361" spans="1:17" hidden="1">
      <c r="A361" t="s">
        <v>76</v>
      </c>
      <c r="B361" t="s">
        <v>77</v>
      </c>
      <c r="C361" t="s">
        <v>348</v>
      </c>
      <c r="D361" t="s">
        <v>348</v>
      </c>
      <c r="E361" t="s">
        <v>89</v>
      </c>
      <c r="F361" t="s">
        <v>89</v>
      </c>
      <c r="G361" t="s">
        <v>90</v>
      </c>
      <c r="H361" t="s">
        <v>81</v>
      </c>
      <c r="J361" t="s">
        <v>83</v>
      </c>
      <c r="K361" t="s">
        <v>83</v>
      </c>
      <c r="L361">
        <v>4</v>
      </c>
      <c r="M361" t="s">
        <v>83</v>
      </c>
      <c r="O361" t="s">
        <v>83</v>
      </c>
      <c r="P361" t="s">
        <v>84</v>
      </c>
      <c r="Q361" t="s">
        <v>85</v>
      </c>
    </row>
    <row r="362" spans="1:17" hidden="1">
      <c r="A362" t="s">
        <v>76</v>
      </c>
      <c r="B362" t="s">
        <v>77</v>
      </c>
      <c r="C362" t="s">
        <v>348</v>
      </c>
      <c r="D362" t="s">
        <v>348</v>
      </c>
      <c r="E362" t="s">
        <v>349</v>
      </c>
      <c r="F362" t="s">
        <v>349</v>
      </c>
      <c r="G362" t="s">
        <v>90</v>
      </c>
      <c r="H362" t="s">
        <v>81</v>
      </c>
      <c r="I362" t="s">
        <v>82</v>
      </c>
      <c r="L362">
        <v>5</v>
      </c>
      <c r="M362" t="s">
        <v>83</v>
      </c>
      <c r="O362" t="s">
        <v>83</v>
      </c>
      <c r="P362" t="s">
        <v>100</v>
      </c>
      <c r="Q362" t="s">
        <v>85</v>
      </c>
    </row>
    <row r="363" spans="1:17" hidden="1">
      <c r="A363" t="s">
        <v>76</v>
      </c>
      <c r="B363" t="s">
        <v>77</v>
      </c>
      <c r="C363" t="s">
        <v>348</v>
      </c>
      <c r="D363" t="s">
        <v>348</v>
      </c>
      <c r="E363" t="s">
        <v>349</v>
      </c>
      <c r="F363" t="s">
        <v>350</v>
      </c>
      <c r="G363" t="s">
        <v>90</v>
      </c>
      <c r="H363" t="s">
        <v>81</v>
      </c>
      <c r="L363">
        <v>6</v>
      </c>
      <c r="M363" t="s">
        <v>83</v>
      </c>
      <c r="O363" t="s">
        <v>83</v>
      </c>
      <c r="P363" t="s">
        <v>84</v>
      </c>
      <c r="Q363" t="s">
        <v>85</v>
      </c>
    </row>
    <row r="364" spans="1:17" hidden="1">
      <c r="A364" t="s">
        <v>76</v>
      </c>
      <c r="B364" t="s">
        <v>77</v>
      </c>
      <c r="C364" t="s">
        <v>348</v>
      </c>
      <c r="D364" t="s">
        <v>348</v>
      </c>
      <c r="E364" t="s">
        <v>91</v>
      </c>
      <c r="F364" t="s">
        <v>91</v>
      </c>
      <c r="G364" t="s">
        <v>92</v>
      </c>
      <c r="H364" t="s">
        <v>81</v>
      </c>
      <c r="J364" t="s">
        <v>83</v>
      </c>
      <c r="L364">
        <v>7</v>
      </c>
      <c r="M364" t="s">
        <v>83</v>
      </c>
      <c r="O364" t="s">
        <v>83</v>
      </c>
      <c r="P364" t="s">
        <v>84</v>
      </c>
      <c r="Q364" t="s">
        <v>85</v>
      </c>
    </row>
    <row r="365" spans="1:17" hidden="1">
      <c r="A365" t="s">
        <v>76</v>
      </c>
      <c r="B365" t="s">
        <v>77</v>
      </c>
      <c r="C365" t="s">
        <v>348</v>
      </c>
      <c r="D365" t="s">
        <v>348</v>
      </c>
      <c r="E365" t="s">
        <v>351</v>
      </c>
      <c r="F365" t="s">
        <v>351</v>
      </c>
      <c r="G365" t="s">
        <v>94</v>
      </c>
      <c r="H365" t="s">
        <v>81</v>
      </c>
      <c r="L365">
        <v>8</v>
      </c>
      <c r="M365" t="s">
        <v>83</v>
      </c>
      <c r="O365" t="s">
        <v>83</v>
      </c>
      <c r="P365" t="s">
        <v>84</v>
      </c>
      <c r="Q365" t="s">
        <v>85</v>
      </c>
    </row>
    <row r="366" spans="1:17" hidden="1">
      <c r="A366" t="s">
        <v>76</v>
      </c>
      <c r="B366" t="s">
        <v>77</v>
      </c>
      <c r="C366" t="s">
        <v>348</v>
      </c>
      <c r="D366" t="s">
        <v>348</v>
      </c>
      <c r="E366" t="s">
        <v>352</v>
      </c>
      <c r="F366" t="s">
        <v>352</v>
      </c>
      <c r="G366" t="s">
        <v>88</v>
      </c>
      <c r="H366" t="s">
        <v>81</v>
      </c>
      <c r="L366">
        <v>9</v>
      </c>
      <c r="M366" t="s">
        <v>83</v>
      </c>
      <c r="O366" t="s">
        <v>83</v>
      </c>
      <c r="P366" t="s">
        <v>84</v>
      </c>
      <c r="Q366" t="s">
        <v>85</v>
      </c>
    </row>
    <row r="367" spans="1:17" hidden="1">
      <c r="A367" t="s">
        <v>76</v>
      </c>
      <c r="B367" t="s">
        <v>77</v>
      </c>
      <c r="C367" t="s">
        <v>348</v>
      </c>
      <c r="D367" t="s">
        <v>348</v>
      </c>
      <c r="E367" t="s">
        <v>353</v>
      </c>
      <c r="F367" t="s">
        <v>353</v>
      </c>
      <c r="G367" t="s">
        <v>94</v>
      </c>
      <c r="H367" t="s">
        <v>81</v>
      </c>
      <c r="L367">
        <v>10</v>
      </c>
      <c r="M367" t="s">
        <v>83</v>
      </c>
      <c r="O367" t="s">
        <v>83</v>
      </c>
      <c r="P367" t="s">
        <v>84</v>
      </c>
      <c r="Q367" t="s">
        <v>85</v>
      </c>
    </row>
    <row r="368" spans="1:17" hidden="1">
      <c r="A368" t="s">
        <v>76</v>
      </c>
      <c r="B368" t="s">
        <v>77</v>
      </c>
      <c r="C368" t="s">
        <v>348</v>
      </c>
      <c r="D368" t="s">
        <v>348</v>
      </c>
      <c r="E368" t="s">
        <v>354</v>
      </c>
      <c r="F368" t="s">
        <v>354</v>
      </c>
      <c r="G368" t="s">
        <v>98</v>
      </c>
      <c r="H368" t="s">
        <v>81</v>
      </c>
      <c r="L368">
        <v>11</v>
      </c>
      <c r="M368" t="s">
        <v>83</v>
      </c>
      <c r="O368" t="s">
        <v>83</v>
      </c>
      <c r="P368" t="s">
        <v>84</v>
      </c>
      <c r="Q368" t="s">
        <v>85</v>
      </c>
    </row>
    <row r="369" spans="1:17" hidden="1">
      <c r="A369" t="s">
        <v>76</v>
      </c>
      <c r="B369" t="s">
        <v>77</v>
      </c>
      <c r="C369" t="s">
        <v>348</v>
      </c>
      <c r="D369" t="s">
        <v>348</v>
      </c>
      <c r="E369" t="s">
        <v>355</v>
      </c>
      <c r="F369" t="s">
        <v>355</v>
      </c>
      <c r="G369" t="s">
        <v>98</v>
      </c>
      <c r="H369" t="s">
        <v>81</v>
      </c>
      <c r="L369">
        <v>12</v>
      </c>
      <c r="M369" t="s">
        <v>83</v>
      </c>
      <c r="O369" t="s">
        <v>83</v>
      </c>
      <c r="P369" t="s">
        <v>84</v>
      </c>
      <c r="Q369" t="s">
        <v>85</v>
      </c>
    </row>
    <row r="370" spans="1:17" hidden="1">
      <c r="A370" t="s">
        <v>76</v>
      </c>
      <c r="B370" t="s">
        <v>77</v>
      </c>
      <c r="C370" t="s">
        <v>348</v>
      </c>
      <c r="D370" t="s">
        <v>348</v>
      </c>
      <c r="E370" t="s">
        <v>356</v>
      </c>
      <c r="F370" t="s">
        <v>356</v>
      </c>
      <c r="G370" t="s">
        <v>98</v>
      </c>
      <c r="H370" t="s">
        <v>81</v>
      </c>
      <c r="L370">
        <v>13</v>
      </c>
      <c r="M370" t="s">
        <v>83</v>
      </c>
      <c r="O370" t="s">
        <v>83</v>
      </c>
      <c r="P370" t="s">
        <v>84</v>
      </c>
      <c r="Q370" t="s">
        <v>85</v>
      </c>
    </row>
    <row r="371" spans="1:17" hidden="1">
      <c r="A371" t="s">
        <v>76</v>
      </c>
      <c r="B371" t="s">
        <v>77</v>
      </c>
      <c r="C371" t="s">
        <v>348</v>
      </c>
      <c r="D371" t="s">
        <v>348</v>
      </c>
      <c r="E371" t="s">
        <v>357</v>
      </c>
      <c r="F371" t="s">
        <v>357</v>
      </c>
      <c r="G371" t="s">
        <v>188</v>
      </c>
      <c r="H371" t="s">
        <v>81</v>
      </c>
      <c r="L371">
        <v>14</v>
      </c>
      <c r="M371" t="s">
        <v>83</v>
      </c>
      <c r="O371" t="s">
        <v>83</v>
      </c>
      <c r="P371" t="s">
        <v>84</v>
      </c>
      <c r="Q371" t="s">
        <v>85</v>
      </c>
    </row>
    <row r="372" spans="1:17" hidden="1">
      <c r="A372" t="s">
        <v>76</v>
      </c>
      <c r="B372" t="s">
        <v>77</v>
      </c>
      <c r="C372" t="s">
        <v>348</v>
      </c>
      <c r="D372" t="s">
        <v>348</v>
      </c>
      <c r="E372" t="s">
        <v>112</v>
      </c>
      <c r="F372" t="s">
        <v>112</v>
      </c>
      <c r="G372" t="s">
        <v>113</v>
      </c>
      <c r="H372" t="s">
        <v>81</v>
      </c>
      <c r="I372" t="s">
        <v>114</v>
      </c>
      <c r="L372">
        <v>15</v>
      </c>
      <c r="M372" t="s">
        <v>83</v>
      </c>
      <c r="O372" t="s">
        <v>83</v>
      </c>
      <c r="P372" t="s">
        <v>84</v>
      </c>
      <c r="Q372" t="s">
        <v>85</v>
      </c>
    </row>
    <row r="373" spans="1:17" hidden="1">
      <c r="A373" t="s">
        <v>76</v>
      </c>
      <c r="B373" t="s">
        <v>77</v>
      </c>
      <c r="C373" t="s">
        <v>348</v>
      </c>
      <c r="D373" t="s">
        <v>348</v>
      </c>
      <c r="E373" t="s">
        <v>115</v>
      </c>
      <c r="F373" t="s">
        <v>115</v>
      </c>
      <c r="G373" t="s">
        <v>113</v>
      </c>
      <c r="H373" t="s">
        <v>81</v>
      </c>
      <c r="I373" t="s">
        <v>114</v>
      </c>
      <c r="L373">
        <v>16</v>
      </c>
      <c r="M373" t="s">
        <v>83</v>
      </c>
      <c r="O373" t="s">
        <v>83</v>
      </c>
      <c r="P373" t="s">
        <v>84</v>
      </c>
      <c r="Q373" t="s">
        <v>85</v>
      </c>
    </row>
    <row r="374" spans="1:17" hidden="1">
      <c r="A374" t="s">
        <v>76</v>
      </c>
      <c r="B374" t="s">
        <v>77</v>
      </c>
      <c r="C374" t="s">
        <v>348</v>
      </c>
      <c r="D374" t="s">
        <v>348</v>
      </c>
      <c r="E374" t="s">
        <v>327</v>
      </c>
      <c r="F374" t="s">
        <v>327</v>
      </c>
      <c r="G374" t="s">
        <v>90</v>
      </c>
      <c r="H374" t="s">
        <v>81</v>
      </c>
      <c r="L374">
        <v>17</v>
      </c>
      <c r="M374" t="s">
        <v>83</v>
      </c>
      <c r="O374" t="s">
        <v>83</v>
      </c>
      <c r="P374" t="s">
        <v>84</v>
      </c>
      <c r="Q374" t="s">
        <v>85</v>
      </c>
    </row>
    <row r="375" spans="1:17" hidden="1">
      <c r="A375" t="s">
        <v>76</v>
      </c>
      <c r="B375" t="s">
        <v>77</v>
      </c>
      <c r="C375" t="s">
        <v>348</v>
      </c>
      <c r="D375" t="s">
        <v>348</v>
      </c>
      <c r="E375" t="s">
        <v>117</v>
      </c>
      <c r="F375" t="s">
        <v>117</v>
      </c>
      <c r="G375" t="s">
        <v>90</v>
      </c>
      <c r="H375" t="s">
        <v>81</v>
      </c>
      <c r="L375">
        <v>24</v>
      </c>
      <c r="M375" t="s">
        <v>83</v>
      </c>
      <c r="O375" t="s">
        <v>83</v>
      </c>
      <c r="P375" t="s">
        <v>84</v>
      </c>
      <c r="Q375" t="s">
        <v>85</v>
      </c>
    </row>
    <row r="376" spans="1:17" hidden="1">
      <c r="A376" t="s">
        <v>76</v>
      </c>
      <c r="B376" t="s">
        <v>77</v>
      </c>
      <c r="C376" t="s">
        <v>348</v>
      </c>
      <c r="D376" t="s">
        <v>348</v>
      </c>
      <c r="E376" t="s">
        <v>328</v>
      </c>
      <c r="F376" t="s">
        <v>328</v>
      </c>
      <c r="G376" t="s">
        <v>90</v>
      </c>
      <c r="H376" t="s">
        <v>81</v>
      </c>
      <c r="L376">
        <v>25</v>
      </c>
      <c r="M376" t="s">
        <v>83</v>
      </c>
      <c r="O376" t="s">
        <v>83</v>
      </c>
      <c r="P376" t="s">
        <v>84</v>
      </c>
      <c r="Q376" t="s">
        <v>85</v>
      </c>
    </row>
    <row r="377" spans="1:17" hidden="1">
      <c r="A377" t="s">
        <v>76</v>
      </c>
      <c r="B377" t="s">
        <v>77</v>
      </c>
      <c r="C377" t="s">
        <v>348</v>
      </c>
      <c r="D377" t="s">
        <v>348</v>
      </c>
      <c r="E377" t="s">
        <v>118</v>
      </c>
      <c r="F377" t="s">
        <v>118</v>
      </c>
      <c r="G377" t="s">
        <v>92</v>
      </c>
      <c r="H377" t="s">
        <v>81</v>
      </c>
      <c r="L377">
        <v>26</v>
      </c>
      <c r="M377" t="s">
        <v>83</v>
      </c>
      <c r="O377" t="s">
        <v>83</v>
      </c>
      <c r="P377" t="s">
        <v>84</v>
      </c>
      <c r="Q377" t="s">
        <v>85</v>
      </c>
    </row>
    <row r="378" spans="1:17" hidden="1">
      <c r="A378" t="s">
        <v>76</v>
      </c>
      <c r="B378" t="s">
        <v>77</v>
      </c>
      <c r="C378" t="s">
        <v>358</v>
      </c>
      <c r="D378" t="s">
        <v>358</v>
      </c>
      <c r="E378" t="s">
        <v>79</v>
      </c>
      <c r="F378" t="s">
        <v>79</v>
      </c>
      <c r="G378" t="s">
        <v>80</v>
      </c>
      <c r="H378" t="s">
        <v>81</v>
      </c>
      <c r="I378" t="s">
        <v>82</v>
      </c>
      <c r="L378">
        <v>1</v>
      </c>
      <c r="M378" t="s">
        <v>83</v>
      </c>
      <c r="O378" t="s">
        <v>83</v>
      </c>
      <c r="P378" t="s">
        <v>84</v>
      </c>
      <c r="Q378" t="s">
        <v>85</v>
      </c>
    </row>
    <row r="379" spans="1:17" hidden="1">
      <c r="A379" t="s">
        <v>76</v>
      </c>
      <c r="B379" t="s">
        <v>77</v>
      </c>
      <c r="C379" t="s">
        <v>358</v>
      </c>
      <c r="D379" t="s">
        <v>358</v>
      </c>
      <c r="E379" t="s">
        <v>86</v>
      </c>
      <c r="F379" t="s">
        <v>86</v>
      </c>
      <c r="G379" t="s">
        <v>80</v>
      </c>
      <c r="H379" t="s">
        <v>81</v>
      </c>
      <c r="I379" t="s">
        <v>82</v>
      </c>
      <c r="L379">
        <v>2</v>
      </c>
      <c r="M379" t="s">
        <v>83</v>
      </c>
      <c r="O379" t="s">
        <v>83</v>
      </c>
      <c r="P379" t="s">
        <v>84</v>
      </c>
      <c r="Q379" t="s">
        <v>85</v>
      </c>
    </row>
    <row r="380" spans="1:17" hidden="1">
      <c r="A380" t="s">
        <v>76</v>
      </c>
      <c r="B380" t="s">
        <v>77</v>
      </c>
      <c r="C380" t="s">
        <v>358</v>
      </c>
      <c r="D380" t="s">
        <v>358</v>
      </c>
      <c r="E380" t="s">
        <v>87</v>
      </c>
      <c r="F380" t="s">
        <v>87</v>
      </c>
      <c r="G380" t="s">
        <v>88</v>
      </c>
      <c r="H380" t="s">
        <v>81</v>
      </c>
      <c r="J380" t="s">
        <v>83</v>
      </c>
      <c r="L380">
        <v>3</v>
      </c>
      <c r="M380" t="s">
        <v>83</v>
      </c>
      <c r="O380" t="s">
        <v>83</v>
      </c>
      <c r="P380" t="s">
        <v>84</v>
      </c>
      <c r="Q380" t="s">
        <v>85</v>
      </c>
    </row>
    <row r="381" spans="1:17" hidden="1">
      <c r="A381" t="s">
        <v>76</v>
      </c>
      <c r="B381" t="s">
        <v>77</v>
      </c>
      <c r="C381" t="s">
        <v>358</v>
      </c>
      <c r="D381" t="s">
        <v>358</v>
      </c>
      <c r="E381" t="s">
        <v>89</v>
      </c>
      <c r="F381" t="s">
        <v>89</v>
      </c>
      <c r="G381" t="s">
        <v>90</v>
      </c>
      <c r="H381" t="s">
        <v>81</v>
      </c>
      <c r="J381" t="s">
        <v>83</v>
      </c>
      <c r="K381" t="s">
        <v>83</v>
      </c>
      <c r="L381">
        <v>4</v>
      </c>
      <c r="M381" t="s">
        <v>83</v>
      </c>
      <c r="O381" t="s">
        <v>83</v>
      </c>
      <c r="P381" t="s">
        <v>84</v>
      </c>
      <c r="Q381" t="s">
        <v>85</v>
      </c>
    </row>
    <row r="382" spans="1:17" hidden="1">
      <c r="A382" t="s">
        <v>76</v>
      </c>
      <c r="B382" t="s">
        <v>77</v>
      </c>
      <c r="C382" t="s">
        <v>358</v>
      </c>
      <c r="D382" t="s">
        <v>358</v>
      </c>
      <c r="E382" t="s">
        <v>359</v>
      </c>
      <c r="F382" t="s">
        <v>359</v>
      </c>
      <c r="G382" t="s">
        <v>90</v>
      </c>
      <c r="H382" t="s">
        <v>81</v>
      </c>
      <c r="I382" t="s">
        <v>82</v>
      </c>
      <c r="L382">
        <v>5</v>
      </c>
      <c r="M382" t="s">
        <v>83</v>
      </c>
      <c r="O382" t="s">
        <v>83</v>
      </c>
      <c r="P382" t="s">
        <v>100</v>
      </c>
      <c r="Q382" t="s">
        <v>85</v>
      </c>
    </row>
    <row r="383" spans="1:17" hidden="1">
      <c r="A383" t="s">
        <v>76</v>
      </c>
      <c r="B383" t="s">
        <v>77</v>
      </c>
      <c r="C383" t="s">
        <v>358</v>
      </c>
      <c r="D383" t="s">
        <v>358</v>
      </c>
      <c r="E383" t="s">
        <v>359</v>
      </c>
      <c r="F383" t="s">
        <v>360</v>
      </c>
      <c r="G383" t="s">
        <v>90</v>
      </c>
      <c r="H383" t="s">
        <v>81</v>
      </c>
      <c r="L383">
        <v>6</v>
      </c>
      <c r="M383" t="s">
        <v>83</v>
      </c>
      <c r="O383" t="s">
        <v>83</v>
      </c>
      <c r="P383" t="s">
        <v>84</v>
      </c>
      <c r="Q383" t="s">
        <v>85</v>
      </c>
    </row>
    <row r="384" spans="1:17" hidden="1">
      <c r="A384" t="s">
        <v>76</v>
      </c>
      <c r="B384" t="s">
        <v>77</v>
      </c>
      <c r="C384" t="s">
        <v>358</v>
      </c>
      <c r="D384" t="s">
        <v>358</v>
      </c>
      <c r="E384" t="s">
        <v>91</v>
      </c>
      <c r="F384" t="s">
        <v>91</v>
      </c>
      <c r="G384" t="s">
        <v>92</v>
      </c>
      <c r="H384" t="s">
        <v>81</v>
      </c>
      <c r="J384" t="s">
        <v>83</v>
      </c>
      <c r="L384">
        <v>7</v>
      </c>
      <c r="M384" t="s">
        <v>83</v>
      </c>
      <c r="O384" t="s">
        <v>83</v>
      </c>
      <c r="P384" t="s">
        <v>84</v>
      </c>
      <c r="Q384" t="s">
        <v>85</v>
      </c>
    </row>
    <row r="385" spans="1:17" hidden="1">
      <c r="A385" t="s">
        <v>76</v>
      </c>
      <c r="B385" t="s">
        <v>77</v>
      </c>
      <c r="C385" t="s">
        <v>358</v>
      </c>
      <c r="D385" t="s">
        <v>358</v>
      </c>
      <c r="E385" t="s">
        <v>361</v>
      </c>
      <c r="F385" t="s">
        <v>361</v>
      </c>
      <c r="G385" t="s">
        <v>94</v>
      </c>
      <c r="H385" t="s">
        <v>81</v>
      </c>
      <c r="L385">
        <v>8</v>
      </c>
      <c r="M385" t="s">
        <v>83</v>
      </c>
      <c r="O385" t="s">
        <v>83</v>
      </c>
      <c r="P385" t="s">
        <v>84</v>
      </c>
      <c r="Q385" t="s">
        <v>85</v>
      </c>
    </row>
    <row r="386" spans="1:17" hidden="1">
      <c r="A386" t="s">
        <v>76</v>
      </c>
      <c r="B386" t="s">
        <v>77</v>
      </c>
      <c r="C386" t="s">
        <v>358</v>
      </c>
      <c r="D386" t="s">
        <v>358</v>
      </c>
      <c r="E386" t="s">
        <v>362</v>
      </c>
      <c r="F386" t="s">
        <v>362</v>
      </c>
      <c r="G386" t="s">
        <v>88</v>
      </c>
      <c r="H386" t="s">
        <v>81</v>
      </c>
      <c r="L386">
        <v>9</v>
      </c>
      <c r="M386" t="s">
        <v>83</v>
      </c>
      <c r="O386" t="s">
        <v>83</v>
      </c>
      <c r="P386" t="s">
        <v>84</v>
      </c>
      <c r="Q386" t="s">
        <v>85</v>
      </c>
    </row>
    <row r="387" spans="1:17" hidden="1">
      <c r="A387" t="s">
        <v>76</v>
      </c>
      <c r="B387" t="s">
        <v>77</v>
      </c>
      <c r="C387" t="s">
        <v>358</v>
      </c>
      <c r="D387" t="s">
        <v>358</v>
      </c>
      <c r="E387" t="s">
        <v>363</v>
      </c>
      <c r="F387" t="s">
        <v>363</v>
      </c>
      <c r="G387" t="s">
        <v>94</v>
      </c>
      <c r="H387" t="s">
        <v>81</v>
      </c>
      <c r="L387">
        <v>10</v>
      </c>
      <c r="M387" t="s">
        <v>83</v>
      </c>
      <c r="O387" t="s">
        <v>83</v>
      </c>
      <c r="P387" t="s">
        <v>84</v>
      </c>
      <c r="Q387" t="s">
        <v>85</v>
      </c>
    </row>
    <row r="388" spans="1:17" hidden="1">
      <c r="A388" t="s">
        <v>76</v>
      </c>
      <c r="B388" t="s">
        <v>77</v>
      </c>
      <c r="C388" t="s">
        <v>358</v>
      </c>
      <c r="D388" t="s">
        <v>358</v>
      </c>
      <c r="E388" t="s">
        <v>364</v>
      </c>
      <c r="F388" t="s">
        <v>364</v>
      </c>
      <c r="G388" t="s">
        <v>98</v>
      </c>
      <c r="H388" t="s">
        <v>81</v>
      </c>
      <c r="L388">
        <v>11</v>
      </c>
      <c r="M388" t="s">
        <v>83</v>
      </c>
      <c r="O388" t="s">
        <v>83</v>
      </c>
      <c r="P388" t="s">
        <v>84</v>
      </c>
      <c r="Q388" t="s">
        <v>85</v>
      </c>
    </row>
    <row r="389" spans="1:17" hidden="1">
      <c r="A389" t="s">
        <v>76</v>
      </c>
      <c r="B389" t="s">
        <v>77</v>
      </c>
      <c r="C389" t="s">
        <v>358</v>
      </c>
      <c r="D389" t="s">
        <v>358</v>
      </c>
      <c r="E389" t="s">
        <v>365</v>
      </c>
      <c r="F389" t="s">
        <v>365</v>
      </c>
      <c r="G389" t="s">
        <v>98</v>
      </c>
      <c r="H389" t="s">
        <v>81</v>
      </c>
      <c r="L389">
        <v>12</v>
      </c>
      <c r="M389" t="s">
        <v>83</v>
      </c>
      <c r="O389" t="s">
        <v>83</v>
      </c>
      <c r="P389" t="s">
        <v>84</v>
      </c>
      <c r="Q389" t="s">
        <v>85</v>
      </c>
    </row>
    <row r="390" spans="1:17" hidden="1">
      <c r="A390" t="s">
        <v>76</v>
      </c>
      <c r="B390" t="s">
        <v>77</v>
      </c>
      <c r="C390" t="s">
        <v>358</v>
      </c>
      <c r="D390" t="s">
        <v>358</v>
      </c>
      <c r="E390" t="s">
        <v>366</v>
      </c>
      <c r="F390" t="s">
        <v>366</v>
      </c>
      <c r="G390" t="s">
        <v>98</v>
      </c>
      <c r="H390" t="s">
        <v>81</v>
      </c>
      <c r="L390">
        <v>13</v>
      </c>
      <c r="M390" t="s">
        <v>83</v>
      </c>
      <c r="O390" t="s">
        <v>83</v>
      </c>
      <c r="P390" t="s">
        <v>84</v>
      </c>
      <c r="Q390" t="s">
        <v>85</v>
      </c>
    </row>
    <row r="391" spans="1:17" hidden="1">
      <c r="A391" t="s">
        <v>76</v>
      </c>
      <c r="B391" t="s">
        <v>77</v>
      </c>
      <c r="C391" t="s">
        <v>358</v>
      </c>
      <c r="D391" t="s">
        <v>358</v>
      </c>
      <c r="E391" t="s">
        <v>367</v>
      </c>
      <c r="F391" t="s">
        <v>367</v>
      </c>
      <c r="G391" t="s">
        <v>188</v>
      </c>
      <c r="H391" t="s">
        <v>81</v>
      </c>
      <c r="L391">
        <v>14</v>
      </c>
      <c r="M391" t="s">
        <v>83</v>
      </c>
      <c r="O391" t="s">
        <v>83</v>
      </c>
      <c r="P391" t="s">
        <v>84</v>
      </c>
      <c r="Q391" t="s">
        <v>85</v>
      </c>
    </row>
    <row r="392" spans="1:17" hidden="1">
      <c r="A392" t="s">
        <v>76</v>
      </c>
      <c r="B392" t="s">
        <v>77</v>
      </c>
      <c r="C392" t="s">
        <v>358</v>
      </c>
      <c r="D392" t="s">
        <v>358</v>
      </c>
      <c r="E392" t="s">
        <v>112</v>
      </c>
      <c r="F392" t="s">
        <v>112</v>
      </c>
      <c r="G392" t="s">
        <v>113</v>
      </c>
      <c r="H392" t="s">
        <v>81</v>
      </c>
      <c r="I392" t="s">
        <v>114</v>
      </c>
      <c r="L392">
        <v>15</v>
      </c>
      <c r="M392" t="s">
        <v>83</v>
      </c>
      <c r="O392" t="s">
        <v>83</v>
      </c>
      <c r="P392" t="s">
        <v>84</v>
      </c>
      <c r="Q392" t="s">
        <v>85</v>
      </c>
    </row>
    <row r="393" spans="1:17" hidden="1">
      <c r="A393" t="s">
        <v>76</v>
      </c>
      <c r="B393" t="s">
        <v>77</v>
      </c>
      <c r="C393" t="s">
        <v>358</v>
      </c>
      <c r="D393" t="s">
        <v>358</v>
      </c>
      <c r="E393" t="s">
        <v>115</v>
      </c>
      <c r="F393" t="s">
        <v>115</v>
      </c>
      <c r="G393" t="s">
        <v>113</v>
      </c>
      <c r="H393" t="s">
        <v>81</v>
      </c>
      <c r="I393" t="s">
        <v>114</v>
      </c>
      <c r="L393">
        <v>16</v>
      </c>
      <c r="M393" t="s">
        <v>83</v>
      </c>
      <c r="O393" t="s">
        <v>83</v>
      </c>
      <c r="P393" t="s">
        <v>84</v>
      </c>
      <c r="Q393" t="s">
        <v>85</v>
      </c>
    </row>
    <row r="394" spans="1:17" hidden="1">
      <c r="A394" t="s">
        <v>76</v>
      </c>
      <c r="B394" t="s">
        <v>77</v>
      </c>
      <c r="C394" t="s">
        <v>358</v>
      </c>
      <c r="D394" t="s">
        <v>358</v>
      </c>
      <c r="E394" t="s">
        <v>327</v>
      </c>
      <c r="F394" t="s">
        <v>327</v>
      </c>
      <c r="G394" t="s">
        <v>90</v>
      </c>
      <c r="H394" t="s">
        <v>81</v>
      </c>
      <c r="L394">
        <v>17</v>
      </c>
      <c r="M394" t="s">
        <v>83</v>
      </c>
      <c r="O394" t="s">
        <v>83</v>
      </c>
      <c r="P394" t="s">
        <v>84</v>
      </c>
      <c r="Q394" t="s">
        <v>85</v>
      </c>
    </row>
    <row r="395" spans="1:17" hidden="1">
      <c r="A395" t="s">
        <v>76</v>
      </c>
      <c r="B395" t="s">
        <v>77</v>
      </c>
      <c r="C395" t="s">
        <v>358</v>
      </c>
      <c r="D395" t="s">
        <v>358</v>
      </c>
      <c r="E395" t="s">
        <v>117</v>
      </c>
      <c r="F395" t="s">
        <v>117</v>
      </c>
      <c r="G395" t="s">
        <v>90</v>
      </c>
      <c r="H395" t="s">
        <v>81</v>
      </c>
      <c r="L395">
        <v>24</v>
      </c>
      <c r="M395" t="s">
        <v>83</v>
      </c>
      <c r="O395" t="s">
        <v>83</v>
      </c>
      <c r="P395" t="s">
        <v>84</v>
      </c>
      <c r="Q395" t="s">
        <v>85</v>
      </c>
    </row>
    <row r="396" spans="1:17" hidden="1">
      <c r="A396" t="s">
        <v>76</v>
      </c>
      <c r="B396" t="s">
        <v>77</v>
      </c>
      <c r="C396" t="s">
        <v>358</v>
      </c>
      <c r="D396" t="s">
        <v>358</v>
      </c>
      <c r="E396" t="s">
        <v>328</v>
      </c>
      <c r="F396" t="s">
        <v>328</v>
      </c>
      <c r="G396" t="s">
        <v>90</v>
      </c>
      <c r="H396" t="s">
        <v>81</v>
      </c>
      <c r="L396">
        <v>25</v>
      </c>
      <c r="M396" t="s">
        <v>83</v>
      </c>
      <c r="O396" t="s">
        <v>83</v>
      </c>
      <c r="P396" t="s">
        <v>84</v>
      </c>
      <c r="Q396" t="s">
        <v>85</v>
      </c>
    </row>
    <row r="397" spans="1:17" hidden="1">
      <c r="A397" t="s">
        <v>76</v>
      </c>
      <c r="B397" t="s">
        <v>77</v>
      </c>
      <c r="C397" t="s">
        <v>358</v>
      </c>
      <c r="D397" t="s">
        <v>358</v>
      </c>
      <c r="E397" t="s">
        <v>118</v>
      </c>
      <c r="F397" t="s">
        <v>118</v>
      </c>
      <c r="G397" t="s">
        <v>92</v>
      </c>
      <c r="H397" t="s">
        <v>81</v>
      </c>
      <c r="L397">
        <v>26</v>
      </c>
      <c r="M397" t="s">
        <v>83</v>
      </c>
      <c r="O397" t="s">
        <v>83</v>
      </c>
      <c r="P397" t="s">
        <v>84</v>
      </c>
      <c r="Q397" t="s">
        <v>85</v>
      </c>
    </row>
    <row r="398" spans="1:17" hidden="1">
      <c r="A398" t="s">
        <v>76</v>
      </c>
      <c r="B398" t="s">
        <v>77</v>
      </c>
      <c r="C398" t="s">
        <v>368</v>
      </c>
      <c r="D398" t="s">
        <v>368</v>
      </c>
      <c r="E398" t="s">
        <v>79</v>
      </c>
      <c r="F398" t="s">
        <v>79</v>
      </c>
      <c r="G398" t="s">
        <v>80</v>
      </c>
      <c r="H398" t="s">
        <v>81</v>
      </c>
      <c r="I398" t="s">
        <v>82</v>
      </c>
      <c r="L398">
        <v>1</v>
      </c>
      <c r="M398" t="s">
        <v>83</v>
      </c>
      <c r="O398" t="s">
        <v>83</v>
      </c>
      <c r="P398" t="s">
        <v>84</v>
      </c>
      <c r="Q398" t="s">
        <v>85</v>
      </c>
    </row>
    <row r="399" spans="1:17" hidden="1">
      <c r="A399" t="s">
        <v>76</v>
      </c>
      <c r="B399" t="s">
        <v>77</v>
      </c>
      <c r="C399" t="s">
        <v>368</v>
      </c>
      <c r="D399" t="s">
        <v>368</v>
      </c>
      <c r="E399" t="s">
        <v>86</v>
      </c>
      <c r="F399" t="s">
        <v>86</v>
      </c>
      <c r="G399" t="s">
        <v>80</v>
      </c>
      <c r="H399" t="s">
        <v>81</v>
      </c>
      <c r="I399" t="s">
        <v>82</v>
      </c>
      <c r="L399">
        <v>2</v>
      </c>
      <c r="M399" t="s">
        <v>83</v>
      </c>
      <c r="O399" t="s">
        <v>83</v>
      </c>
      <c r="P399" t="s">
        <v>84</v>
      </c>
      <c r="Q399" t="s">
        <v>85</v>
      </c>
    </row>
    <row r="400" spans="1:17" hidden="1">
      <c r="A400" t="s">
        <v>76</v>
      </c>
      <c r="B400" t="s">
        <v>77</v>
      </c>
      <c r="C400" t="s">
        <v>368</v>
      </c>
      <c r="D400" t="s">
        <v>368</v>
      </c>
      <c r="E400" t="s">
        <v>87</v>
      </c>
      <c r="F400" t="s">
        <v>87</v>
      </c>
      <c r="G400" t="s">
        <v>88</v>
      </c>
      <c r="H400" t="s">
        <v>81</v>
      </c>
      <c r="J400" t="s">
        <v>83</v>
      </c>
      <c r="L400">
        <v>3</v>
      </c>
      <c r="M400" t="s">
        <v>83</v>
      </c>
      <c r="O400" t="s">
        <v>83</v>
      </c>
      <c r="P400" t="s">
        <v>84</v>
      </c>
      <c r="Q400" t="s">
        <v>85</v>
      </c>
    </row>
    <row r="401" spans="1:17" hidden="1">
      <c r="A401" t="s">
        <v>76</v>
      </c>
      <c r="B401" t="s">
        <v>77</v>
      </c>
      <c r="C401" t="s">
        <v>368</v>
      </c>
      <c r="D401" t="s">
        <v>368</v>
      </c>
      <c r="E401" t="s">
        <v>89</v>
      </c>
      <c r="F401" t="s">
        <v>89</v>
      </c>
      <c r="G401" t="s">
        <v>90</v>
      </c>
      <c r="H401" t="s">
        <v>81</v>
      </c>
      <c r="J401" t="s">
        <v>83</v>
      </c>
      <c r="K401" t="s">
        <v>83</v>
      </c>
      <c r="L401">
        <v>4</v>
      </c>
      <c r="M401" t="s">
        <v>83</v>
      </c>
      <c r="O401" t="s">
        <v>83</v>
      </c>
      <c r="P401" t="s">
        <v>84</v>
      </c>
      <c r="Q401" t="s">
        <v>85</v>
      </c>
    </row>
    <row r="402" spans="1:17" hidden="1">
      <c r="A402" t="s">
        <v>76</v>
      </c>
      <c r="B402" t="s">
        <v>77</v>
      </c>
      <c r="C402" t="s">
        <v>368</v>
      </c>
      <c r="D402" t="s">
        <v>368</v>
      </c>
      <c r="E402" t="s">
        <v>369</v>
      </c>
      <c r="F402" t="s">
        <v>369</v>
      </c>
      <c r="G402" t="s">
        <v>90</v>
      </c>
      <c r="H402" t="s">
        <v>81</v>
      </c>
      <c r="I402" t="s">
        <v>82</v>
      </c>
      <c r="L402">
        <v>5</v>
      </c>
      <c r="M402" t="s">
        <v>83</v>
      </c>
      <c r="O402" t="s">
        <v>83</v>
      </c>
      <c r="P402" t="s">
        <v>100</v>
      </c>
      <c r="Q402" t="s">
        <v>85</v>
      </c>
    </row>
    <row r="403" spans="1:17" hidden="1">
      <c r="A403" t="s">
        <v>76</v>
      </c>
      <c r="B403" t="s">
        <v>77</v>
      </c>
      <c r="C403" t="s">
        <v>368</v>
      </c>
      <c r="D403" t="s">
        <v>368</v>
      </c>
      <c r="E403" t="s">
        <v>369</v>
      </c>
      <c r="F403" t="s">
        <v>370</v>
      </c>
      <c r="G403" t="s">
        <v>90</v>
      </c>
      <c r="H403" t="s">
        <v>81</v>
      </c>
      <c r="L403">
        <v>6</v>
      </c>
      <c r="M403" t="s">
        <v>83</v>
      </c>
      <c r="O403" t="s">
        <v>83</v>
      </c>
      <c r="P403" t="s">
        <v>84</v>
      </c>
      <c r="Q403" t="s">
        <v>85</v>
      </c>
    </row>
    <row r="404" spans="1:17" hidden="1">
      <c r="A404" t="s">
        <v>76</v>
      </c>
      <c r="B404" t="s">
        <v>77</v>
      </c>
      <c r="C404" t="s">
        <v>368</v>
      </c>
      <c r="D404" t="s">
        <v>368</v>
      </c>
      <c r="E404" t="s">
        <v>91</v>
      </c>
      <c r="F404" t="s">
        <v>91</v>
      </c>
      <c r="G404" t="s">
        <v>92</v>
      </c>
      <c r="H404" t="s">
        <v>81</v>
      </c>
      <c r="J404" t="s">
        <v>83</v>
      </c>
      <c r="L404">
        <v>7</v>
      </c>
      <c r="M404" t="s">
        <v>83</v>
      </c>
      <c r="O404" t="s">
        <v>83</v>
      </c>
      <c r="P404" t="s">
        <v>84</v>
      </c>
      <c r="Q404" t="s">
        <v>85</v>
      </c>
    </row>
    <row r="405" spans="1:17" hidden="1">
      <c r="A405" t="s">
        <v>76</v>
      </c>
      <c r="B405" t="s">
        <v>77</v>
      </c>
      <c r="C405" t="s">
        <v>368</v>
      </c>
      <c r="D405" t="s">
        <v>368</v>
      </c>
      <c r="E405" t="s">
        <v>371</v>
      </c>
      <c r="F405" t="s">
        <v>371</v>
      </c>
      <c r="G405" t="s">
        <v>94</v>
      </c>
      <c r="H405" t="s">
        <v>81</v>
      </c>
      <c r="L405">
        <v>8</v>
      </c>
      <c r="M405" t="s">
        <v>83</v>
      </c>
      <c r="O405" t="s">
        <v>83</v>
      </c>
      <c r="P405" t="s">
        <v>84</v>
      </c>
      <c r="Q405" t="s">
        <v>85</v>
      </c>
    </row>
    <row r="406" spans="1:17" hidden="1">
      <c r="A406" t="s">
        <v>76</v>
      </c>
      <c r="B406" t="s">
        <v>77</v>
      </c>
      <c r="C406" t="s">
        <v>368</v>
      </c>
      <c r="D406" t="s">
        <v>368</v>
      </c>
      <c r="E406" t="s">
        <v>372</v>
      </c>
      <c r="F406" t="s">
        <v>372</v>
      </c>
      <c r="G406" t="s">
        <v>88</v>
      </c>
      <c r="H406" t="s">
        <v>81</v>
      </c>
      <c r="L406">
        <v>9</v>
      </c>
      <c r="M406" t="s">
        <v>83</v>
      </c>
      <c r="O406" t="s">
        <v>83</v>
      </c>
      <c r="P406" t="s">
        <v>84</v>
      </c>
      <c r="Q406" t="s">
        <v>85</v>
      </c>
    </row>
    <row r="407" spans="1:17" hidden="1">
      <c r="A407" t="s">
        <v>76</v>
      </c>
      <c r="B407" t="s">
        <v>77</v>
      </c>
      <c r="C407" t="s">
        <v>368</v>
      </c>
      <c r="D407" t="s">
        <v>368</v>
      </c>
      <c r="E407" t="s">
        <v>373</v>
      </c>
      <c r="F407" t="s">
        <v>373</v>
      </c>
      <c r="G407" t="s">
        <v>94</v>
      </c>
      <c r="H407" t="s">
        <v>81</v>
      </c>
      <c r="L407">
        <v>10</v>
      </c>
      <c r="M407" t="s">
        <v>83</v>
      </c>
      <c r="O407" t="s">
        <v>83</v>
      </c>
      <c r="P407" t="s">
        <v>84</v>
      </c>
      <c r="Q407" t="s">
        <v>85</v>
      </c>
    </row>
    <row r="408" spans="1:17" hidden="1">
      <c r="A408" t="s">
        <v>76</v>
      </c>
      <c r="B408" t="s">
        <v>77</v>
      </c>
      <c r="C408" t="s">
        <v>368</v>
      </c>
      <c r="D408" t="s">
        <v>368</v>
      </c>
      <c r="E408" t="s">
        <v>374</v>
      </c>
      <c r="F408" t="s">
        <v>374</v>
      </c>
      <c r="G408" t="s">
        <v>98</v>
      </c>
      <c r="H408" t="s">
        <v>81</v>
      </c>
      <c r="L408">
        <v>11</v>
      </c>
      <c r="M408" t="s">
        <v>83</v>
      </c>
      <c r="O408" t="s">
        <v>83</v>
      </c>
      <c r="P408" t="s">
        <v>84</v>
      </c>
      <c r="Q408" t="s">
        <v>85</v>
      </c>
    </row>
    <row r="409" spans="1:17" hidden="1">
      <c r="A409" t="s">
        <v>76</v>
      </c>
      <c r="B409" t="s">
        <v>77</v>
      </c>
      <c r="C409" t="s">
        <v>368</v>
      </c>
      <c r="D409" t="s">
        <v>368</v>
      </c>
      <c r="E409" t="s">
        <v>375</v>
      </c>
      <c r="F409" t="s">
        <v>375</v>
      </c>
      <c r="G409" t="s">
        <v>98</v>
      </c>
      <c r="H409" t="s">
        <v>81</v>
      </c>
      <c r="L409">
        <v>12</v>
      </c>
      <c r="M409" t="s">
        <v>83</v>
      </c>
      <c r="O409" t="s">
        <v>83</v>
      </c>
      <c r="P409" t="s">
        <v>84</v>
      </c>
      <c r="Q409" t="s">
        <v>85</v>
      </c>
    </row>
    <row r="410" spans="1:17" hidden="1">
      <c r="A410" t="s">
        <v>76</v>
      </c>
      <c r="B410" t="s">
        <v>77</v>
      </c>
      <c r="C410" t="s">
        <v>368</v>
      </c>
      <c r="D410" t="s">
        <v>368</v>
      </c>
      <c r="E410" t="s">
        <v>376</v>
      </c>
      <c r="F410" t="s">
        <v>376</v>
      </c>
      <c r="G410" t="s">
        <v>98</v>
      </c>
      <c r="H410" t="s">
        <v>81</v>
      </c>
      <c r="L410">
        <v>13</v>
      </c>
      <c r="M410" t="s">
        <v>83</v>
      </c>
      <c r="O410" t="s">
        <v>83</v>
      </c>
      <c r="P410" t="s">
        <v>84</v>
      </c>
      <c r="Q410" t="s">
        <v>85</v>
      </c>
    </row>
    <row r="411" spans="1:17" hidden="1">
      <c r="A411" t="s">
        <v>76</v>
      </c>
      <c r="B411" t="s">
        <v>77</v>
      </c>
      <c r="C411" t="s">
        <v>368</v>
      </c>
      <c r="D411" t="s">
        <v>368</v>
      </c>
      <c r="E411" t="s">
        <v>377</v>
      </c>
      <c r="F411" t="s">
        <v>377</v>
      </c>
      <c r="G411" t="s">
        <v>188</v>
      </c>
      <c r="H411" t="s">
        <v>81</v>
      </c>
      <c r="L411">
        <v>14</v>
      </c>
      <c r="M411" t="s">
        <v>83</v>
      </c>
      <c r="O411" t="s">
        <v>83</v>
      </c>
      <c r="P411" t="s">
        <v>84</v>
      </c>
      <c r="Q411" t="s">
        <v>85</v>
      </c>
    </row>
    <row r="412" spans="1:17" hidden="1">
      <c r="A412" t="s">
        <v>76</v>
      </c>
      <c r="B412" t="s">
        <v>77</v>
      </c>
      <c r="C412" t="s">
        <v>368</v>
      </c>
      <c r="D412" t="s">
        <v>368</v>
      </c>
      <c r="E412" t="s">
        <v>112</v>
      </c>
      <c r="F412" t="s">
        <v>112</v>
      </c>
      <c r="G412" t="s">
        <v>113</v>
      </c>
      <c r="H412" t="s">
        <v>81</v>
      </c>
      <c r="I412" t="s">
        <v>114</v>
      </c>
      <c r="L412">
        <v>15</v>
      </c>
      <c r="M412" t="s">
        <v>83</v>
      </c>
      <c r="O412" t="s">
        <v>83</v>
      </c>
      <c r="P412" t="s">
        <v>84</v>
      </c>
      <c r="Q412" t="s">
        <v>85</v>
      </c>
    </row>
    <row r="413" spans="1:17" hidden="1">
      <c r="A413" t="s">
        <v>76</v>
      </c>
      <c r="B413" t="s">
        <v>77</v>
      </c>
      <c r="C413" t="s">
        <v>368</v>
      </c>
      <c r="D413" t="s">
        <v>368</v>
      </c>
      <c r="E413" t="s">
        <v>115</v>
      </c>
      <c r="F413" t="s">
        <v>115</v>
      </c>
      <c r="G413" t="s">
        <v>113</v>
      </c>
      <c r="H413" t="s">
        <v>81</v>
      </c>
      <c r="I413" t="s">
        <v>114</v>
      </c>
      <c r="L413">
        <v>16</v>
      </c>
      <c r="M413" t="s">
        <v>83</v>
      </c>
      <c r="O413" t="s">
        <v>83</v>
      </c>
      <c r="P413" t="s">
        <v>84</v>
      </c>
      <c r="Q413" t="s">
        <v>85</v>
      </c>
    </row>
    <row r="414" spans="1:17" hidden="1">
      <c r="A414" t="s">
        <v>76</v>
      </c>
      <c r="B414" t="s">
        <v>77</v>
      </c>
      <c r="C414" t="s">
        <v>368</v>
      </c>
      <c r="D414" t="s">
        <v>368</v>
      </c>
      <c r="E414" t="s">
        <v>327</v>
      </c>
      <c r="F414" t="s">
        <v>327</v>
      </c>
      <c r="G414" t="s">
        <v>90</v>
      </c>
      <c r="H414" t="s">
        <v>81</v>
      </c>
      <c r="L414">
        <v>17</v>
      </c>
      <c r="M414" t="s">
        <v>83</v>
      </c>
      <c r="O414" t="s">
        <v>83</v>
      </c>
      <c r="P414" t="s">
        <v>84</v>
      </c>
      <c r="Q414" t="s">
        <v>85</v>
      </c>
    </row>
    <row r="415" spans="1:17" hidden="1">
      <c r="A415" t="s">
        <v>76</v>
      </c>
      <c r="B415" t="s">
        <v>77</v>
      </c>
      <c r="C415" t="s">
        <v>368</v>
      </c>
      <c r="D415" t="s">
        <v>368</v>
      </c>
      <c r="E415" t="s">
        <v>117</v>
      </c>
      <c r="F415" t="s">
        <v>117</v>
      </c>
      <c r="G415" t="s">
        <v>90</v>
      </c>
      <c r="H415" t="s">
        <v>81</v>
      </c>
      <c r="L415">
        <v>24</v>
      </c>
      <c r="M415" t="s">
        <v>83</v>
      </c>
      <c r="O415" t="s">
        <v>83</v>
      </c>
      <c r="P415" t="s">
        <v>84</v>
      </c>
      <c r="Q415" t="s">
        <v>85</v>
      </c>
    </row>
    <row r="416" spans="1:17" hidden="1">
      <c r="A416" t="s">
        <v>76</v>
      </c>
      <c r="B416" t="s">
        <v>77</v>
      </c>
      <c r="C416" t="s">
        <v>368</v>
      </c>
      <c r="D416" t="s">
        <v>368</v>
      </c>
      <c r="E416" t="s">
        <v>328</v>
      </c>
      <c r="F416" t="s">
        <v>328</v>
      </c>
      <c r="G416" t="s">
        <v>90</v>
      </c>
      <c r="H416" t="s">
        <v>81</v>
      </c>
      <c r="L416">
        <v>25</v>
      </c>
      <c r="M416" t="s">
        <v>83</v>
      </c>
      <c r="O416" t="s">
        <v>83</v>
      </c>
      <c r="P416" t="s">
        <v>84</v>
      </c>
      <c r="Q416" t="s">
        <v>85</v>
      </c>
    </row>
    <row r="417" spans="1:17" hidden="1">
      <c r="A417" t="s">
        <v>76</v>
      </c>
      <c r="B417" t="s">
        <v>77</v>
      </c>
      <c r="C417" t="s">
        <v>368</v>
      </c>
      <c r="D417" t="s">
        <v>368</v>
      </c>
      <c r="E417" t="s">
        <v>118</v>
      </c>
      <c r="F417" t="s">
        <v>118</v>
      </c>
      <c r="G417" t="s">
        <v>92</v>
      </c>
      <c r="H417" t="s">
        <v>81</v>
      </c>
      <c r="L417">
        <v>26</v>
      </c>
      <c r="M417" t="s">
        <v>83</v>
      </c>
      <c r="O417" t="s">
        <v>83</v>
      </c>
      <c r="P417" t="s">
        <v>84</v>
      </c>
      <c r="Q417" t="s">
        <v>85</v>
      </c>
    </row>
    <row r="418" spans="1:17" hidden="1">
      <c r="A418" t="s">
        <v>76</v>
      </c>
      <c r="B418" t="s">
        <v>77</v>
      </c>
      <c r="C418" t="s">
        <v>378</v>
      </c>
      <c r="D418" t="s">
        <v>378</v>
      </c>
      <c r="E418" t="s">
        <v>79</v>
      </c>
      <c r="F418" t="s">
        <v>79</v>
      </c>
      <c r="G418" t="s">
        <v>80</v>
      </c>
      <c r="H418" t="s">
        <v>81</v>
      </c>
      <c r="I418" t="s">
        <v>82</v>
      </c>
      <c r="L418">
        <v>1</v>
      </c>
      <c r="M418" t="s">
        <v>83</v>
      </c>
      <c r="O418" t="s">
        <v>83</v>
      </c>
      <c r="P418" t="s">
        <v>84</v>
      </c>
      <c r="Q418" t="s">
        <v>85</v>
      </c>
    </row>
    <row r="419" spans="1:17" hidden="1">
      <c r="A419" t="s">
        <v>76</v>
      </c>
      <c r="B419" t="s">
        <v>77</v>
      </c>
      <c r="C419" t="s">
        <v>378</v>
      </c>
      <c r="D419" t="s">
        <v>378</v>
      </c>
      <c r="E419" t="s">
        <v>86</v>
      </c>
      <c r="F419" t="s">
        <v>86</v>
      </c>
      <c r="G419" t="s">
        <v>80</v>
      </c>
      <c r="H419" t="s">
        <v>81</v>
      </c>
      <c r="I419" t="s">
        <v>82</v>
      </c>
      <c r="L419">
        <v>2</v>
      </c>
      <c r="M419" t="s">
        <v>83</v>
      </c>
      <c r="O419" t="s">
        <v>83</v>
      </c>
      <c r="P419" t="s">
        <v>84</v>
      </c>
      <c r="Q419" t="s">
        <v>85</v>
      </c>
    </row>
    <row r="420" spans="1:17" hidden="1">
      <c r="A420" t="s">
        <v>76</v>
      </c>
      <c r="B420" t="s">
        <v>77</v>
      </c>
      <c r="C420" t="s">
        <v>378</v>
      </c>
      <c r="D420" t="s">
        <v>378</v>
      </c>
      <c r="E420" t="s">
        <v>87</v>
      </c>
      <c r="F420" t="s">
        <v>87</v>
      </c>
      <c r="G420" t="s">
        <v>88</v>
      </c>
      <c r="H420" t="s">
        <v>81</v>
      </c>
      <c r="J420" t="s">
        <v>83</v>
      </c>
      <c r="L420">
        <v>3</v>
      </c>
      <c r="M420" t="s">
        <v>83</v>
      </c>
      <c r="O420" t="s">
        <v>83</v>
      </c>
      <c r="P420" t="s">
        <v>84</v>
      </c>
      <c r="Q420" t="s">
        <v>85</v>
      </c>
    </row>
    <row r="421" spans="1:17" hidden="1">
      <c r="A421" t="s">
        <v>76</v>
      </c>
      <c r="B421" t="s">
        <v>77</v>
      </c>
      <c r="C421" t="s">
        <v>378</v>
      </c>
      <c r="D421" t="s">
        <v>378</v>
      </c>
      <c r="E421" t="s">
        <v>89</v>
      </c>
      <c r="F421" t="s">
        <v>89</v>
      </c>
      <c r="G421" t="s">
        <v>90</v>
      </c>
      <c r="H421" t="s">
        <v>81</v>
      </c>
      <c r="J421" t="s">
        <v>83</v>
      </c>
      <c r="K421" t="s">
        <v>83</v>
      </c>
      <c r="L421">
        <v>4</v>
      </c>
      <c r="M421" t="s">
        <v>83</v>
      </c>
      <c r="O421" t="s">
        <v>83</v>
      </c>
      <c r="P421" t="s">
        <v>84</v>
      </c>
      <c r="Q421" t="s">
        <v>85</v>
      </c>
    </row>
    <row r="422" spans="1:17" hidden="1">
      <c r="A422" t="s">
        <v>76</v>
      </c>
      <c r="B422" t="s">
        <v>77</v>
      </c>
      <c r="C422" t="s">
        <v>378</v>
      </c>
      <c r="D422" t="s">
        <v>378</v>
      </c>
      <c r="E422" t="s">
        <v>379</v>
      </c>
      <c r="F422" t="s">
        <v>379</v>
      </c>
      <c r="G422" t="s">
        <v>90</v>
      </c>
      <c r="H422" t="s">
        <v>81</v>
      </c>
      <c r="I422" t="s">
        <v>82</v>
      </c>
      <c r="L422">
        <v>5</v>
      </c>
      <c r="M422" t="s">
        <v>83</v>
      </c>
      <c r="O422" t="s">
        <v>83</v>
      </c>
      <c r="P422" t="s">
        <v>100</v>
      </c>
      <c r="Q422" t="s">
        <v>85</v>
      </c>
    </row>
    <row r="423" spans="1:17" hidden="1">
      <c r="A423" t="s">
        <v>76</v>
      </c>
      <c r="B423" t="s">
        <v>77</v>
      </c>
      <c r="C423" t="s">
        <v>378</v>
      </c>
      <c r="D423" t="s">
        <v>378</v>
      </c>
      <c r="E423" t="s">
        <v>379</v>
      </c>
      <c r="F423" t="s">
        <v>380</v>
      </c>
      <c r="G423" t="s">
        <v>90</v>
      </c>
      <c r="H423" t="s">
        <v>81</v>
      </c>
      <c r="L423">
        <v>6</v>
      </c>
      <c r="M423" t="s">
        <v>83</v>
      </c>
      <c r="O423" t="s">
        <v>83</v>
      </c>
      <c r="P423" t="s">
        <v>84</v>
      </c>
      <c r="Q423" t="s">
        <v>85</v>
      </c>
    </row>
    <row r="424" spans="1:17" hidden="1">
      <c r="A424" t="s">
        <v>76</v>
      </c>
      <c r="B424" t="s">
        <v>77</v>
      </c>
      <c r="C424" t="s">
        <v>378</v>
      </c>
      <c r="D424" t="s">
        <v>378</v>
      </c>
      <c r="E424" t="s">
        <v>91</v>
      </c>
      <c r="F424" t="s">
        <v>91</v>
      </c>
      <c r="G424" t="s">
        <v>92</v>
      </c>
      <c r="H424" t="s">
        <v>81</v>
      </c>
      <c r="J424" t="s">
        <v>83</v>
      </c>
      <c r="L424">
        <v>7</v>
      </c>
      <c r="M424" t="s">
        <v>83</v>
      </c>
      <c r="O424" t="s">
        <v>83</v>
      </c>
      <c r="P424" t="s">
        <v>84</v>
      </c>
      <c r="Q424" t="s">
        <v>85</v>
      </c>
    </row>
    <row r="425" spans="1:17" hidden="1">
      <c r="A425" t="s">
        <v>76</v>
      </c>
      <c r="B425" t="s">
        <v>77</v>
      </c>
      <c r="C425" t="s">
        <v>378</v>
      </c>
      <c r="D425" t="s">
        <v>378</v>
      </c>
      <c r="E425" t="s">
        <v>381</v>
      </c>
      <c r="F425" t="s">
        <v>381</v>
      </c>
      <c r="G425" t="s">
        <v>94</v>
      </c>
      <c r="H425" t="s">
        <v>81</v>
      </c>
      <c r="L425">
        <v>8</v>
      </c>
      <c r="M425" t="s">
        <v>83</v>
      </c>
      <c r="O425" t="s">
        <v>83</v>
      </c>
      <c r="P425" t="s">
        <v>84</v>
      </c>
      <c r="Q425" t="s">
        <v>85</v>
      </c>
    </row>
    <row r="426" spans="1:17" hidden="1">
      <c r="A426" t="s">
        <v>76</v>
      </c>
      <c r="B426" t="s">
        <v>77</v>
      </c>
      <c r="C426" t="s">
        <v>378</v>
      </c>
      <c r="D426" t="s">
        <v>378</v>
      </c>
      <c r="E426" t="s">
        <v>382</v>
      </c>
      <c r="F426" t="s">
        <v>382</v>
      </c>
      <c r="G426" t="s">
        <v>88</v>
      </c>
      <c r="H426" t="s">
        <v>81</v>
      </c>
      <c r="L426">
        <v>9</v>
      </c>
      <c r="M426" t="s">
        <v>83</v>
      </c>
      <c r="O426" t="s">
        <v>83</v>
      </c>
      <c r="P426" t="s">
        <v>84</v>
      </c>
      <c r="Q426" t="s">
        <v>85</v>
      </c>
    </row>
    <row r="427" spans="1:17" hidden="1">
      <c r="A427" t="s">
        <v>76</v>
      </c>
      <c r="B427" t="s">
        <v>77</v>
      </c>
      <c r="C427" t="s">
        <v>378</v>
      </c>
      <c r="D427" t="s">
        <v>378</v>
      </c>
      <c r="E427" t="s">
        <v>383</v>
      </c>
      <c r="F427" t="s">
        <v>383</v>
      </c>
      <c r="G427" t="s">
        <v>94</v>
      </c>
      <c r="H427" t="s">
        <v>81</v>
      </c>
      <c r="L427">
        <v>10</v>
      </c>
      <c r="M427" t="s">
        <v>83</v>
      </c>
      <c r="O427" t="s">
        <v>83</v>
      </c>
      <c r="P427" t="s">
        <v>84</v>
      </c>
      <c r="Q427" t="s">
        <v>85</v>
      </c>
    </row>
    <row r="428" spans="1:17" hidden="1">
      <c r="A428" t="s">
        <v>76</v>
      </c>
      <c r="B428" t="s">
        <v>77</v>
      </c>
      <c r="C428" t="s">
        <v>378</v>
      </c>
      <c r="D428" t="s">
        <v>378</v>
      </c>
      <c r="E428" t="s">
        <v>384</v>
      </c>
      <c r="F428" t="s">
        <v>384</v>
      </c>
      <c r="G428" t="s">
        <v>98</v>
      </c>
      <c r="H428" t="s">
        <v>81</v>
      </c>
      <c r="L428">
        <v>11</v>
      </c>
      <c r="M428" t="s">
        <v>83</v>
      </c>
      <c r="O428" t="s">
        <v>83</v>
      </c>
      <c r="P428" t="s">
        <v>84</v>
      </c>
      <c r="Q428" t="s">
        <v>85</v>
      </c>
    </row>
    <row r="429" spans="1:17" hidden="1">
      <c r="A429" t="s">
        <v>76</v>
      </c>
      <c r="B429" t="s">
        <v>77</v>
      </c>
      <c r="C429" t="s">
        <v>378</v>
      </c>
      <c r="D429" t="s">
        <v>378</v>
      </c>
      <c r="E429" t="s">
        <v>385</v>
      </c>
      <c r="F429" t="s">
        <v>385</v>
      </c>
      <c r="G429" t="s">
        <v>98</v>
      </c>
      <c r="H429" t="s">
        <v>81</v>
      </c>
      <c r="L429">
        <v>12</v>
      </c>
      <c r="M429" t="s">
        <v>83</v>
      </c>
      <c r="O429" t="s">
        <v>83</v>
      </c>
      <c r="P429" t="s">
        <v>84</v>
      </c>
      <c r="Q429" t="s">
        <v>85</v>
      </c>
    </row>
    <row r="430" spans="1:17" hidden="1">
      <c r="A430" t="s">
        <v>76</v>
      </c>
      <c r="B430" t="s">
        <v>77</v>
      </c>
      <c r="C430" t="s">
        <v>378</v>
      </c>
      <c r="D430" t="s">
        <v>378</v>
      </c>
      <c r="E430" t="s">
        <v>386</v>
      </c>
      <c r="F430" t="s">
        <v>386</v>
      </c>
      <c r="G430" t="s">
        <v>98</v>
      </c>
      <c r="H430" t="s">
        <v>81</v>
      </c>
      <c r="L430">
        <v>13</v>
      </c>
      <c r="M430" t="s">
        <v>83</v>
      </c>
      <c r="O430" t="s">
        <v>83</v>
      </c>
      <c r="P430" t="s">
        <v>84</v>
      </c>
      <c r="Q430" t="s">
        <v>85</v>
      </c>
    </row>
    <row r="431" spans="1:17" hidden="1">
      <c r="A431" t="s">
        <v>76</v>
      </c>
      <c r="B431" t="s">
        <v>77</v>
      </c>
      <c r="C431" t="s">
        <v>378</v>
      </c>
      <c r="D431" t="s">
        <v>378</v>
      </c>
      <c r="E431" t="s">
        <v>387</v>
      </c>
      <c r="F431" t="s">
        <v>387</v>
      </c>
      <c r="G431" t="s">
        <v>188</v>
      </c>
      <c r="H431" t="s">
        <v>81</v>
      </c>
      <c r="L431">
        <v>14</v>
      </c>
      <c r="M431" t="s">
        <v>83</v>
      </c>
      <c r="O431" t="s">
        <v>83</v>
      </c>
      <c r="P431" t="s">
        <v>84</v>
      </c>
      <c r="Q431" t="s">
        <v>85</v>
      </c>
    </row>
    <row r="432" spans="1:17" hidden="1">
      <c r="A432" t="s">
        <v>76</v>
      </c>
      <c r="B432" t="s">
        <v>77</v>
      </c>
      <c r="C432" t="s">
        <v>378</v>
      </c>
      <c r="D432" t="s">
        <v>378</v>
      </c>
      <c r="E432" t="s">
        <v>112</v>
      </c>
      <c r="F432" t="s">
        <v>112</v>
      </c>
      <c r="G432" t="s">
        <v>113</v>
      </c>
      <c r="H432" t="s">
        <v>81</v>
      </c>
      <c r="I432" t="s">
        <v>114</v>
      </c>
      <c r="L432">
        <v>15</v>
      </c>
      <c r="M432" t="s">
        <v>83</v>
      </c>
      <c r="O432" t="s">
        <v>83</v>
      </c>
      <c r="P432" t="s">
        <v>84</v>
      </c>
      <c r="Q432" t="s">
        <v>85</v>
      </c>
    </row>
    <row r="433" spans="1:17" hidden="1">
      <c r="A433" t="s">
        <v>76</v>
      </c>
      <c r="B433" t="s">
        <v>77</v>
      </c>
      <c r="C433" t="s">
        <v>378</v>
      </c>
      <c r="D433" t="s">
        <v>378</v>
      </c>
      <c r="E433" t="s">
        <v>115</v>
      </c>
      <c r="F433" t="s">
        <v>115</v>
      </c>
      <c r="G433" t="s">
        <v>113</v>
      </c>
      <c r="H433" t="s">
        <v>81</v>
      </c>
      <c r="I433" t="s">
        <v>114</v>
      </c>
      <c r="L433">
        <v>16</v>
      </c>
      <c r="M433" t="s">
        <v>83</v>
      </c>
      <c r="O433" t="s">
        <v>83</v>
      </c>
      <c r="P433" t="s">
        <v>84</v>
      </c>
      <c r="Q433" t="s">
        <v>85</v>
      </c>
    </row>
    <row r="434" spans="1:17" hidden="1">
      <c r="A434" t="s">
        <v>76</v>
      </c>
      <c r="B434" t="s">
        <v>77</v>
      </c>
      <c r="C434" t="s">
        <v>378</v>
      </c>
      <c r="D434" t="s">
        <v>378</v>
      </c>
      <c r="E434" t="s">
        <v>117</v>
      </c>
      <c r="F434" t="s">
        <v>117</v>
      </c>
      <c r="G434" t="s">
        <v>90</v>
      </c>
      <c r="H434" t="s">
        <v>81</v>
      </c>
      <c r="L434">
        <v>23</v>
      </c>
      <c r="M434" t="s">
        <v>83</v>
      </c>
      <c r="O434" t="s">
        <v>83</v>
      </c>
      <c r="P434" t="s">
        <v>84</v>
      </c>
      <c r="Q434" t="s">
        <v>85</v>
      </c>
    </row>
    <row r="435" spans="1:17" hidden="1">
      <c r="A435" t="s">
        <v>76</v>
      </c>
      <c r="B435" t="s">
        <v>77</v>
      </c>
      <c r="C435" t="s">
        <v>378</v>
      </c>
      <c r="D435" t="s">
        <v>378</v>
      </c>
      <c r="E435" t="s">
        <v>328</v>
      </c>
      <c r="F435" t="s">
        <v>328</v>
      </c>
      <c r="G435" t="s">
        <v>90</v>
      </c>
      <c r="H435" t="s">
        <v>81</v>
      </c>
      <c r="L435">
        <v>24</v>
      </c>
      <c r="M435" t="s">
        <v>83</v>
      </c>
      <c r="O435" t="s">
        <v>83</v>
      </c>
      <c r="P435" t="s">
        <v>84</v>
      </c>
      <c r="Q435" t="s">
        <v>85</v>
      </c>
    </row>
    <row r="436" spans="1:17" hidden="1">
      <c r="A436" t="s">
        <v>76</v>
      </c>
      <c r="B436" t="s">
        <v>77</v>
      </c>
      <c r="C436" t="s">
        <v>378</v>
      </c>
      <c r="D436" t="s">
        <v>378</v>
      </c>
      <c r="E436" t="s">
        <v>118</v>
      </c>
      <c r="F436" t="s">
        <v>118</v>
      </c>
      <c r="G436" t="s">
        <v>92</v>
      </c>
      <c r="H436" t="s">
        <v>81</v>
      </c>
      <c r="L436">
        <v>25</v>
      </c>
      <c r="M436" t="s">
        <v>83</v>
      </c>
      <c r="O436" t="s">
        <v>83</v>
      </c>
      <c r="P436" t="s">
        <v>84</v>
      </c>
      <c r="Q436" t="s">
        <v>85</v>
      </c>
    </row>
    <row r="437" spans="1:17" hidden="1">
      <c r="A437" t="s">
        <v>76</v>
      </c>
      <c r="B437" t="s">
        <v>77</v>
      </c>
      <c r="C437" t="s">
        <v>388</v>
      </c>
      <c r="D437" t="s">
        <v>388</v>
      </c>
      <c r="E437" t="s">
        <v>79</v>
      </c>
      <c r="F437" t="s">
        <v>79</v>
      </c>
      <c r="G437" t="s">
        <v>80</v>
      </c>
      <c r="H437" t="s">
        <v>81</v>
      </c>
      <c r="I437" t="s">
        <v>82</v>
      </c>
      <c r="L437">
        <v>1</v>
      </c>
      <c r="M437" t="s">
        <v>83</v>
      </c>
      <c r="O437" t="s">
        <v>83</v>
      </c>
      <c r="P437" t="s">
        <v>84</v>
      </c>
      <c r="Q437" t="s">
        <v>85</v>
      </c>
    </row>
    <row r="438" spans="1:17" hidden="1">
      <c r="A438" t="s">
        <v>76</v>
      </c>
      <c r="B438" t="s">
        <v>77</v>
      </c>
      <c r="C438" t="s">
        <v>388</v>
      </c>
      <c r="D438" t="s">
        <v>388</v>
      </c>
      <c r="E438" t="s">
        <v>86</v>
      </c>
      <c r="F438" t="s">
        <v>86</v>
      </c>
      <c r="G438" t="s">
        <v>80</v>
      </c>
      <c r="H438" t="s">
        <v>81</v>
      </c>
      <c r="I438" t="s">
        <v>82</v>
      </c>
      <c r="L438">
        <v>2</v>
      </c>
      <c r="M438" t="s">
        <v>83</v>
      </c>
      <c r="O438" t="s">
        <v>83</v>
      </c>
      <c r="P438" t="s">
        <v>84</v>
      </c>
      <c r="Q438" t="s">
        <v>85</v>
      </c>
    </row>
    <row r="439" spans="1:17" hidden="1">
      <c r="A439" t="s">
        <v>76</v>
      </c>
      <c r="B439" t="s">
        <v>77</v>
      </c>
      <c r="C439" t="s">
        <v>388</v>
      </c>
      <c r="D439" t="s">
        <v>388</v>
      </c>
      <c r="E439" t="s">
        <v>87</v>
      </c>
      <c r="F439" t="s">
        <v>87</v>
      </c>
      <c r="G439" t="s">
        <v>88</v>
      </c>
      <c r="H439" t="s">
        <v>81</v>
      </c>
      <c r="J439" t="s">
        <v>83</v>
      </c>
      <c r="L439">
        <v>3</v>
      </c>
      <c r="M439" t="s">
        <v>83</v>
      </c>
      <c r="O439" t="s">
        <v>83</v>
      </c>
      <c r="P439" t="s">
        <v>84</v>
      </c>
      <c r="Q439" t="s">
        <v>85</v>
      </c>
    </row>
    <row r="440" spans="1:17" hidden="1">
      <c r="A440" t="s">
        <v>76</v>
      </c>
      <c r="B440" t="s">
        <v>77</v>
      </c>
      <c r="C440" t="s">
        <v>388</v>
      </c>
      <c r="D440" t="s">
        <v>388</v>
      </c>
      <c r="E440" t="s">
        <v>89</v>
      </c>
      <c r="F440" t="s">
        <v>89</v>
      </c>
      <c r="G440" t="s">
        <v>90</v>
      </c>
      <c r="H440" t="s">
        <v>81</v>
      </c>
      <c r="J440" t="s">
        <v>83</v>
      </c>
      <c r="K440" t="s">
        <v>83</v>
      </c>
      <c r="L440">
        <v>4</v>
      </c>
      <c r="M440" t="s">
        <v>83</v>
      </c>
      <c r="O440" t="s">
        <v>83</v>
      </c>
      <c r="P440" t="s">
        <v>84</v>
      </c>
      <c r="Q440" t="s">
        <v>85</v>
      </c>
    </row>
    <row r="441" spans="1:17" hidden="1">
      <c r="A441" t="s">
        <v>76</v>
      </c>
      <c r="B441" t="s">
        <v>77</v>
      </c>
      <c r="C441" t="s">
        <v>388</v>
      </c>
      <c r="D441" t="s">
        <v>388</v>
      </c>
      <c r="E441" t="s">
        <v>389</v>
      </c>
      <c r="F441" t="s">
        <v>389</v>
      </c>
      <c r="G441" t="s">
        <v>90</v>
      </c>
      <c r="H441" t="s">
        <v>81</v>
      </c>
      <c r="I441" t="s">
        <v>82</v>
      </c>
      <c r="L441">
        <v>5</v>
      </c>
      <c r="M441" t="s">
        <v>83</v>
      </c>
      <c r="O441" t="s">
        <v>83</v>
      </c>
      <c r="P441" t="s">
        <v>100</v>
      </c>
      <c r="Q441" t="s">
        <v>85</v>
      </c>
    </row>
    <row r="442" spans="1:17" hidden="1">
      <c r="A442" t="s">
        <v>76</v>
      </c>
      <c r="B442" t="s">
        <v>77</v>
      </c>
      <c r="C442" t="s">
        <v>388</v>
      </c>
      <c r="D442" t="s">
        <v>388</v>
      </c>
      <c r="E442" t="s">
        <v>389</v>
      </c>
      <c r="F442" t="s">
        <v>390</v>
      </c>
      <c r="G442" t="s">
        <v>90</v>
      </c>
      <c r="H442" t="s">
        <v>81</v>
      </c>
      <c r="L442">
        <v>6</v>
      </c>
      <c r="M442" t="s">
        <v>83</v>
      </c>
      <c r="O442" t="s">
        <v>83</v>
      </c>
      <c r="P442" t="s">
        <v>84</v>
      </c>
      <c r="Q442" t="s">
        <v>85</v>
      </c>
    </row>
    <row r="443" spans="1:17" hidden="1">
      <c r="A443" t="s">
        <v>76</v>
      </c>
      <c r="B443" t="s">
        <v>77</v>
      </c>
      <c r="C443" t="s">
        <v>388</v>
      </c>
      <c r="D443" t="s">
        <v>388</v>
      </c>
      <c r="E443" t="s">
        <v>91</v>
      </c>
      <c r="F443" t="s">
        <v>91</v>
      </c>
      <c r="G443" t="s">
        <v>92</v>
      </c>
      <c r="H443" t="s">
        <v>81</v>
      </c>
      <c r="J443" t="s">
        <v>83</v>
      </c>
      <c r="L443">
        <v>7</v>
      </c>
      <c r="M443" t="s">
        <v>83</v>
      </c>
      <c r="O443" t="s">
        <v>83</v>
      </c>
      <c r="P443" t="s">
        <v>84</v>
      </c>
      <c r="Q443" t="s">
        <v>85</v>
      </c>
    </row>
    <row r="444" spans="1:17" hidden="1">
      <c r="A444" t="s">
        <v>76</v>
      </c>
      <c r="B444" t="s">
        <v>77</v>
      </c>
      <c r="C444" t="s">
        <v>388</v>
      </c>
      <c r="D444" t="s">
        <v>388</v>
      </c>
      <c r="E444" t="s">
        <v>391</v>
      </c>
      <c r="F444" t="s">
        <v>391</v>
      </c>
      <c r="G444" t="s">
        <v>94</v>
      </c>
      <c r="H444" t="s">
        <v>81</v>
      </c>
      <c r="L444">
        <v>8</v>
      </c>
      <c r="M444" t="s">
        <v>83</v>
      </c>
      <c r="O444" t="s">
        <v>83</v>
      </c>
      <c r="P444" t="s">
        <v>84</v>
      </c>
      <c r="Q444" t="s">
        <v>85</v>
      </c>
    </row>
    <row r="445" spans="1:17" hidden="1">
      <c r="A445" t="s">
        <v>76</v>
      </c>
      <c r="B445" t="s">
        <v>77</v>
      </c>
      <c r="C445" t="s">
        <v>388</v>
      </c>
      <c r="D445" t="s">
        <v>388</v>
      </c>
      <c r="E445" t="s">
        <v>392</v>
      </c>
      <c r="F445" t="s">
        <v>392</v>
      </c>
      <c r="G445" t="s">
        <v>88</v>
      </c>
      <c r="H445" t="s">
        <v>81</v>
      </c>
      <c r="L445">
        <v>9</v>
      </c>
      <c r="M445" t="s">
        <v>83</v>
      </c>
      <c r="O445" t="s">
        <v>83</v>
      </c>
      <c r="P445" t="s">
        <v>84</v>
      </c>
      <c r="Q445" t="s">
        <v>85</v>
      </c>
    </row>
    <row r="446" spans="1:17" hidden="1">
      <c r="A446" t="s">
        <v>76</v>
      </c>
      <c r="B446" t="s">
        <v>77</v>
      </c>
      <c r="C446" t="s">
        <v>388</v>
      </c>
      <c r="D446" t="s">
        <v>388</v>
      </c>
      <c r="E446" t="s">
        <v>393</v>
      </c>
      <c r="F446" t="s">
        <v>393</v>
      </c>
      <c r="G446" t="s">
        <v>94</v>
      </c>
      <c r="H446" t="s">
        <v>81</v>
      </c>
      <c r="L446">
        <v>10</v>
      </c>
      <c r="M446" t="s">
        <v>83</v>
      </c>
      <c r="O446" t="s">
        <v>83</v>
      </c>
      <c r="P446" t="s">
        <v>84</v>
      </c>
      <c r="Q446" t="s">
        <v>85</v>
      </c>
    </row>
    <row r="447" spans="1:17" hidden="1">
      <c r="A447" t="s">
        <v>76</v>
      </c>
      <c r="B447" t="s">
        <v>77</v>
      </c>
      <c r="C447" t="s">
        <v>388</v>
      </c>
      <c r="D447" t="s">
        <v>388</v>
      </c>
      <c r="E447" t="s">
        <v>394</v>
      </c>
      <c r="F447" t="s">
        <v>394</v>
      </c>
      <c r="G447" t="s">
        <v>98</v>
      </c>
      <c r="H447" t="s">
        <v>81</v>
      </c>
      <c r="L447">
        <v>11</v>
      </c>
      <c r="M447" t="s">
        <v>83</v>
      </c>
      <c r="O447" t="s">
        <v>83</v>
      </c>
      <c r="P447" t="s">
        <v>84</v>
      </c>
      <c r="Q447" t="s">
        <v>85</v>
      </c>
    </row>
    <row r="448" spans="1:17" hidden="1">
      <c r="A448" t="s">
        <v>76</v>
      </c>
      <c r="B448" t="s">
        <v>77</v>
      </c>
      <c r="C448" t="s">
        <v>388</v>
      </c>
      <c r="D448" t="s">
        <v>388</v>
      </c>
      <c r="E448" t="s">
        <v>395</v>
      </c>
      <c r="F448" t="s">
        <v>395</v>
      </c>
      <c r="G448" t="s">
        <v>98</v>
      </c>
      <c r="H448" t="s">
        <v>81</v>
      </c>
      <c r="L448">
        <v>12</v>
      </c>
      <c r="M448" t="s">
        <v>83</v>
      </c>
      <c r="O448" t="s">
        <v>83</v>
      </c>
      <c r="P448" t="s">
        <v>84</v>
      </c>
      <c r="Q448" t="s">
        <v>85</v>
      </c>
    </row>
    <row r="449" spans="1:17" hidden="1">
      <c r="A449" t="s">
        <v>76</v>
      </c>
      <c r="B449" t="s">
        <v>77</v>
      </c>
      <c r="C449" t="s">
        <v>388</v>
      </c>
      <c r="D449" t="s">
        <v>388</v>
      </c>
      <c r="E449" t="s">
        <v>396</v>
      </c>
      <c r="F449" t="s">
        <v>396</v>
      </c>
      <c r="G449" t="s">
        <v>98</v>
      </c>
      <c r="H449" t="s">
        <v>81</v>
      </c>
      <c r="L449">
        <v>13</v>
      </c>
      <c r="M449" t="s">
        <v>83</v>
      </c>
      <c r="O449" t="s">
        <v>83</v>
      </c>
      <c r="P449" t="s">
        <v>84</v>
      </c>
      <c r="Q449" t="s">
        <v>85</v>
      </c>
    </row>
    <row r="450" spans="1:17" hidden="1">
      <c r="A450" t="s">
        <v>76</v>
      </c>
      <c r="B450" t="s">
        <v>77</v>
      </c>
      <c r="C450" t="s">
        <v>388</v>
      </c>
      <c r="D450" t="s">
        <v>388</v>
      </c>
      <c r="E450" t="s">
        <v>397</v>
      </c>
      <c r="F450" t="s">
        <v>397</v>
      </c>
      <c r="G450" t="s">
        <v>188</v>
      </c>
      <c r="H450" t="s">
        <v>81</v>
      </c>
      <c r="L450">
        <v>14</v>
      </c>
      <c r="M450" t="s">
        <v>83</v>
      </c>
      <c r="O450" t="s">
        <v>83</v>
      </c>
      <c r="P450" t="s">
        <v>84</v>
      </c>
      <c r="Q450" t="s">
        <v>85</v>
      </c>
    </row>
    <row r="451" spans="1:17" hidden="1">
      <c r="A451" t="s">
        <v>76</v>
      </c>
      <c r="B451" t="s">
        <v>77</v>
      </c>
      <c r="C451" t="s">
        <v>388</v>
      </c>
      <c r="D451" t="s">
        <v>388</v>
      </c>
      <c r="E451" t="s">
        <v>112</v>
      </c>
      <c r="F451" t="s">
        <v>112</v>
      </c>
      <c r="G451" t="s">
        <v>113</v>
      </c>
      <c r="H451" t="s">
        <v>81</v>
      </c>
      <c r="I451" t="s">
        <v>114</v>
      </c>
      <c r="L451">
        <v>15</v>
      </c>
      <c r="M451" t="s">
        <v>83</v>
      </c>
      <c r="O451" t="s">
        <v>83</v>
      </c>
      <c r="P451" t="s">
        <v>84</v>
      </c>
      <c r="Q451" t="s">
        <v>85</v>
      </c>
    </row>
    <row r="452" spans="1:17" hidden="1">
      <c r="A452" t="s">
        <v>76</v>
      </c>
      <c r="B452" t="s">
        <v>77</v>
      </c>
      <c r="C452" t="s">
        <v>388</v>
      </c>
      <c r="D452" t="s">
        <v>388</v>
      </c>
      <c r="E452" t="s">
        <v>115</v>
      </c>
      <c r="F452" t="s">
        <v>115</v>
      </c>
      <c r="G452" t="s">
        <v>113</v>
      </c>
      <c r="H452" t="s">
        <v>81</v>
      </c>
      <c r="I452" t="s">
        <v>114</v>
      </c>
      <c r="L452">
        <v>16</v>
      </c>
      <c r="M452" t="s">
        <v>83</v>
      </c>
      <c r="O452" t="s">
        <v>83</v>
      </c>
      <c r="P452" t="s">
        <v>84</v>
      </c>
      <c r="Q452" t="s">
        <v>85</v>
      </c>
    </row>
    <row r="453" spans="1:17" hidden="1">
      <c r="A453" t="s">
        <v>76</v>
      </c>
      <c r="B453" t="s">
        <v>77</v>
      </c>
      <c r="C453" t="s">
        <v>388</v>
      </c>
      <c r="D453" t="s">
        <v>388</v>
      </c>
      <c r="E453" t="s">
        <v>327</v>
      </c>
      <c r="F453" t="s">
        <v>327</v>
      </c>
      <c r="G453" t="s">
        <v>90</v>
      </c>
      <c r="H453" t="s">
        <v>81</v>
      </c>
      <c r="L453">
        <v>17</v>
      </c>
      <c r="M453" t="s">
        <v>83</v>
      </c>
      <c r="O453" t="s">
        <v>83</v>
      </c>
      <c r="P453" t="s">
        <v>84</v>
      </c>
      <c r="Q453" t="s">
        <v>85</v>
      </c>
    </row>
    <row r="454" spans="1:17" hidden="1">
      <c r="A454" t="s">
        <v>76</v>
      </c>
      <c r="B454" t="s">
        <v>77</v>
      </c>
      <c r="C454" t="s">
        <v>388</v>
      </c>
      <c r="D454" t="s">
        <v>388</v>
      </c>
      <c r="E454" t="s">
        <v>117</v>
      </c>
      <c r="F454" t="s">
        <v>117</v>
      </c>
      <c r="G454" t="s">
        <v>90</v>
      </c>
      <c r="H454" t="s">
        <v>81</v>
      </c>
      <c r="L454">
        <v>24</v>
      </c>
      <c r="M454" t="s">
        <v>83</v>
      </c>
      <c r="O454" t="s">
        <v>83</v>
      </c>
      <c r="P454" t="s">
        <v>84</v>
      </c>
      <c r="Q454" t="s">
        <v>85</v>
      </c>
    </row>
    <row r="455" spans="1:17" hidden="1">
      <c r="A455" t="s">
        <v>76</v>
      </c>
      <c r="B455" t="s">
        <v>77</v>
      </c>
      <c r="C455" t="s">
        <v>388</v>
      </c>
      <c r="D455" t="s">
        <v>388</v>
      </c>
      <c r="E455" t="s">
        <v>328</v>
      </c>
      <c r="F455" t="s">
        <v>328</v>
      </c>
      <c r="G455" t="s">
        <v>90</v>
      </c>
      <c r="H455" t="s">
        <v>81</v>
      </c>
      <c r="L455">
        <v>25</v>
      </c>
      <c r="M455" t="s">
        <v>83</v>
      </c>
      <c r="O455" t="s">
        <v>83</v>
      </c>
      <c r="P455" t="s">
        <v>84</v>
      </c>
      <c r="Q455" t="s">
        <v>85</v>
      </c>
    </row>
    <row r="456" spans="1:17" hidden="1">
      <c r="A456" t="s">
        <v>76</v>
      </c>
      <c r="B456" t="s">
        <v>77</v>
      </c>
      <c r="C456" t="s">
        <v>388</v>
      </c>
      <c r="D456" t="s">
        <v>388</v>
      </c>
      <c r="E456" t="s">
        <v>118</v>
      </c>
      <c r="F456" t="s">
        <v>118</v>
      </c>
      <c r="G456" t="s">
        <v>92</v>
      </c>
      <c r="H456" t="s">
        <v>81</v>
      </c>
      <c r="L456">
        <v>26</v>
      </c>
      <c r="M456" t="s">
        <v>83</v>
      </c>
      <c r="O456" t="s">
        <v>83</v>
      </c>
      <c r="P456" t="s">
        <v>84</v>
      </c>
      <c r="Q456" t="s">
        <v>85</v>
      </c>
    </row>
    <row r="457" spans="1:17" hidden="1">
      <c r="A457" t="s">
        <v>76</v>
      </c>
      <c r="B457" t="s">
        <v>77</v>
      </c>
      <c r="C457" t="s">
        <v>398</v>
      </c>
      <c r="D457" t="s">
        <v>398</v>
      </c>
      <c r="E457" t="s">
        <v>79</v>
      </c>
      <c r="F457" t="s">
        <v>79</v>
      </c>
      <c r="G457" t="s">
        <v>80</v>
      </c>
      <c r="H457" t="s">
        <v>81</v>
      </c>
      <c r="I457" t="s">
        <v>82</v>
      </c>
      <c r="L457">
        <v>1</v>
      </c>
      <c r="M457" t="s">
        <v>83</v>
      </c>
      <c r="O457" t="s">
        <v>83</v>
      </c>
      <c r="P457" t="s">
        <v>84</v>
      </c>
      <c r="Q457" t="s">
        <v>85</v>
      </c>
    </row>
    <row r="458" spans="1:17" hidden="1">
      <c r="A458" t="s">
        <v>76</v>
      </c>
      <c r="B458" t="s">
        <v>77</v>
      </c>
      <c r="C458" t="s">
        <v>398</v>
      </c>
      <c r="D458" t="s">
        <v>398</v>
      </c>
      <c r="E458" t="s">
        <v>86</v>
      </c>
      <c r="F458" t="s">
        <v>86</v>
      </c>
      <c r="G458" t="s">
        <v>80</v>
      </c>
      <c r="H458" t="s">
        <v>81</v>
      </c>
      <c r="I458" t="s">
        <v>82</v>
      </c>
      <c r="L458">
        <v>2</v>
      </c>
      <c r="M458" t="s">
        <v>83</v>
      </c>
      <c r="O458" t="s">
        <v>83</v>
      </c>
      <c r="P458" t="s">
        <v>84</v>
      </c>
      <c r="Q458" t="s">
        <v>85</v>
      </c>
    </row>
    <row r="459" spans="1:17" hidden="1">
      <c r="A459" t="s">
        <v>76</v>
      </c>
      <c r="B459" t="s">
        <v>77</v>
      </c>
      <c r="C459" t="s">
        <v>398</v>
      </c>
      <c r="D459" t="s">
        <v>398</v>
      </c>
      <c r="E459" t="s">
        <v>87</v>
      </c>
      <c r="F459" t="s">
        <v>87</v>
      </c>
      <c r="G459" t="s">
        <v>88</v>
      </c>
      <c r="H459" t="s">
        <v>81</v>
      </c>
      <c r="J459" t="s">
        <v>83</v>
      </c>
      <c r="L459">
        <v>3</v>
      </c>
      <c r="M459" t="s">
        <v>83</v>
      </c>
      <c r="O459" t="s">
        <v>83</v>
      </c>
      <c r="P459" t="s">
        <v>84</v>
      </c>
      <c r="Q459" t="s">
        <v>85</v>
      </c>
    </row>
    <row r="460" spans="1:17" hidden="1">
      <c r="A460" t="s">
        <v>76</v>
      </c>
      <c r="B460" t="s">
        <v>77</v>
      </c>
      <c r="C460" t="s">
        <v>398</v>
      </c>
      <c r="D460" t="s">
        <v>398</v>
      </c>
      <c r="E460" t="s">
        <v>89</v>
      </c>
      <c r="F460" t="s">
        <v>89</v>
      </c>
      <c r="G460" t="s">
        <v>90</v>
      </c>
      <c r="H460" t="s">
        <v>81</v>
      </c>
      <c r="J460" t="s">
        <v>83</v>
      </c>
      <c r="K460" t="s">
        <v>83</v>
      </c>
      <c r="L460">
        <v>4</v>
      </c>
      <c r="M460" t="s">
        <v>83</v>
      </c>
      <c r="O460" t="s">
        <v>83</v>
      </c>
      <c r="P460" t="s">
        <v>84</v>
      </c>
      <c r="Q460" t="s">
        <v>85</v>
      </c>
    </row>
    <row r="461" spans="1:17" hidden="1">
      <c r="A461" t="s">
        <v>76</v>
      </c>
      <c r="B461" t="s">
        <v>77</v>
      </c>
      <c r="C461" t="s">
        <v>398</v>
      </c>
      <c r="D461" t="s">
        <v>398</v>
      </c>
      <c r="E461" t="s">
        <v>399</v>
      </c>
      <c r="F461" t="s">
        <v>399</v>
      </c>
      <c r="G461" t="s">
        <v>90</v>
      </c>
      <c r="H461" t="s">
        <v>81</v>
      </c>
      <c r="I461" t="s">
        <v>82</v>
      </c>
      <c r="L461">
        <v>5</v>
      </c>
      <c r="M461" t="s">
        <v>83</v>
      </c>
      <c r="O461" t="s">
        <v>83</v>
      </c>
      <c r="P461" t="s">
        <v>100</v>
      </c>
      <c r="Q461" t="s">
        <v>85</v>
      </c>
    </row>
    <row r="462" spans="1:17" hidden="1">
      <c r="A462" t="s">
        <v>76</v>
      </c>
      <c r="B462" t="s">
        <v>77</v>
      </c>
      <c r="C462" t="s">
        <v>398</v>
      </c>
      <c r="D462" t="s">
        <v>398</v>
      </c>
      <c r="E462" t="s">
        <v>399</v>
      </c>
      <c r="F462" t="s">
        <v>400</v>
      </c>
      <c r="G462" t="s">
        <v>90</v>
      </c>
      <c r="H462" t="s">
        <v>81</v>
      </c>
      <c r="L462">
        <v>6</v>
      </c>
      <c r="M462" t="s">
        <v>83</v>
      </c>
      <c r="O462" t="s">
        <v>83</v>
      </c>
      <c r="P462" t="s">
        <v>84</v>
      </c>
      <c r="Q462" t="s">
        <v>85</v>
      </c>
    </row>
    <row r="463" spans="1:17" hidden="1">
      <c r="A463" t="s">
        <v>76</v>
      </c>
      <c r="B463" t="s">
        <v>77</v>
      </c>
      <c r="C463" t="s">
        <v>398</v>
      </c>
      <c r="D463" t="s">
        <v>398</v>
      </c>
      <c r="E463" t="s">
        <v>91</v>
      </c>
      <c r="F463" t="s">
        <v>91</v>
      </c>
      <c r="G463" t="s">
        <v>92</v>
      </c>
      <c r="H463" t="s">
        <v>81</v>
      </c>
      <c r="J463" t="s">
        <v>83</v>
      </c>
      <c r="L463">
        <v>7</v>
      </c>
      <c r="M463" t="s">
        <v>83</v>
      </c>
      <c r="O463" t="s">
        <v>83</v>
      </c>
      <c r="P463" t="s">
        <v>84</v>
      </c>
      <c r="Q463" t="s">
        <v>85</v>
      </c>
    </row>
    <row r="464" spans="1:17" hidden="1">
      <c r="A464" t="s">
        <v>76</v>
      </c>
      <c r="B464" t="s">
        <v>77</v>
      </c>
      <c r="C464" t="s">
        <v>398</v>
      </c>
      <c r="D464" t="s">
        <v>398</v>
      </c>
      <c r="E464" t="s">
        <v>401</v>
      </c>
      <c r="F464" t="s">
        <v>401</v>
      </c>
      <c r="G464" t="s">
        <v>94</v>
      </c>
      <c r="H464" t="s">
        <v>81</v>
      </c>
      <c r="L464">
        <v>8</v>
      </c>
      <c r="M464" t="s">
        <v>83</v>
      </c>
      <c r="O464" t="s">
        <v>83</v>
      </c>
      <c r="P464" t="s">
        <v>84</v>
      </c>
      <c r="Q464" t="s">
        <v>85</v>
      </c>
    </row>
    <row r="465" spans="1:17" hidden="1">
      <c r="A465" t="s">
        <v>76</v>
      </c>
      <c r="B465" t="s">
        <v>77</v>
      </c>
      <c r="C465" t="s">
        <v>398</v>
      </c>
      <c r="D465" t="s">
        <v>398</v>
      </c>
      <c r="E465" t="s">
        <v>402</v>
      </c>
      <c r="F465" t="s">
        <v>402</v>
      </c>
      <c r="G465" t="s">
        <v>88</v>
      </c>
      <c r="H465" t="s">
        <v>81</v>
      </c>
      <c r="L465">
        <v>9</v>
      </c>
      <c r="M465" t="s">
        <v>83</v>
      </c>
      <c r="O465" t="s">
        <v>83</v>
      </c>
      <c r="P465" t="s">
        <v>84</v>
      </c>
      <c r="Q465" t="s">
        <v>85</v>
      </c>
    </row>
    <row r="466" spans="1:17" hidden="1">
      <c r="A466" t="s">
        <v>76</v>
      </c>
      <c r="B466" t="s">
        <v>77</v>
      </c>
      <c r="C466" t="s">
        <v>398</v>
      </c>
      <c r="D466" t="s">
        <v>398</v>
      </c>
      <c r="E466" t="s">
        <v>403</v>
      </c>
      <c r="F466" t="s">
        <v>403</v>
      </c>
      <c r="G466" t="s">
        <v>94</v>
      </c>
      <c r="H466" t="s">
        <v>81</v>
      </c>
      <c r="L466">
        <v>10</v>
      </c>
      <c r="M466" t="s">
        <v>83</v>
      </c>
      <c r="O466" t="s">
        <v>83</v>
      </c>
      <c r="P466" t="s">
        <v>84</v>
      </c>
      <c r="Q466" t="s">
        <v>85</v>
      </c>
    </row>
    <row r="467" spans="1:17" hidden="1">
      <c r="A467" t="s">
        <v>76</v>
      </c>
      <c r="B467" t="s">
        <v>77</v>
      </c>
      <c r="C467" t="s">
        <v>398</v>
      </c>
      <c r="D467" t="s">
        <v>398</v>
      </c>
      <c r="E467" t="s">
        <v>404</v>
      </c>
      <c r="F467" t="s">
        <v>404</v>
      </c>
      <c r="G467" t="s">
        <v>98</v>
      </c>
      <c r="H467" t="s">
        <v>81</v>
      </c>
      <c r="L467">
        <v>11</v>
      </c>
      <c r="M467" t="s">
        <v>83</v>
      </c>
      <c r="O467" t="s">
        <v>83</v>
      </c>
      <c r="P467" t="s">
        <v>84</v>
      </c>
      <c r="Q467" t="s">
        <v>85</v>
      </c>
    </row>
    <row r="468" spans="1:17" hidden="1">
      <c r="A468" t="s">
        <v>76</v>
      </c>
      <c r="B468" t="s">
        <v>77</v>
      </c>
      <c r="C468" t="s">
        <v>398</v>
      </c>
      <c r="D468" t="s">
        <v>398</v>
      </c>
      <c r="E468" t="s">
        <v>405</v>
      </c>
      <c r="F468" t="s">
        <v>405</v>
      </c>
      <c r="G468" t="s">
        <v>98</v>
      </c>
      <c r="H468" t="s">
        <v>81</v>
      </c>
      <c r="L468">
        <v>12</v>
      </c>
      <c r="M468" t="s">
        <v>83</v>
      </c>
      <c r="O468" t="s">
        <v>83</v>
      </c>
      <c r="P468" t="s">
        <v>84</v>
      </c>
      <c r="Q468" t="s">
        <v>85</v>
      </c>
    </row>
    <row r="469" spans="1:17" hidden="1">
      <c r="A469" t="s">
        <v>76</v>
      </c>
      <c r="B469" t="s">
        <v>77</v>
      </c>
      <c r="C469" t="s">
        <v>398</v>
      </c>
      <c r="D469" t="s">
        <v>398</v>
      </c>
      <c r="E469" t="s">
        <v>406</v>
      </c>
      <c r="F469" t="s">
        <v>406</v>
      </c>
      <c r="G469" t="s">
        <v>98</v>
      </c>
      <c r="H469" t="s">
        <v>81</v>
      </c>
      <c r="L469">
        <v>13</v>
      </c>
      <c r="M469" t="s">
        <v>83</v>
      </c>
      <c r="O469" t="s">
        <v>83</v>
      </c>
      <c r="P469" t="s">
        <v>84</v>
      </c>
      <c r="Q469" t="s">
        <v>85</v>
      </c>
    </row>
    <row r="470" spans="1:17" hidden="1">
      <c r="A470" t="s">
        <v>76</v>
      </c>
      <c r="B470" t="s">
        <v>77</v>
      </c>
      <c r="C470" t="s">
        <v>398</v>
      </c>
      <c r="D470" t="s">
        <v>398</v>
      </c>
      <c r="E470" t="s">
        <v>407</v>
      </c>
      <c r="F470" t="s">
        <v>407</v>
      </c>
      <c r="G470" t="s">
        <v>188</v>
      </c>
      <c r="H470" t="s">
        <v>81</v>
      </c>
      <c r="L470">
        <v>14</v>
      </c>
      <c r="M470" t="s">
        <v>83</v>
      </c>
      <c r="O470" t="s">
        <v>83</v>
      </c>
      <c r="P470" t="s">
        <v>84</v>
      </c>
      <c r="Q470" t="s">
        <v>85</v>
      </c>
    </row>
    <row r="471" spans="1:17" hidden="1">
      <c r="A471" t="s">
        <v>76</v>
      </c>
      <c r="B471" t="s">
        <v>77</v>
      </c>
      <c r="C471" t="s">
        <v>398</v>
      </c>
      <c r="D471" t="s">
        <v>398</v>
      </c>
      <c r="E471" t="s">
        <v>112</v>
      </c>
      <c r="F471" t="s">
        <v>112</v>
      </c>
      <c r="G471" t="s">
        <v>113</v>
      </c>
      <c r="H471" t="s">
        <v>81</v>
      </c>
      <c r="I471" t="s">
        <v>114</v>
      </c>
      <c r="L471">
        <v>15</v>
      </c>
      <c r="M471" t="s">
        <v>83</v>
      </c>
      <c r="O471" t="s">
        <v>83</v>
      </c>
      <c r="P471" t="s">
        <v>84</v>
      </c>
      <c r="Q471" t="s">
        <v>85</v>
      </c>
    </row>
    <row r="472" spans="1:17" hidden="1">
      <c r="A472" t="s">
        <v>76</v>
      </c>
      <c r="B472" t="s">
        <v>77</v>
      </c>
      <c r="C472" t="s">
        <v>398</v>
      </c>
      <c r="D472" t="s">
        <v>398</v>
      </c>
      <c r="E472" t="s">
        <v>115</v>
      </c>
      <c r="F472" t="s">
        <v>115</v>
      </c>
      <c r="G472" t="s">
        <v>113</v>
      </c>
      <c r="H472" t="s">
        <v>81</v>
      </c>
      <c r="I472" t="s">
        <v>114</v>
      </c>
      <c r="L472">
        <v>16</v>
      </c>
      <c r="M472" t="s">
        <v>83</v>
      </c>
      <c r="O472" t="s">
        <v>83</v>
      </c>
      <c r="P472" t="s">
        <v>84</v>
      </c>
      <c r="Q472" t="s">
        <v>85</v>
      </c>
    </row>
    <row r="473" spans="1:17" hidden="1">
      <c r="A473" t="s">
        <v>76</v>
      </c>
      <c r="B473" t="s">
        <v>77</v>
      </c>
      <c r="C473" t="s">
        <v>398</v>
      </c>
      <c r="D473" t="s">
        <v>398</v>
      </c>
      <c r="E473" t="s">
        <v>327</v>
      </c>
      <c r="F473" t="s">
        <v>327</v>
      </c>
      <c r="G473" t="s">
        <v>90</v>
      </c>
      <c r="H473" t="s">
        <v>81</v>
      </c>
      <c r="L473">
        <v>17</v>
      </c>
      <c r="M473" t="s">
        <v>83</v>
      </c>
      <c r="O473" t="s">
        <v>83</v>
      </c>
      <c r="P473" t="s">
        <v>84</v>
      </c>
      <c r="Q473" t="s">
        <v>85</v>
      </c>
    </row>
    <row r="474" spans="1:17" hidden="1">
      <c r="A474" t="s">
        <v>76</v>
      </c>
      <c r="B474" t="s">
        <v>77</v>
      </c>
      <c r="C474" t="s">
        <v>398</v>
      </c>
      <c r="D474" t="s">
        <v>398</v>
      </c>
      <c r="E474" t="s">
        <v>117</v>
      </c>
      <c r="F474" t="s">
        <v>117</v>
      </c>
      <c r="G474" t="s">
        <v>90</v>
      </c>
      <c r="H474" t="s">
        <v>81</v>
      </c>
      <c r="L474">
        <v>24</v>
      </c>
      <c r="M474" t="s">
        <v>83</v>
      </c>
      <c r="O474" t="s">
        <v>83</v>
      </c>
      <c r="P474" t="s">
        <v>84</v>
      </c>
      <c r="Q474" t="s">
        <v>85</v>
      </c>
    </row>
    <row r="475" spans="1:17" hidden="1">
      <c r="A475" t="s">
        <v>76</v>
      </c>
      <c r="B475" t="s">
        <v>77</v>
      </c>
      <c r="C475" t="s">
        <v>398</v>
      </c>
      <c r="D475" t="s">
        <v>398</v>
      </c>
      <c r="E475" t="s">
        <v>328</v>
      </c>
      <c r="F475" t="s">
        <v>328</v>
      </c>
      <c r="G475" t="s">
        <v>90</v>
      </c>
      <c r="H475" t="s">
        <v>81</v>
      </c>
      <c r="L475">
        <v>25</v>
      </c>
      <c r="M475" t="s">
        <v>83</v>
      </c>
      <c r="O475" t="s">
        <v>83</v>
      </c>
      <c r="P475" t="s">
        <v>84</v>
      </c>
      <c r="Q475" t="s">
        <v>85</v>
      </c>
    </row>
    <row r="476" spans="1:17" hidden="1">
      <c r="A476" t="s">
        <v>76</v>
      </c>
      <c r="B476" t="s">
        <v>77</v>
      </c>
      <c r="C476" t="s">
        <v>398</v>
      </c>
      <c r="D476" t="s">
        <v>398</v>
      </c>
      <c r="E476" t="s">
        <v>118</v>
      </c>
      <c r="F476" t="s">
        <v>118</v>
      </c>
      <c r="G476" t="s">
        <v>92</v>
      </c>
      <c r="H476" t="s">
        <v>81</v>
      </c>
      <c r="L476">
        <v>26</v>
      </c>
      <c r="M476" t="s">
        <v>83</v>
      </c>
      <c r="O476" t="s">
        <v>83</v>
      </c>
      <c r="P476" t="s">
        <v>84</v>
      </c>
      <c r="Q476" t="s">
        <v>85</v>
      </c>
    </row>
    <row r="477" spans="1:17" hidden="1">
      <c r="A477" t="s">
        <v>76</v>
      </c>
      <c r="B477" t="s">
        <v>77</v>
      </c>
      <c r="C477" t="s">
        <v>408</v>
      </c>
      <c r="D477" t="s">
        <v>408</v>
      </c>
      <c r="E477" t="s">
        <v>79</v>
      </c>
      <c r="F477" t="s">
        <v>79</v>
      </c>
      <c r="G477" t="s">
        <v>80</v>
      </c>
      <c r="H477" t="s">
        <v>81</v>
      </c>
      <c r="I477" t="s">
        <v>82</v>
      </c>
      <c r="L477">
        <v>1</v>
      </c>
      <c r="M477" t="s">
        <v>83</v>
      </c>
      <c r="O477" t="s">
        <v>83</v>
      </c>
      <c r="P477" t="s">
        <v>84</v>
      </c>
      <c r="Q477" t="s">
        <v>85</v>
      </c>
    </row>
    <row r="478" spans="1:17" hidden="1">
      <c r="A478" t="s">
        <v>76</v>
      </c>
      <c r="B478" t="s">
        <v>77</v>
      </c>
      <c r="C478" t="s">
        <v>408</v>
      </c>
      <c r="D478" t="s">
        <v>408</v>
      </c>
      <c r="E478" t="s">
        <v>86</v>
      </c>
      <c r="F478" t="s">
        <v>86</v>
      </c>
      <c r="G478" t="s">
        <v>80</v>
      </c>
      <c r="H478" t="s">
        <v>81</v>
      </c>
      <c r="I478" t="s">
        <v>82</v>
      </c>
      <c r="L478">
        <v>2</v>
      </c>
      <c r="M478" t="s">
        <v>83</v>
      </c>
      <c r="O478" t="s">
        <v>83</v>
      </c>
      <c r="P478" t="s">
        <v>84</v>
      </c>
      <c r="Q478" t="s">
        <v>85</v>
      </c>
    </row>
    <row r="479" spans="1:17" hidden="1">
      <c r="A479" t="s">
        <v>76</v>
      </c>
      <c r="B479" t="s">
        <v>77</v>
      </c>
      <c r="C479" t="s">
        <v>408</v>
      </c>
      <c r="D479" t="s">
        <v>408</v>
      </c>
      <c r="E479" t="s">
        <v>87</v>
      </c>
      <c r="F479" t="s">
        <v>87</v>
      </c>
      <c r="G479" t="s">
        <v>88</v>
      </c>
      <c r="H479" t="s">
        <v>81</v>
      </c>
      <c r="J479" t="s">
        <v>83</v>
      </c>
      <c r="L479">
        <v>3</v>
      </c>
      <c r="M479" t="s">
        <v>83</v>
      </c>
      <c r="O479" t="s">
        <v>83</v>
      </c>
      <c r="P479" t="s">
        <v>84</v>
      </c>
      <c r="Q479" t="s">
        <v>85</v>
      </c>
    </row>
    <row r="480" spans="1:17" hidden="1">
      <c r="A480" t="s">
        <v>76</v>
      </c>
      <c r="B480" t="s">
        <v>77</v>
      </c>
      <c r="C480" t="s">
        <v>408</v>
      </c>
      <c r="D480" t="s">
        <v>408</v>
      </c>
      <c r="E480" t="s">
        <v>89</v>
      </c>
      <c r="F480" t="s">
        <v>89</v>
      </c>
      <c r="G480" t="s">
        <v>90</v>
      </c>
      <c r="H480" t="s">
        <v>81</v>
      </c>
      <c r="J480" t="s">
        <v>83</v>
      </c>
      <c r="K480" t="s">
        <v>83</v>
      </c>
      <c r="L480">
        <v>4</v>
      </c>
      <c r="M480" t="s">
        <v>83</v>
      </c>
      <c r="O480" t="s">
        <v>83</v>
      </c>
      <c r="P480" t="s">
        <v>84</v>
      </c>
      <c r="Q480" t="s">
        <v>85</v>
      </c>
    </row>
    <row r="481" spans="1:17" hidden="1">
      <c r="A481" t="s">
        <v>76</v>
      </c>
      <c r="B481" t="s">
        <v>77</v>
      </c>
      <c r="C481" t="s">
        <v>408</v>
      </c>
      <c r="D481" t="s">
        <v>408</v>
      </c>
      <c r="E481" t="s">
        <v>409</v>
      </c>
      <c r="F481" t="s">
        <v>409</v>
      </c>
      <c r="G481" t="s">
        <v>90</v>
      </c>
      <c r="H481" t="s">
        <v>81</v>
      </c>
      <c r="I481" t="s">
        <v>82</v>
      </c>
      <c r="L481">
        <v>5</v>
      </c>
      <c r="M481" t="s">
        <v>83</v>
      </c>
      <c r="O481" t="s">
        <v>83</v>
      </c>
      <c r="P481" t="s">
        <v>100</v>
      </c>
      <c r="Q481" t="s">
        <v>85</v>
      </c>
    </row>
    <row r="482" spans="1:17" hidden="1">
      <c r="A482" t="s">
        <v>76</v>
      </c>
      <c r="B482" t="s">
        <v>77</v>
      </c>
      <c r="C482" t="s">
        <v>408</v>
      </c>
      <c r="D482" t="s">
        <v>408</v>
      </c>
      <c r="E482" t="s">
        <v>409</v>
      </c>
      <c r="F482" t="s">
        <v>410</v>
      </c>
      <c r="G482" t="s">
        <v>90</v>
      </c>
      <c r="H482" t="s">
        <v>81</v>
      </c>
      <c r="L482">
        <v>6</v>
      </c>
      <c r="M482" t="s">
        <v>83</v>
      </c>
      <c r="O482" t="s">
        <v>83</v>
      </c>
      <c r="P482" t="s">
        <v>84</v>
      </c>
      <c r="Q482" t="s">
        <v>85</v>
      </c>
    </row>
    <row r="483" spans="1:17" hidden="1">
      <c r="A483" t="s">
        <v>76</v>
      </c>
      <c r="B483" t="s">
        <v>77</v>
      </c>
      <c r="C483" t="s">
        <v>408</v>
      </c>
      <c r="D483" t="s">
        <v>408</v>
      </c>
      <c r="E483" t="s">
        <v>91</v>
      </c>
      <c r="F483" t="s">
        <v>91</v>
      </c>
      <c r="G483" t="s">
        <v>92</v>
      </c>
      <c r="H483" t="s">
        <v>81</v>
      </c>
      <c r="J483" t="s">
        <v>83</v>
      </c>
      <c r="L483">
        <v>7</v>
      </c>
      <c r="M483" t="s">
        <v>83</v>
      </c>
      <c r="O483" t="s">
        <v>83</v>
      </c>
      <c r="P483" t="s">
        <v>84</v>
      </c>
      <c r="Q483" t="s">
        <v>85</v>
      </c>
    </row>
    <row r="484" spans="1:17" hidden="1">
      <c r="A484" t="s">
        <v>76</v>
      </c>
      <c r="B484" t="s">
        <v>77</v>
      </c>
      <c r="C484" t="s">
        <v>408</v>
      </c>
      <c r="D484" t="s">
        <v>408</v>
      </c>
      <c r="E484" t="s">
        <v>411</v>
      </c>
      <c r="F484" t="s">
        <v>411</v>
      </c>
      <c r="G484" t="s">
        <v>94</v>
      </c>
      <c r="H484" t="s">
        <v>81</v>
      </c>
      <c r="L484">
        <v>8</v>
      </c>
      <c r="M484" t="s">
        <v>83</v>
      </c>
      <c r="O484" t="s">
        <v>83</v>
      </c>
      <c r="P484" t="s">
        <v>84</v>
      </c>
      <c r="Q484" t="s">
        <v>85</v>
      </c>
    </row>
    <row r="485" spans="1:17" hidden="1">
      <c r="A485" t="s">
        <v>76</v>
      </c>
      <c r="B485" t="s">
        <v>77</v>
      </c>
      <c r="C485" t="s">
        <v>408</v>
      </c>
      <c r="D485" t="s">
        <v>408</v>
      </c>
      <c r="E485" t="s">
        <v>412</v>
      </c>
      <c r="F485" t="s">
        <v>412</v>
      </c>
      <c r="G485" t="s">
        <v>88</v>
      </c>
      <c r="H485" t="s">
        <v>81</v>
      </c>
      <c r="L485">
        <v>9</v>
      </c>
      <c r="M485" t="s">
        <v>83</v>
      </c>
      <c r="O485" t="s">
        <v>83</v>
      </c>
      <c r="P485" t="s">
        <v>84</v>
      </c>
      <c r="Q485" t="s">
        <v>85</v>
      </c>
    </row>
    <row r="486" spans="1:17" hidden="1">
      <c r="A486" t="s">
        <v>76</v>
      </c>
      <c r="B486" t="s">
        <v>77</v>
      </c>
      <c r="C486" t="s">
        <v>408</v>
      </c>
      <c r="D486" t="s">
        <v>408</v>
      </c>
      <c r="E486" t="s">
        <v>413</v>
      </c>
      <c r="F486" t="s">
        <v>413</v>
      </c>
      <c r="G486" t="s">
        <v>94</v>
      </c>
      <c r="H486" t="s">
        <v>81</v>
      </c>
      <c r="L486">
        <v>10</v>
      </c>
      <c r="M486" t="s">
        <v>83</v>
      </c>
      <c r="O486" t="s">
        <v>83</v>
      </c>
      <c r="P486" t="s">
        <v>84</v>
      </c>
      <c r="Q486" t="s">
        <v>85</v>
      </c>
    </row>
    <row r="487" spans="1:17" hidden="1">
      <c r="A487" t="s">
        <v>76</v>
      </c>
      <c r="B487" t="s">
        <v>77</v>
      </c>
      <c r="C487" t="s">
        <v>408</v>
      </c>
      <c r="D487" t="s">
        <v>408</v>
      </c>
      <c r="E487" t="s">
        <v>414</v>
      </c>
      <c r="F487" t="s">
        <v>414</v>
      </c>
      <c r="G487" t="s">
        <v>98</v>
      </c>
      <c r="H487" t="s">
        <v>81</v>
      </c>
      <c r="L487">
        <v>11</v>
      </c>
      <c r="M487" t="s">
        <v>83</v>
      </c>
      <c r="O487" t="s">
        <v>83</v>
      </c>
      <c r="P487" t="s">
        <v>84</v>
      </c>
      <c r="Q487" t="s">
        <v>85</v>
      </c>
    </row>
    <row r="488" spans="1:17" hidden="1">
      <c r="A488" t="s">
        <v>76</v>
      </c>
      <c r="B488" t="s">
        <v>77</v>
      </c>
      <c r="C488" t="s">
        <v>408</v>
      </c>
      <c r="D488" t="s">
        <v>408</v>
      </c>
      <c r="E488" t="s">
        <v>415</v>
      </c>
      <c r="F488" t="s">
        <v>415</v>
      </c>
      <c r="G488" t="s">
        <v>98</v>
      </c>
      <c r="H488" t="s">
        <v>81</v>
      </c>
      <c r="L488">
        <v>12</v>
      </c>
      <c r="M488" t="s">
        <v>83</v>
      </c>
      <c r="O488" t="s">
        <v>83</v>
      </c>
      <c r="P488" t="s">
        <v>84</v>
      </c>
      <c r="Q488" t="s">
        <v>85</v>
      </c>
    </row>
    <row r="489" spans="1:17" hidden="1">
      <c r="A489" t="s">
        <v>76</v>
      </c>
      <c r="B489" t="s">
        <v>77</v>
      </c>
      <c r="C489" t="s">
        <v>408</v>
      </c>
      <c r="D489" t="s">
        <v>408</v>
      </c>
      <c r="E489" t="s">
        <v>416</v>
      </c>
      <c r="F489" t="s">
        <v>416</v>
      </c>
      <c r="G489" t="s">
        <v>98</v>
      </c>
      <c r="H489" t="s">
        <v>81</v>
      </c>
      <c r="L489">
        <v>13</v>
      </c>
      <c r="M489" t="s">
        <v>83</v>
      </c>
      <c r="O489" t="s">
        <v>83</v>
      </c>
      <c r="P489" t="s">
        <v>84</v>
      </c>
      <c r="Q489" t="s">
        <v>85</v>
      </c>
    </row>
    <row r="490" spans="1:17" hidden="1">
      <c r="A490" t="s">
        <v>76</v>
      </c>
      <c r="B490" t="s">
        <v>77</v>
      </c>
      <c r="C490" t="s">
        <v>408</v>
      </c>
      <c r="D490" t="s">
        <v>408</v>
      </c>
      <c r="E490" t="s">
        <v>417</v>
      </c>
      <c r="F490" t="s">
        <v>417</v>
      </c>
      <c r="G490" t="s">
        <v>188</v>
      </c>
      <c r="H490" t="s">
        <v>81</v>
      </c>
      <c r="L490">
        <v>14</v>
      </c>
      <c r="M490" t="s">
        <v>83</v>
      </c>
      <c r="O490" t="s">
        <v>83</v>
      </c>
      <c r="P490" t="s">
        <v>84</v>
      </c>
      <c r="Q490" t="s">
        <v>85</v>
      </c>
    </row>
    <row r="491" spans="1:17" hidden="1">
      <c r="A491" t="s">
        <v>76</v>
      </c>
      <c r="B491" t="s">
        <v>77</v>
      </c>
      <c r="C491" t="s">
        <v>408</v>
      </c>
      <c r="D491" t="s">
        <v>408</v>
      </c>
      <c r="E491" t="s">
        <v>112</v>
      </c>
      <c r="F491" t="s">
        <v>112</v>
      </c>
      <c r="G491" t="s">
        <v>113</v>
      </c>
      <c r="H491" t="s">
        <v>81</v>
      </c>
      <c r="I491" t="s">
        <v>114</v>
      </c>
      <c r="L491">
        <v>15</v>
      </c>
      <c r="M491" t="s">
        <v>83</v>
      </c>
      <c r="O491" t="s">
        <v>83</v>
      </c>
      <c r="P491" t="s">
        <v>84</v>
      </c>
      <c r="Q491" t="s">
        <v>85</v>
      </c>
    </row>
    <row r="492" spans="1:17" hidden="1">
      <c r="A492" t="s">
        <v>76</v>
      </c>
      <c r="B492" t="s">
        <v>77</v>
      </c>
      <c r="C492" t="s">
        <v>408</v>
      </c>
      <c r="D492" t="s">
        <v>408</v>
      </c>
      <c r="E492" t="s">
        <v>115</v>
      </c>
      <c r="F492" t="s">
        <v>115</v>
      </c>
      <c r="G492" t="s">
        <v>113</v>
      </c>
      <c r="H492" t="s">
        <v>81</v>
      </c>
      <c r="I492" t="s">
        <v>114</v>
      </c>
      <c r="L492">
        <v>16</v>
      </c>
      <c r="M492" t="s">
        <v>83</v>
      </c>
      <c r="O492" t="s">
        <v>83</v>
      </c>
      <c r="P492" t="s">
        <v>84</v>
      </c>
      <c r="Q492" t="s">
        <v>85</v>
      </c>
    </row>
    <row r="493" spans="1:17" hidden="1">
      <c r="A493" t="s">
        <v>76</v>
      </c>
      <c r="B493" t="s">
        <v>77</v>
      </c>
      <c r="C493" t="s">
        <v>408</v>
      </c>
      <c r="D493" t="s">
        <v>408</v>
      </c>
      <c r="E493" t="s">
        <v>327</v>
      </c>
      <c r="F493" t="s">
        <v>327</v>
      </c>
      <c r="G493" t="s">
        <v>90</v>
      </c>
      <c r="H493" t="s">
        <v>81</v>
      </c>
      <c r="L493">
        <v>17</v>
      </c>
      <c r="M493" t="s">
        <v>83</v>
      </c>
      <c r="O493" t="s">
        <v>83</v>
      </c>
      <c r="P493" t="s">
        <v>84</v>
      </c>
      <c r="Q493" t="s">
        <v>85</v>
      </c>
    </row>
    <row r="494" spans="1:17" hidden="1">
      <c r="A494" t="s">
        <v>76</v>
      </c>
      <c r="B494" t="s">
        <v>77</v>
      </c>
      <c r="C494" t="s">
        <v>408</v>
      </c>
      <c r="D494" t="s">
        <v>408</v>
      </c>
      <c r="E494" t="s">
        <v>117</v>
      </c>
      <c r="F494" t="s">
        <v>117</v>
      </c>
      <c r="G494" t="s">
        <v>90</v>
      </c>
      <c r="H494" t="s">
        <v>81</v>
      </c>
      <c r="L494">
        <v>24</v>
      </c>
      <c r="M494" t="s">
        <v>83</v>
      </c>
      <c r="O494" t="s">
        <v>83</v>
      </c>
      <c r="P494" t="s">
        <v>84</v>
      </c>
      <c r="Q494" t="s">
        <v>85</v>
      </c>
    </row>
    <row r="495" spans="1:17" hidden="1">
      <c r="A495" t="s">
        <v>76</v>
      </c>
      <c r="B495" t="s">
        <v>77</v>
      </c>
      <c r="C495" t="s">
        <v>408</v>
      </c>
      <c r="D495" t="s">
        <v>408</v>
      </c>
      <c r="E495" t="s">
        <v>328</v>
      </c>
      <c r="F495" t="s">
        <v>328</v>
      </c>
      <c r="G495" t="s">
        <v>90</v>
      </c>
      <c r="H495" t="s">
        <v>81</v>
      </c>
      <c r="L495">
        <v>25</v>
      </c>
      <c r="M495" t="s">
        <v>83</v>
      </c>
      <c r="O495" t="s">
        <v>83</v>
      </c>
      <c r="P495" t="s">
        <v>84</v>
      </c>
      <c r="Q495" t="s">
        <v>85</v>
      </c>
    </row>
    <row r="496" spans="1:17" hidden="1">
      <c r="A496" t="s">
        <v>76</v>
      </c>
      <c r="B496" t="s">
        <v>77</v>
      </c>
      <c r="C496" t="s">
        <v>408</v>
      </c>
      <c r="D496" t="s">
        <v>408</v>
      </c>
      <c r="E496" t="s">
        <v>118</v>
      </c>
      <c r="F496" t="s">
        <v>118</v>
      </c>
      <c r="G496" t="s">
        <v>92</v>
      </c>
      <c r="H496" t="s">
        <v>81</v>
      </c>
      <c r="L496">
        <v>26</v>
      </c>
      <c r="M496" t="s">
        <v>83</v>
      </c>
      <c r="O496" t="s">
        <v>83</v>
      </c>
      <c r="P496" t="s">
        <v>84</v>
      </c>
      <c r="Q496" t="s">
        <v>85</v>
      </c>
    </row>
    <row r="497" spans="1:17" hidden="1">
      <c r="A497" t="s">
        <v>76</v>
      </c>
      <c r="B497" t="s">
        <v>77</v>
      </c>
      <c r="C497" t="s">
        <v>418</v>
      </c>
      <c r="D497" t="s">
        <v>418</v>
      </c>
      <c r="E497" t="s">
        <v>79</v>
      </c>
      <c r="F497" t="s">
        <v>79</v>
      </c>
      <c r="G497" t="s">
        <v>80</v>
      </c>
      <c r="H497" t="s">
        <v>81</v>
      </c>
      <c r="I497" t="s">
        <v>82</v>
      </c>
      <c r="L497">
        <v>1</v>
      </c>
      <c r="M497" t="s">
        <v>83</v>
      </c>
      <c r="O497" t="s">
        <v>83</v>
      </c>
      <c r="P497" t="s">
        <v>84</v>
      </c>
      <c r="Q497" t="s">
        <v>85</v>
      </c>
    </row>
    <row r="498" spans="1:17" hidden="1">
      <c r="A498" t="s">
        <v>76</v>
      </c>
      <c r="B498" t="s">
        <v>77</v>
      </c>
      <c r="C498" t="s">
        <v>418</v>
      </c>
      <c r="D498" t="s">
        <v>418</v>
      </c>
      <c r="E498" t="s">
        <v>86</v>
      </c>
      <c r="F498" t="s">
        <v>86</v>
      </c>
      <c r="G498" t="s">
        <v>80</v>
      </c>
      <c r="H498" t="s">
        <v>81</v>
      </c>
      <c r="I498" t="s">
        <v>82</v>
      </c>
      <c r="L498">
        <v>2</v>
      </c>
      <c r="M498" t="s">
        <v>83</v>
      </c>
      <c r="O498" t="s">
        <v>83</v>
      </c>
      <c r="P498" t="s">
        <v>84</v>
      </c>
      <c r="Q498" t="s">
        <v>85</v>
      </c>
    </row>
    <row r="499" spans="1:17" hidden="1">
      <c r="A499" t="s">
        <v>76</v>
      </c>
      <c r="B499" t="s">
        <v>77</v>
      </c>
      <c r="C499" t="s">
        <v>418</v>
      </c>
      <c r="D499" t="s">
        <v>418</v>
      </c>
      <c r="E499" t="s">
        <v>87</v>
      </c>
      <c r="F499" t="s">
        <v>87</v>
      </c>
      <c r="G499" t="s">
        <v>88</v>
      </c>
      <c r="H499" t="s">
        <v>81</v>
      </c>
      <c r="J499" t="s">
        <v>83</v>
      </c>
      <c r="L499">
        <v>3</v>
      </c>
      <c r="M499" t="s">
        <v>83</v>
      </c>
      <c r="O499" t="s">
        <v>83</v>
      </c>
      <c r="P499" t="s">
        <v>84</v>
      </c>
      <c r="Q499" t="s">
        <v>85</v>
      </c>
    </row>
    <row r="500" spans="1:17" hidden="1">
      <c r="A500" t="s">
        <v>76</v>
      </c>
      <c r="B500" t="s">
        <v>77</v>
      </c>
      <c r="C500" t="s">
        <v>418</v>
      </c>
      <c r="D500" t="s">
        <v>418</v>
      </c>
      <c r="E500" t="s">
        <v>89</v>
      </c>
      <c r="F500" t="s">
        <v>89</v>
      </c>
      <c r="G500" t="s">
        <v>90</v>
      </c>
      <c r="H500" t="s">
        <v>81</v>
      </c>
      <c r="J500" t="s">
        <v>83</v>
      </c>
      <c r="K500" t="s">
        <v>83</v>
      </c>
      <c r="L500">
        <v>4</v>
      </c>
      <c r="M500" t="s">
        <v>83</v>
      </c>
      <c r="O500" t="s">
        <v>83</v>
      </c>
      <c r="P500" t="s">
        <v>84</v>
      </c>
      <c r="Q500" t="s">
        <v>85</v>
      </c>
    </row>
    <row r="501" spans="1:17" hidden="1">
      <c r="A501" t="s">
        <v>76</v>
      </c>
      <c r="B501" t="s">
        <v>77</v>
      </c>
      <c r="C501" t="s">
        <v>418</v>
      </c>
      <c r="D501" t="s">
        <v>418</v>
      </c>
      <c r="E501" t="s">
        <v>419</v>
      </c>
      <c r="F501" t="s">
        <v>419</v>
      </c>
      <c r="G501" t="s">
        <v>90</v>
      </c>
      <c r="H501" t="s">
        <v>81</v>
      </c>
      <c r="I501" t="s">
        <v>82</v>
      </c>
      <c r="L501">
        <v>5</v>
      </c>
      <c r="M501" t="s">
        <v>83</v>
      </c>
      <c r="O501" t="s">
        <v>83</v>
      </c>
      <c r="P501" t="s">
        <v>100</v>
      </c>
      <c r="Q501" t="s">
        <v>85</v>
      </c>
    </row>
    <row r="502" spans="1:17" hidden="1">
      <c r="A502" t="s">
        <v>76</v>
      </c>
      <c r="B502" t="s">
        <v>77</v>
      </c>
      <c r="C502" t="s">
        <v>418</v>
      </c>
      <c r="D502" t="s">
        <v>418</v>
      </c>
      <c r="E502" t="s">
        <v>419</v>
      </c>
      <c r="F502" t="s">
        <v>420</v>
      </c>
      <c r="G502" t="s">
        <v>90</v>
      </c>
      <c r="H502" t="s">
        <v>81</v>
      </c>
      <c r="L502">
        <v>6</v>
      </c>
      <c r="M502" t="s">
        <v>83</v>
      </c>
      <c r="O502" t="s">
        <v>83</v>
      </c>
      <c r="P502" t="s">
        <v>84</v>
      </c>
      <c r="Q502" t="s">
        <v>85</v>
      </c>
    </row>
    <row r="503" spans="1:17" hidden="1">
      <c r="A503" t="s">
        <v>76</v>
      </c>
      <c r="B503" t="s">
        <v>77</v>
      </c>
      <c r="C503" t="s">
        <v>418</v>
      </c>
      <c r="D503" t="s">
        <v>418</v>
      </c>
      <c r="E503" t="s">
        <v>421</v>
      </c>
      <c r="F503" t="s">
        <v>421</v>
      </c>
      <c r="G503" t="s">
        <v>98</v>
      </c>
      <c r="H503" t="s">
        <v>81</v>
      </c>
      <c r="L503">
        <v>7</v>
      </c>
      <c r="M503" t="s">
        <v>83</v>
      </c>
      <c r="O503" t="s">
        <v>83</v>
      </c>
      <c r="P503" t="s">
        <v>84</v>
      </c>
      <c r="Q503" t="s">
        <v>85</v>
      </c>
    </row>
    <row r="504" spans="1:17" hidden="1">
      <c r="A504" t="s">
        <v>76</v>
      </c>
      <c r="B504" t="s">
        <v>77</v>
      </c>
      <c r="C504" t="s">
        <v>418</v>
      </c>
      <c r="D504" t="s">
        <v>418</v>
      </c>
      <c r="E504" t="s">
        <v>91</v>
      </c>
      <c r="F504" t="s">
        <v>91</v>
      </c>
      <c r="G504" t="s">
        <v>92</v>
      </c>
      <c r="H504" t="s">
        <v>81</v>
      </c>
      <c r="J504" t="s">
        <v>83</v>
      </c>
      <c r="L504">
        <v>8</v>
      </c>
      <c r="M504" t="s">
        <v>83</v>
      </c>
      <c r="O504" t="s">
        <v>83</v>
      </c>
      <c r="P504" t="s">
        <v>84</v>
      </c>
      <c r="Q504" t="s">
        <v>85</v>
      </c>
    </row>
    <row r="505" spans="1:17" hidden="1">
      <c r="A505" t="s">
        <v>76</v>
      </c>
      <c r="B505" t="s">
        <v>77</v>
      </c>
      <c r="C505" t="s">
        <v>418</v>
      </c>
      <c r="D505" t="s">
        <v>418</v>
      </c>
      <c r="E505" t="s">
        <v>422</v>
      </c>
      <c r="F505" t="s">
        <v>422</v>
      </c>
      <c r="G505" t="s">
        <v>94</v>
      </c>
      <c r="H505" t="s">
        <v>81</v>
      </c>
      <c r="L505">
        <v>9</v>
      </c>
      <c r="M505" t="s">
        <v>83</v>
      </c>
      <c r="O505" t="s">
        <v>83</v>
      </c>
      <c r="P505" t="s">
        <v>84</v>
      </c>
      <c r="Q505" t="s">
        <v>85</v>
      </c>
    </row>
    <row r="506" spans="1:17" hidden="1">
      <c r="A506" t="s">
        <v>76</v>
      </c>
      <c r="B506" t="s">
        <v>77</v>
      </c>
      <c r="C506" t="s">
        <v>418</v>
      </c>
      <c r="D506" t="s">
        <v>418</v>
      </c>
      <c r="E506" t="s">
        <v>423</v>
      </c>
      <c r="F506" t="s">
        <v>423</v>
      </c>
      <c r="G506" t="s">
        <v>88</v>
      </c>
      <c r="H506" t="s">
        <v>81</v>
      </c>
      <c r="L506">
        <v>10</v>
      </c>
      <c r="M506" t="s">
        <v>83</v>
      </c>
      <c r="O506" t="s">
        <v>83</v>
      </c>
      <c r="P506" t="s">
        <v>84</v>
      </c>
      <c r="Q506" t="s">
        <v>85</v>
      </c>
    </row>
    <row r="507" spans="1:17" hidden="1">
      <c r="A507" t="s">
        <v>76</v>
      </c>
      <c r="B507" t="s">
        <v>77</v>
      </c>
      <c r="C507" t="s">
        <v>418</v>
      </c>
      <c r="D507" t="s">
        <v>418</v>
      </c>
      <c r="E507" t="s">
        <v>424</v>
      </c>
      <c r="F507" t="s">
        <v>424</v>
      </c>
      <c r="G507" t="s">
        <v>94</v>
      </c>
      <c r="H507" t="s">
        <v>81</v>
      </c>
      <c r="L507">
        <v>11</v>
      </c>
      <c r="M507" t="s">
        <v>83</v>
      </c>
      <c r="O507" t="s">
        <v>83</v>
      </c>
      <c r="P507" t="s">
        <v>84</v>
      </c>
      <c r="Q507" t="s">
        <v>85</v>
      </c>
    </row>
    <row r="508" spans="1:17" hidden="1">
      <c r="A508" t="s">
        <v>76</v>
      </c>
      <c r="B508" t="s">
        <v>77</v>
      </c>
      <c r="C508" t="s">
        <v>418</v>
      </c>
      <c r="D508" t="s">
        <v>418</v>
      </c>
      <c r="E508" t="s">
        <v>425</v>
      </c>
      <c r="F508" t="s">
        <v>425</v>
      </c>
      <c r="G508" t="s">
        <v>98</v>
      </c>
      <c r="H508" t="s">
        <v>81</v>
      </c>
      <c r="L508">
        <v>12</v>
      </c>
      <c r="M508" t="s">
        <v>83</v>
      </c>
      <c r="O508" t="s">
        <v>83</v>
      </c>
      <c r="P508" t="s">
        <v>84</v>
      </c>
      <c r="Q508" t="s">
        <v>85</v>
      </c>
    </row>
    <row r="509" spans="1:17" hidden="1">
      <c r="A509" t="s">
        <v>76</v>
      </c>
      <c r="B509" t="s">
        <v>77</v>
      </c>
      <c r="C509" t="s">
        <v>418</v>
      </c>
      <c r="D509" t="s">
        <v>418</v>
      </c>
      <c r="E509" t="s">
        <v>426</v>
      </c>
      <c r="F509" t="s">
        <v>426</v>
      </c>
      <c r="G509" t="s">
        <v>98</v>
      </c>
      <c r="H509" t="s">
        <v>81</v>
      </c>
      <c r="L509">
        <v>13</v>
      </c>
      <c r="M509" t="s">
        <v>83</v>
      </c>
      <c r="O509" t="s">
        <v>83</v>
      </c>
      <c r="P509" t="s">
        <v>84</v>
      </c>
      <c r="Q509" t="s">
        <v>85</v>
      </c>
    </row>
    <row r="510" spans="1:17" hidden="1">
      <c r="A510" t="s">
        <v>76</v>
      </c>
      <c r="B510" t="s">
        <v>77</v>
      </c>
      <c r="C510" t="s">
        <v>418</v>
      </c>
      <c r="D510" t="s">
        <v>418</v>
      </c>
      <c r="E510" t="s">
        <v>112</v>
      </c>
      <c r="F510" t="s">
        <v>112</v>
      </c>
      <c r="G510" t="s">
        <v>113</v>
      </c>
      <c r="H510" t="s">
        <v>81</v>
      </c>
      <c r="I510" t="s">
        <v>114</v>
      </c>
      <c r="L510">
        <v>14</v>
      </c>
      <c r="M510" t="s">
        <v>83</v>
      </c>
      <c r="O510" t="s">
        <v>83</v>
      </c>
      <c r="P510" t="s">
        <v>84</v>
      </c>
      <c r="Q510" t="s">
        <v>85</v>
      </c>
    </row>
    <row r="511" spans="1:17" hidden="1">
      <c r="A511" t="s">
        <v>76</v>
      </c>
      <c r="B511" t="s">
        <v>77</v>
      </c>
      <c r="C511" t="s">
        <v>418</v>
      </c>
      <c r="D511" t="s">
        <v>418</v>
      </c>
      <c r="E511" t="s">
        <v>115</v>
      </c>
      <c r="F511" t="s">
        <v>115</v>
      </c>
      <c r="G511" t="s">
        <v>113</v>
      </c>
      <c r="H511" t="s">
        <v>81</v>
      </c>
      <c r="I511" t="s">
        <v>114</v>
      </c>
      <c r="L511">
        <v>15</v>
      </c>
      <c r="M511" t="s">
        <v>83</v>
      </c>
      <c r="O511" t="s">
        <v>83</v>
      </c>
      <c r="P511" t="s">
        <v>84</v>
      </c>
      <c r="Q511" t="s">
        <v>85</v>
      </c>
    </row>
    <row r="512" spans="1:17" hidden="1">
      <c r="A512" t="s">
        <v>76</v>
      </c>
      <c r="B512" t="s">
        <v>77</v>
      </c>
      <c r="C512" t="s">
        <v>418</v>
      </c>
      <c r="D512" t="s">
        <v>418</v>
      </c>
      <c r="E512" t="s">
        <v>327</v>
      </c>
      <c r="F512" t="s">
        <v>327</v>
      </c>
      <c r="G512" t="s">
        <v>90</v>
      </c>
      <c r="H512" t="s">
        <v>81</v>
      </c>
      <c r="L512">
        <v>16</v>
      </c>
      <c r="M512" t="s">
        <v>83</v>
      </c>
      <c r="O512" t="s">
        <v>83</v>
      </c>
      <c r="P512" t="s">
        <v>84</v>
      </c>
      <c r="Q512" t="s">
        <v>85</v>
      </c>
    </row>
    <row r="513" spans="1:17" hidden="1">
      <c r="A513" t="s">
        <v>76</v>
      </c>
      <c r="B513" t="s">
        <v>77</v>
      </c>
      <c r="C513" t="s">
        <v>418</v>
      </c>
      <c r="D513" t="s">
        <v>418</v>
      </c>
      <c r="E513" t="s">
        <v>117</v>
      </c>
      <c r="F513" t="s">
        <v>117</v>
      </c>
      <c r="G513" t="s">
        <v>90</v>
      </c>
      <c r="H513" t="s">
        <v>81</v>
      </c>
      <c r="L513">
        <v>23</v>
      </c>
      <c r="M513" t="s">
        <v>83</v>
      </c>
      <c r="O513" t="s">
        <v>83</v>
      </c>
      <c r="P513" t="s">
        <v>84</v>
      </c>
      <c r="Q513" t="s">
        <v>85</v>
      </c>
    </row>
    <row r="514" spans="1:17" hidden="1">
      <c r="A514" t="s">
        <v>76</v>
      </c>
      <c r="B514" t="s">
        <v>77</v>
      </c>
      <c r="C514" t="s">
        <v>418</v>
      </c>
      <c r="D514" t="s">
        <v>418</v>
      </c>
      <c r="E514" t="s">
        <v>328</v>
      </c>
      <c r="F514" t="s">
        <v>328</v>
      </c>
      <c r="G514" t="s">
        <v>90</v>
      </c>
      <c r="H514" t="s">
        <v>81</v>
      </c>
      <c r="L514">
        <v>24</v>
      </c>
      <c r="M514" t="s">
        <v>83</v>
      </c>
      <c r="O514" t="s">
        <v>83</v>
      </c>
      <c r="P514" t="s">
        <v>84</v>
      </c>
      <c r="Q514" t="s">
        <v>85</v>
      </c>
    </row>
    <row r="515" spans="1:17" hidden="1">
      <c r="A515" t="s">
        <v>76</v>
      </c>
      <c r="B515" t="s">
        <v>77</v>
      </c>
      <c r="C515" t="s">
        <v>418</v>
      </c>
      <c r="D515" t="s">
        <v>418</v>
      </c>
      <c r="E515" t="s">
        <v>118</v>
      </c>
      <c r="F515" t="s">
        <v>118</v>
      </c>
      <c r="G515" t="s">
        <v>92</v>
      </c>
      <c r="H515" t="s">
        <v>81</v>
      </c>
      <c r="L515">
        <v>25</v>
      </c>
      <c r="M515" t="s">
        <v>83</v>
      </c>
      <c r="O515" t="s">
        <v>83</v>
      </c>
      <c r="P515" t="s">
        <v>84</v>
      </c>
      <c r="Q515" t="s">
        <v>85</v>
      </c>
    </row>
    <row r="516" spans="1:17" hidden="1">
      <c r="A516" t="s">
        <v>76</v>
      </c>
      <c r="B516" t="s">
        <v>77</v>
      </c>
      <c r="C516" t="s">
        <v>427</v>
      </c>
      <c r="D516" t="s">
        <v>427</v>
      </c>
      <c r="E516" t="s">
        <v>79</v>
      </c>
      <c r="F516" t="s">
        <v>79</v>
      </c>
      <c r="G516" t="s">
        <v>80</v>
      </c>
      <c r="H516" t="s">
        <v>81</v>
      </c>
      <c r="I516" t="s">
        <v>82</v>
      </c>
      <c r="L516">
        <v>1</v>
      </c>
      <c r="M516" t="s">
        <v>83</v>
      </c>
      <c r="O516" t="s">
        <v>83</v>
      </c>
      <c r="P516" t="s">
        <v>84</v>
      </c>
      <c r="Q516" t="s">
        <v>85</v>
      </c>
    </row>
    <row r="517" spans="1:17" hidden="1">
      <c r="A517" t="s">
        <v>76</v>
      </c>
      <c r="B517" t="s">
        <v>77</v>
      </c>
      <c r="C517" t="s">
        <v>427</v>
      </c>
      <c r="D517" t="s">
        <v>427</v>
      </c>
      <c r="E517" t="s">
        <v>86</v>
      </c>
      <c r="F517" t="s">
        <v>86</v>
      </c>
      <c r="G517" t="s">
        <v>80</v>
      </c>
      <c r="H517" t="s">
        <v>81</v>
      </c>
      <c r="I517" t="s">
        <v>82</v>
      </c>
      <c r="L517">
        <v>2</v>
      </c>
      <c r="M517" t="s">
        <v>83</v>
      </c>
      <c r="O517" t="s">
        <v>83</v>
      </c>
      <c r="P517" t="s">
        <v>84</v>
      </c>
      <c r="Q517" t="s">
        <v>85</v>
      </c>
    </row>
    <row r="518" spans="1:17" hidden="1">
      <c r="A518" t="s">
        <v>76</v>
      </c>
      <c r="B518" t="s">
        <v>77</v>
      </c>
      <c r="C518" t="s">
        <v>427</v>
      </c>
      <c r="D518" t="s">
        <v>427</v>
      </c>
      <c r="E518" t="s">
        <v>87</v>
      </c>
      <c r="F518" t="s">
        <v>87</v>
      </c>
      <c r="G518" t="s">
        <v>88</v>
      </c>
      <c r="H518" t="s">
        <v>81</v>
      </c>
      <c r="J518" t="s">
        <v>83</v>
      </c>
      <c r="L518">
        <v>3</v>
      </c>
      <c r="M518" t="s">
        <v>83</v>
      </c>
      <c r="O518" t="s">
        <v>83</v>
      </c>
      <c r="P518" t="s">
        <v>84</v>
      </c>
      <c r="Q518" t="s">
        <v>85</v>
      </c>
    </row>
    <row r="519" spans="1:17" hidden="1">
      <c r="A519" t="s">
        <v>76</v>
      </c>
      <c r="B519" t="s">
        <v>77</v>
      </c>
      <c r="C519" t="s">
        <v>427</v>
      </c>
      <c r="D519" t="s">
        <v>427</v>
      </c>
      <c r="E519" t="s">
        <v>89</v>
      </c>
      <c r="F519" t="s">
        <v>89</v>
      </c>
      <c r="G519" t="s">
        <v>90</v>
      </c>
      <c r="H519" t="s">
        <v>81</v>
      </c>
      <c r="J519" t="s">
        <v>83</v>
      </c>
      <c r="K519" t="s">
        <v>83</v>
      </c>
      <c r="L519">
        <v>4</v>
      </c>
      <c r="M519" t="s">
        <v>83</v>
      </c>
      <c r="O519" t="s">
        <v>83</v>
      </c>
      <c r="P519" t="s">
        <v>84</v>
      </c>
      <c r="Q519" t="s">
        <v>85</v>
      </c>
    </row>
    <row r="520" spans="1:17" hidden="1">
      <c r="A520" t="s">
        <v>76</v>
      </c>
      <c r="B520" t="s">
        <v>77</v>
      </c>
      <c r="C520" t="s">
        <v>427</v>
      </c>
      <c r="D520" t="s">
        <v>427</v>
      </c>
      <c r="E520" t="s">
        <v>428</v>
      </c>
      <c r="F520" t="s">
        <v>428</v>
      </c>
      <c r="G520" t="s">
        <v>90</v>
      </c>
      <c r="H520" t="s">
        <v>81</v>
      </c>
      <c r="I520" t="s">
        <v>82</v>
      </c>
      <c r="L520">
        <v>5</v>
      </c>
      <c r="M520" t="s">
        <v>83</v>
      </c>
      <c r="O520" t="s">
        <v>83</v>
      </c>
      <c r="P520" t="s">
        <v>100</v>
      </c>
      <c r="Q520" t="s">
        <v>85</v>
      </c>
    </row>
    <row r="521" spans="1:17" hidden="1">
      <c r="A521" t="s">
        <v>76</v>
      </c>
      <c r="B521" t="s">
        <v>77</v>
      </c>
      <c r="C521" t="s">
        <v>427</v>
      </c>
      <c r="D521" t="s">
        <v>427</v>
      </c>
      <c r="E521" t="s">
        <v>428</v>
      </c>
      <c r="F521" t="s">
        <v>429</v>
      </c>
      <c r="G521" t="s">
        <v>90</v>
      </c>
      <c r="H521" t="s">
        <v>81</v>
      </c>
      <c r="L521">
        <v>6</v>
      </c>
      <c r="M521" t="s">
        <v>83</v>
      </c>
      <c r="O521" t="s">
        <v>83</v>
      </c>
      <c r="P521" t="s">
        <v>84</v>
      </c>
      <c r="Q521" t="s">
        <v>85</v>
      </c>
    </row>
    <row r="522" spans="1:17" hidden="1">
      <c r="A522" t="s">
        <v>76</v>
      </c>
      <c r="B522" t="s">
        <v>77</v>
      </c>
      <c r="C522" t="s">
        <v>427</v>
      </c>
      <c r="D522" t="s">
        <v>427</v>
      </c>
      <c r="E522" t="s">
        <v>91</v>
      </c>
      <c r="F522" t="s">
        <v>91</v>
      </c>
      <c r="G522" t="s">
        <v>92</v>
      </c>
      <c r="H522" t="s">
        <v>81</v>
      </c>
      <c r="J522" t="s">
        <v>83</v>
      </c>
      <c r="L522">
        <v>7</v>
      </c>
      <c r="M522" t="s">
        <v>83</v>
      </c>
      <c r="O522" t="s">
        <v>83</v>
      </c>
      <c r="P522" t="s">
        <v>84</v>
      </c>
      <c r="Q522" t="s">
        <v>85</v>
      </c>
    </row>
    <row r="523" spans="1:17" hidden="1">
      <c r="A523" t="s">
        <v>76</v>
      </c>
      <c r="B523" t="s">
        <v>77</v>
      </c>
      <c r="C523" t="s">
        <v>427</v>
      </c>
      <c r="D523" t="s">
        <v>427</v>
      </c>
      <c r="E523" t="s">
        <v>430</v>
      </c>
      <c r="F523" t="s">
        <v>430</v>
      </c>
      <c r="G523" t="s">
        <v>94</v>
      </c>
      <c r="H523" t="s">
        <v>81</v>
      </c>
      <c r="L523">
        <v>8</v>
      </c>
      <c r="M523" t="s">
        <v>83</v>
      </c>
      <c r="O523" t="s">
        <v>83</v>
      </c>
      <c r="P523" t="s">
        <v>84</v>
      </c>
      <c r="Q523" t="s">
        <v>85</v>
      </c>
    </row>
    <row r="524" spans="1:17" hidden="1">
      <c r="A524" t="s">
        <v>76</v>
      </c>
      <c r="B524" t="s">
        <v>77</v>
      </c>
      <c r="C524" t="s">
        <v>427</v>
      </c>
      <c r="D524" t="s">
        <v>427</v>
      </c>
      <c r="E524" t="s">
        <v>431</v>
      </c>
      <c r="F524" t="s">
        <v>431</v>
      </c>
      <c r="G524" t="s">
        <v>88</v>
      </c>
      <c r="H524" t="s">
        <v>81</v>
      </c>
      <c r="L524">
        <v>9</v>
      </c>
      <c r="M524" t="s">
        <v>83</v>
      </c>
      <c r="O524" t="s">
        <v>83</v>
      </c>
      <c r="P524" t="s">
        <v>84</v>
      </c>
      <c r="Q524" t="s">
        <v>85</v>
      </c>
    </row>
    <row r="525" spans="1:17" hidden="1">
      <c r="A525" t="s">
        <v>76</v>
      </c>
      <c r="B525" t="s">
        <v>77</v>
      </c>
      <c r="C525" t="s">
        <v>427</v>
      </c>
      <c r="D525" t="s">
        <v>427</v>
      </c>
      <c r="E525" t="s">
        <v>432</v>
      </c>
      <c r="F525" t="s">
        <v>432</v>
      </c>
      <c r="G525" t="s">
        <v>94</v>
      </c>
      <c r="H525" t="s">
        <v>81</v>
      </c>
      <c r="L525">
        <v>10</v>
      </c>
      <c r="M525" t="s">
        <v>83</v>
      </c>
      <c r="O525" t="s">
        <v>83</v>
      </c>
      <c r="P525" t="s">
        <v>84</v>
      </c>
      <c r="Q525" t="s">
        <v>85</v>
      </c>
    </row>
    <row r="526" spans="1:17" hidden="1">
      <c r="A526" t="s">
        <v>76</v>
      </c>
      <c r="B526" t="s">
        <v>77</v>
      </c>
      <c r="C526" t="s">
        <v>427</v>
      </c>
      <c r="D526" t="s">
        <v>427</v>
      </c>
      <c r="E526" t="s">
        <v>433</v>
      </c>
      <c r="F526" t="s">
        <v>433</v>
      </c>
      <c r="G526" t="s">
        <v>98</v>
      </c>
      <c r="H526" t="s">
        <v>81</v>
      </c>
      <c r="L526">
        <v>11</v>
      </c>
      <c r="M526" t="s">
        <v>83</v>
      </c>
      <c r="O526" t="s">
        <v>83</v>
      </c>
      <c r="P526" t="s">
        <v>84</v>
      </c>
      <c r="Q526" t="s">
        <v>85</v>
      </c>
    </row>
    <row r="527" spans="1:17" hidden="1">
      <c r="A527" t="s">
        <v>76</v>
      </c>
      <c r="B527" t="s">
        <v>77</v>
      </c>
      <c r="C527" t="s">
        <v>427</v>
      </c>
      <c r="D527" t="s">
        <v>427</v>
      </c>
      <c r="E527" t="s">
        <v>434</v>
      </c>
      <c r="F527" t="s">
        <v>434</v>
      </c>
      <c r="G527" t="s">
        <v>98</v>
      </c>
      <c r="H527" t="s">
        <v>81</v>
      </c>
      <c r="L527">
        <v>12</v>
      </c>
      <c r="M527" t="s">
        <v>83</v>
      </c>
      <c r="O527" t="s">
        <v>83</v>
      </c>
      <c r="P527" t="s">
        <v>84</v>
      </c>
      <c r="Q527" t="s">
        <v>85</v>
      </c>
    </row>
    <row r="528" spans="1:17" hidden="1">
      <c r="A528" t="s">
        <v>76</v>
      </c>
      <c r="B528" t="s">
        <v>77</v>
      </c>
      <c r="C528" t="s">
        <v>427</v>
      </c>
      <c r="D528" t="s">
        <v>427</v>
      </c>
      <c r="E528" t="s">
        <v>435</v>
      </c>
      <c r="F528" t="s">
        <v>435</v>
      </c>
      <c r="G528" t="s">
        <v>98</v>
      </c>
      <c r="H528" t="s">
        <v>81</v>
      </c>
      <c r="L528">
        <v>13</v>
      </c>
      <c r="M528" t="s">
        <v>83</v>
      </c>
      <c r="O528" t="s">
        <v>83</v>
      </c>
      <c r="P528" t="s">
        <v>84</v>
      </c>
      <c r="Q528" t="s">
        <v>85</v>
      </c>
    </row>
    <row r="529" spans="1:17" hidden="1">
      <c r="A529" t="s">
        <v>76</v>
      </c>
      <c r="B529" t="s">
        <v>77</v>
      </c>
      <c r="C529" t="s">
        <v>427</v>
      </c>
      <c r="D529" t="s">
        <v>427</v>
      </c>
      <c r="E529" t="s">
        <v>436</v>
      </c>
      <c r="F529" t="s">
        <v>436</v>
      </c>
      <c r="G529" t="s">
        <v>188</v>
      </c>
      <c r="H529" t="s">
        <v>81</v>
      </c>
      <c r="L529">
        <v>14</v>
      </c>
      <c r="M529" t="s">
        <v>83</v>
      </c>
      <c r="O529" t="s">
        <v>83</v>
      </c>
      <c r="P529" t="s">
        <v>84</v>
      </c>
      <c r="Q529" t="s">
        <v>85</v>
      </c>
    </row>
    <row r="530" spans="1:17" hidden="1">
      <c r="A530" t="s">
        <v>76</v>
      </c>
      <c r="B530" t="s">
        <v>77</v>
      </c>
      <c r="C530" t="s">
        <v>427</v>
      </c>
      <c r="D530" t="s">
        <v>427</v>
      </c>
      <c r="E530" t="s">
        <v>112</v>
      </c>
      <c r="F530" t="s">
        <v>112</v>
      </c>
      <c r="G530" t="s">
        <v>113</v>
      </c>
      <c r="H530" t="s">
        <v>81</v>
      </c>
      <c r="I530" t="s">
        <v>114</v>
      </c>
      <c r="L530">
        <v>15</v>
      </c>
      <c r="M530" t="s">
        <v>83</v>
      </c>
      <c r="O530" t="s">
        <v>83</v>
      </c>
      <c r="P530" t="s">
        <v>84</v>
      </c>
      <c r="Q530" t="s">
        <v>85</v>
      </c>
    </row>
    <row r="531" spans="1:17" hidden="1">
      <c r="A531" t="s">
        <v>76</v>
      </c>
      <c r="B531" t="s">
        <v>77</v>
      </c>
      <c r="C531" t="s">
        <v>427</v>
      </c>
      <c r="D531" t="s">
        <v>427</v>
      </c>
      <c r="E531" t="s">
        <v>115</v>
      </c>
      <c r="F531" t="s">
        <v>115</v>
      </c>
      <c r="G531" t="s">
        <v>113</v>
      </c>
      <c r="H531" t="s">
        <v>81</v>
      </c>
      <c r="I531" t="s">
        <v>114</v>
      </c>
      <c r="L531">
        <v>16</v>
      </c>
      <c r="M531" t="s">
        <v>83</v>
      </c>
      <c r="O531" t="s">
        <v>83</v>
      </c>
      <c r="P531" t="s">
        <v>84</v>
      </c>
      <c r="Q531" t="s">
        <v>85</v>
      </c>
    </row>
    <row r="532" spans="1:17" hidden="1">
      <c r="A532" t="s">
        <v>76</v>
      </c>
      <c r="B532" t="s">
        <v>77</v>
      </c>
      <c r="C532" t="s">
        <v>427</v>
      </c>
      <c r="D532" t="s">
        <v>427</v>
      </c>
      <c r="E532" t="s">
        <v>327</v>
      </c>
      <c r="F532" t="s">
        <v>327</v>
      </c>
      <c r="G532" t="s">
        <v>90</v>
      </c>
      <c r="H532" t="s">
        <v>81</v>
      </c>
      <c r="L532">
        <v>17</v>
      </c>
      <c r="M532" t="s">
        <v>83</v>
      </c>
      <c r="O532" t="s">
        <v>83</v>
      </c>
      <c r="P532" t="s">
        <v>84</v>
      </c>
      <c r="Q532" t="s">
        <v>85</v>
      </c>
    </row>
    <row r="533" spans="1:17" hidden="1">
      <c r="A533" t="s">
        <v>76</v>
      </c>
      <c r="B533" t="s">
        <v>77</v>
      </c>
      <c r="C533" t="s">
        <v>427</v>
      </c>
      <c r="D533" t="s">
        <v>427</v>
      </c>
      <c r="E533" t="s">
        <v>117</v>
      </c>
      <c r="F533" t="s">
        <v>117</v>
      </c>
      <c r="G533" t="s">
        <v>90</v>
      </c>
      <c r="H533" t="s">
        <v>81</v>
      </c>
      <c r="L533">
        <v>24</v>
      </c>
      <c r="M533" t="s">
        <v>83</v>
      </c>
      <c r="O533" t="s">
        <v>83</v>
      </c>
      <c r="P533" t="s">
        <v>84</v>
      </c>
      <c r="Q533" t="s">
        <v>85</v>
      </c>
    </row>
    <row r="534" spans="1:17" hidden="1">
      <c r="A534" t="s">
        <v>76</v>
      </c>
      <c r="B534" t="s">
        <v>77</v>
      </c>
      <c r="C534" t="s">
        <v>427</v>
      </c>
      <c r="D534" t="s">
        <v>427</v>
      </c>
      <c r="E534" t="s">
        <v>328</v>
      </c>
      <c r="F534" t="s">
        <v>328</v>
      </c>
      <c r="G534" t="s">
        <v>90</v>
      </c>
      <c r="H534" t="s">
        <v>81</v>
      </c>
      <c r="L534">
        <v>25</v>
      </c>
      <c r="M534" t="s">
        <v>83</v>
      </c>
      <c r="O534" t="s">
        <v>83</v>
      </c>
      <c r="P534" t="s">
        <v>84</v>
      </c>
      <c r="Q534" t="s">
        <v>85</v>
      </c>
    </row>
    <row r="535" spans="1:17" hidden="1">
      <c r="A535" t="s">
        <v>76</v>
      </c>
      <c r="B535" t="s">
        <v>77</v>
      </c>
      <c r="C535" t="s">
        <v>427</v>
      </c>
      <c r="D535" t="s">
        <v>427</v>
      </c>
      <c r="E535" t="s">
        <v>118</v>
      </c>
      <c r="F535" t="s">
        <v>118</v>
      </c>
      <c r="G535" t="s">
        <v>92</v>
      </c>
      <c r="H535" t="s">
        <v>81</v>
      </c>
      <c r="L535">
        <v>26</v>
      </c>
      <c r="M535" t="s">
        <v>83</v>
      </c>
      <c r="O535" t="s">
        <v>83</v>
      </c>
      <c r="P535" t="s">
        <v>84</v>
      </c>
      <c r="Q535" t="s">
        <v>85</v>
      </c>
    </row>
    <row r="536" spans="1:17" hidden="1">
      <c r="A536" t="s">
        <v>76</v>
      </c>
      <c r="B536" t="s">
        <v>77</v>
      </c>
      <c r="C536" t="s">
        <v>437</v>
      </c>
      <c r="D536" t="s">
        <v>437</v>
      </c>
      <c r="E536" t="s">
        <v>79</v>
      </c>
      <c r="F536" t="s">
        <v>79</v>
      </c>
      <c r="G536" t="s">
        <v>80</v>
      </c>
      <c r="H536" t="s">
        <v>81</v>
      </c>
      <c r="I536" t="s">
        <v>82</v>
      </c>
      <c r="L536">
        <v>1</v>
      </c>
      <c r="M536" t="s">
        <v>83</v>
      </c>
      <c r="O536" t="s">
        <v>83</v>
      </c>
      <c r="P536" t="s">
        <v>84</v>
      </c>
      <c r="Q536" t="s">
        <v>85</v>
      </c>
    </row>
    <row r="537" spans="1:17" hidden="1">
      <c r="A537" t="s">
        <v>76</v>
      </c>
      <c r="B537" t="s">
        <v>77</v>
      </c>
      <c r="C537" t="s">
        <v>437</v>
      </c>
      <c r="D537" t="s">
        <v>437</v>
      </c>
      <c r="E537" t="s">
        <v>86</v>
      </c>
      <c r="F537" t="s">
        <v>86</v>
      </c>
      <c r="G537" t="s">
        <v>80</v>
      </c>
      <c r="H537" t="s">
        <v>81</v>
      </c>
      <c r="I537" t="s">
        <v>82</v>
      </c>
      <c r="L537">
        <v>2</v>
      </c>
      <c r="M537" t="s">
        <v>83</v>
      </c>
      <c r="O537" t="s">
        <v>83</v>
      </c>
      <c r="P537" t="s">
        <v>84</v>
      </c>
      <c r="Q537" t="s">
        <v>85</v>
      </c>
    </row>
    <row r="538" spans="1:17" hidden="1">
      <c r="A538" t="s">
        <v>76</v>
      </c>
      <c r="B538" t="s">
        <v>77</v>
      </c>
      <c r="C538" t="s">
        <v>437</v>
      </c>
      <c r="D538" t="s">
        <v>437</v>
      </c>
      <c r="E538" t="s">
        <v>87</v>
      </c>
      <c r="F538" t="s">
        <v>87</v>
      </c>
      <c r="G538" t="s">
        <v>88</v>
      </c>
      <c r="H538" t="s">
        <v>81</v>
      </c>
      <c r="J538" t="s">
        <v>83</v>
      </c>
      <c r="L538">
        <v>3</v>
      </c>
      <c r="M538" t="s">
        <v>83</v>
      </c>
      <c r="O538" t="s">
        <v>83</v>
      </c>
      <c r="P538" t="s">
        <v>84</v>
      </c>
      <c r="Q538" t="s">
        <v>85</v>
      </c>
    </row>
    <row r="539" spans="1:17" hidden="1">
      <c r="A539" t="s">
        <v>76</v>
      </c>
      <c r="B539" t="s">
        <v>77</v>
      </c>
      <c r="C539" t="s">
        <v>437</v>
      </c>
      <c r="D539" t="s">
        <v>437</v>
      </c>
      <c r="E539" t="s">
        <v>89</v>
      </c>
      <c r="F539" t="s">
        <v>89</v>
      </c>
      <c r="G539" t="s">
        <v>90</v>
      </c>
      <c r="H539" t="s">
        <v>81</v>
      </c>
      <c r="J539" t="s">
        <v>83</v>
      </c>
      <c r="K539" t="s">
        <v>83</v>
      </c>
      <c r="L539">
        <v>4</v>
      </c>
      <c r="M539" t="s">
        <v>83</v>
      </c>
      <c r="O539" t="s">
        <v>83</v>
      </c>
      <c r="P539" t="s">
        <v>84</v>
      </c>
      <c r="Q539" t="s">
        <v>85</v>
      </c>
    </row>
    <row r="540" spans="1:17" hidden="1">
      <c r="A540" t="s">
        <v>76</v>
      </c>
      <c r="B540" t="s">
        <v>77</v>
      </c>
      <c r="C540" t="s">
        <v>437</v>
      </c>
      <c r="D540" t="s">
        <v>437</v>
      </c>
      <c r="E540" t="s">
        <v>438</v>
      </c>
      <c r="F540" t="s">
        <v>438</v>
      </c>
      <c r="G540" t="s">
        <v>90</v>
      </c>
      <c r="H540" t="s">
        <v>81</v>
      </c>
      <c r="I540" t="s">
        <v>82</v>
      </c>
      <c r="L540">
        <v>5</v>
      </c>
      <c r="M540" t="s">
        <v>83</v>
      </c>
      <c r="O540" t="s">
        <v>83</v>
      </c>
      <c r="P540" t="s">
        <v>100</v>
      </c>
      <c r="Q540" t="s">
        <v>85</v>
      </c>
    </row>
    <row r="541" spans="1:17" hidden="1">
      <c r="A541" t="s">
        <v>76</v>
      </c>
      <c r="B541" t="s">
        <v>77</v>
      </c>
      <c r="C541" t="s">
        <v>437</v>
      </c>
      <c r="D541" t="s">
        <v>437</v>
      </c>
      <c r="E541" t="s">
        <v>438</v>
      </c>
      <c r="F541" t="s">
        <v>439</v>
      </c>
      <c r="G541" t="s">
        <v>90</v>
      </c>
      <c r="H541" t="s">
        <v>81</v>
      </c>
      <c r="L541">
        <v>6</v>
      </c>
      <c r="M541" t="s">
        <v>83</v>
      </c>
      <c r="O541" t="s">
        <v>83</v>
      </c>
      <c r="P541" t="s">
        <v>84</v>
      </c>
      <c r="Q541" t="s">
        <v>85</v>
      </c>
    </row>
    <row r="542" spans="1:17" hidden="1">
      <c r="A542" t="s">
        <v>76</v>
      </c>
      <c r="B542" t="s">
        <v>77</v>
      </c>
      <c r="C542" t="s">
        <v>437</v>
      </c>
      <c r="D542" t="s">
        <v>437</v>
      </c>
      <c r="E542" t="s">
        <v>91</v>
      </c>
      <c r="F542" t="s">
        <v>91</v>
      </c>
      <c r="G542" t="s">
        <v>92</v>
      </c>
      <c r="H542" t="s">
        <v>81</v>
      </c>
      <c r="J542" t="s">
        <v>83</v>
      </c>
      <c r="L542">
        <v>7</v>
      </c>
      <c r="M542" t="s">
        <v>83</v>
      </c>
      <c r="O542" t="s">
        <v>83</v>
      </c>
      <c r="P542" t="s">
        <v>84</v>
      </c>
      <c r="Q542" t="s">
        <v>85</v>
      </c>
    </row>
    <row r="543" spans="1:17" hidden="1">
      <c r="A543" t="s">
        <v>76</v>
      </c>
      <c r="B543" t="s">
        <v>77</v>
      </c>
      <c r="C543" t="s">
        <v>437</v>
      </c>
      <c r="D543" t="s">
        <v>437</v>
      </c>
      <c r="E543" t="s">
        <v>440</v>
      </c>
      <c r="F543" t="s">
        <v>440</v>
      </c>
      <c r="G543" t="s">
        <v>94</v>
      </c>
      <c r="H543" t="s">
        <v>81</v>
      </c>
      <c r="L543">
        <v>8</v>
      </c>
      <c r="M543" t="s">
        <v>83</v>
      </c>
      <c r="O543" t="s">
        <v>83</v>
      </c>
      <c r="P543" t="s">
        <v>84</v>
      </c>
      <c r="Q543" t="s">
        <v>85</v>
      </c>
    </row>
    <row r="544" spans="1:17" hidden="1">
      <c r="A544" t="s">
        <v>76</v>
      </c>
      <c r="B544" t="s">
        <v>77</v>
      </c>
      <c r="C544" t="s">
        <v>437</v>
      </c>
      <c r="D544" t="s">
        <v>437</v>
      </c>
      <c r="E544" t="s">
        <v>441</v>
      </c>
      <c r="F544" t="s">
        <v>441</v>
      </c>
      <c r="G544" t="s">
        <v>88</v>
      </c>
      <c r="H544" t="s">
        <v>81</v>
      </c>
      <c r="L544">
        <v>9</v>
      </c>
      <c r="M544" t="s">
        <v>83</v>
      </c>
      <c r="O544" t="s">
        <v>83</v>
      </c>
      <c r="P544" t="s">
        <v>84</v>
      </c>
      <c r="Q544" t="s">
        <v>85</v>
      </c>
    </row>
    <row r="545" spans="1:17" hidden="1">
      <c r="A545" t="s">
        <v>76</v>
      </c>
      <c r="B545" t="s">
        <v>77</v>
      </c>
      <c r="C545" t="s">
        <v>437</v>
      </c>
      <c r="D545" t="s">
        <v>437</v>
      </c>
      <c r="E545" t="s">
        <v>442</v>
      </c>
      <c r="F545" t="s">
        <v>442</v>
      </c>
      <c r="G545" t="s">
        <v>94</v>
      </c>
      <c r="H545" t="s">
        <v>81</v>
      </c>
      <c r="L545">
        <v>10</v>
      </c>
      <c r="M545" t="s">
        <v>83</v>
      </c>
      <c r="O545" t="s">
        <v>83</v>
      </c>
      <c r="P545" t="s">
        <v>84</v>
      </c>
      <c r="Q545" t="s">
        <v>85</v>
      </c>
    </row>
    <row r="546" spans="1:17" hidden="1">
      <c r="A546" t="s">
        <v>76</v>
      </c>
      <c r="B546" t="s">
        <v>77</v>
      </c>
      <c r="C546" t="s">
        <v>437</v>
      </c>
      <c r="D546" t="s">
        <v>437</v>
      </c>
      <c r="E546" t="s">
        <v>443</v>
      </c>
      <c r="F546" t="s">
        <v>443</v>
      </c>
      <c r="G546" t="s">
        <v>98</v>
      </c>
      <c r="H546" t="s">
        <v>81</v>
      </c>
      <c r="L546">
        <v>11</v>
      </c>
      <c r="M546" t="s">
        <v>83</v>
      </c>
      <c r="O546" t="s">
        <v>83</v>
      </c>
      <c r="P546" t="s">
        <v>84</v>
      </c>
      <c r="Q546" t="s">
        <v>85</v>
      </c>
    </row>
    <row r="547" spans="1:17" hidden="1">
      <c r="A547" t="s">
        <v>76</v>
      </c>
      <c r="B547" t="s">
        <v>77</v>
      </c>
      <c r="C547" t="s">
        <v>437</v>
      </c>
      <c r="D547" t="s">
        <v>437</v>
      </c>
      <c r="E547" t="s">
        <v>444</v>
      </c>
      <c r="F547" t="s">
        <v>444</v>
      </c>
      <c r="G547" t="s">
        <v>98</v>
      </c>
      <c r="H547" t="s">
        <v>81</v>
      </c>
      <c r="L547">
        <v>12</v>
      </c>
      <c r="M547" t="s">
        <v>83</v>
      </c>
      <c r="O547" t="s">
        <v>83</v>
      </c>
      <c r="P547" t="s">
        <v>84</v>
      </c>
      <c r="Q547" t="s">
        <v>85</v>
      </c>
    </row>
    <row r="548" spans="1:17" hidden="1">
      <c r="A548" t="s">
        <v>76</v>
      </c>
      <c r="B548" t="s">
        <v>77</v>
      </c>
      <c r="C548" t="s">
        <v>437</v>
      </c>
      <c r="D548" t="s">
        <v>437</v>
      </c>
      <c r="E548" t="s">
        <v>445</v>
      </c>
      <c r="F548" t="s">
        <v>445</v>
      </c>
      <c r="G548" t="s">
        <v>98</v>
      </c>
      <c r="H548" t="s">
        <v>81</v>
      </c>
      <c r="L548">
        <v>13</v>
      </c>
      <c r="M548" t="s">
        <v>83</v>
      </c>
      <c r="O548" t="s">
        <v>83</v>
      </c>
      <c r="P548" t="s">
        <v>84</v>
      </c>
      <c r="Q548" t="s">
        <v>85</v>
      </c>
    </row>
    <row r="549" spans="1:17" hidden="1">
      <c r="A549" t="s">
        <v>76</v>
      </c>
      <c r="B549" t="s">
        <v>77</v>
      </c>
      <c r="C549" t="s">
        <v>437</v>
      </c>
      <c r="D549" t="s">
        <v>437</v>
      </c>
      <c r="E549" t="s">
        <v>117</v>
      </c>
      <c r="F549" t="s">
        <v>117</v>
      </c>
      <c r="G549" t="s">
        <v>90</v>
      </c>
      <c r="H549" t="s">
        <v>81</v>
      </c>
      <c r="L549">
        <v>14</v>
      </c>
      <c r="M549" t="s">
        <v>83</v>
      </c>
      <c r="O549" t="s">
        <v>83</v>
      </c>
      <c r="P549" t="s">
        <v>84</v>
      </c>
      <c r="Q549" t="s">
        <v>85</v>
      </c>
    </row>
    <row r="550" spans="1:17" hidden="1">
      <c r="A550" t="s">
        <v>76</v>
      </c>
      <c r="B550" t="s">
        <v>77</v>
      </c>
      <c r="C550" t="s">
        <v>437</v>
      </c>
      <c r="D550" t="s">
        <v>437</v>
      </c>
      <c r="E550" t="s">
        <v>328</v>
      </c>
      <c r="F550" t="s">
        <v>328</v>
      </c>
      <c r="G550" t="s">
        <v>90</v>
      </c>
      <c r="H550" t="s">
        <v>81</v>
      </c>
      <c r="L550">
        <v>15</v>
      </c>
      <c r="M550" t="s">
        <v>83</v>
      </c>
      <c r="O550" t="s">
        <v>83</v>
      </c>
      <c r="P550" t="s">
        <v>84</v>
      </c>
      <c r="Q550" t="s">
        <v>85</v>
      </c>
    </row>
    <row r="551" spans="1:17" hidden="1">
      <c r="A551" t="s">
        <v>76</v>
      </c>
      <c r="B551" t="s">
        <v>77</v>
      </c>
      <c r="C551" t="s">
        <v>437</v>
      </c>
      <c r="D551" t="s">
        <v>437</v>
      </c>
      <c r="E551" t="s">
        <v>112</v>
      </c>
      <c r="F551" t="s">
        <v>112</v>
      </c>
      <c r="G551" t="s">
        <v>113</v>
      </c>
      <c r="H551" t="s">
        <v>81</v>
      </c>
      <c r="I551" t="s">
        <v>114</v>
      </c>
      <c r="L551">
        <v>16</v>
      </c>
      <c r="M551" t="s">
        <v>83</v>
      </c>
      <c r="O551" t="s">
        <v>83</v>
      </c>
      <c r="P551" t="s">
        <v>84</v>
      </c>
      <c r="Q551" t="s">
        <v>85</v>
      </c>
    </row>
    <row r="552" spans="1:17" hidden="1">
      <c r="A552" t="s">
        <v>76</v>
      </c>
      <c r="B552" t="s">
        <v>77</v>
      </c>
      <c r="C552" t="s">
        <v>437</v>
      </c>
      <c r="D552" t="s">
        <v>437</v>
      </c>
      <c r="E552" t="s">
        <v>115</v>
      </c>
      <c r="F552" t="s">
        <v>115</v>
      </c>
      <c r="G552" t="s">
        <v>113</v>
      </c>
      <c r="H552" t="s">
        <v>81</v>
      </c>
      <c r="I552" t="s">
        <v>114</v>
      </c>
      <c r="L552">
        <v>17</v>
      </c>
      <c r="M552" t="s">
        <v>83</v>
      </c>
      <c r="O552" t="s">
        <v>83</v>
      </c>
      <c r="P552" t="s">
        <v>84</v>
      </c>
      <c r="Q552" t="s">
        <v>85</v>
      </c>
    </row>
    <row r="553" spans="1:17" hidden="1">
      <c r="A553" t="s">
        <v>76</v>
      </c>
      <c r="B553" t="s">
        <v>77</v>
      </c>
      <c r="C553" t="s">
        <v>437</v>
      </c>
      <c r="D553" t="s">
        <v>437</v>
      </c>
      <c r="E553" t="s">
        <v>118</v>
      </c>
      <c r="F553" t="s">
        <v>118</v>
      </c>
      <c r="G553" t="s">
        <v>92</v>
      </c>
      <c r="H553" t="s">
        <v>81</v>
      </c>
      <c r="L553">
        <v>24</v>
      </c>
      <c r="M553" t="s">
        <v>83</v>
      </c>
      <c r="O553" t="s">
        <v>83</v>
      </c>
      <c r="P553" t="s">
        <v>84</v>
      </c>
      <c r="Q553" t="s">
        <v>85</v>
      </c>
    </row>
    <row r="554" spans="1:17" hidden="1">
      <c r="A554" t="s">
        <v>76</v>
      </c>
      <c r="B554" t="s">
        <v>77</v>
      </c>
      <c r="C554" t="s">
        <v>446</v>
      </c>
      <c r="D554" t="s">
        <v>446</v>
      </c>
      <c r="E554" t="s">
        <v>79</v>
      </c>
      <c r="F554" t="s">
        <v>79</v>
      </c>
      <c r="G554" t="s">
        <v>80</v>
      </c>
      <c r="H554" t="s">
        <v>81</v>
      </c>
      <c r="I554" t="s">
        <v>82</v>
      </c>
      <c r="L554">
        <v>1</v>
      </c>
      <c r="M554" t="s">
        <v>83</v>
      </c>
      <c r="O554" t="s">
        <v>83</v>
      </c>
      <c r="P554" t="s">
        <v>84</v>
      </c>
      <c r="Q554" t="s">
        <v>85</v>
      </c>
    </row>
    <row r="555" spans="1:17" hidden="1">
      <c r="A555" t="s">
        <v>76</v>
      </c>
      <c r="B555" t="s">
        <v>77</v>
      </c>
      <c r="C555" t="s">
        <v>446</v>
      </c>
      <c r="D555" t="s">
        <v>446</v>
      </c>
      <c r="E555" t="s">
        <v>86</v>
      </c>
      <c r="F555" t="s">
        <v>86</v>
      </c>
      <c r="G555" t="s">
        <v>80</v>
      </c>
      <c r="H555" t="s">
        <v>81</v>
      </c>
      <c r="I555" t="s">
        <v>82</v>
      </c>
      <c r="L555">
        <v>2</v>
      </c>
      <c r="M555" t="s">
        <v>83</v>
      </c>
      <c r="O555" t="s">
        <v>83</v>
      </c>
      <c r="P555" t="s">
        <v>84</v>
      </c>
      <c r="Q555" t="s">
        <v>85</v>
      </c>
    </row>
    <row r="556" spans="1:17" hidden="1">
      <c r="A556" t="s">
        <v>76</v>
      </c>
      <c r="B556" t="s">
        <v>77</v>
      </c>
      <c r="C556" t="s">
        <v>446</v>
      </c>
      <c r="D556" t="s">
        <v>446</v>
      </c>
      <c r="E556" t="s">
        <v>87</v>
      </c>
      <c r="F556" t="s">
        <v>87</v>
      </c>
      <c r="G556" t="s">
        <v>88</v>
      </c>
      <c r="H556" t="s">
        <v>81</v>
      </c>
      <c r="J556" t="s">
        <v>83</v>
      </c>
      <c r="L556">
        <v>3</v>
      </c>
      <c r="M556" t="s">
        <v>83</v>
      </c>
      <c r="O556" t="s">
        <v>83</v>
      </c>
      <c r="P556" t="s">
        <v>84</v>
      </c>
      <c r="Q556" t="s">
        <v>85</v>
      </c>
    </row>
    <row r="557" spans="1:17" hidden="1">
      <c r="A557" t="s">
        <v>76</v>
      </c>
      <c r="B557" t="s">
        <v>77</v>
      </c>
      <c r="C557" t="s">
        <v>446</v>
      </c>
      <c r="D557" t="s">
        <v>446</v>
      </c>
      <c r="E557" t="s">
        <v>89</v>
      </c>
      <c r="F557" t="s">
        <v>89</v>
      </c>
      <c r="G557" t="s">
        <v>90</v>
      </c>
      <c r="H557" t="s">
        <v>81</v>
      </c>
      <c r="J557" t="s">
        <v>83</v>
      </c>
      <c r="K557" t="s">
        <v>83</v>
      </c>
      <c r="L557">
        <v>4</v>
      </c>
      <c r="M557" t="s">
        <v>83</v>
      </c>
      <c r="O557" t="s">
        <v>83</v>
      </c>
      <c r="P557" t="s">
        <v>84</v>
      </c>
      <c r="Q557" t="s">
        <v>85</v>
      </c>
    </row>
    <row r="558" spans="1:17" hidden="1">
      <c r="A558" t="s">
        <v>76</v>
      </c>
      <c r="B558" t="s">
        <v>77</v>
      </c>
      <c r="C558" t="s">
        <v>446</v>
      </c>
      <c r="D558" t="s">
        <v>446</v>
      </c>
      <c r="E558" t="s">
        <v>447</v>
      </c>
      <c r="F558" t="s">
        <v>447</v>
      </c>
      <c r="G558" t="s">
        <v>90</v>
      </c>
      <c r="H558" t="s">
        <v>81</v>
      </c>
      <c r="I558" t="s">
        <v>82</v>
      </c>
      <c r="L558">
        <v>5</v>
      </c>
      <c r="M558" t="s">
        <v>83</v>
      </c>
      <c r="O558" t="s">
        <v>83</v>
      </c>
      <c r="P558" t="s">
        <v>100</v>
      </c>
      <c r="Q558" t="s">
        <v>85</v>
      </c>
    </row>
    <row r="559" spans="1:17" hidden="1">
      <c r="A559" t="s">
        <v>76</v>
      </c>
      <c r="B559" t="s">
        <v>77</v>
      </c>
      <c r="C559" t="s">
        <v>446</v>
      </c>
      <c r="D559" t="s">
        <v>446</v>
      </c>
      <c r="E559" t="s">
        <v>447</v>
      </c>
      <c r="F559" t="s">
        <v>448</v>
      </c>
      <c r="G559" t="s">
        <v>90</v>
      </c>
      <c r="H559" t="s">
        <v>81</v>
      </c>
      <c r="L559">
        <v>6</v>
      </c>
      <c r="M559" t="s">
        <v>83</v>
      </c>
      <c r="O559" t="s">
        <v>83</v>
      </c>
      <c r="P559" t="s">
        <v>84</v>
      </c>
      <c r="Q559" t="s">
        <v>85</v>
      </c>
    </row>
    <row r="560" spans="1:17" hidden="1">
      <c r="A560" t="s">
        <v>76</v>
      </c>
      <c r="B560" t="s">
        <v>77</v>
      </c>
      <c r="C560" t="s">
        <v>446</v>
      </c>
      <c r="D560" t="s">
        <v>446</v>
      </c>
      <c r="E560" t="s">
        <v>91</v>
      </c>
      <c r="F560" t="s">
        <v>91</v>
      </c>
      <c r="G560" t="s">
        <v>92</v>
      </c>
      <c r="H560" t="s">
        <v>81</v>
      </c>
      <c r="J560" t="s">
        <v>83</v>
      </c>
      <c r="L560">
        <v>7</v>
      </c>
      <c r="M560" t="s">
        <v>83</v>
      </c>
      <c r="O560" t="s">
        <v>83</v>
      </c>
      <c r="P560" t="s">
        <v>84</v>
      </c>
      <c r="Q560" t="s">
        <v>85</v>
      </c>
    </row>
    <row r="561" spans="1:17" hidden="1">
      <c r="A561" t="s">
        <v>76</v>
      </c>
      <c r="B561" t="s">
        <v>77</v>
      </c>
      <c r="C561" t="s">
        <v>446</v>
      </c>
      <c r="D561" t="s">
        <v>446</v>
      </c>
      <c r="E561" t="s">
        <v>449</v>
      </c>
      <c r="F561" t="s">
        <v>449</v>
      </c>
      <c r="G561" t="s">
        <v>94</v>
      </c>
      <c r="H561" t="s">
        <v>81</v>
      </c>
      <c r="L561">
        <v>8</v>
      </c>
      <c r="M561" t="s">
        <v>83</v>
      </c>
      <c r="O561" t="s">
        <v>83</v>
      </c>
      <c r="P561" t="s">
        <v>84</v>
      </c>
      <c r="Q561" t="s">
        <v>85</v>
      </c>
    </row>
    <row r="562" spans="1:17" hidden="1">
      <c r="A562" t="s">
        <v>76</v>
      </c>
      <c r="B562" t="s">
        <v>77</v>
      </c>
      <c r="C562" t="s">
        <v>446</v>
      </c>
      <c r="D562" t="s">
        <v>446</v>
      </c>
      <c r="E562" t="s">
        <v>450</v>
      </c>
      <c r="F562" t="s">
        <v>450</v>
      </c>
      <c r="G562" t="s">
        <v>88</v>
      </c>
      <c r="H562" t="s">
        <v>81</v>
      </c>
      <c r="L562">
        <v>9</v>
      </c>
      <c r="M562" t="s">
        <v>83</v>
      </c>
      <c r="O562" t="s">
        <v>83</v>
      </c>
      <c r="P562" t="s">
        <v>84</v>
      </c>
      <c r="Q562" t="s">
        <v>85</v>
      </c>
    </row>
    <row r="563" spans="1:17" hidden="1">
      <c r="A563" t="s">
        <v>76</v>
      </c>
      <c r="B563" t="s">
        <v>77</v>
      </c>
      <c r="C563" t="s">
        <v>446</v>
      </c>
      <c r="D563" t="s">
        <v>446</v>
      </c>
      <c r="E563" t="s">
        <v>451</v>
      </c>
      <c r="F563" t="s">
        <v>451</v>
      </c>
      <c r="G563" t="s">
        <v>94</v>
      </c>
      <c r="H563" t="s">
        <v>81</v>
      </c>
      <c r="L563">
        <v>10</v>
      </c>
      <c r="M563" t="s">
        <v>83</v>
      </c>
      <c r="O563" t="s">
        <v>83</v>
      </c>
      <c r="P563" t="s">
        <v>84</v>
      </c>
      <c r="Q563" t="s">
        <v>85</v>
      </c>
    </row>
    <row r="564" spans="1:17" hidden="1">
      <c r="A564" t="s">
        <v>76</v>
      </c>
      <c r="B564" t="s">
        <v>77</v>
      </c>
      <c r="C564" t="s">
        <v>446</v>
      </c>
      <c r="D564" t="s">
        <v>446</v>
      </c>
      <c r="E564" t="s">
        <v>452</v>
      </c>
      <c r="F564" t="s">
        <v>452</v>
      </c>
      <c r="G564" t="s">
        <v>98</v>
      </c>
      <c r="H564" t="s">
        <v>81</v>
      </c>
      <c r="L564">
        <v>11</v>
      </c>
      <c r="M564" t="s">
        <v>83</v>
      </c>
      <c r="O564" t="s">
        <v>83</v>
      </c>
      <c r="P564" t="s">
        <v>84</v>
      </c>
      <c r="Q564" t="s">
        <v>85</v>
      </c>
    </row>
    <row r="565" spans="1:17" hidden="1">
      <c r="A565" t="s">
        <v>76</v>
      </c>
      <c r="B565" t="s">
        <v>77</v>
      </c>
      <c r="C565" t="s">
        <v>446</v>
      </c>
      <c r="D565" t="s">
        <v>446</v>
      </c>
      <c r="E565" t="s">
        <v>453</v>
      </c>
      <c r="F565" t="s">
        <v>453</v>
      </c>
      <c r="G565" t="s">
        <v>98</v>
      </c>
      <c r="H565" t="s">
        <v>81</v>
      </c>
      <c r="L565">
        <v>12</v>
      </c>
      <c r="M565" t="s">
        <v>83</v>
      </c>
      <c r="O565" t="s">
        <v>83</v>
      </c>
      <c r="P565" t="s">
        <v>84</v>
      </c>
      <c r="Q565" t="s">
        <v>85</v>
      </c>
    </row>
    <row r="566" spans="1:17" hidden="1">
      <c r="A566" t="s">
        <v>76</v>
      </c>
      <c r="B566" t="s">
        <v>77</v>
      </c>
      <c r="C566" t="s">
        <v>446</v>
      </c>
      <c r="D566" t="s">
        <v>446</v>
      </c>
      <c r="E566" t="s">
        <v>454</v>
      </c>
      <c r="F566" t="s">
        <v>454</v>
      </c>
      <c r="G566" t="s">
        <v>98</v>
      </c>
      <c r="H566" t="s">
        <v>81</v>
      </c>
      <c r="L566">
        <v>13</v>
      </c>
      <c r="M566" t="s">
        <v>83</v>
      </c>
      <c r="O566" t="s">
        <v>83</v>
      </c>
      <c r="P566" t="s">
        <v>84</v>
      </c>
      <c r="Q566" t="s">
        <v>85</v>
      </c>
    </row>
    <row r="567" spans="1:17" hidden="1">
      <c r="A567" t="s">
        <v>76</v>
      </c>
      <c r="B567" t="s">
        <v>77</v>
      </c>
      <c r="C567" t="s">
        <v>446</v>
      </c>
      <c r="D567" t="s">
        <v>446</v>
      </c>
      <c r="E567" t="s">
        <v>455</v>
      </c>
      <c r="F567" t="s">
        <v>455</v>
      </c>
      <c r="G567" t="s">
        <v>188</v>
      </c>
      <c r="H567" t="s">
        <v>81</v>
      </c>
      <c r="L567">
        <v>14</v>
      </c>
      <c r="M567" t="s">
        <v>83</v>
      </c>
      <c r="O567" t="s">
        <v>83</v>
      </c>
      <c r="P567" t="s">
        <v>84</v>
      </c>
      <c r="Q567" t="s">
        <v>85</v>
      </c>
    </row>
    <row r="568" spans="1:17" hidden="1">
      <c r="A568" t="s">
        <v>76</v>
      </c>
      <c r="B568" t="s">
        <v>77</v>
      </c>
      <c r="C568" t="s">
        <v>446</v>
      </c>
      <c r="D568" t="s">
        <v>446</v>
      </c>
      <c r="E568" t="s">
        <v>112</v>
      </c>
      <c r="F568" t="s">
        <v>112</v>
      </c>
      <c r="G568" t="s">
        <v>113</v>
      </c>
      <c r="H568" t="s">
        <v>81</v>
      </c>
      <c r="I568" t="s">
        <v>114</v>
      </c>
      <c r="L568">
        <v>15</v>
      </c>
      <c r="M568" t="s">
        <v>83</v>
      </c>
      <c r="O568" t="s">
        <v>83</v>
      </c>
      <c r="P568" t="s">
        <v>84</v>
      </c>
      <c r="Q568" t="s">
        <v>85</v>
      </c>
    </row>
    <row r="569" spans="1:17" hidden="1">
      <c r="A569" t="s">
        <v>76</v>
      </c>
      <c r="B569" t="s">
        <v>77</v>
      </c>
      <c r="C569" t="s">
        <v>446</v>
      </c>
      <c r="D569" t="s">
        <v>446</v>
      </c>
      <c r="E569" t="s">
        <v>115</v>
      </c>
      <c r="F569" t="s">
        <v>115</v>
      </c>
      <c r="G569" t="s">
        <v>113</v>
      </c>
      <c r="H569" t="s">
        <v>81</v>
      </c>
      <c r="I569" t="s">
        <v>114</v>
      </c>
      <c r="L569">
        <v>16</v>
      </c>
      <c r="M569" t="s">
        <v>83</v>
      </c>
      <c r="O569" t="s">
        <v>83</v>
      </c>
      <c r="P569" t="s">
        <v>84</v>
      </c>
      <c r="Q569" t="s">
        <v>85</v>
      </c>
    </row>
    <row r="570" spans="1:17" hidden="1">
      <c r="A570" t="s">
        <v>76</v>
      </c>
      <c r="B570" t="s">
        <v>77</v>
      </c>
      <c r="C570" t="s">
        <v>446</v>
      </c>
      <c r="D570" t="s">
        <v>446</v>
      </c>
      <c r="E570" t="s">
        <v>117</v>
      </c>
      <c r="F570" t="s">
        <v>117</v>
      </c>
      <c r="G570" t="s">
        <v>90</v>
      </c>
      <c r="H570" t="s">
        <v>81</v>
      </c>
      <c r="L570">
        <v>23</v>
      </c>
      <c r="M570" t="s">
        <v>83</v>
      </c>
      <c r="O570" t="s">
        <v>83</v>
      </c>
      <c r="P570" t="s">
        <v>84</v>
      </c>
      <c r="Q570" t="s">
        <v>85</v>
      </c>
    </row>
    <row r="571" spans="1:17" hidden="1">
      <c r="A571" t="s">
        <v>76</v>
      </c>
      <c r="B571" t="s">
        <v>77</v>
      </c>
      <c r="C571" t="s">
        <v>446</v>
      </c>
      <c r="D571" t="s">
        <v>446</v>
      </c>
      <c r="E571" t="s">
        <v>328</v>
      </c>
      <c r="F571" t="s">
        <v>328</v>
      </c>
      <c r="G571" t="s">
        <v>90</v>
      </c>
      <c r="H571" t="s">
        <v>81</v>
      </c>
      <c r="L571">
        <v>24</v>
      </c>
      <c r="M571" t="s">
        <v>83</v>
      </c>
      <c r="O571" t="s">
        <v>83</v>
      </c>
      <c r="P571" t="s">
        <v>84</v>
      </c>
      <c r="Q571" t="s">
        <v>85</v>
      </c>
    </row>
    <row r="572" spans="1:17" hidden="1">
      <c r="A572" t="s">
        <v>76</v>
      </c>
      <c r="B572" t="s">
        <v>77</v>
      </c>
      <c r="C572" t="s">
        <v>446</v>
      </c>
      <c r="D572" t="s">
        <v>446</v>
      </c>
      <c r="E572" t="s">
        <v>118</v>
      </c>
      <c r="F572" t="s">
        <v>118</v>
      </c>
      <c r="G572" t="s">
        <v>92</v>
      </c>
      <c r="H572" t="s">
        <v>81</v>
      </c>
      <c r="L572">
        <v>25</v>
      </c>
      <c r="M572" t="s">
        <v>83</v>
      </c>
      <c r="O572" t="s">
        <v>83</v>
      </c>
      <c r="P572" t="s">
        <v>84</v>
      </c>
      <c r="Q572" t="s">
        <v>85</v>
      </c>
    </row>
    <row r="573" spans="1:17" hidden="1">
      <c r="A573" t="s">
        <v>76</v>
      </c>
      <c r="B573" t="s">
        <v>77</v>
      </c>
      <c r="C573" t="s">
        <v>456</v>
      </c>
      <c r="D573" t="s">
        <v>456</v>
      </c>
      <c r="E573" t="s">
        <v>79</v>
      </c>
      <c r="F573" t="s">
        <v>79</v>
      </c>
      <c r="G573" t="s">
        <v>80</v>
      </c>
      <c r="H573" t="s">
        <v>81</v>
      </c>
      <c r="I573" t="s">
        <v>82</v>
      </c>
      <c r="L573">
        <v>1</v>
      </c>
      <c r="M573" t="s">
        <v>83</v>
      </c>
      <c r="O573" t="s">
        <v>83</v>
      </c>
      <c r="P573" t="s">
        <v>84</v>
      </c>
      <c r="Q573" t="s">
        <v>85</v>
      </c>
    </row>
    <row r="574" spans="1:17" hidden="1">
      <c r="A574" t="s">
        <v>76</v>
      </c>
      <c r="B574" t="s">
        <v>77</v>
      </c>
      <c r="C574" t="s">
        <v>456</v>
      </c>
      <c r="D574" t="s">
        <v>456</v>
      </c>
      <c r="E574" t="s">
        <v>86</v>
      </c>
      <c r="F574" t="s">
        <v>86</v>
      </c>
      <c r="G574" t="s">
        <v>80</v>
      </c>
      <c r="H574" t="s">
        <v>81</v>
      </c>
      <c r="I574" t="s">
        <v>82</v>
      </c>
      <c r="L574">
        <v>2</v>
      </c>
      <c r="M574" t="s">
        <v>83</v>
      </c>
      <c r="O574" t="s">
        <v>83</v>
      </c>
      <c r="P574" t="s">
        <v>84</v>
      </c>
      <c r="Q574" t="s">
        <v>85</v>
      </c>
    </row>
    <row r="575" spans="1:17" hidden="1">
      <c r="A575" t="s">
        <v>76</v>
      </c>
      <c r="B575" t="s">
        <v>77</v>
      </c>
      <c r="C575" t="s">
        <v>456</v>
      </c>
      <c r="D575" t="s">
        <v>456</v>
      </c>
      <c r="E575" t="s">
        <v>87</v>
      </c>
      <c r="F575" t="s">
        <v>87</v>
      </c>
      <c r="G575" t="s">
        <v>88</v>
      </c>
      <c r="H575" t="s">
        <v>81</v>
      </c>
      <c r="J575" t="s">
        <v>83</v>
      </c>
      <c r="L575">
        <v>3</v>
      </c>
      <c r="M575" t="s">
        <v>83</v>
      </c>
      <c r="O575" t="s">
        <v>83</v>
      </c>
      <c r="P575" t="s">
        <v>84</v>
      </c>
      <c r="Q575" t="s">
        <v>85</v>
      </c>
    </row>
    <row r="576" spans="1:17" hidden="1">
      <c r="A576" t="s">
        <v>76</v>
      </c>
      <c r="B576" t="s">
        <v>77</v>
      </c>
      <c r="C576" t="s">
        <v>456</v>
      </c>
      <c r="D576" t="s">
        <v>456</v>
      </c>
      <c r="E576" t="s">
        <v>89</v>
      </c>
      <c r="F576" t="s">
        <v>89</v>
      </c>
      <c r="G576" t="s">
        <v>90</v>
      </c>
      <c r="H576" t="s">
        <v>81</v>
      </c>
      <c r="J576" t="s">
        <v>83</v>
      </c>
      <c r="K576" t="s">
        <v>83</v>
      </c>
      <c r="L576">
        <v>4</v>
      </c>
      <c r="M576" t="s">
        <v>83</v>
      </c>
      <c r="O576" t="s">
        <v>83</v>
      </c>
      <c r="P576" t="s">
        <v>84</v>
      </c>
      <c r="Q576" t="s">
        <v>85</v>
      </c>
    </row>
    <row r="577" spans="1:17" hidden="1">
      <c r="A577" t="s">
        <v>76</v>
      </c>
      <c r="B577" t="s">
        <v>77</v>
      </c>
      <c r="C577" t="s">
        <v>456</v>
      </c>
      <c r="D577" t="s">
        <v>456</v>
      </c>
      <c r="E577" t="s">
        <v>457</v>
      </c>
      <c r="F577" t="s">
        <v>457</v>
      </c>
      <c r="G577" t="s">
        <v>90</v>
      </c>
      <c r="H577" t="s">
        <v>81</v>
      </c>
      <c r="I577" t="s">
        <v>82</v>
      </c>
      <c r="L577">
        <v>5</v>
      </c>
      <c r="M577" t="s">
        <v>83</v>
      </c>
      <c r="O577" t="s">
        <v>83</v>
      </c>
      <c r="P577" t="s">
        <v>100</v>
      </c>
      <c r="Q577" t="s">
        <v>85</v>
      </c>
    </row>
    <row r="578" spans="1:17" hidden="1">
      <c r="A578" t="s">
        <v>76</v>
      </c>
      <c r="B578" t="s">
        <v>77</v>
      </c>
      <c r="C578" t="s">
        <v>456</v>
      </c>
      <c r="D578" t="s">
        <v>456</v>
      </c>
      <c r="E578" t="s">
        <v>457</v>
      </c>
      <c r="F578" t="s">
        <v>458</v>
      </c>
      <c r="G578" t="s">
        <v>90</v>
      </c>
      <c r="H578" t="s">
        <v>81</v>
      </c>
      <c r="L578">
        <v>6</v>
      </c>
      <c r="M578" t="s">
        <v>83</v>
      </c>
      <c r="O578" t="s">
        <v>83</v>
      </c>
      <c r="P578" t="s">
        <v>84</v>
      </c>
      <c r="Q578" t="s">
        <v>85</v>
      </c>
    </row>
    <row r="579" spans="1:17" hidden="1">
      <c r="A579" t="s">
        <v>76</v>
      </c>
      <c r="B579" t="s">
        <v>77</v>
      </c>
      <c r="C579" t="s">
        <v>456</v>
      </c>
      <c r="D579" t="s">
        <v>456</v>
      </c>
      <c r="E579" t="s">
        <v>91</v>
      </c>
      <c r="F579" t="s">
        <v>91</v>
      </c>
      <c r="G579" t="s">
        <v>92</v>
      </c>
      <c r="H579" t="s">
        <v>81</v>
      </c>
      <c r="J579" t="s">
        <v>83</v>
      </c>
      <c r="L579">
        <v>7</v>
      </c>
      <c r="M579" t="s">
        <v>83</v>
      </c>
      <c r="O579" t="s">
        <v>83</v>
      </c>
      <c r="P579" t="s">
        <v>84</v>
      </c>
      <c r="Q579" t="s">
        <v>85</v>
      </c>
    </row>
    <row r="580" spans="1:17" hidden="1">
      <c r="A580" t="s">
        <v>76</v>
      </c>
      <c r="B580" t="s">
        <v>77</v>
      </c>
      <c r="C580" t="s">
        <v>456</v>
      </c>
      <c r="D580" t="s">
        <v>456</v>
      </c>
      <c r="E580" t="s">
        <v>459</v>
      </c>
      <c r="F580" t="s">
        <v>459</v>
      </c>
      <c r="G580" t="s">
        <v>94</v>
      </c>
      <c r="H580" t="s">
        <v>81</v>
      </c>
      <c r="L580">
        <v>8</v>
      </c>
      <c r="M580" t="s">
        <v>83</v>
      </c>
      <c r="O580" t="s">
        <v>83</v>
      </c>
      <c r="P580" t="s">
        <v>84</v>
      </c>
      <c r="Q580" t="s">
        <v>85</v>
      </c>
    </row>
    <row r="581" spans="1:17" hidden="1">
      <c r="A581" t="s">
        <v>76</v>
      </c>
      <c r="B581" t="s">
        <v>77</v>
      </c>
      <c r="C581" t="s">
        <v>456</v>
      </c>
      <c r="D581" t="s">
        <v>456</v>
      </c>
      <c r="E581" t="s">
        <v>460</v>
      </c>
      <c r="F581" t="s">
        <v>460</v>
      </c>
      <c r="G581" t="s">
        <v>88</v>
      </c>
      <c r="H581" t="s">
        <v>81</v>
      </c>
      <c r="L581">
        <v>9</v>
      </c>
      <c r="M581" t="s">
        <v>83</v>
      </c>
      <c r="O581" t="s">
        <v>83</v>
      </c>
      <c r="P581" t="s">
        <v>84</v>
      </c>
      <c r="Q581" t="s">
        <v>85</v>
      </c>
    </row>
    <row r="582" spans="1:17" hidden="1">
      <c r="A582" t="s">
        <v>76</v>
      </c>
      <c r="B582" t="s">
        <v>77</v>
      </c>
      <c r="C582" t="s">
        <v>456</v>
      </c>
      <c r="D582" t="s">
        <v>456</v>
      </c>
      <c r="E582" t="s">
        <v>461</v>
      </c>
      <c r="F582" t="s">
        <v>461</v>
      </c>
      <c r="G582" t="s">
        <v>94</v>
      </c>
      <c r="H582" t="s">
        <v>81</v>
      </c>
      <c r="L582">
        <v>10</v>
      </c>
      <c r="M582" t="s">
        <v>83</v>
      </c>
      <c r="O582" t="s">
        <v>83</v>
      </c>
      <c r="P582" t="s">
        <v>84</v>
      </c>
      <c r="Q582" t="s">
        <v>85</v>
      </c>
    </row>
    <row r="583" spans="1:17" hidden="1">
      <c r="A583" t="s">
        <v>76</v>
      </c>
      <c r="B583" t="s">
        <v>77</v>
      </c>
      <c r="C583" t="s">
        <v>456</v>
      </c>
      <c r="D583" t="s">
        <v>456</v>
      </c>
      <c r="E583" t="s">
        <v>462</v>
      </c>
      <c r="F583" t="s">
        <v>462</v>
      </c>
      <c r="G583" t="s">
        <v>98</v>
      </c>
      <c r="H583" t="s">
        <v>81</v>
      </c>
      <c r="L583">
        <v>11</v>
      </c>
      <c r="M583" t="s">
        <v>83</v>
      </c>
      <c r="O583" t="s">
        <v>83</v>
      </c>
      <c r="P583" t="s">
        <v>84</v>
      </c>
      <c r="Q583" t="s">
        <v>85</v>
      </c>
    </row>
    <row r="584" spans="1:17" hidden="1">
      <c r="A584" t="s">
        <v>76</v>
      </c>
      <c r="B584" t="s">
        <v>77</v>
      </c>
      <c r="C584" t="s">
        <v>456</v>
      </c>
      <c r="D584" t="s">
        <v>456</v>
      </c>
      <c r="E584" t="s">
        <v>463</v>
      </c>
      <c r="F584" t="s">
        <v>463</v>
      </c>
      <c r="G584" t="s">
        <v>98</v>
      </c>
      <c r="H584" t="s">
        <v>81</v>
      </c>
      <c r="L584">
        <v>12</v>
      </c>
      <c r="M584" t="s">
        <v>83</v>
      </c>
      <c r="O584" t="s">
        <v>83</v>
      </c>
      <c r="P584" t="s">
        <v>84</v>
      </c>
      <c r="Q584" t="s">
        <v>85</v>
      </c>
    </row>
    <row r="585" spans="1:17" hidden="1">
      <c r="A585" t="s">
        <v>76</v>
      </c>
      <c r="B585" t="s">
        <v>77</v>
      </c>
      <c r="C585" t="s">
        <v>456</v>
      </c>
      <c r="D585" t="s">
        <v>456</v>
      </c>
      <c r="E585" t="s">
        <v>464</v>
      </c>
      <c r="F585" t="s">
        <v>464</v>
      </c>
      <c r="G585" t="s">
        <v>98</v>
      </c>
      <c r="H585" t="s">
        <v>81</v>
      </c>
      <c r="L585">
        <v>13</v>
      </c>
      <c r="M585" t="s">
        <v>83</v>
      </c>
      <c r="O585" t="s">
        <v>83</v>
      </c>
      <c r="P585" t="s">
        <v>84</v>
      </c>
      <c r="Q585" t="s">
        <v>85</v>
      </c>
    </row>
    <row r="586" spans="1:17" hidden="1">
      <c r="A586" t="s">
        <v>76</v>
      </c>
      <c r="B586" t="s">
        <v>77</v>
      </c>
      <c r="C586" t="s">
        <v>456</v>
      </c>
      <c r="D586" t="s">
        <v>456</v>
      </c>
      <c r="E586" t="s">
        <v>465</v>
      </c>
      <c r="F586" t="s">
        <v>465</v>
      </c>
      <c r="G586" t="s">
        <v>188</v>
      </c>
      <c r="H586" t="s">
        <v>81</v>
      </c>
      <c r="L586">
        <v>14</v>
      </c>
      <c r="M586" t="s">
        <v>83</v>
      </c>
      <c r="O586" t="s">
        <v>83</v>
      </c>
      <c r="P586" t="s">
        <v>84</v>
      </c>
      <c r="Q586" t="s">
        <v>85</v>
      </c>
    </row>
    <row r="587" spans="1:17" hidden="1">
      <c r="A587" t="s">
        <v>76</v>
      </c>
      <c r="B587" t="s">
        <v>77</v>
      </c>
      <c r="C587" t="s">
        <v>456</v>
      </c>
      <c r="D587" t="s">
        <v>456</v>
      </c>
      <c r="E587" t="s">
        <v>112</v>
      </c>
      <c r="F587" t="s">
        <v>112</v>
      </c>
      <c r="G587" t="s">
        <v>113</v>
      </c>
      <c r="H587" t="s">
        <v>81</v>
      </c>
      <c r="I587" t="s">
        <v>114</v>
      </c>
      <c r="L587">
        <v>15</v>
      </c>
      <c r="M587" t="s">
        <v>83</v>
      </c>
      <c r="O587" t="s">
        <v>83</v>
      </c>
      <c r="P587" t="s">
        <v>84</v>
      </c>
      <c r="Q587" t="s">
        <v>85</v>
      </c>
    </row>
    <row r="588" spans="1:17" hidden="1">
      <c r="A588" t="s">
        <v>76</v>
      </c>
      <c r="B588" t="s">
        <v>77</v>
      </c>
      <c r="C588" t="s">
        <v>456</v>
      </c>
      <c r="D588" t="s">
        <v>456</v>
      </c>
      <c r="E588" t="s">
        <v>115</v>
      </c>
      <c r="F588" t="s">
        <v>115</v>
      </c>
      <c r="G588" t="s">
        <v>113</v>
      </c>
      <c r="H588" t="s">
        <v>81</v>
      </c>
      <c r="I588" t="s">
        <v>114</v>
      </c>
      <c r="L588">
        <v>16</v>
      </c>
      <c r="M588" t="s">
        <v>83</v>
      </c>
      <c r="O588" t="s">
        <v>83</v>
      </c>
      <c r="P588" t="s">
        <v>84</v>
      </c>
      <c r="Q588" t="s">
        <v>85</v>
      </c>
    </row>
    <row r="589" spans="1:17" hidden="1">
      <c r="A589" t="s">
        <v>76</v>
      </c>
      <c r="B589" t="s">
        <v>77</v>
      </c>
      <c r="C589" t="s">
        <v>456</v>
      </c>
      <c r="D589" t="s">
        <v>456</v>
      </c>
      <c r="E589" t="s">
        <v>327</v>
      </c>
      <c r="F589" t="s">
        <v>327</v>
      </c>
      <c r="G589" t="s">
        <v>90</v>
      </c>
      <c r="H589" t="s">
        <v>81</v>
      </c>
      <c r="L589">
        <v>17</v>
      </c>
      <c r="M589" t="s">
        <v>83</v>
      </c>
      <c r="O589" t="s">
        <v>83</v>
      </c>
      <c r="P589" t="s">
        <v>84</v>
      </c>
      <c r="Q589" t="s">
        <v>85</v>
      </c>
    </row>
    <row r="590" spans="1:17" hidden="1">
      <c r="A590" t="s">
        <v>76</v>
      </c>
      <c r="B590" t="s">
        <v>77</v>
      </c>
      <c r="C590" t="s">
        <v>456</v>
      </c>
      <c r="D590" t="s">
        <v>456</v>
      </c>
      <c r="E590" t="s">
        <v>117</v>
      </c>
      <c r="F590" t="s">
        <v>117</v>
      </c>
      <c r="G590" t="s">
        <v>90</v>
      </c>
      <c r="H590" t="s">
        <v>81</v>
      </c>
      <c r="L590">
        <v>24</v>
      </c>
      <c r="M590" t="s">
        <v>83</v>
      </c>
      <c r="O590" t="s">
        <v>83</v>
      </c>
      <c r="P590" t="s">
        <v>84</v>
      </c>
      <c r="Q590" t="s">
        <v>85</v>
      </c>
    </row>
    <row r="591" spans="1:17" hidden="1">
      <c r="A591" t="s">
        <v>76</v>
      </c>
      <c r="B591" t="s">
        <v>77</v>
      </c>
      <c r="C591" t="s">
        <v>456</v>
      </c>
      <c r="D591" t="s">
        <v>456</v>
      </c>
      <c r="E591" t="s">
        <v>328</v>
      </c>
      <c r="F591" t="s">
        <v>328</v>
      </c>
      <c r="G591" t="s">
        <v>90</v>
      </c>
      <c r="H591" t="s">
        <v>81</v>
      </c>
      <c r="L591">
        <v>25</v>
      </c>
      <c r="M591" t="s">
        <v>83</v>
      </c>
      <c r="O591" t="s">
        <v>83</v>
      </c>
      <c r="P591" t="s">
        <v>84</v>
      </c>
      <c r="Q591" t="s">
        <v>85</v>
      </c>
    </row>
    <row r="592" spans="1:17" hidden="1">
      <c r="A592" t="s">
        <v>76</v>
      </c>
      <c r="B592" t="s">
        <v>77</v>
      </c>
      <c r="C592" t="s">
        <v>456</v>
      </c>
      <c r="D592" t="s">
        <v>456</v>
      </c>
      <c r="E592" t="s">
        <v>118</v>
      </c>
      <c r="F592" t="s">
        <v>118</v>
      </c>
      <c r="G592" t="s">
        <v>92</v>
      </c>
      <c r="H592" t="s">
        <v>81</v>
      </c>
      <c r="L592">
        <v>26</v>
      </c>
      <c r="M592" t="s">
        <v>83</v>
      </c>
      <c r="O592" t="s">
        <v>83</v>
      </c>
      <c r="P592" t="s">
        <v>84</v>
      </c>
      <c r="Q592" t="s">
        <v>85</v>
      </c>
    </row>
    <row r="593" spans="1:17" hidden="1">
      <c r="A593" t="s">
        <v>76</v>
      </c>
      <c r="B593" t="s">
        <v>77</v>
      </c>
      <c r="C593" t="s">
        <v>466</v>
      </c>
      <c r="D593" t="s">
        <v>466</v>
      </c>
      <c r="E593" t="s">
        <v>79</v>
      </c>
      <c r="F593" t="s">
        <v>79</v>
      </c>
      <c r="G593" t="s">
        <v>80</v>
      </c>
      <c r="H593" t="s">
        <v>81</v>
      </c>
      <c r="I593" t="s">
        <v>82</v>
      </c>
      <c r="L593">
        <v>1</v>
      </c>
      <c r="M593" t="s">
        <v>83</v>
      </c>
      <c r="O593" t="s">
        <v>83</v>
      </c>
      <c r="P593" t="s">
        <v>84</v>
      </c>
      <c r="Q593" t="s">
        <v>85</v>
      </c>
    </row>
    <row r="594" spans="1:17" hidden="1">
      <c r="A594" t="s">
        <v>76</v>
      </c>
      <c r="B594" t="s">
        <v>77</v>
      </c>
      <c r="C594" t="s">
        <v>466</v>
      </c>
      <c r="D594" t="s">
        <v>466</v>
      </c>
      <c r="E594" t="s">
        <v>86</v>
      </c>
      <c r="F594" t="s">
        <v>86</v>
      </c>
      <c r="G594" t="s">
        <v>80</v>
      </c>
      <c r="H594" t="s">
        <v>81</v>
      </c>
      <c r="I594" t="s">
        <v>82</v>
      </c>
      <c r="L594">
        <v>2</v>
      </c>
      <c r="M594" t="s">
        <v>83</v>
      </c>
      <c r="O594" t="s">
        <v>83</v>
      </c>
      <c r="P594" t="s">
        <v>84</v>
      </c>
      <c r="Q594" t="s">
        <v>85</v>
      </c>
    </row>
    <row r="595" spans="1:17" hidden="1">
      <c r="A595" t="s">
        <v>76</v>
      </c>
      <c r="B595" t="s">
        <v>77</v>
      </c>
      <c r="C595" t="s">
        <v>466</v>
      </c>
      <c r="D595" t="s">
        <v>466</v>
      </c>
      <c r="E595" t="s">
        <v>87</v>
      </c>
      <c r="F595" t="s">
        <v>87</v>
      </c>
      <c r="G595" t="s">
        <v>88</v>
      </c>
      <c r="H595" t="s">
        <v>81</v>
      </c>
      <c r="J595" t="s">
        <v>83</v>
      </c>
      <c r="L595">
        <v>3</v>
      </c>
      <c r="M595" t="s">
        <v>83</v>
      </c>
      <c r="O595" t="s">
        <v>83</v>
      </c>
      <c r="P595" t="s">
        <v>84</v>
      </c>
      <c r="Q595" t="s">
        <v>85</v>
      </c>
    </row>
    <row r="596" spans="1:17" hidden="1">
      <c r="A596" t="s">
        <v>76</v>
      </c>
      <c r="B596" t="s">
        <v>77</v>
      </c>
      <c r="C596" t="s">
        <v>466</v>
      </c>
      <c r="D596" t="s">
        <v>466</v>
      </c>
      <c r="E596" t="s">
        <v>89</v>
      </c>
      <c r="F596" t="s">
        <v>89</v>
      </c>
      <c r="G596" t="s">
        <v>90</v>
      </c>
      <c r="H596" t="s">
        <v>81</v>
      </c>
      <c r="J596" t="s">
        <v>83</v>
      </c>
      <c r="K596" t="s">
        <v>83</v>
      </c>
      <c r="L596">
        <v>4</v>
      </c>
      <c r="M596" t="s">
        <v>83</v>
      </c>
      <c r="O596" t="s">
        <v>83</v>
      </c>
      <c r="P596" t="s">
        <v>84</v>
      </c>
      <c r="Q596" t="s">
        <v>85</v>
      </c>
    </row>
    <row r="597" spans="1:17" hidden="1">
      <c r="A597" t="s">
        <v>76</v>
      </c>
      <c r="B597" t="s">
        <v>77</v>
      </c>
      <c r="C597" t="s">
        <v>466</v>
      </c>
      <c r="D597" t="s">
        <v>466</v>
      </c>
      <c r="E597" t="s">
        <v>467</v>
      </c>
      <c r="F597" t="s">
        <v>467</v>
      </c>
      <c r="G597" t="s">
        <v>90</v>
      </c>
      <c r="H597" t="s">
        <v>81</v>
      </c>
      <c r="I597" t="s">
        <v>82</v>
      </c>
      <c r="L597">
        <v>5</v>
      </c>
      <c r="M597" t="s">
        <v>83</v>
      </c>
      <c r="O597" t="s">
        <v>83</v>
      </c>
      <c r="P597" t="s">
        <v>100</v>
      </c>
      <c r="Q597" t="s">
        <v>85</v>
      </c>
    </row>
    <row r="598" spans="1:17" hidden="1">
      <c r="A598" t="s">
        <v>76</v>
      </c>
      <c r="B598" t="s">
        <v>77</v>
      </c>
      <c r="C598" t="s">
        <v>466</v>
      </c>
      <c r="D598" t="s">
        <v>466</v>
      </c>
      <c r="E598" t="s">
        <v>467</v>
      </c>
      <c r="F598" t="s">
        <v>468</v>
      </c>
      <c r="G598" t="s">
        <v>90</v>
      </c>
      <c r="H598" t="s">
        <v>81</v>
      </c>
      <c r="L598">
        <v>6</v>
      </c>
      <c r="M598" t="s">
        <v>83</v>
      </c>
      <c r="O598" t="s">
        <v>83</v>
      </c>
      <c r="P598" t="s">
        <v>84</v>
      </c>
      <c r="Q598" t="s">
        <v>85</v>
      </c>
    </row>
    <row r="599" spans="1:17" hidden="1">
      <c r="A599" t="s">
        <v>76</v>
      </c>
      <c r="B599" t="s">
        <v>77</v>
      </c>
      <c r="C599" t="s">
        <v>466</v>
      </c>
      <c r="D599" t="s">
        <v>466</v>
      </c>
      <c r="E599" t="s">
        <v>91</v>
      </c>
      <c r="F599" t="s">
        <v>91</v>
      </c>
      <c r="G599" t="s">
        <v>92</v>
      </c>
      <c r="H599" t="s">
        <v>81</v>
      </c>
      <c r="J599" t="s">
        <v>83</v>
      </c>
      <c r="L599">
        <v>7</v>
      </c>
      <c r="M599" t="s">
        <v>83</v>
      </c>
      <c r="O599" t="s">
        <v>83</v>
      </c>
      <c r="P599" t="s">
        <v>84</v>
      </c>
      <c r="Q599" t="s">
        <v>85</v>
      </c>
    </row>
    <row r="600" spans="1:17" hidden="1">
      <c r="A600" t="s">
        <v>76</v>
      </c>
      <c r="B600" t="s">
        <v>77</v>
      </c>
      <c r="C600" t="s">
        <v>466</v>
      </c>
      <c r="D600" t="s">
        <v>466</v>
      </c>
      <c r="E600" t="s">
        <v>469</v>
      </c>
      <c r="F600" t="s">
        <v>469</v>
      </c>
      <c r="G600" t="s">
        <v>94</v>
      </c>
      <c r="H600" t="s">
        <v>81</v>
      </c>
      <c r="L600">
        <v>8</v>
      </c>
      <c r="M600" t="s">
        <v>83</v>
      </c>
      <c r="O600" t="s">
        <v>83</v>
      </c>
      <c r="P600" t="s">
        <v>84</v>
      </c>
      <c r="Q600" t="s">
        <v>85</v>
      </c>
    </row>
    <row r="601" spans="1:17" hidden="1">
      <c r="A601" t="s">
        <v>76</v>
      </c>
      <c r="B601" t="s">
        <v>77</v>
      </c>
      <c r="C601" t="s">
        <v>466</v>
      </c>
      <c r="D601" t="s">
        <v>466</v>
      </c>
      <c r="E601" t="s">
        <v>470</v>
      </c>
      <c r="F601" t="s">
        <v>470</v>
      </c>
      <c r="G601" t="s">
        <v>88</v>
      </c>
      <c r="H601" t="s">
        <v>81</v>
      </c>
      <c r="L601">
        <v>9</v>
      </c>
      <c r="M601" t="s">
        <v>83</v>
      </c>
      <c r="O601" t="s">
        <v>83</v>
      </c>
      <c r="P601" t="s">
        <v>84</v>
      </c>
      <c r="Q601" t="s">
        <v>85</v>
      </c>
    </row>
    <row r="602" spans="1:17" hidden="1">
      <c r="A602" t="s">
        <v>76</v>
      </c>
      <c r="B602" t="s">
        <v>77</v>
      </c>
      <c r="C602" t="s">
        <v>466</v>
      </c>
      <c r="D602" t="s">
        <v>466</v>
      </c>
      <c r="E602" t="s">
        <v>471</v>
      </c>
      <c r="F602" t="s">
        <v>471</v>
      </c>
      <c r="G602" t="s">
        <v>94</v>
      </c>
      <c r="H602" t="s">
        <v>81</v>
      </c>
      <c r="L602">
        <v>10</v>
      </c>
      <c r="M602" t="s">
        <v>83</v>
      </c>
      <c r="O602" t="s">
        <v>83</v>
      </c>
      <c r="P602" t="s">
        <v>84</v>
      </c>
      <c r="Q602" t="s">
        <v>85</v>
      </c>
    </row>
    <row r="603" spans="1:17" hidden="1">
      <c r="A603" t="s">
        <v>76</v>
      </c>
      <c r="B603" t="s">
        <v>77</v>
      </c>
      <c r="C603" t="s">
        <v>466</v>
      </c>
      <c r="D603" t="s">
        <v>466</v>
      </c>
      <c r="E603" t="s">
        <v>472</v>
      </c>
      <c r="F603" t="s">
        <v>472</v>
      </c>
      <c r="G603" t="s">
        <v>98</v>
      </c>
      <c r="H603" t="s">
        <v>81</v>
      </c>
      <c r="L603">
        <v>11</v>
      </c>
      <c r="M603" t="s">
        <v>83</v>
      </c>
      <c r="O603" t="s">
        <v>83</v>
      </c>
      <c r="P603" t="s">
        <v>84</v>
      </c>
      <c r="Q603" t="s">
        <v>85</v>
      </c>
    </row>
    <row r="604" spans="1:17" hidden="1">
      <c r="A604" t="s">
        <v>76</v>
      </c>
      <c r="B604" t="s">
        <v>77</v>
      </c>
      <c r="C604" t="s">
        <v>466</v>
      </c>
      <c r="D604" t="s">
        <v>466</v>
      </c>
      <c r="E604" t="s">
        <v>473</v>
      </c>
      <c r="F604" t="s">
        <v>473</v>
      </c>
      <c r="G604" t="s">
        <v>98</v>
      </c>
      <c r="H604" t="s">
        <v>81</v>
      </c>
      <c r="L604">
        <v>12</v>
      </c>
      <c r="M604" t="s">
        <v>83</v>
      </c>
      <c r="O604" t="s">
        <v>83</v>
      </c>
      <c r="P604" t="s">
        <v>84</v>
      </c>
      <c r="Q604" t="s">
        <v>85</v>
      </c>
    </row>
    <row r="605" spans="1:17" hidden="1">
      <c r="A605" t="s">
        <v>76</v>
      </c>
      <c r="B605" t="s">
        <v>77</v>
      </c>
      <c r="C605" t="s">
        <v>466</v>
      </c>
      <c r="D605" t="s">
        <v>466</v>
      </c>
      <c r="E605" t="s">
        <v>474</v>
      </c>
      <c r="F605" t="s">
        <v>474</v>
      </c>
      <c r="G605" t="s">
        <v>98</v>
      </c>
      <c r="H605" t="s">
        <v>81</v>
      </c>
      <c r="L605">
        <v>13</v>
      </c>
      <c r="M605" t="s">
        <v>83</v>
      </c>
      <c r="O605" t="s">
        <v>83</v>
      </c>
      <c r="P605" t="s">
        <v>84</v>
      </c>
      <c r="Q605" t="s">
        <v>85</v>
      </c>
    </row>
    <row r="606" spans="1:17" hidden="1">
      <c r="A606" t="s">
        <v>76</v>
      </c>
      <c r="B606" t="s">
        <v>77</v>
      </c>
      <c r="C606" t="s">
        <v>466</v>
      </c>
      <c r="D606" t="s">
        <v>466</v>
      </c>
      <c r="E606" t="s">
        <v>475</v>
      </c>
      <c r="F606" t="s">
        <v>475</v>
      </c>
      <c r="G606" t="s">
        <v>188</v>
      </c>
      <c r="H606" t="s">
        <v>81</v>
      </c>
      <c r="L606">
        <v>14</v>
      </c>
      <c r="M606" t="s">
        <v>83</v>
      </c>
      <c r="O606" t="s">
        <v>83</v>
      </c>
      <c r="P606" t="s">
        <v>84</v>
      </c>
      <c r="Q606" t="s">
        <v>85</v>
      </c>
    </row>
    <row r="607" spans="1:17" hidden="1">
      <c r="A607" t="s">
        <v>76</v>
      </c>
      <c r="B607" t="s">
        <v>77</v>
      </c>
      <c r="C607" t="s">
        <v>466</v>
      </c>
      <c r="D607" t="s">
        <v>466</v>
      </c>
      <c r="E607" t="s">
        <v>112</v>
      </c>
      <c r="F607" t="s">
        <v>112</v>
      </c>
      <c r="G607" t="s">
        <v>113</v>
      </c>
      <c r="H607" t="s">
        <v>81</v>
      </c>
      <c r="I607" t="s">
        <v>114</v>
      </c>
      <c r="L607">
        <v>15</v>
      </c>
      <c r="M607" t="s">
        <v>83</v>
      </c>
      <c r="O607" t="s">
        <v>83</v>
      </c>
      <c r="P607" t="s">
        <v>84</v>
      </c>
      <c r="Q607" t="s">
        <v>85</v>
      </c>
    </row>
    <row r="608" spans="1:17" hidden="1">
      <c r="A608" t="s">
        <v>76</v>
      </c>
      <c r="B608" t="s">
        <v>77</v>
      </c>
      <c r="C608" t="s">
        <v>466</v>
      </c>
      <c r="D608" t="s">
        <v>466</v>
      </c>
      <c r="E608" t="s">
        <v>115</v>
      </c>
      <c r="F608" t="s">
        <v>115</v>
      </c>
      <c r="G608" t="s">
        <v>113</v>
      </c>
      <c r="H608" t="s">
        <v>81</v>
      </c>
      <c r="I608" t="s">
        <v>114</v>
      </c>
      <c r="L608">
        <v>16</v>
      </c>
      <c r="M608" t="s">
        <v>83</v>
      </c>
      <c r="O608" t="s">
        <v>83</v>
      </c>
      <c r="P608" t="s">
        <v>84</v>
      </c>
      <c r="Q608" t="s">
        <v>85</v>
      </c>
    </row>
    <row r="609" spans="1:17" hidden="1">
      <c r="A609" t="s">
        <v>76</v>
      </c>
      <c r="B609" t="s">
        <v>77</v>
      </c>
      <c r="C609" t="s">
        <v>466</v>
      </c>
      <c r="D609" t="s">
        <v>466</v>
      </c>
      <c r="E609" t="s">
        <v>327</v>
      </c>
      <c r="F609" t="s">
        <v>327</v>
      </c>
      <c r="G609" t="s">
        <v>90</v>
      </c>
      <c r="H609" t="s">
        <v>81</v>
      </c>
      <c r="L609">
        <v>17</v>
      </c>
      <c r="M609" t="s">
        <v>83</v>
      </c>
      <c r="O609" t="s">
        <v>83</v>
      </c>
      <c r="P609" t="s">
        <v>84</v>
      </c>
      <c r="Q609" t="s">
        <v>85</v>
      </c>
    </row>
    <row r="610" spans="1:17" hidden="1">
      <c r="A610" t="s">
        <v>76</v>
      </c>
      <c r="B610" t="s">
        <v>77</v>
      </c>
      <c r="C610" t="s">
        <v>466</v>
      </c>
      <c r="D610" t="s">
        <v>466</v>
      </c>
      <c r="E610" t="s">
        <v>117</v>
      </c>
      <c r="F610" t="s">
        <v>117</v>
      </c>
      <c r="G610" t="s">
        <v>90</v>
      </c>
      <c r="H610" t="s">
        <v>81</v>
      </c>
      <c r="L610">
        <v>24</v>
      </c>
      <c r="M610" t="s">
        <v>83</v>
      </c>
      <c r="O610" t="s">
        <v>83</v>
      </c>
      <c r="P610" t="s">
        <v>84</v>
      </c>
      <c r="Q610" t="s">
        <v>85</v>
      </c>
    </row>
    <row r="611" spans="1:17" hidden="1">
      <c r="A611" t="s">
        <v>76</v>
      </c>
      <c r="B611" t="s">
        <v>77</v>
      </c>
      <c r="C611" t="s">
        <v>466</v>
      </c>
      <c r="D611" t="s">
        <v>466</v>
      </c>
      <c r="E611" t="s">
        <v>328</v>
      </c>
      <c r="F611" t="s">
        <v>328</v>
      </c>
      <c r="G611" t="s">
        <v>90</v>
      </c>
      <c r="H611" t="s">
        <v>81</v>
      </c>
      <c r="L611">
        <v>25</v>
      </c>
      <c r="M611" t="s">
        <v>83</v>
      </c>
      <c r="O611" t="s">
        <v>83</v>
      </c>
      <c r="P611" t="s">
        <v>84</v>
      </c>
      <c r="Q611" t="s">
        <v>85</v>
      </c>
    </row>
    <row r="612" spans="1:17" hidden="1">
      <c r="A612" t="s">
        <v>76</v>
      </c>
      <c r="B612" t="s">
        <v>77</v>
      </c>
      <c r="C612" t="s">
        <v>466</v>
      </c>
      <c r="D612" t="s">
        <v>466</v>
      </c>
      <c r="E612" t="s">
        <v>118</v>
      </c>
      <c r="F612" t="s">
        <v>118</v>
      </c>
      <c r="G612" t="s">
        <v>92</v>
      </c>
      <c r="H612" t="s">
        <v>81</v>
      </c>
      <c r="L612">
        <v>26</v>
      </c>
      <c r="M612" t="s">
        <v>83</v>
      </c>
      <c r="O612" t="s">
        <v>83</v>
      </c>
      <c r="P612" t="s">
        <v>84</v>
      </c>
      <c r="Q612" t="s">
        <v>85</v>
      </c>
    </row>
    <row r="613" spans="1:17" hidden="1">
      <c r="A613" t="s">
        <v>76</v>
      </c>
      <c r="B613" t="s">
        <v>77</v>
      </c>
      <c r="C613" t="s">
        <v>476</v>
      </c>
      <c r="D613" t="s">
        <v>476</v>
      </c>
      <c r="E613" t="s">
        <v>79</v>
      </c>
      <c r="F613" t="s">
        <v>79</v>
      </c>
      <c r="G613" t="s">
        <v>80</v>
      </c>
      <c r="H613" t="s">
        <v>81</v>
      </c>
      <c r="I613" t="s">
        <v>82</v>
      </c>
      <c r="L613">
        <v>1</v>
      </c>
      <c r="M613" t="s">
        <v>83</v>
      </c>
      <c r="O613" t="s">
        <v>83</v>
      </c>
      <c r="P613" t="s">
        <v>84</v>
      </c>
      <c r="Q613" t="s">
        <v>85</v>
      </c>
    </row>
    <row r="614" spans="1:17" hidden="1">
      <c r="A614" t="s">
        <v>76</v>
      </c>
      <c r="B614" t="s">
        <v>77</v>
      </c>
      <c r="C614" t="s">
        <v>476</v>
      </c>
      <c r="D614" t="s">
        <v>476</v>
      </c>
      <c r="E614" t="s">
        <v>86</v>
      </c>
      <c r="F614" t="s">
        <v>86</v>
      </c>
      <c r="G614" t="s">
        <v>80</v>
      </c>
      <c r="H614" t="s">
        <v>81</v>
      </c>
      <c r="I614" t="s">
        <v>82</v>
      </c>
      <c r="L614">
        <v>2</v>
      </c>
      <c r="M614" t="s">
        <v>83</v>
      </c>
      <c r="O614" t="s">
        <v>83</v>
      </c>
      <c r="P614" t="s">
        <v>84</v>
      </c>
      <c r="Q614" t="s">
        <v>85</v>
      </c>
    </row>
    <row r="615" spans="1:17" hidden="1">
      <c r="A615" t="s">
        <v>76</v>
      </c>
      <c r="B615" t="s">
        <v>77</v>
      </c>
      <c r="C615" t="s">
        <v>476</v>
      </c>
      <c r="D615" t="s">
        <v>476</v>
      </c>
      <c r="E615" t="s">
        <v>87</v>
      </c>
      <c r="F615" t="s">
        <v>87</v>
      </c>
      <c r="G615" t="s">
        <v>88</v>
      </c>
      <c r="H615" t="s">
        <v>81</v>
      </c>
      <c r="J615" t="s">
        <v>83</v>
      </c>
      <c r="L615">
        <v>3</v>
      </c>
      <c r="M615" t="s">
        <v>83</v>
      </c>
      <c r="O615" t="s">
        <v>83</v>
      </c>
      <c r="P615" t="s">
        <v>84</v>
      </c>
      <c r="Q615" t="s">
        <v>85</v>
      </c>
    </row>
    <row r="616" spans="1:17" hidden="1">
      <c r="A616" t="s">
        <v>76</v>
      </c>
      <c r="B616" t="s">
        <v>77</v>
      </c>
      <c r="C616" t="s">
        <v>476</v>
      </c>
      <c r="D616" t="s">
        <v>476</v>
      </c>
      <c r="E616" t="s">
        <v>89</v>
      </c>
      <c r="F616" t="s">
        <v>89</v>
      </c>
      <c r="G616" t="s">
        <v>90</v>
      </c>
      <c r="H616" t="s">
        <v>81</v>
      </c>
      <c r="J616" t="s">
        <v>83</v>
      </c>
      <c r="K616" t="s">
        <v>83</v>
      </c>
      <c r="L616">
        <v>4</v>
      </c>
      <c r="M616" t="s">
        <v>83</v>
      </c>
      <c r="O616" t="s">
        <v>83</v>
      </c>
      <c r="P616" t="s">
        <v>84</v>
      </c>
      <c r="Q616" t="s">
        <v>85</v>
      </c>
    </row>
    <row r="617" spans="1:17" hidden="1">
      <c r="A617" t="s">
        <v>76</v>
      </c>
      <c r="B617" t="s">
        <v>77</v>
      </c>
      <c r="C617" t="s">
        <v>476</v>
      </c>
      <c r="D617" t="s">
        <v>476</v>
      </c>
      <c r="E617" t="s">
        <v>477</v>
      </c>
      <c r="F617" t="s">
        <v>477</v>
      </c>
      <c r="G617" t="s">
        <v>90</v>
      </c>
      <c r="H617" t="s">
        <v>81</v>
      </c>
      <c r="I617" t="s">
        <v>82</v>
      </c>
      <c r="L617">
        <v>5</v>
      </c>
      <c r="M617" t="s">
        <v>83</v>
      </c>
      <c r="O617" t="s">
        <v>83</v>
      </c>
      <c r="P617" t="s">
        <v>100</v>
      </c>
      <c r="Q617" t="s">
        <v>85</v>
      </c>
    </row>
    <row r="618" spans="1:17" hidden="1">
      <c r="A618" t="s">
        <v>76</v>
      </c>
      <c r="B618" t="s">
        <v>77</v>
      </c>
      <c r="C618" t="s">
        <v>476</v>
      </c>
      <c r="D618" t="s">
        <v>476</v>
      </c>
      <c r="E618" t="s">
        <v>477</v>
      </c>
      <c r="F618" t="s">
        <v>478</v>
      </c>
      <c r="G618" t="s">
        <v>90</v>
      </c>
      <c r="H618" t="s">
        <v>81</v>
      </c>
      <c r="L618">
        <v>6</v>
      </c>
      <c r="M618" t="s">
        <v>83</v>
      </c>
      <c r="O618" t="s">
        <v>83</v>
      </c>
      <c r="P618" t="s">
        <v>84</v>
      </c>
      <c r="Q618" t="s">
        <v>85</v>
      </c>
    </row>
    <row r="619" spans="1:17" hidden="1">
      <c r="A619" t="s">
        <v>76</v>
      </c>
      <c r="B619" t="s">
        <v>77</v>
      </c>
      <c r="C619" t="s">
        <v>476</v>
      </c>
      <c r="D619" t="s">
        <v>476</v>
      </c>
      <c r="E619" t="s">
        <v>91</v>
      </c>
      <c r="F619" t="s">
        <v>91</v>
      </c>
      <c r="G619" t="s">
        <v>92</v>
      </c>
      <c r="H619" t="s">
        <v>81</v>
      </c>
      <c r="J619" t="s">
        <v>83</v>
      </c>
      <c r="L619">
        <v>7</v>
      </c>
      <c r="M619" t="s">
        <v>83</v>
      </c>
      <c r="O619" t="s">
        <v>83</v>
      </c>
      <c r="P619" t="s">
        <v>84</v>
      </c>
      <c r="Q619" t="s">
        <v>85</v>
      </c>
    </row>
    <row r="620" spans="1:17" hidden="1">
      <c r="A620" t="s">
        <v>76</v>
      </c>
      <c r="B620" t="s">
        <v>77</v>
      </c>
      <c r="C620" t="s">
        <v>476</v>
      </c>
      <c r="D620" t="s">
        <v>476</v>
      </c>
      <c r="E620" t="s">
        <v>479</v>
      </c>
      <c r="F620" t="s">
        <v>479</v>
      </c>
      <c r="G620" t="s">
        <v>94</v>
      </c>
      <c r="H620" t="s">
        <v>81</v>
      </c>
      <c r="L620">
        <v>8</v>
      </c>
      <c r="M620" t="s">
        <v>83</v>
      </c>
      <c r="O620" t="s">
        <v>83</v>
      </c>
      <c r="P620" t="s">
        <v>84</v>
      </c>
      <c r="Q620" t="s">
        <v>85</v>
      </c>
    </row>
    <row r="621" spans="1:17" hidden="1">
      <c r="A621" t="s">
        <v>76</v>
      </c>
      <c r="B621" t="s">
        <v>77</v>
      </c>
      <c r="C621" t="s">
        <v>476</v>
      </c>
      <c r="D621" t="s">
        <v>476</v>
      </c>
      <c r="E621" t="s">
        <v>480</v>
      </c>
      <c r="F621" t="s">
        <v>480</v>
      </c>
      <c r="G621" t="s">
        <v>88</v>
      </c>
      <c r="H621" t="s">
        <v>81</v>
      </c>
      <c r="L621">
        <v>9</v>
      </c>
      <c r="M621" t="s">
        <v>83</v>
      </c>
      <c r="O621" t="s">
        <v>83</v>
      </c>
      <c r="P621" t="s">
        <v>84</v>
      </c>
      <c r="Q621" t="s">
        <v>85</v>
      </c>
    </row>
    <row r="622" spans="1:17" hidden="1">
      <c r="A622" t="s">
        <v>76</v>
      </c>
      <c r="B622" t="s">
        <v>77</v>
      </c>
      <c r="C622" t="s">
        <v>476</v>
      </c>
      <c r="D622" t="s">
        <v>476</v>
      </c>
      <c r="E622" t="s">
        <v>481</v>
      </c>
      <c r="F622" t="s">
        <v>481</v>
      </c>
      <c r="G622" t="s">
        <v>94</v>
      </c>
      <c r="H622" t="s">
        <v>81</v>
      </c>
      <c r="L622">
        <v>10</v>
      </c>
      <c r="M622" t="s">
        <v>83</v>
      </c>
      <c r="O622" t="s">
        <v>83</v>
      </c>
      <c r="P622" t="s">
        <v>84</v>
      </c>
      <c r="Q622" t="s">
        <v>85</v>
      </c>
    </row>
    <row r="623" spans="1:17" hidden="1">
      <c r="A623" t="s">
        <v>76</v>
      </c>
      <c r="B623" t="s">
        <v>77</v>
      </c>
      <c r="C623" t="s">
        <v>476</v>
      </c>
      <c r="D623" t="s">
        <v>476</v>
      </c>
      <c r="E623" t="s">
        <v>482</v>
      </c>
      <c r="F623" t="s">
        <v>482</v>
      </c>
      <c r="G623" t="s">
        <v>98</v>
      </c>
      <c r="H623" t="s">
        <v>81</v>
      </c>
      <c r="L623">
        <v>11</v>
      </c>
      <c r="M623" t="s">
        <v>83</v>
      </c>
      <c r="O623" t="s">
        <v>83</v>
      </c>
      <c r="P623" t="s">
        <v>84</v>
      </c>
      <c r="Q623" t="s">
        <v>85</v>
      </c>
    </row>
    <row r="624" spans="1:17" hidden="1">
      <c r="A624" t="s">
        <v>76</v>
      </c>
      <c r="B624" t="s">
        <v>77</v>
      </c>
      <c r="C624" t="s">
        <v>476</v>
      </c>
      <c r="D624" t="s">
        <v>476</v>
      </c>
      <c r="E624" t="s">
        <v>483</v>
      </c>
      <c r="F624" t="s">
        <v>483</v>
      </c>
      <c r="G624" t="s">
        <v>98</v>
      </c>
      <c r="H624" t="s">
        <v>81</v>
      </c>
      <c r="L624">
        <v>12</v>
      </c>
      <c r="M624" t="s">
        <v>83</v>
      </c>
      <c r="O624" t="s">
        <v>83</v>
      </c>
      <c r="P624" t="s">
        <v>84</v>
      </c>
      <c r="Q624" t="s">
        <v>85</v>
      </c>
    </row>
    <row r="625" spans="1:17" hidden="1">
      <c r="A625" t="s">
        <v>76</v>
      </c>
      <c r="B625" t="s">
        <v>77</v>
      </c>
      <c r="C625" t="s">
        <v>476</v>
      </c>
      <c r="D625" t="s">
        <v>476</v>
      </c>
      <c r="E625" t="s">
        <v>484</v>
      </c>
      <c r="F625" t="s">
        <v>484</v>
      </c>
      <c r="G625" t="s">
        <v>98</v>
      </c>
      <c r="H625" t="s">
        <v>81</v>
      </c>
      <c r="L625">
        <v>13</v>
      </c>
      <c r="M625" t="s">
        <v>83</v>
      </c>
      <c r="O625" t="s">
        <v>83</v>
      </c>
      <c r="P625" t="s">
        <v>84</v>
      </c>
      <c r="Q625" t="s">
        <v>85</v>
      </c>
    </row>
    <row r="626" spans="1:17" hidden="1">
      <c r="A626" t="s">
        <v>76</v>
      </c>
      <c r="B626" t="s">
        <v>77</v>
      </c>
      <c r="C626" t="s">
        <v>476</v>
      </c>
      <c r="D626" t="s">
        <v>476</v>
      </c>
      <c r="E626" t="s">
        <v>112</v>
      </c>
      <c r="F626" t="s">
        <v>112</v>
      </c>
      <c r="G626" t="s">
        <v>113</v>
      </c>
      <c r="H626" t="s">
        <v>81</v>
      </c>
      <c r="I626" t="s">
        <v>114</v>
      </c>
      <c r="L626">
        <v>14</v>
      </c>
      <c r="M626" t="s">
        <v>83</v>
      </c>
      <c r="O626" t="s">
        <v>83</v>
      </c>
      <c r="P626" t="s">
        <v>84</v>
      </c>
      <c r="Q626" t="s">
        <v>85</v>
      </c>
    </row>
    <row r="627" spans="1:17" hidden="1">
      <c r="A627" t="s">
        <v>76</v>
      </c>
      <c r="B627" t="s">
        <v>77</v>
      </c>
      <c r="C627" t="s">
        <v>476</v>
      </c>
      <c r="D627" t="s">
        <v>476</v>
      </c>
      <c r="E627" t="s">
        <v>115</v>
      </c>
      <c r="F627" t="s">
        <v>115</v>
      </c>
      <c r="G627" t="s">
        <v>113</v>
      </c>
      <c r="H627" t="s">
        <v>81</v>
      </c>
      <c r="I627" t="s">
        <v>114</v>
      </c>
      <c r="L627">
        <v>15</v>
      </c>
      <c r="M627" t="s">
        <v>83</v>
      </c>
      <c r="O627" t="s">
        <v>83</v>
      </c>
      <c r="P627" t="s">
        <v>84</v>
      </c>
      <c r="Q627" t="s">
        <v>85</v>
      </c>
    </row>
    <row r="628" spans="1:17" hidden="1">
      <c r="A628" t="s">
        <v>76</v>
      </c>
      <c r="B628" t="s">
        <v>77</v>
      </c>
      <c r="C628" t="s">
        <v>476</v>
      </c>
      <c r="D628" t="s">
        <v>476</v>
      </c>
      <c r="E628" t="s">
        <v>117</v>
      </c>
      <c r="F628" t="s">
        <v>117</v>
      </c>
      <c r="G628" t="s">
        <v>90</v>
      </c>
      <c r="H628" t="s">
        <v>81</v>
      </c>
      <c r="L628">
        <v>22</v>
      </c>
      <c r="M628" t="s">
        <v>83</v>
      </c>
      <c r="O628" t="s">
        <v>83</v>
      </c>
      <c r="P628" t="s">
        <v>84</v>
      </c>
      <c r="Q628" t="s">
        <v>85</v>
      </c>
    </row>
    <row r="629" spans="1:17" hidden="1">
      <c r="A629" t="s">
        <v>76</v>
      </c>
      <c r="B629" t="s">
        <v>77</v>
      </c>
      <c r="C629" t="s">
        <v>476</v>
      </c>
      <c r="D629" t="s">
        <v>476</v>
      </c>
      <c r="E629" t="s">
        <v>327</v>
      </c>
      <c r="F629" t="s">
        <v>327</v>
      </c>
      <c r="G629" t="s">
        <v>90</v>
      </c>
      <c r="H629" t="s">
        <v>81</v>
      </c>
      <c r="L629">
        <v>23</v>
      </c>
      <c r="M629" t="s">
        <v>83</v>
      </c>
      <c r="O629" t="s">
        <v>83</v>
      </c>
      <c r="P629" t="s">
        <v>84</v>
      </c>
      <c r="Q629" t="s">
        <v>85</v>
      </c>
    </row>
    <row r="630" spans="1:17" hidden="1">
      <c r="A630" t="s">
        <v>76</v>
      </c>
      <c r="B630" t="s">
        <v>77</v>
      </c>
      <c r="C630" t="s">
        <v>476</v>
      </c>
      <c r="D630" t="s">
        <v>476</v>
      </c>
      <c r="E630" t="s">
        <v>328</v>
      </c>
      <c r="F630" t="s">
        <v>328</v>
      </c>
      <c r="G630" t="s">
        <v>90</v>
      </c>
      <c r="H630" t="s">
        <v>81</v>
      </c>
      <c r="L630">
        <v>24</v>
      </c>
      <c r="M630" t="s">
        <v>83</v>
      </c>
      <c r="O630" t="s">
        <v>83</v>
      </c>
      <c r="P630" t="s">
        <v>84</v>
      </c>
      <c r="Q630" t="s">
        <v>85</v>
      </c>
    </row>
    <row r="631" spans="1:17" hidden="1">
      <c r="A631" t="s">
        <v>76</v>
      </c>
      <c r="B631" t="s">
        <v>77</v>
      </c>
      <c r="C631" t="s">
        <v>476</v>
      </c>
      <c r="D631" t="s">
        <v>476</v>
      </c>
      <c r="E631" t="s">
        <v>118</v>
      </c>
      <c r="F631" t="s">
        <v>118</v>
      </c>
      <c r="G631" t="s">
        <v>92</v>
      </c>
      <c r="H631" t="s">
        <v>81</v>
      </c>
      <c r="L631">
        <v>25</v>
      </c>
      <c r="M631" t="s">
        <v>83</v>
      </c>
      <c r="O631" t="s">
        <v>83</v>
      </c>
      <c r="P631" t="s">
        <v>84</v>
      </c>
      <c r="Q631" t="s">
        <v>85</v>
      </c>
    </row>
    <row r="632" spans="1:17" hidden="1">
      <c r="A632" t="s">
        <v>76</v>
      </c>
      <c r="B632" t="s">
        <v>77</v>
      </c>
      <c r="C632" t="s">
        <v>485</v>
      </c>
      <c r="D632" t="s">
        <v>485</v>
      </c>
      <c r="E632" t="s">
        <v>79</v>
      </c>
      <c r="F632" t="s">
        <v>79</v>
      </c>
      <c r="G632" t="s">
        <v>80</v>
      </c>
      <c r="H632" t="s">
        <v>81</v>
      </c>
      <c r="I632" t="s">
        <v>82</v>
      </c>
      <c r="L632">
        <v>1</v>
      </c>
      <c r="M632" t="s">
        <v>83</v>
      </c>
      <c r="O632" t="s">
        <v>83</v>
      </c>
      <c r="P632" t="s">
        <v>84</v>
      </c>
      <c r="Q632" t="s">
        <v>85</v>
      </c>
    </row>
    <row r="633" spans="1:17" hidden="1">
      <c r="A633" t="s">
        <v>76</v>
      </c>
      <c r="B633" t="s">
        <v>77</v>
      </c>
      <c r="C633" t="s">
        <v>485</v>
      </c>
      <c r="D633" t="s">
        <v>485</v>
      </c>
      <c r="E633" t="s">
        <v>86</v>
      </c>
      <c r="F633" t="s">
        <v>86</v>
      </c>
      <c r="G633" t="s">
        <v>80</v>
      </c>
      <c r="H633" t="s">
        <v>81</v>
      </c>
      <c r="I633" t="s">
        <v>82</v>
      </c>
      <c r="L633">
        <v>2</v>
      </c>
      <c r="M633" t="s">
        <v>83</v>
      </c>
      <c r="O633" t="s">
        <v>83</v>
      </c>
      <c r="P633" t="s">
        <v>84</v>
      </c>
      <c r="Q633" t="s">
        <v>85</v>
      </c>
    </row>
    <row r="634" spans="1:17" hidden="1">
      <c r="A634" t="s">
        <v>76</v>
      </c>
      <c r="B634" t="s">
        <v>77</v>
      </c>
      <c r="C634" t="s">
        <v>485</v>
      </c>
      <c r="D634" t="s">
        <v>485</v>
      </c>
      <c r="E634" t="s">
        <v>87</v>
      </c>
      <c r="F634" t="s">
        <v>87</v>
      </c>
      <c r="G634" t="s">
        <v>88</v>
      </c>
      <c r="H634" t="s">
        <v>81</v>
      </c>
      <c r="J634" t="s">
        <v>83</v>
      </c>
      <c r="L634">
        <v>3</v>
      </c>
      <c r="M634" t="s">
        <v>83</v>
      </c>
      <c r="O634" t="s">
        <v>83</v>
      </c>
      <c r="P634" t="s">
        <v>84</v>
      </c>
      <c r="Q634" t="s">
        <v>85</v>
      </c>
    </row>
    <row r="635" spans="1:17" hidden="1">
      <c r="A635" t="s">
        <v>76</v>
      </c>
      <c r="B635" t="s">
        <v>77</v>
      </c>
      <c r="C635" t="s">
        <v>485</v>
      </c>
      <c r="D635" t="s">
        <v>485</v>
      </c>
      <c r="E635" t="s">
        <v>89</v>
      </c>
      <c r="F635" t="s">
        <v>89</v>
      </c>
      <c r="G635" t="s">
        <v>90</v>
      </c>
      <c r="H635" t="s">
        <v>81</v>
      </c>
      <c r="J635" t="s">
        <v>83</v>
      </c>
      <c r="K635" t="s">
        <v>83</v>
      </c>
      <c r="L635">
        <v>4</v>
      </c>
      <c r="M635" t="s">
        <v>83</v>
      </c>
      <c r="O635" t="s">
        <v>83</v>
      </c>
      <c r="P635" t="s">
        <v>84</v>
      </c>
      <c r="Q635" t="s">
        <v>85</v>
      </c>
    </row>
    <row r="636" spans="1:17" hidden="1">
      <c r="A636" t="s">
        <v>76</v>
      </c>
      <c r="B636" t="s">
        <v>77</v>
      </c>
      <c r="C636" t="s">
        <v>485</v>
      </c>
      <c r="D636" t="s">
        <v>485</v>
      </c>
      <c r="E636" t="s">
        <v>486</v>
      </c>
      <c r="F636" t="s">
        <v>486</v>
      </c>
      <c r="G636" t="s">
        <v>90</v>
      </c>
      <c r="H636" t="s">
        <v>81</v>
      </c>
      <c r="I636" t="s">
        <v>82</v>
      </c>
      <c r="L636">
        <v>5</v>
      </c>
      <c r="M636" t="s">
        <v>83</v>
      </c>
      <c r="O636" t="s">
        <v>83</v>
      </c>
      <c r="P636" t="s">
        <v>100</v>
      </c>
      <c r="Q636" t="s">
        <v>85</v>
      </c>
    </row>
    <row r="637" spans="1:17" hidden="1">
      <c r="A637" t="s">
        <v>76</v>
      </c>
      <c r="B637" t="s">
        <v>77</v>
      </c>
      <c r="C637" t="s">
        <v>485</v>
      </c>
      <c r="D637" t="s">
        <v>485</v>
      </c>
      <c r="E637" t="s">
        <v>486</v>
      </c>
      <c r="F637" t="s">
        <v>487</v>
      </c>
      <c r="G637" t="s">
        <v>90</v>
      </c>
      <c r="H637" t="s">
        <v>81</v>
      </c>
      <c r="L637">
        <v>6</v>
      </c>
      <c r="M637" t="s">
        <v>83</v>
      </c>
      <c r="O637" t="s">
        <v>83</v>
      </c>
      <c r="P637" t="s">
        <v>84</v>
      </c>
      <c r="Q637" t="s">
        <v>85</v>
      </c>
    </row>
    <row r="638" spans="1:17" hidden="1">
      <c r="A638" t="s">
        <v>76</v>
      </c>
      <c r="B638" t="s">
        <v>77</v>
      </c>
      <c r="C638" t="s">
        <v>485</v>
      </c>
      <c r="D638" t="s">
        <v>485</v>
      </c>
      <c r="E638" t="s">
        <v>91</v>
      </c>
      <c r="F638" t="s">
        <v>91</v>
      </c>
      <c r="G638" t="s">
        <v>92</v>
      </c>
      <c r="H638" t="s">
        <v>81</v>
      </c>
      <c r="J638" t="s">
        <v>83</v>
      </c>
      <c r="L638">
        <v>7</v>
      </c>
      <c r="M638" t="s">
        <v>83</v>
      </c>
      <c r="O638" t="s">
        <v>83</v>
      </c>
      <c r="P638" t="s">
        <v>84</v>
      </c>
      <c r="Q638" t="s">
        <v>85</v>
      </c>
    </row>
    <row r="639" spans="1:17" hidden="1">
      <c r="A639" t="s">
        <v>76</v>
      </c>
      <c r="B639" t="s">
        <v>77</v>
      </c>
      <c r="C639" t="s">
        <v>485</v>
      </c>
      <c r="D639" t="s">
        <v>485</v>
      </c>
      <c r="E639" t="s">
        <v>488</v>
      </c>
      <c r="F639" t="s">
        <v>488</v>
      </c>
      <c r="G639" t="s">
        <v>94</v>
      </c>
      <c r="H639" t="s">
        <v>81</v>
      </c>
      <c r="L639">
        <v>8</v>
      </c>
      <c r="M639" t="s">
        <v>83</v>
      </c>
      <c r="O639" t="s">
        <v>83</v>
      </c>
      <c r="P639" t="s">
        <v>84</v>
      </c>
      <c r="Q639" t="s">
        <v>85</v>
      </c>
    </row>
    <row r="640" spans="1:17" hidden="1">
      <c r="A640" t="s">
        <v>76</v>
      </c>
      <c r="B640" t="s">
        <v>77</v>
      </c>
      <c r="C640" t="s">
        <v>485</v>
      </c>
      <c r="D640" t="s">
        <v>485</v>
      </c>
      <c r="E640" t="s">
        <v>489</v>
      </c>
      <c r="F640" t="s">
        <v>489</v>
      </c>
      <c r="G640" t="s">
        <v>88</v>
      </c>
      <c r="H640" t="s">
        <v>81</v>
      </c>
      <c r="L640">
        <v>9</v>
      </c>
      <c r="M640" t="s">
        <v>83</v>
      </c>
      <c r="O640" t="s">
        <v>83</v>
      </c>
      <c r="P640" t="s">
        <v>84</v>
      </c>
      <c r="Q640" t="s">
        <v>85</v>
      </c>
    </row>
    <row r="641" spans="1:17" hidden="1">
      <c r="A641" t="s">
        <v>76</v>
      </c>
      <c r="B641" t="s">
        <v>77</v>
      </c>
      <c r="C641" t="s">
        <v>485</v>
      </c>
      <c r="D641" t="s">
        <v>485</v>
      </c>
      <c r="E641" t="s">
        <v>490</v>
      </c>
      <c r="F641" t="s">
        <v>490</v>
      </c>
      <c r="G641" t="s">
        <v>94</v>
      </c>
      <c r="H641" t="s">
        <v>81</v>
      </c>
      <c r="L641">
        <v>10</v>
      </c>
      <c r="M641" t="s">
        <v>83</v>
      </c>
      <c r="O641" t="s">
        <v>83</v>
      </c>
      <c r="P641" t="s">
        <v>84</v>
      </c>
      <c r="Q641" t="s">
        <v>85</v>
      </c>
    </row>
    <row r="642" spans="1:17" hidden="1">
      <c r="A642" t="s">
        <v>76</v>
      </c>
      <c r="B642" t="s">
        <v>77</v>
      </c>
      <c r="C642" t="s">
        <v>485</v>
      </c>
      <c r="D642" t="s">
        <v>485</v>
      </c>
      <c r="E642" t="s">
        <v>491</v>
      </c>
      <c r="F642" t="s">
        <v>491</v>
      </c>
      <c r="G642" t="s">
        <v>98</v>
      </c>
      <c r="H642" t="s">
        <v>81</v>
      </c>
      <c r="L642">
        <v>11</v>
      </c>
      <c r="M642" t="s">
        <v>83</v>
      </c>
      <c r="O642" t="s">
        <v>83</v>
      </c>
      <c r="P642" t="s">
        <v>84</v>
      </c>
      <c r="Q642" t="s">
        <v>85</v>
      </c>
    </row>
    <row r="643" spans="1:17" hidden="1">
      <c r="A643" t="s">
        <v>76</v>
      </c>
      <c r="B643" t="s">
        <v>77</v>
      </c>
      <c r="C643" t="s">
        <v>485</v>
      </c>
      <c r="D643" t="s">
        <v>485</v>
      </c>
      <c r="E643" t="s">
        <v>492</v>
      </c>
      <c r="F643" t="s">
        <v>492</v>
      </c>
      <c r="G643" t="s">
        <v>98</v>
      </c>
      <c r="H643" t="s">
        <v>81</v>
      </c>
      <c r="L643">
        <v>12</v>
      </c>
      <c r="M643" t="s">
        <v>83</v>
      </c>
      <c r="O643" t="s">
        <v>83</v>
      </c>
      <c r="P643" t="s">
        <v>84</v>
      </c>
      <c r="Q643" t="s">
        <v>85</v>
      </c>
    </row>
    <row r="644" spans="1:17" hidden="1">
      <c r="A644" t="s">
        <v>76</v>
      </c>
      <c r="B644" t="s">
        <v>77</v>
      </c>
      <c r="C644" t="s">
        <v>485</v>
      </c>
      <c r="D644" t="s">
        <v>485</v>
      </c>
      <c r="E644" t="s">
        <v>493</v>
      </c>
      <c r="F644" t="s">
        <v>493</v>
      </c>
      <c r="G644" t="s">
        <v>98</v>
      </c>
      <c r="H644" t="s">
        <v>81</v>
      </c>
      <c r="L644">
        <v>13</v>
      </c>
      <c r="M644" t="s">
        <v>83</v>
      </c>
      <c r="O644" t="s">
        <v>83</v>
      </c>
      <c r="P644" t="s">
        <v>84</v>
      </c>
      <c r="Q644" t="s">
        <v>85</v>
      </c>
    </row>
    <row r="645" spans="1:17" hidden="1">
      <c r="A645" t="s">
        <v>76</v>
      </c>
      <c r="B645" t="s">
        <v>77</v>
      </c>
      <c r="C645" t="s">
        <v>485</v>
      </c>
      <c r="D645" t="s">
        <v>485</v>
      </c>
      <c r="E645" t="s">
        <v>494</v>
      </c>
      <c r="F645" t="s">
        <v>494</v>
      </c>
      <c r="G645" t="s">
        <v>188</v>
      </c>
      <c r="H645" t="s">
        <v>81</v>
      </c>
      <c r="L645">
        <v>14</v>
      </c>
      <c r="M645" t="s">
        <v>83</v>
      </c>
      <c r="O645" t="s">
        <v>83</v>
      </c>
      <c r="P645" t="s">
        <v>84</v>
      </c>
      <c r="Q645" t="s">
        <v>85</v>
      </c>
    </row>
    <row r="646" spans="1:17" hidden="1">
      <c r="A646" t="s">
        <v>76</v>
      </c>
      <c r="B646" t="s">
        <v>77</v>
      </c>
      <c r="C646" t="s">
        <v>485</v>
      </c>
      <c r="D646" t="s">
        <v>485</v>
      </c>
      <c r="E646" t="s">
        <v>112</v>
      </c>
      <c r="F646" t="s">
        <v>112</v>
      </c>
      <c r="G646" t="s">
        <v>113</v>
      </c>
      <c r="H646" t="s">
        <v>81</v>
      </c>
      <c r="I646" t="s">
        <v>114</v>
      </c>
      <c r="L646">
        <v>15</v>
      </c>
      <c r="M646" t="s">
        <v>83</v>
      </c>
      <c r="O646" t="s">
        <v>83</v>
      </c>
      <c r="P646" t="s">
        <v>84</v>
      </c>
      <c r="Q646" t="s">
        <v>85</v>
      </c>
    </row>
    <row r="647" spans="1:17" hidden="1">
      <c r="A647" t="s">
        <v>76</v>
      </c>
      <c r="B647" t="s">
        <v>77</v>
      </c>
      <c r="C647" t="s">
        <v>485</v>
      </c>
      <c r="D647" t="s">
        <v>485</v>
      </c>
      <c r="E647" t="s">
        <v>115</v>
      </c>
      <c r="F647" t="s">
        <v>115</v>
      </c>
      <c r="G647" t="s">
        <v>113</v>
      </c>
      <c r="H647" t="s">
        <v>81</v>
      </c>
      <c r="I647" t="s">
        <v>114</v>
      </c>
      <c r="L647">
        <v>16</v>
      </c>
      <c r="M647" t="s">
        <v>83</v>
      </c>
      <c r="O647" t="s">
        <v>83</v>
      </c>
      <c r="P647" t="s">
        <v>84</v>
      </c>
      <c r="Q647" t="s">
        <v>85</v>
      </c>
    </row>
    <row r="648" spans="1:17" hidden="1">
      <c r="A648" t="s">
        <v>76</v>
      </c>
      <c r="B648" t="s">
        <v>77</v>
      </c>
      <c r="C648" t="s">
        <v>485</v>
      </c>
      <c r="D648" t="s">
        <v>485</v>
      </c>
      <c r="E648" t="s">
        <v>327</v>
      </c>
      <c r="F648" t="s">
        <v>327</v>
      </c>
      <c r="G648" t="s">
        <v>90</v>
      </c>
      <c r="H648" t="s">
        <v>81</v>
      </c>
      <c r="L648">
        <v>17</v>
      </c>
      <c r="M648" t="s">
        <v>83</v>
      </c>
      <c r="O648" t="s">
        <v>83</v>
      </c>
      <c r="P648" t="s">
        <v>84</v>
      </c>
      <c r="Q648" t="s">
        <v>85</v>
      </c>
    </row>
    <row r="649" spans="1:17" hidden="1">
      <c r="A649" t="s">
        <v>76</v>
      </c>
      <c r="B649" t="s">
        <v>77</v>
      </c>
      <c r="C649" t="s">
        <v>485</v>
      </c>
      <c r="D649" t="s">
        <v>485</v>
      </c>
      <c r="E649" t="s">
        <v>117</v>
      </c>
      <c r="F649" t="s">
        <v>117</v>
      </c>
      <c r="G649" t="s">
        <v>90</v>
      </c>
      <c r="H649" t="s">
        <v>81</v>
      </c>
      <c r="L649">
        <v>24</v>
      </c>
      <c r="M649" t="s">
        <v>83</v>
      </c>
      <c r="O649" t="s">
        <v>83</v>
      </c>
      <c r="P649" t="s">
        <v>84</v>
      </c>
      <c r="Q649" t="s">
        <v>85</v>
      </c>
    </row>
    <row r="650" spans="1:17" hidden="1">
      <c r="A650" t="s">
        <v>76</v>
      </c>
      <c r="B650" t="s">
        <v>77</v>
      </c>
      <c r="C650" t="s">
        <v>485</v>
      </c>
      <c r="D650" t="s">
        <v>485</v>
      </c>
      <c r="E650" t="s">
        <v>328</v>
      </c>
      <c r="F650" t="s">
        <v>328</v>
      </c>
      <c r="G650" t="s">
        <v>90</v>
      </c>
      <c r="H650" t="s">
        <v>81</v>
      </c>
      <c r="L650">
        <v>25</v>
      </c>
      <c r="M650" t="s">
        <v>83</v>
      </c>
      <c r="O650" t="s">
        <v>83</v>
      </c>
      <c r="P650" t="s">
        <v>84</v>
      </c>
      <c r="Q650" t="s">
        <v>85</v>
      </c>
    </row>
    <row r="651" spans="1:17" hidden="1">
      <c r="A651" t="s">
        <v>76</v>
      </c>
      <c r="B651" t="s">
        <v>77</v>
      </c>
      <c r="C651" t="s">
        <v>485</v>
      </c>
      <c r="D651" t="s">
        <v>485</v>
      </c>
      <c r="E651" t="s">
        <v>118</v>
      </c>
      <c r="F651" t="s">
        <v>118</v>
      </c>
      <c r="G651" t="s">
        <v>92</v>
      </c>
      <c r="H651" t="s">
        <v>81</v>
      </c>
      <c r="L651">
        <v>26</v>
      </c>
      <c r="M651" t="s">
        <v>83</v>
      </c>
      <c r="O651" t="s">
        <v>83</v>
      </c>
      <c r="P651" t="s">
        <v>84</v>
      </c>
      <c r="Q651" t="s">
        <v>85</v>
      </c>
    </row>
    <row r="652" spans="1:17" hidden="1">
      <c r="A652" t="s">
        <v>76</v>
      </c>
      <c r="B652" t="s">
        <v>77</v>
      </c>
      <c r="C652" t="s">
        <v>495</v>
      </c>
      <c r="D652" t="s">
        <v>495</v>
      </c>
      <c r="E652" t="s">
        <v>79</v>
      </c>
      <c r="F652" t="s">
        <v>79</v>
      </c>
      <c r="G652" t="s">
        <v>80</v>
      </c>
      <c r="H652" t="s">
        <v>81</v>
      </c>
      <c r="I652" t="s">
        <v>82</v>
      </c>
      <c r="L652">
        <v>1</v>
      </c>
      <c r="M652" t="s">
        <v>83</v>
      </c>
      <c r="O652" t="s">
        <v>83</v>
      </c>
      <c r="P652" t="s">
        <v>84</v>
      </c>
      <c r="Q652" t="s">
        <v>85</v>
      </c>
    </row>
    <row r="653" spans="1:17" hidden="1">
      <c r="A653" t="s">
        <v>76</v>
      </c>
      <c r="B653" t="s">
        <v>77</v>
      </c>
      <c r="C653" t="s">
        <v>495</v>
      </c>
      <c r="D653" t="s">
        <v>495</v>
      </c>
      <c r="E653" t="s">
        <v>86</v>
      </c>
      <c r="F653" t="s">
        <v>86</v>
      </c>
      <c r="G653" t="s">
        <v>80</v>
      </c>
      <c r="H653" t="s">
        <v>81</v>
      </c>
      <c r="I653" t="s">
        <v>82</v>
      </c>
      <c r="L653">
        <v>2</v>
      </c>
      <c r="M653" t="s">
        <v>83</v>
      </c>
      <c r="O653" t="s">
        <v>83</v>
      </c>
      <c r="P653" t="s">
        <v>84</v>
      </c>
      <c r="Q653" t="s">
        <v>85</v>
      </c>
    </row>
    <row r="654" spans="1:17" hidden="1">
      <c r="A654" t="s">
        <v>76</v>
      </c>
      <c r="B654" t="s">
        <v>77</v>
      </c>
      <c r="C654" t="s">
        <v>495</v>
      </c>
      <c r="D654" t="s">
        <v>495</v>
      </c>
      <c r="E654" t="s">
        <v>87</v>
      </c>
      <c r="F654" t="s">
        <v>87</v>
      </c>
      <c r="G654" t="s">
        <v>88</v>
      </c>
      <c r="H654" t="s">
        <v>81</v>
      </c>
      <c r="J654" t="s">
        <v>83</v>
      </c>
      <c r="L654">
        <v>3</v>
      </c>
      <c r="M654" t="s">
        <v>83</v>
      </c>
      <c r="O654" t="s">
        <v>83</v>
      </c>
      <c r="P654" t="s">
        <v>84</v>
      </c>
      <c r="Q654" t="s">
        <v>85</v>
      </c>
    </row>
    <row r="655" spans="1:17" hidden="1">
      <c r="A655" t="s">
        <v>76</v>
      </c>
      <c r="B655" t="s">
        <v>77</v>
      </c>
      <c r="C655" t="s">
        <v>495</v>
      </c>
      <c r="D655" t="s">
        <v>495</v>
      </c>
      <c r="E655" t="s">
        <v>89</v>
      </c>
      <c r="F655" t="s">
        <v>89</v>
      </c>
      <c r="G655" t="s">
        <v>90</v>
      </c>
      <c r="H655" t="s">
        <v>81</v>
      </c>
      <c r="J655" t="s">
        <v>83</v>
      </c>
      <c r="K655" t="s">
        <v>83</v>
      </c>
      <c r="L655">
        <v>4</v>
      </c>
      <c r="M655" t="s">
        <v>83</v>
      </c>
      <c r="O655" t="s">
        <v>83</v>
      </c>
      <c r="P655" t="s">
        <v>84</v>
      </c>
      <c r="Q655" t="s">
        <v>85</v>
      </c>
    </row>
    <row r="656" spans="1:17" hidden="1">
      <c r="A656" t="s">
        <v>76</v>
      </c>
      <c r="B656" t="s">
        <v>77</v>
      </c>
      <c r="C656" t="s">
        <v>495</v>
      </c>
      <c r="D656" t="s">
        <v>495</v>
      </c>
      <c r="E656" t="s">
        <v>496</v>
      </c>
      <c r="F656" t="s">
        <v>496</v>
      </c>
      <c r="G656" t="s">
        <v>90</v>
      </c>
      <c r="H656" t="s">
        <v>81</v>
      </c>
      <c r="I656" t="s">
        <v>82</v>
      </c>
      <c r="L656">
        <v>5</v>
      </c>
      <c r="M656" t="s">
        <v>83</v>
      </c>
      <c r="O656" t="s">
        <v>83</v>
      </c>
      <c r="P656" t="s">
        <v>100</v>
      </c>
      <c r="Q656" t="s">
        <v>85</v>
      </c>
    </row>
    <row r="657" spans="1:17" hidden="1">
      <c r="A657" t="s">
        <v>76</v>
      </c>
      <c r="B657" t="s">
        <v>77</v>
      </c>
      <c r="C657" t="s">
        <v>495</v>
      </c>
      <c r="D657" t="s">
        <v>495</v>
      </c>
      <c r="E657" t="s">
        <v>496</v>
      </c>
      <c r="F657" t="s">
        <v>497</v>
      </c>
      <c r="G657" t="s">
        <v>90</v>
      </c>
      <c r="H657" t="s">
        <v>81</v>
      </c>
      <c r="L657">
        <v>6</v>
      </c>
      <c r="M657" t="s">
        <v>83</v>
      </c>
      <c r="O657" t="s">
        <v>83</v>
      </c>
      <c r="P657" t="s">
        <v>84</v>
      </c>
      <c r="Q657" t="s">
        <v>85</v>
      </c>
    </row>
    <row r="658" spans="1:17" hidden="1">
      <c r="A658" t="s">
        <v>76</v>
      </c>
      <c r="B658" t="s">
        <v>77</v>
      </c>
      <c r="C658" t="s">
        <v>495</v>
      </c>
      <c r="D658" t="s">
        <v>495</v>
      </c>
      <c r="E658" t="s">
        <v>91</v>
      </c>
      <c r="F658" t="s">
        <v>91</v>
      </c>
      <c r="G658" t="s">
        <v>92</v>
      </c>
      <c r="H658" t="s">
        <v>81</v>
      </c>
      <c r="J658" t="s">
        <v>83</v>
      </c>
      <c r="L658">
        <v>7</v>
      </c>
      <c r="M658" t="s">
        <v>83</v>
      </c>
      <c r="O658" t="s">
        <v>83</v>
      </c>
      <c r="P658" t="s">
        <v>84</v>
      </c>
      <c r="Q658" t="s">
        <v>85</v>
      </c>
    </row>
    <row r="659" spans="1:17" hidden="1">
      <c r="A659" t="s">
        <v>76</v>
      </c>
      <c r="B659" t="s">
        <v>77</v>
      </c>
      <c r="C659" t="s">
        <v>495</v>
      </c>
      <c r="D659" t="s">
        <v>495</v>
      </c>
      <c r="E659" t="s">
        <v>498</v>
      </c>
      <c r="F659" t="s">
        <v>498</v>
      </c>
      <c r="G659" t="s">
        <v>94</v>
      </c>
      <c r="H659" t="s">
        <v>81</v>
      </c>
      <c r="L659">
        <v>8</v>
      </c>
      <c r="M659" t="s">
        <v>83</v>
      </c>
      <c r="O659" t="s">
        <v>83</v>
      </c>
      <c r="P659" t="s">
        <v>84</v>
      </c>
      <c r="Q659" t="s">
        <v>85</v>
      </c>
    </row>
    <row r="660" spans="1:17" hidden="1">
      <c r="A660" t="s">
        <v>76</v>
      </c>
      <c r="B660" t="s">
        <v>77</v>
      </c>
      <c r="C660" t="s">
        <v>495</v>
      </c>
      <c r="D660" t="s">
        <v>495</v>
      </c>
      <c r="E660" t="s">
        <v>499</v>
      </c>
      <c r="F660" t="s">
        <v>499</v>
      </c>
      <c r="G660" t="s">
        <v>88</v>
      </c>
      <c r="H660" t="s">
        <v>81</v>
      </c>
      <c r="L660">
        <v>9</v>
      </c>
      <c r="M660" t="s">
        <v>83</v>
      </c>
      <c r="O660" t="s">
        <v>83</v>
      </c>
      <c r="P660" t="s">
        <v>84</v>
      </c>
      <c r="Q660" t="s">
        <v>85</v>
      </c>
    </row>
    <row r="661" spans="1:17" hidden="1">
      <c r="A661" t="s">
        <v>76</v>
      </c>
      <c r="B661" t="s">
        <v>77</v>
      </c>
      <c r="C661" t="s">
        <v>495</v>
      </c>
      <c r="D661" t="s">
        <v>495</v>
      </c>
      <c r="E661" t="s">
        <v>500</v>
      </c>
      <c r="F661" t="s">
        <v>500</v>
      </c>
      <c r="G661" t="s">
        <v>94</v>
      </c>
      <c r="H661" t="s">
        <v>81</v>
      </c>
      <c r="L661">
        <v>10</v>
      </c>
      <c r="M661" t="s">
        <v>83</v>
      </c>
      <c r="O661" t="s">
        <v>83</v>
      </c>
      <c r="P661" t="s">
        <v>84</v>
      </c>
      <c r="Q661" t="s">
        <v>85</v>
      </c>
    </row>
    <row r="662" spans="1:17" hidden="1">
      <c r="A662" t="s">
        <v>76</v>
      </c>
      <c r="B662" t="s">
        <v>77</v>
      </c>
      <c r="C662" t="s">
        <v>495</v>
      </c>
      <c r="D662" t="s">
        <v>495</v>
      </c>
      <c r="E662" t="s">
        <v>501</v>
      </c>
      <c r="F662" t="s">
        <v>501</v>
      </c>
      <c r="G662" t="s">
        <v>98</v>
      </c>
      <c r="H662" t="s">
        <v>81</v>
      </c>
      <c r="L662">
        <v>11</v>
      </c>
      <c r="M662" t="s">
        <v>83</v>
      </c>
      <c r="O662" t="s">
        <v>83</v>
      </c>
      <c r="P662" t="s">
        <v>84</v>
      </c>
      <c r="Q662" t="s">
        <v>85</v>
      </c>
    </row>
    <row r="663" spans="1:17" hidden="1">
      <c r="A663" t="s">
        <v>76</v>
      </c>
      <c r="B663" t="s">
        <v>77</v>
      </c>
      <c r="C663" t="s">
        <v>495</v>
      </c>
      <c r="D663" t="s">
        <v>495</v>
      </c>
      <c r="E663" t="s">
        <v>502</v>
      </c>
      <c r="F663" t="s">
        <v>502</v>
      </c>
      <c r="G663" t="s">
        <v>98</v>
      </c>
      <c r="H663" t="s">
        <v>81</v>
      </c>
      <c r="L663">
        <v>12</v>
      </c>
      <c r="M663" t="s">
        <v>83</v>
      </c>
      <c r="O663" t="s">
        <v>83</v>
      </c>
      <c r="P663" t="s">
        <v>84</v>
      </c>
      <c r="Q663" t="s">
        <v>85</v>
      </c>
    </row>
    <row r="664" spans="1:17" hidden="1">
      <c r="A664" t="s">
        <v>76</v>
      </c>
      <c r="B664" t="s">
        <v>77</v>
      </c>
      <c r="C664" t="s">
        <v>495</v>
      </c>
      <c r="D664" t="s">
        <v>495</v>
      </c>
      <c r="E664" t="s">
        <v>503</v>
      </c>
      <c r="F664" t="s">
        <v>503</v>
      </c>
      <c r="G664" t="s">
        <v>98</v>
      </c>
      <c r="H664" t="s">
        <v>81</v>
      </c>
      <c r="L664">
        <v>13</v>
      </c>
      <c r="M664" t="s">
        <v>83</v>
      </c>
      <c r="O664" t="s">
        <v>83</v>
      </c>
      <c r="P664" t="s">
        <v>84</v>
      </c>
      <c r="Q664" t="s">
        <v>85</v>
      </c>
    </row>
    <row r="665" spans="1:17" hidden="1">
      <c r="A665" t="s">
        <v>76</v>
      </c>
      <c r="B665" t="s">
        <v>77</v>
      </c>
      <c r="C665" t="s">
        <v>495</v>
      </c>
      <c r="D665" t="s">
        <v>495</v>
      </c>
      <c r="E665" t="s">
        <v>504</v>
      </c>
      <c r="F665" t="s">
        <v>504</v>
      </c>
      <c r="G665" t="s">
        <v>188</v>
      </c>
      <c r="H665" t="s">
        <v>81</v>
      </c>
      <c r="L665">
        <v>14</v>
      </c>
      <c r="M665" t="s">
        <v>83</v>
      </c>
      <c r="O665" t="s">
        <v>83</v>
      </c>
      <c r="P665" t="s">
        <v>84</v>
      </c>
      <c r="Q665" t="s">
        <v>85</v>
      </c>
    </row>
    <row r="666" spans="1:17" hidden="1">
      <c r="A666" t="s">
        <v>76</v>
      </c>
      <c r="B666" t="s">
        <v>77</v>
      </c>
      <c r="C666" t="s">
        <v>495</v>
      </c>
      <c r="D666" t="s">
        <v>495</v>
      </c>
      <c r="E666" t="s">
        <v>112</v>
      </c>
      <c r="F666" t="s">
        <v>112</v>
      </c>
      <c r="G666" t="s">
        <v>113</v>
      </c>
      <c r="H666" t="s">
        <v>81</v>
      </c>
      <c r="I666" t="s">
        <v>114</v>
      </c>
      <c r="L666">
        <v>15</v>
      </c>
      <c r="M666" t="s">
        <v>83</v>
      </c>
      <c r="O666" t="s">
        <v>83</v>
      </c>
      <c r="P666" t="s">
        <v>84</v>
      </c>
      <c r="Q666" t="s">
        <v>85</v>
      </c>
    </row>
    <row r="667" spans="1:17" hidden="1">
      <c r="A667" t="s">
        <v>76</v>
      </c>
      <c r="B667" t="s">
        <v>77</v>
      </c>
      <c r="C667" t="s">
        <v>495</v>
      </c>
      <c r="D667" t="s">
        <v>495</v>
      </c>
      <c r="E667" t="s">
        <v>115</v>
      </c>
      <c r="F667" t="s">
        <v>115</v>
      </c>
      <c r="G667" t="s">
        <v>113</v>
      </c>
      <c r="H667" t="s">
        <v>81</v>
      </c>
      <c r="I667" t="s">
        <v>114</v>
      </c>
      <c r="L667">
        <v>16</v>
      </c>
      <c r="M667" t="s">
        <v>83</v>
      </c>
      <c r="O667" t="s">
        <v>83</v>
      </c>
      <c r="P667" t="s">
        <v>84</v>
      </c>
      <c r="Q667" t="s">
        <v>85</v>
      </c>
    </row>
    <row r="668" spans="1:17" hidden="1">
      <c r="A668" t="s">
        <v>76</v>
      </c>
      <c r="B668" t="s">
        <v>77</v>
      </c>
      <c r="C668" t="s">
        <v>495</v>
      </c>
      <c r="D668" t="s">
        <v>495</v>
      </c>
      <c r="E668" t="s">
        <v>327</v>
      </c>
      <c r="F668" t="s">
        <v>327</v>
      </c>
      <c r="G668" t="s">
        <v>90</v>
      </c>
      <c r="H668" t="s">
        <v>81</v>
      </c>
      <c r="L668">
        <v>17</v>
      </c>
      <c r="M668" t="s">
        <v>83</v>
      </c>
      <c r="O668" t="s">
        <v>83</v>
      </c>
      <c r="P668" t="s">
        <v>84</v>
      </c>
      <c r="Q668" t="s">
        <v>85</v>
      </c>
    </row>
    <row r="669" spans="1:17" hidden="1">
      <c r="A669" t="s">
        <v>76</v>
      </c>
      <c r="B669" t="s">
        <v>77</v>
      </c>
      <c r="C669" t="s">
        <v>495</v>
      </c>
      <c r="D669" t="s">
        <v>495</v>
      </c>
      <c r="E669" t="s">
        <v>117</v>
      </c>
      <c r="F669" t="s">
        <v>117</v>
      </c>
      <c r="G669" t="s">
        <v>90</v>
      </c>
      <c r="H669" t="s">
        <v>81</v>
      </c>
      <c r="L669">
        <v>24</v>
      </c>
      <c r="M669" t="s">
        <v>83</v>
      </c>
      <c r="O669" t="s">
        <v>83</v>
      </c>
      <c r="P669" t="s">
        <v>84</v>
      </c>
      <c r="Q669" t="s">
        <v>85</v>
      </c>
    </row>
    <row r="670" spans="1:17" hidden="1">
      <c r="A670" t="s">
        <v>76</v>
      </c>
      <c r="B670" t="s">
        <v>77</v>
      </c>
      <c r="C670" t="s">
        <v>495</v>
      </c>
      <c r="D670" t="s">
        <v>495</v>
      </c>
      <c r="E670" t="s">
        <v>328</v>
      </c>
      <c r="F670" t="s">
        <v>328</v>
      </c>
      <c r="G670" t="s">
        <v>90</v>
      </c>
      <c r="H670" t="s">
        <v>81</v>
      </c>
      <c r="L670">
        <v>25</v>
      </c>
      <c r="M670" t="s">
        <v>83</v>
      </c>
      <c r="O670" t="s">
        <v>83</v>
      </c>
      <c r="P670" t="s">
        <v>84</v>
      </c>
      <c r="Q670" t="s">
        <v>85</v>
      </c>
    </row>
    <row r="671" spans="1:17" hidden="1">
      <c r="A671" t="s">
        <v>76</v>
      </c>
      <c r="B671" t="s">
        <v>77</v>
      </c>
      <c r="C671" t="s">
        <v>495</v>
      </c>
      <c r="D671" t="s">
        <v>495</v>
      </c>
      <c r="E671" t="s">
        <v>118</v>
      </c>
      <c r="F671" t="s">
        <v>118</v>
      </c>
      <c r="G671" t="s">
        <v>92</v>
      </c>
      <c r="H671" t="s">
        <v>81</v>
      </c>
      <c r="L671">
        <v>26</v>
      </c>
      <c r="M671" t="s">
        <v>83</v>
      </c>
      <c r="O671" t="s">
        <v>83</v>
      </c>
      <c r="P671" t="s">
        <v>84</v>
      </c>
      <c r="Q671" t="s">
        <v>85</v>
      </c>
    </row>
    <row r="672" spans="1:17" hidden="1">
      <c r="A672" t="s">
        <v>76</v>
      </c>
      <c r="B672" t="s">
        <v>77</v>
      </c>
      <c r="C672" t="s">
        <v>505</v>
      </c>
      <c r="D672" t="s">
        <v>505</v>
      </c>
      <c r="E672" t="s">
        <v>79</v>
      </c>
      <c r="F672" t="s">
        <v>79</v>
      </c>
      <c r="G672" t="s">
        <v>80</v>
      </c>
      <c r="H672" t="s">
        <v>81</v>
      </c>
      <c r="I672" t="s">
        <v>82</v>
      </c>
      <c r="L672">
        <v>1</v>
      </c>
      <c r="M672" t="s">
        <v>83</v>
      </c>
      <c r="O672" t="s">
        <v>83</v>
      </c>
      <c r="P672" t="s">
        <v>84</v>
      </c>
      <c r="Q672" t="s">
        <v>85</v>
      </c>
    </row>
    <row r="673" spans="1:17" hidden="1">
      <c r="A673" t="s">
        <v>76</v>
      </c>
      <c r="B673" t="s">
        <v>77</v>
      </c>
      <c r="C673" t="s">
        <v>505</v>
      </c>
      <c r="D673" t="s">
        <v>505</v>
      </c>
      <c r="E673" t="s">
        <v>86</v>
      </c>
      <c r="F673" t="s">
        <v>86</v>
      </c>
      <c r="G673" t="s">
        <v>80</v>
      </c>
      <c r="H673" t="s">
        <v>81</v>
      </c>
      <c r="I673" t="s">
        <v>82</v>
      </c>
      <c r="L673">
        <v>2</v>
      </c>
      <c r="M673" t="s">
        <v>83</v>
      </c>
      <c r="O673" t="s">
        <v>83</v>
      </c>
      <c r="P673" t="s">
        <v>84</v>
      </c>
      <c r="Q673" t="s">
        <v>85</v>
      </c>
    </row>
    <row r="674" spans="1:17" hidden="1">
      <c r="A674" t="s">
        <v>76</v>
      </c>
      <c r="B674" t="s">
        <v>77</v>
      </c>
      <c r="C674" t="s">
        <v>505</v>
      </c>
      <c r="D674" t="s">
        <v>505</v>
      </c>
      <c r="E674" t="s">
        <v>87</v>
      </c>
      <c r="F674" t="s">
        <v>87</v>
      </c>
      <c r="G674" t="s">
        <v>88</v>
      </c>
      <c r="H674" t="s">
        <v>81</v>
      </c>
      <c r="J674" t="s">
        <v>83</v>
      </c>
      <c r="L674">
        <v>3</v>
      </c>
      <c r="M674" t="s">
        <v>83</v>
      </c>
      <c r="O674" t="s">
        <v>83</v>
      </c>
      <c r="P674" t="s">
        <v>84</v>
      </c>
      <c r="Q674" t="s">
        <v>85</v>
      </c>
    </row>
    <row r="675" spans="1:17" hidden="1">
      <c r="A675" t="s">
        <v>76</v>
      </c>
      <c r="B675" t="s">
        <v>77</v>
      </c>
      <c r="C675" t="s">
        <v>505</v>
      </c>
      <c r="D675" t="s">
        <v>505</v>
      </c>
      <c r="E675" t="s">
        <v>89</v>
      </c>
      <c r="F675" t="s">
        <v>89</v>
      </c>
      <c r="G675" t="s">
        <v>90</v>
      </c>
      <c r="H675" t="s">
        <v>81</v>
      </c>
      <c r="J675" t="s">
        <v>83</v>
      </c>
      <c r="K675" t="s">
        <v>83</v>
      </c>
      <c r="L675">
        <v>4</v>
      </c>
      <c r="M675" t="s">
        <v>83</v>
      </c>
      <c r="O675" t="s">
        <v>83</v>
      </c>
      <c r="P675" t="s">
        <v>84</v>
      </c>
      <c r="Q675" t="s">
        <v>85</v>
      </c>
    </row>
    <row r="676" spans="1:17" hidden="1">
      <c r="A676" t="s">
        <v>76</v>
      </c>
      <c r="B676" t="s">
        <v>77</v>
      </c>
      <c r="C676" t="s">
        <v>505</v>
      </c>
      <c r="D676" t="s">
        <v>505</v>
      </c>
      <c r="E676" t="s">
        <v>506</v>
      </c>
      <c r="F676" t="s">
        <v>506</v>
      </c>
      <c r="G676" t="s">
        <v>94</v>
      </c>
      <c r="H676" t="s">
        <v>81</v>
      </c>
      <c r="L676">
        <v>5</v>
      </c>
      <c r="M676" t="s">
        <v>83</v>
      </c>
      <c r="O676" t="s">
        <v>83</v>
      </c>
      <c r="P676" t="s">
        <v>84</v>
      </c>
      <c r="Q676" t="s">
        <v>85</v>
      </c>
    </row>
    <row r="677" spans="1:17" hidden="1">
      <c r="A677" t="s">
        <v>76</v>
      </c>
      <c r="B677" t="s">
        <v>77</v>
      </c>
      <c r="C677" t="s">
        <v>505</v>
      </c>
      <c r="D677" t="s">
        <v>505</v>
      </c>
      <c r="E677" t="s">
        <v>507</v>
      </c>
      <c r="F677" t="s">
        <v>507</v>
      </c>
      <c r="G677" t="s">
        <v>88</v>
      </c>
      <c r="H677" t="s">
        <v>81</v>
      </c>
      <c r="L677">
        <v>6</v>
      </c>
      <c r="M677" t="s">
        <v>83</v>
      </c>
      <c r="O677" t="s">
        <v>83</v>
      </c>
      <c r="P677" t="s">
        <v>84</v>
      </c>
      <c r="Q677" t="s">
        <v>85</v>
      </c>
    </row>
    <row r="678" spans="1:17" hidden="1">
      <c r="A678" t="s">
        <v>76</v>
      </c>
      <c r="B678" t="s">
        <v>77</v>
      </c>
      <c r="C678" t="s">
        <v>505</v>
      </c>
      <c r="D678" t="s">
        <v>505</v>
      </c>
      <c r="E678" t="s">
        <v>508</v>
      </c>
      <c r="F678" t="s">
        <v>508</v>
      </c>
      <c r="G678" t="s">
        <v>94</v>
      </c>
      <c r="H678" t="s">
        <v>81</v>
      </c>
      <c r="L678">
        <v>7</v>
      </c>
      <c r="M678" t="s">
        <v>83</v>
      </c>
      <c r="O678" t="s">
        <v>83</v>
      </c>
      <c r="P678" t="s">
        <v>84</v>
      </c>
      <c r="Q678" t="s">
        <v>85</v>
      </c>
    </row>
    <row r="679" spans="1:17" hidden="1">
      <c r="A679" t="s">
        <v>76</v>
      </c>
      <c r="B679" t="s">
        <v>77</v>
      </c>
      <c r="C679" t="s">
        <v>505</v>
      </c>
      <c r="D679" t="s">
        <v>505</v>
      </c>
      <c r="E679" t="s">
        <v>509</v>
      </c>
      <c r="F679" t="s">
        <v>509</v>
      </c>
      <c r="G679" t="s">
        <v>90</v>
      </c>
      <c r="H679" t="s">
        <v>81</v>
      </c>
      <c r="I679" t="s">
        <v>82</v>
      </c>
      <c r="L679">
        <v>8</v>
      </c>
      <c r="M679" t="s">
        <v>83</v>
      </c>
      <c r="O679" t="s">
        <v>83</v>
      </c>
      <c r="P679" t="s">
        <v>100</v>
      </c>
      <c r="Q679" t="s">
        <v>85</v>
      </c>
    </row>
    <row r="680" spans="1:17" hidden="1">
      <c r="A680" t="s">
        <v>76</v>
      </c>
      <c r="B680" t="s">
        <v>77</v>
      </c>
      <c r="C680" t="s">
        <v>505</v>
      </c>
      <c r="D680" t="s">
        <v>505</v>
      </c>
      <c r="E680" t="s">
        <v>509</v>
      </c>
      <c r="F680" t="s">
        <v>510</v>
      </c>
      <c r="G680" t="s">
        <v>90</v>
      </c>
      <c r="H680" t="s">
        <v>81</v>
      </c>
      <c r="L680">
        <v>9</v>
      </c>
      <c r="M680" t="s">
        <v>83</v>
      </c>
      <c r="O680" t="s">
        <v>83</v>
      </c>
      <c r="P680" t="s">
        <v>84</v>
      </c>
      <c r="Q680" t="s">
        <v>85</v>
      </c>
    </row>
    <row r="681" spans="1:17" hidden="1">
      <c r="A681" t="s">
        <v>76</v>
      </c>
      <c r="B681" t="s">
        <v>77</v>
      </c>
      <c r="C681" t="s">
        <v>505</v>
      </c>
      <c r="D681" t="s">
        <v>505</v>
      </c>
      <c r="E681" t="s">
        <v>91</v>
      </c>
      <c r="F681" t="s">
        <v>91</v>
      </c>
      <c r="G681" t="s">
        <v>92</v>
      </c>
      <c r="H681" t="s">
        <v>81</v>
      </c>
      <c r="J681" t="s">
        <v>83</v>
      </c>
      <c r="L681">
        <v>10</v>
      </c>
      <c r="M681" t="s">
        <v>83</v>
      </c>
      <c r="O681" t="s">
        <v>83</v>
      </c>
      <c r="P681" t="s">
        <v>84</v>
      </c>
      <c r="Q681" t="s">
        <v>85</v>
      </c>
    </row>
    <row r="682" spans="1:17" hidden="1">
      <c r="A682" t="s">
        <v>76</v>
      </c>
      <c r="B682" t="s">
        <v>77</v>
      </c>
      <c r="C682" t="s">
        <v>505</v>
      </c>
      <c r="D682" t="s">
        <v>505</v>
      </c>
      <c r="E682" t="s">
        <v>511</v>
      </c>
      <c r="F682" t="s">
        <v>511</v>
      </c>
      <c r="G682" t="s">
        <v>98</v>
      </c>
      <c r="H682" t="s">
        <v>81</v>
      </c>
      <c r="L682">
        <v>11</v>
      </c>
      <c r="M682" t="s">
        <v>83</v>
      </c>
      <c r="O682" t="s">
        <v>83</v>
      </c>
      <c r="P682" t="s">
        <v>84</v>
      </c>
      <c r="Q682" t="s">
        <v>85</v>
      </c>
    </row>
    <row r="683" spans="1:17" hidden="1">
      <c r="A683" t="s">
        <v>76</v>
      </c>
      <c r="B683" t="s">
        <v>77</v>
      </c>
      <c r="C683" t="s">
        <v>505</v>
      </c>
      <c r="D683" t="s">
        <v>505</v>
      </c>
      <c r="E683" t="s">
        <v>512</v>
      </c>
      <c r="F683" t="s">
        <v>512</v>
      </c>
      <c r="G683" t="s">
        <v>98</v>
      </c>
      <c r="H683" t="s">
        <v>81</v>
      </c>
      <c r="L683">
        <v>12</v>
      </c>
      <c r="M683" t="s">
        <v>83</v>
      </c>
      <c r="O683" t="s">
        <v>83</v>
      </c>
      <c r="P683" t="s">
        <v>84</v>
      </c>
      <c r="Q683" t="s">
        <v>85</v>
      </c>
    </row>
    <row r="684" spans="1:17" hidden="1">
      <c r="A684" t="s">
        <v>76</v>
      </c>
      <c r="B684" t="s">
        <v>77</v>
      </c>
      <c r="C684" t="s">
        <v>505</v>
      </c>
      <c r="D684" t="s">
        <v>505</v>
      </c>
      <c r="E684" t="s">
        <v>513</v>
      </c>
      <c r="F684" t="s">
        <v>513</v>
      </c>
      <c r="G684" t="s">
        <v>98</v>
      </c>
      <c r="H684" t="s">
        <v>81</v>
      </c>
      <c r="L684">
        <v>13</v>
      </c>
      <c r="M684" t="s">
        <v>83</v>
      </c>
      <c r="O684" t="s">
        <v>83</v>
      </c>
      <c r="P684" t="s">
        <v>84</v>
      </c>
      <c r="Q684" t="s">
        <v>85</v>
      </c>
    </row>
    <row r="685" spans="1:17" hidden="1">
      <c r="A685" t="s">
        <v>76</v>
      </c>
      <c r="B685" t="s">
        <v>77</v>
      </c>
      <c r="C685" t="s">
        <v>505</v>
      </c>
      <c r="D685" t="s">
        <v>505</v>
      </c>
      <c r="E685" t="s">
        <v>514</v>
      </c>
      <c r="F685" t="s">
        <v>514</v>
      </c>
      <c r="G685" t="s">
        <v>515</v>
      </c>
      <c r="H685" t="s">
        <v>81</v>
      </c>
      <c r="L685">
        <v>14</v>
      </c>
      <c r="M685" t="s">
        <v>83</v>
      </c>
      <c r="O685" t="s">
        <v>83</v>
      </c>
      <c r="P685" t="s">
        <v>84</v>
      </c>
      <c r="Q685" t="s">
        <v>85</v>
      </c>
    </row>
    <row r="686" spans="1:17" hidden="1">
      <c r="A686" t="s">
        <v>76</v>
      </c>
      <c r="B686" t="s">
        <v>77</v>
      </c>
      <c r="C686" t="s">
        <v>505</v>
      </c>
      <c r="D686" t="s">
        <v>505</v>
      </c>
      <c r="E686" t="s">
        <v>516</v>
      </c>
      <c r="F686" t="s">
        <v>516</v>
      </c>
      <c r="G686" t="s">
        <v>188</v>
      </c>
      <c r="H686" t="s">
        <v>81</v>
      </c>
      <c r="L686">
        <v>15</v>
      </c>
      <c r="M686" t="s">
        <v>83</v>
      </c>
      <c r="O686" t="s">
        <v>83</v>
      </c>
      <c r="P686" t="s">
        <v>84</v>
      </c>
      <c r="Q686" t="s">
        <v>85</v>
      </c>
    </row>
    <row r="687" spans="1:17" hidden="1">
      <c r="A687" t="s">
        <v>76</v>
      </c>
      <c r="B687" t="s">
        <v>77</v>
      </c>
      <c r="C687" t="s">
        <v>505</v>
      </c>
      <c r="D687" t="s">
        <v>505</v>
      </c>
      <c r="E687" t="s">
        <v>112</v>
      </c>
      <c r="F687" t="s">
        <v>112</v>
      </c>
      <c r="G687" t="s">
        <v>113</v>
      </c>
      <c r="H687" t="s">
        <v>81</v>
      </c>
      <c r="I687" t="s">
        <v>114</v>
      </c>
      <c r="L687">
        <v>16</v>
      </c>
      <c r="M687" t="s">
        <v>83</v>
      </c>
      <c r="O687" t="s">
        <v>83</v>
      </c>
      <c r="P687" t="s">
        <v>84</v>
      </c>
      <c r="Q687" t="s">
        <v>85</v>
      </c>
    </row>
    <row r="688" spans="1:17" hidden="1">
      <c r="A688" t="s">
        <v>76</v>
      </c>
      <c r="B688" t="s">
        <v>77</v>
      </c>
      <c r="C688" t="s">
        <v>505</v>
      </c>
      <c r="D688" t="s">
        <v>505</v>
      </c>
      <c r="E688" t="s">
        <v>115</v>
      </c>
      <c r="F688" t="s">
        <v>115</v>
      </c>
      <c r="G688" t="s">
        <v>113</v>
      </c>
      <c r="H688" t="s">
        <v>81</v>
      </c>
      <c r="I688" t="s">
        <v>114</v>
      </c>
      <c r="L688">
        <v>17</v>
      </c>
      <c r="M688" t="s">
        <v>83</v>
      </c>
      <c r="O688" t="s">
        <v>83</v>
      </c>
      <c r="P688" t="s">
        <v>84</v>
      </c>
      <c r="Q688" t="s">
        <v>85</v>
      </c>
    </row>
    <row r="689" spans="1:17" hidden="1">
      <c r="A689" t="s">
        <v>76</v>
      </c>
      <c r="B689" t="s">
        <v>77</v>
      </c>
      <c r="C689" t="s">
        <v>505</v>
      </c>
      <c r="D689" t="s">
        <v>505</v>
      </c>
      <c r="E689" t="s">
        <v>327</v>
      </c>
      <c r="F689" t="s">
        <v>327</v>
      </c>
      <c r="G689" t="s">
        <v>90</v>
      </c>
      <c r="H689" t="s">
        <v>81</v>
      </c>
      <c r="L689">
        <v>18</v>
      </c>
      <c r="M689" t="s">
        <v>83</v>
      </c>
      <c r="O689" t="s">
        <v>83</v>
      </c>
      <c r="P689" t="s">
        <v>84</v>
      </c>
      <c r="Q689" t="s">
        <v>85</v>
      </c>
    </row>
    <row r="690" spans="1:17" hidden="1">
      <c r="A690" t="s">
        <v>76</v>
      </c>
      <c r="B690" t="s">
        <v>77</v>
      </c>
      <c r="C690" t="s">
        <v>505</v>
      </c>
      <c r="D690" t="s">
        <v>505</v>
      </c>
      <c r="E690" t="s">
        <v>117</v>
      </c>
      <c r="F690" t="s">
        <v>117</v>
      </c>
      <c r="G690" t="s">
        <v>90</v>
      </c>
      <c r="H690" t="s">
        <v>81</v>
      </c>
      <c r="L690">
        <v>25</v>
      </c>
      <c r="M690" t="s">
        <v>83</v>
      </c>
      <c r="O690" t="s">
        <v>83</v>
      </c>
      <c r="P690" t="s">
        <v>84</v>
      </c>
      <c r="Q690" t="s">
        <v>85</v>
      </c>
    </row>
    <row r="691" spans="1:17" hidden="1">
      <c r="A691" t="s">
        <v>76</v>
      </c>
      <c r="B691" t="s">
        <v>77</v>
      </c>
      <c r="C691" t="s">
        <v>505</v>
      </c>
      <c r="D691" t="s">
        <v>505</v>
      </c>
      <c r="E691" t="s">
        <v>328</v>
      </c>
      <c r="F691" t="s">
        <v>328</v>
      </c>
      <c r="G691" t="s">
        <v>90</v>
      </c>
      <c r="H691" t="s">
        <v>81</v>
      </c>
      <c r="L691">
        <v>26</v>
      </c>
      <c r="M691" t="s">
        <v>83</v>
      </c>
      <c r="O691" t="s">
        <v>83</v>
      </c>
      <c r="P691" t="s">
        <v>84</v>
      </c>
      <c r="Q691" t="s">
        <v>85</v>
      </c>
    </row>
    <row r="692" spans="1:17" hidden="1">
      <c r="A692" t="s">
        <v>76</v>
      </c>
      <c r="B692" t="s">
        <v>77</v>
      </c>
      <c r="C692" t="s">
        <v>505</v>
      </c>
      <c r="D692" t="s">
        <v>505</v>
      </c>
      <c r="E692" t="s">
        <v>118</v>
      </c>
      <c r="F692" t="s">
        <v>118</v>
      </c>
      <c r="G692" t="s">
        <v>92</v>
      </c>
      <c r="H692" t="s">
        <v>81</v>
      </c>
      <c r="L692">
        <v>27</v>
      </c>
      <c r="M692" t="s">
        <v>83</v>
      </c>
      <c r="O692" t="s">
        <v>83</v>
      </c>
      <c r="P692" t="s">
        <v>84</v>
      </c>
      <c r="Q692" t="s">
        <v>85</v>
      </c>
    </row>
    <row r="693" spans="1:17" hidden="1">
      <c r="A693" t="s">
        <v>76</v>
      </c>
      <c r="B693" t="s">
        <v>77</v>
      </c>
      <c r="C693" t="s">
        <v>517</v>
      </c>
      <c r="D693" t="s">
        <v>517</v>
      </c>
      <c r="E693" t="s">
        <v>79</v>
      </c>
      <c r="F693" t="s">
        <v>79</v>
      </c>
      <c r="G693" t="s">
        <v>80</v>
      </c>
      <c r="H693" t="s">
        <v>81</v>
      </c>
      <c r="I693" t="s">
        <v>82</v>
      </c>
      <c r="L693">
        <v>1</v>
      </c>
      <c r="M693" t="s">
        <v>83</v>
      </c>
      <c r="O693" t="s">
        <v>83</v>
      </c>
      <c r="P693" t="s">
        <v>84</v>
      </c>
      <c r="Q693" t="s">
        <v>85</v>
      </c>
    </row>
    <row r="694" spans="1:17" hidden="1">
      <c r="A694" t="s">
        <v>76</v>
      </c>
      <c r="B694" t="s">
        <v>77</v>
      </c>
      <c r="C694" t="s">
        <v>517</v>
      </c>
      <c r="D694" t="s">
        <v>517</v>
      </c>
      <c r="E694" t="s">
        <v>86</v>
      </c>
      <c r="F694" t="s">
        <v>86</v>
      </c>
      <c r="G694" t="s">
        <v>80</v>
      </c>
      <c r="H694" t="s">
        <v>81</v>
      </c>
      <c r="I694" t="s">
        <v>82</v>
      </c>
      <c r="L694">
        <v>2</v>
      </c>
      <c r="M694" t="s">
        <v>83</v>
      </c>
      <c r="O694" t="s">
        <v>83</v>
      </c>
      <c r="P694" t="s">
        <v>84</v>
      </c>
      <c r="Q694" t="s">
        <v>85</v>
      </c>
    </row>
    <row r="695" spans="1:17" hidden="1">
      <c r="A695" t="s">
        <v>76</v>
      </c>
      <c r="B695" t="s">
        <v>77</v>
      </c>
      <c r="C695" t="s">
        <v>517</v>
      </c>
      <c r="D695" t="s">
        <v>517</v>
      </c>
      <c r="E695" t="s">
        <v>87</v>
      </c>
      <c r="F695" t="s">
        <v>87</v>
      </c>
      <c r="G695" t="s">
        <v>88</v>
      </c>
      <c r="H695" t="s">
        <v>81</v>
      </c>
      <c r="J695" t="s">
        <v>83</v>
      </c>
      <c r="L695">
        <v>3</v>
      </c>
      <c r="M695" t="s">
        <v>83</v>
      </c>
      <c r="O695" t="s">
        <v>83</v>
      </c>
      <c r="P695" t="s">
        <v>84</v>
      </c>
      <c r="Q695" t="s">
        <v>85</v>
      </c>
    </row>
    <row r="696" spans="1:17" hidden="1">
      <c r="A696" t="s">
        <v>76</v>
      </c>
      <c r="B696" t="s">
        <v>77</v>
      </c>
      <c r="C696" t="s">
        <v>517</v>
      </c>
      <c r="D696" t="s">
        <v>517</v>
      </c>
      <c r="E696" t="s">
        <v>89</v>
      </c>
      <c r="F696" t="s">
        <v>89</v>
      </c>
      <c r="G696" t="s">
        <v>90</v>
      </c>
      <c r="H696" t="s">
        <v>81</v>
      </c>
      <c r="J696" t="s">
        <v>83</v>
      </c>
      <c r="K696" t="s">
        <v>83</v>
      </c>
      <c r="L696">
        <v>4</v>
      </c>
      <c r="M696" t="s">
        <v>83</v>
      </c>
      <c r="O696" t="s">
        <v>83</v>
      </c>
      <c r="P696" t="s">
        <v>84</v>
      </c>
      <c r="Q696" t="s">
        <v>85</v>
      </c>
    </row>
    <row r="697" spans="1:17" hidden="1">
      <c r="A697" t="s">
        <v>76</v>
      </c>
      <c r="B697" t="s">
        <v>77</v>
      </c>
      <c r="C697" t="s">
        <v>517</v>
      </c>
      <c r="D697" t="s">
        <v>517</v>
      </c>
      <c r="E697" t="s">
        <v>518</v>
      </c>
      <c r="F697" t="s">
        <v>518</v>
      </c>
      <c r="G697" t="s">
        <v>90</v>
      </c>
      <c r="H697" t="s">
        <v>81</v>
      </c>
      <c r="I697" t="s">
        <v>82</v>
      </c>
      <c r="L697">
        <v>5</v>
      </c>
      <c r="M697" t="s">
        <v>83</v>
      </c>
      <c r="O697" t="s">
        <v>83</v>
      </c>
      <c r="P697" t="s">
        <v>100</v>
      </c>
      <c r="Q697" t="s">
        <v>85</v>
      </c>
    </row>
    <row r="698" spans="1:17" hidden="1">
      <c r="A698" t="s">
        <v>76</v>
      </c>
      <c r="B698" t="s">
        <v>77</v>
      </c>
      <c r="C698" t="s">
        <v>517</v>
      </c>
      <c r="D698" t="s">
        <v>517</v>
      </c>
      <c r="E698" t="s">
        <v>518</v>
      </c>
      <c r="F698" t="s">
        <v>519</v>
      </c>
      <c r="G698" t="s">
        <v>90</v>
      </c>
      <c r="H698" t="s">
        <v>81</v>
      </c>
      <c r="L698">
        <v>6</v>
      </c>
      <c r="M698" t="s">
        <v>83</v>
      </c>
      <c r="O698" t="s">
        <v>83</v>
      </c>
      <c r="P698" t="s">
        <v>84</v>
      </c>
      <c r="Q698" t="s">
        <v>85</v>
      </c>
    </row>
    <row r="699" spans="1:17" hidden="1">
      <c r="A699" t="s">
        <v>76</v>
      </c>
      <c r="B699" t="s">
        <v>77</v>
      </c>
      <c r="C699" t="s">
        <v>517</v>
      </c>
      <c r="D699" t="s">
        <v>517</v>
      </c>
      <c r="E699" t="s">
        <v>91</v>
      </c>
      <c r="F699" t="s">
        <v>91</v>
      </c>
      <c r="G699" t="s">
        <v>92</v>
      </c>
      <c r="H699" t="s">
        <v>81</v>
      </c>
      <c r="J699" t="s">
        <v>83</v>
      </c>
      <c r="L699">
        <v>7</v>
      </c>
      <c r="M699" t="s">
        <v>83</v>
      </c>
      <c r="O699" t="s">
        <v>83</v>
      </c>
      <c r="P699" t="s">
        <v>84</v>
      </c>
      <c r="Q699" t="s">
        <v>85</v>
      </c>
    </row>
    <row r="700" spans="1:17" hidden="1">
      <c r="A700" t="s">
        <v>76</v>
      </c>
      <c r="B700" t="s">
        <v>77</v>
      </c>
      <c r="C700" t="s">
        <v>517</v>
      </c>
      <c r="D700" t="s">
        <v>517</v>
      </c>
      <c r="E700" t="s">
        <v>520</v>
      </c>
      <c r="F700" t="s">
        <v>520</v>
      </c>
      <c r="G700" t="s">
        <v>94</v>
      </c>
      <c r="H700" t="s">
        <v>81</v>
      </c>
      <c r="L700">
        <v>8</v>
      </c>
      <c r="M700" t="s">
        <v>83</v>
      </c>
      <c r="O700" t="s">
        <v>83</v>
      </c>
      <c r="P700" t="s">
        <v>84</v>
      </c>
      <c r="Q700" t="s">
        <v>85</v>
      </c>
    </row>
    <row r="701" spans="1:17" hidden="1">
      <c r="A701" t="s">
        <v>76</v>
      </c>
      <c r="B701" t="s">
        <v>77</v>
      </c>
      <c r="C701" t="s">
        <v>517</v>
      </c>
      <c r="D701" t="s">
        <v>517</v>
      </c>
      <c r="E701" t="s">
        <v>521</v>
      </c>
      <c r="F701" t="s">
        <v>521</v>
      </c>
      <c r="G701" t="s">
        <v>88</v>
      </c>
      <c r="H701" t="s">
        <v>81</v>
      </c>
      <c r="L701">
        <v>9</v>
      </c>
      <c r="M701" t="s">
        <v>83</v>
      </c>
      <c r="O701" t="s">
        <v>83</v>
      </c>
      <c r="P701" t="s">
        <v>84</v>
      </c>
      <c r="Q701" t="s">
        <v>85</v>
      </c>
    </row>
    <row r="702" spans="1:17" hidden="1">
      <c r="A702" t="s">
        <v>76</v>
      </c>
      <c r="B702" t="s">
        <v>77</v>
      </c>
      <c r="C702" t="s">
        <v>517</v>
      </c>
      <c r="D702" t="s">
        <v>517</v>
      </c>
      <c r="E702" t="s">
        <v>522</v>
      </c>
      <c r="F702" t="s">
        <v>522</v>
      </c>
      <c r="G702" t="s">
        <v>94</v>
      </c>
      <c r="H702" t="s">
        <v>81</v>
      </c>
      <c r="L702">
        <v>10</v>
      </c>
      <c r="M702" t="s">
        <v>83</v>
      </c>
      <c r="O702" t="s">
        <v>83</v>
      </c>
      <c r="P702" t="s">
        <v>84</v>
      </c>
      <c r="Q702" t="s">
        <v>85</v>
      </c>
    </row>
    <row r="703" spans="1:17" hidden="1">
      <c r="A703" t="s">
        <v>76</v>
      </c>
      <c r="B703" t="s">
        <v>77</v>
      </c>
      <c r="C703" t="s">
        <v>517</v>
      </c>
      <c r="D703" t="s">
        <v>517</v>
      </c>
      <c r="E703" t="s">
        <v>523</v>
      </c>
      <c r="F703" t="s">
        <v>523</v>
      </c>
      <c r="G703" t="s">
        <v>98</v>
      </c>
      <c r="H703" t="s">
        <v>81</v>
      </c>
      <c r="L703">
        <v>11</v>
      </c>
      <c r="M703" t="s">
        <v>83</v>
      </c>
      <c r="O703" t="s">
        <v>83</v>
      </c>
      <c r="P703" t="s">
        <v>84</v>
      </c>
      <c r="Q703" t="s">
        <v>85</v>
      </c>
    </row>
    <row r="704" spans="1:17" hidden="1">
      <c r="A704" t="s">
        <v>76</v>
      </c>
      <c r="B704" t="s">
        <v>77</v>
      </c>
      <c r="C704" t="s">
        <v>517</v>
      </c>
      <c r="D704" t="s">
        <v>517</v>
      </c>
      <c r="E704" t="s">
        <v>524</v>
      </c>
      <c r="F704" t="s">
        <v>524</v>
      </c>
      <c r="G704" t="s">
        <v>98</v>
      </c>
      <c r="H704" t="s">
        <v>81</v>
      </c>
      <c r="L704">
        <v>12</v>
      </c>
      <c r="M704" t="s">
        <v>83</v>
      </c>
      <c r="O704" t="s">
        <v>83</v>
      </c>
      <c r="P704" t="s">
        <v>84</v>
      </c>
      <c r="Q704" t="s">
        <v>85</v>
      </c>
    </row>
    <row r="705" spans="1:17" hidden="1">
      <c r="A705" t="s">
        <v>76</v>
      </c>
      <c r="B705" t="s">
        <v>77</v>
      </c>
      <c r="C705" t="s">
        <v>517</v>
      </c>
      <c r="D705" t="s">
        <v>517</v>
      </c>
      <c r="E705" t="s">
        <v>525</v>
      </c>
      <c r="F705" t="s">
        <v>525</v>
      </c>
      <c r="G705" t="s">
        <v>90</v>
      </c>
      <c r="H705" t="s">
        <v>81</v>
      </c>
      <c r="I705" t="s">
        <v>82</v>
      </c>
      <c r="L705">
        <v>13</v>
      </c>
      <c r="M705" t="s">
        <v>83</v>
      </c>
      <c r="O705" t="s">
        <v>83</v>
      </c>
      <c r="P705" t="s">
        <v>100</v>
      </c>
      <c r="Q705" t="s">
        <v>85</v>
      </c>
    </row>
    <row r="706" spans="1:17" hidden="1">
      <c r="A706" t="s">
        <v>76</v>
      </c>
      <c r="B706" t="s">
        <v>77</v>
      </c>
      <c r="C706" t="s">
        <v>517</v>
      </c>
      <c r="D706" t="s">
        <v>517</v>
      </c>
      <c r="E706" t="s">
        <v>525</v>
      </c>
      <c r="F706" t="s">
        <v>526</v>
      </c>
      <c r="G706" t="s">
        <v>90</v>
      </c>
      <c r="H706" t="s">
        <v>81</v>
      </c>
      <c r="L706">
        <v>14</v>
      </c>
      <c r="M706" t="s">
        <v>83</v>
      </c>
      <c r="O706" t="s">
        <v>83</v>
      </c>
      <c r="P706" t="s">
        <v>84</v>
      </c>
      <c r="Q706" t="s">
        <v>85</v>
      </c>
    </row>
    <row r="707" spans="1:17" hidden="1">
      <c r="A707" t="s">
        <v>76</v>
      </c>
      <c r="B707" t="s">
        <v>77</v>
      </c>
      <c r="C707" t="s">
        <v>517</v>
      </c>
      <c r="D707" t="s">
        <v>517</v>
      </c>
      <c r="E707" t="s">
        <v>527</v>
      </c>
      <c r="F707" t="s">
        <v>527</v>
      </c>
      <c r="G707" t="s">
        <v>98</v>
      </c>
      <c r="H707" t="s">
        <v>81</v>
      </c>
      <c r="L707">
        <v>15</v>
      </c>
      <c r="M707" t="s">
        <v>83</v>
      </c>
      <c r="O707" t="s">
        <v>83</v>
      </c>
      <c r="P707" t="s">
        <v>84</v>
      </c>
      <c r="Q707" t="s">
        <v>85</v>
      </c>
    </row>
    <row r="708" spans="1:17" hidden="1">
      <c r="A708" t="s">
        <v>76</v>
      </c>
      <c r="B708" t="s">
        <v>77</v>
      </c>
      <c r="C708" t="s">
        <v>517</v>
      </c>
      <c r="D708" t="s">
        <v>517</v>
      </c>
      <c r="E708" t="s">
        <v>112</v>
      </c>
      <c r="F708" t="s">
        <v>112</v>
      </c>
      <c r="G708" t="s">
        <v>113</v>
      </c>
      <c r="H708" t="s">
        <v>81</v>
      </c>
      <c r="I708" t="s">
        <v>114</v>
      </c>
      <c r="L708">
        <v>16</v>
      </c>
      <c r="M708" t="s">
        <v>83</v>
      </c>
      <c r="O708" t="s">
        <v>83</v>
      </c>
      <c r="P708" t="s">
        <v>84</v>
      </c>
      <c r="Q708" t="s">
        <v>85</v>
      </c>
    </row>
    <row r="709" spans="1:17" hidden="1">
      <c r="A709" t="s">
        <v>76</v>
      </c>
      <c r="B709" t="s">
        <v>77</v>
      </c>
      <c r="C709" t="s">
        <v>517</v>
      </c>
      <c r="D709" t="s">
        <v>517</v>
      </c>
      <c r="E709" t="s">
        <v>115</v>
      </c>
      <c r="F709" t="s">
        <v>115</v>
      </c>
      <c r="G709" t="s">
        <v>113</v>
      </c>
      <c r="H709" t="s">
        <v>81</v>
      </c>
      <c r="I709" t="s">
        <v>114</v>
      </c>
      <c r="L709">
        <v>17</v>
      </c>
      <c r="M709" t="s">
        <v>83</v>
      </c>
      <c r="O709" t="s">
        <v>83</v>
      </c>
      <c r="P709" t="s">
        <v>84</v>
      </c>
      <c r="Q709" t="s">
        <v>85</v>
      </c>
    </row>
    <row r="710" spans="1:17" hidden="1">
      <c r="A710" t="s">
        <v>76</v>
      </c>
      <c r="B710" t="s">
        <v>77</v>
      </c>
      <c r="C710" t="s">
        <v>517</v>
      </c>
      <c r="D710" t="s">
        <v>517</v>
      </c>
      <c r="E710" t="s">
        <v>117</v>
      </c>
      <c r="F710" t="s">
        <v>117</v>
      </c>
      <c r="G710" t="s">
        <v>90</v>
      </c>
      <c r="H710" t="s">
        <v>81</v>
      </c>
      <c r="L710">
        <v>24</v>
      </c>
      <c r="M710" t="s">
        <v>83</v>
      </c>
      <c r="O710" t="s">
        <v>83</v>
      </c>
      <c r="P710" t="s">
        <v>84</v>
      </c>
      <c r="Q710" t="s">
        <v>85</v>
      </c>
    </row>
    <row r="711" spans="1:17" hidden="1">
      <c r="A711" t="s">
        <v>76</v>
      </c>
      <c r="B711" t="s">
        <v>77</v>
      </c>
      <c r="C711" t="s">
        <v>517</v>
      </c>
      <c r="D711" t="s">
        <v>517</v>
      </c>
      <c r="E711" t="s">
        <v>327</v>
      </c>
      <c r="F711" t="s">
        <v>327</v>
      </c>
      <c r="G711" t="s">
        <v>90</v>
      </c>
      <c r="H711" t="s">
        <v>81</v>
      </c>
      <c r="L711">
        <v>25</v>
      </c>
      <c r="M711" t="s">
        <v>83</v>
      </c>
      <c r="O711" t="s">
        <v>83</v>
      </c>
      <c r="P711" t="s">
        <v>84</v>
      </c>
      <c r="Q711" t="s">
        <v>85</v>
      </c>
    </row>
    <row r="712" spans="1:17" hidden="1">
      <c r="A712" t="s">
        <v>76</v>
      </c>
      <c r="B712" t="s">
        <v>77</v>
      </c>
      <c r="C712" t="s">
        <v>517</v>
      </c>
      <c r="D712" t="s">
        <v>517</v>
      </c>
      <c r="E712" t="s">
        <v>328</v>
      </c>
      <c r="F712" t="s">
        <v>328</v>
      </c>
      <c r="G712" t="s">
        <v>90</v>
      </c>
      <c r="H712" t="s">
        <v>81</v>
      </c>
      <c r="L712">
        <v>26</v>
      </c>
      <c r="M712" t="s">
        <v>83</v>
      </c>
      <c r="O712" t="s">
        <v>83</v>
      </c>
      <c r="P712" t="s">
        <v>84</v>
      </c>
      <c r="Q712" t="s">
        <v>85</v>
      </c>
    </row>
    <row r="713" spans="1:17" hidden="1">
      <c r="A713" t="s">
        <v>76</v>
      </c>
      <c r="B713" t="s">
        <v>77</v>
      </c>
      <c r="C713" t="s">
        <v>517</v>
      </c>
      <c r="D713" t="s">
        <v>517</v>
      </c>
      <c r="E713" t="s">
        <v>118</v>
      </c>
      <c r="F713" t="s">
        <v>118</v>
      </c>
      <c r="G713" t="s">
        <v>92</v>
      </c>
      <c r="H713" t="s">
        <v>81</v>
      </c>
      <c r="L713">
        <v>27</v>
      </c>
      <c r="M713" t="s">
        <v>83</v>
      </c>
      <c r="O713" t="s">
        <v>83</v>
      </c>
      <c r="P713" t="s">
        <v>84</v>
      </c>
      <c r="Q713" t="s">
        <v>85</v>
      </c>
    </row>
    <row r="714" spans="1:17" hidden="1">
      <c r="A714" t="s">
        <v>76</v>
      </c>
      <c r="B714" t="s">
        <v>77</v>
      </c>
      <c r="C714" t="s">
        <v>528</v>
      </c>
      <c r="D714" t="s">
        <v>528</v>
      </c>
      <c r="E714" t="s">
        <v>79</v>
      </c>
      <c r="F714" t="s">
        <v>79</v>
      </c>
      <c r="G714" t="s">
        <v>80</v>
      </c>
      <c r="H714" t="s">
        <v>81</v>
      </c>
      <c r="I714" t="s">
        <v>82</v>
      </c>
      <c r="L714">
        <v>1</v>
      </c>
      <c r="M714" t="s">
        <v>83</v>
      </c>
      <c r="O714" t="s">
        <v>83</v>
      </c>
      <c r="P714" t="s">
        <v>84</v>
      </c>
      <c r="Q714" t="s">
        <v>85</v>
      </c>
    </row>
    <row r="715" spans="1:17" hidden="1">
      <c r="A715" t="s">
        <v>76</v>
      </c>
      <c r="B715" t="s">
        <v>77</v>
      </c>
      <c r="C715" t="s">
        <v>528</v>
      </c>
      <c r="D715" t="s">
        <v>528</v>
      </c>
      <c r="E715" t="s">
        <v>86</v>
      </c>
      <c r="F715" t="s">
        <v>86</v>
      </c>
      <c r="G715" t="s">
        <v>80</v>
      </c>
      <c r="H715" t="s">
        <v>81</v>
      </c>
      <c r="I715" t="s">
        <v>82</v>
      </c>
      <c r="L715">
        <v>2</v>
      </c>
      <c r="M715" t="s">
        <v>83</v>
      </c>
      <c r="O715" t="s">
        <v>83</v>
      </c>
      <c r="P715" t="s">
        <v>84</v>
      </c>
      <c r="Q715" t="s">
        <v>85</v>
      </c>
    </row>
    <row r="716" spans="1:17" hidden="1">
      <c r="A716" t="s">
        <v>76</v>
      </c>
      <c r="B716" t="s">
        <v>77</v>
      </c>
      <c r="C716" t="s">
        <v>528</v>
      </c>
      <c r="D716" t="s">
        <v>528</v>
      </c>
      <c r="E716" t="s">
        <v>87</v>
      </c>
      <c r="F716" t="s">
        <v>87</v>
      </c>
      <c r="G716" t="s">
        <v>88</v>
      </c>
      <c r="H716" t="s">
        <v>81</v>
      </c>
      <c r="J716" t="s">
        <v>83</v>
      </c>
      <c r="L716">
        <v>3</v>
      </c>
      <c r="M716" t="s">
        <v>83</v>
      </c>
      <c r="O716" t="s">
        <v>83</v>
      </c>
      <c r="P716" t="s">
        <v>84</v>
      </c>
      <c r="Q716" t="s">
        <v>85</v>
      </c>
    </row>
    <row r="717" spans="1:17" hidden="1">
      <c r="A717" t="s">
        <v>76</v>
      </c>
      <c r="B717" t="s">
        <v>77</v>
      </c>
      <c r="C717" t="s">
        <v>528</v>
      </c>
      <c r="D717" t="s">
        <v>528</v>
      </c>
      <c r="E717" t="s">
        <v>89</v>
      </c>
      <c r="F717" t="s">
        <v>89</v>
      </c>
      <c r="G717" t="s">
        <v>90</v>
      </c>
      <c r="H717" t="s">
        <v>81</v>
      </c>
      <c r="J717" t="s">
        <v>83</v>
      </c>
      <c r="K717" t="s">
        <v>83</v>
      </c>
      <c r="L717">
        <v>4</v>
      </c>
      <c r="M717" t="s">
        <v>83</v>
      </c>
      <c r="O717" t="s">
        <v>83</v>
      </c>
      <c r="P717" t="s">
        <v>84</v>
      </c>
      <c r="Q717" t="s">
        <v>85</v>
      </c>
    </row>
    <row r="718" spans="1:17" hidden="1">
      <c r="A718" t="s">
        <v>76</v>
      </c>
      <c r="B718" t="s">
        <v>77</v>
      </c>
      <c r="C718" t="s">
        <v>528</v>
      </c>
      <c r="D718" t="s">
        <v>528</v>
      </c>
      <c r="E718" t="s">
        <v>529</v>
      </c>
      <c r="F718" t="s">
        <v>529</v>
      </c>
      <c r="G718" t="s">
        <v>90</v>
      </c>
      <c r="H718" t="s">
        <v>81</v>
      </c>
      <c r="I718" t="s">
        <v>82</v>
      </c>
      <c r="L718">
        <v>5</v>
      </c>
      <c r="M718" t="s">
        <v>83</v>
      </c>
      <c r="O718" t="s">
        <v>83</v>
      </c>
      <c r="P718" t="s">
        <v>100</v>
      </c>
      <c r="Q718" t="s">
        <v>85</v>
      </c>
    </row>
    <row r="719" spans="1:17" hidden="1">
      <c r="A719" t="s">
        <v>76</v>
      </c>
      <c r="B719" t="s">
        <v>77</v>
      </c>
      <c r="C719" t="s">
        <v>528</v>
      </c>
      <c r="D719" t="s">
        <v>528</v>
      </c>
      <c r="E719" t="s">
        <v>529</v>
      </c>
      <c r="F719" t="s">
        <v>530</v>
      </c>
      <c r="G719" t="s">
        <v>90</v>
      </c>
      <c r="H719" t="s">
        <v>81</v>
      </c>
      <c r="L719">
        <v>6</v>
      </c>
      <c r="M719" t="s">
        <v>83</v>
      </c>
      <c r="O719" t="s">
        <v>83</v>
      </c>
      <c r="P719" t="s">
        <v>84</v>
      </c>
      <c r="Q719" t="s">
        <v>85</v>
      </c>
    </row>
    <row r="720" spans="1:17" hidden="1">
      <c r="A720" t="s">
        <v>76</v>
      </c>
      <c r="B720" t="s">
        <v>77</v>
      </c>
      <c r="C720" t="s">
        <v>528</v>
      </c>
      <c r="D720" t="s">
        <v>528</v>
      </c>
      <c r="E720" t="s">
        <v>91</v>
      </c>
      <c r="F720" t="s">
        <v>91</v>
      </c>
      <c r="G720" t="s">
        <v>92</v>
      </c>
      <c r="H720" t="s">
        <v>81</v>
      </c>
      <c r="J720" t="s">
        <v>83</v>
      </c>
      <c r="L720">
        <v>7</v>
      </c>
      <c r="M720" t="s">
        <v>83</v>
      </c>
      <c r="O720" t="s">
        <v>83</v>
      </c>
      <c r="P720" t="s">
        <v>84</v>
      </c>
      <c r="Q720" t="s">
        <v>85</v>
      </c>
    </row>
    <row r="721" spans="1:17" hidden="1">
      <c r="A721" t="s">
        <v>76</v>
      </c>
      <c r="B721" t="s">
        <v>77</v>
      </c>
      <c r="C721" t="s">
        <v>528</v>
      </c>
      <c r="D721" t="s">
        <v>528</v>
      </c>
      <c r="E721" t="s">
        <v>531</v>
      </c>
      <c r="F721" t="s">
        <v>531</v>
      </c>
      <c r="G721" t="s">
        <v>94</v>
      </c>
      <c r="H721" t="s">
        <v>81</v>
      </c>
      <c r="L721">
        <v>8</v>
      </c>
      <c r="M721" t="s">
        <v>83</v>
      </c>
      <c r="O721" t="s">
        <v>83</v>
      </c>
      <c r="P721" t="s">
        <v>84</v>
      </c>
      <c r="Q721" t="s">
        <v>85</v>
      </c>
    </row>
    <row r="722" spans="1:17" hidden="1">
      <c r="A722" t="s">
        <v>76</v>
      </c>
      <c r="B722" t="s">
        <v>77</v>
      </c>
      <c r="C722" t="s">
        <v>528</v>
      </c>
      <c r="D722" t="s">
        <v>528</v>
      </c>
      <c r="E722" t="s">
        <v>532</v>
      </c>
      <c r="F722" t="s">
        <v>532</v>
      </c>
      <c r="G722" t="s">
        <v>88</v>
      </c>
      <c r="H722" t="s">
        <v>81</v>
      </c>
      <c r="L722">
        <v>9</v>
      </c>
      <c r="M722" t="s">
        <v>83</v>
      </c>
      <c r="O722" t="s">
        <v>83</v>
      </c>
      <c r="P722" t="s">
        <v>84</v>
      </c>
      <c r="Q722" t="s">
        <v>85</v>
      </c>
    </row>
    <row r="723" spans="1:17" hidden="1">
      <c r="A723" t="s">
        <v>76</v>
      </c>
      <c r="B723" t="s">
        <v>77</v>
      </c>
      <c r="C723" t="s">
        <v>528</v>
      </c>
      <c r="D723" t="s">
        <v>528</v>
      </c>
      <c r="E723" t="s">
        <v>533</v>
      </c>
      <c r="F723" t="s">
        <v>533</v>
      </c>
      <c r="G723" t="s">
        <v>94</v>
      </c>
      <c r="H723" t="s">
        <v>81</v>
      </c>
      <c r="L723">
        <v>10</v>
      </c>
      <c r="M723" t="s">
        <v>83</v>
      </c>
      <c r="O723" t="s">
        <v>83</v>
      </c>
      <c r="P723" t="s">
        <v>84</v>
      </c>
      <c r="Q723" t="s">
        <v>85</v>
      </c>
    </row>
    <row r="724" spans="1:17" hidden="1">
      <c r="A724" t="s">
        <v>76</v>
      </c>
      <c r="B724" t="s">
        <v>77</v>
      </c>
      <c r="C724" t="s">
        <v>528</v>
      </c>
      <c r="D724" t="s">
        <v>528</v>
      </c>
      <c r="E724" t="s">
        <v>534</v>
      </c>
      <c r="F724" t="s">
        <v>534</v>
      </c>
      <c r="G724" t="s">
        <v>98</v>
      </c>
      <c r="H724" t="s">
        <v>81</v>
      </c>
      <c r="L724">
        <v>11</v>
      </c>
      <c r="M724" t="s">
        <v>83</v>
      </c>
      <c r="O724" t="s">
        <v>83</v>
      </c>
      <c r="P724" t="s">
        <v>84</v>
      </c>
      <c r="Q724" t="s">
        <v>85</v>
      </c>
    </row>
    <row r="725" spans="1:17" hidden="1">
      <c r="A725" t="s">
        <v>76</v>
      </c>
      <c r="B725" t="s">
        <v>77</v>
      </c>
      <c r="C725" t="s">
        <v>528</v>
      </c>
      <c r="D725" t="s">
        <v>528</v>
      </c>
      <c r="E725" t="s">
        <v>535</v>
      </c>
      <c r="F725" t="s">
        <v>535</v>
      </c>
      <c r="G725" t="s">
        <v>98</v>
      </c>
      <c r="H725" t="s">
        <v>81</v>
      </c>
      <c r="L725">
        <v>12</v>
      </c>
      <c r="M725" t="s">
        <v>83</v>
      </c>
      <c r="O725" t="s">
        <v>83</v>
      </c>
      <c r="P725" t="s">
        <v>84</v>
      </c>
      <c r="Q725" t="s">
        <v>85</v>
      </c>
    </row>
    <row r="726" spans="1:17" hidden="1">
      <c r="A726" t="s">
        <v>76</v>
      </c>
      <c r="B726" t="s">
        <v>77</v>
      </c>
      <c r="C726" t="s">
        <v>528</v>
      </c>
      <c r="D726" t="s">
        <v>528</v>
      </c>
      <c r="E726" t="s">
        <v>536</v>
      </c>
      <c r="F726" t="s">
        <v>536</v>
      </c>
      <c r="G726" t="s">
        <v>98</v>
      </c>
      <c r="H726" t="s">
        <v>81</v>
      </c>
      <c r="L726">
        <v>13</v>
      </c>
      <c r="M726" t="s">
        <v>83</v>
      </c>
      <c r="O726" t="s">
        <v>83</v>
      </c>
      <c r="P726" t="s">
        <v>84</v>
      </c>
      <c r="Q726" t="s">
        <v>85</v>
      </c>
    </row>
    <row r="727" spans="1:17" hidden="1">
      <c r="A727" t="s">
        <v>76</v>
      </c>
      <c r="B727" t="s">
        <v>77</v>
      </c>
      <c r="C727" t="s">
        <v>528</v>
      </c>
      <c r="D727" t="s">
        <v>528</v>
      </c>
      <c r="E727" t="s">
        <v>537</v>
      </c>
      <c r="F727" t="s">
        <v>537</v>
      </c>
      <c r="G727" t="s">
        <v>188</v>
      </c>
      <c r="H727" t="s">
        <v>81</v>
      </c>
      <c r="L727">
        <v>14</v>
      </c>
      <c r="M727" t="s">
        <v>83</v>
      </c>
      <c r="O727" t="s">
        <v>83</v>
      </c>
      <c r="P727" t="s">
        <v>84</v>
      </c>
      <c r="Q727" t="s">
        <v>85</v>
      </c>
    </row>
    <row r="728" spans="1:17" hidden="1">
      <c r="A728" t="s">
        <v>76</v>
      </c>
      <c r="B728" t="s">
        <v>77</v>
      </c>
      <c r="C728" t="s">
        <v>528</v>
      </c>
      <c r="D728" t="s">
        <v>528</v>
      </c>
      <c r="E728" t="s">
        <v>112</v>
      </c>
      <c r="F728" t="s">
        <v>112</v>
      </c>
      <c r="G728" t="s">
        <v>113</v>
      </c>
      <c r="H728" t="s">
        <v>81</v>
      </c>
      <c r="I728" t="s">
        <v>114</v>
      </c>
      <c r="L728">
        <v>15</v>
      </c>
      <c r="M728" t="s">
        <v>83</v>
      </c>
      <c r="O728" t="s">
        <v>83</v>
      </c>
      <c r="P728" t="s">
        <v>84</v>
      </c>
      <c r="Q728" t="s">
        <v>85</v>
      </c>
    </row>
    <row r="729" spans="1:17" hidden="1">
      <c r="A729" t="s">
        <v>76</v>
      </c>
      <c r="B729" t="s">
        <v>77</v>
      </c>
      <c r="C729" t="s">
        <v>528</v>
      </c>
      <c r="D729" t="s">
        <v>528</v>
      </c>
      <c r="E729" t="s">
        <v>115</v>
      </c>
      <c r="F729" t="s">
        <v>115</v>
      </c>
      <c r="G729" t="s">
        <v>113</v>
      </c>
      <c r="H729" t="s">
        <v>81</v>
      </c>
      <c r="I729" t="s">
        <v>114</v>
      </c>
      <c r="L729">
        <v>16</v>
      </c>
      <c r="M729" t="s">
        <v>83</v>
      </c>
      <c r="O729" t="s">
        <v>83</v>
      </c>
      <c r="P729" t="s">
        <v>84</v>
      </c>
      <c r="Q729" t="s">
        <v>85</v>
      </c>
    </row>
    <row r="730" spans="1:17" hidden="1">
      <c r="A730" t="s">
        <v>76</v>
      </c>
      <c r="B730" t="s">
        <v>77</v>
      </c>
      <c r="C730" t="s">
        <v>528</v>
      </c>
      <c r="D730" t="s">
        <v>528</v>
      </c>
      <c r="E730" t="s">
        <v>327</v>
      </c>
      <c r="F730" t="s">
        <v>327</v>
      </c>
      <c r="G730" t="s">
        <v>90</v>
      </c>
      <c r="H730" t="s">
        <v>81</v>
      </c>
      <c r="L730">
        <v>17</v>
      </c>
      <c r="M730" t="s">
        <v>83</v>
      </c>
      <c r="O730" t="s">
        <v>83</v>
      </c>
      <c r="P730" t="s">
        <v>84</v>
      </c>
      <c r="Q730" t="s">
        <v>85</v>
      </c>
    </row>
    <row r="731" spans="1:17" hidden="1">
      <c r="A731" t="s">
        <v>76</v>
      </c>
      <c r="B731" t="s">
        <v>77</v>
      </c>
      <c r="C731" t="s">
        <v>528</v>
      </c>
      <c r="D731" t="s">
        <v>528</v>
      </c>
      <c r="E731" t="s">
        <v>117</v>
      </c>
      <c r="F731" t="s">
        <v>117</v>
      </c>
      <c r="G731" t="s">
        <v>90</v>
      </c>
      <c r="H731" t="s">
        <v>81</v>
      </c>
      <c r="L731">
        <v>24</v>
      </c>
      <c r="M731" t="s">
        <v>83</v>
      </c>
      <c r="O731" t="s">
        <v>83</v>
      </c>
      <c r="P731" t="s">
        <v>84</v>
      </c>
      <c r="Q731" t="s">
        <v>85</v>
      </c>
    </row>
    <row r="732" spans="1:17" hidden="1">
      <c r="A732" t="s">
        <v>76</v>
      </c>
      <c r="B732" t="s">
        <v>77</v>
      </c>
      <c r="C732" t="s">
        <v>528</v>
      </c>
      <c r="D732" t="s">
        <v>528</v>
      </c>
      <c r="E732" t="s">
        <v>328</v>
      </c>
      <c r="F732" t="s">
        <v>328</v>
      </c>
      <c r="G732" t="s">
        <v>90</v>
      </c>
      <c r="H732" t="s">
        <v>81</v>
      </c>
      <c r="L732">
        <v>25</v>
      </c>
      <c r="M732" t="s">
        <v>83</v>
      </c>
      <c r="O732" t="s">
        <v>83</v>
      </c>
      <c r="P732" t="s">
        <v>84</v>
      </c>
      <c r="Q732" t="s">
        <v>85</v>
      </c>
    </row>
    <row r="733" spans="1:17" hidden="1">
      <c r="A733" t="s">
        <v>76</v>
      </c>
      <c r="B733" t="s">
        <v>77</v>
      </c>
      <c r="C733" t="s">
        <v>528</v>
      </c>
      <c r="D733" t="s">
        <v>528</v>
      </c>
      <c r="E733" t="s">
        <v>118</v>
      </c>
      <c r="F733" t="s">
        <v>118</v>
      </c>
      <c r="G733" t="s">
        <v>92</v>
      </c>
      <c r="H733" t="s">
        <v>81</v>
      </c>
      <c r="L733">
        <v>26</v>
      </c>
      <c r="M733" t="s">
        <v>83</v>
      </c>
      <c r="O733" t="s">
        <v>83</v>
      </c>
      <c r="P733" t="s">
        <v>84</v>
      </c>
      <c r="Q733" t="s">
        <v>85</v>
      </c>
    </row>
    <row r="734" spans="1:17" hidden="1">
      <c r="A734" t="s">
        <v>76</v>
      </c>
      <c r="B734" t="s">
        <v>77</v>
      </c>
      <c r="C734" t="s">
        <v>538</v>
      </c>
      <c r="D734" t="s">
        <v>538</v>
      </c>
      <c r="E734" t="s">
        <v>79</v>
      </c>
      <c r="F734" t="s">
        <v>79</v>
      </c>
      <c r="G734" t="s">
        <v>80</v>
      </c>
      <c r="H734" t="s">
        <v>81</v>
      </c>
      <c r="I734" t="s">
        <v>82</v>
      </c>
      <c r="L734">
        <v>1</v>
      </c>
      <c r="M734" t="s">
        <v>83</v>
      </c>
      <c r="O734" t="s">
        <v>83</v>
      </c>
      <c r="P734" t="s">
        <v>84</v>
      </c>
      <c r="Q734" t="s">
        <v>85</v>
      </c>
    </row>
    <row r="735" spans="1:17" hidden="1">
      <c r="A735" t="s">
        <v>76</v>
      </c>
      <c r="B735" t="s">
        <v>77</v>
      </c>
      <c r="C735" t="s">
        <v>538</v>
      </c>
      <c r="D735" t="s">
        <v>538</v>
      </c>
      <c r="E735" t="s">
        <v>86</v>
      </c>
      <c r="F735" t="s">
        <v>86</v>
      </c>
      <c r="G735" t="s">
        <v>80</v>
      </c>
      <c r="H735" t="s">
        <v>81</v>
      </c>
      <c r="I735" t="s">
        <v>82</v>
      </c>
      <c r="L735">
        <v>2</v>
      </c>
      <c r="M735" t="s">
        <v>83</v>
      </c>
      <c r="O735" t="s">
        <v>83</v>
      </c>
      <c r="P735" t="s">
        <v>84</v>
      </c>
      <c r="Q735" t="s">
        <v>85</v>
      </c>
    </row>
    <row r="736" spans="1:17" hidden="1">
      <c r="A736" t="s">
        <v>76</v>
      </c>
      <c r="B736" t="s">
        <v>77</v>
      </c>
      <c r="C736" t="s">
        <v>538</v>
      </c>
      <c r="D736" t="s">
        <v>538</v>
      </c>
      <c r="E736" t="s">
        <v>87</v>
      </c>
      <c r="F736" t="s">
        <v>87</v>
      </c>
      <c r="G736" t="s">
        <v>88</v>
      </c>
      <c r="H736" t="s">
        <v>81</v>
      </c>
      <c r="J736" t="s">
        <v>83</v>
      </c>
      <c r="L736">
        <v>3</v>
      </c>
      <c r="M736" t="s">
        <v>83</v>
      </c>
      <c r="O736" t="s">
        <v>83</v>
      </c>
      <c r="P736" t="s">
        <v>84</v>
      </c>
      <c r="Q736" t="s">
        <v>85</v>
      </c>
    </row>
    <row r="737" spans="1:17" hidden="1">
      <c r="A737" t="s">
        <v>76</v>
      </c>
      <c r="B737" t="s">
        <v>77</v>
      </c>
      <c r="C737" t="s">
        <v>538</v>
      </c>
      <c r="D737" t="s">
        <v>538</v>
      </c>
      <c r="E737" t="s">
        <v>89</v>
      </c>
      <c r="F737" t="s">
        <v>89</v>
      </c>
      <c r="G737" t="s">
        <v>90</v>
      </c>
      <c r="H737" t="s">
        <v>81</v>
      </c>
      <c r="J737" t="s">
        <v>83</v>
      </c>
      <c r="K737" t="s">
        <v>83</v>
      </c>
      <c r="L737">
        <v>4</v>
      </c>
      <c r="M737" t="s">
        <v>83</v>
      </c>
      <c r="O737" t="s">
        <v>83</v>
      </c>
      <c r="P737" t="s">
        <v>84</v>
      </c>
      <c r="Q737" t="s">
        <v>85</v>
      </c>
    </row>
    <row r="738" spans="1:17" hidden="1">
      <c r="A738" t="s">
        <v>76</v>
      </c>
      <c r="B738" t="s">
        <v>77</v>
      </c>
      <c r="C738" t="s">
        <v>538</v>
      </c>
      <c r="D738" t="s">
        <v>538</v>
      </c>
      <c r="E738" t="s">
        <v>539</v>
      </c>
      <c r="F738" t="s">
        <v>539</v>
      </c>
      <c r="G738" t="s">
        <v>90</v>
      </c>
      <c r="H738" t="s">
        <v>81</v>
      </c>
      <c r="I738" t="s">
        <v>82</v>
      </c>
      <c r="L738">
        <v>5</v>
      </c>
      <c r="M738" t="s">
        <v>83</v>
      </c>
      <c r="O738" t="s">
        <v>83</v>
      </c>
      <c r="P738" t="s">
        <v>100</v>
      </c>
      <c r="Q738" t="s">
        <v>85</v>
      </c>
    </row>
    <row r="739" spans="1:17" hidden="1">
      <c r="A739" t="s">
        <v>76</v>
      </c>
      <c r="B739" t="s">
        <v>77</v>
      </c>
      <c r="C739" t="s">
        <v>538</v>
      </c>
      <c r="D739" t="s">
        <v>538</v>
      </c>
      <c r="E739" t="s">
        <v>539</v>
      </c>
      <c r="F739" t="s">
        <v>540</v>
      </c>
      <c r="G739" t="s">
        <v>90</v>
      </c>
      <c r="H739" t="s">
        <v>81</v>
      </c>
      <c r="L739">
        <v>6</v>
      </c>
      <c r="M739" t="s">
        <v>83</v>
      </c>
      <c r="O739" t="s">
        <v>83</v>
      </c>
      <c r="P739" t="s">
        <v>84</v>
      </c>
      <c r="Q739" t="s">
        <v>85</v>
      </c>
    </row>
    <row r="740" spans="1:17" hidden="1">
      <c r="A740" t="s">
        <v>76</v>
      </c>
      <c r="B740" t="s">
        <v>77</v>
      </c>
      <c r="C740" t="s">
        <v>538</v>
      </c>
      <c r="D740" t="s">
        <v>538</v>
      </c>
      <c r="E740" t="s">
        <v>91</v>
      </c>
      <c r="F740" t="s">
        <v>91</v>
      </c>
      <c r="G740" t="s">
        <v>92</v>
      </c>
      <c r="H740" t="s">
        <v>81</v>
      </c>
      <c r="J740" t="s">
        <v>83</v>
      </c>
      <c r="L740">
        <v>7</v>
      </c>
      <c r="M740" t="s">
        <v>83</v>
      </c>
      <c r="O740" t="s">
        <v>83</v>
      </c>
      <c r="P740" t="s">
        <v>84</v>
      </c>
      <c r="Q740" t="s">
        <v>85</v>
      </c>
    </row>
    <row r="741" spans="1:17" hidden="1">
      <c r="A741" t="s">
        <v>76</v>
      </c>
      <c r="B741" t="s">
        <v>77</v>
      </c>
      <c r="C741" t="s">
        <v>538</v>
      </c>
      <c r="D741" t="s">
        <v>538</v>
      </c>
      <c r="E741" t="s">
        <v>541</v>
      </c>
      <c r="F741" t="s">
        <v>541</v>
      </c>
      <c r="G741" t="s">
        <v>94</v>
      </c>
      <c r="H741" t="s">
        <v>81</v>
      </c>
      <c r="L741">
        <v>8</v>
      </c>
      <c r="M741" t="s">
        <v>83</v>
      </c>
      <c r="O741" t="s">
        <v>83</v>
      </c>
      <c r="P741" t="s">
        <v>84</v>
      </c>
      <c r="Q741" t="s">
        <v>85</v>
      </c>
    </row>
    <row r="742" spans="1:17" hidden="1">
      <c r="A742" t="s">
        <v>76</v>
      </c>
      <c r="B742" t="s">
        <v>77</v>
      </c>
      <c r="C742" t="s">
        <v>538</v>
      </c>
      <c r="D742" t="s">
        <v>538</v>
      </c>
      <c r="E742" t="s">
        <v>542</v>
      </c>
      <c r="F742" t="s">
        <v>542</v>
      </c>
      <c r="G742" t="s">
        <v>88</v>
      </c>
      <c r="H742" t="s">
        <v>81</v>
      </c>
      <c r="L742">
        <v>9</v>
      </c>
      <c r="M742" t="s">
        <v>83</v>
      </c>
      <c r="O742" t="s">
        <v>83</v>
      </c>
      <c r="P742" t="s">
        <v>84</v>
      </c>
      <c r="Q742" t="s">
        <v>85</v>
      </c>
    </row>
    <row r="743" spans="1:17" hidden="1">
      <c r="A743" t="s">
        <v>76</v>
      </c>
      <c r="B743" t="s">
        <v>77</v>
      </c>
      <c r="C743" t="s">
        <v>538</v>
      </c>
      <c r="D743" t="s">
        <v>538</v>
      </c>
      <c r="E743" t="s">
        <v>543</v>
      </c>
      <c r="F743" t="s">
        <v>543</v>
      </c>
      <c r="G743" t="s">
        <v>94</v>
      </c>
      <c r="H743" t="s">
        <v>81</v>
      </c>
      <c r="L743">
        <v>10</v>
      </c>
      <c r="M743" t="s">
        <v>83</v>
      </c>
      <c r="O743" t="s">
        <v>83</v>
      </c>
      <c r="P743" t="s">
        <v>84</v>
      </c>
      <c r="Q743" t="s">
        <v>85</v>
      </c>
    </row>
    <row r="744" spans="1:17" hidden="1">
      <c r="A744" t="s">
        <v>76</v>
      </c>
      <c r="B744" t="s">
        <v>77</v>
      </c>
      <c r="C744" t="s">
        <v>538</v>
      </c>
      <c r="D744" t="s">
        <v>538</v>
      </c>
      <c r="E744" t="s">
        <v>544</v>
      </c>
      <c r="F744" t="s">
        <v>544</v>
      </c>
      <c r="G744" t="s">
        <v>98</v>
      </c>
      <c r="H744" t="s">
        <v>81</v>
      </c>
      <c r="L744">
        <v>11</v>
      </c>
      <c r="M744" t="s">
        <v>83</v>
      </c>
      <c r="O744" t="s">
        <v>83</v>
      </c>
      <c r="P744" t="s">
        <v>84</v>
      </c>
      <c r="Q744" t="s">
        <v>85</v>
      </c>
    </row>
    <row r="745" spans="1:17" hidden="1">
      <c r="A745" t="s">
        <v>76</v>
      </c>
      <c r="B745" t="s">
        <v>77</v>
      </c>
      <c r="C745" t="s">
        <v>538</v>
      </c>
      <c r="D745" t="s">
        <v>538</v>
      </c>
      <c r="E745" t="s">
        <v>545</v>
      </c>
      <c r="F745" t="s">
        <v>545</v>
      </c>
      <c r="G745" t="s">
        <v>98</v>
      </c>
      <c r="H745" t="s">
        <v>81</v>
      </c>
      <c r="L745">
        <v>12</v>
      </c>
      <c r="M745" t="s">
        <v>83</v>
      </c>
      <c r="O745" t="s">
        <v>83</v>
      </c>
      <c r="P745" t="s">
        <v>84</v>
      </c>
      <c r="Q745" t="s">
        <v>85</v>
      </c>
    </row>
    <row r="746" spans="1:17" hidden="1">
      <c r="A746" t="s">
        <v>76</v>
      </c>
      <c r="B746" t="s">
        <v>77</v>
      </c>
      <c r="C746" t="s">
        <v>538</v>
      </c>
      <c r="D746" t="s">
        <v>538</v>
      </c>
      <c r="E746" t="s">
        <v>546</v>
      </c>
      <c r="F746" t="s">
        <v>546</v>
      </c>
      <c r="G746" t="s">
        <v>98</v>
      </c>
      <c r="H746" t="s">
        <v>81</v>
      </c>
      <c r="L746">
        <v>13</v>
      </c>
      <c r="M746" t="s">
        <v>83</v>
      </c>
      <c r="O746" t="s">
        <v>83</v>
      </c>
      <c r="P746" t="s">
        <v>84</v>
      </c>
      <c r="Q746" t="s">
        <v>85</v>
      </c>
    </row>
    <row r="747" spans="1:17" hidden="1">
      <c r="A747" t="s">
        <v>76</v>
      </c>
      <c r="B747" t="s">
        <v>77</v>
      </c>
      <c r="C747" t="s">
        <v>538</v>
      </c>
      <c r="D747" t="s">
        <v>538</v>
      </c>
      <c r="E747" t="s">
        <v>118</v>
      </c>
      <c r="F747" t="s">
        <v>118</v>
      </c>
      <c r="G747" t="s">
        <v>92</v>
      </c>
      <c r="H747" t="s">
        <v>81</v>
      </c>
      <c r="L747">
        <v>14</v>
      </c>
      <c r="M747" t="s">
        <v>83</v>
      </c>
      <c r="O747" t="s">
        <v>83</v>
      </c>
      <c r="P747" t="s">
        <v>84</v>
      </c>
      <c r="Q747" t="s">
        <v>85</v>
      </c>
    </row>
    <row r="748" spans="1:17" hidden="1">
      <c r="A748" t="s">
        <v>76</v>
      </c>
      <c r="B748" t="s">
        <v>77</v>
      </c>
      <c r="C748" t="s">
        <v>538</v>
      </c>
      <c r="D748" t="s">
        <v>538</v>
      </c>
      <c r="E748" t="s">
        <v>117</v>
      </c>
      <c r="F748" t="s">
        <v>117</v>
      </c>
      <c r="G748" t="s">
        <v>90</v>
      </c>
      <c r="H748" t="s">
        <v>81</v>
      </c>
      <c r="L748">
        <v>19</v>
      </c>
      <c r="M748" t="s">
        <v>83</v>
      </c>
      <c r="O748" t="s">
        <v>83</v>
      </c>
      <c r="P748" t="s">
        <v>84</v>
      </c>
      <c r="Q748" t="s">
        <v>85</v>
      </c>
    </row>
    <row r="749" spans="1:17" hidden="1">
      <c r="A749" t="s">
        <v>76</v>
      </c>
      <c r="B749" t="s">
        <v>77</v>
      </c>
      <c r="C749" t="s">
        <v>538</v>
      </c>
      <c r="D749" t="s">
        <v>538</v>
      </c>
      <c r="E749" t="s">
        <v>327</v>
      </c>
      <c r="F749" t="s">
        <v>327</v>
      </c>
      <c r="G749" t="s">
        <v>90</v>
      </c>
      <c r="H749" t="s">
        <v>81</v>
      </c>
      <c r="L749">
        <v>20</v>
      </c>
      <c r="M749" t="s">
        <v>83</v>
      </c>
      <c r="O749" t="s">
        <v>83</v>
      </c>
      <c r="P749" t="s">
        <v>84</v>
      </c>
      <c r="Q749" t="s">
        <v>85</v>
      </c>
    </row>
    <row r="750" spans="1:17" hidden="1">
      <c r="A750" t="s">
        <v>76</v>
      </c>
      <c r="B750" t="s">
        <v>77</v>
      </c>
      <c r="C750" t="s">
        <v>538</v>
      </c>
      <c r="D750" t="s">
        <v>538</v>
      </c>
      <c r="E750" t="s">
        <v>328</v>
      </c>
      <c r="F750" t="s">
        <v>328</v>
      </c>
      <c r="G750" t="s">
        <v>90</v>
      </c>
      <c r="H750" t="s">
        <v>81</v>
      </c>
      <c r="L750">
        <v>21</v>
      </c>
      <c r="M750" t="s">
        <v>83</v>
      </c>
      <c r="O750" t="s">
        <v>83</v>
      </c>
      <c r="P750" t="s">
        <v>84</v>
      </c>
      <c r="Q750" t="s">
        <v>85</v>
      </c>
    </row>
    <row r="751" spans="1:17" hidden="1">
      <c r="A751" t="s">
        <v>76</v>
      </c>
      <c r="B751" t="s">
        <v>77</v>
      </c>
      <c r="C751" t="s">
        <v>538</v>
      </c>
      <c r="D751" t="s">
        <v>538</v>
      </c>
      <c r="E751" t="s">
        <v>112</v>
      </c>
      <c r="F751" t="s">
        <v>112</v>
      </c>
      <c r="G751" t="s">
        <v>113</v>
      </c>
      <c r="H751" t="s">
        <v>81</v>
      </c>
      <c r="I751" t="s">
        <v>114</v>
      </c>
      <c r="L751">
        <v>22</v>
      </c>
      <c r="M751" t="s">
        <v>83</v>
      </c>
      <c r="O751" t="s">
        <v>83</v>
      </c>
      <c r="P751" t="s">
        <v>84</v>
      </c>
      <c r="Q751" t="s">
        <v>85</v>
      </c>
    </row>
    <row r="752" spans="1:17" hidden="1">
      <c r="A752" t="s">
        <v>76</v>
      </c>
      <c r="B752" t="s">
        <v>77</v>
      </c>
      <c r="C752" t="s">
        <v>538</v>
      </c>
      <c r="D752" t="s">
        <v>538</v>
      </c>
      <c r="E752" t="s">
        <v>115</v>
      </c>
      <c r="F752" t="s">
        <v>115</v>
      </c>
      <c r="G752" t="s">
        <v>113</v>
      </c>
      <c r="H752" t="s">
        <v>81</v>
      </c>
      <c r="I752" t="s">
        <v>114</v>
      </c>
      <c r="L752">
        <v>23</v>
      </c>
      <c r="M752" t="s">
        <v>83</v>
      </c>
      <c r="O752" t="s">
        <v>83</v>
      </c>
      <c r="P752" t="s">
        <v>84</v>
      </c>
      <c r="Q752" t="s">
        <v>85</v>
      </c>
    </row>
    <row r="753" spans="1:17" hidden="1">
      <c r="A753" t="s">
        <v>76</v>
      </c>
      <c r="B753" t="s">
        <v>77</v>
      </c>
      <c r="C753" t="s">
        <v>547</v>
      </c>
      <c r="D753" t="s">
        <v>547</v>
      </c>
      <c r="E753" t="s">
        <v>79</v>
      </c>
      <c r="F753" t="s">
        <v>79</v>
      </c>
      <c r="G753" t="s">
        <v>80</v>
      </c>
      <c r="H753" t="s">
        <v>81</v>
      </c>
      <c r="I753" t="s">
        <v>82</v>
      </c>
      <c r="L753">
        <v>1</v>
      </c>
      <c r="M753" t="s">
        <v>83</v>
      </c>
      <c r="O753" t="s">
        <v>83</v>
      </c>
      <c r="P753" t="s">
        <v>84</v>
      </c>
      <c r="Q753" t="s">
        <v>85</v>
      </c>
    </row>
    <row r="754" spans="1:17" hidden="1">
      <c r="A754" t="s">
        <v>76</v>
      </c>
      <c r="B754" t="s">
        <v>77</v>
      </c>
      <c r="C754" t="s">
        <v>547</v>
      </c>
      <c r="D754" t="s">
        <v>547</v>
      </c>
      <c r="E754" t="s">
        <v>86</v>
      </c>
      <c r="F754" t="s">
        <v>86</v>
      </c>
      <c r="G754" t="s">
        <v>80</v>
      </c>
      <c r="H754" t="s">
        <v>81</v>
      </c>
      <c r="I754" t="s">
        <v>82</v>
      </c>
      <c r="L754">
        <v>2</v>
      </c>
      <c r="M754" t="s">
        <v>83</v>
      </c>
      <c r="O754" t="s">
        <v>83</v>
      </c>
      <c r="P754" t="s">
        <v>84</v>
      </c>
      <c r="Q754" t="s">
        <v>85</v>
      </c>
    </row>
    <row r="755" spans="1:17" hidden="1">
      <c r="A755" t="s">
        <v>76</v>
      </c>
      <c r="B755" t="s">
        <v>77</v>
      </c>
      <c r="C755" t="s">
        <v>547</v>
      </c>
      <c r="D755" t="s">
        <v>547</v>
      </c>
      <c r="E755" t="s">
        <v>87</v>
      </c>
      <c r="F755" t="s">
        <v>87</v>
      </c>
      <c r="G755" t="s">
        <v>88</v>
      </c>
      <c r="H755" t="s">
        <v>81</v>
      </c>
      <c r="J755" t="s">
        <v>83</v>
      </c>
      <c r="L755">
        <v>3</v>
      </c>
      <c r="M755" t="s">
        <v>83</v>
      </c>
      <c r="O755" t="s">
        <v>83</v>
      </c>
      <c r="P755" t="s">
        <v>84</v>
      </c>
      <c r="Q755" t="s">
        <v>85</v>
      </c>
    </row>
    <row r="756" spans="1:17" hidden="1">
      <c r="A756" t="s">
        <v>76</v>
      </c>
      <c r="B756" t="s">
        <v>77</v>
      </c>
      <c r="C756" t="s">
        <v>547</v>
      </c>
      <c r="D756" t="s">
        <v>547</v>
      </c>
      <c r="E756" t="s">
        <v>89</v>
      </c>
      <c r="F756" t="s">
        <v>89</v>
      </c>
      <c r="G756" t="s">
        <v>90</v>
      </c>
      <c r="H756" t="s">
        <v>81</v>
      </c>
      <c r="J756" t="s">
        <v>83</v>
      </c>
      <c r="K756" t="s">
        <v>83</v>
      </c>
      <c r="L756">
        <v>4</v>
      </c>
      <c r="M756" t="s">
        <v>83</v>
      </c>
      <c r="O756" t="s">
        <v>83</v>
      </c>
      <c r="P756" t="s">
        <v>84</v>
      </c>
      <c r="Q756" t="s">
        <v>85</v>
      </c>
    </row>
    <row r="757" spans="1:17" hidden="1">
      <c r="A757" t="s">
        <v>76</v>
      </c>
      <c r="B757" t="s">
        <v>77</v>
      </c>
      <c r="C757" t="s">
        <v>547</v>
      </c>
      <c r="D757" t="s">
        <v>547</v>
      </c>
      <c r="E757" t="s">
        <v>91</v>
      </c>
      <c r="F757" t="s">
        <v>91</v>
      </c>
      <c r="G757" t="s">
        <v>92</v>
      </c>
      <c r="H757" t="s">
        <v>81</v>
      </c>
      <c r="J757" t="s">
        <v>83</v>
      </c>
      <c r="L757">
        <v>5</v>
      </c>
      <c r="M757" t="s">
        <v>83</v>
      </c>
      <c r="O757" t="s">
        <v>83</v>
      </c>
      <c r="P757" t="s">
        <v>84</v>
      </c>
      <c r="Q757" t="s">
        <v>85</v>
      </c>
    </row>
    <row r="758" spans="1:17" hidden="1">
      <c r="A758" t="s">
        <v>76</v>
      </c>
      <c r="B758" t="s">
        <v>77</v>
      </c>
      <c r="C758" t="s">
        <v>547</v>
      </c>
      <c r="D758" t="s">
        <v>547</v>
      </c>
      <c r="E758" t="s">
        <v>548</v>
      </c>
      <c r="F758" t="s">
        <v>548</v>
      </c>
      <c r="G758" t="s">
        <v>94</v>
      </c>
      <c r="H758" t="s">
        <v>81</v>
      </c>
      <c r="L758">
        <v>6</v>
      </c>
      <c r="M758" t="s">
        <v>83</v>
      </c>
      <c r="O758" t="s">
        <v>83</v>
      </c>
      <c r="P758" t="s">
        <v>84</v>
      </c>
      <c r="Q758" t="s">
        <v>85</v>
      </c>
    </row>
    <row r="759" spans="1:17" hidden="1">
      <c r="A759" t="s">
        <v>76</v>
      </c>
      <c r="B759" t="s">
        <v>77</v>
      </c>
      <c r="C759" t="s">
        <v>547</v>
      </c>
      <c r="D759" t="s">
        <v>547</v>
      </c>
      <c r="E759" t="s">
        <v>549</v>
      </c>
      <c r="F759" t="s">
        <v>549</v>
      </c>
      <c r="G759" t="s">
        <v>88</v>
      </c>
      <c r="H759" t="s">
        <v>81</v>
      </c>
      <c r="L759">
        <v>7</v>
      </c>
      <c r="M759" t="s">
        <v>83</v>
      </c>
      <c r="O759" t="s">
        <v>83</v>
      </c>
      <c r="P759" t="s">
        <v>84</v>
      </c>
      <c r="Q759" t="s">
        <v>85</v>
      </c>
    </row>
    <row r="760" spans="1:17" hidden="1">
      <c r="A760" t="s">
        <v>76</v>
      </c>
      <c r="B760" t="s">
        <v>77</v>
      </c>
      <c r="C760" t="s">
        <v>547</v>
      </c>
      <c r="D760" t="s">
        <v>547</v>
      </c>
      <c r="E760" t="s">
        <v>550</v>
      </c>
      <c r="F760" t="s">
        <v>550</v>
      </c>
      <c r="G760" t="s">
        <v>94</v>
      </c>
      <c r="H760" t="s">
        <v>81</v>
      </c>
      <c r="L760">
        <v>8</v>
      </c>
      <c r="M760" t="s">
        <v>83</v>
      </c>
      <c r="O760" t="s">
        <v>83</v>
      </c>
      <c r="P760" t="s">
        <v>84</v>
      </c>
      <c r="Q760" t="s">
        <v>85</v>
      </c>
    </row>
    <row r="761" spans="1:17" hidden="1">
      <c r="A761" t="s">
        <v>76</v>
      </c>
      <c r="B761" t="s">
        <v>77</v>
      </c>
      <c r="C761" t="s">
        <v>547</v>
      </c>
      <c r="D761" t="s">
        <v>547</v>
      </c>
      <c r="E761" t="s">
        <v>551</v>
      </c>
      <c r="F761" t="s">
        <v>551</v>
      </c>
      <c r="G761" t="s">
        <v>90</v>
      </c>
      <c r="H761" t="s">
        <v>81</v>
      </c>
      <c r="I761" t="s">
        <v>82</v>
      </c>
      <c r="L761">
        <v>9</v>
      </c>
      <c r="M761" t="s">
        <v>83</v>
      </c>
      <c r="O761" t="s">
        <v>83</v>
      </c>
      <c r="P761" t="s">
        <v>100</v>
      </c>
      <c r="Q761" t="s">
        <v>85</v>
      </c>
    </row>
    <row r="762" spans="1:17" hidden="1">
      <c r="A762" t="s">
        <v>76</v>
      </c>
      <c r="B762" t="s">
        <v>77</v>
      </c>
      <c r="C762" t="s">
        <v>547</v>
      </c>
      <c r="D762" t="s">
        <v>547</v>
      </c>
      <c r="E762" t="s">
        <v>551</v>
      </c>
      <c r="F762" t="s">
        <v>552</v>
      </c>
      <c r="G762" t="s">
        <v>90</v>
      </c>
      <c r="H762" t="s">
        <v>81</v>
      </c>
      <c r="L762">
        <v>10</v>
      </c>
      <c r="M762" t="s">
        <v>83</v>
      </c>
      <c r="O762" t="s">
        <v>83</v>
      </c>
      <c r="P762" t="s">
        <v>84</v>
      </c>
      <c r="Q762" t="s">
        <v>85</v>
      </c>
    </row>
    <row r="763" spans="1:17" hidden="1">
      <c r="A763" t="s">
        <v>76</v>
      </c>
      <c r="B763" t="s">
        <v>77</v>
      </c>
      <c r="C763" t="s">
        <v>547</v>
      </c>
      <c r="D763" t="s">
        <v>547</v>
      </c>
      <c r="E763" t="s">
        <v>553</v>
      </c>
      <c r="F763" t="s">
        <v>553</v>
      </c>
      <c r="G763" t="s">
        <v>98</v>
      </c>
      <c r="H763" t="s">
        <v>81</v>
      </c>
      <c r="L763">
        <v>11</v>
      </c>
      <c r="M763" t="s">
        <v>83</v>
      </c>
      <c r="O763" t="s">
        <v>83</v>
      </c>
      <c r="P763" t="s">
        <v>84</v>
      </c>
      <c r="Q763" t="s">
        <v>85</v>
      </c>
    </row>
    <row r="764" spans="1:17" hidden="1">
      <c r="A764" t="s">
        <v>76</v>
      </c>
      <c r="B764" t="s">
        <v>77</v>
      </c>
      <c r="C764" t="s">
        <v>547</v>
      </c>
      <c r="D764" t="s">
        <v>547</v>
      </c>
      <c r="E764" t="s">
        <v>554</v>
      </c>
      <c r="F764" t="s">
        <v>554</v>
      </c>
      <c r="G764" t="s">
        <v>98</v>
      </c>
      <c r="H764" t="s">
        <v>81</v>
      </c>
      <c r="L764">
        <v>12</v>
      </c>
      <c r="M764" t="s">
        <v>83</v>
      </c>
      <c r="O764" t="s">
        <v>83</v>
      </c>
      <c r="P764" t="s">
        <v>84</v>
      </c>
      <c r="Q764" t="s">
        <v>85</v>
      </c>
    </row>
    <row r="765" spans="1:17" hidden="1">
      <c r="A765" t="s">
        <v>76</v>
      </c>
      <c r="B765" t="s">
        <v>77</v>
      </c>
      <c r="C765" t="s">
        <v>547</v>
      </c>
      <c r="D765" t="s">
        <v>547</v>
      </c>
      <c r="E765" t="s">
        <v>555</v>
      </c>
      <c r="F765" t="s">
        <v>555</v>
      </c>
      <c r="G765" t="s">
        <v>98</v>
      </c>
      <c r="H765" t="s">
        <v>81</v>
      </c>
      <c r="L765">
        <v>13</v>
      </c>
      <c r="M765" t="s">
        <v>83</v>
      </c>
      <c r="O765" t="s">
        <v>83</v>
      </c>
      <c r="P765" t="s">
        <v>84</v>
      </c>
      <c r="Q765" t="s">
        <v>85</v>
      </c>
    </row>
    <row r="766" spans="1:17" hidden="1">
      <c r="A766" t="s">
        <v>76</v>
      </c>
      <c r="B766" t="s">
        <v>77</v>
      </c>
      <c r="C766" t="s">
        <v>547</v>
      </c>
      <c r="D766" t="s">
        <v>547</v>
      </c>
      <c r="E766" t="s">
        <v>556</v>
      </c>
      <c r="F766" t="s">
        <v>556</v>
      </c>
      <c r="G766" t="s">
        <v>188</v>
      </c>
      <c r="H766" t="s">
        <v>81</v>
      </c>
      <c r="L766">
        <v>14</v>
      </c>
      <c r="M766" t="s">
        <v>83</v>
      </c>
      <c r="O766" t="s">
        <v>83</v>
      </c>
      <c r="P766" t="s">
        <v>84</v>
      </c>
      <c r="Q766" t="s">
        <v>85</v>
      </c>
    </row>
    <row r="767" spans="1:17" hidden="1">
      <c r="A767" t="s">
        <v>76</v>
      </c>
      <c r="B767" t="s">
        <v>77</v>
      </c>
      <c r="C767" t="s">
        <v>547</v>
      </c>
      <c r="D767" t="s">
        <v>547</v>
      </c>
      <c r="E767" t="s">
        <v>112</v>
      </c>
      <c r="F767" t="s">
        <v>112</v>
      </c>
      <c r="G767" t="s">
        <v>113</v>
      </c>
      <c r="H767" t="s">
        <v>81</v>
      </c>
      <c r="I767" t="s">
        <v>114</v>
      </c>
      <c r="L767">
        <v>15</v>
      </c>
      <c r="M767" t="s">
        <v>83</v>
      </c>
      <c r="O767" t="s">
        <v>83</v>
      </c>
      <c r="P767" t="s">
        <v>84</v>
      </c>
      <c r="Q767" t="s">
        <v>85</v>
      </c>
    </row>
    <row r="768" spans="1:17" hidden="1">
      <c r="A768" t="s">
        <v>76</v>
      </c>
      <c r="B768" t="s">
        <v>77</v>
      </c>
      <c r="C768" t="s">
        <v>547</v>
      </c>
      <c r="D768" t="s">
        <v>547</v>
      </c>
      <c r="E768" t="s">
        <v>115</v>
      </c>
      <c r="F768" t="s">
        <v>115</v>
      </c>
      <c r="G768" t="s">
        <v>113</v>
      </c>
      <c r="H768" t="s">
        <v>81</v>
      </c>
      <c r="I768" t="s">
        <v>114</v>
      </c>
      <c r="L768">
        <v>16</v>
      </c>
      <c r="M768" t="s">
        <v>83</v>
      </c>
      <c r="O768" t="s">
        <v>83</v>
      </c>
      <c r="P768" t="s">
        <v>84</v>
      </c>
      <c r="Q768" t="s">
        <v>85</v>
      </c>
    </row>
    <row r="769" spans="1:17" hidden="1">
      <c r="A769" t="s">
        <v>76</v>
      </c>
      <c r="B769" t="s">
        <v>77</v>
      </c>
      <c r="C769" t="s">
        <v>547</v>
      </c>
      <c r="D769" t="s">
        <v>547</v>
      </c>
      <c r="E769" t="s">
        <v>327</v>
      </c>
      <c r="F769" t="s">
        <v>327</v>
      </c>
      <c r="G769" t="s">
        <v>90</v>
      </c>
      <c r="H769" t="s">
        <v>81</v>
      </c>
      <c r="L769">
        <v>17</v>
      </c>
      <c r="M769" t="s">
        <v>83</v>
      </c>
      <c r="O769" t="s">
        <v>83</v>
      </c>
      <c r="P769" t="s">
        <v>84</v>
      </c>
      <c r="Q769" t="s">
        <v>85</v>
      </c>
    </row>
    <row r="770" spans="1:17" hidden="1">
      <c r="A770" t="s">
        <v>76</v>
      </c>
      <c r="B770" t="s">
        <v>77</v>
      </c>
      <c r="C770" t="s">
        <v>547</v>
      </c>
      <c r="D770" t="s">
        <v>547</v>
      </c>
      <c r="E770" t="s">
        <v>117</v>
      </c>
      <c r="F770" t="s">
        <v>117</v>
      </c>
      <c r="G770" t="s">
        <v>90</v>
      </c>
      <c r="H770" t="s">
        <v>81</v>
      </c>
      <c r="L770">
        <v>24</v>
      </c>
      <c r="M770" t="s">
        <v>83</v>
      </c>
      <c r="O770" t="s">
        <v>83</v>
      </c>
      <c r="P770" t="s">
        <v>84</v>
      </c>
      <c r="Q770" t="s">
        <v>85</v>
      </c>
    </row>
    <row r="771" spans="1:17" hidden="1">
      <c r="A771" t="s">
        <v>76</v>
      </c>
      <c r="B771" t="s">
        <v>77</v>
      </c>
      <c r="C771" t="s">
        <v>547</v>
      </c>
      <c r="D771" t="s">
        <v>547</v>
      </c>
      <c r="E771" t="s">
        <v>328</v>
      </c>
      <c r="F771" t="s">
        <v>328</v>
      </c>
      <c r="G771" t="s">
        <v>90</v>
      </c>
      <c r="H771" t="s">
        <v>81</v>
      </c>
      <c r="L771">
        <v>25</v>
      </c>
      <c r="M771" t="s">
        <v>83</v>
      </c>
      <c r="O771" t="s">
        <v>83</v>
      </c>
      <c r="P771" t="s">
        <v>84</v>
      </c>
      <c r="Q771" t="s">
        <v>85</v>
      </c>
    </row>
    <row r="772" spans="1:17" hidden="1">
      <c r="A772" t="s">
        <v>76</v>
      </c>
      <c r="B772" t="s">
        <v>77</v>
      </c>
      <c r="C772" t="s">
        <v>547</v>
      </c>
      <c r="D772" t="s">
        <v>547</v>
      </c>
      <c r="E772" t="s">
        <v>118</v>
      </c>
      <c r="F772" t="s">
        <v>118</v>
      </c>
      <c r="G772" t="s">
        <v>92</v>
      </c>
      <c r="H772" t="s">
        <v>81</v>
      </c>
      <c r="L772">
        <v>26</v>
      </c>
      <c r="M772" t="s">
        <v>83</v>
      </c>
      <c r="O772" t="s">
        <v>83</v>
      </c>
      <c r="P772" t="s">
        <v>84</v>
      </c>
      <c r="Q772" t="s">
        <v>85</v>
      </c>
    </row>
    <row r="773" spans="1:17" hidden="1">
      <c r="A773" t="s">
        <v>76</v>
      </c>
      <c r="B773" t="s">
        <v>77</v>
      </c>
      <c r="C773" t="s">
        <v>557</v>
      </c>
      <c r="D773" t="s">
        <v>557</v>
      </c>
      <c r="E773" t="s">
        <v>79</v>
      </c>
      <c r="F773" t="s">
        <v>79</v>
      </c>
      <c r="G773" t="s">
        <v>80</v>
      </c>
      <c r="H773" t="s">
        <v>81</v>
      </c>
      <c r="I773" t="s">
        <v>82</v>
      </c>
      <c r="L773">
        <v>1</v>
      </c>
      <c r="M773" t="s">
        <v>83</v>
      </c>
      <c r="O773" t="s">
        <v>83</v>
      </c>
      <c r="P773" t="s">
        <v>84</v>
      </c>
      <c r="Q773" t="s">
        <v>85</v>
      </c>
    </row>
    <row r="774" spans="1:17" hidden="1">
      <c r="A774" t="s">
        <v>76</v>
      </c>
      <c r="B774" t="s">
        <v>77</v>
      </c>
      <c r="C774" t="s">
        <v>557</v>
      </c>
      <c r="D774" t="s">
        <v>557</v>
      </c>
      <c r="E774" t="s">
        <v>86</v>
      </c>
      <c r="F774" t="s">
        <v>86</v>
      </c>
      <c r="G774" t="s">
        <v>80</v>
      </c>
      <c r="H774" t="s">
        <v>81</v>
      </c>
      <c r="I774" t="s">
        <v>82</v>
      </c>
      <c r="L774">
        <v>2</v>
      </c>
      <c r="M774" t="s">
        <v>83</v>
      </c>
      <c r="O774" t="s">
        <v>83</v>
      </c>
      <c r="P774" t="s">
        <v>84</v>
      </c>
      <c r="Q774" t="s">
        <v>85</v>
      </c>
    </row>
    <row r="775" spans="1:17" hidden="1">
      <c r="A775" t="s">
        <v>76</v>
      </c>
      <c r="B775" t="s">
        <v>77</v>
      </c>
      <c r="C775" t="s">
        <v>557</v>
      </c>
      <c r="D775" t="s">
        <v>557</v>
      </c>
      <c r="E775" t="s">
        <v>87</v>
      </c>
      <c r="F775" t="s">
        <v>87</v>
      </c>
      <c r="G775" t="s">
        <v>88</v>
      </c>
      <c r="H775" t="s">
        <v>81</v>
      </c>
      <c r="J775" t="s">
        <v>83</v>
      </c>
      <c r="L775">
        <v>3</v>
      </c>
      <c r="M775" t="s">
        <v>83</v>
      </c>
      <c r="O775" t="s">
        <v>83</v>
      </c>
      <c r="P775" t="s">
        <v>84</v>
      </c>
      <c r="Q775" t="s">
        <v>85</v>
      </c>
    </row>
    <row r="776" spans="1:17" hidden="1">
      <c r="A776" t="s">
        <v>76</v>
      </c>
      <c r="B776" t="s">
        <v>77</v>
      </c>
      <c r="C776" t="s">
        <v>557</v>
      </c>
      <c r="D776" t="s">
        <v>557</v>
      </c>
      <c r="E776" t="s">
        <v>89</v>
      </c>
      <c r="F776" t="s">
        <v>89</v>
      </c>
      <c r="G776" t="s">
        <v>90</v>
      </c>
      <c r="H776" t="s">
        <v>81</v>
      </c>
      <c r="J776" t="s">
        <v>83</v>
      </c>
      <c r="K776" t="s">
        <v>83</v>
      </c>
      <c r="L776">
        <v>4</v>
      </c>
      <c r="M776" t="s">
        <v>83</v>
      </c>
      <c r="O776" t="s">
        <v>83</v>
      </c>
      <c r="P776" t="s">
        <v>84</v>
      </c>
      <c r="Q776" t="s">
        <v>85</v>
      </c>
    </row>
    <row r="777" spans="1:17" hidden="1">
      <c r="A777" t="s">
        <v>76</v>
      </c>
      <c r="B777" t="s">
        <v>77</v>
      </c>
      <c r="C777" t="s">
        <v>557</v>
      </c>
      <c r="D777" t="s">
        <v>557</v>
      </c>
      <c r="E777" t="s">
        <v>558</v>
      </c>
      <c r="F777" t="s">
        <v>558</v>
      </c>
      <c r="G777" t="s">
        <v>90</v>
      </c>
      <c r="H777" t="s">
        <v>81</v>
      </c>
      <c r="I777" t="s">
        <v>82</v>
      </c>
      <c r="L777">
        <v>5</v>
      </c>
      <c r="M777" t="s">
        <v>83</v>
      </c>
      <c r="O777" t="s">
        <v>83</v>
      </c>
      <c r="P777" t="s">
        <v>100</v>
      </c>
      <c r="Q777" t="s">
        <v>85</v>
      </c>
    </row>
    <row r="778" spans="1:17" hidden="1">
      <c r="A778" t="s">
        <v>76</v>
      </c>
      <c r="B778" t="s">
        <v>77</v>
      </c>
      <c r="C778" t="s">
        <v>557</v>
      </c>
      <c r="D778" t="s">
        <v>557</v>
      </c>
      <c r="E778" t="s">
        <v>558</v>
      </c>
      <c r="F778" t="s">
        <v>559</v>
      </c>
      <c r="G778" t="s">
        <v>90</v>
      </c>
      <c r="H778" t="s">
        <v>81</v>
      </c>
      <c r="L778">
        <v>6</v>
      </c>
      <c r="M778" t="s">
        <v>83</v>
      </c>
      <c r="O778" t="s">
        <v>83</v>
      </c>
      <c r="P778" t="s">
        <v>84</v>
      </c>
      <c r="Q778" t="s">
        <v>85</v>
      </c>
    </row>
    <row r="779" spans="1:17" hidden="1">
      <c r="A779" t="s">
        <v>76</v>
      </c>
      <c r="B779" t="s">
        <v>77</v>
      </c>
      <c r="C779" t="s">
        <v>557</v>
      </c>
      <c r="D779" t="s">
        <v>557</v>
      </c>
      <c r="E779" t="s">
        <v>560</v>
      </c>
      <c r="F779" t="s">
        <v>560</v>
      </c>
      <c r="G779" t="s">
        <v>98</v>
      </c>
      <c r="H779" t="s">
        <v>81</v>
      </c>
      <c r="L779">
        <v>7</v>
      </c>
      <c r="M779" t="s">
        <v>83</v>
      </c>
      <c r="O779" t="s">
        <v>83</v>
      </c>
      <c r="P779" t="s">
        <v>84</v>
      </c>
      <c r="Q779" t="s">
        <v>85</v>
      </c>
    </row>
    <row r="780" spans="1:17" hidden="1">
      <c r="A780" t="s">
        <v>76</v>
      </c>
      <c r="B780" t="s">
        <v>77</v>
      </c>
      <c r="C780" t="s">
        <v>557</v>
      </c>
      <c r="D780" t="s">
        <v>557</v>
      </c>
      <c r="E780" t="s">
        <v>91</v>
      </c>
      <c r="F780" t="s">
        <v>91</v>
      </c>
      <c r="G780" t="s">
        <v>92</v>
      </c>
      <c r="H780" t="s">
        <v>81</v>
      </c>
      <c r="J780" t="s">
        <v>83</v>
      </c>
      <c r="L780">
        <v>8</v>
      </c>
      <c r="M780" t="s">
        <v>83</v>
      </c>
      <c r="O780" t="s">
        <v>83</v>
      </c>
      <c r="P780" t="s">
        <v>84</v>
      </c>
      <c r="Q780" t="s">
        <v>85</v>
      </c>
    </row>
    <row r="781" spans="1:17" hidden="1">
      <c r="A781" t="s">
        <v>76</v>
      </c>
      <c r="B781" t="s">
        <v>77</v>
      </c>
      <c r="C781" t="s">
        <v>557</v>
      </c>
      <c r="D781" t="s">
        <v>557</v>
      </c>
      <c r="E781" t="s">
        <v>561</v>
      </c>
      <c r="F781" t="s">
        <v>561</v>
      </c>
      <c r="G781" t="s">
        <v>94</v>
      </c>
      <c r="H781" t="s">
        <v>81</v>
      </c>
      <c r="L781">
        <v>9</v>
      </c>
      <c r="M781" t="s">
        <v>83</v>
      </c>
      <c r="O781" t="s">
        <v>83</v>
      </c>
      <c r="P781" t="s">
        <v>84</v>
      </c>
      <c r="Q781" t="s">
        <v>85</v>
      </c>
    </row>
    <row r="782" spans="1:17" hidden="1">
      <c r="A782" t="s">
        <v>76</v>
      </c>
      <c r="B782" t="s">
        <v>77</v>
      </c>
      <c r="C782" t="s">
        <v>557</v>
      </c>
      <c r="D782" t="s">
        <v>557</v>
      </c>
      <c r="E782" t="s">
        <v>562</v>
      </c>
      <c r="F782" t="s">
        <v>562</v>
      </c>
      <c r="G782" t="s">
        <v>88</v>
      </c>
      <c r="H782" t="s">
        <v>81</v>
      </c>
      <c r="L782">
        <v>10</v>
      </c>
      <c r="M782" t="s">
        <v>83</v>
      </c>
      <c r="O782" t="s">
        <v>83</v>
      </c>
      <c r="P782" t="s">
        <v>84</v>
      </c>
      <c r="Q782" t="s">
        <v>85</v>
      </c>
    </row>
    <row r="783" spans="1:17" hidden="1">
      <c r="A783" t="s">
        <v>76</v>
      </c>
      <c r="B783" t="s">
        <v>77</v>
      </c>
      <c r="C783" t="s">
        <v>557</v>
      </c>
      <c r="D783" t="s">
        <v>557</v>
      </c>
      <c r="E783" t="s">
        <v>563</v>
      </c>
      <c r="F783" t="s">
        <v>563</v>
      </c>
      <c r="G783" t="s">
        <v>94</v>
      </c>
      <c r="H783" t="s">
        <v>81</v>
      </c>
      <c r="L783">
        <v>11</v>
      </c>
      <c r="M783" t="s">
        <v>83</v>
      </c>
      <c r="O783" t="s">
        <v>83</v>
      </c>
      <c r="P783" t="s">
        <v>84</v>
      </c>
      <c r="Q783" t="s">
        <v>85</v>
      </c>
    </row>
    <row r="784" spans="1:17" hidden="1">
      <c r="A784" t="s">
        <v>76</v>
      </c>
      <c r="B784" t="s">
        <v>77</v>
      </c>
      <c r="C784" t="s">
        <v>557</v>
      </c>
      <c r="D784" t="s">
        <v>557</v>
      </c>
      <c r="E784" t="s">
        <v>564</v>
      </c>
      <c r="F784" t="s">
        <v>564</v>
      </c>
      <c r="G784" t="s">
        <v>98</v>
      </c>
      <c r="H784" t="s">
        <v>81</v>
      </c>
      <c r="L784">
        <v>12</v>
      </c>
      <c r="M784" t="s">
        <v>83</v>
      </c>
      <c r="O784" t="s">
        <v>83</v>
      </c>
      <c r="P784" t="s">
        <v>84</v>
      </c>
      <c r="Q784" t="s">
        <v>85</v>
      </c>
    </row>
    <row r="785" spans="1:17" hidden="1">
      <c r="A785" t="s">
        <v>76</v>
      </c>
      <c r="B785" t="s">
        <v>77</v>
      </c>
      <c r="C785" t="s">
        <v>557</v>
      </c>
      <c r="D785" t="s">
        <v>557</v>
      </c>
      <c r="E785" t="s">
        <v>565</v>
      </c>
      <c r="F785" t="s">
        <v>565</v>
      </c>
      <c r="G785" t="s">
        <v>98</v>
      </c>
      <c r="H785" t="s">
        <v>81</v>
      </c>
      <c r="L785">
        <v>13</v>
      </c>
      <c r="M785" t="s">
        <v>83</v>
      </c>
      <c r="O785" t="s">
        <v>83</v>
      </c>
      <c r="P785" t="s">
        <v>84</v>
      </c>
      <c r="Q785" t="s">
        <v>85</v>
      </c>
    </row>
    <row r="786" spans="1:17" hidden="1">
      <c r="A786" t="s">
        <v>76</v>
      </c>
      <c r="B786" t="s">
        <v>77</v>
      </c>
      <c r="C786" t="s">
        <v>557</v>
      </c>
      <c r="D786" t="s">
        <v>557</v>
      </c>
      <c r="E786" t="s">
        <v>118</v>
      </c>
      <c r="F786" t="s">
        <v>118</v>
      </c>
      <c r="G786" t="s">
        <v>92</v>
      </c>
      <c r="H786" t="s">
        <v>81</v>
      </c>
      <c r="L786">
        <v>14</v>
      </c>
      <c r="M786" t="s">
        <v>83</v>
      </c>
      <c r="O786" t="s">
        <v>83</v>
      </c>
      <c r="P786" t="s">
        <v>84</v>
      </c>
      <c r="Q786" t="s">
        <v>85</v>
      </c>
    </row>
    <row r="787" spans="1:17" hidden="1">
      <c r="A787" t="s">
        <v>76</v>
      </c>
      <c r="B787" t="s">
        <v>77</v>
      </c>
      <c r="C787" t="s">
        <v>557</v>
      </c>
      <c r="D787" t="s">
        <v>557</v>
      </c>
      <c r="E787" t="s">
        <v>112</v>
      </c>
      <c r="F787" t="s">
        <v>112</v>
      </c>
      <c r="G787" t="s">
        <v>113</v>
      </c>
      <c r="H787" t="s">
        <v>81</v>
      </c>
      <c r="I787" t="s">
        <v>114</v>
      </c>
      <c r="L787">
        <v>15</v>
      </c>
      <c r="M787" t="s">
        <v>83</v>
      </c>
      <c r="O787" t="s">
        <v>83</v>
      </c>
      <c r="P787" t="s">
        <v>84</v>
      </c>
      <c r="Q787" t="s">
        <v>85</v>
      </c>
    </row>
    <row r="788" spans="1:17" hidden="1">
      <c r="A788" t="s">
        <v>76</v>
      </c>
      <c r="B788" t="s">
        <v>77</v>
      </c>
      <c r="C788" t="s">
        <v>557</v>
      </c>
      <c r="D788" t="s">
        <v>557</v>
      </c>
      <c r="E788" t="s">
        <v>115</v>
      </c>
      <c r="F788" t="s">
        <v>115</v>
      </c>
      <c r="G788" t="s">
        <v>113</v>
      </c>
      <c r="H788" t="s">
        <v>81</v>
      </c>
      <c r="I788" t="s">
        <v>114</v>
      </c>
      <c r="L788">
        <v>16</v>
      </c>
      <c r="M788" t="s">
        <v>83</v>
      </c>
      <c r="O788" t="s">
        <v>83</v>
      </c>
      <c r="P788" t="s">
        <v>84</v>
      </c>
      <c r="Q788" t="s">
        <v>85</v>
      </c>
    </row>
    <row r="789" spans="1:17" hidden="1">
      <c r="A789" t="s">
        <v>76</v>
      </c>
      <c r="B789" t="s">
        <v>77</v>
      </c>
      <c r="C789" t="s">
        <v>557</v>
      </c>
      <c r="D789" t="s">
        <v>557</v>
      </c>
      <c r="E789" t="s">
        <v>117</v>
      </c>
      <c r="F789" t="s">
        <v>117</v>
      </c>
      <c r="G789" t="s">
        <v>90</v>
      </c>
      <c r="H789" t="s">
        <v>81</v>
      </c>
      <c r="L789">
        <v>23</v>
      </c>
      <c r="M789" t="s">
        <v>83</v>
      </c>
      <c r="O789" t="s">
        <v>83</v>
      </c>
      <c r="P789" t="s">
        <v>84</v>
      </c>
      <c r="Q789" t="s">
        <v>85</v>
      </c>
    </row>
    <row r="790" spans="1:17" hidden="1">
      <c r="A790" t="s">
        <v>76</v>
      </c>
      <c r="B790" t="s">
        <v>77</v>
      </c>
      <c r="C790" t="s">
        <v>557</v>
      </c>
      <c r="D790" t="s">
        <v>557</v>
      </c>
      <c r="E790" t="s">
        <v>327</v>
      </c>
      <c r="F790" t="s">
        <v>327</v>
      </c>
      <c r="G790" t="s">
        <v>90</v>
      </c>
      <c r="H790" t="s">
        <v>81</v>
      </c>
      <c r="L790">
        <v>24</v>
      </c>
      <c r="M790" t="s">
        <v>83</v>
      </c>
      <c r="O790" t="s">
        <v>83</v>
      </c>
      <c r="P790" t="s">
        <v>84</v>
      </c>
      <c r="Q790" t="s">
        <v>85</v>
      </c>
    </row>
    <row r="791" spans="1:17" hidden="1">
      <c r="A791" t="s">
        <v>76</v>
      </c>
      <c r="B791" t="s">
        <v>77</v>
      </c>
      <c r="C791" t="s">
        <v>557</v>
      </c>
      <c r="D791" t="s">
        <v>557</v>
      </c>
      <c r="E791" t="s">
        <v>328</v>
      </c>
      <c r="F791" t="s">
        <v>328</v>
      </c>
      <c r="G791" t="s">
        <v>90</v>
      </c>
      <c r="H791" t="s">
        <v>81</v>
      </c>
      <c r="L791">
        <v>25</v>
      </c>
      <c r="M791" t="s">
        <v>83</v>
      </c>
      <c r="O791" t="s">
        <v>83</v>
      </c>
      <c r="P791" t="s">
        <v>84</v>
      </c>
      <c r="Q791" t="s">
        <v>85</v>
      </c>
    </row>
    <row r="792" spans="1:17" hidden="1">
      <c r="A792" t="s">
        <v>76</v>
      </c>
      <c r="B792" t="s">
        <v>77</v>
      </c>
      <c r="C792" t="s">
        <v>566</v>
      </c>
      <c r="D792" t="s">
        <v>566</v>
      </c>
      <c r="E792" t="s">
        <v>79</v>
      </c>
      <c r="F792" t="s">
        <v>79</v>
      </c>
      <c r="G792" t="s">
        <v>80</v>
      </c>
      <c r="H792" t="s">
        <v>81</v>
      </c>
      <c r="I792" t="s">
        <v>82</v>
      </c>
      <c r="L792">
        <v>1</v>
      </c>
      <c r="M792" t="s">
        <v>83</v>
      </c>
      <c r="O792" t="s">
        <v>83</v>
      </c>
      <c r="P792" t="s">
        <v>84</v>
      </c>
      <c r="Q792" t="s">
        <v>85</v>
      </c>
    </row>
    <row r="793" spans="1:17" hidden="1">
      <c r="A793" t="s">
        <v>76</v>
      </c>
      <c r="B793" t="s">
        <v>77</v>
      </c>
      <c r="C793" t="s">
        <v>566</v>
      </c>
      <c r="D793" t="s">
        <v>566</v>
      </c>
      <c r="E793" t="s">
        <v>86</v>
      </c>
      <c r="F793" t="s">
        <v>86</v>
      </c>
      <c r="G793" t="s">
        <v>80</v>
      </c>
      <c r="H793" t="s">
        <v>81</v>
      </c>
      <c r="I793" t="s">
        <v>82</v>
      </c>
      <c r="L793">
        <v>2</v>
      </c>
      <c r="M793" t="s">
        <v>83</v>
      </c>
      <c r="O793" t="s">
        <v>83</v>
      </c>
      <c r="P793" t="s">
        <v>84</v>
      </c>
      <c r="Q793" t="s">
        <v>85</v>
      </c>
    </row>
    <row r="794" spans="1:17" hidden="1">
      <c r="A794" t="s">
        <v>76</v>
      </c>
      <c r="B794" t="s">
        <v>77</v>
      </c>
      <c r="C794" t="s">
        <v>566</v>
      </c>
      <c r="D794" t="s">
        <v>566</v>
      </c>
      <c r="E794" t="s">
        <v>87</v>
      </c>
      <c r="F794" t="s">
        <v>87</v>
      </c>
      <c r="G794" t="s">
        <v>88</v>
      </c>
      <c r="H794" t="s">
        <v>81</v>
      </c>
      <c r="J794" t="s">
        <v>83</v>
      </c>
      <c r="L794">
        <v>3</v>
      </c>
      <c r="M794" t="s">
        <v>83</v>
      </c>
      <c r="O794" t="s">
        <v>83</v>
      </c>
      <c r="P794" t="s">
        <v>84</v>
      </c>
      <c r="Q794" t="s">
        <v>85</v>
      </c>
    </row>
    <row r="795" spans="1:17" hidden="1">
      <c r="A795" t="s">
        <v>76</v>
      </c>
      <c r="B795" t="s">
        <v>77</v>
      </c>
      <c r="C795" t="s">
        <v>566</v>
      </c>
      <c r="D795" t="s">
        <v>566</v>
      </c>
      <c r="E795" t="s">
        <v>89</v>
      </c>
      <c r="F795" t="s">
        <v>89</v>
      </c>
      <c r="G795" t="s">
        <v>90</v>
      </c>
      <c r="H795" t="s">
        <v>81</v>
      </c>
      <c r="J795" t="s">
        <v>83</v>
      </c>
      <c r="K795" t="s">
        <v>83</v>
      </c>
      <c r="L795">
        <v>4</v>
      </c>
      <c r="M795" t="s">
        <v>83</v>
      </c>
      <c r="O795" t="s">
        <v>83</v>
      </c>
      <c r="P795" t="s">
        <v>84</v>
      </c>
      <c r="Q795" t="s">
        <v>85</v>
      </c>
    </row>
    <row r="796" spans="1:17" hidden="1">
      <c r="A796" t="s">
        <v>76</v>
      </c>
      <c r="B796" t="s">
        <v>77</v>
      </c>
      <c r="C796" t="s">
        <v>566</v>
      </c>
      <c r="D796" t="s">
        <v>566</v>
      </c>
      <c r="E796" t="s">
        <v>567</v>
      </c>
      <c r="F796" t="s">
        <v>567</v>
      </c>
      <c r="G796" t="s">
        <v>90</v>
      </c>
      <c r="H796" t="s">
        <v>81</v>
      </c>
      <c r="I796" t="s">
        <v>82</v>
      </c>
      <c r="L796">
        <v>5</v>
      </c>
      <c r="M796" t="s">
        <v>83</v>
      </c>
      <c r="O796" t="s">
        <v>83</v>
      </c>
      <c r="P796" t="s">
        <v>100</v>
      </c>
      <c r="Q796" t="s">
        <v>85</v>
      </c>
    </row>
    <row r="797" spans="1:17" hidden="1">
      <c r="A797" t="s">
        <v>76</v>
      </c>
      <c r="B797" t="s">
        <v>77</v>
      </c>
      <c r="C797" t="s">
        <v>566</v>
      </c>
      <c r="D797" t="s">
        <v>566</v>
      </c>
      <c r="E797" t="s">
        <v>567</v>
      </c>
      <c r="F797" t="s">
        <v>568</v>
      </c>
      <c r="G797" t="s">
        <v>90</v>
      </c>
      <c r="H797" t="s">
        <v>81</v>
      </c>
      <c r="L797">
        <v>6</v>
      </c>
      <c r="M797" t="s">
        <v>83</v>
      </c>
      <c r="O797" t="s">
        <v>83</v>
      </c>
      <c r="P797" t="s">
        <v>84</v>
      </c>
      <c r="Q797" t="s">
        <v>85</v>
      </c>
    </row>
    <row r="798" spans="1:17" hidden="1">
      <c r="A798" t="s">
        <v>76</v>
      </c>
      <c r="B798" t="s">
        <v>77</v>
      </c>
      <c r="C798" t="s">
        <v>566</v>
      </c>
      <c r="D798" t="s">
        <v>566</v>
      </c>
      <c r="E798" t="s">
        <v>91</v>
      </c>
      <c r="F798" t="s">
        <v>91</v>
      </c>
      <c r="G798" t="s">
        <v>92</v>
      </c>
      <c r="H798" t="s">
        <v>81</v>
      </c>
      <c r="J798" t="s">
        <v>83</v>
      </c>
      <c r="L798">
        <v>7</v>
      </c>
      <c r="M798" t="s">
        <v>83</v>
      </c>
      <c r="O798" t="s">
        <v>83</v>
      </c>
      <c r="P798" t="s">
        <v>84</v>
      </c>
      <c r="Q798" t="s">
        <v>85</v>
      </c>
    </row>
    <row r="799" spans="1:17" hidden="1">
      <c r="A799" t="s">
        <v>76</v>
      </c>
      <c r="B799" t="s">
        <v>77</v>
      </c>
      <c r="C799" t="s">
        <v>566</v>
      </c>
      <c r="D799" t="s">
        <v>566</v>
      </c>
      <c r="E799" t="s">
        <v>569</v>
      </c>
      <c r="F799" t="s">
        <v>569</v>
      </c>
      <c r="G799" t="s">
        <v>94</v>
      </c>
      <c r="H799" t="s">
        <v>81</v>
      </c>
      <c r="L799">
        <v>8</v>
      </c>
      <c r="M799" t="s">
        <v>83</v>
      </c>
      <c r="O799" t="s">
        <v>83</v>
      </c>
      <c r="P799" t="s">
        <v>84</v>
      </c>
      <c r="Q799" t="s">
        <v>85</v>
      </c>
    </row>
    <row r="800" spans="1:17" hidden="1">
      <c r="A800" t="s">
        <v>76</v>
      </c>
      <c r="B800" t="s">
        <v>77</v>
      </c>
      <c r="C800" t="s">
        <v>566</v>
      </c>
      <c r="D800" t="s">
        <v>566</v>
      </c>
      <c r="E800" t="s">
        <v>570</v>
      </c>
      <c r="F800" t="s">
        <v>570</v>
      </c>
      <c r="G800" t="s">
        <v>88</v>
      </c>
      <c r="H800" t="s">
        <v>81</v>
      </c>
      <c r="L800">
        <v>9</v>
      </c>
      <c r="M800" t="s">
        <v>83</v>
      </c>
      <c r="O800" t="s">
        <v>83</v>
      </c>
      <c r="P800" t="s">
        <v>84</v>
      </c>
      <c r="Q800" t="s">
        <v>85</v>
      </c>
    </row>
    <row r="801" spans="1:17" hidden="1">
      <c r="A801" t="s">
        <v>76</v>
      </c>
      <c r="B801" t="s">
        <v>77</v>
      </c>
      <c r="C801" t="s">
        <v>566</v>
      </c>
      <c r="D801" t="s">
        <v>566</v>
      </c>
      <c r="E801" t="s">
        <v>571</v>
      </c>
      <c r="F801" t="s">
        <v>571</v>
      </c>
      <c r="G801" t="s">
        <v>94</v>
      </c>
      <c r="H801" t="s">
        <v>81</v>
      </c>
      <c r="L801">
        <v>10</v>
      </c>
      <c r="M801" t="s">
        <v>83</v>
      </c>
      <c r="O801" t="s">
        <v>83</v>
      </c>
      <c r="P801" t="s">
        <v>84</v>
      </c>
      <c r="Q801" t="s">
        <v>85</v>
      </c>
    </row>
    <row r="802" spans="1:17" hidden="1">
      <c r="A802" t="s">
        <v>76</v>
      </c>
      <c r="B802" t="s">
        <v>77</v>
      </c>
      <c r="C802" t="s">
        <v>566</v>
      </c>
      <c r="D802" t="s">
        <v>566</v>
      </c>
      <c r="E802" t="s">
        <v>572</v>
      </c>
      <c r="F802" t="s">
        <v>572</v>
      </c>
      <c r="G802" t="s">
        <v>98</v>
      </c>
      <c r="H802" t="s">
        <v>81</v>
      </c>
      <c r="L802">
        <v>11</v>
      </c>
      <c r="M802" t="s">
        <v>83</v>
      </c>
      <c r="O802" t="s">
        <v>83</v>
      </c>
      <c r="P802" t="s">
        <v>84</v>
      </c>
      <c r="Q802" t="s">
        <v>85</v>
      </c>
    </row>
    <row r="803" spans="1:17" hidden="1">
      <c r="A803" t="s">
        <v>76</v>
      </c>
      <c r="B803" t="s">
        <v>77</v>
      </c>
      <c r="C803" t="s">
        <v>566</v>
      </c>
      <c r="D803" t="s">
        <v>566</v>
      </c>
      <c r="E803" t="s">
        <v>573</v>
      </c>
      <c r="F803" t="s">
        <v>573</v>
      </c>
      <c r="G803" t="s">
        <v>98</v>
      </c>
      <c r="H803" t="s">
        <v>81</v>
      </c>
      <c r="L803">
        <v>12</v>
      </c>
      <c r="M803" t="s">
        <v>83</v>
      </c>
      <c r="O803" t="s">
        <v>83</v>
      </c>
      <c r="P803" t="s">
        <v>84</v>
      </c>
      <c r="Q803" t="s">
        <v>85</v>
      </c>
    </row>
    <row r="804" spans="1:17" hidden="1">
      <c r="A804" t="s">
        <v>76</v>
      </c>
      <c r="B804" t="s">
        <v>77</v>
      </c>
      <c r="C804" t="s">
        <v>566</v>
      </c>
      <c r="D804" t="s">
        <v>566</v>
      </c>
      <c r="E804" t="s">
        <v>574</v>
      </c>
      <c r="F804" t="s">
        <v>574</v>
      </c>
      <c r="G804" t="s">
        <v>98</v>
      </c>
      <c r="H804" t="s">
        <v>81</v>
      </c>
      <c r="L804">
        <v>13</v>
      </c>
      <c r="M804" t="s">
        <v>83</v>
      </c>
      <c r="O804" t="s">
        <v>83</v>
      </c>
      <c r="P804" t="s">
        <v>84</v>
      </c>
      <c r="Q804" t="s">
        <v>85</v>
      </c>
    </row>
    <row r="805" spans="1:17" hidden="1">
      <c r="A805" t="s">
        <v>76</v>
      </c>
      <c r="B805" t="s">
        <v>77</v>
      </c>
      <c r="C805" t="s">
        <v>566</v>
      </c>
      <c r="D805" t="s">
        <v>566</v>
      </c>
      <c r="E805" t="s">
        <v>117</v>
      </c>
      <c r="F805" t="s">
        <v>117</v>
      </c>
      <c r="G805" t="s">
        <v>90</v>
      </c>
      <c r="H805" t="s">
        <v>81</v>
      </c>
      <c r="L805">
        <v>14</v>
      </c>
      <c r="M805" t="s">
        <v>83</v>
      </c>
      <c r="O805" t="s">
        <v>83</v>
      </c>
      <c r="P805" t="s">
        <v>84</v>
      </c>
      <c r="Q805" t="s">
        <v>85</v>
      </c>
    </row>
    <row r="806" spans="1:17" hidden="1">
      <c r="A806" t="s">
        <v>76</v>
      </c>
      <c r="B806" t="s">
        <v>77</v>
      </c>
      <c r="C806" t="s">
        <v>566</v>
      </c>
      <c r="D806" t="s">
        <v>566</v>
      </c>
      <c r="E806" t="s">
        <v>328</v>
      </c>
      <c r="F806" t="s">
        <v>328</v>
      </c>
      <c r="G806" t="s">
        <v>90</v>
      </c>
      <c r="H806" t="s">
        <v>81</v>
      </c>
      <c r="L806">
        <v>15</v>
      </c>
      <c r="M806" t="s">
        <v>83</v>
      </c>
      <c r="O806" t="s">
        <v>83</v>
      </c>
      <c r="P806" t="s">
        <v>84</v>
      </c>
      <c r="Q806" t="s">
        <v>85</v>
      </c>
    </row>
    <row r="807" spans="1:17" hidden="1">
      <c r="A807" t="s">
        <v>76</v>
      </c>
      <c r="B807" t="s">
        <v>77</v>
      </c>
      <c r="C807" t="s">
        <v>566</v>
      </c>
      <c r="D807" t="s">
        <v>566</v>
      </c>
      <c r="E807" t="s">
        <v>112</v>
      </c>
      <c r="F807" t="s">
        <v>112</v>
      </c>
      <c r="G807" t="s">
        <v>113</v>
      </c>
      <c r="H807" t="s">
        <v>81</v>
      </c>
      <c r="I807" t="s">
        <v>114</v>
      </c>
      <c r="L807">
        <v>16</v>
      </c>
      <c r="M807" t="s">
        <v>83</v>
      </c>
      <c r="O807" t="s">
        <v>83</v>
      </c>
      <c r="P807" t="s">
        <v>84</v>
      </c>
      <c r="Q807" t="s">
        <v>85</v>
      </c>
    </row>
    <row r="808" spans="1:17" hidden="1">
      <c r="A808" t="s">
        <v>76</v>
      </c>
      <c r="B808" t="s">
        <v>77</v>
      </c>
      <c r="C808" t="s">
        <v>566</v>
      </c>
      <c r="D808" t="s">
        <v>566</v>
      </c>
      <c r="E808" t="s">
        <v>115</v>
      </c>
      <c r="F808" t="s">
        <v>115</v>
      </c>
      <c r="G808" t="s">
        <v>113</v>
      </c>
      <c r="H808" t="s">
        <v>81</v>
      </c>
      <c r="I808" t="s">
        <v>114</v>
      </c>
      <c r="L808">
        <v>17</v>
      </c>
      <c r="M808" t="s">
        <v>83</v>
      </c>
      <c r="O808" t="s">
        <v>83</v>
      </c>
      <c r="P808" t="s">
        <v>84</v>
      </c>
      <c r="Q808" t="s">
        <v>85</v>
      </c>
    </row>
    <row r="809" spans="1:17" hidden="1">
      <c r="A809" t="s">
        <v>76</v>
      </c>
      <c r="B809" t="s">
        <v>77</v>
      </c>
      <c r="C809" t="s">
        <v>566</v>
      </c>
      <c r="D809" t="s">
        <v>566</v>
      </c>
      <c r="E809" t="s">
        <v>118</v>
      </c>
      <c r="F809" t="s">
        <v>118</v>
      </c>
      <c r="G809" t="s">
        <v>92</v>
      </c>
      <c r="H809" t="s">
        <v>81</v>
      </c>
      <c r="L809">
        <v>24</v>
      </c>
      <c r="M809" t="s">
        <v>83</v>
      </c>
      <c r="O809" t="s">
        <v>83</v>
      </c>
      <c r="P809" t="s">
        <v>84</v>
      </c>
      <c r="Q809" t="s">
        <v>85</v>
      </c>
    </row>
    <row r="810" spans="1:17" hidden="1">
      <c r="A810" t="s">
        <v>76</v>
      </c>
      <c r="B810" t="s">
        <v>77</v>
      </c>
      <c r="C810" t="s">
        <v>575</v>
      </c>
      <c r="D810" t="s">
        <v>575</v>
      </c>
      <c r="E810" t="s">
        <v>79</v>
      </c>
      <c r="F810" t="s">
        <v>79</v>
      </c>
      <c r="G810" t="s">
        <v>80</v>
      </c>
      <c r="H810" t="s">
        <v>81</v>
      </c>
      <c r="I810" t="s">
        <v>82</v>
      </c>
      <c r="L810">
        <v>1</v>
      </c>
      <c r="M810" t="s">
        <v>83</v>
      </c>
      <c r="O810" t="s">
        <v>83</v>
      </c>
      <c r="P810" t="s">
        <v>84</v>
      </c>
      <c r="Q810" t="s">
        <v>85</v>
      </c>
    </row>
    <row r="811" spans="1:17" hidden="1">
      <c r="A811" t="s">
        <v>76</v>
      </c>
      <c r="B811" t="s">
        <v>77</v>
      </c>
      <c r="C811" t="s">
        <v>575</v>
      </c>
      <c r="D811" t="s">
        <v>575</v>
      </c>
      <c r="E811" t="s">
        <v>86</v>
      </c>
      <c r="F811" t="s">
        <v>86</v>
      </c>
      <c r="G811" t="s">
        <v>80</v>
      </c>
      <c r="H811" t="s">
        <v>81</v>
      </c>
      <c r="I811" t="s">
        <v>82</v>
      </c>
      <c r="L811">
        <v>2</v>
      </c>
      <c r="M811" t="s">
        <v>83</v>
      </c>
      <c r="O811" t="s">
        <v>83</v>
      </c>
      <c r="P811" t="s">
        <v>84</v>
      </c>
      <c r="Q811" t="s">
        <v>85</v>
      </c>
    </row>
    <row r="812" spans="1:17" hidden="1">
      <c r="A812" t="s">
        <v>76</v>
      </c>
      <c r="B812" t="s">
        <v>77</v>
      </c>
      <c r="C812" t="s">
        <v>575</v>
      </c>
      <c r="D812" t="s">
        <v>575</v>
      </c>
      <c r="E812" t="s">
        <v>87</v>
      </c>
      <c r="F812" t="s">
        <v>87</v>
      </c>
      <c r="G812" t="s">
        <v>88</v>
      </c>
      <c r="H812" t="s">
        <v>81</v>
      </c>
      <c r="J812" t="s">
        <v>83</v>
      </c>
      <c r="L812">
        <v>3</v>
      </c>
      <c r="M812" t="s">
        <v>83</v>
      </c>
      <c r="O812" t="s">
        <v>83</v>
      </c>
      <c r="P812" t="s">
        <v>84</v>
      </c>
      <c r="Q812" t="s">
        <v>85</v>
      </c>
    </row>
    <row r="813" spans="1:17" hidden="1">
      <c r="A813" t="s">
        <v>76</v>
      </c>
      <c r="B813" t="s">
        <v>77</v>
      </c>
      <c r="C813" t="s">
        <v>575</v>
      </c>
      <c r="D813" t="s">
        <v>575</v>
      </c>
      <c r="E813" t="s">
        <v>89</v>
      </c>
      <c r="F813" t="s">
        <v>89</v>
      </c>
      <c r="G813" t="s">
        <v>90</v>
      </c>
      <c r="H813" t="s">
        <v>81</v>
      </c>
      <c r="J813" t="s">
        <v>83</v>
      </c>
      <c r="K813" t="s">
        <v>83</v>
      </c>
      <c r="L813">
        <v>4</v>
      </c>
      <c r="M813" t="s">
        <v>83</v>
      </c>
      <c r="O813" t="s">
        <v>83</v>
      </c>
      <c r="P813" t="s">
        <v>84</v>
      </c>
      <c r="Q813" t="s">
        <v>85</v>
      </c>
    </row>
    <row r="814" spans="1:17" hidden="1">
      <c r="A814" t="s">
        <v>76</v>
      </c>
      <c r="B814" t="s">
        <v>77</v>
      </c>
      <c r="C814" t="s">
        <v>575</v>
      </c>
      <c r="D814" t="s">
        <v>575</v>
      </c>
      <c r="E814" t="s">
        <v>576</v>
      </c>
      <c r="F814" t="s">
        <v>576</v>
      </c>
      <c r="G814" t="s">
        <v>90</v>
      </c>
      <c r="H814" t="s">
        <v>81</v>
      </c>
      <c r="I814" t="s">
        <v>82</v>
      </c>
      <c r="L814">
        <v>5</v>
      </c>
      <c r="M814" t="s">
        <v>83</v>
      </c>
      <c r="O814" t="s">
        <v>83</v>
      </c>
      <c r="P814" t="s">
        <v>100</v>
      </c>
      <c r="Q814" t="s">
        <v>85</v>
      </c>
    </row>
    <row r="815" spans="1:17" hidden="1">
      <c r="A815" t="s">
        <v>76</v>
      </c>
      <c r="B815" t="s">
        <v>77</v>
      </c>
      <c r="C815" t="s">
        <v>575</v>
      </c>
      <c r="D815" t="s">
        <v>575</v>
      </c>
      <c r="E815" t="s">
        <v>576</v>
      </c>
      <c r="F815" t="s">
        <v>577</v>
      </c>
      <c r="G815" t="s">
        <v>90</v>
      </c>
      <c r="H815" t="s">
        <v>81</v>
      </c>
      <c r="L815">
        <v>6</v>
      </c>
      <c r="M815" t="s">
        <v>83</v>
      </c>
      <c r="O815" t="s">
        <v>83</v>
      </c>
      <c r="P815" t="s">
        <v>84</v>
      </c>
      <c r="Q815" t="s">
        <v>85</v>
      </c>
    </row>
    <row r="816" spans="1:17" hidden="1">
      <c r="A816" t="s">
        <v>76</v>
      </c>
      <c r="B816" t="s">
        <v>77</v>
      </c>
      <c r="C816" t="s">
        <v>575</v>
      </c>
      <c r="D816" t="s">
        <v>575</v>
      </c>
      <c r="E816" t="s">
        <v>91</v>
      </c>
      <c r="F816" t="s">
        <v>91</v>
      </c>
      <c r="G816" t="s">
        <v>92</v>
      </c>
      <c r="H816" t="s">
        <v>81</v>
      </c>
      <c r="J816" t="s">
        <v>83</v>
      </c>
      <c r="L816">
        <v>7</v>
      </c>
      <c r="M816" t="s">
        <v>83</v>
      </c>
      <c r="O816" t="s">
        <v>83</v>
      </c>
      <c r="P816" t="s">
        <v>84</v>
      </c>
      <c r="Q816" t="s">
        <v>85</v>
      </c>
    </row>
    <row r="817" spans="1:17" hidden="1">
      <c r="A817" t="s">
        <v>76</v>
      </c>
      <c r="B817" t="s">
        <v>77</v>
      </c>
      <c r="C817" t="s">
        <v>575</v>
      </c>
      <c r="D817" t="s">
        <v>575</v>
      </c>
      <c r="E817" t="s">
        <v>578</v>
      </c>
      <c r="F817" t="s">
        <v>578</v>
      </c>
      <c r="G817" t="s">
        <v>94</v>
      </c>
      <c r="H817" t="s">
        <v>81</v>
      </c>
      <c r="L817">
        <v>8</v>
      </c>
      <c r="M817" t="s">
        <v>83</v>
      </c>
      <c r="O817" t="s">
        <v>83</v>
      </c>
      <c r="P817" t="s">
        <v>84</v>
      </c>
      <c r="Q817" t="s">
        <v>85</v>
      </c>
    </row>
    <row r="818" spans="1:17" hidden="1">
      <c r="A818" t="s">
        <v>76</v>
      </c>
      <c r="B818" t="s">
        <v>77</v>
      </c>
      <c r="C818" t="s">
        <v>575</v>
      </c>
      <c r="D818" t="s">
        <v>575</v>
      </c>
      <c r="E818" t="s">
        <v>579</v>
      </c>
      <c r="F818" t="s">
        <v>579</v>
      </c>
      <c r="G818" t="s">
        <v>88</v>
      </c>
      <c r="H818" t="s">
        <v>81</v>
      </c>
      <c r="L818">
        <v>9</v>
      </c>
      <c r="M818" t="s">
        <v>83</v>
      </c>
      <c r="O818" t="s">
        <v>83</v>
      </c>
      <c r="P818" t="s">
        <v>84</v>
      </c>
      <c r="Q818" t="s">
        <v>85</v>
      </c>
    </row>
    <row r="819" spans="1:17" hidden="1">
      <c r="A819" t="s">
        <v>76</v>
      </c>
      <c r="B819" t="s">
        <v>77</v>
      </c>
      <c r="C819" t="s">
        <v>575</v>
      </c>
      <c r="D819" t="s">
        <v>575</v>
      </c>
      <c r="E819" t="s">
        <v>580</v>
      </c>
      <c r="F819" t="s">
        <v>580</v>
      </c>
      <c r="G819" t="s">
        <v>94</v>
      </c>
      <c r="H819" t="s">
        <v>81</v>
      </c>
      <c r="L819">
        <v>10</v>
      </c>
      <c r="M819" t="s">
        <v>83</v>
      </c>
      <c r="O819" t="s">
        <v>83</v>
      </c>
      <c r="P819" t="s">
        <v>84</v>
      </c>
      <c r="Q819" t="s">
        <v>85</v>
      </c>
    </row>
    <row r="820" spans="1:17" hidden="1">
      <c r="A820" t="s">
        <v>76</v>
      </c>
      <c r="B820" t="s">
        <v>77</v>
      </c>
      <c r="C820" t="s">
        <v>575</v>
      </c>
      <c r="D820" t="s">
        <v>575</v>
      </c>
      <c r="E820" t="s">
        <v>581</v>
      </c>
      <c r="F820" t="s">
        <v>581</v>
      </c>
      <c r="G820" t="s">
        <v>98</v>
      </c>
      <c r="H820" t="s">
        <v>81</v>
      </c>
      <c r="L820">
        <v>11</v>
      </c>
      <c r="M820" t="s">
        <v>83</v>
      </c>
      <c r="O820" t="s">
        <v>83</v>
      </c>
      <c r="P820" t="s">
        <v>84</v>
      </c>
      <c r="Q820" t="s">
        <v>85</v>
      </c>
    </row>
    <row r="821" spans="1:17" hidden="1">
      <c r="A821" t="s">
        <v>76</v>
      </c>
      <c r="B821" t="s">
        <v>77</v>
      </c>
      <c r="C821" t="s">
        <v>575</v>
      </c>
      <c r="D821" t="s">
        <v>575</v>
      </c>
      <c r="E821" t="s">
        <v>582</v>
      </c>
      <c r="F821" t="s">
        <v>582</v>
      </c>
      <c r="G821" t="s">
        <v>98</v>
      </c>
      <c r="H821" t="s">
        <v>81</v>
      </c>
      <c r="L821">
        <v>12</v>
      </c>
      <c r="M821" t="s">
        <v>83</v>
      </c>
      <c r="O821" t="s">
        <v>83</v>
      </c>
      <c r="P821" t="s">
        <v>84</v>
      </c>
      <c r="Q821" t="s">
        <v>85</v>
      </c>
    </row>
    <row r="822" spans="1:17" hidden="1">
      <c r="A822" t="s">
        <v>76</v>
      </c>
      <c r="B822" t="s">
        <v>77</v>
      </c>
      <c r="C822" t="s">
        <v>575</v>
      </c>
      <c r="D822" t="s">
        <v>575</v>
      </c>
      <c r="E822" t="s">
        <v>583</v>
      </c>
      <c r="F822" t="s">
        <v>583</v>
      </c>
      <c r="G822" t="s">
        <v>98</v>
      </c>
      <c r="H822" t="s">
        <v>81</v>
      </c>
      <c r="L822">
        <v>13</v>
      </c>
      <c r="M822" t="s">
        <v>83</v>
      </c>
      <c r="O822" t="s">
        <v>83</v>
      </c>
      <c r="P822" t="s">
        <v>84</v>
      </c>
      <c r="Q822" t="s">
        <v>85</v>
      </c>
    </row>
    <row r="823" spans="1:17" hidden="1">
      <c r="A823" t="s">
        <v>76</v>
      </c>
      <c r="B823" t="s">
        <v>77</v>
      </c>
      <c r="C823" t="s">
        <v>575</v>
      </c>
      <c r="D823" t="s">
        <v>575</v>
      </c>
      <c r="E823" t="s">
        <v>584</v>
      </c>
      <c r="F823" t="s">
        <v>584</v>
      </c>
      <c r="G823" t="s">
        <v>188</v>
      </c>
      <c r="H823" t="s">
        <v>81</v>
      </c>
      <c r="L823">
        <v>14</v>
      </c>
      <c r="M823" t="s">
        <v>83</v>
      </c>
      <c r="O823" t="s">
        <v>83</v>
      </c>
      <c r="P823" t="s">
        <v>84</v>
      </c>
      <c r="Q823" t="s">
        <v>85</v>
      </c>
    </row>
    <row r="824" spans="1:17" hidden="1">
      <c r="A824" t="s">
        <v>76</v>
      </c>
      <c r="B824" t="s">
        <v>77</v>
      </c>
      <c r="C824" t="s">
        <v>575</v>
      </c>
      <c r="D824" t="s">
        <v>575</v>
      </c>
      <c r="E824" t="s">
        <v>112</v>
      </c>
      <c r="F824" t="s">
        <v>112</v>
      </c>
      <c r="G824" t="s">
        <v>113</v>
      </c>
      <c r="H824" t="s">
        <v>81</v>
      </c>
      <c r="I824" t="s">
        <v>114</v>
      </c>
      <c r="L824">
        <v>15</v>
      </c>
      <c r="M824" t="s">
        <v>83</v>
      </c>
      <c r="O824" t="s">
        <v>83</v>
      </c>
      <c r="P824" t="s">
        <v>84</v>
      </c>
      <c r="Q824" t="s">
        <v>85</v>
      </c>
    </row>
    <row r="825" spans="1:17" hidden="1">
      <c r="A825" t="s">
        <v>76</v>
      </c>
      <c r="B825" t="s">
        <v>77</v>
      </c>
      <c r="C825" t="s">
        <v>575</v>
      </c>
      <c r="D825" t="s">
        <v>575</v>
      </c>
      <c r="E825" t="s">
        <v>115</v>
      </c>
      <c r="F825" t="s">
        <v>115</v>
      </c>
      <c r="G825" t="s">
        <v>113</v>
      </c>
      <c r="H825" t="s">
        <v>81</v>
      </c>
      <c r="I825" t="s">
        <v>114</v>
      </c>
      <c r="L825">
        <v>16</v>
      </c>
      <c r="M825" t="s">
        <v>83</v>
      </c>
      <c r="O825" t="s">
        <v>83</v>
      </c>
      <c r="P825" t="s">
        <v>84</v>
      </c>
      <c r="Q825" t="s">
        <v>85</v>
      </c>
    </row>
    <row r="826" spans="1:17" hidden="1">
      <c r="A826" t="s">
        <v>76</v>
      </c>
      <c r="B826" t="s">
        <v>77</v>
      </c>
      <c r="C826" t="s">
        <v>575</v>
      </c>
      <c r="D826" t="s">
        <v>575</v>
      </c>
      <c r="E826" t="s">
        <v>327</v>
      </c>
      <c r="F826" t="s">
        <v>327</v>
      </c>
      <c r="G826" t="s">
        <v>90</v>
      </c>
      <c r="H826" t="s">
        <v>81</v>
      </c>
      <c r="L826">
        <v>17</v>
      </c>
      <c r="M826" t="s">
        <v>83</v>
      </c>
      <c r="O826" t="s">
        <v>83</v>
      </c>
      <c r="P826" t="s">
        <v>84</v>
      </c>
      <c r="Q826" t="s">
        <v>85</v>
      </c>
    </row>
    <row r="827" spans="1:17" hidden="1">
      <c r="A827" t="s">
        <v>76</v>
      </c>
      <c r="B827" t="s">
        <v>77</v>
      </c>
      <c r="C827" t="s">
        <v>575</v>
      </c>
      <c r="D827" t="s">
        <v>575</v>
      </c>
      <c r="E827" t="s">
        <v>117</v>
      </c>
      <c r="F827" t="s">
        <v>117</v>
      </c>
      <c r="G827" t="s">
        <v>90</v>
      </c>
      <c r="H827" t="s">
        <v>81</v>
      </c>
      <c r="L827">
        <v>24</v>
      </c>
      <c r="M827" t="s">
        <v>83</v>
      </c>
      <c r="O827" t="s">
        <v>83</v>
      </c>
      <c r="P827" t="s">
        <v>84</v>
      </c>
      <c r="Q827" t="s">
        <v>85</v>
      </c>
    </row>
    <row r="828" spans="1:17" hidden="1">
      <c r="A828" t="s">
        <v>76</v>
      </c>
      <c r="B828" t="s">
        <v>77</v>
      </c>
      <c r="C828" t="s">
        <v>575</v>
      </c>
      <c r="D828" t="s">
        <v>575</v>
      </c>
      <c r="E828" t="s">
        <v>328</v>
      </c>
      <c r="F828" t="s">
        <v>328</v>
      </c>
      <c r="G828" t="s">
        <v>90</v>
      </c>
      <c r="H828" t="s">
        <v>81</v>
      </c>
      <c r="L828">
        <v>25</v>
      </c>
      <c r="M828" t="s">
        <v>83</v>
      </c>
      <c r="O828" t="s">
        <v>83</v>
      </c>
      <c r="P828" t="s">
        <v>84</v>
      </c>
      <c r="Q828" t="s">
        <v>85</v>
      </c>
    </row>
    <row r="829" spans="1:17" hidden="1">
      <c r="A829" t="s">
        <v>76</v>
      </c>
      <c r="B829" t="s">
        <v>77</v>
      </c>
      <c r="C829" t="s">
        <v>575</v>
      </c>
      <c r="D829" t="s">
        <v>575</v>
      </c>
      <c r="E829" t="s">
        <v>118</v>
      </c>
      <c r="F829" t="s">
        <v>118</v>
      </c>
      <c r="G829" t="s">
        <v>92</v>
      </c>
      <c r="H829" t="s">
        <v>81</v>
      </c>
      <c r="L829">
        <v>26</v>
      </c>
      <c r="M829" t="s">
        <v>83</v>
      </c>
      <c r="O829" t="s">
        <v>83</v>
      </c>
      <c r="P829" t="s">
        <v>84</v>
      </c>
      <c r="Q829" t="s">
        <v>85</v>
      </c>
    </row>
    <row r="830" spans="1:17" hidden="1">
      <c r="A830" t="s">
        <v>76</v>
      </c>
      <c r="B830" t="s">
        <v>77</v>
      </c>
      <c r="C830" t="s">
        <v>585</v>
      </c>
      <c r="D830" t="s">
        <v>585</v>
      </c>
      <c r="E830" t="s">
        <v>79</v>
      </c>
      <c r="F830" t="s">
        <v>79</v>
      </c>
      <c r="G830" t="s">
        <v>80</v>
      </c>
      <c r="H830" t="s">
        <v>81</v>
      </c>
      <c r="I830" t="s">
        <v>82</v>
      </c>
      <c r="L830">
        <v>1</v>
      </c>
      <c r="M830" t="s">
        <v>83</v>
      </c>
      <c r="O830" t="s">
        <v>83</v>
      </c>
      <c r="P830" t="s">
        <v>84</v>
      </c>
      <c r="Q830" t="s">
        <v>85</v>
      </c>
    </row>
    <row r="831" spans="1:17" hidden="1">
      <c r="A831" t="s">
        <v>76</v>
      </c>
      <c r="B831" t="s">
        <v>77</v>
      </c>
      <c r="C831" t="s">
        <v>585</v>
      </c>
      <c r="D831" t="s">
        <v>585</v>
      </c>
      <c r="E831" t="s">
        <v>86</v>
      </c>
      <c r="F831" t="s">
        <v>86</v>
      </c>
      <c r="G831" t="s">
        <v>80</v>
      </c>
      <c r="H831" t="s">
        <v>81</v>
      </c>
      <c r="I831" t="s">
        <v>82</v>
      </c>
      <c r="L831">
        <v>2</v>
      </c>
      <c r="M831" t="s">
        <v>83</v>
      </c>
      <c r="O831" t="s">
        <v>83</v>
      </c>
      <c r="P831" t="s">
        <v>84</v>
      </c>
      <c r="Q831" t="s">
        <v>85</v>
      </c>
    </row>
    <row r="832" spans="1:17" hidden="1">
      <c r="A832" t="s">
        <v>76</v>
      </c>
      <c r="B832" t="s">
        <v>77</v>
      </c>
      <c r="C832" t="s">
        <v>585</v>
      </c>
      <c r="D832" t="s">
        <v>585</v>
      </c>
      <c r="E832" t="s">
        <v>87</v>
      </c>
      <c r="F832" t="s">
        <v>87</v>
      </c>
      <c r="G832" t="s">
        <v>88</v>
      </c>
      <c r="H832" t="s">
        <v>81</v>
      </c>
      <c r="J832" t="s">
        <v>83</v>
      </c>
      <c r="L832">
        <v>3</v>
      </c>
      <c r="M832" t="s">
        <v>83</v>
      </c>
      <c r="O832" t="s">
        <v>83</v>
      </c>
      <c r="P832" t="s">
        <v>84</v>
      </c>
      <c r="Q832" t="s">
        <v>85</v>
      </c>
    </row>
    <row r="833" spans="1:17" hidden="1">
      <c r="A833" t="s">
        <v>76</v>
      </c>
      <c r="B833" t="s">
        <v>77</v>
      </c>
      <c r="C833" t="s">
        <v>585</v>
      </c>
      <c r="D833" t="s">
        <v>585</v>
      </c>
      <c r="E833" t="s">
        <v>89</v>
      </c>
      <c r="F833" t="s">
        <v>89</v>
      </c>
      <c r="G833" t="s">
        <v>90</v>
      </c>
      <c r="H833" t="s">
        <v>81</v>
      </c>
      <c r="J833" t="s">
        <v>83</v>
      </c>
      <c r="K833" t="s">
        <v>83</v>
      </c>
      <c r="L833">
        <v>4</v>
      </c>
      <c r="M833" t="s">
        <v>83</v>
      </c>
      <c r="O833" t="s">
        <v>83</v>
      </c>
      <c r="P833" t="s">
        <v>84</v>
      </c>
      <c r="Q833" t="s">
        <v>85</v>
      </c>
    </row>
    <row r="834" spans="1:17" hidden="1">
      <c r="A834" t="s">
        <v>76</v>
      </c>
      <c r="B834" t="s">
        <v>77</v>
      </c>
      <c r="C834" t="s">
        <v>585</v>
      </c>
      <c r="D834" t="s">
        <v>585</v>
      </c>
      <c r="E834" t="s">
        <v>586</v>
      </c>
      <c r="F834" t="s">
        <v>586</v>
      </c>
      <c r="G834" t="s">
        <v>90</v>
      </c>
      <c r="H834" t="s">
        <v>81</v>
      </c>
      <c r="I834" t="s">
        <v>82</v>
      </c>
      <c r="L834">
        <v>5</v>
      </c>
      <c r="M834" t="s">
        <v>83</v>
      </c>
      <c r="O834" t="s">
        <v>83</v>
      </c>
      <c r="P834" t="s">
        <v>100</v>
      </c>
      <c r="Q834" t="s">
        <v>85</v>
      </c>
    </row>
    <row r="835" spans="1:17" hidden="1">
      <c r="A835" t="s">
        <v>76</v>
      </c>
      <c r="B835" t="s">
        <v>77</v>
      </c>
      <c r="C835" t="s">
        <v>585</v>
      </c>
      <c r="D835" t="s">
        <v>585</v>
      </c>
      <c r="E835" t="s">
        <v>586</v>
      </c>
      <c r="F835" t="s">
        <v>587</v>
      </c>
      <c r="G835" t="s">
        <v>90</v>
      </c>
      <c r="H835" t="s">
        <v>81</v>
      </c>
      <c r="L835">
        <v>6</v>
      </c>
      <c r="M835" t="s">
        <v>83</v>
      </c>
      <c r="O835" t="s">
        <v>83</v>
      </c>
      <c r="P835" t="s">
        <v>84</v>
      </c>
      <c r="Q835" t="s">
        <v>85</v>
      </c>
    </row>
    <row r="836" spans="1:17" hidden="1">
      <c r="A836" t="s">
        <v>76</v>
      </c>
      <c r="B836" t="s">
        <v>77</v>
      </c>
      <c r="C836" t="s">
        <v>585</v>
      </c>
      <c r="D836" t="s">
        <v>585</v>
      </c>
      <c r="E836" t="s">
        <v>91</v>
      </c>
      <c r="F836" t="s">
        <v>91</v>
      </c>
      <c r="G836" t="s">
        <v>92</v>
      </c>
      <c r="H836" t="s">
        <v>81</v>
      </c>
      <c r="J836" t="s">
        <v>83</v>
      </c>
      <c r="L836">
        <v>7</v>
      </c>
      <c r="M836" t="s">
        <v>83</v>
      </c>
      <c r="O836" t="s">
        <v>83</v>
      </c>
      <c r="P836" t="s">
        <v>84</v>
      </c>
      <c r="Q836" t="s">
        <v>85</v>
      </c>
    </row>
    <row r="837" spans="1:17" hidden="1">
      <c r="A837" t="s">
        <v>76</v>
      </c>
      <c r="B837" t="s">
        <v>77</v>
      </c>
      <c r="C837" t="s">
        <v>585</v>
      </c>
      <c r="D837" t="s">
        <v>585</v>
      </c>
      <c r="E837" t="s">
        <v>588</v>
      </c>
      <c r="F837" t="s">
        <v>588</v>
      </c>
      <c r="G837" t="s">
        <v>94</v>
      </c>
      <c r="H837" t="s">
        <v>81</v>
      </c>
      <c r="L837">
        <v>8</v>
      </c>
      <c r="M837" t="s">
        <v>83</v>
      </c>
      <c r="O837" t="s">
        <v>83</v>
      </c>
      <c r="P837" t="s">
        <v>84</v>
      </c>
      <c r="Q837" t="s">
        <v>85</v>
      </c>
    </row>
    <row r="838" spans="1:17" hidden="1">
      <c r="A838" t="s">
        <v>76</v>
      </c>
      <c r="B838" t="s">
        <v>77</v>
      </c>
      <c r="C838" t="s">
        <v>585</v>
      </c>
      <c r="D838" t="s">
        <v>585</v>
      </c>
      <c r="E838" t="s">
        <v>589</v>
      </c>
      <c r="F838" t="s">
        <v>589</v>
      </c>
      <c r="G838" t="s">
        <v>88</v>
      </c>
      <c r="H838" t="s">
        <v>81</v>
      </c>
      <c r="L838">
        <v>9</v>
      </c>
      <c r="M838" t="s">
        <v>83</v>
      </c>
      <c r="O838" t="s">
        <v>83</v>
      </c>
      <c r="P838" t="s">
        <v>84</v>
      </c>
      <c r="Q838" t="s">
        <v>85</v>
      </c>
    </row>
    <row r="839" spans="1:17" hidden="1">
      <c r="A839" t="s">
        <v>76</v>
      </c>
      <c r="B839" t="s">
        <v>77</v>
      </c>
      <c r="C839" t="s">
        <v>585</v>
      </c>
      <c r="D839" t="s">
        <v>585</v>
      </c>
      <c r="E839" t="s">
        <v>590</v>
      </c>
      <c r="F839" t="s">
        <v>590</v>
      </c>
      <c r="G839" t="s">
        <v>94</v>
      </c>
      <c r="H839" t="s">
        <v>81</v>
      </c>
      <c r="L839">
        <v>10</v>
      </c>
      <c r="M839" t="s">
        <v>83</v>
      </c>
      <c r="O839" t="s">
        <v>83</v>
      </c>
      <c r="P839" t="s">
        <v>84</v>
      </c>
      <c r="Q839" t="s">
        <v>85</v>
      </c>
    </row>
    <row r="840" spans="1:17" hidden="1">
      <c r="A840" t="s">
        <v>76</v>
      </c>
      <c r="B840" t="s">
        <v>77</v>
      </c>
      <c r="C840" t="s">
        <v>585</v>
      </c>
      <c r="D840" t="s">
        <v>585</v>
      </c>
      <c r="E840" t="s">
        <v>591</v>
      </c>
      <c r="F840" t="s">
        <v>591</v>
      </c>
      <c r="G840" t="s">
        <v>98</v>
      </c>
      <c r="H840" t="s">
        <v>81</v>
      </c>
      <c r="L840">
        <v>11</v>
      </c>
      <c r="M840" t="s">
        <v>83</v>
      </c>
      <c r="O840" t="s">
        <v>83</v>
      </c>
      <c r="P840" t="s">
        <v>84</v>
      </c>
      <c r="Q840" t="s">
        <v>85</v>
      </c>
    </row>
    <row r="841" spans="1:17" hidden="1">
      <c r="A841" t="s">
        <v>76</v>
      </c>
      <c r="B841" t="s">
        <v>77</v>
      </c>
      <c r="C841" t="s">
        <v>585</v>
      </c>
      <c r="D841" t="s">
        <v>585</v>
      </c>
      <c r="E841" t="s">
        <v>592</v>
      </c>
      <c r="F841" t="s">
        <v>592</v>
      </c>
      <c r="G841" t="s">
        <v>98</v>
      </c>
      <c r="H841" t="s">
        <v>81</v>
      </c>
      <c r="L841">
        <v>12</v>
      </c>
      <c r="M841" t="s">
        <v>83</v>
      </c>
      <c r="O841" t="s">
        <v>83</v>
      </c>
      <c r="P841" t="s">
        <v>84</v>
      </c>
      <c r="Q841" t="s">
        <v>85</v>
      </c>
    </row>
    <row r="842" spans="1:17" hidden="1">
      <c r="A842" t="s">
        <v>76</v>
      </c>
      <c r="B842" t="s">
        <v>77</v>
      </c>
      <c r="C842" t="s">
        <v>585</v>
      </c>
      <c r="D842" t="s">
        <v>585</v>
      </c>
      <c r="E842" t="s">
        <v>593</v>
      </c>
      <c r="F842" t="s">
        <v>593</v>
      </c>
      <c r="G842" t="s">
        <v>98</v>
      </c>
      <c r="H842" t="s">
        <v>81</v>
      </c>
      <c r="L842">
        <v>13</v>
      </c>
      <c r="M842" t="s">
        <v>83</v>
      </c>
      <c r="O842" t="s">
        <v>83</v>
      </c>
      <c r="P842" t="s">
        <v>84</v>
      </c>
      <c r="Q842" t="s">
        <v>85</v>
      </c>
    </row>
    <row r="843" spans="1:17" hidden="1">
      <c r="A843" t="s">
        <v>76</v>
      </c>
      <c r="B843" t="s">
        <v>77</v>
      </c>
      <c r="C843" t="s">
        <v>585</v>
      </c>
      <c r="D843" t="s">
        <v>585</v>
      </c>
      <c r="E843" t="s">
        <v>118</v>
      </c>
      <c r="F843" t="s">
        <v>118</v>
      </c>
      <c r="G843" t="s">
        <v>92</v>
      </c>
      <c r="H843" t="s">
        <v>81</v>
      </c>
      <c r="L843">
        <v>14</v>
      </c>
      <c r="M843" t="s">
        <v>83</v>
      </c>
      <c r="O843" t="s">
        <v>83</v>
      </c>
      <c r="P843" t="s">
        <v>84</v>
      </c>
      <c r="Q843" t="s">
        <v>85</v>
      </c>
    </row>
    <row r="844" spans="1:17" hidden="1">
      <c r="A844" t="s">
        <v>76</v>
      </c>
      <c r="B844" t="s">
        <v>77</v>
      </c>
      <c r="C844" t="s">
        <v>585</v>
      </c>
      <c r="D844" t="s">
        <v>585</v>
      </c>
      <c r="E844" t="s">
        <v>112</v>
      </c>
      <c r="F844" t="s">
        <v>112</v>
      </c>
      <c r="G844" t="s">
        <v>113</v>
      </c>
      <c r="H844" t="s">
        <v>81</v>
      </c>
      <c r="I844" t="s">
        <v>114</v>
      </c>
      <c r="L844">
        <v>15</v>
      </c>
      <c r="M844" t="s">
        <v>83</v>
      </c>
      <c r="O844" t="s">
        <v>83</v>
      </c>
      <c r="P844" t="s">
        <v>84</v>
      </c>
      <c r="Q844" t="s">
        <v>85</v>
      </c>
    </row>
    <row r="845" spans="1:17" hidden="1">
      <c r="A845" t="s">
        <v>76</v>
      </c>
      <c r="B845" t="s">
        <v>77</v>
      </c>
      <c r="C845" t="s">
        <v>585</v>
      </c>
      <c r="D845" t="s">
        <v>585</v>
      </c>
      <c r="E845" t="s">
        <v>115</v>
      </c>
      <c r="F845" t="s">
        <v>115</v>
      </c>
      <c r="G845" t="s">
        <v>113</v>
      </c>
      <c r="H845" t="s">
        <v>81</v>
      </c>
      <c r="I845" t="s">
        <v>114</v>
      </c>
      <c r="L845">
        <v>16</v>
      </c>
      <c r="M845" t="s">
        <v>83</v>
      </c>
      <c r="O845" t="s">
        <v>83</v>
      </c>
      <c r="P845" t="s">
        <v>84</v>
      </c>
      <c r="Q845" t="s">
        <v>85</v>
      </c>
    </row>
    <row r="846" spans="1:17" hidden="1">
      <c r="A846" t="s">
        <v>76</v>
      </c>
      <c r="B846" t="s">
        <v>77</v>
      </c>
      <c r="C846" t="s">
        <v>585</v>
      </c>
      <c r="D846" t="s">
        <v>585</v>
      </c>
      <c r="E846" t="s">
        <v>117</v>
      </c>
      <c r="F846" t="s">
        <v>117</v>
      </c>
      <c r="G846" t="s">
        <v>90</v>
      </c>
      <c r="H846" t="s">
        <v>81</v>
      </c>
      <c r="L846">
        <v>23</v>
      </c>
      <c r="M846" t="s">
        <v>83</v>
      </c>
      <c r="O846" t="s">
        <v>83</v>
      </c>
      <c r="P846" t="s">
        <v>84</v>
      </c>
      <c r="Q846" t="s">
        <v>85</v>
      </c>
    </row>
    <row r="847" spans="1:17" hidden="1">
      <c r="A847" t="s">
        <v>76</v>
      </c>
      <c r="B847" t="s">
        <v>77</v>
      </c>
      <c r="C847" t="s">
        <v>585</v>
      </c>
      <c r="D847" t="s">
        <v>585</v>
      </c>
      <c r="E847" t="s">
        <v>327</v>
      </c>
      <c r="F847" t="s">
        <v>327</v>
      </c>
      <c r="G847" t="s">
        <v>90</v>
      </c>
      <c r="H847" t="s">
        <v>81</v>
      </c>
      <c r="L847">
        <v>24</v>
      </c>
      <c r="M847" t="s">
        <v>83</v>
      </c>
      <c r="O847" t="s">
        <v>83</v>
      </c>
      <c r="P847" t="s">
        <v>84</v>
      </c>
      <c r="Q847" t="s">
        <v>85</v>
      </c>
    </row>
    <row r="848" spans="1:17" hidden="1">
      <c r="A848" t="s">
        <v>76</v>
      </c>
      <c r="B848" t="s">
        <v>77</v>
      </c>
      <c r="C848" t="s">
        <v>585</v>
      </c>
      <c r="D848" t="s">
        <v>585</v>
      </c>
      <c r="E848" t="s">
        <v>328</v>
      </c>
      <c r="F848" t="s">
        <v>328</v>
      </c>
      <c r="G848" t="s">
        <v>90</v>
      </c>
      <c r="H848" t="s">
        <v>81</v>
      </c>
      <c r="L848">
        <v>25</v>
      </c>
      <c r="M848" t="s">
        <v>83</v>
      </c>
      <c r="O848" t="s">
        <v>83</v>
      </c>
      <c r="P848" t="s">
        <v>84</v>
      </c>
      <c r="Q848" t="s">
        <v>85</v>
      </c>
    </row>
    <row r="849" spans="1:17" hidden="1">
      <c r="A849" t="s">
        <v>76</v>
      </c>
      <c r="B849" t="s">
        <v>77</v>
      </c>
      <c r="C849" t="s">
        <v>594</v>
      </c>
      <c r="D849" t="s">
        <v>594</v>
      </c>
      <c r="E849" t="s">
        <v>79</v>
      </c>
      <c r="F849" t="s">
        <v>79</v>
      </c>
      <c r="G849" t="s">
        <v>80</v>
      </c>
      <c r="H849" t="s">
        <v>81</v>
      </c>
      <c r="I849" t="s">
        <v>82</v>
      </c>
      <c r="L849">
        <v>1</v>
      </c>
      <c r="M849" t="s">
        <v>83</v>
      </c>
      <c r="O849" t="s">
        <v>83</v>
      </c>
      <c r="P849" t="s">
        <v>84</v>
      </c>
      <c r="Q849" t="s">
        <v>85</v>
      </c>
    </row>
    <row r="850" spans="1:17" hidden="1">
      <c r="A850" t="s">
        <v>76</v>
      </c>
      <c r="B850" t="s">
        <v>77</v>
      </c>
      <c r="C850" t="s">
        <v>594</v>
      </c>
      <c r="D850" t="s">
        <v>594</v>
      </c>
      <c r="E850" t="s">
        <v>86</v>
      </c>
      <c r="F850" t="s">
        <v>86</v>
      </c>
      <c r="G850" t="s">
        <v>80</v>
      </c>
      <c r="H850" t="s">
        <v>81</v>
      </c>
      <c r="I850" t="s">
        <v>82</v>
      </c>
      <c r="L850">
        <v>2</v>
      </c>
      <c r="M850" t="s">
        <v>83</v>
      </c>
      <c r="O850" t="s">
        <v>83</v>
      </c>
      <c r="P850" t="s">
        <v>84</v>
      </c>
      <c r="Q850" t="s">
        <v>85</v>
      </c>
    </row>
    <row r="851" spans="1:17" hidden="1">
      <c r="A851" t="s">
        <v>76</v>
      </c>
      <c r="B851" t="s">
        <v>77</v>
      </c>
      <c r="C851" t="s">
        <v>594</v>
      </c>
      <c r="D851" t="s">
        <v>594</v>
      </c>
      <c r="E851" t="s">
        <v>87</v>
      </c>
      <c r="F851" t="s">
        <v>87</v>
      </c>
      <c r="G851" t="s">
        <v>88</v>
      </c>
      <c r="H851" t="s">
        <v>81</v>
      </c>
      <c r="J851" t="s">
        <v>83</v>
      </c>
      <c r="L851">
        <v>3</v>
      </c>
      <c r="M851" t="s">
        <v>83</v>
      </c>
      <c r="O851" t="s">
        <v>83</v>
      </c>
      <c r="P851" t="s">
        <v>84</v>
      </c>
      <c r="Q851" t="s">
        <v>85</v>
      </c>
    </row>
    <row r="852" spans="1:17" hidden="1">
      <c r="A852" t="s">
        <v>76</v>
      </c>
      <c r="B852" t="s">
        <v>77</v>
      </c>
      <c r="C852" t="s">
        <v>594</v>
      </c>
      <c r="D852" t="s">
        <v>594</v>
      </c>
      <c r="E852" t="s">
        <v>89</v>
      </c>
      <c r="F852" t="s">
        <v>89</v>
      </c>
      <c r="G852" t="s">
        <v>90</v>
      </c>
      <c r="H852" t="s">
        <v>81</v>
      </c>
      <c r="J852" t="s">
        <v>83</v>
      </c>
      <c r="K852" t="s">
        <v>83</v>
      </c>
      <c r="L852">
        <v>4</v>
      </c>
      <c r="M852" t="s">
        <v>83</v>
      </c>
      <c r="O852" t="s">
        <v>83</v>
      </c>
      <c r="P852" t="s">
        <v>84</v>
      </c>
      <c r="Q852" t="s">
        <v>85</v>
      </c>
    </row>
    <row r="853" spans="1:17" hidden="1">
      <c r="A853" t="s">
        <v>76</v>
      </c>
      <c r="B853" t="s">
        <v>77</v>
      </c>
      <c r="C853" t="s">
        <v>594</v>
      </c>
      <c r="D853" t="s">
        <v>594</v>
      </c>
      <c r="E853" t="s">
        <v>595</v>
      </c>
      <c r="F853" t="s">
        <v>595</v>
      </c>
      <c r="G853" t="s">
        <v>90</v>
      </c>
      <c r="H853" t="s">
        <v>81</v>
      </c>
      <c r="I853" t="s">
        <v>82</v>
      </c>
      <c r="L853">
        <v>5</v>
      </c>
      <c r="M853" t="s">
        <v>83</v>
      </c>
      <c r="O853" t="s">
        <v>83</v>
      </c>
      <c r="P853" t="s">
        <v>100</v>
      </c>
      <c r="Q853" t="s">
        <v>85</v>
      </c>
    </row>
    <row r="854" spans="1:17" hidden="1">
      <c r="A854" t="s">
        <v>76</v>
      </c>
      <c r="B854" t="s">
        <v>77</v>
      </c>
      <c r="C854" t="s">
        <v>594</v>
      </c>
      <c r="D854" t="s">
        <v>594</v>
      </c>
      <c r="E854" t="s">
        <v>595</v>
      </c>
      <c r="F854" t="s">
        <v>596</v>
      </c>
      <c r="G854" t="s">
        <v>90</v>
      </c>
      <c r="H854" t="s">
        <v>81</v>
      </c>
      <c r="L854">
        <v>6</v>
      </c>
      <c r="M854" t="s">
        <v>83</v>
      </c>
      <c r="O854" t="s">
        <v>83</v>
      </c>
      <c r="P854" t="s">
        <v>84</v>
      </c>
      <c r="Q854" t="s">
        <v>85</v>
      </c>
    </row>
    <row r="855" spans="1:17" hidden="1">
      <c r="A855" t="s">
        <v>76</v>
      </c>
      <c r="B855" t="s">
        <v>77</v>
      </c>
      <c r="C855" t="s">
        <v>594</v>
      </c>
      <c r="D855" t="s">
        <v>594</v>
      </c>
      <c r="E855" t="s">
        <v>91</v>
      </c>
      <c r="F855" t="s">
        <v>91</v>
      </c>
      <c r="G855" t="s">
        <v>92</v>
      </c>
      <c r="H855" t="s">
        <v>81</v>
      </c>
      <c r="J855" t="s">
        <v>83</v>
      </c>
      <c r="L855">
        <v>7</v>
      </c>
      <c r="M855" t="s">
        <v>83</v>
      </c>
      <c r="O855" t="s">
        <v>83</v>
      </c>
      <c r="P855" t="s">
        <v>84</v>
      </c>
      <c r="Q855" t="s">
        <v>85</v>
      </c>
    </row>
    <row r="856" spans="1:17" hidden="1">
      <c r="A856" t="s">
        <v>76</v>
      </c>
      <c r="B856" t="s">
        <v>77</v>
      </c>
      <c r="C856" t="s">
        <v>594</v>
      </c>
      <c r="D856" t="s">
        <v>594</v>
      </c>
      <c r="E856" t="s">
        <v>597</v>
      </c>
      <c r="F856" t="s">
        <v>597</v>
      </c>
      <c r="G856" t="s">
        <v>94</v>
      </c>
      <c r="H856" t="s">
        <v>81</v>
      </c>
      <c r="L856">
        <v>8</v>
      </c>
      <c r="M856" t="s">
        <v>83</v>
      </c>
      <c r="O856" t="s">
        <v>83</v>
      </c>
      <c r="P856" t="s">
        <v>84</v>
      </c>
      <c r="Q856" t="s">
        <v>85</v>
      </c>
    </row>
    <row r="857" spans="1:17" hidden="1">
      <c r="A857" t="s">
        <v>76</v>
      </c>
      <c r="B857" t="s">
        <v>77</v>
      </c>
      <c r="C857" t="s">
        <v>594</v>
      </c>
      <c r="D857" t="s">
        <v>594</v>
      </c>
      <c r="E857" t="s">
        <v>598</v>
      </c>
      <c r="F857" t="s">
        <v>598</v>
      </c>
      <c r="G857" t="s">
        <v>88</v>
      </c>
      <c r="H857" t="s">
        <v>81</v>
      </c>
      <c r="L857">
        <v>9</v>
      </c>
      <c r="M857" t="s">
        <v>83</v>
      </c>
      <c r="O857" t="s">
        <v>83</v>
      </c>
      <c r="P857" t="s">
        <v>84</v>
      </c>
      <c r="Q857" t="s">
        <v>85</v>
      </c>
    </row>
    <row r="858" spans="1:17" hidden="1">
      <c r="A858" t="s">
        <v>76</v>
      </c>
      <c r="B858" t="s">
        <v>77</v>
      </c>
      <c r="C858" t="s">
        <v>594</v>
      </c>
      <c r="D858" t="s">
        <v>594</v>
      </c>
      <c r="E858" t="s">
        <v>599</v>
      </c>
      <c r="F858" t="s">
        <v>599</v>
      </c>
      <c r="G858" t="s">
        <v>94</v>
      </c>
      <c r="H858" t="s">
        <v>81</v>
      </c>
      <c r="L858">
        <v>10</v>
      </c>
      <c r="M858" t="s">
        <v>83</v>
      </c>
      <c r="O858" t="s">
        <v>83</v>
      </c>
      <c r="P858" t="s">
        <v>84</v>
      </c>
      <c r="Q858" t="s">
        <v>85</v>
      </c>
    </row>
    <row r="859" spans="1:17" hidden="1">
      <c r="A859" t="s">
        <v>76</v>
      </c>
      <c r="B859" t="s">
        <v>77</v>
      </c>
      <c r="C859" t="s">
        <v>594</v>
      </c>
      <c r="D859" t="s">
        <v>594</v>
      </c>
      <c r="E859" t="s">
        <v>600</v>
      </c>
      <c r="F859" t="s">
        <v>600</v>
      </c>
      <c r="G859" t="s">
        <v>98</v>
      </c>
      <c r="H859" t="s">
        <v>81</v>
      </c>
      <c r="L859">
        <v>11</v>
      </c>
      <c r="M859" t="s">
        <v>83</v>
      </c>
      <c r="O859" t="s">
        <v>83</v>
      </c>
      <c r="P859" t="s">
        <v>84</v>
      </c>
      <c r="Q859" t="s">
        <v>85</v>
      </c>
    </row>
    <row r="860" spans="1:17" hidden="1">
      <c r="A860" t="s">
        <v>76</v>
      </c>
      <c r="B860" t="s">
        <v>77</v>
      </c>
      <c r="C860" t="s">
        <v>594</v>
      </c>
      <c r="D860" t="s">
        <v>594</v>
      </c>
      <c r="E860" t="s">
        <v>601</v>
      </c>
      <c r="F860" t="s">
        <v>601</v>
      </c>
      <c r="G860" t="s">
        <v>98</v>
      </c>
      <c r="H860" t="s">
        <v>81</v>
      </c>
      <c r="L860">
        <v>12</v>
      </c>
      <c r="M860" t="s">
        <v>83</v>
      </c>
      <c r="O860" t="s">
        <v>83</v>
      </c>
      <c r="P860" t="s">
        <v>84</v>
      </c>
      <c r="Q860" t="s">
        <v>85</v>
      </c>
    </row>
    <row r="861" spans="1:17" hidden="1">
      <c r="A861" t="s">
        <v>76</v>
      </c>
      <c r="B861" t="s">
        <v>77</v>
      </c>
      <c r="C861" t="s">
        <v>594</v>
      </c>
      <c r="D861" t="s">
        <v>594</v>
      </c>
      <c r="E861" t="s">
        <v>602</v>
      </c>
      <c r="F861" t="s">
        <v>602</v>
      </c>
      <c r="G861" t="s">
        <v>98</v>
      </c>
      <c r="H861" t="s">
        <v>81</v>
      </c>
      <c r="L861">
        <v>13</v>
      </c>
      <c r="M861" t="s">
        <v>83</v>
      </c>
      <c r="O861" t="s">
        <v>83</v>
      </c>
      <c r="P861" t="s">
        <v>84</v>
      </c>
      <c r="Q861" t="s">
        <v>85</v>
      </c>
    </row>
    <row r="862" spans="1:17" hidden="1">
      <c r="A862" t="s">
        <v>76</v>
      </c>
      <c r="B862" t="s">
        <v>77</v>
      </c>
      <c r="C862" t="s">
        <v>594</v>
      </c>
      <c r="D862" t="s">
        <v>594</v>
      </c>
      <c r="E862" t="s">
        <v>603</v>
      </c>
      <c r="F862" t="s">
        <v>603</v>
      </c>
      <c r="G862" t="s">
        <v>188</v>
      </c>
      <c r="H862" t="s">
        <v>81</v>
      </c>
      <c r="L862">
        <v>14</v>
      </c>
      <c r="M862" t="s">
        <v>83</v>
      </c>
      <c r="O862" t="s">
        <v>83</v>
      </c>
      <c r="P862" t="s">
        <v>84</v>
      </c>
      <c r="Q862" t="s">
        <v>85</v>
      </c>
    </row>
    <row r="863" spans="1:17" hidden="1">
      <c r="A863" t="s">
        <v>76</v>
      </c>
      <c r="B863" t="s">
        <v>77</v>
      </c>
      <c r="C863" t="s">
        <v>594</v>
      </c>
      <c r="D863" t="s">
        <v>594</v>
      </c>
      <c r="E863" t="s">
        <v>112</v>
      </c>
      <c r="F863" t="s">
        <v>112</v>
      </c>
      <c r="G863" t="s">
        <v>113</v>
      </c>
      <c r="H863" t="s">
        <v>81</v>
      </c>
      <c r="I863" t="s">
        <v>114</v>
      </c>
      <c r="L863">
        <v>15</v>
      </c>
      <c r="M863" t="s">
        <v>83</v>
      </c>
      <c r="O863" t="s">
        <v>83</v>
      </c>
      <c r="P863" t="s">
        <v>84</v>
      </c>
      <c r="Q863" t="s">
        <v>85</v>
      </c>
    </row>
    <row r="864" spans="1:17" hidden="1">
      <c r="A864" t="s">
        <v>76</v>
      </c>
      <c r="B864" t="s">
        <v>77</v>
      </c>
      <c r="C864" t="s">
        <v>594</v>
      </c>
      <c r="D864" t="s">
        <v>594</v>
      </c>
      <c r="E864" t="s">
        <v>115</v>
      </c>
      <c r="F864" t="s">
        <v>115</v>
      </c>
      <c r="G864" t="s">
        <v>113</v>
      </c>
      <c r="H864" t="s">
        <v>81</v>
      </c>
      <c r="I864" t="s">
        <v>114</v>
      </c>
      <c r="L864">
        <v>16</v>
      </c>
      <c r="M864" t="s">
        <v>83</v>
      </c>
      <c r="O864" t="s">
        <v>83</v>
      </c>
      <c r="P864" t="s">
        <v>84</v>
      </c>
      <c r="Q864" t="s">
        <v>85</v>
      </c>
    </row>
    <row r="865" spans="1:17" hidden="1">
      <c r="A865" t="s">
        <v>76</v>
      </c>
      <c r="B865" t="s">
        <v>77</v>
      </c>
      <c r="C865" t="s">
        <v>594</v>
      </c>
      <c r="D865" t="s">
        <v>594</v>
      </c>
      <c r="E865" t="s">
        <v>327</v>
      </c>
      <c r="F865" t="s">
        <v>327</v>
      </c>
      <c r="G865" t="s">
        <v>90</v>
      </c>
      <c r="H865" t="s">
        <v>81</v>
      </c>
      <c r="L865">
        <v>17</v>
      </c>
      <c r="M865" t="s">
        <v>83</v>
      </c>
      <c r="O865" t="s">
        <v>83</v>
      </c>
      <c r="P865" t="s">
        <v>84</v>
      </c>
      <c r="Q865" t="s">
        <v>85</v>
      </c>
    </row>
    <row r="866" spans="1:17" hidden="1">
      <c r="A866" t="s">
        <v>76</v>
      </c>
      <c r="B866" t="s">
        <v>77</v>
      </c>
      <c r="C866" t="s">
        <v>594</v>
      </c>
      <c r="D866" t="s">
        <v>594</v>
      </c>
      <c r="E866" t="s">
        <v>117</v>
      </c>
      <c r="F866" t="s">
        <v>117</v>
      </c>
      <c r="G866" t="s">
        <v>90</v>
      </c>
      <c r="H866" t="s">
        <v>81</v>
      </c>
      <c r="L866">
        <v>24</v>
      </c>
      <c r="M866" t="s">
        <v>83</v>
      </c>
      <c r="O866" t="s">
        <v>83</v>
      </c>
      <c r="P866" t="s">
        <v>84</v>
      </c>
      <c r="Q866" t="s">
        <v>85</v>
      </c>
    </row>
    <row r="867" spans="1:17" hidden="1">
      <c r="A867" t="s">
        <v>76</v>
      </c>
      <c r="B867" t="s">
        <v>77</v>
      </c>
      <c r="C867" t="s">
        <v>594</v>
      </c>
      <c r="D867" t="s">
        <v>594</v>
      </c>
      <c r="E867" t="s">
        <v>328</v>
      </c>
      <c r="F867" t="s">
        <v>328</v>
      </c>
      <c r="G867" t="s">
        <v>90</v>
      </c>
      <c r="H867" t="s">
        <v>81</v>
      </c>
      <c r="L867">
        <v>25</v>
      </c>
      <c r="M867" t="s">
        <v>83</v>
      </c>
      <c r="O867" t="s">
        <v>83</v>
      </c>
      <c r="P867" t="s">
        <v>84</v>
      </c>
      <c r="Q867" t="s">
        <v>85</v>
      </c>
    </row>
    <row r="868" spans="1:17" hidden="1">
      <c r="A868" t="s">
        <v>76</v>
      </c>
      <c r="B868" t="s">
        <v>77</v>
      </c>
      <c r="C868" t="s">
        <v>594</v>
      </c>
      <c r="D868" t="s">
        <v>594</v>
      </c>
      <c r="E868" t="s">
        <v>118</v>
      </c>
      <c r="F868" t="s">
        <v>118</v>
      </c>
      <c r="G868" t="s">
        <v>92</v>
      </c>
      <c r="H868" t="s">
        <v>81</v>
      </c>
      <c r="L868">
        <v>26</v>
      </c>
      <c r="M868" t="s">
        <v>83</v>
      </c>
      <c r="O868" t="s">
        <v>83</v>
      </c>
      <c r="P868" t="s">
        <v>84</v>
      </c>
      <c r="Q868" t="s">
        <v>85</v>
      </c>
    </row>
    <row r="869" spans="1:17" hidden="1">
      <c r="A869" t="s">
        <v>76</v>
      </c>
      <c r="B869" t="s">
        <v>77</v>
      </c>
      <c r="C869" t="s">
        <v>604</v>
      </c>
      <c r="D869" t="s">
        <v>604</v>
      </c>
      <c r="E869" t="s">
        <v>79</v>
      </c>
      <c r="F869" t="s">
        <v>79</v>
      </c>
      <c r="G869" t="s">
        <v>80</v>
      </c>
      <c r="H869" t="s">
        <v>81</v>
      </c>
      <c r="I869" t="s">
        <v>82</v>
      </c>
      <c r="L869">
        <v>1</v>
      </c>
      <c r="M869" t="s">
        <v>83</v>
      </c>
      <c r="O869" t="s">
        <v>83</v>
      </c>
      <c r="P869" t="s">
        <v>84</v>
      </c>
      <c r="Q869" t="s">
        <v>85</v>
      </c>
    </row>
    <row r="870" spans="1:17" hidden="1">
      <c r="A870" t="s">
        <v>76</v>
      </c>
      <c r="B870" t="s">
        <v>77</v>
      </c>
      <c r="C870" t="s">
        <v>604</v>
      </c>
      <c r="D870" t="s">
        <v>604</v>
      </c>
      <c r="E870" t="s">
        <v>86</v>
      </c>
      <c r="F870" t="s">
        <v>86</v>
      </c>
      <c r="G870" t="s">
        <v>80</v>
      </c>
      <c r="H870" t="s">
        <v>81</v>
      </c>
      <c r="I870" t="s">
        <v>82</v>
      </c>
      <c r="L870">
        <v>2</v>
      </c>
      <c r="M870" t="s">
        <v>83</v>
      </c>
      <c r="O870" t="s">
        <v>83</v>
      </c>
      <c r="P870" t="s">
        <v>84</v>
      </c>
      <c r="Q870" t="s">
        <v>85</v>
      </c>
    </row>
    <row r="871" spans="1:17" hidden="1">
      <c r="A871" t="s">
        <v>76</v>
      </c>
      <c r="B871" t="s">
        <v>77</v>
      </c>
      <c r="C871" t="s">
        <v>604</v>
      </c>
      <c r="D871" t="s">
        <v>604</v>
      </c>
      <c r="E871" t="s">
        <v>87</v>
      </c>
      <c r="F871" t="s">
        <v>87</v>
      </c>
      <c r="G871" t="s">
        <v>88</v>
      </c>
      <c r="H871" t="s">
        <v>81</v>
      </c>
      <c r="J871" t="s">
        <v>83</v>
      </c>
      <c r="L871">
        <v>3</v>
      </c>
      <c r="M871" t="s">
        <v>83</v>
      </c>
      <c r="O871" t="s">
        <v>83</v>
      </c>
      <c r="P871" t="s">
        <v>84</v>
      </c>
      <c r="Q871" t="s">
        <v>85</v>
      </c>
    </row>
    <row r="872" spans="1:17" hidden="1">
      <c r="A872" t="s">
        <v>76</v>
      </c>
      <c r="B872" t="s">
        <v>77</v>
      </c>
      <c r="C872" t="s">
        <v>604</v>
      </c>
      <c r="D872" t="s">
        <v>604</v>
      </c>
      <c r="E872" t="s">
        <v>89</v>
      </c>
      <c r="F872" t="s">
        <v>89</v>
      </c>
      <c r="G872" t="s">
        <v>90</v>
      </c>
      <c r="H872" t="s">
        <v>81</v>
      </c>
      <c r="J872" t="s">
        <v>83</v>
      </c>
      <c r="K872" t="s">
        <v>83</v>
      </c>
      <c r="L872">
        <v>4</v>
      </c>
      <c r="M872" t="s">
        <v>83</v>
      </c>
      <c r="O872" t="s">
        <v>83</v>
      </c>
      <c r="P872" t="s">
        <v>84</v>
      </c>
      <c r="Q872" t="s">
        <v>85</v>
      </c>
    </row>
    <row r="873" spans="1:17" hidden="1">
      <c r="A873" t="s">
        <v>76</v>
      </c>
      <c r="B873" t="s">
        <v>77</v>
      </c>
      <c r="C873" t="s">
        <v>604</v>
      </c>
      <c r="D873" t="s">
        <v>604</v>
      </c>
      <c r="E873" t="s">
        <v>605</v>
      </c>
      <c r="F873" t="s">
        <v>605</v>
      </c>
      <c r="G873" t="s">
        <v>90</v>
      </c>
      <c r="H873" t="s">
        <v>81</v>
      </c>
      <c r="I873" t="s">
        <v>82</v>
      </c>
      <c r="L873">
        <v>5</v>
      </c>
      <c r="M873" t="s">
        <v>83</v>
      </c>
      <c r="O873" t="s">
        <v>83</v>
      </c>
      <c r="P873" t="s">
        <v>100</v>
      </c>
      <c r="Q873" t="s">
        <v>85</v>
      </c>
    </row>
    <row r="874" spans="1:17" hidden="1">
      <c r="A874" t="s">
        <v>76</v>
      </c>
      <c r="B874" t="s">
        <v>77</v>
      </c>
      <c r="C874" t="s">
        <v>604</v>
      </c>
      <c r="D874" t="s">
        <v>604</v>
      </c>
      <c r="E874" t="s">
        <v>605</v>
      </c>
      <c r="F874" t="s">
        <v>606</v>
      </c>
      <c r="G874" t="s">
        <v>90</v>
      </c>
      <c r="H874" t="s">
        <v>81</v>
      </c>
      <c r="L874">
        <v>6</v>
      </c>
      <c r="M874" t="s">
        <v>83</v>
      </c>
      <c r="O874" t="s">
        <v>83</v>
      </c>
      <c r="P874" t="s">
        <v>84</v>
      </c>
      <c r="Q874" t="s">
        <v>85</v>
      </c>
    </row>
    <row r="875" spans="1:17" hidden="1">
      <c r="A875" t="s">
        <v>76</v>
      </c>
      <c r="B875" t="s">
        <v>77</v>
      </c>
      <c r="C875" t="s">
        <v>604</v>
      </c>
      <c r="D875" t="s">
        <v>604</v>
      </c>
      <c r="E875" t="s">
        <v>91</v>
      </c>
      <c r="F875" t="s">
        <v>91</v>
      </c>
      <c r="G875" t="s">
        <v>92</v>
      </c>
      <c r="H875" t="s">
        <v>81</v>
      </c>
      <c r="J875" t="s">
        <v>83</v>
      </c>
      <c r="L875">
        <v>7</v>
      </c>
      <c r="M875" t="s">
        <v>83</v>
      </c>
      <c r="O875" t="s">
        <v>83</v>
      </c>
      <c r="P875" t="s">
        <v>84</v>
      </c>
      <c r="Q875" t="s">
        <v>85</v>
      </c>
    </row>
    <row r="876" spans="1:17" hidden="1">
      <c r="A876" t="s">
        <v>76</v>
      </c>
      <c r="B876" t="s">
        <v>77</v>
      </c>
      <c r="C876" t="s">
        <v>604</v>
      </c>
      <c r="D876" t="s">
        <v>604</v>
      </c>
      <c r="E876" t="s">
        <v>607</v>
      </c>
      <c r="F876" t="s">
        <v>607</v>
      </c>
      <c r="G876" t="s">
        <v>94</v>
      </c>
      <c r="H876" t="s">
        <v>81</v>
      </c>
      <c r="L876">
        <v>8</v>
      </c>
      <c r="M876" t="s">
        <v>83</v>
      </c>
      <c r="O876" t="s">
        <v>83</v>
      </c>
      <c r="P876" t="s">
        <v>84</v>
      </c>
      <c r="Q876" t="s">
        <v>85</v>
      </c>
    </row>
    <row r="877" spans="1:17" hidden="1">
      <c r="A877" t="s">
        <v>76</v>
      </c>
      <c r="B877" t="s">
        <v>77</v>
      </c>
      <c r="C877" t="s">
        <v>604</v>
      </c>
      <c r="D877" t="s">
        <v>604</v>
      </c>
      <c r="E877" t="s">
        <v>608</v>
      </c>
      <c r="F877" t="s">
        <v>608</v>
      </c>
      <c r="G877" t="s">
        <v>88</v>
      </c>
      <c r="H877" t="s">
        <v>81</v>
      </c>
      <c r="L877">
        <v>9</v>
      </c>
      <c r="M877" t="s">
        <v>83</v>
      </c>
      <c r="O877" t="s">
        <v>83</v>
      </c>
      <c r="P877" t="s">
        <v>84</v>
      </c>
      <c r="Q877" t="s">
        <v>85</v>
      </c>
    </row>
    <row r="878" spans="1:17" hidden="1">
      <c r="A878" t="s">
        <v>76</v>
      </c>
      <c r="B878" t="s">
        <v>77</v>
      </c>
      <c r="C878" t="s">
        <v>604</v>
      </c>
      <c r="D878" t="s">
        <v>604</v>
      </c>
      <c r="E878" t="s">
        <v>609</v>
      </c>
      <c r="F878" t="s">
        <v>609</v>
      </c>
      <c r="G878" t="s">
        <v>94</v>
      </c>
      <c r="H878" t="s">
        <v>81</v>
      </c>
      <c r="L878">
        <v>10</v>
      </c>
      <c r="M878" t="s">
        <v>83</v>
      </c>
      <c r="O878" t="s">
        <v>83</v>
      </c>
      <c r="P878" t="s">
        <v>84</v>
      </c>
      <c r="Q878" t="s">
        <v>85</v>
      </c>
    </row>
    <row r="879" spans="1:17" hidden="1">
      <c r="A879" t="s">
        <v>76</v>
      </c>
      <c r="B879" t="s">
        <v>77</v>
      </c>
      <c r="C879" t="s">
        <v>604</v>
      </c>
      <c r="D879" t="s">
        <v>604</v>
      </c>
      <c r="E879" t="s">
        <v>610</v>
      </c>
      <c r="F879" t="s">
        <v>610</v>
      </c>
      <c r="G879" t="s">
        <v>98</v>
      </c>
      <c r="H879" t="s">
        <v>81</v>
      </c>
      <c r="L879">
        <v>11</v>
      </c>
      <c r="M879" t="s">
        <v>83</v>
      </c>
      <c r="O879" t="s">
        <v>83</v>
      </c>
      <c r="P879" t="s">
        <v>84</v>
      </c>
      <c r="Q879" t="s">
        <v>85</v>
      </c>
    </row>
    <row r="880" spans="1:17" hidden="1">
      <c r="A880" t="s">
        <v>76</v>
      </c>
      <c r="B880" t="s">
        <v>77</v>
      </c>
      <c r="C880" t="s">
        <v>604</v>
      </c>
      <c r="D880" t="s">
        <v>604</v>
      </c>
      <c r="E880" t="s">
        <v>611</v>
      </c>
      <c r="F880" t="s">
        <v>611</v>
      </c>
      <c r="G880" t="s">
        <v>98</v>
      </c>
      <c r="H880" t="s">
        <v>81</v>
      </c>
      <c r="L880">
        <v>12</v>
      </c>
      <c r="M880" t="s">
        <v>83</v>
      </c>
      <c r="O880" t="s">
        <v>83</v>
      </c>
      <c r="P880" t="s">
        <v>84</v>
      </c>
      <c r="Q880" t="s">
        <v>85</v>
      </c>
    </row>
    <row r="881" spans="1:17" hidden="1">
      <c r="A881" t="s">
        <v>76</v>
      </c>
      <c r="B881" t="s">
        <v>77</v>
      </c>
      <c r="C881" t="s">
        <v>604</v>
      </c>
      <c r="D881" t="s">
        <v>604</v>
      </c>
      <c r="E881" t="s">
        <v>612</v>
      </c>
      <c r="F881" t="s">
        <v>612</v>
      </c>
      <c r="G881" t="s">
        <v>98</v>
      </c>
      <c r="H881" t="s">
        <v>81</v>
      </c>
      <c r="L881">
        <v>13</v>
      </c>
      <c r="M881" t="s">
        <v>83</v>
      </c>
      <c r="O881" t="s">
        <v>83</v>
      </c>
      <c r="P881" t="s">
        <v>84</v>
      </c>
      <c r="Q881" t="s">
        <v>85</v>
      </c>
    </row>
    <row r="882" spans="1:17" hidden="1">
      <c r="A882" t="s">
        <v>76</v>
      </c>
      <c r="B882" t="s">
        <v>77</v>
      </c>
      <c r="C882" t="s">
        <v>604</v>
      </c>
      <c r="D882" t="s">
        <v>604</v>
      </c>
      <c r="E882" t="s">
        <v>613</v>
      </c>
      <c r="F882" t="s">
        <v>613</v>
      </c>
      <c r="G882" t="s">
        <v>188</v>
      </c>
      <c r="H882" t="s">
        <v>81</v>
      </c>
      <c r="L882">
        <v>14</v>
      </c>
      <c r="M882" t="s">
        <v>83</v>
      </c>
      <c r="O882" t="s">
        <v>83</v>
      </c>
      <c r="P882" t="s">
        <v>84</v>
      </c>
      <c r="Q882" t="s">
        <v>85</v>
      </c>
    </row>
    <row r="883" spans="1:17" hidden="1">
      <c r="A883" t="s">
        <v>76</v>
      </c>
      <c r="B883" t="s">
        <v>77</v>
      </c>
      <c r="C883" t="s">
        <v>604</v>
      </c>
      <c r="D883" t="s">
        <v>604</v>
      </c>
      <c r="E883" t="s">
        <v>112</v>
      </c>
      <c r="F883" t="s">
        <v>112</v>
      </c>
      <c r="G883" t="s">
        <v>113</v>
      </c>
      <c r="H883" t="s">
        <v>81</v>
      </c>
      <c r="I883" t="s">
        <v>114</v>
      </c>
      <c r="L883">
        <v>15</v>
      </c>
      <c r="M883" t="s">
        <v>83</v>
      </c>
      <c r="O883" t="s">
        <v>83</v>
      </c>
      <c r="P883" t="s">
        <v>84</v>
      </c>
      <c r="Q883" t="s">
        <v>85</v>
      </c>
    </row>
    <row r="884" spans="1:17" hidden="1">
      <c r="A884" t="s">
        <v>76</v>
      </c>
      <c r="B884" t="s">
        <v>77</v>
      </c>
      <c r="C884" t="s">
        <v>604</v>
      </c>
      <c r="D884" t="s">
        <v>604</v>
      </c>
      <c r="E884" t="s">
        <v>115</v>
      </c>
      <c r="F884" t="s">
        <v>115</v>
      </c>
      <c r="G884" t="s">
        <v>113</v>
      </c>
      <c r="H884" t="s">
        <v>81</v>
      </c>
      <c r="I884" t="s">
        <v>114</v>
      </c>
      <c r="L884">
        <v>16</v>
      </c>
      <c r="M884" t="s">
        <v>83</v>
      </c>
      <c r="O884" t="s">
        <v>83</v>
      </c>
      <c r="P884" t="s">
        <v>84</v>
      </c>
      <c r="Q884" t="s">
        <v>85</v>
      </c>
    </row>
    <row r="885" spans="1:17" hidden="1">
      <c r="A885" t="s">
        <v>76</v>
      </c>
      <c r="B885" t="s">
        <v>77</v>
      </c>
      <c r="C885" t="s">
        <v>604</v>
      </c>
      <c r="D885" t="s">
        <v>604</v>
      </c>
      <c r="E885" t="s">
        <v>327</v>
      </c>
      <c r="F885" t="s">
        <v>327</v>
      </c>
      <c r="G885" t="s">
        <v>90</v>
      </c>
      <c r="H885" t="s">
        <v>81</v>
      </c>
      <c r="L885">
        <v>17</v>
      </c>
      <c r="M885" t="s">
        <v>83</v>
      </c>
      <c r="O885" t="s">
        <v>83</v>
      </c>
      <c r="P885" t="s">
        <v>84</v>
      </c>
      <c r="Q885" t="s">
        <v>85</v>
      </c>
    </row>
    <row r="886" spans="1:17" hidden="1">
      <c r="A886" t="s">
        <v>76</v>
      </c>
      <c r="B886" t="s">
        <v>77</v>
      </c>
      <c r="C886" t="s">
        <v>604</v>
      </c>
      <c r="D886" t="s">
        <v>604</v>
      </c>
      <c r="E886" t="s">
        <v>117</v>
      </c>
      <c r="F886" t="s">
        <v>117</v>
      </c>
      <c r="G886" t="s">
        <v>90</v>
      </c>
      <c r="H886" t="s">
        <v>81</v>
      </c>
      <c r="L886">
        <v>24</v>
      </c>
      <c r="M886" t="s">
        <v>83</v>
      </c>
      <c r="O886" t="s">
        <v>83</v>
      </c>
      <c r="P886" t="s">
        <v>84</v>
      </c>
      <c r="Q886" t="s">
        <v>85</v>
      </c>
    </row>
    <row r="887" spans="1:17" hidden="1">
      <c r="A887" t="s">
        <v>76</v>
      </c>
      <c r="B887" t="s">
        <v>77</v>
      </c>
      <c r="C887" t="s">
        <v>604</v>
      </c>
      <c r="D887" t="s">
        <v>604</v>
      </c>
      <c r="E887" t="s">
        <v>328</v>
      </c>
      <c r="F887" t="s">
        <v>328</v>
      </c>
      <c r="G887" t="s">
        <v>90</v>
      </c>
      <c r="H887" t="s">
        <v>81</v>
      </c>
      <c r="L887">
        <v>25</v>
      </c>
      <c r="M887" t="s">
        <v>83</v>
      </c>
      <c r="O887" t="s">
        <v>83</v>
      </c>
      <c r="P887" t="s">
        <v>84</v>
      </c>
      <c r="Q887" t="s">
        <v>85</v>
      </c>
    </row>
    <row r="888" spans="1:17" hidden="1">
      <c r="A888" t="s">
        <v>76</v>
      </c>
      <c r="B888" t="s">
        <v>77</v>
      </c>
      <c r="C888" t="s">
        <v>604</v>
      </c>
      <c r="D888" t="s">
        <v>604</v>
      </c>
      <c r="E888" t="s">
        <v>118</v>
      </c>
      <c r="F888" t="s">
        <v>118</v>
      </c>
      <c r="G888" t="s">
        <v>92</v>
      </c>
      <c r="H888" t="s">
        <v>81</v>
      </c>
      <c r="L888">
        <v>26</v>
      </c>
      <c r="M888" t="s">
        <v>83</v>
      </c>
      <c r="O888" t="s">
        <v>83</v>
      </c>
      <c r="P888" t="s">
        <v>84</v>
      </c>
      <c r="Q888" t="s">
        <v>85</v>
      </c>
    </row>
    <row r="889" spans="1:17" hidden="1">
      <c r="A889" t="s">
        <v>76</v>
      </c>
      <c r="B889" t="s">
        <v>77</v>
      </c>
      <c r="C889" t="s">
        <v>614</v>
      </c>
      <c r="D889" t="s">
        <v>614</v>
      </c>
      <c r="E889" t="s">
        <v>79</v>
      </c>
      <c r="F889" t="s">
        <v>79</v>
      </c>
      <c r="G889" t="s">
        <v>80</v>
      </c>
      <c r="H889" t="s">
        <v>81</v>
      </c>
      <c r="I889" t="s">
        <v>82</v>
      </c>
      <c r="L889">
        <v>1</v>
      </c>
      <c r="M889" t="s">
        <v>83</v>
      </c>
      <c r="O889" t="s">
        <v>83</v>
      </c>
      <c r="P889" t="s">
        <v>84</v>
      </c>
      <c r="Q889" t="s">
        <v>85</v>
      </c>
    </row>
    <row r="890" spans="1:17" hidden="1">
      <c r="A890" t="s">
        <v>76</v>
      </c>
      <c r="B890" t="s">
        <v>77</v>
      </c>
      <c r="C890" t="s">
        <v>614</v>
      </c>
      <c r="D890" t="s">
        <v>614</v>
      </c>
      <c r="E890" t="s">
        <v>86</v>
      </c>
      <c r="F890" t="s">
        <v>86</v>
      </c>
      <c r="G890" t="s">
        <v>80</v>
      </c>
      <c r="H890" t="s">
        <v>81</v>
      </c>
      <c r="I890" t="s">
        <v>82</v>
      </c>
      <c r="L890">
        <v>2</v>
      </c>
      <c r="M890" t="s">
        <v>83</v>
      </c>
      <c r="O890" t="s">
        <v>83</v>
      </c>
      <c r="P890" t="s">
        <v>84</v>
      </c>
      <c r="Q890" t="s">
        <v>85</v>
      </c>
    </row>
    <row r="891" spans="1:17" hidden="1">
      <c r="A891" t="s">
        <v>76</v>
      </c>
      <c r="B891" t="s">
        <v>77</v>
      </c>
      <c r="C891" t="s">
        <v>614</v>
      </c>
      <c r="D891" t="s">
        <v>614</v>
      </c>
      <c r="E891" t="s">
        <v>87</v>
      </c>
      <c r="F891" t="s">
        <v>87</v>
      </c>
      <c r="G891" t="s">
        <v>88</v>
      </c>
      <c r="H891" t="s">
        <v>81</v>
      </c>
      <c r="J891" t="s">
        <v>83</v>
      </c>
      <c r="L891">
        <v>3</v>
      </c>
      <c r="M891" t="s">
        <v>83</v>
      </c>
      <c r="O891" t="s">
        <v>83</v>
      </c>
      <c r="P891" t="s">
        <v>84</v>
      </c>
      <c r="Q891" t="s">
        <v>85</v>
      </c>
    </row>
    <row r="892" spans="1:17" hidden="1">
      <c r="A892" t="s">
        <v>76</v>
      </c>
      <c r="B892" t="s">
        <v>77</v>
      </c>
      <c r="C892" t="s">
        <v>614</v>
      </c>
      <c r="D892" t="s">
        <v>614</v>
      </c>
      <c r="E892" t="s">
        <v>89</v>
      </c>
      <c r="F892" t="s">
        <v>89</v>
      </c>
      <c r="G892" t="s">
        <v>90</v>
      </c>
      <c r="H892" t="s">
        <v>81</v>
      </c>
      <c r="J892" t="s">
        <v>83</v>
      </c>
      <c r="K892" t="s">
        <v>83</v>
      </c>
      <c r="L892">
        <v>4</v>
      </c>
      <c r="M892" t="s">
        <v>83</v>
      </c>
      <c r="O892" t="s">
        <v>83</v>
      </c>
      <c r="P892" t="s">
        <v>84</v>
      </c>
      <c r="Q892" t="s">
        <v>85</v>
      </c>
    </row>
    <row r="893" spans="1:17" hidden="1">
      <c r="A893" t="s">
        <v>76</v>
      </c>
      <c r="B893" t="s">
        <v>77</v>
      </c>
      <c r="C893" t="s">
        <v>614</v>
      </c>
      <c r="D893" t="s">
        <v>614</v>
      </c>
      <c r="E893" t="s">
        <v>615</v>
      </c>
      <c r="F893" t="s">
        <v>615</v>
      </c>
      <c r="G893" t="s">
        <v>90</v>
      </c>
      <c r="H893" t="s">
        <v>81</v>
      </c>
      <c r="I893" t="s">
        <v>82</v>
      </c>
      <c r="L893">
        <v>5</v>
      </c>
      <c r="M893" t="s">
        <v>83</v>
      </c>
      <c r="O893" t="s">
        <v>83</v>
      </c>
      <c r="P893" t="s">
        <v>100</v>
      </c>
      <c r="Q893" t="s">
        <v>85</v>
      </c>
    </row>
    <row r="894" spans="1:17" hidden="1">
      <c r="A894" t="s">
        <v>76</v>
      </c>
      <c r="B894" t="s">
        <v>77</v>
      </c>
      <c r="C894" t="s">
        <v>614</v>
      </c>
      <c r="D894" t="s">
        <v>614</v>
      </c>
      <c r="E894" t="s">
        <v>615</v>
      </c>
      <c r="F894" t="s">
        <v>616</v>
      </c>
      <c r="G894" t="s">
        <v>90</v>
      </c>
      <c r="H894" t="s">
        <v>81</v>
      </c>
      <c r="L894">
        <v>6</v>
      </c>
      <c r="M894" t="s">
        <v>83</v>
      </c>
      <c r="O894" t="s">
        <v>83</v>
      </c>
      <c r="P894" t="s">
        <v>84</v>
      </c>
      <c r="Q894" t="s">
        <v>85</v>
      </c>
    </row>
    <row r="895" spans="1:17" hidden="1">
      <c r="A895" t="s">
        <v>76</v>
      </c>
      <c r="B895" t="s">
        <v>77</v>
      </c>
      <c r="C895" t="s">
        <v>614</v>
      </c>
      <c r="D895" t="s">
        <v>614</v>
      </c>
      <c r="E895" t="s">
        <v>91</v>
      </c>
      <c r="F895" t="s">
        <v>91</v>
      </c>
      <c r="G895" t="s">
        <v>92</v>
      </c>
      <c r="H895" t="s">
        <v>81</v>
      </c>
      <c r="J895" t="s">
        <v>83</v>
      </c>
      <c r="L895">
        <v>7</v>
      </c>
      <c r="M895" t="s">
        <v>83</v>
      </c>
      <c r="O895" t="s">
        <v>83</v>
      </c>
      <c r="P895" t="s">
        <v>84</v>
      </c>
      <c r="Q895" t="s">
        <v>85</v>
      </c>
    </row>
    <row r="896" spans="1:17" hidden="1">
      <c r="A896" t="s">
        <v>76</v>
      </c>
      <c r="B896" t="s">
        <v>77</v>
      </c>
      <c r="C896" t="s">
        <v>614</v>
      </c>
      <c r="D896" t="s">
        <v>614</v>
      </c>
      <c r="E896" t="s">
        <v>617</v>
      </c>
      <c r="F896" t="s">
        <v>617</v>
      </c>
      <c r="G896" t="s">
        <v>94</v>
      </c>
      <c r="H896" t="s">
        <v>81</v>
      </c>
      <c r="L896">
        <v>8</v>
      </c>
      <c r="M896" t="s">
        <v>83</v>
      </c>
      <c r="O896" t="s">
        <v>83</v>
      </c>
      <c r="P896" t="s">
        <v>84</v>
      </c>
      <c r="Q896" t="s">
        <v>85</v>
      </c>
    </row>
    <row r="897" spans="1:17" hidden="1">
      <c r="A897" t="s">
        <v>76</v>
      </c>
      <c r="B897" t="s">
        <v>77</v>
      </c>
      <c r="C897" t="s">
        <v>614</v>
      </c>
      <c r="D897" t="s">
        <v>614</v>
      </c>
      <c r="E897" t="s">
        <v>618</v>
      </c>
      <c r="F897" t="s">
        <v>618</v>
      </c>
      <c r="G897" t="s">
        <v>88</v>
      </c>
      <c r="H897" t="s">
        <v>81</v>
      </c>
      <c r="L897">
        <v>9</v>
      </c>
      <c r="M897" t="s">
        <v>83</v>
      </c>
      <c r="O897" t="s">
        <v>83</v>
      </c>
      <c r="P897" t="s">
        <v>84</v>
      </c>
      <c r="Q897" t="s">
        <v>85</v>
      </c>
    </row>
    <row r="898" spans="1:17" hidden="1">
      <c r="A898" t="s">
        <v>76</v>
      </c>
      <c r="B898" t="s">
        <v>77</v>
      </c>
      <c r="C898" t="s">
        <v>614</v>
      </c>
      <c r="D898" t="s">
        <v>614</v>
      </c>
      <c r="E898" t="s">
        <v>619</v>
      </c>
      <c r="F898" t="s">
        <v>619</v>
      </c>
      <c r="G898" t="s">
        <v>94</v>
      </c>
      <c r="H898" t="s">
        <v>81</v>
      </c>
      <c r="L898">
        <v>10</v>
      </c>
      <c r="M898" t="s">
        <v>83</v>
      </c>
      <c r="O898" t="s">
        <v>83</v>
      </c>
      <c r="P898" t="s">
        <v>84</v>
      </c>
      <c r="Q898" t="s">
        <v>85</v>
      </c>
    </row>
    <row r="899" spans="1:17" hidden="1">
      <c r="A899" t="s">
        <v>76</v>
      </c>
      <c r="B899" t="s">
        <v>77</v>
      </c>
      <c r="C899" t="s">
        <v>614</v>
      </c>
      <c r="D899" t="s">
        <v>614</v>
      </c>
      <c r="E899" t="s">
        <v>620</v>
      </c>
      <c r="F899" t="s">
        <v>620</v>
      </c>
      <c r="G899" t="s">
        <v>98</v>
      </c>
      <c r="H899" t="s">
        <v>81</v>
      </c>
      <c r="L899">
        <v>11</v>
      </c>
      <c r="M899" t="s">
        <v>83</v>
      </c>
      <c r="O899" t="s">
        <v>83</v>
      </c>
      <c r="P899" t="s">
        <v>84</v>
      </c>
      <c r="Q899" t="s">
        <v>85</v>
      </c>
    </row>
    <row r="900" spans="1:17" hidden="1">
      <c r="A900" t="s">
        <v>76</v>
      </c>
      <c r="B900" t="s">
        <v>77</v>
      </c>
      <c r="C900" t="s">
        <v>614</v>
      </c>
      <c r="D900" t="s">
        <v>614</v>
      </c>
      <c r="E900" t="s">
        <v>621</v>
      </c>
      <c r="F900" t="s">
        <v>621</v>
      </c>
      <c r="G900" t="s">
        <v>98</v>
      </c>
      <c r="H900" t="s">
        <v>81</v>
      </c>
      <c r="L900">
        <v>12</v>
      </c>
      <c r="M900" t="s">
        <v>83</v>
      </c>
      <c r="O900" t="s">
        <v>83</v>
      </c>
      <c r="P900" t="s">
        <v>84</v>
      </c>
      <c r="Q900" t="s">
        <v>85</v>
      </c>
    </row>
    <row r="901" spans="1:17" hidden="1">
      <c r="A901" t="s">
        <v>76</v>
      </c>
      <c r="B901" t="s">
        <v>77</v>
      </c>
      <c r="C901" t="s">
        <v>614</v>
      </c>
      <c r="D901" t="s">
        <v>614</v>
      </c>
      <c r="E901" t="s">
        <v>622</v>
      </c>
      <c r="F901" t="s">
        <v>622</v>
      </c>
      <c r="G901" t="s">
        <v>98</v>
      </c>
      <c r="H901" t="s">
        <v>81</v>
      </c>
      <c r="L901">
        <v>13</v>
      </c>
      <c r="M901" t="s">
        <v>83</v>
      </c>
      <c r="O901" t="s">
        <v>83</v>
      </c>
      <c r="P901" t="s">
        <v>84</v>
      </c>
      <c r="Q901" t="s">
        <v>85</v>
      </c>
    </row>
    <row r="902" spans="1:17" hidden="1">
      <c r="A902" t="s">
        <v>76</v>
      </c>
      <c r="B902" t="s">
        <v>77</v>
      </c>
      <c r="C902" t="s">
        <v>614</v>
      </c>
      <c r="D902" t="s">
        <v>614</v>
      </c>
      <c r="E902" t="s">
        <v>623</v>
      </c>
      <c r="F902" t="s">
        <v>623</v>
      </c>
      <c r="G902" t="s">
        <v>188</v>
      </c>
      <c r="H902" t="s">
        <v>81</v>
      </c>
      <c r="L902">
        <v>14</v>
      </c>
      <c r="M902" t="s">
        <v>83</v>
      </c>
      <c r="O902" t="s">
        <v>83</v>
      </c>
      <c r="P902" t="s">
        <v>84</v>
      </c>
      <c r="Q902" t="s">
        <v>85</v>
      </c>
    </row>
    <row r="903" spans="1:17" hidden="1">
      <c r="A903" t="s">
        <v>76</v>
      </c>
      <c r="B903" t="s">
        <v>77</v>
      </c>
      <c r="C903" t="s">
        <v>614</v>
      </c>
      <c r="D903" t="s">
        <v>614</v>
      </c>
      <c r="E903" t="s">
        <v>112</v>
      </c>
      <c r="F903" t="s">
        <v>112</v>
      </c>
      <c r="G903" t="s">
        <v>113</v>
      </c>
      <c r="H903" t="s">
        <v>81</v>
      </c>
      <c r="I903" t="s">
        <v>114</v>
      </c>
      <c r="L903">
        <v>15</v>
      </c>
      <c r="M903" t="s">
        <v>83</v>
      </c>
      <c r="O903" t="s">
        <v>83</v>
      </c>
      <c r="P903" t="s">
        <v>84</v>
      </c>
      <c r="Q903" t="s">
        <v>85</v>
      </c>
    </row>
    <row r="904" spans="1:17" hidden="1">
      <c r="A904" t="s">
        <v>76</v>
      </c>
      <c r="B904" t="s">
        <v>77</v>
      </c>
      <c r="C904" t="s">
        <v>614</v>
      </c>
      <c r="D904" t="s">
        <v>614</v>
      </c>
      <c r="E904" t="s">
        <v>115</v>
      </c>
      <c r="F904" t="s">
        <v>115</v>
      </c>
      <c r="G904" t="s">
        <v>113</v>
      </c>
      <c r="H904" t="s">
        <v>81</v>
      </c>
      <c r="I904" t="s">
        <v>114</v>
      </c>
      <c r="L904">
        <v>16</v>
      </c>
      <c r="M904" t="s">
        <v>83</v>
      </c>
      <c r="O904" t="s">
        <v>83</v>
      </c>
      <c r="P904" t="s">
        <v>84</v>
      </c>
      <c r="Q904" t="s">
        <v>85</v>
      </c>
    </row>
    <row r="905" spans="1:17" hidden="1">
      <c r="A905" t="s">
        <v>76</v>
      </c>
      <c r="B905" t="s">
        <v>77</v>
      </c>
      <c r="C905" t="s">
        <v>614</v>
      </c>
      <c r="D905" t="s">
        <v>614</v>
      </c>
      <c r="E905" t="s">
        <v>327</v>
      </c>
      <c r="F905" t="s">
        <v>327</v>
      </c>
      <c r="G905" t="s">
        <v>90</v>
      </c>
      <c r="H905" t="s">
        <v>81</v>
      </c>
      <c r="L905">
        <v>17</v>
      </c>
      <c r="M905" t="s">
        <v>83</v>
      </c>
      <c r="O905" t="s">
        <v>83</v>
      </c>
      <c r="P905" t="s">
        <v>84</v>
      </c>
      <c r="Q905" t="s">
        <v>85</v>
      </c>
    </row>
    <row r="906" spans="1:17" hidden="1">
      <c r="A906" t="s">
        <v>76</v>
      </c>
      <c r="B906" t="s">
        <v>77</v>
      </c>
      <c r="C906" t="s">
        <v>614</v>
      </c>
      <c r="D906" t="s">
        <v>614</v>
      </c>
      <c r="E906" t="s">
        <v>117</v>
      </c>
      <c r="F906" t="s">
        <v>117</v>
      </c>
      <c r="G906" t="s">
        <v>90</v>
      </c>
      <c r="H906" t="s">
        <v>81</v>
      </c>
      <c r="L906">
        <v>24</v>
      </c>
      <c r="M906" t="s">
        <v>83</v>
      </c>
      <c r="O906" t="s">
        <v>83</v>
      </c>
      <c r="P906" t="s">
        <v>84</v>
      </c>
      <c r="Q906" t="s">
        <v>85</v>
      </c>
    </row>
    <row r="907" spans="1:17" hidden="1">
      <c r="A907" t="s">
        <v>76</v>
      </c>
      <c r="B907" t="s">
        <v>77</v>
      </c>
      <c r="C907" t="s">
        <v>614</v>
      </c>
      <c r="D907" t="s">
        <v>614</v>
      </c>
      <c r="E907" t="s">
        <v>328</v>
      </c>
      <c r="F907" t="s">
        <v>328</v>
      </c>
      <c r="G907" t="s">
        <v>90</v>
      </c>
      <c r="H907" t="s">
        <v>81</v>
      </c>
      <c r="L907">
        <v>25</v>
      </c>
      <c r="M907" t="s">
        <v>83</v>
      </c>
      <c r="O907" t="s">
        <v>83</v>
      </c>
      <c r="P907" t="s">
        <v>84</v>
      </c>
      <c r="Q907" t="s">
        <v>85</v>
      </c>
    </row>
    <row r="908" spans="1:17" hidden="1">
      <c r="A908" t="s">
        <v>76</v>
      </c>
      <c r="B908" t="s">
        <v>77</v>
      </c>
      <c r="C908" t="s">
        <v>614</v>
      </c>
      <c r="D908" t="s">
        <v>614</v>
      </c>
      <c r="E908" t="s">
        <v>118</v>
      </c>
      <c r="F908" t="s">
        <v>118</v>
      </c>
      <c r="G908" t="s">
        <v>92</v>
      </c>
      <c r="H908" t="s">
        <v>81</v>
      </c>
      <c r="L908">
        <v>26</v>
      </c>
      <c r="M908" t="s">
        <v>83</v>
      </c>
      <c r="O908" t="s">
        <v>83</v>
      </c>
      <c r="P908" t="s">
        <v>84</v>
      </c>
      <c r="Q908" t="s">
        <v>85</v>
      </c>
    </row>
    <row r="909" spans="1:17" hidden="1">
      <c r="A909" t="s">
        <v>76</v>
      </c>
      <c r="B909" t="s">
        <v>77</v>
      </c>
      <c r="C909" t="s">
        <v>624</v>
      </c>
      <c r="D909" t="s">
        <v>624</v>
      </c>
      <c r="E909" t="s">
        <v>79</v>
      </c>
      <c r="F909" t="s">
        <v>79</v>
      </c>
      <c r="G909" t="s">
        <v>80</v>
      </c>
      <c r="H909" t="s">
        <v>81</v>
      </c>
      <c r="I909" t="s">
        <v>82</v>
      </c>
      <c r="L909">
        <v>1</v>
      </c>
      <c r="M909" t="s">
        <v>83</v>
      </c>
      <c r="O909" t="s">
        <v>83</v>
      </c>
      <c r="P909" t="s">
        <v>84</v>
      </c>
      <c r="Q909" t="s">
        <v>85</v>
      </c>
    </row>
    <row r="910" spans="1:17" hidden="1">
      <c r="A910" t="s">
        <v>76</v>
      </c>
      <c r="B910" t="s">
        <v>77</v>
      </c>
      <c r="C910" t="s">
        <v>624</v>
      </c>
      <c r="D910" t="s">
        <v>624</v>
      </c>
      <c r="E910" t="s">
        <v>86</v>
      </c>
      <c r="F910" t="s">
        <v>86</v>
      </c>
      <c r="G910" t="s">
        <v>80</v>
      </c>
      <c r="H910" t="s">
        <v>81</v>
      </c>
      <c r="I910" t="s">
        <v>82</v>
      </c>
      <c r="L910">
        <v>2</v>
      </c>
      <c r="M910" t="s">
        <v>83</v>
      </c>
      <c r="O910" t="s">
        <v>83</v>
      </c>
      <c r="P910" t="s">
        <v>84</v>
      </c>
      <c r="Q910" t="s">
        <v>85</v>
      </c>
    </row>
    <row r="911" spans="1:17" hidden="1">
      <c r="A911" t="s">
        <v>76</v>
      </c>
      <c r="B911" t="s">
        <v>77</v>
      </c>
      <c r="C911" t="s">
        <v>624</v>
      </c>
      <c r="D911" t="s">
        <v>624</v>
      </c>
      <c r="E911" t="s">
        <v>87</v>
      </c>
      <c r="F911" t="s">
        <v>87</v>
      </c>
      <c r="G911" t="s">
        <v>88</v>
      </c>
      <c r="H911" t="s">
        <v>81</v>
      </c>
      <c r="J911" t="s">
        <v>83</v>
      </c>
      <c r="L911">
        <v>3</v>
      </c>
      <c r="M911" t="s">
        <v>83</v>
      </c>
      <c r="O911" t="s">
        <v>83</v>
      </c>
      <c r="P911" t="s">
        <v>84</v>
      </c>
      <c r="Q911" t="s">
        <v>85</v>
      </c>
    </row>
    <row r="912" spans="1:17" hidden="1">
      <c r="A912" t="s">
        <v>76</v>
      </c>
      <c r="B912" t="s">
        <v>77</v>
      </c>
      <c r="C912" t="s">
        <v>624</v>
      </c>
      <c r="D912" t="s">
        <v>624</v>
      </c>
      <c r="E912" t="s">
        <v>89</v>
      </c>
      <c r="F912" t="s">
        <v>89</v>
      </c>
      <c r="G912" t="s">
        <v>90</v>
      </c>
      <c r="H912" t="s">
        <v>81</v>
      </c>
      <c r="J912" t="s">
        <v>83</v>
      </c>
      <c r="K912" t="s">
        <v>83</v>
      </c>
      <c r="L912">
        <v>4</v>
      </c>
      <c r="M912" t="s">
        <v>83</v>
      </c>
      <c r="O912" t="s">
        <v>83</v>
      </c>
      <c r="P912" t="s">
        <v>84</v>
      </c>
      <c r="Q912" t="s">
        <v>85</v>
      </c>
    </row>
    <row r="913" spans="1:17" hidden="1">
      <c r="A913" t="s">
        <v>76</v>
      </c>
      <c r="B913" t="s">
        <v>77</v>
      </c>
      <c r="C913" t="s">
        <v>624</v>
      </c>
      <c r="D913" t="s">
        <v>624</v>
      </c>
      <c r="E913" t="s">
        <v>625</v>
      </c>
      <c r="F913" t="s">
        <v>625</v>
      </c>
      <c r="G913" t="s">
        <v>90</v>
      </c>
      <c r="H913" t="s">
        <v>81</v>
      </c>
      <c r="I913" t="s">
        <v>82</v>
      </c>
      <c r="L913">
        <v>5</v>
      </c>
      <c r="M913" t="s">
        <v>83</v>
      </c>
      <c r="O913" t="s">
        <v>83</v>
      </c>
      <c r="P913" t="s">
        <v>100</v>
      </c>
      <c r="Q913" t="s">
        <v>85</v>
      </c>
    </row>
    <row r="914" spans="1:17" hidden="1">
      <c r="A914" t="s">
        <v>76</v>
      </c>
      <c r="B914" t="s">
        <v>77</v>
      </c>
      <c r="C914" t="s">
        <v>624</v>
      </c>
      <c r="D914" t="s">
        <v>624</v>
      </c>
      <c r="E914" t="s">
        <v>625</v>
      </c>
      <c r="F914" t="s">
        <v>626</v>
      </c>
      <c r="G914" t="s">
        <v>90</v>
      </c>
      <c r="H914" t="s">
        <v>81</v>
      </c>
      <c r="L914">
        <v>6</v>
      </c>
      <c r="M914" t="s">
        <v>83</v>
      </c>
      <c r="O914" t="s">
        <v>83</v>
      </c>
      <c r="P914" t="s">
        <v>84</v>
      </c>
      <c r="Q914" t="s">
        <v>85</v>
      </c>
    </row>
    <row r="915" spans="1:17" hidden="1">
      <c r="A915" t="s">
        <v>76</v>
      </c>
      <c r="B915" t="s">
        <v>77</v>
      </c>
      <c r="C915" t="s">
        <v>624</v>
      </c>
      <c r="D915" t="s">
        <v>624</v>
      </c>
      <c r="E915" t="s">
        <v>91</v>
      </c>
      <c r="F915" t="s">
        <v>91</v>
      </c>
      <c r="G915" t="s">
        <v>92</v>
      </c>
      <c r="H915" t="s">
        <v>81</v>
      </c>
      <c r="J915" t="s">
        <v>83</v>
      </c>
      <c r="L915">
        <v>7</v>
      </c>
      <c r="M915" t="s">
        <v>83</v>
      </c>
      <c r="O915" t="s">
        <v>83</v>
      </c>
      <c r="P915" t="s">
        <v>84</v>
      </c>
      <c r="Q915" t="s">
        <v>85</v>
      </c>
    </row>
    <row r="916" spans="1:17" hidden="1">
      <c r="A916" t="s">
        <v>76</v>
      </c>
      <c r="B916" t="s">
        <v>77</v>
      </c>
      <c r="C916" t="s">
        <v>624</v>
      </c>
      <c r="D916" t="s">
        <v>624</v>
      </c>
      <c r="E916" t="s">
        <v>627</v>
      </c>
      <c r="F916" t="s">
        <v>627</v>
      </c>
      <c r="G916" t="s">
        <v>94</v>
      </c>
      <c r="H916" t="s">
        <v>81</v>
      </c>
      <c r="L916">
        <v>8</v>
      </c>
      <c r="M916" t="s">
        <v>83</v>
      </c>
      <c r="O916" t="s">
        <v>83</v>
      </c>
      <c r="P916" t="s">
        <v>84</v>
      </c>
      <c r="Q916" t="s">
        <v>85</v>
      </c>
    </row>
    <row r="917" spans="1:17" hidden="1">
      <c r="A917" t="s">
        <v>76</v>
      </c>
      <c r="B917" t="s">
        <v>77</v>
      </c>
      <c r="C917" t="s">
        <v>624</v>
      </c>
      <c r="D917" t="s">
        <v>624</v>
      </c>
      <c r="E917" t="s">
        <v>628</v>
      </c>
      <c r="F917" t="s">
        <v>628</v>
      </c>
      <c r="G917" t="s">
        <v>88</v>
      </c>
      <c r="H917" t="s">
        <v>81</v>
      </c>
      <c r="L917">
        <v>9</v>
      </c>
      <c r="M917" t="s">
        <v>83</v>
      </c>
      <c r="O917" t="s">
        <v>83</v>
      </c>
      <c r="P917" t="s">
        <v>84</v>
      </c>
      <c r="Q917" t="s">
        <v>85</v>
      </c>
    </row>
    <row r="918" spans="1:17" hidden="1">
      <c r="A918" t="s">
        <v>76</v>
      </c>
      <c r="B918" t="s">
        <v>77</v>
      </c>
      <c r="C918" t="s">
        <v>624</v>
      </c>
      <c r="D918" t="s">
        <v>624</v>
      </c>
      <c r="E918" t="s">
        <v>629</v>
      </c>
      <c r="F918" t="s">
        <v>629</v>
      </c>
      <c r="G918" t="s">
        <v>94</v>
      </c>
      <c r="H918" t="s">
        <v>81</v>
      </c>
      <c r="L918">
        <v>10</v>
      </c>
      <c r="M918" t="s">
        <v>83</v>
      </c>
      <c r="O918" t="s">
        <v>83</v>
      </c>
      <c r="P918" t="s">
        <v>84</v>
      </c>
      <c r="Q918" t="s">
        <v>85</v>
      </c>
    </row>
    <row r="919" spans="1:17" hidden="1">
      <c r="A919" t="s">
        <v>76</v>
      </c>
      <c r="B919" t="s">
        <v>77</v>
      </c>
      <c r="C919" t="s">
        <v>624</v>
      </c>
      <c r="D919" t="s">
        <v>624</v>
      </c>
      <c r="E919" t="s">
        <v>630</v>
      </c>
      <c r="F919" t="s">
        <v>630</v>
      </c>
      <c r="G919" t="s">
        <v>98</v>
      </c>
      <c r="H919" t="s">
        <v>81</v>
      </c>
      <c r="L919">
        <v>11</v>
      </c>
      <c r="M919" t="s">
        <v>83</v>
      </c>
      <c r="O919" t="s">
        <v>83</v>
      </c>
      <c r="P919" t="s">
        <v>84</v>
      </c>
      <c r="Q919" t="s">
        <v>85</v>
      </c>
    </row>
    <row r="920" spans="1:17" hidden="1">
      <c r="A920" t="s">
        <v>76</v>
      </c>
      <c r="B920" t="s">
        <v>77</v>
      </c>
      <c r="C920" t="s">
        <v>624</v>
      </c>
      <c r="D920" t="s">
        <v>624</v>
      </c>
      <c r="E920" t="s">
        <v>631</v>
      </c>
      <c r="F920" t="s">
        <v>631</v>
      </c>
      <c r="G920" t="s">
        <v>98</v>
      </c>
      <c r="H920" t="s">
        <v>81</v>
      </c>
      <c r="L920">
        <v>12</v>
      </c>
      <c r="M920" t="s">
        <v>83</v>
      </c>
      <c r="O920" t="s">
        <v>83</v>
      </c>
      <c r="P920" t="s">
        <v>84</v>
      </c>
      <c r="Q920" t="s">
        <v>85</v>
      </c>
    </row>
    <row r="921" spans="1:17" hidden="1">
      <c r="A921" t="s">
        <v>76</v>
      </c>
      <c r="B921" t="s">
        <v>77</v>
      </c>
      <c r="C921" t="s">
        <v>624</v>
      </c>
      <c r="D921" t="s">
        <v>624</v>
      </c>
      <c r="E921" t="s">
        <v>632</v>
      </c>
      <c r="F921" t="s">
        <v>632</v>
      </c>
      <c r="G921" t="s">
        <v>98</v>
      </c>
      <c r="H921" t="s">
        <v>81</v>
      </c>
      <c r="L921">
        <v>13</v>
      </c>
      <c r="M921" t="s">
        <v>83</v>
      </c>
      <c r="O921" t="s">
        <v>83</v>
      </c>
      <c r="P921" t="s">
        <v>84</v>
      </c>
      <c r="Q921" t="s">
        <v>85</v>
      </c>
    </row>
    <row r="922" spans="1:17" hidden="1">
      <c r="A922" t="s">
        <v>76</v>
      </c>
      <c r="B922" t="s">
        <v>77</v>
      </c>
      <c r="C922" t="s">
        <v>624</v>
      </c>
      <c r="D922" t="s">
        <v>624</v>
      </c>
      <c r="E922" t="s">
        <v>633</v>
      </c>
      <c r="F922" t="s">
        <v>633</v>
      </c>
      <c r="G922" t="s">
        <v>188</v>
      </c>
      <c r="H922" t="s">
        <v>81</v>
      </c>
      <c r="L922">
        <v>14</v>
      </c>
      <c r="M922" t="s">
        <v>83</v>
      </c>
      <c r="O922" t="s">
        <v>83</v>
      </c>
      <c r="P922" t="s">
        <v>84</v>
      </c>
      <c r="Q922" t="s">
        <v>85</v>
      </c>
    </row>
    <row r="923" spans="1:17" hidden="1">
      <c r="A923" t="s">
        <v>76</v>
      </c>
      <c r="B923" t="s">
        <v>77</v>
      </c>
      <c r="C923" t="s">
        <v>624</v>
      </c>
      <c r="D923" t="s">
        <v>624</v>
      </c>
      <c r="E923" t="s">
        <v>112</v>
      </c>
      <c r="F923" t="s">
        <v>112</v>
      </c>
      <c r="G923" t="s">
        <v>113</v>
      </c>
      <c r="H923" t="s">
        <v>81</v>
      </c>
      <c r="I923" t="s">
        <v>114</v>
      </c>
      <c r="L923">
        <v>15</v>
      </c>
      <c r="M923" t="s">
        <v>83</v>
      </c>
      <c r="O923" t="s">
        <v>83</v>
      </c>
      <c r="P923" t="s">
        <v>84</v>
      </c>
      <c r="Q923" t="s">
        <v>85</v>
      </c>
    </row>
    <row r="924" spans="1:17" hidden="1">
      <c r="A924" t="s">
        <v>76</v>
      </c>
      <c r="B924" t="s">
        <v>77</v>
      </c>
      <c r="C924" t="s">
        <v>624</v>
      </c>
      <c r="D924" t="s">
        <v>624</v>
      </c>
      <c r="E924" t="s">
        <v>115</v>
      </c>
      <c r="F924" t="s">
        <v>115</v>
      </c>
      <c r="G924" t="s">
        <v>113</v>
      </c>
      <c r="H924" t="s">
        <v>81</v>
      </c>
      <c r="I924" t="s">
        <v>114</v>
      </c>
      <c r="L924">
        <v>16</v>
      </c>
      <c r="M924" t="s">
        <v>83</v>
      </c>
      <c r="O924" t="s">
        <v>83</v>
      </c>
      <c r="P924" t="s">
        <v>84</v>
      </c>
      <c r="Q924" t="s">
        <v>85</v>
      </c>
    </row>
    <row r="925" spans="1:17" hidden="1">
      <c r="A925" t="s">
        <v>76</v>
      </c>
      <c r="B925" t="s">
        <v>77</v>
      </c>
      <c r="C925" t="s">
        <v>624</v>
      </c>
      <c r="D925" t="s">
        <v>624</v>
      </c>
      <c r="E925" t="s">
        <v>117</v>
      </c>
      <c r="F925" t="s">
        <v>117</v>
      </c>
      <c r="G925" t="s">
        <v>90</v>
      </c>
      <c r="H925" t="s">
        <v>81</v>
      </c>
      <c r="L925">
        <v>23</v>
      </c>
      <c r="M925" t="s">
        <v>83</v>
      </c>
      <c r="O925" t="s">
        <v>83</v>
      </c>
      <c r="P925" t="s">
        <v>84</v>
      </c>
      <c r="Q925" t="s">
        <v>85</v>
      </c>
    </row>
    <row r="926" spans="1:17" hidden="1">
      <c r="A926" t="s">
        <v>76</v>
      </c>
      <c r="B926" t="s">
        <v>77</v>
      </c>
      <c r="C926" t="s">
        <v>624</v>
      </c>
      <c r="D926" t="s">
        <v>624</v>
      </c>
      <c r="E926" t="s">
        <v>328</v>
      </c>
      <c r="F926" t="s">
        <v>328</v>
      </c>
      <c r="G926" t="s">
        <v>90</v>
      </c>
      <c r="H926" t="s">
        <v>81</v>
      </c>
      <c r="L926">
        <v>24</v>
      </c>
      <c r="M926" t="s">
        <v>83</v>
      </c>
      <c r="O926" t="s">
        <v>83</v>
      </c>
      <c r="P926" t="s">
        <v>84</v>
      </c>
      <c r="Q926" t="s">
        <v>85</v>
      </c>
    </row>
    <row r="927" spans="1:17" hidden="1">
      <c r="A927" t="s">
        <v>76</v>
      </c>
      <c r="B927" t="s">
        <v>77</v>
      </c>
      <c r="C927" t="s">
        <v>624</v>
      </c>
      <c r="D927" t="s">
        <v>624</v>
      </c>
      <c r="E927" t="s">
        <v>118</v>
      </c>
      <c r="F927" t="s">
        <v>118</v>
      </c>
      <c r="G927" t="s">
        <v>92</v>
      </c>
      <c r="H927" t="s">
        <v>81</v>
      </c>
      <c r="L927">
        <v>25</v>
      </c>
      <c r="M927" t="s">
        <v>83</v>
      </c>
      <c r="O927" t="s">
        <v>83</v>
      </c>
      <c r="P927" t="s">
        <v>84</v>
      </c>
      <c r="Q927" t="s">
        <v>85</v>
      </c>
    </row>
    <row r="928" spans="1:17" hidden="1">
      <c r="A928" t="s">
        <v>76</v>
      </c>
      <c r="B928" t="s">
        <v>77</v>
      </c>
      <c r="C928" t="s">
        <v>634</v>
      </c>
      <c r="D928" t="s">
        <v>634</v>
      </c>
      <c r="E928" t="s">
        <v>79</v>
      </c>
      <c r="F928" t="s">
        <v>79</v>
      </c>
      <c r="G928" t="s">
        <v>80</v>
      </c>
      <c r="H928" t="s">
        <v>81</v>
      </c>
      <c r="I928" t="s">
        <v>82</v>
      </c>
      <c r="L928">
        <v>1</v>
      </c>
      <c r="M928" t="s">
        <v>83</v>
      </c>
      <c r="O928" t="s">
        <v>83</v>
      </c>
      <c r="P928" t="s">
        <v>84</v>
      </c>
      <c r="Q928" t="s">
        <v>85</v>
      </c>
    </row>
    <row r="929" spans="1:17" hidden="1">
      <c r="A929" t="s">
        <v>76</v>
      </c>
      <c r="B929" t="s">
        <v>77</v>
      </c>
      <c r="C929" t="s">
        <v>634</v>
      </c>
      <c r="D929" t="s">
        <v>634</v>
      </c>
      <c r="E929" t="s">
        <v>86</v>
      </c>
      <c r="F929" t="s">
        <v>86</v>
      </c>
      <c r="G929" t="s">
        <v>80</v>
      </c>
      <c r="H929" t="s">
        <v>81</v>
      </c>
      <c r="I929" t="s">
        <v>82</v>
      </c>
      <c r="L929">
        <v>2</v>
      </c>
      <c r="M929" t="s">
        <v>83</v>
      </c>
      <c r="O929" t="s">
        <v>83</v>
      </c>
      <c r="P929" t="s">
        <v>84</v>
      </c>
      <c r="Q929" t="s">
        <v>85</v>
      </c>
    </row>
    <row r="930" spans="1:17" hidden="1">
      <c r="A930" t="s">
        <v>76</v>
      </c>
      <c r="B930" t="s">
        <v>77</v>
      </c>
      <c r="C930" t="s">
        <v>634</v>
      </c>
      <c r="D930" t="s">
        <v>634</v>
      </c>
      <c r="E930" t="s">
        <v>87</v>
      </c>
      <c r="F930" t="s">
        <v>87</v>
      </c>
      <c r="G930" t="s">
        <v>88</v>
      </c>
      <c r="H930" t="s">
        <v>81</v>
      </c>
      <c r="J930" t="s">
        <v>83</v>
      </c>
      <c r="L930">
        <v>3</v>
      </c>
      <c r="M930" t="s">
        <v>83</v>
      </c>
      <c r="O930" t="s">
        <v>83</v>
      </c>
      <c r="P930" t="s">
        <v>84</v>
      </c>
      <c r="Q930" t="s">
        <v>85</v>
      </c>
    </row>
    <row r="931" spans="1:17" hidden="1">
      <c r="A931" t="s">
        <v>76</v>
      </c>
      <c r="B931" t="s">
        <v>77</v>
      </c>
      <c r="C931" t="s">
        <v>634</v>
      </c>
      <c r="D931" t="s">
        <v>634</v>
      </c>
      <c r="E931" t="s">
        <v>89</v>
      </c>
      <c r="F931" t="s">
        <v>89</v>
      </c>
      <c r="G931" t="s">
        <v>90</v>
      </c>
      <c r="H931" t="s">
        <v>81</v>
      </c>
      <c r="J931" t="s">
        <v>83</v>
      </c>
      <c r="K931" t="s">
        <v>83</v>
      </c>
      <c r="L931">
        <v>4</v>
      </c>
      <c r="M931" t="s">
        <v>83</v>
      </c>
      <c r="O931" t="s">
        <v>83</v>
      </c>
      <c r="P931" t="s">
        <v>84</v>
      </c>
      <c r="Q931" t="s">
        <v>85</v>
      </c>
    </row>
    <row r="932" spans="1:17" hidden="1">
      <c r="A932" t="s">
        <v>76</v>
      </c>
      <c r="B932" t="s">
        <v>77</v>
      </c>
      <c r="C932" t="s">
        <v>634</v>
      </c>
      <c r="D932" t="s">
        <v>634</v>
      </c>
      <c r="E932" t="s">
        <v>635</v>
      </c>
      <c r="F932" t="s">
        <v>635</v>
      </c>
      <c r="G932" t="s">
        <v>90</v>
      </c>
      <c r="H932" t="s">
        <v>81</v>
      </c>
      <c r="I932" t="s">
        <v>82</v>
      </c>
      <c r="L932">
        <v>5</v>
      </c>
      <c r="M932" t="s">
        <v>83</v>
      </c>
      <c r="O932" t="s">
        <v>83</v>
      </c>
      <c r="P932" t="s">
        <v>100</v>
      </c>
      <c r="Q932" t="s">
        <v>85</v>
      </c>
    </row>
    <row r="933" spans="1:17" hidden="1">
      <c r="A933" t="s">
        <v>76</v>
      </c>
      <c r="B933" t="s">
        <v>77</v>
      </c>
      <c r="C933" t="s">
        <v>634</v>
      </c>
      <c r="D933" t="s">
        <v>634</v>
      </c>
      <c r="E933" t="s">
        <v>635</v>
      </c>
      <c r="F933" t="s">
        <v>636</v>
      </c>
      <c r="G933" t="s">
        <v>90</v>
      </c>
      <c r="H933" t="s">
        <v>81</v>
      </c>
      <c r="L933">
        <v>6</v>
      </c>
      <c r="M933" t="s">
        <v>83</v>
      </c>
      <c r="O933" t="s">
        <v>83</v>
      </c>
      <c r="P933" t="s">
        <v>84</v>
      </c>
      <c r="Q933" t="s">
        <v>85</v>
      </c>
    </row>
    <row r="934" spans="1:17" hidden="1">
      <c r="A934" t="s">
        <v>76</v>
      </c>
      <c r="B934" t="s">
        <v>77</v>
      </c>
      <c r="C934" t="s">
        <v>634</v>
      </c>
      <c r="D934" t="s">
        <v>634</v>
      </c>
      <c r="E934" t="s">
        <v>637</v>
      </c>
      <c r="F934" t="s">
        <v>637</v>
      </c>
      <c r="G934" t="s">
        <v>98</v>
      </c>
      <c r="H934" t="s">
        <v>81</v>
      </c>
      <c r="L934">
        <v>7</v>
      </c>
      <c r="M934" t="s">
        <v>83</v>
      </c>
      <c r="O934" t="s">
        <v>83</v>
      </c>
      <c r="P934" t="s">
        <v>84</v>
      </c>
      <c r="Q934" t="s">
        <v>85</v>
      </c>
    </row>
    <row r="935" spans="1:17" hidden="1">
      <c r="A935" t="s">
        <v>76</v>
      </c>
      <c r="B935" t="s">
        <v>77</v>
      </c>
      <c r="C935" t="s">
        <v>634</v>
      </c>
      <c r="D935" t="s">
        <v>634</v>
      </c>
      <c r="E935" t="s">
        <v>91</v>
      </c>
      <c r="F935" t="s">
        <v>91</v>
      </c>
      <c r="G935" t="s">
        <v>92</v>
      </c>
      <c r="H935" t="s">
        <v>81</v>
      </c>
      <c r="J935" t="s">
        <v>83</v>
      </c>
      <c r="L935">
        <v>8</v>
      </c>
      <c r="M935" t="s">
        <v>83</v>
      </c>
      <c r="O935" t="s">
        <v>83</v>
      </c>
      <c r="P935" t="s">
        <v>84</v>
      </c>
      <c r="Q935" t="s">
        <v>85</v>
      </c>
    </row>
    <row r="936" spans="1:17" hidden="1">
      <c r="A936" t="s">
        <v>76</v>
      </c>
      <c r="B936" t="s">
        <v>77</v>
      </c>
      <c r="C936" t="s">
        <v>634</v>
      </c>
      <c r="D936" t="s">
        <v>634</v>
      </c>
      <c r="E936" t="s">
        <v>638</v>
      </c>
      <c r="F936" t="s">
        <v>638</v>
      </c>
      <c r="G936" t="s">
        <v>94</v>
      </c>
      <c r="H936" t="s">
        <v>81</v>
      </c>
      <c r="L936">
        <v>9</v>
      </c>
      <c r="M936" t="s">
        <v>83</v>
      </c>
      <c r="O936" t="s">
        <v>83</v>
      </c>
      <c r="P936" t="s">
        <v>84</v>
      </c>
      <c r="Q936" t="s">
        <v>85</v>
      </c>
    </row>
    <row r="937" spans="1:17" hidden="1">
      <c r="A937" t="s">
        <v>76</v>
      </c>
      <c r="B937" t="s">
        <v>77</v>
      </c>
      <c r="C937" t="s">
        <v>634</v>
      </c>
      <c r="D937" t="s">
        <v>634</v>
      </c>
      <c r="E937" t="s">
        <v>639</v>
      </c>
      <c r="F937" t="s">
        <v>639</v>
      </c>
      <c r="G937" t="s">
        <v>88</v>
      </c>
      <c r="H937" t="s">
        <v>81</v>
      </c>
      <c r="L937">
        <v>10</v>
      </c>
      <c r="M937" t="s">
        <v>83</v>
      </c>
      <c r="O937" t="s">
        <v>83</v>
      </c>
      <c r="P937" t="s">
        <v>84</v>
      </c>
      <c r="Q937" t="s">
        <v>85</v>
      </c>
    </row>
    <row r="938" spans="1:17" hidden="1">
      <c r="A938" t="s">
        <v>76</v>
      </c>
      <c r="B938" t="s">
        <v>77</v>
      </c>
      <c r="C938" t="s">
        <v>634</v>
      </c>
      <c r="D938" t="s">
        <v>634</v>
      </c>
      <c r="E938" t="s">
        <v>640</v>
      </c>
      <c r="F938" t="s">
        <v>640</v>
      </c>
      <c r="G938" t="s">
        <v>94</v>
      </c>
      <c r="H938" t="s">
        <v>81</v>
      </c>
      <c r="L938">
        <v>11</v>
      </c>
      <c r="M938" t="s">
        <v>83</v>
      </c>
      <c r="O938" t="s">
        <v>83</v>
      </c>
      <c r="P938" t="s">
        <v>84</v>
      </c>
      <c r="Q938" t="s">
        <v>85</v>
      </c>
    </row>
    <row r="939" spans="1:17" hidden="1">
      <c r="A939" t="s">
        <v>76</v>
      </c>
      <c r="B939" t="s">
        <v>77</v>
      </c>
      <c r="C939" t="s">
        <v>634</v>
      </c>
      <c r="D939" t="s">
        <v>634</v>
      </c>
      <c r="E939" t="s">
        <v>641</v>
      </c>
      <c r="F939" t="s">
        <v>641</v>
      </c>
      <c r="G939" t="s">
        <v>98</v>
      </c>
      <c r="H939" t="s">
        <v>81</v>
      </c>
      <c r="L939">
        <v>12</v>
      </c>
      <c r="M939" t="s">
        <v>83</v>
      </c>
      <c r="O939" t="s">
        <v>83</v>
      </c>
      <c r="P939" t="s">
        <v>84</v>
      </c>
      <c r="Q939" t="s">
        <v>85</v>
      </c>
    </row>
    <row r="940" spans="1:17" hidden="1">
      <c r="A940" t="s">
        <v>76</v>
      </c>
      <c r="B940" t="s">
        <v>77</v>
      </c>
      <c r="C940" t="s">
        <v>634</v>
      </c>
      <c r="D940" t="s">
        <v>634</v>
      </c>
      <c r="E940" t="s">
        <v>642</v>
      </c>
      <c r="F940" t="s">
        <v>642</v>
      </c>
      <c r="G940" t="s">
        <v>98</v>
      </c>
      <c r="H940" t="s">
        <v>81</v>
      </c>
      <c r="L940">
        <v>13</v>
      </c>
      <c r="M940" t="s">
        <v>83</v>
      </c>
      <c r="O940" t="s">
        <v>83</v>
      </c>
      <c r="P940" t="s">
        <v>84</v>
      </c>
      <c r="Q940" t="s">
        <v>85</v>
      </c>
    </row>
    <row r="941" spans="1:17" hidden="1">
      <c r="A941" t="s">
        <v>76</v>
      </c>
      <c r="B941" t="s">
        <v>77</v>
      </c>
      <c r="C941" t="s">
        <v>634</v>
      </c>
      <c r="D941" t="s">
        <v>634</v>
      </c>
      <c r="E941" t="s">
        <v>643</v>
      </c>
      <c r="F941" t="s">
        <v>643</v>
      </c>
      <c r="G941" t="s">
        <v>188</v>
      </c>
      <c r="H941" t="s">
        <v>81</v>
      </c>
      <c r="L941">
        <v>14</v>
      </c>
      <c r="M941" t="s">
        <v>83</v>
      </c>
      <c r="O941" t="s">
        <v>83</v>
      </c>
      <c r="P941" t="s">
        <v>84</v>
      </c>
      <c r="Q941" t="s">
        <v>85</v>
      </c>
    </row>
    <row r="942" spans="1:17" hidden="1">
      <c r="A942" t="s">
        <v>76</v>
      </c>
      <c r="B942" t="s">
        <v>77</v>
      </c>
      <c r="C942" t="s">
        <v>634</v>
      </c>
      <c r="D942" t="s">
        <v>634</v>
      </c>
      <c r="E942" t="s">
        <v>112</v>
      </c>
      <c r="F942" t="s">
        <v>112</v>
      </c>
      <c r="G942" t="s">
        <v>113</v>
      </c>
      <c r="H942" t="s">
        <v>81</v>
      </c>
      <c r="I942" t="s">
        <v>114</v>
      </c>
      <c r="L942">
        <v>15</v>
      </c>
      <c r="M942" t="s">
        <v>83</v>
      </c>
      <c r="O942" t="s">
        <v>83</v>
      </c>
      <c r="P942" t="s">
        <v>84</v>
      </c>
      <c r="Q942" t="s">
        <v>85</v>
      </c>
    </row>
    <row r="943" spans="1:17" hidden="1">
      <c r="A943" t="s">
        <v>76</v>
      </c>
      <c r="B943" t="s">
        <v>77</v>
      </c>
      <c r="C943" t="s">
        <v>634</v>
      </c>
      <c r="D943" t="s">
        <v>634</v>
      </c>
      <c r="E943" t="s">
        <v>115</v>
      </c>
      <c r="F943" t="s">
        <v>115</v>
      </c>
      <c r="G943" t="s">
        <v>113</v>
      </c>
      <c r="H943" t="s">
        <v>81</v>
      </c>
      <c r="I943" t="s">
        <v>114</v>
      </c>
      <c r="L943">
        <v>16</v>
      </c>
      <c r="M943" t="s">
        <v>83</v>
      </c>
      <c r="O943" t="s">
        <v>83</v>
      </c>
      <c r="P943" t="s">
        <v>84</v>
      </c>
      <c r="Q943" t="s">
        <v>85</v>
      </c>
    </row>
    <row r="944" spans="1:17" hidden="1">
      <c r="A944" t="s">
        <v>76</v>
      </c>
      <c r="B944" t="s">
        <v>77</v>
      </c>
      <c r="C944" t="s">
        <v>634</v>
      </c>
      <c r="D944" t="s">
        <v>634</v>
      </c>
      <c r="E944" t="s">
        <v>327</v>
      </c>
      <c r="F944" t="s">
        <v>327</v>
      </c>
      <c r="G944" t="s">
        <v>90</v>
      </c>
      <c r="H944" t="s">
        <v>81</v>
      </c>
      <c r="L944">
        <v>17</v>
      </c>
      <c r="M944" t="s">
        <v>83</v>
      </c>
      <c r="O944" t="s">
        <v>83</v>
      </c>
      <c r="P944" t="s">
        <v>84</v>
      </c>
      <c r="Q944" t="s">
        <v>85</v>
      </c>
    </row>
    <row r="945" spans="1:17" hidden="1">
      <c r="A945" t="s">
        <v>76</v>
      </c>
      <c r="B945" t="s">
        <v>77</v>
      </c>
      <c r="C945" t="s">
        <v>634</v>
      </c>
      <c r="D945" t="s">
        <v>634</v>
      </c>
      <c r="E945" t="s">
        <v>117</v>
      </c>
      <c r="F945" t="s">
        <v>117</v>
      </c>
      <c r="G945" t="s">
        <v>90</v>
      </c>
      <c r="H945" t="s">
        <v>81</v>
      </c>
      <c r="L945">
        <v>24</v>
      </c>
      <c r="M945" t="s">
        <v>83</v>
      </c>
      <c r="O945" t="s">
        <v>83</v>
      </c>
      <c r="P945" t="s">
        <v>84</v>
      </c>
      <c r="Q945" t="s">
        <v>85</v>
      </c>
    </row>
    <row r="946" spans="1:17" hidden="1">
      <c r="A946" t="s">
        <v>76</v>
      </c>
      <c r="B946" t="s">
        <v>77</v>
      </c>
      <c r="C946" t="s">
        <v>634</v>
      </c>
      <c r="D946" t="s">
        <v>634</v>
      </c>
      <c r="E946" t="s">
        <v>328</v>
      </c>
      <c r="F946" t="s">
        <v>328</v>
      </c>
      <c r="G946" t="s">
        <v>90</v>
      </c>
      <c r="H946" t="s">
        <v>81</v>
      </c>
      <c r="L946">
        <v>25</v>
      </c>
      <c r="M946" t="s">
        <v>83</v>
      </c>
      <c r="O946" t="s">
        <v>83</v>
      </c>
      <c r="P946" t="s">
        <v>84</v>
      </c>
      <c r="Q946" t="s">
        <v>85</v>
      </c>
    </row>
    <row r="947" spans="1:17" hidden="1">
      <c r="A947" t="s">
        <v>76</v>
      </c>
      <c r="B947" t="s">
        <v>77</v>
      </c>
      <c r="C947" t="s">
        <v>634</v>
      </c>
      <c r="D947" t="s">
        <v>634</v>
      </c>
      <c r="E947" t="s">
        <v>118</v>
      </c>
      <c r="F947" t="s">
        <v>118</v>
      </c>
      <c r="G947" t="s">
        <v>92</v>
      </c>
      <c r="H947" t="s">
        <v>81</v>
      </c>
      <c r="L947">
        <v>26</v>
      </c>
      <c r="M947" t="s">
        <v>83</v>
      </c>
      <c r="O947" t="s">
        <v>83</v>
      </c>
      <c r="P947" t="s">
        <v>84</v>
      </c>
      <c r="Q947" t="s">
        <v>85</v>
      </c>
    </row>
    <row r="948" spans="1:17" hidden="1">
      <c r="A948" t="s">
        <v>76</v>
      </c>
      <c r="B948" t="s">
        <v>77</v>
      </c>
      <c r="C948" t="s">
        <v>644</v>
      </c>
      <c r="D948" t="s">
        <v>644</v>
      </c>
      <c r="E948" t="s">
        <v>79</v>
      </c>
      <c r="F948" t="s">
        <v>79</v>
      </c>
      <c r="G948" t="s">
        <v>80</v>
      </c>
      <c r="H948" t="s">
        <v>81</v>
      </c>
      <c r="I948" t="s">
        <v>82</v>
      </c>
      <c r="L948">
        <v>1</v>
      </c>
      <c r="M948" t="s">
        <v>83</v>
      </c>
      <c r="O948" t="s">
        <v>83</v>
      </c>
      <c r="P948" t="s">
        <v>84</v>
      </c>
      <c r="Q948" t="s">
        <v>85</v>
      </c>
    </row>
    <row r="949" spans="1:17" hidden="1">
      <c r="A949" t="s">
        <v>76</v>
      </c>
      <c r="B949" t="s">
        <v>77</v>
      </c>
      <c r="C949" t="s">
        <v>644</v>
      </c>
      <c r="D949" t="s">
        <v>644</v>
      </c>
      <c r="E949" t="s">
        <v>86</v>
      </c>
      <c r="F949" t="s">
        <v>86</v>
      </c>
      <c r="G949" t="s">
        <v>80</v>
      </c>
      <c r="H949" t="s">
        <v>81</v>
      </c>
      <c r="I949" t="s">
        <v>82</v>
      </c>
      <c r="L949">
        <v>2</v>
      </c>
      <c r="M949" t="s">
        <v>83</v>
      </c>
      <c r="O949" t="s">
        <v>83</v>
      </c>
      <c r="P949" t="s">
        <v>84</v>
      </c>
      <c r="Q949" t="s">
        <v>85</v>
      </c>
    </row>
    <row r="950" spans="1:17" hidden="1">
      <c r="A950" t="s">
        <v>76</v>
      </c>
      <c r="B950" t="s">
        <v>77</v>
      </c>
      <c r="C950" t="s">
        <v>644</v>
      </c>
      <c r="D950" t="s">
        <v>644</v>
      </c>
      <c r="E950" t="s">
        <v>87</v>
      </c>
      <c r="F950" t="s">
        <v>87</v>
      </c>
      <c r="G950" t="s">
        <v>88</v>
      </c>
      <c r="H950" t="s">
        <v>81</v>
      </c>
      <c r="J950" t="s">
        <v>83</v>
      </c>
      <c r="L950">
        <v>3</v>
      </c>
      <c r="M950" t="s">
        <v>83</v>
      </c>
      <c r="O950" t="s">
        <v>83</v>
      </c>
      <c r="P950" t="s">
        <v>84</v>
      </c>
      <c r="Q950" t="s">
        <v>85</v>
      </c>
    </row>
    <row r="951" spans="1:17" hidden="1">
      <c r="A951" t="s">
        <v>76</v>
      </c>
      <c r="B951" t="s">
        <v>77</v>
      </c>
      <c r="C951" t="s">
        <v>644</v>
      </c>
      <c r="D951" t="s">
        <v>644</v>
      </c>
      <c r="E951" t="s">
        <v>89</v>
      </c>
      <c r="F951" t="s">
        <v>89</v>
      </c>
      <c r="G951" t="s">
        <v>90</v>
      </c>
      <c r="H951" t="s">
        <v>81</v>
      </c>
      <c r="J951" t="s">
        <v>83</v>
      </c>
      <c r="K951" t="s">
        <v>83</v>
      </c>
      <c r="L951">
        <v>4</v>
      </c>
      <c r="M951" t="s">
        <v>83</v>
      </c>
      <c r="O951" t="s">
        <v>83</v>
      </c>
      <c r="P951" t="s">
        <v>84</v>
      </c>
      <c r="Q951" t="s">
        <v>85</v>
      </c>
    </row>
    <row r="952" spans="1:17" hidden="1">
      <c r="A952" t="s">
        <v>76</v>
      </c>
      <c r="B952" t="s">
        <v>77</v>
      </c>
      <c r="C952" t="s">
        <v>644</v>
      </c>
      <c r="D952" t="s">
        <v>644</v>
      </c>
      <c r="E952" t="s">
        <v>645</v>
      </c>
      <c r="F952" t="s">
        <v>645</v>
      </c>
      <c r="G952" t="s">
        <v>90</v>
      </c>
      <c r="H952" t="s">
        <v>81</v>
      </c>
      <c r="I952" t="s">
        <v>82</v>
      </c>
      <c r="L952">
        <v>5</v>
      </c>
      <c r="M952" t="s">
        <v>83</v>
      </c>
      <c r="O952" t="s">
        <v>83</v>
      </c>
      <c r="P952" t="s">
        <v>100</v>
      </c>
      <c r="Q952" t="s">
        <v>85</v>
      </c>
    </row>
    <row r="953" spans="1:17" hidden="1">
      <c r="A953" t="s">
        <v>76</v>
      </c>
      <c r="B953" t="s">
        <v>77</v>
      </c>
      <c r="C953" t="s">
        <v>644</v>
      </c>
      <c r="D953" t="s">
        <v>644</v>
      </c>
      <c r="E953" t="s">
        <v>645</v>
      </c>
      <c r="F953" t="s">
        <v>646</v>
      </c>
      <c r="G953" t="s">
        <v>90</v>
      </c>
      <c r="H953" t="s">
        <v>81</v>
      </c>
      <c r="L953">
        <v>6</v>
      </c>
      <c r="M953" t="s">
        <v>83</v>
      </c>
      <c r="O953" t="s">
        <v>83</v>
      </c>
      <c r="P953" t="s">
        <v>84</v>
      </c>
      <c r="Q953" t="s">
        <v>85</v>
      </c>
    </row>
    <row r="954" spans="1:17" hidden="1">
      <c r="A954" t="s">
        <v>76</v>
      </c>
      <c r="B954" t="s">
        <v>77</v>
      </c>
      <c r="C954" t="s">
        <v>644</v>
      </c>
      <c r="D954" t="s">
        <v>644</v>
      </c>
      <c r="E954" t="s">
        <v>91</v>
      </c>
      <c r="F954" t="s">
        <v>91</v>
      </c>
      <c r="G954" t="s">
        <v>92</v>
      </c>
      <c r="H954" t="s">
        <v>81</v>
      </c>
      <c r="J954" t="s">
        <v>83</v>
      </c>
      <c r="L954">
        <v>7</v>
      </c>
      <c r="M954" t="s">
        <v>83</v>
      </c>
      <c r="O954" t="s">
        <v>83</v>
      </c>
      <c r="P954" t="s">
        <v>84</v>
      </c>
      <c r="Q954" t="s">
        <v>85</v>
      </c>
    </row>
    <row r="955" spans="1:17" hidden="1">
      <c r="A955" t="s">
        <v>76</v>
      </c>
      <c r="B955" t="s">
        <v>77</v>
      </c>
      <c r="C955" t="s">
        <v>644</v>
      </c>
      <c r="D955" t="s">
        <v>644</v>
      </c>
      <c r="E955" t="s">
        <v>647</v>
      </c>
      <c r="F955" t="s">
        <v>647</v>
      </c>
      <c r="G955" t="s">
        <v>94</v>
      </c>
      <c r="H955" t="s">
        <v>81</v>
      </c>
      <c r="L955">
        <v>8</v>
      </c>
      <c r="M955" t="s">
        <v>83</v>
      </c>
      <c r="O955" t="s">
        <v>83</v>
      </c>
      <c r="P955" t="s">
        <v>84</v>
      </c>
      <c r="Q955" t="s">
        <v>85</v>
      </c>
    </row>
    <row r="956" spans="1:17" hidden="1">
      <c r="A956" t="s">
        <v>76</v>
      </c>
      <c r="B956" t="s">
        <v>77</v>
      </c>
      <c r="C956" t="s">
        <v>644</v>
      </c>
      <c r="D956" t="s">
        <v>644</v>
      </c>
      <c r="E956" t="s">
        <v>648</v>
      </c>
      <c r="F956" t="s">
        <v>648</v>
      </c>
      <c r="G956" t="s">
        <v>88</v>
      </c>
      <c r="H956" t="s">
        <v>81</v>
      </c>
      <c r="L956">
        <v>9</v>
      </c>
      <c r="M956" t="s">
        <v>83</v>
      </c>
      <c r="O956" t="s">
        <v>83</v>
      </c>
      <c r="P956" t="s">
        <v>84</v>
      </c>
      <c r="Q956" t="s">
        <v>85</v>
      </c>
    </row>
    <row r="957" spans="1:17" hidden="1">
      <c r="A957" t="s">
        <v>76</v>
      </c>
      <c r="B957" t="s">
        <v>77</v>
      </c>
      <c r="C957" t="s">
        <v>644</v>
      </c>
      <c r="D957" t="s">
        <v>644</v>
      </c>
      <c r="E957" t="s">
        <v>649</v>
      </c>
      <c r="F957" t="s">
        <v>649</v>
      </c>
      <c r="G957" t="s">
        <v>94</v>
      </c>
      <c r="H957" t="s">
        <v>81</v>
      </c>
      <c r="L957">
        <v>10</v>
      </c>
      <c r="M957" t="s">
        <v>83</v>
      </c>
      <c r="O957" t="s">
        <v>83</v>
      </c>
      <c r="P957" t="s">
        <v>84</v>
      </c>
      <c r="Q957" t="s">
        <v>85</v>
      </c>
    </row>
    <row r="958" spans="1:17" hidden="1">
      <c r="A958" t="s">
        <v>76</v>
      </c>
      <c r="B958" t="s">
        <v>77</v>
      </c>
      <c r="C958" t="s">
        <v>644</v>
      </c>
      <c r="D958" t="s">
        <v>644</v>
      </c>
      <c r="E958" t="s">
        <v>650</v>
      </c>
      <c r="F958" t="s">
        <v>650</v>
      </c>
      <c r="G958" t="s">
        <v>98</v>
      </c>
      <c r="H958" t="s">
        <v>81</v>
      </c>
      <c r="L958">
        <v>11</v>
      </c>
      <c r="M958" t="s">
        <v>83</v>
      </c>
      <c r="O958" t="s">
        <v>83</v>
      </c>
      <c r="P958" t="s">
        <v>84</v>
      </c>
      <c r="Q958" t="s">
        <v>85</v>
      </c>
    </row>
    <row r="959" spans="1:17" hidden="1">
      <c r="A959" t="s">
        <v>76</v>
      </c>
      <c r="B959" t="s">
        <v>77</v>
      </c>
      <c r="C959" t="s">
        <v>644</v>
      </c>
      <c r="D959" t="s">
        <v>644</v>
      </c>
      <c r="E959" t="s">
        <v>651</v>
      </c>
      <c r="F959" t="s">
        <v>651</v>
      </c>
      <c r="G959" t="s">
        <v>98</v>
      </c>
      <c r="H959" t="s">
        <v>81</v>
      </c>
      <c r="L959">
        <v>12</v>
      </c>
      <c r="M959" t="s">
        <v>83</v>
      </c>
      <c r="O959" t="s">
        <v>83</v>
      </c>
      <c r="P959" t="s">
        <v>84</v>
      </c>
      <c r="Q959" t="s">
        <v>85</v>
      </c>
    </row>
    <row r="960" spans="1:17" hidden="1">
      <c r="A960" t="s">
        <v>76</v>
      </c>
      <c r="B960" t="s">
        <v>77</v>
      </c>
      <c r="C960" t="s">
        <v>644</v>
      </c>
      <c r="D960" t="s">
        <v>644</v>
      </c>
      <c r="E960" t="s">
        <v>652</v>
      </c>
      <c r="F960" t="s">
        <v>652</v>
      </c>
      <c r="G960" t="s">
        <v>98</v>
      </c>
      <c r="H960" t="s">
        <v>81</v>
      </c>
      <c r="L960">
        <v>13</v>
      </c>
      <c r="M960" t="s">
        <v>83</v>
      </c>
      <c r="O960" t="s">
        <v>83</v>
      </c>
      <c r="P960" t="s">
        <v>84</v>
      </c>
      <c r="Q960" t="s">
        <v>85</v>
      </c>
    </row>
    <row r="961" spans="1:17" hidden="1">
      <c r="A961" t="s">
        <v>76</v>
      </c>
      <c r="B961" t="s">
        <v>77</v>
      </c>
      <c r="C961" t="s">
        <v>644</v>
      </c>
      <c r="D961" t="s">
        <v>644</v>
      </c>
      <c r="E961" t="s">
        <v>653</v>
      </c>
      <c r="F961" t="s">
        <v>653</v>
      </c>
      <c r="G961" t="s">
        <v>188</v>
      </c>
      <c r="H961" t="s">
        <v>81</v>
      </c>
      <c r="L961">
        <v>14</v>
      </c>
      <c r="M961" t="s">
        <v>83</v>
      </c>
      <c r="O961" t="s">
        <v>83</v>
      </c>
      <c r="P961" t="s">
        <v>84</v>
      </c>
      <c r="Q961" t="s">
        <v>85</v>
      </c>
    </row>
    <row r="962" spans="1:17" hidden="1">
      <c r="A962" t="s">
        <v>76</v>
      </c>
      <c r="B962" t="s">
        <v>77</v>
      </c>
      <c r="C962" t="s">
        <v>644</v>
      </c>
      <c r="D962" t="s">
        <v>644</v>
      </c>
      <c r="E962" t="s">
        <v>112</v>
      </c>
      <c r="F962" t="s">
        <v>112</v>
      </c>
      <c r="G962" t="s">
        <v>113</v>
      </c>
      <c r="H962" t="s">
        <v>81</v>
      </c>
      <c r="I962" t="s">
        <v>114</v>
      </c>
      <c r="L962">
        <v>15</v>
      </c>
      <c r="M962" t="s">
        <v>83</v>
      </c>
      <c r="O962" t="s">
        <v>83</v>
      </c>
      <c r="P962" t="s">
        <v>84</v>
      </c>
      <c r="Q962" t="s">
        <v>85</v>
      </c>
    </row>
    <row r="963" spans="1:17" hidden="1">
      <c r="A963" t="s">
        <v>76</v>
      </c>
      <c r="B963" t="s">
        <v>77</v>
      </c>
      <c r="C963" t="s">
        <v>644</v>
      </c>
      <c r="D963" t="s">
        <v>644</v>
      </c>
      <c r="E963" t="s">
        <v>115</v>
      </c>
      <c r="F963" t="s">
        <v>115</v>
      </c>
      <c r="G963" t="s">
        <v>113</v>
      </c>
      <c r="H963" t="s">
        <v>81</v>
      </c>
      <c r="I963" t="s">
        <v>114</v>
      </c>
      <c r="L963">
        <v>16</v>
      </c>
      <c r="M963" t="s">
        <v>83</v>
      </c>
      <c r="O963" t="s">
        <v>83</v>
      </c>
      <c r="P963" t="s">
        <v>84</v>
      </c>
      <c r="Q963" t="s">
        <v>85</v>
      </c>
    </row>
    <row r="964" spans="1:17" hidden="1">
      <c r="A964" t="s">
        <v>76</v>
      </c>
      <c r="B964" t="s">
        <v>77</v>
      </c>
      <c r="C964" t="s">
        <v>644</v>
      </c>
      <c r="D964" t="s">
        <v>644</v>
      </c>
      <c r="E964" t="s">
        <v>117</v>
      </c>
      <c r="F964" t="s">
        <v>117</v>
      </c>
      <c r="G964" t="s">
        <v>90</v>
      </c>
      <c r="H964" t="s">
        <v>81</v>
      </c>
      <c r="L964">
        <v>23</v>
      </c>
      <c r="M964" t="s">
        <v>83</v>
      </c>
      <c r="O964" t="s">
        <v>83</v>
      </c>
      <c r="P964" t="s">
        <v>84</v>
      </c>
      <c r="Q964" t="s">
        <v>85</v>
      </c>
    </row>
    <row r="965" spans="1:17" hidden="1">
      <c r="A965" t="s">
        <v>76</v>
      </c>
      <c r="B965" t="s">
        <v>77</v>
      </c>
      <c r="C965" t="s">
        <v>644</v>
      </c>
      <c r="D965" t="s">
        <v>644</v>
      </c>
      <c r="E965" t="s">
        <v>328</v>
      </c>
      <c r="F965" t="s">
        <v>328</v>
      </c>
      <c r="G965" t="s">
        <v>90</v>
      </c>
      <c r="H965" t="s">
        <v>81</v>
      </c>
      <c r="L965">
        <v>24</v>
      </c>
      <c r="M965" t="s">
        <v>83</v>
      </c>
      <c r="O965" t="s">
        <v>83</v>
      </c>
      <c r="P965" t="s">
        <v>84</v>
      </c>
      <c r="Q965" t="s">
        <v>85</v>
      </c>
    </row>
    <row r="966" spans="1:17" hidden="1">
      <c r="A966" t="s">
        <v>76</v>
      </c>
      <c r="B966" t="s">
        <v>77</v>
      </c>
      <c r="C966" t="s">
        <v>644</v>
      </c>
      <c r="D966" t="s">
        <v>644</v>
      </c>
      <c r="E966" t="s">
        <v>118</v>
      </c>
      <c r="F966" t="s">
        <v>118</v>
      </c>
      <c r="G966" t="s">
        <v>92</v>
      </c>
      <c r="H966" t="s">
        <v>81</v>
      </c>
      <c r="L966">
        <v>25</v>
      </c>
      <c r="M966" t="s">
        <v>83</v>
      </c>
      <c r="O966" t="s">
        <v>83</v>
      </c>
      <c r="P966" t="s">
        <v>84</v>
      </c>
      <c r="Q966" t="s">
        <v>85</v>
      </c>
    </row>
    <row r="967" spans="1:17" hidden="1">
      <c r="A967" t="s">
        <v>76</v>
      </c>
      <c r="B967" t="s">
        <v>77</v>
      </c>
      <c r="C967" t="s">
        <v>654</v>
      </c>
      <c r="D967" t="s">
        <v>654</v>
      </c>
      <c r="E967" t="s">
        <v>79</v>
      </c>
      <c r="F967" t="s">
        <v>79</v>
      </c>
      <c r="G967" t="s">
        <v>80</v>
      </c>
      <c r="H967" t="s">
        <v>81</v>
      </c>
      <c r="I967" t="s">
        <v>82</v>
      </c>
      <c r="L967">
        <v>1</v>
      </c>
      <c r="M967" t="s">
        <v>83</v>
      </c>
      <c r="O967" t="s">
        <v>83</v>
      </c>
      <c r="P967" t="s">
        <v>84</v>
      </c>
      <c r="Q967" t="s">
        <v>85</v>
      </c>
    </row>
    <row r="968" spans="1:17" hidden="1">
      <c r="A968" t="s">
        <v>76</v>
      </c>
      <c r="B968" t="s">
        <v>77</v>
      </c>
      <c r="C968" t="s">
        <v>654</v>
      </c>
      <c r="D968" t="s">
        <v>654</v>
      </c>
      <c r="E968" t="s">
        <v>86</v>
      </c>
      <c r="F968" t="s">
        <v>86</v>
      </c>
      <c r="G968" t="s">
        <v>80</v>
      </c>
      <c r="H968" t="s">
        <v>81</v>
      </c>
      <c r="I968" t="s">
        <v>82</v>
      </c>
      <c r="L968">
        <v>2</v>
      </c>
      <c r="M968" t="s">
        <v>83</v>
      </c>
      <c r="O968" t="s">
        <v>83</v>
      </c>
      <c r="P968" t="s">
        <v>84</v>
      </c>
      <c r="Q968" t="s">
        <v>85</v>
      </c>
    </row>
    <row r="969" spans="1:17" hidden="1">
      <c r="A969" t="s">
        <v>76</v>
      </c>
      <c r="B969" t="s">
        <v>77</v>
      </c>
      <c r="C969" t="s">
        <v>654</v>
      </c>
      <c r="D969" t="s">
        <v>654</v>
      </c>
      <c r="E969" t="s">
        <v>87</v>
      </c>
      <c r="F969" t="s">
        <v>87</v>
      </c>
      <c r="G969" t="s">
        <v>88</v>
      </c>
      <c r="H969" t="s">
        <v>81</v>
      </c>
      <c r="J969" t="s">
        <v>83</v>
      </c>
      <c r="L969">
        <v>3</v>
      </c>
      <c r="M969" t="s">
        <v>83</v>
      </c>
      <c r="O969" t="s">
        <v>83</v>
      </c>
      <c r="P969" t="s">
        <v>84</v>
      </c>
      <c r="Q969" t="s">
        <v>85</v>
      </c>
    </row>
    <row r="970" spans="1:17" hidden="1">
      <c r="A970" t="s">
        <v>76</v>
      </c>
      <c r="B970" t="s">
        <v>77</v>
      </c>
      <c r="C970" t="s">
        <v>654</v>
      </c>
      <c r="D970" t="s">
        <v>654</v>
      </c>
      <c r="E970" t="s">
        <v>89</v>
      </c>
      <c r="F970" t="s">
        <v>89</v>
      </c>
      <c r="G970" t="s">
        <v>90</v>
      </c>
      <c r="H970" t="s">
        <v>81</v>
      </c>
      <c r="J970" t="s">
        <v>83</v>
      </c>
      <c r="K970" t="s">
        <v>83</v>
      </c>
      <c r="L970">
        <v>4</v>
      </c>
      <c r="M970" t="s">
        <v>83</v>
      </c>
      <c r="O970" t="s">
        <v>83</v>
      </c>
      <c r="P970" t="s">
        <v>84</v>
      </c>
      <c r="Q970" t="s">
        <v>85</v>
      </c>
    </row>
    <row r="971" spans="1:17" hidden="1">
      <c r="A971" t="s">
        <v>76</v>
      </c>
      <c r="B971" t="s">
        <v>77</v>
      </c>
      <c r="C971" t="s">
        <v>654</v>
      </c>
      <c r="D971" t="s">
        <v>654</v>
      </c>
      <c r="E971" t="s">
        <v>655</v>
      </c>
      <c r="F971" t="s">
        <v>655</v>
      </c>
      <c r="G971" t="s">
        <v>90</v>
      </c>
      <c r="H971" t="s">
        <v>81</v>
      </c>
      <c r="I971" t="s">
        <v>82</v>
      </c>
      <c r="L971">
        <v>5</v>
      </c>
      <c r="M971" t="s">
        <v>83</v>
      </c>
      <c r="O971" t="s">
        <v>83</v>
      </c>
      <c r="P971" t="s">
        <v>100</v>
      </c>
      <c r="Q971" t="s">
        <v>85</v>
      </c>
    </row>
    <row r="972" spans="1:17" hidden="1">
      <c r="A972" t="s">
        <v>76</v>
      </c>
      <c r="B972" t="s">
        <v>77</v>
      </c>
      <c r="C972" t="s">
        <v>654</v>
      </c>
      <c r="D972" t="s">
        <v>654</v>
      </c>
      <c r="E972" t="s">
        <v>655</v>
      </c>
      <c r="F972" t="s">
        <v>656</v>
      </c>
      <c r="G972" t="s">
        <v>90</v>
      </c>
      <c r="H972" t="s">
        <v>81</v>
      </c>
      <c r="L972">
        <v>6</v>
      </c>
      <c r="M972" t="s">
        <v>83</v>
      </c>
      <c r="O972" t="s">
        <v>83</v>
      </c>
      <c r="P972" t="s">
        <v>84</v>
      </c>
      <c r="Q972" t="s">
        <v>85</v>
      </c>
    </row>
    <row r="973" spans="1:17" hidden="1">
      <c r="A973" t="s">
        <v>76</v>
      </c>
      <c r="B973" t="s">
        <v>77</v>
      </c>
      <c r="C973" t="s">
        <v>654</v>
      </c>
      <c r="D973" t="s">
        <v>654</v>
      </c>
      <c r="E973" t="s">
        <v>91</v>
      </c>
      <c r="F973" t="s">
        <v>91</v>
      </c>
      <c r="G973" t="s">
        <v>92</v>
      </c>
      <c r="H973" t="s">
        <v>81</v>
      </c>
      <c r="J973" t="s">
        <v>83</v>
      </c>
      <c r="L973">
        <v>7</v>
      </c>
      <c r="M973" t="s">
        <v>83</v>
      </c>
      <c r="O973" t="s">
        <v>83</v>
      </c>
      <c r="P973" t="s">
        <v>84</v>
      </c>
      <c r="Q973" t="s">
        <v>85</v>
      </c>
    </row>
    <row r="974" spans="1:17" hidden="1">
      <c r="A974" t="s">
        <v>76</v>
      </c>
      <c r="B974" t="s">
        <v>77</v>
      </c>
      <c r="C974" t="s">
        <v>654</v>
      </c>
      <c r="D974" t="s">
        <v>654</v>
      </c>
      <c r="E974" t="s">
        <v>657</v>
      </c>
      <c r="F974" t="s">
        <v>657</v>
      </c>
      <c r="G974" t="s">
        <v>94</v>
      </c>
      <c r="H974" t="s">
        <v>81</v>
      </c>
      <c r="L974">
        <v>8</v>
      </c>
      <c r="M974" t="s">
        <v>83</v>
      </c>
      <c r="O974" t="s">
        <v>83</v>
      </c>
      <c r="P974" t="s">
        <v>84</v>
      </c>
      <c r="Q974" t="s">
        <v>85</v>
      </c>
    </row>
    <row r="975" spans="1:17" hidden="1">
      <c r="A975" t="s">
        <v>76</v>
      </c>
      <c r="B975" t="s">
        <v>77</v>
      </c>
      <c r="C975" t="s">
        <v>654</v>
      </c>
      <c r="D975" t="s">
        <v>654</v>
      </c>
      <c r="E975" t="s">
        <v>658</v>
      </c>
      <c r="F975" t="s">
        <v>658</v>
      </c>
      <c r="G975" t="s">
        <v>88</v>
      </c>
      <c r="H975" t="s">
        <v>81</v>
      </c>
      <c r="L975">
        <v>9</v>
      </c>
      <c r="M975" t="s">
        <v>83</v>
      </c>
      <c r="O975" t="s">
        <v>83</v>
      </c>
      <c r="P975" t="s">
        <v>84</v>
      </c>
      <c r="Q975" t="s">
        <v>85</v>
      </c>
    </row>
    <row r="976" spans="1:17" hidden="1">
      <c r="A976" t="s">
        <v>76</v>
      </c>
      <c r="B976" t="s">
        <v>77</v>
      </c>
      <c r="C976" t="s">
        <v>654</v>
      </c>
      <c r="D976" t="s">
        <v>654</v>
      </c>
      <c r="E976" t="s">
        <v>659</v>
      </c>
      <c r="F976" t="s">
        <v>659</v>
      </c>
      <c r="G976" t="s">
        <v>94</v>
      </c>
      <c r="H976" t="s">
        <v>81</v>
      </c>
      <c r="L976">
        <v>10</v>
      </c>
      <c r="M976" t="s">
        <v>83</v>
      </c>
      <c r="O976" t="s">
        <v>83</v>
      </c>
      <c r="P976" t="s">
        <v>84</v>
      </c>
      <c r="Q976" t="s">
        <v>85</v>
      </c>
    </row>
    <row r="977" spans="1:17" hidden="1">
      <c r="A977" t="s">
        <v>76</v>
      </c>
      <c r="B977" t="s">
        <v>77</v>
      </c>
      <c r="C977" t="s">
        <v>654</v>
      </c>
      <c r="D977" t="s">
        <v>654</v>
      </c>
      <c r="E977" t="s">
        <v>660</v>
      </c>
      <c r="F977" t="s">
        <v>660</v>
      </c>
      <c r="G977" t="s">
        <v>98</v>
      </c>
      <c r="H977" t="s">
        <v>81</v>
      </c>
      <c r="L977">
        <v>11</v>
      </c>
      <c r="M977" t="s">
        <v>83</v>
      </c>
      <c r="O977" t="s">
        <v>83</v>
      </c>
      <c r="P977" t="s">
        <v>84</v>
      </c>
      <c r="Q977" t="s">
        <v>85</v>
      </c>
    </row>
    <row r="978" spans="1:17" hidden="1">
      <c r="A978" t="s">
        <v>76</v>
      </c>
      <c r="B978" t="s">
        <v>77</v>
      </c>
      <c r="C978" t="s">
        <v>654</v>
      </c>
      <c r="D978" t="s">
        <v>654</v>
      </c>
      <c r="E978" t="s">
        <v>661</v>
      </c>
      <c r="F978" t="s">
        <v>661</v>
      </c>
      <c r="G978" t="s">
        <v>98</v>
      </c>
      <c r="H978" t="s">
        <v>81</v>
      </c>
      <c r="L978">
        <v>12</v>
      </c>
      <c r="M978" t="s">
        <v>83</v>
      </c>
      <c r="O978" t="s">
        <v>83</v>
      </c>
      <c r="P978" t="s">
        <v>84</v>
      </c>
      <c r="Q978" t="s">
        <v>85</v>
      </c>
    </row>
    <row r="979" spans="1:17" hidden="1">
      <c r="A979" t="s">
        <v>76</v>
      </c>
      <c r="B979" t="s">
        <v>77</v>
      </c>
      <c r="C979" t="s">
        <v>654</v>
      </c>
      <c r="D979" t="s">
        <v>654</v>
      </c>
      <c r="E979" t="s">
        <v>662</v>
      </c>
      <c r="F979" t="s">
        <v>662</v>
      </c>
      <c r="G979" t="s">
        <v>98</v>
      </c>
      <c r="H979" t="s">
        <v>81</v>
      </c>
      <c r="L979">
        <v>13</v>
      </c>
      <c r="M979" t="s">
        <v>83</v>
      </c>
      <c r="O979" t="s">
        <v>83</v>
      </c>
      <c r="P979" t="s">
        <v>84</v>
      </c>
      <c r="Q979" t="s">
        <v>85</v>
      </c>
    </row>
    <row r="980" spans="1:17" hidden="1">
      <c r="A980" t="s">
        <v>76</v>
      </c>
      <c r="B980" t="s">
        <v>77</v>
      </c>
      <c r="C980" t="s">
        <v>654</v>
      </c>
      <c r="D980" t="s">
        <v>654</v>
      </c>
      <c r="E980" t="s">
        <v>663</v>
      </c>
      <c r="F980" t="s">
        <v>663</v>
      </c>
      <c r="G980" t="s">
        <v>188</v>
      </c>
      <c r="H980" t="s">
        <v>81</v>
      </c>
      <c r="L980">
        <v>14</v>
      </c>
      <c r="M980" t="s">
        <v>83</v>
      </c>
      <c r="O980" t="s">
        <v>83</v>
      </c>
      <c r="P980" t="s">
        <v>84</v>
      </c>
      <c r="Q980" t="s">
        <v>85</v>
      </c>
    </row>
    <row r="981" spans="1:17" hidden="1">
      <c r="A981" t="s">
        <v>76</v>
      </c>
      <c r="B981" t="s">
        <v>77</v>
      </c>
      <c r="C981" t="s">
        <v>654</v>
      </c>
      <c r="D981" t="s">
        <v>654</v>
      </c>
      <c r="E981" t="s">
        <v>112</v>
      </c>
      <c r="F981" t="s">
        <v>112</v>
      </c>
      <c r="G981" t="s">
        <v>113</v>
      </c>
      <c r="H981" t="s">
        <v>81</v>
      </c>
      <c r="I981" t="s">
        <v>114</v>
      </c>
      <c r="L981">
        <v>15</v>
      </c>
      <c r="M981" t="s">
        <v>83</v>
      </c>
      <c r="O981" t="s">
        <v>83</v>
      </c>
      <c r="P981" t="s">
        <v>84</v>
      </c>
      <c r="Q981" t="s">
        <v>85</v>
      </c>
    </row>
    <row r="982" spans="1:17" hidden="1">
      <c r="A982" t="s">
        <v>76</v>
      </c>
      <c r="B982" t="s">
        <v>77</v>
      </c>
      <c r="C982" t="s">
        <v>654</v>
      </c>
      <c r="D982" t="s">
        <v>654</v>
      </c>
      <c r="E982" t="s">
        <v>115</v>
      </c>
      <c r="F982" t="s">
        <v>115</v>
      </c>
      <c r="G982" t="s">
        <v>113</v>
      </c>
      <c r="H982" t="s">
        <v>81</v>
      </c>
      <c r="I982" t="s">
        <v>114</v>
      </c>
      <c r="L982">
        <v>16</v>
      </c>
      <c r="M982" t="s">
        <v>83</v>
      </c>
      <c r="O982" t="s">
        <v>83</v>
      </c>
      <c r="P982" t="s">
        <v>84</v>
      </c>
      <c r="Q982" t="s">
        <v>85</v>
      </c>
    </row>
    <row r="983" spans="1:17" hidden="1">
      <c r="A983" t="s">
        <v>76</v>
      </c>
      <c r="B983" t="s">
        <v>77</v>
      </c>
      <c r="C983" t="s">
        <v>654</v>
      </c>
      <c r="D983" t="s">
        <v>654</v>
      </c>
      <c r="E983" t="s">
        <v>327</v>
      </c>
      <c r="F983" t="s">
        <v>327</v>
      </c>
      <c r="G983" t="s">
        <v>90</v>
      </c>
      <c r="H983" t="s">
        <v>81</v>
      </c>
      <c r="L983">
        <v>17</v>
      </c>
      <c r="M983" t="s">
        <v>83</v>
      </c>
      <c r="O983" t="s">
        <v>83</v>
      </c>
      <c r="P983" t="s">
        <v>84</v>
      </c>
      <c r="Q983" t="s">
        <v>85</v>
      </c>
    </row>
    <row r="984" spans="1:17" hidden="1">
      <c r="A984" t="s">
        <v>76</v>
      </c>
      <c r="B984" t="s">
        <v>77</v>
      </c>
      <c r="C984" t="s">
        <v>654</v>
      </c>
      <c r="D984" t="s">
        <v>654</v>
      </c>
      <c r="E984" t="s">
        <v>117</v>
      </c>
      <c r="F984" t="s">
        <v>117</v>
      </c>
      <c r="G984" t="s">
        <v>90</v>
      </c>
      <c r="H984" t="s">
        <v>81</v>
      </c>
      <c r="L984">
        <v>24</v>
      </c>
      <c r="M984" t="s">
        <v>83</v>
      </c>
      <c r="O984" t="s">
        <v>83</v>
      </c>
      <c r="P984" t="s">
        <v>84</v>
      </c>
      <c r="Q984" t="s">
        <v>85</v>
      </c>
    </row>
    <row r="985" spans="1:17" hidden="1">
      <c r="A985" t="s">
        <v>76</v>
      </c>
      <c r="B985" t="s">
        <v>77</v>
      </c>
      <c r="C985" t="s">
        <v>654</v>
      </c>
      <c r="D985" t="s">
        <v>654</v>
      </c>
      <c r="E985" t="s">
        <v>328</v>
      </c>
      <c r="F985" t="s">
        <v>328</v>
      </c>
      <c r="G985" t="s">
        <v>90</v>
      </c>
      <c r="H985" t="s">
        <v>81</v>
      </c>
      <c r="L985">
        <v>25</v>
      </c>
      <c r="M985" t="s">
        <v>83</v>
      </c>
      <c r="O985" t="s">
        <v>83</v>
      </c>
      <c r="P985" t="s">
        <v>84</v>
      </c>
      <c r="Q985" t="s">
        <v>85</v>
      </c>
    </row>
    <row r="986" spans="1:17" hidden="1">
      <c r="A986" t="s">
        <v>76</v>
      </c>
      <c r="B986" t="s">
        <v>77</v>
      </c>
      <c r="C986" t="s">
        <v>654</v>
      </c>
      <c r="D986" t="s">
        <v>654</v>
      </c>
      <c r="E986" t="s">
        <v>118</v>
      </c>
      <c r="F986" t="s">
        <v>118</v>
      </c>
      <c r="G986" t="s">
        <v>92</v>
      </c>
      <c r="H986" t="s">
        <v>81</v>
      </c>
      <c r="L986">
        <v>26</v>
      </c>
      <c r="M986" t="s">
        <v>83</v>
      </c>
      <c r="O986" t="s">
        <v>83</v>
      </c>
      <c r="P986" t="s">
        <v>84</v>
      </c>
      <c r="Q986" t="s">
        <v>85</v>
      </c>
    </row>
    <row r="987" spans="1:17" hidden="1">
      <c r="A987" t="s">
        <v>76</v>
      </c>
      <c r="B987" t="s">
        <v>77</v>
      </c>
      <c r="C987" t="s">
        <v>664</v>
      </c>
      <c r="D987" t="s">
        <v>664</v>
      </c>
      <c r="E987" t="s">
        <v>79</v>
      </c>
      <c r="F987" t="s">
        <v>79</v>
      </c>
      <c r="G987" t="s">
        <v>80</v>
      </c>
      <c r="H987" t="s">
        <v>81</v>
      </c>
      <c r="I987" t="s">
        <v>82</v>
      </c>
      <c r="L987">
        <v>1</v>
      </c>
      <c r="M987" t="s">
        <v>83</v>
      </c>
      <c r="O987" t="s">
        <v>83</v>
      </c>
      <c r="P987" t="s">
        <v>84</v>
      </c>
      <c r="Q987" t="s">
        <v>85</v>
      </c>
    </row>
    <row r="988" spans="1:17" hidden="1">
      <c r="A988" t="s">
        <v>76</v>
      </c>
      <c r="B988" t="s">
        <v>77</v>
      </c>
      <c r="C988" t="s">
        <v>664</v>
      </c>
      <c r="D988" t="s">
        <v>664</v>
      </c>
      <c r="E988" t="s">
        <v>86</v>
      </c>
      <c r="F988" t="s">
        <v>86</v>
      </c>
      <c r="G988" t="s">
        <v>80</v>
      </c>
      <c r="H988" t="s">
        <v>81</v>
      </c>
      <c r="I988" t="s">
        <v>82</v>
      </c>
      <c r="L988">
        <v>2</v>
      </c>
      <c r="M988" t="s">
        <v>83</v>
      </c>
      <c r="O988" t="s">
        <v>83</v>
      </c>
      <c r="P988" t="s">
        <v>84</v>
      </c>
      <c r="Q988" t="s">
        <v>85</v>
      </c>
    </row>
    <row r="989" spans="1:17" hidden="1">
      <c r="A989" t="s">
        <v>76</v>
      </c>
      <c r="B989" t="s">
        <v>77</v>
      </c>
      <c r="C989" t="s">
        <v>664</v>
      </c>
      <c r="D989" t="s">
        <v>664</v>
      </c>
      <c r="E989" t="s">
        <v>87</v>
      </c>
      <c r="F989" t="s">
        <v>87</v>
      </c>
      <c r="G989" t="s">
        <v>88</v>
      </c>
      <c r="H989" t="s">
        <v>81</v>
      </c>
      <c r="J989" t="s">
        <v>83</v>
      </c>
      <c r="L989">
        <v>3</v>
      </c>
      <c r="M989" t="s">
        <v>83</v>
      </c>
      <c r="O989" t="s">
        <v>83</v>
      </c>
      <c r="P989" t="s">
        <v>84</v>
      </c>
      <c r="Q989" t="s">
        <v>85</v>
      </c>
    </row>
    <row r="990" spans="1:17" hidden="1">
      <c r="A990" t="s">
        <v>76</v>
      </c>
      <c r="B990" t="s">
        <v>77</v>
      </c>
      <c r="C990" t="s">
        <v>664</v>
      </c>
      <c r="D990" t="s">
        <v>664</v>
      </c>
      <c r="E990" t="s">
        <v>89</v>
      </c>
      <c r="F990" t="s">
        <v>89</v>
      </c>
      <c r="G990" t="s">
        <v>90</v>
      </c>
      <c r="H990" t="s">
        <v>81</v>
      </c>
      <c r="J990" t="s">
        <v>83</v>
      </c>
      <c r="K990" t="s">
        <v>83</v>
      </c>
      <c r="L990">
        <v>4</v>
      </c>
      <c r="M990" t="s">
        <v>83</v>
      </c>
      <c r="O990" t="s">
        <v>83</v>
      </c>
      <c r="P990" t="s">
        <v>84</v>
      </c>
      <c r="Q990" t="s">
        <v>85</v>
      </c>
    </row>
    <row r="991" spans="1:17" hidden="1">
      <c r="A991" t="s">
        <v>76</v>
      </c>
      <c r="B991" t="s">
        <v>77</v>
      </c>
      <c r="C991" t="s">
        <v>664</v>
      </c>
      <c r="D991" t="s">
        <v>664</v>
      </c>
      <c r="E991" t="s">
        <v>665</v>
      </c>
      <c r="F991" t="s">
        <v>665</v>
      </c>
      <c r="G991" t="s">
        <v>90</v>
      </c>
      <c r="H991" t="s">
        <v>81</v>
      </c>
      <c r="I991" t="s">
        <v>82</v>
      </c>
      <c r="L991">
        <v>5</v>
      </c>
      <c r="M991" t="s">
        <v>83</v>
      </c>
      <c r="O991" t="s">
        <v>83</v>
      </c>
      <c r="P991" t="s">
        <v>100</v>
      </c>
      <c r="Q991" t="s">
        <v>85</v>
      </c>
    </row>
    <row r="992" spans="1:17" hidden="1">
      <c r="A992" t="s">
        <v>76</v>
      </c>
      <c r="B992" t="s">
        <v>77</v>
      </c>
      <c r="C992" t="s">
        <v>664</v>
      </c>
      <c r="D992" t="s">
        <v>664</v>
      </c>
      <c r="E992" t="s">
        <v>665</v>
      </c>
      <c r="F992" t="s">
        <v>666</v>
      </c>
      <c r="G992" t="s">
        <v>90</v>
      </c>
      <c r="H992" t="s">
        <v>81</v>
      </c>
      <c r="L992">
        <v>6</v>
      </c>
      <c r="M992" t="s">
        <v>83</v>
      </c>
      <c r="O992" t="s">
        <v>83</v>
      </c>
      <c r="P992" t="s">
        <v>84</v>
      </c>
      <c r="Q992" t="s">
        <v>85</v>
      </c>
    </row>
    <row r="993" spans="1:17" hidden="1">
      <c r="A993" t="s">
        <v>76</v>
      </c>
      <c r="B993" t="s">
        <v>77</v>
      </c>
      <c r="C993" t="s">
        <v>664</v>
      </c>
      <c r="D993" t="s">
        <v>664</v>
      </c>
      <c r="E993" t="s">
        <v>91</v>
      </c>
      <c r="F993" t="s">
        <v>91</v>
      </c>
      <c r="G993" t="s">
        <v>92</v>
      </c>
      <c r="H993" t="s">
        <v>81</v>
      </c>
      <c r="J993" t="s">
        <v>83</v>
      </c>
      <c r="L993">
        <v>7</v>
      </c>
      <c r="M993" t="s">
        <v>83</v>
      </c>
      <c r="O993" t="s">
        <v>83</v>
      </c>
      <c r="P993" t="s">
        <v>84</v>
      </c>
      <c r="Q993" t="s">
        <v>85</v>
      </c>
    </row>
    <row r="994" spans="1:17" hidden="1">
      <c r="A994" t="s">
        <v>76</v>
      </c>
      <c r="B994" t="s">
        <v>77</v>
      </c>
      <c r="C994" t="s">
        <v>664</v>
      </c>
      <c r="D994" t="s">
        <v>664</v>
      </c>
      <c r="E994" t="s">
        <v>667</v>
      </c>
      <c r="F994" t="s">
        <v>667</v>
      </c>
      <c r="G994" t="s">
        <v>94</v>
      </c>
      <c r="H994" t="s">
        <v>81</v>
      </c>
      <c r="L994">
        <v>8</v>
      </c>
      <c r="M994" t="s">
        <v>83</v>
      </c>
      <c r="O994" t="s">
        <v>83</v>
      </c>
      <c r="P994" t="s">
        <v>84</v>
      </c>
      <c r="Q994" t="s">
        <v>85</v>
      </c>
    </row>
    <row r="995" spans="1:17" hidden="1">
      <c r="A995" t="s">
        <v>76</v>
      </c>
      <c r="B995" t="s">
        <v>77</v>
      </c>
      <c r="C995" t="s">
        <v>664</v>
      </c>
      <c r="D995" t="s">
        <v>664</v>
      </c>
      <c r="E995" t="s">
        <v>668</v>
      </c>
      <c r="F995" t="s">
        <v>668</v>
      </c>
      <c r="G995" t="s">
        <v>88</v>
      </c>
      <c r="H995" t="s">
        <v>81</v>
      </c>
      <c r="L995">
        <v>9</v>
      </c>
      <c r="M995" t="s">
        <v>83</v>
      </c>
      <c r="O995" t="s">
        <v>83</v>
      </c>
      <c r="P995" t="s">
        <v>84</v>
      </c>
      <c r="Q995" t="s">
        <v>85</v>
      </c>
    </row>
    <row r="996" spans="1:17" hidden="1">
      <c r="A996" t="s">
        <v>76</v>
      </c>
      <c r="B996" t="s">
        <v>77</v>
      </c>
      <c r="C996" t="s">
        <v>664</v>
      </c>
      <c r="D996" t="s">
        <v>664</v>
      </c>
      <c r="E996" t="s">
        <v>669</v>
      </c>
      <c r="F996" t="s">
        <v>669</v>
      </c>
      <c r="G996" t="s">
        <v>94</v>
      </c>
      <c r="H996" t="s">
        <v>81</v>
      </c>
      <c r="L996">
        <v>10</v>
      </c>
      <c r="M996" t="s">
        <v>83</v>
      </c>
      <c r="O996" t="s">
        <v>83</v>
      </c>
      <c r="P996" t="s">
        <v>84</v>
      </c>
      <c r="Q996" t="s">
        <v>85</v>
      </c>
    </row>
    <row r="997" spans="1:17" hidden="1">
      <c r="A997" t="s">
        <v>76</v>
      </c>
      <c r="B997" t="s">
        <v>77</v>
      </c>
      <c r="C997" t="s">
        <v>664</v>
      </c>
      <c r="D997" t="s">
        <v>664</v>
      </c>
      <c r="E997" t="s">
        <v>670</v>
      </c>
      <c r="F997" t="s">
        <v>670</v>
      </c>
      <c r="G997" t="s">
        <v>98</v>
      </c>
      <c r="H997" t="s">
        <v>81</v>
      </c>
      <c r="L997">
        <v>11</v>
      </c>
      <c r="M997" t="s">
        <v>83</v>
      </c>
      <c r="O997" t="s">
        <v>83</v>
      </c>
      <c r="P997" t="s">
        <v>84</v>
      </c>
      <c r="Q997" t="s">
        <v>85</v>
      </c>
    </row>
    <row r="998" spans="1:17" hidden="1">
      <c r="A998" t="s">
        <v>76</v>
      </c>
      <c r="B998" t="s">
        <v>77</v>
      </c>
      <c r="C998" t="s">
        <v>664</v>
      </c>
      <c r="D998" t="s">
        <v>664</v>
      </c>
      <c r="E998" t="s">
        <v>671</v>
      </c>
      <c r="F998" t="s">
        <v>671</v>
      </c>
      <c r="G998" t="s">
        <v>98</v>
      </c>
      <c r="H998" t="s">
        <v>81</v>
      </c>
      <c r="L998">
        <v>12</v>
      </c>
      <c r="M998" t="s">
        <v>83</v>
      </c>
      <c r="O998" t="s">
        <v>83</v>
      </c>
      <c r="P998" t="s">
        <v>84</v>
      </c>
      <c r="Q998" t="s">
        <v>85</v>
      </c>
    </row>
    <row r="999" spans="1:17" hidden="1">
      <c r="A999" t="s">
        <v>76</v>
      </c>
      <c r="B999" t="s">
        <v>77</v>
      </c>
      <c r="C999" t="s">
        <v>664</v>
      </c>
      <c r="D999" t="s">
        <v>664</v>
      </c>
      <c r="E999" t="s">
        <v>672</v>
      </c>
      <c r="F999" t="s">
        <v>672</v>
      </c>
      <c r="G999" t="s">
        <v>98</v>
      </c>
      <c r="H999" t="s">
        <v>81</v>
      </c>
      <c r="L999">
        <v>13</v>
      </c>
      <c r="M999" t="s">
        <v>83</v>
      </c>
      <c r="O999" t="s">
        <v>83</v>
      </c>
      <c r="P999" t="s">
        <v>84</v>
      </c>
      <c r="Q999" t="s">
        <v>85</v>
      </c>
    </row>
    <row r="1000" spans="1:17" hidden="1">
      <c r="A1000" t="s">
        <v>76</v>
      </c>
      <c r="B1000" t="s">
        <v>77</v>
      </c>
      <c r="C1000" t="s">
        <v>664</v>
      </c>
      <c r="D1000" t="s">
        <v>664</v>
      </c>
      <c r="E1000" t="s">
        <v>673</v>
      </c>
      <c r="F1000" t="s">
        <v>673</v>
      </c>
      <c r="G1000" t="s">
        <v>188</v>
      </c>
      <c r="H1000" t="s">
        <v>81</v>
      </c>
      <c r="L1000">
        <v>14</v>
      </c>
      <c r="M1000" t="s">
        <v>83</v>
      </c>
      <c r="O1000" t="s">
        <v>83</v>
      </c>
      <c r="P1000" t="s">
        <v>84</v>
      </c>
      <c r="Q1000" t="s">
        <v>85</v>
      </c>
    </row>
    <row r="1001" spans="1:17" hidden="1">
      <c r="A1001" t="s">
        <v>76</v>
      </c>
      <c r="B1001" t="s">
        <v>77</v>
      </c>
      <c r="C1001" t="s">
        <v>664</v>
      </c>
      <c r="D1001" t="s">
        <v>664</v>
      </c>
      <c r="E1001" t="s">
        <v>112</v>
      </c>
      <c r="F1001" t="s">
        <v>112</v>
      </c>
      <c r="G1001" t="s">
        <v>113</v>
      </c>
      <c r="H1001" t="s">
        <v>81</v>
      </c>
      <c r="I1001" t="s">
        <v>114</v>
      </c>
      <c r="L1001">
        <v>15</v>
      </c>
      <c r="M1001" t="s">
        <v>83</v>
      </c>
      <c r="O1001" t="s">
        <v>83</v>
      </c>
      <c r="P1001" t="s">
        <v>84</v>
      </c>
      <c r="Q1001" t="s">
        <v>85</v>
      </c>
    </row>
    <row r="1002" spans="1:17" hidden="1">
      <c r="A1002" t="s">
        <v>76</v>
      </c>
      <c r="B1002" t="s">
        <v>77</v>
      </c>
      <c r="C1002" t="s">
        <v>664</v>
      </c>
      <c r="D1002" t="s">
        <v>664</v>
      </c>
      <c r="E1002" t="s">
        <v>115</v>
      </c>
      <c r="F1002" t="s">
        <v>115</v>
      </c>
      <c r="G1002" t="s">
        <v>113</v>
      </c>
      <c r="H1002" t="s">
        <v>81</v>
      </c>
      <c r="I1002" t="s">
        <v>114</v>
      </c>
      <c r="L1002">
        <v>16</v>
      </c>
      <c r="M1002" t="s">
        <v>83</v>
      </c>
      <c r="O1002" t="s">
        <v>83</v>
      </c>
      <c r="P1002" t="s">
        <v>84</v>
      </c>
      <c r="Q1002" t="s">
        <v>85</v>
      </c>
    </row>
    <row r="1003" spans="1:17" hidden="1">
      <c r="A1003" t="s">
        <v>76</v>
      </c>
      <c r="B1003" t="s">
        <v>77</v>
      </c>
      <c r="C1003" t="s">
        <v>664</v>
      </c>
      <c r="D1003" t="s">
        <v>664</v>
      </c>
      <c r="E1003" t="s">
        <v>327</v>
      </c>
      <c r="F1003" t="s">
        <v>327</v>
      </c>
      <c r="G1003" t="s">
        <v>90</v>
      </c>
      <c r="H1003" t="s">
        <v>81</v>
      </c>
      <c r="L1003">
        <v>17</v>
      </c>
      <c r="M1003" t="s">
        <v>83</v>
      </c>
      <c r="O1003" t="s">
        <v>83</v>
      </c>
      <c r="P1003" t="s">
        <v>84</v>
      </c>
      <c r="Q1003" t="s">
        <v>85</v>
      </c>
    </row>
    <row r="1004" spans="1:17" hidden="1">
      <c r="A1004" t="s">
        <v>76</v>
      </c>
      <c r="B1004" t="s">
        <v>77</v>
      </c>
      <c r="C1004" t="s">
        <v>664</v>
      </c>
      <c r="D1004" t="s">
        <v>664</v>
      </c>
      <c r="E1004" t="s">
        <v>117</v>
      </c>
      <c r="F1004" t="s">
        <v>117</v>
      </c>
      <c r="G1004" t="s">
        <v>90</v>
      </c>
      <c r="H1004" t="s">
        <v>81</v>
      </c>
      <c r="L1004">
        <v>24</v>
      </c>
      <c r="M1004" t="s">
        <v>83</v>
      </c>
      <c r="O1004" t="s">
        <v>83</v>
      </c>
      <c r="P1004" t="s">
        <v>84</v>
      </c>
      <c r="Q1004" t="s">
        <v>85</v>
      </c>
    </row>
    <row r="1005" spans="1:17" hidden="1">
      <c r="A1005" t="s">
        <v>76</v>
      </c>
      <c r="B1005" t="s">
        <v>77</v>
      </c>
      <c r="C1005" t="s">
        <v>664</v>
      </c>
      <c r="D1005" t="s">
        <v>664</v>
      </c>
      <c r="E1005" t="s">
        <v>328</v>
      </c>
      <c r="F1005" t="s">
        <v>328</v>
      </c>
      <c r="G1005" t="s">
        <v>90</v>
      </c>
      <c r="H1005" t="s">
        <v>81</v>
      </c>
      <c r="L1005">
        <v>25</v>
      </c>
      <c r="M1005" t="s">
        <v>83</v>
      </c>
      <c r="O1005" t="s">
        <v>83</v>
      </c>
      <c r="P1005" t="s">
        <v>84</v>
      </c>
      <c r="Q1005" t="s">
        <v>85</v>
      </c>
    </row>
    <row r="1006" spans="1:17" hidden="1">
      <c r="A1006" t="s">
        <v>76</v>
      </c>
      <c r="B1006" t="s">
        <v>77</v>
      </c>
      <c r="C1006" t="s">
        <v>664</v>
      </c>
      <c r="D1006" t="s">
        <v>664</v>
      </c>
      <c r="E1006" t="s">
        <v>118</v>
      </c>
      <c r="F1006" t="s">
        <v>118</v>
      </c>
      <c r="G1006" t="s">
        <v>92</v>
      </c>
      <c r="H1006" t="s">
        <v>81</v>
      </c>
      <c r="L1006">
        <v>26</v>
      </c>
      <c r="M1006" t="s">
        <v>83</v>
      </c>
      <c r="O1006" t="s">
        <v>83</v>
      </c>
      <c r="P1006" t="s">
        <v>84</v>
      </c>
      <c r="Q1006" t="s">
        <v>85</v>
      </c>
    </row>
    <row r="1007" spans="1:17" hidden="1">
      <c r="A1007" t="s">
        <v>76</v>
      </c>
      <c r="B1007" t="s">
        <v>77</v>
      </c>
      <c r="C1007" t="s">
        <v>674</v>
      </c>
      <c r="D1007" t="s">
        <v>674</v>
      </c>
      <c r="E1007" t="s">
        <v>79</v>
      </c>
      <c r="F1007" t="s">
        <v>79</v>
      </c>
      <c r="G1007" t="s">
        <v>80</v>
      </c>
      <c r="H1007" t="s">
        <v>81</v>
      </c>
      <c r="I1007" t="s">
        <v>82</v>
      </c>
      <c r="L1007">
        <v>1</v>
      </c>
      <c r="M1007" t="s">
        <v>83</v>
      </c>
      <c r="O1007" t="s">
        <v>83</v>
      </c>
      <c r="P1007" t="s">
        <v>84</v>
      </c>
      <c r="Q1007" t="s">
        <v>85</v>
      </c>
    </row>
    <row r="1008" spans="1:17" hidden="1">
      <c r="A1008" t="s">
        <v>76</v>
      </c>
      <c r="B1008" t="s">
        <v>77</v>
      </c>
      <c r="C1008" t="s">
        <v>674</v>
      </c>
      <c r="D1008" t="s">
        <v>674</v>
      </c>
      <c r="E1008" t="s">
        <v>86</v>
      </c>
      <c r="F1008" t="s">
        <v>86</v>
      </c>
      <c r="G1008" t="s">
        <v>80</v>
      </c>
      <c r="H1008" t="s">
        <v>81</v>
      </c>
      <c r="I1008" t="s">
        <v>82</v>
      </c>
      <c r="L1008">
        <v>2</v>
      </c>
      <c r="M1008" t="s">
        <v>83</v>
      </c>
      <c r="O1008" t="s">
        <v>83</v>
      </c>
      <c r="P1008" t="s">
        <v>84</v>
      </c>
      <c r="Q1008" t="s">
        <v>85</v>
      </c>
    </row>
    <row r="1009" spans="1:17" hidden="1">
      <c r="A1009" t="s">
        <v>76</v>
      </c>
      <c r="B1009" t="s">
        <v>77</v>
      </c>
      <c r="C1009" t="s">
        <v>674</v>
      </c>
      <c r="D1009" t="s">
        <v>674</v>
      </c>
      <c r="E1009" t="s">
        <v>87</v>
      </c>
      <c r="F1009" t="s">
        <v>87</v>
      </c>
      <c r="G1009" t="s">
        <v>88</v>
      </c>
      <c r="H1009" t="s">
        <v>81</v>
      </c>
      <c r="J1009" t="s">
        <v>83</v>
      </c>
      <c r="L1009">
        <v>3</v>
      </c>
      <c r="M1009" t="s">
        <v>83</v>
      </c>
      <c r="O1009" t="s">
        <v>83</v>
      </c>
      <c r="P1009" t="s">
        <v>84</v>
      </c>
      <c r="Q1009" t="s">
        <v>85</v>
      </c>
    </row>
    <row r="1010" spans="1:17" hidden="1">
      <c r="A1010" t="s">
        <v>76</v>
      </c>
      <c r="B1010" t="s">
        <v>77</v>
      </c>
      <c r="C1010" t="s">
        <v>674</v>
      </c>
      <c r="D1010" t="s">
        <v>674</v>
      </c>
      <c r="E1010" t="s">
        <v>89</v>
      </c>
      <c r="F1010" t="s">
        <v>89</v>
      </c>
      <c r="G1010" t="s">
        <v>90</v>
      </c>
      <c r="H1010" t="s">
        <v>81</v>
      </c>
      <c r="J1010" t="s">
        <v>83</v>
      </c>
      <c r="K1010" t="s">
        <v>83</v>
      </c>
      <c r="L1010">
        <v>4</v>
      </c>
      <c r="M1010" t="s">
        <v>83</v>
      </c>
      <c r="O1010" t="s">
        <v>83</v>
      </c>
      <c r="P1010" t="s">
        <v>84</v>
      </c>
      <c r="Q1010" t="s">
        <v>85</v>
      </c>
    </row>
    <row r="1011" spans="1:17" hidden="1">
      <c r="A1011" t="s">
        <v>76</v>
      </c>
      <c r="B1011" t="s">
        <v>77</v>
      </c>
      <c r="C1011" t="s">
        <v>674</v>
      </c>
      <c r="D1011" t="s">
        <v>674</v>
      </c>
      <c r="E1011" t="s">
        <v>675</v>
      </c>
      <c r="F1011" t="s">
        <v>675</v>
      </c>
      <c r="G1011" t="s">
        <v>90</v>
      </c>
      <c r="H1011" t="s">
        <v>81</v>
      </c>
      <c r="I1011" t="s">
        <v>82</v>
      </c>
      <c r="L1011">
        <v>5</v>
      </c>
      <c r="M1011" t="s">
        <v>83</v>
      </c>
      <c r="O1011" t="s">
        <v>83</v>
      </c>
      <c r="P1011" t="s">
        <v>100</v>
      </c>
      <c r="Q1011" t="s">
        <v>85</v>
      </c>
    </row>
    <row r="1012" spans="1:17" hidden="1">
      <c r="A1012" t="s">
        <v>76</v>
      </c>
      <c r="B1012" t="s">
        <v>77</v>
      </c>
      <c r="C1012" t="s">
        <v>674</v>
      </c>
      <c r="D1012" t="s">
        <v>674</v>
      </c>
      <c r="E1012" t="s">
        <v>675</v>
      </c>
      <c r="F1012" t="s">
        <v>676</v>
      </c>
      <c r="G1012" t="s">
        <v>90</v>
      </c>
      <c r="H1012" t="s">
        <v>81</v>
      </c>
      <c r="L1012">
        <v>6</v>
      </c>
      <c r="M1012" t="s">
        <v>83</v>
      </c>
      <c r="O1012" t="s">
        <v>83</v>
      </c>
      <c r="P1012" t="s">
        <v>84</v>
      </c>
      <c r="Q1012" t="s">
        <v>85</v>
      </c>
    </row>
    <row r="1013" spans="1:17" hidden="1">
      <c r="A1013" t="s">
        <v>76</v>
      </c>
      <c r="B1013" t="s">
        <v>77</v>
      </c>
      <c r="C1013" t="s">
        <v>674</v>
      </c>
      <c r="D1013" t="s">
        <v>674</v>
      </c>
      <c r="E1013" t="s">
        <v>91</v>
      </c>
      <c r="F1013" t="s">
        <v>91</v>
      </c>
      <c r="G1013" t="s">
        <v>92</v>
      </c>
      <c r="H1013" t="s">
        <v>81</v>
      </c>
      <c r="J1013" t="s">
        <v>83</v>
      </c>
      <c r="L1013">
        <v>7</v>
      </c>
      <c r="M1013" t="s">
        <v>83</v>
      </c>
      <c r="O1013" t="s">
        <v>83</v>
      </c>
      <c r="P1013" t="s">
        <v>84</v>
      </c>
      <c r="Q1013" t="s">
        <v>85</v>
      </c>
    </row>
    <row r="1014" spans="1:17" hidden="1">
      <c r="A1014" t="s">
        <v>76</v>
      </c>
      <c r="B1014" t="s">
        <v>77</v>
      </c>
      <c r="C1014" t="s">
        <v>674</v>
      </c>
      <c r="D1014" t="s">
        <v>674</v>
      </c>
      <c r="E1014" t="s">
        <v>677</v>
      </c>
      <c r="F1014" t="s">
        <v>677</v>
      </c>
      <c r="G1014" t="s">
        <v>94</v>
      </c>
      <c r="H1014" t="s">
        <v>81</v>
      </c>
      <c r="L1014">
        <v>8</v>
      </c>
      <c r="M1014" t="s">
        <v>83</v>
      </c>
      <c r="O1014" t="s">
        <v>83</v>
      </c>
      <c r="P1014" t="s">
        <v>84</v>
      </c>
      <c r="Q1014" t="s">
        <v>85</v>
      </c>
    </row>
    <row r="1015" spans="1:17" hidden="1">
      <c r="A1015" t="s">
        <v>76</v>
      </c>
      <c r="B1015" t="s">
        <v>77</v>
      </c>
      <c r="C1015" t="s">
        <v>674</v>
      </c>
      <c r="D1015" t="s">
        <v>674</v>
      </c>
      <c r="E1015" t="s">
        <v>678</v>
      </c>
      <c r="F1015" t="s">
        <v>678</v>
      </c>
      <c r="G1015" t="s">
        <v>88</v>
      </c>
      <c r="H1015" t="s">
        <v>81</v>
      </c>
      <c r="L1015">
        <v>9</v>
      </c>
      <c r="M1015" t="s">
        <v>83</v>
      </c>
      <c r="O1015" t="s">
        <v>83</v>
      </c>
      <c r="P1015" t="s">
        <v>84</v>
      </c>
      <c r="Q1015" t="s">
        <v>85</v>
      </c>
    </row>
    <row r="1016" spans="1:17" hidden="1">
      <c r="A1016" t="s">
        <v>76</v>
      </c>
      <c r="B1016" t="s">
        <v>77</v>
      </c>
      <c r="C1016" t="s">
        <v>674</v>
      </c>
      <c r="D1016" t="s">
        <v>674</v>
      </c>
      <c r="E1016" t="s">
        <v>679</v>
      </c>
      <c r="F1016" t="s">
        <v>679</v>
      </c>
      <c r="G1016" t="s">
        <v>94</v>
      </c>
      <c r="H1016" t="s">
        <v>81</v>
      </c>
      <c r="L1016">
        <v>10</v>
      </c>
      <c r="M1016" t="s">
        <v>83</v>
      </c>
      <c r="O1016" t="s">
        <v>83</v>
      </c>
      <c r="P1016" t="s">
        <v>84</v>
      </c>
      <c r="Q1016" t="s">
        <v>85</v>
      </c>
    </row>
    <row r="1017" spans="1:17" hidden="1">
      <c r="A1017" t="s">
        <v>76</v>
      </c>
      <c r="B1017" t="s">
        <v>77</v>
      </c>
      <c r="C1017" t="s">
        <v>674</v>
      </c>
      <c r="D1017" t="s">
        <v>674</v>
      </c>
      <c r="E1017" t="s">
        <v>680</v>
      </c>
      <c r="F1017" t="s">
        <v>680</v>
      </c>
      <c r="G1017" t="s">
        <v>98</v>
      </c>
      <c r="H1017" t="s">
        <v>81</v>
      </c>
      <c r="L1017">
        <v>11</v>
      </c>
      <c r="M1017" t="s">
        <v>83</v>
      </c>
      <c r="O1017" t="s">
        <v>83</v>
      </c>
      <c r="P1017" t="s">
        <v>84</v>
      </c>
      <c r="Q1017" t="s">
        <v>85</v>
      </c>
    </row>
    <row r="1018" spans="1:17" hidden="1">
      <c r="A1018" t="s">
        <v>76</v>
      </c>
      <c r="B1018" t="s">
        <v>77</v>
      </c>
      <c r="C1018" t="s">
        <v>674</v>
      </c>
      <c r="D1018" t="s">
        <v>674</v>
      </c>
      <c r="E1018" t="s">
        <v>681</v>
      </c>
      <c r="F1018" t="s">
        <v>681</v>
      </c>
      <c r="G1018" t="s">
        <v>90</v>
      </c>
      <c r="H1018" t="s">
        <v>81</v>
      </c>
      <c r="I1018" t="s">
        <v>82</v>
      </c>
      <c r="L1018">
        <v>12</v>
      </c>
      <c r="M1018" t="s">
        <v>83</v>
      </c>
      <c r="O1018" t="s">
        <v>83</v>
      </c>
      <c r="P1018" t="s">
        <v>100</v>
      </c>
      <c r="Q1018" t="s">
        <v>85</v>
      </c>
    </row>
    <row r="1019" spans="1:17" hidden="1">
      <c r="A1019" t="s">
        <v>76</v>
      </c>
      <c r="B1019" t="s">
        <v>77</v>
      </c>
      <c r="C1019" t="s">
        <v>674</v>
      </c>
      <c r="D1019" t="s">
        <v>674</v>
      </c>
      <c r="E1019" t="s">
        <v>681</v>
      </c>
      <c r="F1019" t="s">
        <v>682</v>
      </c>
      <c r="G1019" t="s">
        <v>90</v>
      </c>
      <c r="H1019" t="s">
        <v>81</v>
      </c>
      <c r="L1019">
        <v>13</v>
      </c>
      <c r="M1019" t="s">
        <v>83</v>
      </c>
      <c r="O1019" t="s">
        <v>83</v>
      </c>
      <c r="P1019" t="s">
        <v>84</v>
      </c>
      <c r="Q1019" t="s">
        <v>85</v>
      </c>
    </row>
    <row r="1020" spans="1:17" hidden="1">
      <c r="A1020" t="s">
        <v>76</v>
      </c>
      <c r="B1020" t="s">
        <v>77</v>
      </c>
      <c r="C1020" t="s">
        <v>674</v>
      </c>
      <c r="D1020" t="s">
        <v>674</v>
      </c>
      <c r="E1020" t="s">
        <v>683</v>
      </c>
      <c r="F1020" t="s">
        <v>683</v>
      </c>
      <c r="G1020" t="s">
        <v>98</v>
      </c>
      <c r="H1020" t="s">
        <v>81</v>
      </c>
      <c r="L1020">
        <v>14</v>
      </c>
      <c r="M1020" t="s">
        <v>83</v>
      </c>
      <c r="O1020" t="s">
        <v>83</v>
      </c>
      <c r="P1020" t="s">
        <v>84</v>
      </c>
      <c r="Q1020" t="s">
        <v>85</v>
      </c>
    </row>
    <row r="1021" spans="1:17" hidden="1">
      <c r="A1021" t="s">
        <v>76</v>
      </c>
      <c r="B1021" t="s">
        <v>77</v>
      </c>
      <c r="C1021" t="s">
        <v>674</v>
      </c>
      <c r="D1021" t="s">
        <v>674</v>
      </c>
      <c r="E1021" t="s">
        <v>684</v>
      </c>
      <c r="F1021" t="s">
        <v>684</v>
      </c>
      <c r="G1021" t="s">
        <v>98</v>
      </c>
      <c r="H1021" t="s">
        <v>81</v>
      </c>
      <c r="L1021">
        <v>15</v>
      </c>
      <c r="M1021" t="s">
        <v>83</v>
      </c>
      <c r="O1021" t="s">
        <v>83</v>
      </c>
      <c r="P1021" t="s">
        <v>84</v>
      </c>
      <c r="Q1021" t="s">
        <v>85</v>
      </c>
    </row>
    <row r="1022" spans="1:17" hidden="1">
      <c r="A1022" t="s">
        <v>76</v>
      </c>
      <c r="B1022" t="s">
        <v>77</v>
      </c>
      <c r="C1022" t="s">
        <v>674</v>
      </c>
      <c r="D1022" t="s">
        <v>674</v>
      </c>
      <c r="E1022" t="s">
        <v>112</v>
      </c>
      <c r="F1022" t="s">
        <v>112</v>
      </c>
      <c r="G1022" t="s">
        <v>113</v>
      </c>
      <c r="H1022" t="s">
        <v>81</v>
      </c>
      <c r="I1022" t="s">
        <v>114</v>
      </c>
      <c r="L1022">
        <v>16</v>
      </c>
      <c r="M1022" t="s">
        <v>83</v>
      </c>
      <c r="O1022" t="s">
        <v>83</v>
      </c>
      <c r="P1022" t="s">
        <v>84</v>
      </c>
      <c r="Q1022" t="s">
        <v>85</v>
      </c>
    </row>
    <row r="1023" spans="1:17" hidden="1">
      <c r="A1023" t="s">
        <v>76</v>
      </c>
      <c r="B1023" t="s">
        <v>77</v>
      </c>
      <c r="C1023" t="s">
        <v>674</v>
      </c>
      <c r="D1023" t="s">
        <v>674</v>
      </c>
      <c r="E1023" t="s">
        <v>115</v>
      </c>
      <c r="F1023" t="s">
        <v>115</v>
      </c>
      <c r="G1023" t="s">
        <v>113</v>
      </c>
      <c r="H1023" t="s">
        <v>81</v>
      </c>
      <c r="I1023" t="s">
        <v>114</v>
      </c>
      <c r="L1023">
        <v>17</v>
      </c>
      <c r="M1023" t="s">
        <v>83</v>
      </c>
      <c r="O1023" t="s">
        <v>83</v>
      </c>
      <c r="P1023" t="s">
        <v>84</v>
      </c>
      <c r="Q1023" t="s">
        <v>85</v>
      </c>
    </row>
    <row r="1024" spans="1:17" hidden="1">
      <c r="A1024" t="s">
        <v>76</v>
      </c>
      <c r="B1024" t="s">
        <v>77</v>
      </c>
      <c r="C1024" t="s">
        <v>674</v>
      </c>
      <c r="D1024" t="s">
        <v>674</v>
      </c>
      <c r="E1024" t="s">
        <v>117</v>
      </c>
      <c r="F1024" t="s">
        <v>117</v>
      </c>
      <c r="G1024" t="s">
        <v>90</v>
      </c>
      <c r="H1024" t="s">
        <v>81</v>
      </c>
      <c r="L1024">
        <v>24</v>
      </c>
      <c r="M1024" t="s">
        <v>83</v>
      </c>
      <c r="O1024" t="s">
        <v>83</v>
      </c>
      <c r="P1024" t="s">
        <v>84</v>
      </c>
      <c r="Q1024" t="s">
        <v>85</v>
      </c>
    </row>
    <row r="1025" spans="1:17" hidden="1">
      <c r="A1025" t="s">
        <v>76</v>
      </c>
      <c r="B1025" t="s">
        <v>77</v>
      </c>
      <c r="C1025" t="s">
        <v>674</v>
      </c>
      <c r="D1025" t="s">
        <v>674</v>
      </c>
      <c r="E1025" t="s">
        <v>327</v>
      </c>
      <c r="F1025" t="s">
        <v>327</v>
      </c>
      <c r="G1025" t="s">
        <v>90</v>
      </c>
      <c r="H1025" t="s">
        <v>81</v>
      </c>
      <c r="L1025">
        <v>25</v>
      </c>
      <c r="M1025" t="s">
        <v>83</v>
      </c>
      <c r="O1025" t="s">
        <v>83</v>
      </c>
      <c r="P1025" t="s">
        <v>84</v>
      </c>
      <c r="Q1025" t="s">
        <v>85</v>
      </c>
    </row>
    <row r="1026" spans="1:17" hidden="1">
      <c r="A1026" t="s">
        <v>76</v>
      </c>
      <c r="B1026" t="s">
        <v>77</v>
      </c>
      <c r="C1026" t="s">
        <v>674</v>
      </c>
      <c r="D1026" t="s">
        <v>674</v>
      </c>
      <c r="E1026" t="s">
        <v>328</v>
      </c>
      <c r="F1026" t="s">
        <v>328</v>
      </c>
      <c r="G1026" t="s">
        <v>90</v>
      </c>
      <c r="H1026" t="s">
        <v>81</v>
      </c>
      <c r="L1026">
        <v>26</v>
      </c>
      <c r="M1026" t="s">
        <v>83</v>
      </c>
      <c r="O1026" t="s">
        <v>83</v>
      </c>
      <c r="P1026" t="s">
        <v>84</v>
      </c>
      <c r="Q1026" t="s">
        <v>85</v>
      </c>
    </row>
    <row r="1027" spans="1:17" hidden="1">
      <c r="A1027" t="s">
        <v>76</v>
      </c>
      <c r="B1027" t="s">
        <v>77</v>
      </c>
      <c r="C1027" t="s">
        <v>674</v>
      </c>
      <c r="D1027" t="s">
        <v>674</v>
      </c>
      <c r="E1027" t="s">
        <v>118</v>
      </c>
      <c r="F1027" t="s">
        <v>118</v>
      </c>
      <c r="G1027" t="s">
        <v>92</v>
      </c>
      <c r="H1027" t="s">
        <v>81</v>
      </c>
      <c r="L1027">
        <v>27</v>
      </c>
      <c r="M1027" t="s">
        <v>83</v>
      </c>
      <c r="O1027" t="s">
        <v>83</v>
      </c>
      <c r="P1027" t="s">
        <v>84</v>
      </c>
      <c r="Q1027" t="s">
        <v>85</v>
      </c>
    </row>
    <row r="1028" spans="1:17" hidden="1">
      <c r="A1028" t="s">
        <v>76</v>
      </c>
      <c r="B1028" t="s">
        <v>77</v>
      </c>
      <c r="C1028" t="s">
        <v>685</v>
      </c>
      <c r="D1028" t="s">
        <v>685</v>
      </c>
      <c r="E1028" t="s">
        <v>79</v>
      </c>
      <c r="F1028" t="s">
        <v>79</v>
      </c>
      <c r="G1028" t="s">
        <v>80</v>
      </c>
      <c r="H1028" t="s">
        <v>81</v>
      </c>
      <c r="I1028" t="s">
        <v>82</v>
      </c>
      <c r="L1028">
        <v>1</v>
      </c>
      <c r="M1028" t="s">
        <v>83</v>
      </c>
      <c r="O1028" t="s">
        <v>83</v>
      </c>
      <c r="P1028" t="s">
        <v>84</v>
      </c>
      <c r="Q1028" t="s">
        <v>85</v>
      </c>
    </row>
    <row r="1029" spans="1:17" hidden="1">
      <c r="A1029" t="s">
        <v>76</v>
      </c>
      <c r="B1029" t="s">
        <v>77</v>
      </c>
      <c r="C1029" t="s">
        <v>685</v>
      </c>
      <c r="D1029" t="s">
        <v>685</v>
      </c>
      <c r="E1029" t="s">
        <v>86</v>
      </c>
      <c r="F1029" t="s">
        <v>86</v>
      </c>
      <c r="G1029" t="s">
        <v>80</v>
      </c>
      <c r="H1029" t="s">
        <v>81</v>
      </c>
      <c r="I1029" t="s">
        <v>82</v>
      </c>
      <c r="L1029">
        <v>2</v>
      </c>
      <c r="M1029" t="s">
        <v>83</v>
      </c>
      <c r="O1029" t="s">
        <v>83</v>
      </c>
      <c r="P1029" t="s">
        <v>84</v>
      </c>
      <c r="Q1029" t="s">
        <v>85</v>
      </c>
    </row>
    <row r="1030" spans="1:17" hidden="1">
      <c r="A1030" t="s">
        <v>76</v>
      </c>
      <c r="B1030" t="s">
        <v>77</v>
      </c>
      <c r="C1030" t="s">
        <v>685</v>
      </c>
      <c r="D1030" t="s">
        <v>685</v>
      </c>
      <c r="E1030" t="s">
        <v>87</v>
      </c>
      <c r="F1030" t="s">
        <v>87</v>
      </c>
      <c r="G1030" t="s">
        <v>88</v>
      </c>
      <c r="H1030" t="s">
        <v>81</v>
      </c>
      <c r="J1030" t="s">
        <v>83</v>
      </c>
      <c r="L1030">
        <v>3</v>
      </c>
      <c r="M1030" t="s">
        <v>83</v>
      </c>
      <c r="O1030" t="s">
        <v>83</v>
      </c>
      <c r="P1030" t="s">
        <v>84</v>
      </c>
      <c r="Q1030" t="s">
        <v>85</v>
      </c>
    </row>
    <row r="1031" spans="1:17" hidden="1">
      <c r="A1031" t="s">
        <v>76</v>
      </c>
      <c r="B1031" t="s">
        <v>77</v>
      </c>
      <c r="C1031" t="s">
        <v>685</v>
      </c>
      <c r="D1031" t="s">
        <v>685</v>
      </c>
      <c r="E1031" t="s">
        <v>89</v>
      </c>
      <c r="F1031" t="s">
        <v>89</v>
      </c>
      <c r="G1031" t="s">
        <v>90</v>
      </c>
      <c r="H1031" t="s">
        <v>81</v>
      </c>
      <c r="J1031" t="s">
        <v>83</v>
      </c>
      <c r="K1031" t="s">
        <v>83</v>
      </c>
      <c r="L1031">
        <v>4</v>
      </c>
      <c r="M1031" t="s">
        <v>83</v>
      </c>
      <c r="O1031" t="s">
        <v>83</v>
      </c>
      <c r="P1031" t="s">
        <v>84</v>
      </c>
      <c r="Q1031" t="s">
        <v>85</v>
      </c>
    </row>
    <row r="1032" spans="1:17" hidden="1">
      <c r="A1032" t="s">
        <v>76</v>
      </c>
      <c r="B1032" t="s">
        <v>77</v>
      </c>
      <c r="C1032" t="s">
        <v>685</v>
      </c>
      <c r="D1032" t="s">
        <v>685</v>
      </c>
      <c r="E1032" t="s">
        <v>686</v>
      </c>
      <c r="F1032" t="s">
        <v>686</v>
      </c>
      <c r="G1032" t="s">
        <v>90</v>
      </c>
      <c r="H1032" t="s">
        <v>81</v>
      </c>
      <c r="I1032" t="s">
        <v>82</v>
      </c>
      <c r="L1032">
        <v>5</v>
      </c>
      <c r="M1032" t="s">
        <v>83</v>
      </c>
      <c r="O1032" t="s">
        <v>83</v>
      </c>
      <c r="P1032" t="s">
        <v>100</v>
      </c>
      <c r="Q1032" t="s">
        <v>85</v>
      </c>
    </row>
    <row r="1033" spans="1:17" hidden="1">
      <c r="A1033" t="s">
        <v>76</v>
      </c>
      <c r="B1033" t="s">
        <v>77</v>
      </c>
      <c r="C1033" t="s">
        <v>685</v>
      </c>
      <c r="D1033" t="s">
        <v>685</v>
      </c>
      <c r="E1033" t="s">
        <v>686</v>
      </c>
      <c r="F1033" t="s">
        <v>687</v>
      </c>
      <c r="G1033" t="s">
        <v>90</v>
      </c>
      <c r="H1033" t="s">
        <v>81</v>
      </c>
      <c r="L1033">
        <v>6</v>
      </c>
      <c r="M1033" t="s">
        <v>83</v>
      </c>
      <c r="O1033" t="s">
        <v>83</v>
      </c>
      <c r="P1033" t="s">
        <v>84</v>
      </c>
      <c r="Q1033" t="s">
        <v>85</v>
      </c>
    </row>
    <row r="1034" spans="1:17" hidden="1">
      <c r="A1034" t="s">
        <v>76</v>
      </c>
      <c r="B1034" t="s">
        <v>77</v>
      </c>
      <c r="C1034" t="s">
        <v>685</v>
      </c>
      <c r="D1034" t="s">
        <v>685</v>
      </c>
      <c r="E1034" t="s">
        <v>91</v>
      </c>
      <c r="F1034" t="s">
        <v>91</v>
      </c>
      <c r="G1034" t="s">
        <v>92</v>
      </c>
      <c r="H1034" t="s">
        <v>81</v>
      </c>
      <c r="J1034" t="s">
        <v>83</v>
      </c>
      <c r="L1034">
        <v>7</v>
      </c>
      <c r="M1034" t="s">
        <v>83</v>
      </c>
      <c r="O1034" t="s">
        <v>83</v>
      </c>
      <c r="P1034" t="s">
        <v>84</v>
      </c>
      <c r="Q1034" t="s">
        <v>85</v>
      </c>
    </row>
    <row r="1035" spans="1:17" hidden="1">
      <c r="A1035" t="s">
        <v>76</v>
      </c>
      <c r="B1035" t="s">
        <v>77</v>
      </c>
      <c r="C1035" t="s">
        <v>685</v>
      </c>
      <c r="D1035" t="s">
        <v>685</v>
      </c>
      <c r="E1035" t="s">
        <v>688</v>
      </c>
      <c r="F1035" t="s">
        <v>688</v>
      </c>
      <c r="G1035" t="s">
        <v>94</v>
      </c>
      <c r="H1035" t="s">
        <v>81</v>
      </c>
      <c r="L1035">
        <v>8</v>
      </c>
      <c r="M1035" t="s">
        <v>83</v>
      </c>
      <c r="O1035" t="s">
        <v>83</v>
      </c>
      <c r="P1035" t="s">
        <v>84</v>
      </c>
      <c r="Q1035" t="s">
        <v>85</v>
      </c>
    </row>
    <row r="1036" spans="1:17" hidden="1">
      <c r="A1036" t="s">
        <v>76</v>
      </c>
      <c r="B1036" t="s">
        <v>77</v>
      </c>
      <c r="C1036" t="s">
        <v>685</v>
      </c>
      <c r="D1036" t="s">
        <v>685</v>
      </c>
      <c r="E1036" t="s">
        <v>689</v>
      </c>
      <c r="F1036" t="s">
        <v>689</v>
      </c>
      <c r="G1036" t="s">
        <v>88</v>
      </c>
      <c r="H1036" t="s">
        <v>81</v>
      </c>
      <c r="L1036">
        <v>9</v>
      </c>
      <c r="M1036" t="s">
        <v>83</v>
      </c>
      <c r="O1036" t="s">
        <v>83</v>
      </c>
      <c r="P1036" t="s">
        <v>84</v>
      </c>
      <c r="Q1036" t="s">
        <v>85</v>
      </c>
    </row>
    <row r="1037" spans="1:17" hidden="1">
      <c r="A1037" t="s">
        <v>76</v>
      </c>
      <c r="B1037" t="s">
        <v>77</v>
      </c>
      <c r="C1037" t="s">
        <v>685</v>
      </c>
      <c r="D1037" t="s">
        <v>685</v>
      </c>
      <c r="E1037" t="s">
        <v>690</v>
      </c>
      <c r="F1037" t="s">
        <v>690</v>
      </c>
      <c r="G1037" t="s">
        <v>94</v>
      </c>
      <c r="H1037" t="s">
        <v>81</v>
      </c>
      <c r="L1037">
        <v>10</v>
      </c>
      <c r="M1037" t="s">
        <v>83</v>
      </c>
      <c r="O1037" t="s">
        <v>83</v>
      </c>
      <c r="P1037" t="s">
        <v>84</v>
      </c>
      <c r="Q1037" t="s">
        <v>85</v>
      </c>
    </row>
    <row r="1038" spans="1:17" hidden="1">
      <c r="A1038" t="s">
        <v>76</v>
      </c>
      <c r="B1038" t="s">
        <v>77</v>
      </c>
      <c r="C1038" t="s">
        <v>685</v>
      </c>
      <c r="D1038" t="s">
        <v>685</v>
      </c>
      <c r="E1038" t="s">
        <v>691</v>
      </c>
      <c r="F1038" t="s">
        <v>691</v>
      </c>
      <c r="G1038" t="s">
        <v>98</v>
      </c>
      <c r="H1038" t="s">
        <v>81</v>
      </c>
      <c r="L1038">
        <v>11</v>
      </c>
      <c r="M1038" t="s">
        <v>83</v>
      </c>
      <c r="O1038" t="s">
        <v>83</v>
      </c>
      <c r="P1038" t="s">
        <v>84</v>
      </c>
      <c r="Q1038" t="s">
        <v>85</v>
      </c>
    </row>
    <row r="1039" spans="1:17" hidden="1">
      <c r="A1039" t="s">
        <v>76</v>
      </c>
      <c r="B1039" t="s">
        <v>77</v>
      </c>
      <c r="C1039" t="s">
        <v>685</v>
      </c>
      <c r="D1039" t="s">
        <v>685</v>
      </c>
      <c r="E1039" t="s">
        <v>692</v>
      </c>
      <c r="F1039" t="s">
        <v>692</v>
      </c>
      <c r="G1039" t="s">
        <v>98</v>
      </c>
      <c r="H1039" t="s">
        <v>81</v>
      </c>
      <c r="L1039">
        <v>12</v>
      </c>
      <c r="M1039" t="s">
        <v>83</v>
      </c>
      <c r="O1039" t="s">
        <v>83</v>
      </c>
      <c r="P1039" t="s">
        <v>84</v>
      </c>
      <c r="Q1039" t="s">
        <v>85</v>
      </c>
    </row>
    <row r="1040" spans="1:17" hidden="1">
      <c r="A1040" t="s">
        <v>76</v>
      </c>
      <c r="B1040" t="s">
        <v>77</v>
      </c>
      <c r="C1040" t="s">
        <v>685</v>
      </c>
      <c r="D1040" t="s">
        <v>685</v>
      </c>
      <c r="E1040" t="s">
        <v>693</v>
      </c>
      <c r="F1040" t="s">
        <v>693</v>
      </c>
      <c r="G1040" t="s">
        <v>98</v>
      </c>
      <c r="H1040" t="s">
        <v>81</v>
      </c>
      <c r="L1040">
        <v>13</v>
      </c>
      <c r="M1040" t="s">
        <v>83</v>
      </c>
      <c r="O1040" t="s">
        <v>83</v>
      </c>
      <c r="P1040" t="s">
        <v>84</v>
      </c>
      <c r="Q1040" t="s">
        <v>85</v>
      </c>
    </row>
    <row r="1041" spans="1:17" hidden="1">
      <c r="A1041" t="s">
        <v>76</v>
      </c>
      <c r="B1041" t="s">
        <v>77</v>
      </c>
      <c r="C1041" t="s">
        <v>685</v>
      </c>
      <c r="D1041" t="s">
        <v>685</v>
      </c>
      <c r="E1041" t="s">
        <v>694</v>
      </c>
      <c r="F1041" t="s">
        <v>694</v>
      </c>
      <c r="G1041" t="s">
        <v>188</v>
      </c>
      <c r="H1041" t="s">
        <v>81</v>
      </c>
      <c r="L1041">
        <v>14</v>
      </c>
      <c r="M1041" t="s">
        <v>83</v>
      </c>
      <c r="O1041" t="s">
        <v>83</v>
      </c>
      <c r="P1041" t="s">
        <v>84</v>
      </c>
      <c r="Q1041" t="s">
        <v>85</v>
      </c>
    </row>
    <row r="1042" spans="1:17" hidden="1">
      <c r="A1042" t="s">
        <v>76</v>
      </c>
      <c r="B1042" t="s">
        <v>77</v>
      </c>
      <c r="C1042" t="s">
        <v>685</v>
      </c>
      <c r="D1042" t="s">
        <v>685</v>
      </c>
      <c r="E1042" t="s">
        <v>112</v>
      </c>
      <c r="F1042" t="s">
        <v>112</v>
      </c>
      <c r="G1042" t="s">
        <v>113</v>
      </c>
      <c r="H1042" t="s">
        <v>81</v>
      </c>
      <c r="I1042" t="s">
        <v>114</v>
      </c>
      <c r="L1042">
        <v>15</v>
      </c>
      <c r="M1042" t="s">
        <v>83</v>
      </c>
      <c r="O1042" t="s">
        <v>83</v>
      </c>
      <c r="P1042" t="s">
        <v>84</v>
      </c>
      <c r="Q1042" t="s">
        <v>85</v>
      </c>
    </row>
    <row r="1043" spans="1:17" hidden="1">
      <c r="A1043" t="s">
        <v>76</v>
      </c>
      <c r="B1043" t="s">
        <v>77</v>
      </c>
      <c r="C1043" t="s">
        <v>685</v>
      </c>
      <c r="D1043" t="s">
        <v>685</v>
      </c>
      <c r="E1043" t="s">
        <v>115</v>
      </c>
      <c r="F1043" t="s">
        <v>115</v>
      </c>
      <c r="G1043" t="s">
        <v>113</v>
      </c>
      <c r="H1043" t="s">
        <v>81</v>
      </c>
      <c r="I1043" t="s">
        <v>114</v>
      </c>
      <c r="L1043">
        <v>16</v>
      </c>
      <c r="M1043" t="s">
        <v>83</v>
      </c>
      <c r="O1043" t="s">
        <v>83</v>
      </c>
      <c r="P1043" t="s">
        <v>84</v>
      </c>
      <c r="Q1043" t="s">
        <v>85</v>
      </c>
    </row>
    <row r="1044" spans="1:17" hidden="1">
      <c r="A1044" t="s">
        <v>76</v>
      </c>
      <c r="B1044" t="s">
        <v>77</v>
      </c>
      <c r="C1044" t="s">
        <v>685</v>
      </c>
      <c r="D1044" t="s">
        <v>685</v>
      </c>
      <c r="E1044" t="s">
        <v>327</v>
      </c>
      <c r="F1044" t="s">
        <v>327</v>
      </c>
      <c r="G1044" t="s">
        <v>90</v>
      </c>
      <c r="H1044" t="s">
        <v>81</v>
      </c>
      <c r="L1044">
        <v>17</v>
      </c>
      <c r="M1044" t="s">
        <v>83</v>
      </c>
      <c r="O1044" t="s">
        <v>83</v>
      </c>
      <c r="P1044" t="s">
        <v>84</v>
      </c>
      <c r="Q1044" t="s">
        <v>85</v>
      </c>
    </row>
    <row r="1045" spans="1:17" hidden="1">
      <c r="A1045" t="s">
        <v>76</v>
      </c>
      <c r="B1045" t="s">
        <v>77</v>
      </c>
      <c r="C1045" t="s">
        <v>685</v>
      </c>
      <c r="D1045" t="s">
        <v>685</v>
      </c>
      <c r="E1045" t="s">
        <v>117</v>
      </c>
      <c r="F1045" t="s">
        <v>117</v>
      </c>
      <c r="G1045" t="s">
        <v>90</v>
      </c>
      <c r="H1045" t="s">
        <v>81</v>
      </c>
      <c r="L1045">
        <v>24</v>
      </c>
      <c r="M1045" t="s">
        <v>83</v>
      </c>
      <c r="O1045" t="s">
        <v>83</v>
      </c>
      <c r="P1045" t="s">
        <v>84</v>
      </c>
      <c r="Q1045" t="s">
        <v>85</v>
      </c>
    </row>
    <row r="1046" spans="1:17" hidden="1">
      <c r="A1046" t="s">
        <v>76</v>
      </c>
      <c r="B1046" t="s">
        <v>77</v>
      </c>
      <c r="C1046" t="s">
        <v>685</v>
      </c>
      <c r="D1046" t="s">
        <v>685</v>
      </c>
      <c r="E1046" t="s">
        <v>328</v>
      </c>
      <c r="F1046" t="s">
        <v>328</v>
      </c>
      <c r="G1046" t="s">
        <v>90</v>
      </c>
      <c r="H1046" t="s">
        <v>81</v>
      </c>
      <c r="L1046">
        <v>25</v>
      </c>
      <c r="M1046" t="s">
        <v>83</v>
      </c>
      <c r="O1046" t="s">
        <v>83</v>
      </c>
      <c r="P1046" t="s">
        <v>84</v>
      </c>
      <c r="Q1046" t="s">
        <v>85</v>
      </c>
    </row>
    <row r="1047" spans="1:17" hidden="1">
      <c r="A1047" t="s">
        <v>76</v>
      </c>
      <c r="B1047" t="s">
        <v>77</v>
      </c>
      <c r="C1047" t="s">
        <v>685</v>
      </c>
      <c r="D1047" t="s">
        <v>685</v>
      </c>
      <c r="E1047" t="s">
        <v>118</v>
      </c>
      <c r="F1047" t="s">
        <v>118</v>
      </c>
      <c r="G1047" t="s">
        <v>92</v>
      </c>
      <c r="H1047" t="s">
        <v>81</v>
      </c>
      <c r="L1047">
        <v>26</v>
      </c>
      <c r="M1047" t="s">
        <v>83</v>
      </c>
      <c r="O1047" t="s">
        <v>83</v>
      </c>
      <c r="P1047" t="s">
        <v>84</v>
      </c>
      <c r="Q1047" t="s">
        <v>85</v>
      </c>
    </row>
    <row r="1048" spans="1:17" hidden="1">
      <c r="A1048" t="s">
        <v>76</v>
      </c>
      <c r="B1048" t="s">
        <v>77</v>
      </c>
      <c r="C1048" t="s">
        <v>695</v>
      </c>
      <c r="D1048" t="s">
        <v>695</v>
      </c>
      <c r="E1048" t="s">
        <v>79</v>
      </c>
      <c r="F1048" t="s">
        <v>79</v>
      </c>
      <c r="G1048" t="s">
        <v>80</v>
      </c>
      <c r="H1048" t="s">
        <v>81</v>
      </c>
      <c r="I1048" t="s">
        <v>82</v>
      </c>
      <c r="L1048">
        <v>1</v>
      </c>
      <c r="M1048" t="s">
        <v>83</v>
      </c>
      <c r="O1048" t="s">
        <v>83</v>
      </c>
      <c r="P1048" t="s">
        <v>84</v>
      </c>
      <c r="Q1048" t="s">
        <v>85</v>
      </c>
    </row>
    <row r="1049" spans="1:17" hidden="1">
      <c r="A1049" t="s">
        <v>76</v>
      </c>
      <c r="B1049" t="s">
        <v>77</v>
      </c>
      <c r="C1049" t="s">
        <v>695</v>
      </c>
      <c r="D1049" t="s">
        <v>695</v>
      </c>
      <c r="E1049" t="s">
        <v>86</v>
      </c>
      <c r="F1049" t="s">
        <v>86</v>
      </c>
      <c r="G1049" t="s">
        <v>80</v>
      </c>
      <c r="H1049" t="s">
        <v>81</v>
      </c>
      <c r="I1049" t="s">
        <v>82</v>
      </c>
      <c r="L1049">
        <v>2</v>
      </c>
      <c r="M1049" t="s">
        <v>83</v>
      </c>
      <c r="O1049" t="s">
        <v>83</v>
      </c>
      <c r="P1049" t="s">
        <v>84</v>
      </c>
      <c r="Q1049" t="s">
        <v>85</v>
      </c>
    </row>
    <row r="1050" spans="1:17" hidden="1">
      <c r="A1050" t="s">
        <v>76</v>
      </c>
      <c r="B1050" t="s">
        <v>77</v>
      </c>
      <c r="C1050" t="s">
        <v>695</v>
      </c>
      <c r="D1050" t="s">
        <v>695</v>
      </c>
      <c r="E1050" t="s">
        <v>87</v>
      </c>
      <c r="F1050" t="s">
        <v>87</v>
      </c>
      <c r="G1050" t="s">
        <v>88</v>
      </c>
      <c r="H1050" t="s">
        <v>81</v>
      </c>
      <c r="J1050" t="s">
        <v>83</v>
      </c>
      <c r="L1050">
        <v>3</v>
      </c>
      <c r="M1050" t="s">
        <v>83</v>
      </c>
      <c r="O1050" t="s">
        <v>83</v>
      </c>
      <c r="P1050" t="s">
        <v>84</v>
      </c>
      <c r="Q1050" t="s">
        <v>85</v>
      </c>
    </row>
    <row r="1051" spans="1:17" hidden="1">
      <c r="A1051" t="s">
        <v>76</v>
      </c>
      <c r="B1051" t="s">
        <v>77</v>
      </c>
      <c r="C1051" t="s">
        <v>695</v>
      </c>
      <c r="D1051" t="s">
        <v>695</v>
      </c>
      <c r="E1051" t="s">
        <v>89</v>
      </c>
      <c r="F1051" t="s">
        <v>89</v>
      </c>
      <c r="G1051" t="s">
        <v>90</v>
      </c>
      <c r="H1051" t="s">
        <v>81</v>
      </c>
      <c r="J1051" t="s">
        <v>83</v>
      </c>
      <c r="K1051" t="s">
        <v>83</v>
      </c>
      <c r="L1051">
        <v>4</v>
      </c>
      <c r="M1051" t="s">
        <v>83</v>
      </c>
      <c r="O1051" t="s">
        <v>83</v>
      </c>
      <c r="P1051" t="s">
        <v>84</v>
      </c>
      <c r="Q1051" t="s">
        <v>85</v>
      </c>
    </row>
    <row r="1052" spans="1:17" hidden="1">
      <c r="A1052" t="s">
        <v>76</v>
      </c>
      <c r="B1052" t="s">
        <v>77</v>
      </c>
      <c r="C1052" t="s">
        <v>695</v>
      </c>
      <c r="D1052" t="s">
        <v>695</v>
      </c>
      <c r="E1052" t="s">
        <v>696</v>
      </c>
      <c r="F1052" t="s">
        <v>696</v>
      </c>
      <c r="G1052" t="s">
        <v>90</v>
      </c>
      <c r="H1052" t="s">
        <v>81</v>
      </c>
      <c r="I1052" t="s">
        <v>82</v>
      </c>
      <c r="L1052">
        <v>5</v>
      </c>
      <c r="M1052" t="s">
        <v>83</v>
      </c>
      <c r="O1052" t="s">
        <v>83</v>
      </c>
      <c r="P1052" t="s">
        <v>100</v>
      </c>
      <c r="Q1052" t="s">
        <v>85</v>
      </c>
    </row>
    <row r="1053" spans="1:17" hidden="1">
      <c r="A1053" t="s">
        <v>76</v>
      </c>
      <c r="B1053" t="s">
        <v>77</v>
      </c>
      <c r="C1053" t="s">
        <v>695</v>
      </c>
      <c r="D1053" t="s">
        <v>695</v>
      </c>
      <c r="E1053" t="s">
        <v>696</v>
      </c>
      <c r="F1053" t="s">
        <v>697</v>
      </c>
      <c r="G1053" t="s">
        <v>90</v>
      </c>
      <c r="H1053" t="s">
        <v>81</v>
      </c>
      <c r="L1053">
        <v>6</v>
      </c>
      <c r="M1053" t="s">
        <v>83</v>
      </c>
      <c r="O1053" t="s">
        <v>83</v>
      </c>
      <c r="P1053" t="s">
        <v>84</v>
      </c>
      <c r="Q1053" t="s">
        <v>85</v>
      </c>
    </row>
    <row r="1054" spans="1:17" hidden="1">
      <c r="A1054" t="s">
        <v>76</v>
      </c>
      <c r="B1054" t="s">
        <v>77</v>
      </c>
      <c r="C1054" t="s">
        <v>695</v>
      </c>
      <c r="D1054" t="s">
        <v>695</v>
      </c>
      <c r="E1054" t="s">
        <v>91</v>
      </c>
      <c r="F1054" t="s">
        <v>91</v>
      </c>
      <c r="G1054" t="s">
        <v>92</v>
      </c>
      <c r="H1054" t="s">
        <v>81</v>
      </c>
      <c r="J1054" t="s">
        <v>83</v>
      </c>
      <c r="L1054">
        <v>7</v>
      </c>
      <c r="M1054" t="s">
        <v>83</v>
      </c>
      <c r="O1054" t="s">
        <v>83</v>
      </c>
      <c r="P1054" t="s">
        <v>84</v>
      </c>
      <c r="Q1054" t="s">
        <v>85</v>
      </c>
    </row>
    <row r="1055" spans="1:17" hidden="1">
      <c r="A1055" t="s">
        <v>76</v>
      </c>
      <c r="B1055" t="s">
        <v>77</v>
      </c>
      <c r="C1055" t="s">
        <v>695</v>
      </c>
      <c r="D1055" t="s">
        <v>695</v>
      </c>
      <c r="E1055" t="s">
        <v>698</v>
      </c>
      <c r="F1055" t="s">
        <v>698</v>
      </c>
      <c r="G1055" t="s">
        <v>94</v>
      </c>
      <c r="H1055" t="s">
        <v>81</v>
      </c>
      <c r="L1055">
        <v>8</v>
      </c>
      <c r="M1055" t="s">
        <v>83</v>
      </c>
      <c r="O1055" t="s">
        <v>83</v>
      </c>
      <c r="P1055" t="s">
        <v>84</v>
      </c>
      <c r="Q1055" t="s">
        <v>85</v>
      </c>
    </row>
    <row r="1056" spans="1:17" hidden="1">
      <c r="A1056" t="s">
        <v>76</v>
      </c>
      <c r="B1056" t="s">
        <v>77</v>
      </c>
      <c r="C1056" t="s">
        <v>695</v>
      </c>
      <c r="D1056" t="s">
        <v>695</v>
      </c>
      <c r="E1056" t="s">
        <v>699</v>
      </c>
      <c r="F1056" t="s">
        <v>699</v>
      </c>
      <c r="G1056" t="s">
        <v>88</v>
      </c>
      <c r="H1056" t="s">
        <v>81</v>
      </c>
      <c r="L1056">
        <v>9</v>
      </c>
      <c r="M1056" t="s">
        <v>83</v>
      </c>
      <c r="O1056" t="s">
        <v>83</v>
      </c>
      <c r="P1056" t="s">
        <v>84</v>
      </c>
      <c r="Q1056" t="s">
        <v>85</v>
      </c>
    </row>
    <row r="1057" spans="1:17" hidden="1">
      <c r="A1057" t="s">
        <v>76</v>
      </c>
      <c r="B1057" t="s">
        <v>77</v>
      </c>
      <c r="C1057" t="s">
        <v>695</v>
      </c>
      <c r="D1057" t="s">
        <v>695</v>
      </c>
      <c r="E1057" t="s">
        <v>700</v>
      </c>
      <c r="F1057" t="s">
        <v>700</v>
      </c>
      <c r="G1057" t="s">
        <v>94</v>
      </c>
      <c r="H1057" t="s">
        <v>81</v>
      </c>
      <c r="L1057">
        <v>10</v>
      </c>
      <c r="M1057" t="s">
        <v>83</v>
      </c>
      <c r="O1057" t="s">
        <v>83</v>
      </c>
      <c r="P1057" t="s">
        <v>84</v>
      </c>
      <c r="Q1057" t="s">
        <v>85</v>
      </c>
    </row>
    <row r="1058" spans="1:17" hidden="1">
      <c r="A1058" t="s">
        <v>76</v>
      </c>
      <c r="B1058" t="s">
        <v>77</v>
      </c>
      <c r="C1058" t="s">
        <v>695</v>
      </c>
      <c r="D1058" t="s">
        <v>695</v>
      </c>
      <c r="E1058" t="s">
        <v>701</v>
      </c>
      <c r="F1058" t="s">
        <v>701</v>
      </c>
      <c r="G1058" t="s">
        <v>98</v>
      </c>
      <c r="H1058" t="s">
        <v>81</v>
      </c>
      <c r="L1058">
        <v>11</v>
      </c>
      <c r="M1058" t="s">
        <v>83</v>
      </c>
      <c r="O1058" t="s">
        <v>83</v>
      </c>
      <c r="P1058" t="s">
        <v>84</v>
      </c>
      <c r="Q1058" t="s">
        <v>85</v>
      </c>
    </row>
    <row r="1059" spans="1:17" hidden="1">
      <c r="A1059" t="s">
        <v>76</v>
      </c>
      <c r="B1059" t="s">
        <v>77</v>
      </c>
      <c r="C1059" t="s">
        <v>695</v>
      </c>
      <c r="D1059" t="s">
        <v>695</v>
      </c>
      <c r="E1059" t="s">
        <v>702</v>
      </c>
      <c r="F1059" t="s">
        <v>702</v>
      </c>
      <c r="G1059" t="s">
        <v>98</v>
      </c>
      <c r="H1059" t="s">
        <v>81</v>
      </c>
      <c r="L1059">
        <v>12</v>
      </c>
      <c r="M1059" t="s">
        <v>83</v>
      </c>
      <c r="O1059" t="s">
        <v>83</v>
      </c>
      <c r="P1059" t="s">
        <v>84</v>
      </c>
      <c r="Q1059" t="s">
        <v>85</v>
      </c>
    </row>
    <row r="1060" spans="1:17" hidden="1">
      <c r="A1060" t="s">
        <v>76</v>
      </c>
      <c r="B1060" t="s">
        <v>77</v>
      </c>
      <c r="C1060" t="s">
        <v>695</v>
      </c>
      <c r="D1060" t="s">
        <v>695</v>
      </c>
      <c r="E1060" t="s">
        <v>703</v>
      </c>
      <c r="F1060" t="s">
        <v>703</v>
      </c>
      <c r="G1060" t="s">
        <v>98</v>
      </c>
      <c r="H1060" t="s">
        <v>81</v>
      </c>
      <c r="L1060">
        <v>13</v>
      </c>
      <c r="M1060" t="s">
        <v>83</v>
      </c>
      <c r="O1060" t="s">
        <v>83</v>
      </c>
      <c r="P1060" t="s">
        <v>84</v>
      </c>
      <c r="Q1060" t="s">
        <v>85</v>
      </c>
    </row>
    <row r="1061" spans="1:17" hidden="1">
      <c r="A1061" t="s">
        <v>76</v>
      </c>
      <c r="B1061" t="s">
        <v>77</v>
      </c>
      <c r="C1061" t="s">
        <v>695</v>
      </c>
      <c r="D1061" t="s">
        <v>695</v>
      </c>
      <c r="E1061" t="s">
        <v>704</v>
      </c>
      <c r="F1061" t="s">
        <v>704</v>
      </c>
      <c r="G1061" t="s">
        <v>188</v>
      </c>
      <c r="H1061" t="s">
        <v>81</v>
      </c>
      <c r="L1061">
        <v>14</v>
      </c>
      <c r="M1061" t="s">
        <v>83</v>
      </c>
      <c r="O1061" t="s">
        <v>83</v>
      </c>
      <c r="P1061" t="s">
        <v>84</v>
      </c>
      <c r="Q1061" t="s">
        <v>85</v>
      </c>
    </row>
    <row r="1062" spans="1:17" hidden="1">
      <c r="A1062" t="s">
        <v>76</v>
      </c>
      <c r="B1062" t="s">
        <v>77</v>
      </c>
      <c r="C1062" t="s">
        <v>695</v>
      </c>
      <c r="D1062" t="s">
        <v>695</v>
      </c>
      <c r="E1062" t="s">
        <v>112</v>
      </c>
      <c r="F1062" t="s">
        <v>112</v>
      </c>
      <c r="G1062" t="s">
        <v>113</v>
      </c>
      <c r="H1062" t="s">
        <v>81</v>
      </c>
      <c r="I1062" t="s">
        <v>114</v>
      </c>
      <c r="L1062">
        <v>15</v>
      </c>
      <c r="M1062" t="s">
        <v>83</v>
      </c>
      <c r="O1062" t="s">
        <v>83</v>
      </c>
      <c r="P1062" t="s">
        <v>84</v>
      </c>
      <c r="Q1062" t="s">
        <v>85</v>
      </c>
    </row>
    <row r="1063" spans="1:17" hidden="1">
      <c r="A1063" t="s">
        <v>76</v>
      </c>
      <c r="B1063" t="s">
        <v>77</v>
      </c>
      <c r="C1063" t="s">
        <v>695</v>
      </c>
      <c r="D1063" t="s">
        <v>695</v>
      </c>
      <c r="E1063" t="s">
        <v>115</v>
      </c>
      <c r="F1063" t="s">
        <v>115</v>
      </c>
      <c r="G1063" t="s">
        <v>113</v>
      </c>
      <c r="H1063" t="s">
        <v>81</v>
      </c>
      <c r="I1063" t="s">
        <v>114</v>
      </c>
      <c r="L1063">
        <v>16</v>
      </c>
      <c r="M1063" t="s">
        <v>83</v>
      </c>
      <c r="O1063" t="s">
        <v>83</v>
      </c>
      <c r="P1063" t="s">
        <v>84</v>
      </c>
      <c r="Q1063" t="s">
        <v>85</v>
      </c>
    </row>
    <row r="1064" spans="1:17" hidden="1">
      <c r="A1064" t="s">
        <v>76</v>
      </c>
      <c r="B1064" t="s">
        <v>77</v>
      </c>
      <c r="C1064" t="s">
        <v>695</v>
      </c>
      <c r="D1064" t="s">
        <v>695</v>
      </c>
      <c r="E1064" t="s">
        <v>327</v>
      </c>
      <c r="F1064" t="s">
        <v>327</v>
      </c>
      <c r="G1064" t="s">
        <v>90</v>
      </c>
      <c r="H1064" t="s">
        <v>81</v>
      </c>
      <c r="L1064">
        <v>17</v>
      </c>
      <c r="M1064" t="s">
        <v>83</v>
      </c>
      <c r="O1064" t="s">
        <v>83</v>
      </c>
      <c r="P1064" t="s">
        <v>84</v>
      </c>
      <c r="Q1064" t="s">
        <v>85</v>
      </c>
    </row>
    <row r="1065" spans="1:17" hidden="1">
      <c r="A1065" t="s">
        <v>76</v>
      </c>
      <c r="B1065" t="s">
        <v>77</v>
      </c>
      <c r="C1065" t="s">
        <v>695</v>
      </c>
      <c r="D1065" t="s">
        <v>695</v>
      </c>
      <c r="E1065" t="s">
        <v>117</v>
      </c>
      <c r="F1065" t="s">
        <v>117</v>
      </c>
      <c r="G1065" t="s">
        <v>90</v>
      </c>
      <c r="H1065" t="s">
        <v>81</v>
      </c>
      <c r="L1065">
        <v>24</v>
      </c>
      <c r="M1065" t="s">
        <v>83</v>
      </c>
      <c r="O1065" t="s">
        <v>83</v>
      </c>
      <c r="P1065" t="s">
        <v>84</v>
      </c>
      <c r="Q1065" t="s">
        <v>85</v>
      </c>
    </row>
    <row r="1066" spans="1:17" hidden="1">
      <c r="A1066" t="s">
        <v>76</v>
      </c>
      <c r="B1066" t="s">
        <v>77</v>
      </c>
      <c r="C1066" t="s">
        <v>695</v>
      </c>
      <c r="D1066" t="s">
        <v>695</v>
      </c>
      <c r="E1066" t="s">
        <v>328</v>
      </c>
      <c r="F1066" t="s">
        <v>328</v>
      </c>
      <c r="G1066" t="s">
        <v>90</v>
      </c>
      <c r="H1066" t="s">
        <v>81</v>
      </c>
      <c r="L1066">
        <v>25</v>
      </c>
      <c r="M1066" t="s">
        <v>83</v>
      </c>
      <c r="O1066" t="s">
        <v>83</v>
      </c>
      <c r="P1066" t="s">
        <v>84</v>
      </c>
      <c r="Q1066" t="s">
        <v>85</v>
      </c>
    </row>
    <row r="1067" spans="1:17" hidden="1">
      <c r="A1067" t="s">
        <v>76</v>
      </c>
      <c r="B1067" t="s">
        <v>77</v>
      </c>
      <c r="C1067" t="s">
        <v>695</v>
      </c>
      <c r="D1067" t="s">
        <v>695</v>
      </c>
      <c r="E1067" t="s">
        <v>118</v>
      </c>
      <c r="F1067" t="s">
        <v>118</v>
      </c>
      <c r="G1067" t="s">
        <v>92</v>
      </c>
      <c r="H1067" t="s">
        <v>81</v>
      </c>
      <c r="L1067">
        <v>26</v>
      </c>
      <c r="M1067" t="s">
        <v>83</v>
      </c>
      <c r="O1067" t="s">
        <v>83</v>
      </c>
      <c r="P1067" t="s">
        <v>84</v>
      </c>
      <c r="Q1067" t="s">
        <v>85</v>
      </c>
    </row>
    <row r="1068" spans="1:17" hidden="1">
      <c r="A1068" t="s">
        <v>76</v>
      </c>
      <c r="B1068" t="s">
        <v>77</v>
      </c>
      <c r="C1068" t="s">
        <v>705</v>
      </c>
      <c r="D1068" t="s">
        <v>705</v>
      </c>
      <c r="E1068" t="s">
        <v>79</v>
      </c>
      <c r="F1068" t="s">
        <v>79</v>
      </c>
      <c r="G1068" t="s">
        <v>80</v>
      </c>
      <c r="H1068" t="s">
        <v>81</v>
      </c>
      <c r="I1068" t="s">
        <v>82</v>
      </c>
      <c r="L1068">
        <v>1</v>
      </c>
      <c r="M1068" t="s">
        <v>83</v>
      </c>
      <c r="O1068" t="s">
        <v>83</v>
      </c>
      <c r="P1068" t="s">
        <v>84</v>
      </c>
      <c r="Q1068" t="s">
        <v>85</v>
      </c>
    </row>
    <row r="1069" spans="1:17" hidden="1">
      <c r="A1069" t="s">
        <v>76</v>
      </c>
      <c r="B1069" t="s">
        <v>77</v>
      </c>
      <c r="C1069" t="s">
        <v>705</v>
      </c>
      <c r="D1069" t="s">
        <v>705</v>
      </c>
      <c r="E1069" t="s">
        <v>86</v>
      </c>
      <c r="F1069" t="s">
        <v>86</v>
      </c>
      <c r="G1069" t="s">
        <v>80</v>
      </c>
      <c r="H1069" t="s">
        <v>81</v>
      </c>
      <c r="I1069" t="s">
        <v>82</v>
      </c>
      <c r="L1069">
        <v>2</v>
      </c>
      <c r="M1069" t="s">
        <v>83</v>
      </c>
      <c r="O1069" t="s">
        <v>83</v>
      </c>
      <c r="P1069" t="s">
        <v>84</v>
      </c>
      <c r="Q1069" t="s">
        <v>85</v>
      </c>
    </row>
    <row r="1070" spans="1:17" hidden="1">
      <c r="A1070" t="s">
        <v>76</v>
      </c>
      <c r="B1070" t="s">
        <v>77</v>
      </c>
      <c r="C1070" t="s">
        <v>705</v>
      </c>
      <c r="D1070" t="s">
        <v>705</v>
      </c>
      <c r="E1070" t="s">
        <v>87</v>
      </c>
      <c r="F1070" t="s">
        <v>87</v>
      </c>
      <c r="G1070" t="s">
        <v>88</v>
      </c>
      <c r="H1070" t="s">
        <v>81</v>
      </c>
      <c r="J1070" t="s">
        <v>83</v>
      </c>
      <c r="L1070">
        <v>3</v>
      </c>
      <c r="M1070" t="s">
        <v>83</v>
      </c>
      <c r="O1070" t="s">
        <v>83</v>
      </c>
      <c r="P1070" t="s">
        <v>84</v>
      </c>
      <c r="Q1070" t="s">
        <v>85</v>
      </c>
    </row>
    <row r="1071" spans="1:17" hidden="1">
      <c r="A1071" t="s">
        <v>76</v>
      </c>
      <c r="B1071" t="s">
        <v>77</v>
      </c>
      <c r="C1071" t="s">
        <v>705</v>
      </c>
      <c r="D1071" t="s">
        <v>705</v>
      </c>
      <c r="E1071" t="s">
        <v>89</v>
      </c>
      <c r="F1071" t="s">
        <v>89</v>
      </c>
      <c r="G1071" t="s">
        <v>90</v>
      </c>
      <c r="H1071" t="s">
        <v>81</v>
      </c>
      <c r="J1071" t="s">
        <v>83</v>
      </c>
      <c r="K1071" t="s">
        <v>83</v>
      </c>
      <c r="L1071">
        <v>4</v>
      </c>
      <c r="M1071" t="s">
        <v>83</v>
      </c>
      <c r="O1071" t="s">
        <v>83</v>
      </c>
      <c r="P1071" t="s">
        <v>84</v>
      </c>
      <c r="Q1071" t="s">
        <v>85</v>
      </c>
    </row>
    <row r="1072" spans="1:17" hidden="1">
      <c r="A1072" t="s">
        <v>76</v>
      </c>
      <c r="B1072" t="s">
        <v>77</v>
      </c>
      <c r="C1072" t="s">
        <v>705</v>
      </c>
      <c r="D1072" t="s">
        <v>705</v>
      </c>
      <c r="E1072" t="s">
        <v>706</v>
      </c>
      <c r="F1072" t="s">
        <v>706</v>
      </c>
      <c r="G1072" t="s">
        <v>90</v>
      </c>
      <c r="H1072" t="s">
        <v>81</v>
      </c>
      <c r="I1072" t="s">
        <v>82</v>
      </c>
      <c r="L1072">
        <v>5</v>
      </c>
      <c r="M1072" t="s">
        <v>83</v>
      </c>
      <c r="O1072" t="s">
        <v>83</v>
      </c>
      <c r="P1072" t="s">
        <v>100</v>
      </c>
      <c r="Q1072" t="s">
        <v>85</v>
      </c>
    </row>
    <row r="1073" spans="1:17" hidden="1">
      <c r="A1073" t="s">
        <v>76</v>
      </c>
      <c r="B1073" t="s">
        <v>77</v>
      </c>
      <c r="C1073" t="s">
        <v>705</v>
      </c>
      <c r="D1073" t="s">
        <v>705</v>
      </c>
      <c r="E1073" t="s">
        <v>706</v>
      </c>
      <c r="F1073" t="s">
        <v>707</v>
      </c>
      <c r="G1073" t="s">
        <v>90</v>
      </c>
      <c r="H1073" t="s">
        <v>81</v>
      </c>
      <c r="L1073">
        <v>6</v>
      </c>
      <c r="M1073" t="s">
        <v>83</v>
      </c>
      <c r="O1073" t="s">
        <v>83</v>
      </c>
      <c r="P1073" t="s">
        <v>84</v>
      </c>
      <c r="Q1073" t="s">
        <v>85</v>
      </c>
    </row>
    <row r="1074" spans="1:17" hidden="1">
      <c r="A1074" t="s">
        <v>76</v>
      </c>
      <c r="B1074" t="s">
        <v>77</v>
      </c>
      <c r="C1074" t="s">
        <v>705</v>
      </c>
      <c r="D1074" t="s">
        <v>705</v>
      </c>
      <c r="E1074" t="s">
        <v>91</v>
      </c>
      <c r="F1074" t="s">
        <v>91</v>
      </c>
      <c r="G1074" t="s">
        <v>92</v>
      </c>
      <c r="H1074" t="s">
        <v>81</v>
      </c>
      <c r="J1074" t="s">
        <v>83</v>
      </c>
      <c r="L1074">
        <v>7</v>
      </c>
      <c r="M1074" t="s">
        <v>83</v>
      </c>
      <c r="O1074" t="s">
        <v>83</v>
      </c>
      <c r="P1074" t="s">
        <v>84</v>
      </c>
      <c r="Q1074" t="s">
        <v>85</v>
      </c>
    </row>
    <row r="1075" spans="1:17" hidden="1">
      <c r="A1075" t="s">
        <v>76</v>
      </c>
      <c r="B1075" t="s">
        <v>77</v>
      </c>
      <c r="C1075" t="s">
        <v>705</v>
      </c>
      <c r="D1075" t="s">
        <v>705</v>
      </c>
      <c r="E1075" t="s">
        <v>708</v>
      </c>
      <c r="F1075" t="s">
        <v>708</v>
      </c>
      <c r="G1075" t="s">
        <v>94</v>
      </c>
      <c r="H1075" t="s">
        <v>81</v>
      </c>
      <c r="L1075">
        <v>8</v>
      </c>
      <c r="M1075" t="s">
        <v>83</v>
      </c>
      <c r="O1075" t="s">
        <v>83</v>
      </c>
      <c r="P1075" t="s">
        <v>84</v>
      </c>
      <c r="Q1075" t="s">
        <v>85</v>
      </c>
    </row>
    <row r="1076" spans="1:17" hidden="1">
      <c r="A1076" t="s">
        <v>76</v>
      </c>
      <c r="B1076" t="s">
        <v>77</v>
      </c>
      <c r="C1076" t="s">
        <v>705</v>
      </c>
      <c r="D1076" t="s">
        <v>705</v>
      </c>
      <c r="E1076" t="s">
        <v>709</v>
      </c>
      <c r="F1076" t="s">
        <v>709</v>
      </c>
      <c r="G1076" t="s">
        <v>88</v>
      </c>
      <c r="H1076" t="s">
        <v>81</v>
      </c>
      <c r="L1076">
        <v>9</v>
      </c>
      <c r="M1076" t="s">
        <v>83</v>
      </c>
      <c r="O1076" t="s">
        <v>83</v>
      </c>
      <c r="P1076" t="s">
        <v>84</v>
      </c>
      <c r="Q1076" t="s">
        <v>85</v>
      </c>
    </row>
    <row r="1077" spans="1:17" hidden="1">
      <c r="A1077" t="s">
        <v>76</v>
      </c>
      <c r="B1077" t="s">
        <v>77</v>
      </c>
      <c r="C1077" t="s">
        <v>705</v>
      </c>
      <c r="D1077" t="s">
        <v>705</v>
      </c>
      <c r="E1077" t="s">
        <v>710</v>
      </c>
      <c r="F1077" t="s">
        <v>710</v>
      </c>
      <c r="G1077" t="s">
        <v>94</v>
      </c>
      <c r="H1077" t="s">
        <v>81</v>
      </c>
      <c r="L1077">
        <v>10</v>
      </c>
      <c r="M1077" t="s">
        <v>83</v>
      </c>
      <c r="O1077" t="s">
        <v>83</v>
      </c>
      <c r="P1077" t="s">
        <v>84</v>
      </c>
      <c r="Q1077" t="s">
        <v>85</v>
      </c>
    </row>
    <row r="1078" spans="1:17" hidden="1">
      <c r="A1078" t="s">
        <v>76</v>
      </c>
      <c r="B1078" t="s">
        <v>77</v>
      </c>
      <c r="C1078" t="s">
        <v>705</v>
      </c>
      <c r="D1078" t="s">
        <v>705</v>
      </c>
      <c r="E1078" t="s">
        <v>711</v>
      </c>
      <c r="F1078" t="s">
        <v>711</v>
      </c>
      <c r="G1078" t="s">
        <v>98</v>
      </c>
      <c r="H1078" t="s">
        <v>81</v>
      </c>
      <c r="L1078">
        <v>11</v>
      </c>
      <c r="M1078" t="s">
        <v>83</v>
      </c>
      <c r="O1078" t="s">
        <v>83</v>
      </c>
      <c r="P1078" t="s">
        <v>84</v>
      </c>
      <c r="Q1078" t="s">
        <v>85</v>
      </c>
    </row>
    <row r="1079" spans="1:17" hidden="1">
      <c r="A1079" t="s">
        <v>76</v>
      </c>
      <c r="B1079" t="s">
        <v>77</v>
      </c>
      <c r="C1079" t="s">
        <v>705</v>
      </c>
      <c r="D1079" t="s">
        <v>705</v>
      </c>
      <c r="E1079" t="s">
        <v>712</v>
      </c>
      <c r="F1079" t="s">
        <v>712</v>
      </c>
      <c r="G1079" t="s">
        <v>98</v>
      </c>
      <c r="H1079" t="s">
        <v>81</v>
      </c>
      <c r="L1079">
        <v>12</v>
      </c>
      <c r="M1079" t="s">
        <v>83</v>
      </c>
      <c r="O1079" t="s">
        <v>83</v>
      </c>
      <c r="P1079" t="s">
        <v>84</v>
      </c>
      <c r="Q1079" t="s">
        <v>85</v>
      </c>
    </row>
    <row r="1080" spans="1:17" hidden="1">
      <c r="A1080" t="s">
        <v>76</v>
      </c>
      <c r="B1080" t="s">
        <v>77</v>
      </c>
      <c r="C1080" t="s">
        <v>705</v>
      </c>
      <c r="D1080" t="s">
        <v>705</v>
      </c>
      <c r="E1080" t="s">
        <v>713</v>
      </c>
      <c r="F1080" t="s">
        <v>713</v>
      </c>
      <c r="G1080" t="s">
        <v>98</v>
      </c>
      <c r="H1080" t="s">
        <v>81</v>
      </c>
      <c r="L1080">
        <v>13</v>
      </c>
      <c r="M1080" t="s">
        <v>83</v>
      </c>
      <c r="O1080" t="s">
        <v>83</v>
      </c>
      <c r="P1080" t="s">
        <v>84</v>
      </c>
      <c r="Q1080" t="s">
        <v>85</v>
      </c>
    </row>
    <row r="1081" spans="1:17" hidden="1">
      <c r="A1081" t="s">
        <v>76</v>
      </c>
      <c r="B1081" t="s">
        <v>77</v>
      </c>
      <c r="C1081" t="s">
        <v>705</v>
      </c>
      <c r="D1081" t="s">
        <v>705</v>
      </c>
      <c r="E1081" t="s">
        <v>112</v>
      </c>
      <c r="F1081" t="s">
        <v>112</v>
      </c>
      <c r="G1081" t="s">
        <v>113</v>
      </c>
      <c r="H1081" t="s">
        <v>81</v>
      </c>
      <c r="I1081" t="s">
        <v>114</v>
      </c>
      <c r="L1081">
        <v>14</v>
      </c>
      <c r="M1081" t="s">
        <v>83</v>
      </c>
      <c r="O1081" t="s">
        <v>83</v>
      </c>
      <c r="P1081" t="s">
        <v>84</v>
      </c>
      <c r="Q1081" t="s">
        <v>85</v>
      </c>
    </row>
    <row r="1082" spans="1:17" hidden="1">
      <c r="A1082" t="s">
        <v>76</v>
      </c>
      <c r="B1082" t="s">
        <v>77</v>
      </c>
      <c r="C1082" t="s">
        <v>705</v>
      </c>
      <c r="D1082" t="s">
        <v>705</v>
      </c>
      <c r="E1082" t="s">
        <v>115</v>
      </c>
      <c r="F1082" t="s">
        <v>115</v>
      </c>
      <c r="G1082" t="s">
        <v>113</v>
      </c>
      <c r="H1082" t="s">
        <v>81</v>
      </c>
      <c r="I1082" t="s">
        <v>114</v>
      </c>
      <c r="L1082">
        <v>15</v>
      </c>
      <c r="M1082" t="s">
        <v>83</v>
      </c>
      <c r="O1082" t="s">
        <v>83</v>
      </c>
      <c r="P1082" t="s">
        <v>84</v>
      </c>
      <c r="Q1082" t="s">
        <v>85</v>
      </c>
    </row>
    <row r="1083" spans="1:17" hidden="1">
      <c r="A1083" t="s">
        <v>76</v>
      </c>
      <c r="B1083" t="s">
        <v>77</v>
      </c>
      <c r="C1083" t="s">
        <v>705</v>
      </c>
      <c r="D1083" t="s">
        <v>705</v>
      </c>
      <c r="E1083" t="s">
        <v>117</v>
      </c>
      <c r="F1083" t="s">
        <v>117</v>
      </c>
      <c r="G1083" t="s">
        <v>90</v>
      </c>
      <c r="H1083" t="s">
        <v>81</v>
      </c>
      <c r="L1083">
        <v>22</v>
      </c>
      <c r="M1083" t="s">
        <v>83</v>
      </c>
      <c r="O1083" t="s">
        <v>83</v>
      </c>
      <c r="P1083" t="s">
        <v>84</v>
      </c>
      <c r="Q1083" t="s">
        <v>85</v>
      </c>
    </row>
    <row r="1084" spans="1:17" hidden="1">
      <c r="A1084" t="s">
        <v>76</v>
      </c>
      <c r="B1084" t="s">
        <v>77</v>
      </c>
      <c r="C1084" t="s">
        <v>705</v>
      </c>
      <c r="D1084" t="s">
        <v>705</v>
      </c>
      <c r="E1084" t="s">
        <v>328</v>
      </c>
      <c r="F1084" t="s">
        <v>328</v>
      </c>
      <c r="G1084" t="s">
        <v>90</v>
      </c>
      <c r="H1084" t="s">
        <v>81</v>
      </c>
      <c r="L1084">
        <v>23</v>
      </c>
      <c r="M1084" t="s">
        <v>83</v>
      </c>
      <c r="O1084" t="s">
        <v>83</v>
      </c>
      <c r="P1084" t="s">
        <v>84</v>
      </c>
      <c r="Q1084" t="s">
        <v>85</v>
      </c>
    </row>
    <row r="1085" spans="1:17" hidden="1">
      <c r="A1085" t="s">
        <v>76</v>
      </c>
      <c r="B1085" t="s">
        <v>77</v>
      </c>
      <c r="C1085" t="s">
        <v>705</v>
      </c>
      <c r="D1085" t="s">
        <v>705</v>
      </c>
      <c r="E1085" t="s">
        <v>118</v>
      </c>
      <c r="F1085" t="s">
        <v>118</v>
      </c>
      <c r="G1085" t="s">
        <v>92</v>
      </c>
      <c r="H1085" t="s">
        <v>81</v>
      </c>
      <c r="L1085">
        <v>24</v>
      </c>
      <c r="M1085" t="s">
        <v>83</v>
      </c>
      <c r="O1085" t="s">
        <v>83</v>
      </c>
      <c r="P1085" t="s">
        <v>84</v>
      </c>
      <c r="Q1085" t="s">
        <v>85</v>
      </c>
    </row>
    <row r="1086" spans="1:17" hidden="1">
      <c r="A1086" t="s">
        <v>76</v>
      </c>
      <c r="B1086" t="s">
        <v>77</v>
      </c>
      <c r="C1086" t="s">
        <v>714</v>
      </c>
      <c r="D1086" t="s">
        <v>714</v>
      </c>
      <c r="E1086" t="s">
        <v>79</v>
      </c>
      <c r="F1086" t="s">
        <v>79</v>
      </c>
      <c r="G1086" t="s">
        <v>80</v>
      </c>
      <c r="H1086" t="s">
        <v>81</v>
      </c>
      <c r="I1086" t="s">
        <v>82</v>
      </c>
      <c r="L1086">
        <v>1</v>
      </c>
      <c r="M1086" t="s">
        <v>83</v>
      </c>
      <c r="O1086" t="s">
        <v>83</v>
      </c>
      <c r="P1086" t="s">
        <v>84</v>
      </c>
      <c r="Q1086" t="s">
        <v>85</v>
      </c>
    </row>
    <row r="1087" spans="1:17" hidden="1">
      <c r="A1087" t="s">
        <v>76</v>
      </c>
      <c r="B1087" t="s">
        <v>77</v>
      </c>
      <c r="C1087" t="s">
        <v>714</v>
      </c>
      <c r="D1087" t="s">
        <v>714</v>
      </c>
      <c r="E1087" t="s">
        <v>86</v>
      </c>
      <c r="F1087" t="s">
        <v>86</v>
      </c>
      <c r="G1087" t="s">
        <v>80</v>
      </c>
      <c r="H1087" t="s">
        <v>81</v>
      </c>
      <c r="I1087" t="s">
        <v>82</v>
      </c>
      <c r="L1087">
        <v>2</v>
      </c>
      <c r="M1087" t="s">
        <v>83</v>
      </c>
      <c r="O1087" t="s">
        <v>83</v>
      </c>
      <c r="P1087" t="s">
        <v>84</v>
      </c>
      <c r="Q1087" t="s">
        <v>85</v>
      </c>
    </row>
    <row r="1088" spans="1:17" hidden="1">
      <c r="A1088" t="s">
        <v>76</v>
      </c>
      <c r="B1088" t="s">
        <v>77</v>
      </c>
      <c r="C1088" t="s">
        <v>714</v>
      </c>
      <c r="D1088" t="s">
        <v>714</v>
      </c>
      <c r="E1088" t="s">
        <v>87</v>
      </c>
      <c r="F1088" t="s">
        <v>87</v>
      </c>
      <c r="G1088" t="s">
        <v>88</v>
      </c>
      <c r="H1088" t="s">
        <v>81</v>
      </c>
      <c r="J1088" t="s">
        <v>83</v>
      </c>
      <c r="L1088">
        <v>3</v>
      </c>
      <c r="M1088" t="s">
        <v>83</v>
      </c>
      <c r="O1088" t="s">
        <v>83</v>
      </c>
      <c r="P1088" t="s">
        <v>84</v>
      </c>
      <c r="Q1088" t="s">
        <v>85</v>
      </c>
    </row>
    <row r="1089" spans="1:17" hidden="1">
      <c r="A1089" t="s">
        <v>76</v>
      </c>
      <c r="B1089" t="s">
        <v>77</v>
      </c>
      <c r="C1089" t="s">
        <v>714</v>
      </c>
      <c r="D1089" t="s">
        <v>714</v>
      </c>
      <c r="E1089" t="s">
        <v>89</v>
      </c>
      <c r="F1089" t="s">
        <v>89</v>
      </c>
      <c r="G1089" t="s">
        <v>90</v>
      </c>
      <c r="H1089" t="s">
        <v>81</v>
      </c>
      <c r="J1089" t="s">
        <v>83</v>
      </c>
      <c r="K1089" t="s">
        <v>83</v>
      </c>
      <c r="L1089">
        <v>4</v>
      </c>
      <c r="M1089" t="s">
        <v>83</v>
      </c>
      <c r="O1089" t="s">
        <v>83</v>
      </c>
      <c r="P1089" t="s">
        <v>84</v>
      </c>
      <c r="Q1089" t="s">
        <v>85</v>
      </c>
    </row>
    <row r="1090" spans="1:17" hidden="1">
      <c r="A1090" t="s">
        <v>76</v>
      </c>
      <c r="B1090" t="s">
        <v>77</v>
      </c>
      <c r="C1090" t="s">
        <v>714</v>
      </c>
      <c r="D1090" t="s">
        <v>714</v>
      </c>
      <c r="E1090" t="s">
        <v>715</v>
      </c>
      <c r="F1090" t="s">
        <v>715</v>
      </c>
      <c r="G1090" t="s">
        <v>94</v>
      </c>
      <c r="H1090" t="s">
        <v>81</v>
      </c>
      <c r="L1090">
        <v>5</v>
      </c>
      <c r="M1090" t="s">
        <v>83</v>
      </c>
      <c r="O1090" t="s">
        <v>83</v>
      </c>
      <c r="P1090" t="s">
        <v>84</v>
      </c>
      <c r="Q1090" t="s">
        <v>85</v>
      </c>
    </row>
    <row r="1091" spans="1:17" hidden="1">
      <c r="A1091" t="s">
        <v>76</v>
      </c>
      <c r="B1091" t="s">
        <v>77</v>
      </c>
      <c r="C1091" t="s">
        <v>714</v>
      </c>
      <c r="D1091" t="s">
        <v>714</v>
      </c>
      <c r="E1091" t="s">
        <v>716</v>
      </c>
      <c r="F1091" t="s">
        <v>716</v>
      </c>
      <c r="G1091" t="s">
        <v>88</v>
      </c>
      <c r="H1091" t="s">
        <v>81</v>
      </c>
      <c r="L1091">
        <v>6</v>
      </c>
      <c r="M1091" t="s">
        <v>83</v>
      </c>
      <c r="O1091" t="s">
        <v>83</v>
      </c>
      <c r="P1091" t="s">
        <v>84</v>
      </c>
      <c r="Q1091" t="s">
        <v>85</v>
      </c>
    </row>
    <row r="1092" spans="1:17" hidden="1">
      <c r="A1092" t="s">
        <v>76</v>
      </c>
      <c r="B1092" t="s">
        <v>77</v>
      </c>
      <c r="C1092" t="s">
        <v>714</v>
      </c>
      <c r="D1092" t="s">
        <v>714</v>
      </c>
      <c r="E1092" t="s">
        <v>717</v>
      </c>
      <c r="F1092" t="s">
        <v>717</v>
      </c>
      <c r="G1092" t="s">
        <v>94</v>
      </c>
      <c r="H1092" t="s">
        <v>81</v>
      </c>
      <c r="L1092">
        <v>7</v>
      </c>
      <c r="M1092" t="s">
        <v>83</v>
      </c>
      <c r="O1092" t="s">
        <v>83</v>
      </c>
      <c r="P1092" t="s">
        <v>84</v>
      </c>
      <c r="Q1092" t="s">
        <v>85</v>
      </c>
    </row>
    <row r="1093" spans="1:17" hidden="1">
      <c r="A1093" t="s">
        <v>76</v>
      </c>
      <c r="B1093" t="s">
        <v>77</v>
      </c>
      <c r="C1093" t="s">
        <v>714</v>
      </c>
      <c r="D1093" t="s">
        <v>714</v>
      </c>
      <c r="E1093" t="s">
        <v>718</v>
      </c>
      <c r="F1093" t="s">
        <v>718</v>
      </c>
      <c r="G1093" t="s">
        <v>90</v>
      </c>
      <c r="H1093" t="s">
        <v>81</v>
      </c>
      <c r="I1093" t="s">
        <v>82</v>
      </c>
      <c r="L1093">
        <v>8</v>
      </c>
      <c r="M1093" t="s">
        <v>83</v>
      </c>
      <c r="O1093" t="s">
        <v>83</v>
      </c>
      <c r="P1093" t="s">
        <v>100</v>
      </c>
      <c r="Q1093" t="s">
        <v>85</v>
      </c>
    </row>
    <row r="1094" spans="1:17" hidden="1">
      <c r="A1094" t="s">
        <v>76</v>
      </c>
      <c r="B1094" t="s">
        <v>77</v>
      </c>
      <c r="C1094" t="s">
        <v>714</v>
      </c>
      <c r="D1094" t="s">
        <v>714</v>
      </c>
      <c r="E1094" t="s">
        <v>718</v>
      </c>
      <c r="F1094" t="s">
        <v>719</v>
      </c>
      <c r="G1094" t="s">
        <v>90</v>
      </c>
      <c r="H1094" t="s">
        <v>81</v>
      </c>
      <c r="L1094">
        <v>9</v>
      </c>
      <c r="M1094" t="s">
        <v>83</v>
      </c>
      <c r="O1094" t="s">
        <v>83</v>
      </c>
      <c r="P1094" t="s">
        <v>84</v>
      </c>
      <c r="Q1094" t="s">
        <v>85</v>
      </c>
    </row>
    <row r="1095" spans="1:17" hidden="1">
      <c r="A1095" t="s">
        <v>76</v>
      </c>
      <c r="B1095" t="s">
        <v>77</v>
      </c>
      <c r="C1095" t="s">
        <v>714</v>
      </c>
      <c r="D1095" t="s">
        <v>714</v>
      </c>
      <c r="E1095" t="s">
        <v>91</v>
      </c>
      <c r="F1095" t="s">
        <v>91</v>
      </c>
      <c r="G1095" t="s">
        <v>92</v>
      </c>
      <c r="H1095" t="s">
        <v>81</v>
      </c>
      <c r="J1095" t="s">
        <v>83</v>
      </c>
      <c r="L1095">
        <v>10</v>
      </c>
      <c r="M1095" t="s">
        <v>83</v>
      </c>
      <c r="O1095" t="s">
        <v>83</v>
      </c>
      <c r="P1095" t="s">
        <v>84</v>
      </c>
      <c r="Q1095" t="s">
        <v>85</v>
      </c>
    </row>
    <row r="1096" spans="1:17" hidden="1">
      <c r="A1096" t="s">
        <v>76</v>
      </c>
      <c r="B1096" t="s">
        <v>77</v>
      </c>
      <c r="C1096" t="s">
        <v>714</v>
      </c>
      <c r="D1096" t="s">
        <v>714</v>
      </c>
      <c r="E1096" t="s">
        <v>720</v>
      </c>
      <c r="F1096" t="s">
        <v>720</v>
      </c>
      <c r="G1096" t="s">
        <v>98</v>
      </c>
      <c r="H1096" t="s">
        <v>81</v>
      </c>
      <c r="L1096">
        <v>11</v>
      </c>
      <c r="M1096" t="s">
        <v>83</v>
      </c>
      <c r="O1096" t="s">
        <v>83</v>
      </c>
      <c r="P1096" t="s">
        <v>84</v>
      </c>
      <c r="Q1096" t="s">
        <v>85</v>
      </c>
    </row>
    <row r="1097" spans="1:17" hidden="1">
      <c r="A1097" t="s">
        <v>76</v>
      </c>
      <c r="B1097" t="s">
        <v>77</v>
      </c>
      <c r="C1097" t="s">
        <v>714</v>
      </c>
      <c r="D1097" t="s">
        <v>714</v>
      </c>
      <c r="E1097" t="s">
        <v>721</v>
      </c>
      <c r="F1097" t="s">
        <v>721</v>
      </c>
      <c r="G1097" t="s">
        <v>98</v>
      </c>
      <c r="H1097" t="s">
        <v>81</v>
      </c>
      <c r="L1097">
        <v>12</v>
      </c>
      <c r="M1097" t="s">
        <v>83</v>
      </c>
      <c r="O1097" t="s">
        <v>83</v>
      </c>
      <c r="P1097" t="s">
        <v>84</v>
      </c>
      <c r="Q1097" t="s">
        <v>85</v>
      </c>
    </row>
    <row r="1098" spans="1:17" hidden="1">
      <c r="A1098" t="s">
        <v>76</v>
      </c>
      <c r="B1098" t="s">
        <v>77</v>
      </c>
      <c r="C1098" t="s">
        <v>714</v>
      </c>
      <c r="D1098" t="s">
        <v>714</v>
      </c>
      <c r="E1098" t="s">
        <v>722</v>
      </c>
      <c r="F1098" t="s">
        <v>722</v>
      </c>
      <c r="G1098" t="s">
        <v>98</v>
      </c>
      <c r="H1098" t="s">
        <v>81</v>
      </c>
      <c r="L1098">
        <v>13</v>
      </c>
      <c r="M1098" t="s">
        <v>83</v>
      </c>
      <c r="O1098" t="s">
        <v>83</v>
      </c>
      <c r="P1098" t="s">
        <v>84</v>
      </c>
      <c r="Q1098" t="s">
        <v>85</v>
      </c>
    </row>
    <row r="1099" spans="1:17" hidden="1">
      <c r="A1099" t="s">
        <v>76</v>
      </c>
      <c r="B1099" t="s">
        <v>77</v>
      </c>
      <c r="C1099" t="s">
        <v>714</v>
      </c>
      <c r="D1099" t="s">
        <v>714</v>
      </c>
      <c r="E1099" t="s">
        <v>112</v>
      </c>
      <c r="F1099" t="s">
        <v>112</v>
      </c>
      <c r="G1099" t="s">
        <v>113</v>
      </c>
      <c r="H1099" t="s">
        <v>81</v>
      </c>
      <c r="I1099" t="s">
        <v>114</v>
      </c>
      <c r="L1099">
        <v>14</v>
      </c>
      <c r="M1099" t="s">
        <v>83</v>
      </c>
      <c r="O1099" t="s">
        <v>83</v>
      </c>
      <c r="P1099" t="s">
        <v>84</v>
      </c>
      <c r="Q1099" t="s">
        <v>85</v>
      </c>
    </row>
    <row r="1100" spans="1:17" hidden="1">
      <c r="A1100" t="s">
        <v>76</v>
      </c>
      <c r="B1100" t="s">
        <v>77</v>
      </c>
      <c r="C1100" t="s">
        <v>714</v>
      </c>
      <c r="D1100" t="s">
        <v>714</v>
      </c>
      <c r="E1100" t="s">
        <v>115</v>
      </c>
      <c r="F1100" t="s">
        <v>115</v>
      </c>
      <c r="G1100" t="s">
        <v>113</v>
      </c>
      <c r="H1100" t="s">
        <v>81</v>
      </c>
      <c r="I1100" t="s">
        <v>114</v>
      </c>
      <c r="L1100">
        <v>15</v>
      </c>
      <c r="M1100" t="s">
        <v>83</v>
      </c>
      <c r="O1100" t="s">
        <v>83</v>
      </c>
      <c r="P1100" t="s">
        <v>84</v>
      </c>
      <c r="Q1100" t="s">
        <v>85</v>
      </c>
    </row>
    <row r="1101" spans="1:17" hidden="1">
      <c r="A1101" t="s">
        <v>76</v>
      </c>
      <c r="B1101" t="s">
        <v>77</v>
      </c>
      <c r="C1101" t="s">
        <v>714</v>
      </c>
      <c r="D1101" t="s">
        <v>714</v>
      </c>
      <c r="E1101" t="s">
        <v>117</v>
      </c>
      <c r="F1101" t="s">
        <v>117</v>
      </c>
      <c r="G1101" t="s">
        <v>90</v>
      </c>
      <c r="H1101" t="s">
        <v>81</v>
      </c>
      <c r="L1101">
        <v>19</v>
      </c>
      <c r="M1101" t="s">
        <v>83</v>
      </c>
      <c r="O1101" t="s">
        <v>83</v>
      </c>
      <c r="P1101" t="s">
        <v>84</v>
      </c>
      <c r="Q1101" t="s">
        <v>85</v>
      </c>
    </row>
    <row r="1102" spans="1:17" hidden="1">
      <c r="A1102" t="s">
        <v>76</v>
      </c>
      <c r="B1102" t="s">
        <v>77</v>
      </c>
      <c r="C1102" t="s">
        <v>714</v>
      </c>
      <c r="D1102" t="s">
        <v>714</v>
      </c>
      <c r="E1102" t="s">
        <v>327</v>
      </c>
      <c r="F1102" t="s">
        <v>327</v>
      </c>
      <c r="G1102" t="s">
        <v>90</v>
      </c>
      <c r="H1102" t="s">
        <v>81</v>
      </c>
      <c r="L1102">
        <v>20</v>
      </c>
      <c r="M1102" t="s">
        <v>83</v>
      </c>
      <c r="O1102" t="s">
        <v>83</v>
      </c>
      <c r="P1102" t="s">
        <v>84</v>
      </c>
      <c r="Q1102" t="s">
        <v>85</v>
      </c>
    </row>
    <row r="1103" spans="1:17" hidden="1">
      <c r="A1103" t="s">
        <v>76</v>
      </c>
      <c r="B1103" t="s">
        <v>77</v>
      </c>
      <c r="C1103" t="s">
        <v>714</v>
      </c>
      <c r="D1103" t="s">
        <v>714</v>
      </c>
      <c r="E1103" t="s">
        <v>328</v>
      </c>
      <c r="F1103" t="s">
        <v>328</v>
      </c>
      <c r="G1103" t="s">
        <v>90</v>
      </c>
      <c r="H1103" t="s">
        <v>81</v>
      </c>
      <c r="L1103">
        <v>21</v>
      </c>
      <c r="M1103" t="s">
        <v>83</v>
      </c>
      <c r="O1103" t="s">
        <v>83</v>
      </c>
      <c r="P1103" t="s">
        <v>84</v>
      </c>
      <c r="Q1103" t="s">
        <v>85</v>
      </c>
    </row>
    <row r="1104" spans="1:17" hidden="1">
      <c r="A1104" t="s">
        <v>76</v>
      </c>
      <c r="B1104" t="s">
        <v>77</v>
      </c>
      <c r="C1104" t="s">
        <v>714</v>
      </c>
      <c r="D1104" t="s">
        <v>714</v>
      </c>
      <c r="E1104" t="s">
        <v>118</v>
      </c>
      <c r="F1104" t="s">
        <v>118</v>
      </c>
      <c r="G1104" t="s">
        <v>92</v>
      </c>
      <c r="H1104" t="s">
        <v>81</v>
      </c>
      <c r="L1104">
        <v>25</v>
      </c>
      <c r="M1104" t="s">
        <v>83</v>
      </c>
      <c r="O1104" t="s">
        <v>83</v>
      </c>
      <c r="P1104" t="s">
        <v>84</v>
      </c>
      <c r="Q1104" t="s">
        <v>85</v>
      </c>
    </row>
    <row r="1105" spans="1:17" hidden="1">
      <c r="A1105" t="s">
        <v>76</v>
      </c>
      <c r="B1105" t="s">
        <v>77</v>
      </c>
      <c r="C1105" t="s">
        <v>723</v>
      </c>
      <c r="D1105" t="s">
        <v>723</v>
      </c>
      <c r="E1105" t="s">
        <v>79</v>
      </c>
      <c r="F1105" t="s">
        <v>79</v>
      </c>
      <c r="G1105" t="s">
        <v>80</v>
      </c>
      <c r="H1105" t="s">
        <v>81</v>
      </c>
      <c r="I1105" t="s">
        <v>82</v>
      </c>
      <c r="L1105">
        <v>1</v>
      </c>
      <c r="M1105" t="s">
        <v>83</v>
      </c>
      <c r="O1105" t="s">
        <v>83</v>
      </c>
      <c r="P1105" t="s">
        <v>84</v>
      </c>
      <c r="Q1105" t="s">
        <v>85</v>
      </c>
    </row>
    <row r="1106" spans="1:17" hidden="1">
      <c r="A1106" t="s">
        <v>76</v>
      </c>
      <c r="B1106" t="s">
        <v>77</v>
      </c>
      <c r="C1106" t="s">
        <v>723</v>
      </c>
      <c r="D1106" t="s">
        <v>723</v>
      </c>
      <c r="E1106" t="s">
        <v>86</v>
      </c>
      <c r="F1106" t="s">
        <v>86</v>
      </c>
      <c r="G1106" t="s">
        <v>80</v>
      </c>
      <c r="H1106" t="s">
        <v>81</v>
      </c>
      <c r="I1106" t="s">
        <v>82</v>
      </c>
      <c r="L1106">
        <v>2</v>
      </c>
      <c r="M1106" t="s">
        <v>83</v>
      </c>
      <c r="O1106" t="s">
        <v>83</v>
      </c>
      <c r="P1106" t="s">
        <v>84</v>
      </c>
      <c r="Q1106" t="s">
        <v>85</v>
      </c>
    </row>
    <row r="1107" spans="1:17" hidden="1">
      <c r="A1107" t="s">
        <v>76</v>
      </c>
      <c r="B1107" t="s">
        <v>77</v>
      </c>
      <c r="C1107" t="s">
        <v>723</v>
      </c>
      <c r="D1107" t="s">
        <v>723</v>
      </c>
      <c r="E1107" t="s">
        <v>87</v>
      </c>
      <c r="F1107" t="s">
        <v>87</v>
      </c>
      <c r="G1107" t="s">
        <v>88</v>
      </c>
      <c r="H1107" t="s">
        <v>81</v>
      </c>
      <c r="J1107" t="s">
        <v>83</v>
      </c>
      <c r="L1107">
        <v>3</v>
      </c>
      <c r="M1107" t="s">
        <v>83</v>
      </c>
      <c r="O1107" t="s">
        <v>83</v>
      </c>
      <c r="P1107" t="s">
        <v>84</v>
      </c>
      <c r="Q1107" t="s">
        <v>85</v>
      </c>
    </row>
    <row r="1108" spans="1:17" hidden="1">
      <c r="A1108" t="s">
        <v>76</v>
      </c>
      <c r="B1108" t="s">
        <v>77</v>
      </c>
      <c r="C1108" t="s">
        <v>723</v>
      </c>
      <c r="D1108" t="s">
        <v>723</v>
      </c>
      <c r="E1108" t="s">
        <v>89</v>
      </c>
      <c r="F1108" t="s">
        <v>89</v>
      </c>
      <c r="G1108" t="s">
        <v>90</v>
      </c>
      <c r="H1108" t="s">
        <v>81</v>
      </c>
      <c r="J1108" t="s">
        <v>83</v>
      </c>
      <c r="K1108" t="s">
        <v>83</v>
      </c>
      <c r="L1108">
        <v>4</v>
      </c>
      <c r="M1108" t="s">
        <v>83</v>
      </c>
      <c r="O1108" t="s">
        <v>83</v>
      </c>
      <c r="P1108" t="s">
        <v>84</v>
      </c>
      <c r="Q1108" t="s">
        <v>85</v>
      </c>
    </row>
    <row r="1109" spans="1:17" hidden="1">
      <c r="A1109" t="s">
        <v>76</v>
      </c>
      <c r="B1109" t="s">
        <v>77</v>
      </c>
      <c r="C1109" t="s">
        <v>723</v>
      </c>
      <c r="D1109" t="s">
        <v>723</v>
      </c>
      <c r="E1109" t="s">
        <v>724</v>
      </c>
      <c r="F1109" t="s">
        <v>724</v>
      </c>
      <c r="G1109" t="s">
        <v>90</v>
      </c>
      <c r="H1109" t="s">
        <v>81</v>
      </c>
      <c r="I1109" t="s">
        <v>82</v>
      </c>
      <c r="L1109">
        <v>5</v>
      </c>
      <c r="M1109" t="s">
        <v>83</v>
      </c>
      <c r="O1109" t="s">
        <v>83</v>
      </c>
      <c r="P1109" t="s">
        <v>100</v>
      </c>
      <c r="Q1109" t="s">
        <v>85</v>
      </c>
    </row>
    <row r="1110" spans="1:17" hidden="1">
      <c r="A1110" t="s">
        <v>76</v>
      </c>
      <c r="B1110" t="s">
        <v>77</v>
      </c>
      <c r="C1110" t="s">
        <v>723</v>
      </c>
      <c r="D1110" t="s">
        <v>723</v>
      </c>
      <c r="E1110" t="s">
        <v>724</v>
      </c>
      <c r="F1110" t="s">
        <v>725</v>
      </c>
      <c r="G1110" t="s">
        <v>90</v>
      </c>
      <c r="H1110" t="s">
        <v>81</v>
      </c>
      <c r="L1110">
        <v>6</v>
      </c>
      <c r="M1110" t="s">
        <v>83</v>
      </c>
      <c r="O1110" t="s">
        <v>83</v>
      </c>
      <c r="P1110" t="s">
        <v>84</v>
      </c>
      <c r="Q1110" t="s">
        <v>85</v>
      </c>
    </row>
    <row r="1111" spans="1:17" hidden="1">
      <c r="A1111" t="s">
        <v>76</v>
      </c>
      <c r="B1111" t="s">
        <v>77</v>
      </c>
      <c r="C1111" t="s">
        <v>723</v>
      </c>
      <c r="D1111" t="s">
        <v>723</v>
      </c>
      <c r="E1111" t="s">
        <v>91</v>
      </c>
      <c r="F1111" t="s">
        <v>91</v>
      </c>
      <c r="G1111" t="s">
        <v>92</v>
      </c>
      <c r="H1111" t="s">
        <v>81</v>
      </c>
      <c r="J1111" t="s">
        <v>83</v>
      </c>
      <c r="L1111">
        <v>7</v>
      </c>
      <c r="M1111" t="s">
        <v>83</v>
      </c>
      <c r="O1111" t="s">
        <v>83</v>
      </c>
      <c r="P1111" t="s">
        <v>84</v>
      </c>
      <c r="Q1111" t="s">
        <v>85</v>
      </c>
    </row>
    <row r="1112" spans="1:17" hidden="1">
      <c r="A1112" t="s">
        <v>76</v>
      </c>
      <c r="B1112" t="s">
        <v>77</v>
      </c>
      <c r="C1112" t="s">
        <v>723</v>
      </c>
      <c r="D1112" t="s">
        <v>723</v>
      </c>
      <c r="E1112" t="s">
        <v>726</v>
      </c>
      <c r="F1112" t="s">
        <v>726</v>
      </c>
      <c r="G1112" t="s">
        <v>94</v>
      </c>
      <c r="H1112" t="s">
        <v>81</v>
      </c>
      <c r="L1112">
        <v>8</v>
      </c>
      <c r="M1112" t="s">
        <v>83</v>
      </c>
      <c r="O1112" t="s">
        <v>83</v>
      </c>
      <c r="P1112" t="s">
        <v>84</v>
      </c>
      <c r="Q1112" t="s">
        <v>85</v>
      </c>
    </row>
    <row r="1113" spans="1:17" hidden="1">
      <c r="A1113" t="s">
        <v>76</v>
      </c>
      <c r="B1113" t="s">
        <v>77</v>
      </c>
      <c r="C1113" t="s">
        <v>723</v>
      </c>
      <c r="D1113" t="s">
        <v>723</v>
      </c>
      <c r="E1113" t="s">
        <v>727</v>
      </c>
      <c r="F1113" t="s">
        <v>727</v>
      </c>
      <c r="G1113" t="s">
        <v>88</v>
      </c>
      <c r="H1113" t="s">
        <v>81</v>
      </c>
      <c r="L1113">
        <v>9</v>
      </c>
      <c r="M1113" t="s">
        <v>83</v>
      </c>
      <c r="O1113" t="s">
        <v>83</v>
      </c>
      <c r="P1113" t="s">
        <v>84</v>
      </c>
      <c r="Q1113" t="s">
        <v>85</v>
      </c>
    </row>
    <row r="1114" spans="1:17" hidden="1">
      <c r="A1114" t="s">
        <v>76</v>
      </c>
      <c r="B1114" t="s">
        <v>77</v>
      </c>
      <c r="C1114" t="s">
        <v>723</v>
      </c>
      <c r="D1114" t="s">
        <v>723</v>
      </c>
      <c r="E1114" t="s">
        <v>728</v>
      </c>
      <c r="F1114" t="s">
        <v>728</v>
      </c>
      <c r="G1114" t="s">
        <v>94</v>
      </c>
      <c r="H1114" t="s">
        <v>81</v>
      </c>
      <c r="L1114">
        <v>10</v>
      </c>
      <c r="M1114" t="s">
        <v>83</v>
      </c>
      <c r="O1114" t="s">
        <v>83</v>
      </c>
      <c r="P1114" t="s">
        <v>84</v>
      </c>
      <c r="Q1114" t="s">
        <v>85</v>
      </c>
    </row>
    <row r="1115" spans="1:17" hidden="1">
      <c r="A1115" t="s">
        <v>76</v>
      </c>
      <c r="B1115" t="s">
        <v>77</v>
      </c>
      <c r="C1115" t="s">
        <v>723</v>
      </c>
      <c r="D1115" t="s">
        <v>723</v>
      </c>
      <c r="E1115" t="s">
        <v>729</v>
      </c>
      <c r="F1115" t="s">
        <v>729</v>
      </c>
      <c r="G1115" t="s">
        <v>98</v>
      </c>
      <c r="H1115" t="s">
        <v>81</v>
      </c>
      <c r="L1115">
        <v>11</v>
      </c>
      <c r="M1115" t="s">
        <v>83</v>
      </c>
      <c r="O1115" t="s">
        <v>83</v>
      </c>
      <c r="P1115" t="s">
        <v>84</v>
      </c>
      <c r="Q1115" t="s">
        <v>85</v>
      </c>
    </row>
    <row r="1116" spans="1:17" hidden="1">
      <c r="A1116" t="s">
        <v>76</v>
      </c>
      <c r="B1116" t="s">
        <v>77</v>
      </c>
      <c r="C1116" t="s">
        <v>723</v>
      </c>
      <c r="D1116" t="s">
        <v>723</v>
      </c>
      <c r="E1116" t="s">
        <v>730</v>
      </c>
      <c r="F1116" t="s">
        <v>730</v>
      </c>
      <c r="G1116" t="s">
        <v>98</v>
      </c>
      <c r="H1116" t="s">
        <v>81</v>
      </c>
      <c r="L1116">
        <v>12</v>
      </c>
      <c r="M1116" t="s">
        <v>83</v>
      </c>
      <c r="O1116" t="s">
        <v>83</v>
      </c>
      <c r="P1116" t="s">
        <v>84</v>
      </c>
      <c r="Q1116" t="s">
        <v>85</v>
      </c>
    </row>
    <row r="1117" spans="1:17" hidden="1">
      <c r="A1117" t="s">
        <v>76</v>
      </c>
      <c r="B1117" t="s">
        <v>77</v>
      </c>
      <c r="C1117" t="s">
        <v>723</v>
      </c>
      <c r="D1117" t="s">
        <v>723</v>
      </c>
      <c r="E1117" t="s">
        <v>731</v>
      </c>
      <c r="F1117" t="s">
        <v>731</v>
      </c>
      <c r="G1117" t="s">
        <v>98</v>
      </c>
      <c r="H1117" t="s">
        <v>81</v>
      </c>
      <c r="L1117">
        <v>13</v>
      </c>
      <c r="M1117" t="s">
        <v>83</v>
      </c>
      <c r="O1117" t="s">
        <v>83</v>
      </c>
      <c r="P1117" t="s">
        <v>84</v>
      </c>
      <c r="Q1117" t="s">
        <v>85</v>
      </c>
    </row>
    <row r="1118" spans="1:17" hidden="1">
      <c r="A1118" t="s">
        <v>76</v>
      </c>
      <c r="B1118" t="s">
        <v>77</v>
      </c>
      <c r="C1118" t="s">
        <v>723</v>
      </c>
      <c r="D1118" t="s">
        <v>723</v>
      </c>
      <c r="E1118" t="s">
        <v>112</v>
      </c>
      <c r="F1118" t="s">
        <v>112</v>
      </c>
      <c r="G1118" t="s">
        <v>113</v>
      </c>
      <c r="H1118" t="s">
        <v>81</v>
      </c>
      <c r="I1118" t="s">
        <v>114</v>
      </c>
      <c r="L1118">
        <v>14</v>
      </c>
      <c r="M1118" t="s">
        <v>83</v>
      </c>
      <c r="O1118" t="s">
        <v>83</v>
      </c>
      <c r="P1118" t="s">
        <v>84</v>
      </c>
      <c r="Q1118" t="s">
        <v>85</v>
      </c>
    </row>
    <row r="1119" spans="1:17" hidden="1">
      <c r="A1119" t="s">
        <v>76</v>
      </c>
      <c r="B1119" t="s">
        <v>77</v>
      </c>
      <c r="C1119" t="s">
        <v>723</v>
      </c>
      <c r="D1119" t="s">
        <v>723</v>
      </c>
      <c r="E1119" t="s">
        <v>115</v>
      </c>
      <c r="F1119" t="s">
        <v>115</v>
      </c>
      <c r="G1119" t="s">
        <v>113</v>
      </c>
      <c r="H1119" t="s">
        <v>81</v>
      </c>
      <c r="I1119" t="s">
        <v>114</v>
      </c>
      <c r="L1119">
        <v>15</v>
      </c>
      <c r="M1119" t="s">
        <v>83</v>
      </c>
      <c r="O1119" t="s">
        <v>83</v>
      </c>
      <c r="P1119" t="s">
        <v>84</v>
      </c>
      <c r="Q1119" t="s">
        <v>85</v>
      </c>
    </row>
    <row r="1120" spans="1:17" hidden="1">
      <c r="A1120" t="s">
        <v>76</v>
      </c>
      <c r="B1120" t="s">
        <v>77</v>
      </c>
      <c r="C1120" t="s">
        <v>723</v>
      </c>
      <c r="D1120" t="s">
        <v>723</v>
      </c>
      <c r="E1120" t="s">
        <v>117</v>
      </c>
      <c r="F1120" t="s">
        <v>117</v>
      </c>
      <c r="G1120" t="s">
        <v>90</v>
      </c>
      <c r="H1120" t="s">
        <v>81</v>
      </c>
      <c r="L1120">
        <v>22</v>
      </c>
      <c r="M1120" t="s">
        <v>83</v>
      </c>
      <c r="O1120" t="s">
        <v>83</v>
      </c>
      <c r="P1120" t="s">
        <v>84</v>
      </c>
      <c r="Q1120" t="s">
        <v>85</v>
      </c>
    </row>
    <row r="1121" spans="1:17" hidden="1">
      <c r="A1121" t="s">
        <v>76</v>
      </c>
      <c r="B1121" t="s">
        <v>77</v>
      </c>
      <c r="C1121" t="s">
        <v>723</v>
      </c>
      <c r="D1121" t="s">
        <v>723</v>
      </c>
      <c r="E1121" t="s">
        <v>327</v>
      </c>
      <c r="F1121" t="s">
        <v>327</v>
      </c>
      <c r="G1121" t="s">
        <v>90</v>
      </c>
      <c r="H1121" t="s">
        <v>81</v>
      </c>
      <c r="L1121">
        <v>23</v>
      </c>
      <c r="M1121" t="s">
        <v>83</v>
      </c>
      <c r="O1121" t="s">
        <v>83</v>
      </c>
      <c r="P1121" t="s">
        <v>84</v>
      </c>
      <c r="Q1121" t="s">
        <v>85</v>
      </c>
    </row>
    <row r="1122" spans="1:17" hidden="1">
      <c r="A1122" t="s">
        <v>76</v>
      </c>
      <c r="B1122" t="s">
        <v>77</v>
      </c>
      <c r="C1122" t="s">
        <v>723</v>
      </c>
      <c r="D1122" t="s">
        <v>723</v>
      </c>
      <c r="E1122" t="s">
        <v>328</v>
      </c>
      <c r="F1122" t="s">
        <v>328</v>
      </c>
      <c r="G1122" t="s">
        <v>90</v>
      </c>
      <c r="H1122" t="s">
        <v>81</v>
      </c>
      <c r="L1122">
        <v>24</v>
      </c>
      <c r="M1122" t="s">
        <v>83</v>
      </c>
      <c r="O1122" t="s">
        <v>83</v>
      </c>
      <c r="P1122" t="s">
        <v>84</v>
      </c>
      <c r="Q1122" t="s">
        <v>85</v>
      </c>
    </row>
    <row r="1123" spans="1:17" hidden="1">
      <c r="A1123" t="s">
        <v>76</v>
      </c>
      <c r="B1123" t="s">
        <v>77</v>
      </c>
      <c r="C1123" t="s">
        <v>723</v>
      </c>
      <c r="D1123" t="s">
        <v>723</v>
      </c>
      <c r="E1123" t="s">
        <v>118</v>
      </c>
      <c r="F1123" t="s">
        <v>118</v>
      </c>
      <c r="G1123" t="s">
        <v>92</v>
      </c>
      <c r="H1123" t="s">
        <v>81</v>
      </c>
      <c r="L1123">
        <v>25</v>
      </c>
      <c r="M1123" t="s">
        <v>83</v>
      </c>
      <c r="O1123" t="s">
        <v>83</v>
      </c>
      <c r="P1123" t="s">
        <v>84</v>
      </c>
      <c r="Q1123" t="s">
        <v>85</v>
      </c>
    </row>
    <row r="1124" spans="1:17" hidden="1">
      <c r="A1124" t="s">
        <v>76</v>
      </c>
      <c r="B1124" t="s">
        <v>77</v>
      </c>
      <c r="C1124" t="s">
        <v>732</v>
      </c>
      <c r="D1124" t="s">
        <v>732</v>
      </c>
      <c r="E1124" t="s">
        <v>79</v>
      </c>
      <c r="F1124" t="s">
        <v>79</v>
      </c>
      <c r="G1124" t="s">
        <v>80</v>
      </c>
      <c r="H1124" t="s">
        <v>81</v>
      </c>
      <c r="I1124" t="s">
        <v>82</v>
      </c>
      <c r="L1124">
        <v>1</v>
      </c>
      <c r="M1124" t="s">
        <v>83</v>
      </c>
      <c r="O1124" t="s">
        <v>83</v>
      </c>
      <c r="P1124" t="s">
        <v>84</v>
      </c>
      <c r="Q1124" t="s">
        <v>85</v>
      </c>
    </row>
    <row r="1125" spans="1:17" hidden="1">
      <c r="A1125" t="s">
        <v>76</v>
      </c>
      <c r="B1125" t="s">
        <v>77</v>
      </c>
      <c r="C1125" t="s">
        <v>732</v>
      </c>
      <c r="D1125" t="s">
        <v>732</v>
      </c>
      <c r="E1125" t="s">
        <v>86</v>
      </c>
      <c r="F1125" t="s">
        <v>86</v>
      </c>
      <c r="G1125" t="s">
        <v>80</v>
      </c>
      <c r="H1125" t="s">
        <v>81</v>
      </c>
      <c r="I1125" t="s">
        <v>82</v>
      </c>
      <c r="L1125">
        <v>2</v>
      </c>
      <c r="M1125" t="s">
        <v>83</v>
      </c>
      <c r="O1125" t="s">
        <v>83</v>
      </c>
      <c r="P1125" t="s">
        <v>84</v>
      </c>
      <c r="Q1125" t="s">
        <v>85</v>
      </c>
    </row>
    <row r="1126" spans="1:17" hidden="1">
      <c r="A1126" t="s">
        <v>76</v>
      </c>
      <c r="B1126" t="s">
        <v>77</v>
      </c>
      <c r="C1126" t="s">
        <v>732</v>
      </c>
      <c r="D1126" t="s">
        <v>732</v>
      </c>
      <c r="E1126" t="s">
        <v>87</v>
      </c>
      <c r="F1126" t="s">
        <v>87</v>
      </c>
      <c r="G1126" t="s">
        <v>88</v>
      </c>
      <c r="H1126" t="s">
        <v>81</v>
      </c>
      <c r="J1126" t="s">
        <v>83</v>
      </c>
      <c r="L1126">
        <v>3</v>
      </c>
      <c r="M1126" t="s">
        <v>83</v>
      </c>
      <c r="O1126" t="s">
        <v>83</v>
      </c>
      <c r="P1126" t="s">
        <v>84</v>
      </c>
      <c r="Q1126" t="s">
        <v>85</v>
      </c>
    </row>
    <row r="1127" spans="1:17" hidden="1">
      <c r="A1127" t="s">
        <v>76</v>
      </c>
      <c r="B1127" t="s">
        <v>77</v>
      </c>
      <c r="C1127" t="s">
        <v>732</v>
      </c>
      <c r="D1127" t="s">
        <v>732</v>
      </c>
      <c r="E1127" t="s">
        <v>89</v>
      </c>
      <c r="F1127" t="s">
        <v>89</v>
      </c>
      <c r="G1127" t="s">
        <v>90</v>
      </c>
      <c r="H1127" t="s">
        <v>81</v>
      </c>
      <c r="J1127" t="s">
        <v>83</v>
      </c>
      <c r="K1127" t="s">
        <v>83</v>
      </c>
      <c r="L1127">
        <v>4</v>
      </c>
      <c r="M1127" t="s">
        <v>83</v>
      </c>
      <c r="O1127" t="s">
        <v>83</v>
      </c>
      <c r="P1127" t="s">
        <v>84</v>
      </c>
      <c r="Q1127" t="s">
        <v>85</v>
      </c>
    </row>
    <row r="1128" spans="1:17" hidden="1">
      <c r="A1128" t="s">
        <v>76</v>
      </c>
      <c r="B1128" t="s">
        <v>77</v>
      </c>
      <c r="C1128" t="s">
        <v>732</v>
      </c>
      <c r="D1128" t="s">
        <v>732</v>
      </c>
      <c r="E1128" t="s">
        <v>733</v>
      </c>
      <c r="F1128" t="s">
        <v>733</v>
      </c>
      <c r="G1128" t="s">
        <v>90</v>
      </c>
      <c r="H1128" t="s">
        <v>81</v>
      </c>
      <c r="I1128" t="s">
        <v>82</v>
      </c>
      <c r="L1128">
        <v>5</v>
      </c>
      <c r="M1128" t="s">
        <v>83</v>
      </c>
      <c r="O1128" t="s">
        <v>83</v>
      </c>
      <c r="P1128" t="s">
        <v>100</v>
      </c>
      <c r="Q1128" t="s">
        <v>85</v>
      </c>
    </row>
    <row r="1129" spans="1:17" hidden="1">
      <c r="A1129" t="s">
        <v>76</v>
      </c>
      <c r="B1129" t="s">
        <v>77</v>
      </c>
      <c r="C1129" t="s">
        <v>732</v>
      </c>
      <c r="D1129" t="s">
        <v>732</v>
      </c>
      <c r="E1129" t="s">
        <v>733</v>
      </c>
      <c r="F1129" t="s">
        <v>734</v>
      </c>
      <c r="G1129" t="s">
        <v>90</v>
      </c>
      <c r="H1129" t="s">
        <v>81</v>
      </c>
      <c r="L1129">
        <v>6</v>
      </c>
      <c r="M1129" t="s">
        <v>83</v>
      </c>
      <c r="O1129" t="s">
        <v>83</v>
      </c>
      <c r="P1129" t="s">
        <v>84</v>
      </c>
      <c r="Q1129" t="s">
        <v>85</v>
      </c>
    </row>
    <row r="1130" spans="1:17" hidden="1">
      <c r="A1130" t="s">
        <v>76</v>
      </c>
      <c r="B1130" t="s">
        <v>77</v>
      </c>
      <c r="C1130" t="s">
        <v>732</v>
      </c>
      <c r="D1130" t="s">
        <v>732</v>
      </c>
      <c r="E1130" t="s">
        <v>91</v>
      </c>
      <c r="F1130" t="s">
        <v>91</v>
      </c>
      <c r="G1130" t="s">
        <v>92</v>
      </c>
      <c r="H1130" t="s">
        <v>81</v>
      </c>
      <c r="J1130" t="s">
        <v>83</v>
      </c>
      <c r="L1130">
        <v>7</v>
      </c>
      <c r="M1130" t="s">
        <v>83</v>
      </c>
      <c r="O1130" t="s">
        <v>83</v>
      </c>
      <c r="P1130" t="s">
        <v>84</v>
      </c>
      <c r="Q1130" t="s">
        <v>85</v>
      </c>
    </row>
    <row r="1131" spans="1:17" hidden="1">
      <c r="A1131" t="s">
        <v>76</v>
      </c>
      <c r="B1131" t="s">
        <v>77</v>
      </c>
      <c r="C1131" t="s">
        <v>732</v>
      </c>
      <c r="D1131" t="s">
        <v>732</v>
      </c>
      <c r="E1131" t="s">
        <v>735</v>
      </c>
      <c r="F1131" t="s">
        <v>735</v>
      </c>
      <c r="G1131" t="s">
        <v>94</v>
      </c>
      <c r="H1131" t="s">
        <v>81</v>
      </c>
      <c r="L1131">
        <v>8</v>
      </c>
      <c r="M1131" t="s">
        <v>83</v>
      </c>
      <c r="O1131" t="s">
        <v>83</v>
      </c>
      <c r="P1131" t="s">
        <v>84</v>
      </c>
      <c r="Q1131" t="s">
        <v>85</v>
      </c>
    </row>
    <row r="1132" spans="1:17" hidden="1">
      <c r="A1132" t="s">
        <v>76</v>
      </c>
      <c r="B1132" t="s">
        <v>77</v>
      </c>
      <c r="C1132" t="s">
        <v>732</v>
      </c>
      <c r="D1132" t="s">
        <v>732</v>
      </c>
      <c r="E1132" t="s">
        <v>736</v>
      </c>
      <c r="F1132" t="s">
        <v>736</v>
      </c>
      <c r="G1132" t="s">
        <v>88</v>
      </c>
      <c r="H1132" t="s">
        <v>81</v>
      </c>
      <c r="L1132">
        <v>9</v>
      </c>
      <c r="M1132" t="s">
        <v>83</v>
      </c>
      <c r="O1132" t="s">
        <v>83</v>
      </c>
      <c r="P1132" t="s">
        <v>84</v>
      </c>
      <c r="Q1132" t="s">
        <v>85</v>
      </c>
    </row>
    <row r="1133" spans="1:17" hidden="1">
      <c r="A1133" t="s">
        <v>76</v>
      </c>
      <c r="B1133" t="s">
        <v>77</v>
      </c>
      <c r="C1133" t="s">
        <v>732</v>
      </c>
      <c r="D1133" t="s">
        <v>732</v>
      </c>
      <c r="E1133" t="s">
        <v>737</v>
      </c>
      <c r="F1133" t="s">
        <v>737</v>
      </c>
      <c r="G1133" t="s">
        <v>94</v>
      </c>
      <c r="H1133" t="s">
        <v>81</v>
      </c>
      <c r="L1133">
        <v>10</v>
      </c>
      <c r="M1133" t="s">
        <v>83</v>
      </c>
      <c r="O1133" t="s">
        <v>83</v>
      </c>
      <c r="P1133" t="s">
        <v>84</v>
      </c>
      <c r="Q1133" t="s">
        <v>85</v>
      </c>
    </row>
    <row r="1134" spans="1:17" hidden="1">
      <c r="A1134" t="s">
        <v>76</v>
      </c>
      <c r="B1134" t="s">
        <v>77</v>
      </c>
      <c r="C1134" t="s">
        <v>732</v>
      </c>
      <c r="D1134" t="s">
        <v>732</v>
      </c>
      <c r="E1134" t="s">
        <v>738</v>
      </c>
      <c r="F1134" t="s">
        <v>738</v>
      </c>
      <c r="G1134" t="s">
        <v>98</v>
      </c>
      <c r="H1134" t="s">
        <v>81</v>
      </c>
      <c r="L1134">
        <v>11</v>
      </c>
      <c r="M1134" t="s">
        <v>83</v>
      </c>
      <c r="O1134" t="s">
        <v>83</v>
      </c>
      <c r="P1134" t="s">
        <v>84</v>
      </c>
      <c r="Q1134" t="s">
        <v>85</v>
      </c>
    </row>
    <row r="1135" spans="1:17" hidden="1">
      <c r="A1135" t="s">
        <v>76</v>
      </c>
      <c r="B1135" t="s">
        <v>77</v>
      </c>
      <c r="C1135" t="s">
        <v>732</v>
      </c>
      <c r="D1135" t="s">
        <v>732</v>
      </c>
      <c r="E1135" t="s">
        <v>739</v>
      </c>
      <c r="F1135" t="s">
        <v>739</v>
      </c>
      <c r="G1135" t="s">
        <v>98</v>
      </c>
      <c r="H1135" t="s">
        <v>81</v>
      </c>
      <c r="L1135">
        <v>12</v>
      </c>
      <c r="M1135" t="s">
        <v>83</v>
      </c>
      <c r="O1135" t="s">
        <v>83</v>
      </c>
      <c r="P1135" t="s">
        <v>84</v>
      </c>
      <c r="Q1135" t="s">
        <v>85</v>
      </c>
    </row>
    <row r="1136" spans="1:17" hidden="1">
      <c r="A1136" t="s">
        <v>76</v>
      </c>
      <c r="B1136" t="s">
        <v>77</v>
      </c>
      <c r="C1136" t="s">
        <v>732</v>
      </c>
      <c r="D1136" t="s">
        <v>732</v>
      </c>
      <c r="E1136" t="s">
        <v>740</v>
      </c>
      <c r="F1136" t="s">
        <v>740</v>
      </c>
      <c r="G1136" t="s">
        <v>98</v>
      </c>
      <c r="H1136" t="s">
        <v>81</v>
      </c>
      <c r="L1136">
        <v>13</v>
      </c>
      <c r="M1136" t="s">
        <v>83</v>
      </c>
      <c r="O1136" t="s">
        <v>83</v>
      </c>
      <c r="P1136" t="s">
        <v>84</v>
      </c>
      <c r="Q1136" t="s">
        <v>85</v>
      </c>
    </row>
    <row r="1137" spans="1:17" hidden="1">
      <c r="A1137" t="s">
        <v>76</v>
      </c>
      <c r="B1137" t="s">
        <v>77</v>
      </c>
      <c r="C1137" t="s">
        <v>732</v>
      </c>
      <c r="D1137" t="s">
        <v>732</v>
      </c>
      <c r="E1137" t="s">
        <v>112</v>
      </c>
      <c r="F1137" t="s">
        <v>112</v>
      </c>
      <c r="G1137" t="s">
        <v>113</v>
      </c>
      <c r="H1137" t="s">
        <v>81</v>
      </c>
      <c r="I1137" t="s">
        <v>114</v>
      </c>
      <c r="L1137">
        <v>14</v>
      </c>
      <c r="M1137" t="s">
        <v>83</v>
      </c>
      <c r="O1137" t="s">
        <v>83</v>
      </c>
      <c r="P1137" t="s">
        <v>84</v>
      </c>
      <c r="Q1137" t="s">
        <v>85</v>
      </c>
    </row>
    <row r="1138" spans="1:17" hidden="1">
      <c r="A1138" t="s">
        <v>76</v>
      </c>
      <c r="B1138" t="s">
        <v>77</v>
      </c>
      <c r="C1138" t="s">
        <v>732</v>
      </c>
      <c r="D1138" t="s">
        <v>732</v>
      </c>
      <c r="E1138" t="s">
        <v>115</v>
      </c>
      <c r="F1138" t="s">
        <v>115</v>
      </c>
      <c r="G1138" t="s">
        <v>113</v>
      </c>
      <c r="H1138" t="s">
        <v>81</v>
      </c>
      <c r="I1138" t="s">
        <v>114</v>
      </c>
      <c r="L1138">
        <v>15</v>
      </c>
      <c r="M1138" t="s">
        <v>83</v>
      </c>
      <c r="O1138" t="s">
        <v>83</v>
      </c>
      <c r="P1138" t="s">
        <v>84</v>
      </c>
      <c r="Q1138" t="s">
        <v>85</v>
      </c>
    </row>
    <row r="1139" spans="1:17" hidden="1">
      <c r="A1139" t="s">
        <v>76</v>
      </c>
      <c r="B1139" t="s">
        <v>77</v>
      </c>
      <c r="C1139" t="s">
        <v>732</v>
      </c>
      <c r="D1139" t="s">
        <v>732</v>
      </c>
      <c r="E1139" t="s">
        <v>117</v>
      </c>
      <c r="F1139" t="s">
        <v>117</v>
      </c>
      <c r="G1139" t="s">
        <v>90</v>
      </c>
      <c r="H1139" t="s">
        <v>81</v>
      </c>
      <c r="L1139">
        <v>22</v>
      </c>
      <c r="M1139" t="s">
        <v>83</v>
      </c>
      <c r="O1139" t="s">
        <v>83</v>
      </c>
      <c r="P1139" t="s">
        <v>84</v>
      </c>
      <c r="Q1139" t="s">
        <v>85</v>
      </c>
    </row>
    <row r="1140" spans="1:17" hidden="1">
      <c r="A1140" t="s">
        <v>76</v>
      </c>
      <c r="B1140" t="s">
        <v>77</v>
      </c>
      <c r="C1140" t="s">
        <v>732</v>
      </c>
      <c r="D1140" t="s">
        <v>732</v>
      </c>
      <c r="E1140" t="s">
        <v>327</v>
      </c>
      <c r="F1140" t="s">
        <v>327</v>
      </c>
      <c r="G1140" t="s">
        <v>90</v>
      </c>
      <c r="H1140" t="s">
        <v>81</v>
      </c>
      <c r="L1140">
        <v>23</v>
      </c>
      <c r="M1140" t="s">
        <v>83</v>
      </c>
      <c r="O1140" t="s">
        <v>83</v>
      </c>
      <c r="P1140" t="s">
        <v>84</v>
      </c>
      <c r="Q1140" t="s">
        <v>85</v>
      </c>
    </row>
    <row r="1141" spans="1:17" hidden="1">
      <c r="A1141" t="s">
        <v>76</v>
      </c>
      <c r="B1141" t="s">
        <v>77</v>
      </c>
      <c r="C1141" t="s">
        <v>732</v>
      </c>
      <c r="D1141" t="s">
        <v>732</v>
      </c>
      <c r="E1141" t="s">
        <v>328</v>
      </c>
      <c r="F1141" t="s">
        <v>328</v>
      </c>
      <c r="G1141" t="s">
        <v>90</v>
      </c>
      <c r="H1141" t="s">
        <v>81</v>
      </c>
      <c r="L1141">
        <v>24</v>
      </c>
      <c r="M1141" t="s">
        <v>83</v>
      </c>
      <c r="O1141" t="s">
        <v>83</v>
      </c>
      <c r="P1141" t="s">
        <v>84</v>
      </c>
      <c r="Q1141" t="s">
        <v>85</v>
      </c>
    </row>
    <row r="1142" spans="1:17" hidden="1">
      <c r="A1142" t="s">
        <v>76</v>
      </c>
      <c r="B1142" t="s">
        <v>77</v>
      </c>
      <c r="C1142" t="s">
        <v>732</v>
      </c>
      <c r="D1142" t="s">
        <v>732</v>
      </c>
      <c r="E1142" t="s">
        <v>118</v>
      </c>
      <c r="F1142" t="s">
        <v>118</v>
      </c>
      <c r="G1142" t="s">
        <v>92</v>
      </c>
      <c r="H1142" t="s">
        <v>81</v>
      </c>
      <c r="L1142">
        <v>25</v>
      </c>
      <c r="M1142" t="s">
        <v>83</v>
      </c>
      <c r="O1142" t="s">
        <v>83</v>
      </c>
      <c r="P1142" t="s">
        <v>84</v>
      </c>
      <c r="Q1142" t="s">
        <v>85</v>
      </c>
    </row>
    <row r="1143" spans="1:17" hidden="1">
      <c r="A1143" t="s">
        <v>76</v>
      </c>
      <c r="B1143" t="s">
        <v>77</v>
      </c>
      <c r="C1143" t="s">
        <v>741</v>
      </c>
      <c r="D1143" t="s">
        <v>741</v>
      </c>
      <c r="E1143" t="s">
        <v>79</v>
      </c>
      <c r="F1143" t="s">
        <v>79</v>
      </c>
      <c r="G1143" t="s">
        <v>80</v>
      </c>
      <c r="H1143" t="s">
        <v>81</v>
      </c>
      <c r="I1143" t="s">
        <v>82</v>
      </c>
      <c r="L1143">
        <v>1</v>
      </c>
      <c r="M1143" t="s">
        <v>83</v>
      </c>
      <c r="O1143" t="s">
        <v>83</v>
      </c>
      <c r="P1143" t="s">
        <v>84</v>
      </c>
      <c r="Q1143" t="s">
        <v>85</v>
      </c>
    </row>
    <row r="1144" spans="1:17" hidden="1">
      <c r="A1144" t="s">
        <v>76</v>
      </c>
      <c r="B1144" t="s">
        <v>77</v>
      </c>
      <c r="C1144" t="s">
        <v>741</v>
      </c>
      <c r="D1144" t="s">
        <v>741</v>
      </c>
      <c r="E1144" t="s">
        <v>86</v>
      </c>
      <c r="F1144" t="s">
        <v>86</v>
      </c>
      <c r="G1144" t="s">
        <v>80</v>
      </c>
      <c r="H1144" t="s">
        <v>81</v>
      </c>
      <c r="I1144" t="s">
        <v>82</v>
      </c>
      <c r="L1144">
        <v>2</v>
      </c>
      <c r="M1144" t="s">
        <v>83</v>
      </c>
      <c r="O1144" t="s">
        <v>83</v>
      </c>
      <c r="P1144" t="s">
        <v>84</v>
      </c>
      <c r="Q1144" t="s">
        <v>85</v>
      </c>
    </row>
    <row r="1145" spans="1:17" hidden="1">
      <c r="A1145" t="s">
        <v>76</v>
      </c>
      <c r="B1145" t="s">
        <v>77</v>
      </c>
      <c r="C1145" t="s">
        <v>741</v>
      </c>
      <c r="D1145" t="s">
        <v>741</v>
      </c>
      <c r="E1145" t="s">
        <v>87</v>
      </c>
      <c r="F1145" t="s">
        <v>87</v>
      </c>
      <c r="G1145" t="s">
        <v>88</v>
      </c>
      <c r="H1145" t="s">
        <v>81</v>
      </c>
      <c r="J1145" t="s">
        <v>83</v>
      </c>
      <c r="L1145">
        <v>3</v>
      </c>
      <c r="M1145" t="s">
        <v>83</v>
      </c>
      <c r="O1145" t="s">
        <v>83</v>
      </c>
      <c r="P1145" t="s">
        <v>84</v>
      </c>
      <c r="Q1145" t="s">
        <v>85</v>
      </c>
    </row>
    <row r="1146" spans="1:17" hidden="1">
      <c r="A1146" t="s">
        <v>76</v>
      </c>
      <c r="B1146" t="s">
        <v>77</v>
      </c>
      <c r="C1146" t="s">
        <v>741</v>
      </c>
      <c r="D1146" t="s">
        <v>741</v>
      </c>
      <c r="E1146" t="s">
        <v>89</v>
      </c>
      <c r="F1146" t="s">
        <v>89</v>
      </c>
      <c r="G1146" t="s">
        <v>90</v>
      </c>
      <c r="H1146" t="s">
        <v>81</v>
      </c>
      <c r="J1146" t="s">
        <v>83</v>
      </c>
      <c r="K1146" t="s">
        <v>83</v>
      </c>
      <c r="L1146">
        <v>4</v>
      </c>
      <c r="M1146" t="s">
        <v>83</v>
      </c>
      <c r="O1146" t="s">
        <v>83</v>
      </c>
      <c r="P1146" t="s">
        <v>84</v>
      </c>
      <c r="Q1146" t="s">
        <v>85</v>
      </c>
    </row>
    <row r="1147" spans="1:17" hidden="1">
      <c r="A1147" t="s">
        <v>76</v>
      </c>
      <c r="B1147" t="s">
        <v>77</v>
      </c>
      <c r="C1147" t="s">
        <v>741</v>
      </c>
      <c r="D1147" t="s">
        <v>741</v>
      </c>
      <c r="E1147" t="s">
        <v>742</v>
      </c>
      <c r="F1147" t="s">
        <v>742</v>
      </c>
      <c r="G1147" t="s">
        <v>90</v>
      </c>
      <c r="H1147" t="s">
        <v>81</v>
      </c>
      <c r="I1147" t="s">
        <v>82</v>
      </c>
      <c r="L1147">
        <v>5</v>
      </c>
      <c r="M1147" t="s">
        <v>83</v>
      </c>
      <c r="O1147" t="s">
        <v>83</v>
      </c>
      <c r="P1147" t="s">
        <v>100</v>
      </c>
      <c r="Q1147" t="s">
        <v>85</v>
      </c>
    </row>
    <row r="1148" spans="1:17" hidden="1">
      <c r="A1148" t="s">
        <v>76</v>
      </c>
      <c r="B1148" t="s">
        <v>77</v>
      </c>
      <c r="C1148" t="s">
        <v>741</v>
      </c>
      <c r="D1148" t="s">
        <v>741</v>
      </c>
      <c r="E1148" t="s">
        <v>742</v>
      </c>
      <c r="F1148" t="s">
        <v>743</v>
      </c>
      <c r="G1148" t="s">
        <v>90</v>
      </c>
      <c r="H1148" t="s">
        <v>81</v>
      </c>
      <c r="L1148">
        <v>6</v>
      </c>
      <c r="M1148" t="s">
        <v>83</v>
      </c>
      <c r="O1148" t="s">
        <v>83</v>
      </c>
      <c r="P1148" t="s">
        <v>84</v>
      </c>
      <c r="Q1148" t="s">
        <v>85</v>
      </c>
    </row>
    <row r="1149" spans="1:17" hidden="1">
      <c r="A1149" t="s">
        <v>76</v>
      </c>
      <c r="B1149" t="s">
        <v>77</v>
      </c>
      <c r="C1149" t="s">
        <v>741</v>
      </c>
      <c r="D1149" t="s">
        <v>741</v>
      </c>
      <c r="E1149" t="s">
        <v>91</v>
      </c>
      <c r="F1149" t="s">
        <v>91</v>
      </c>
      <c r="G1149" t="s">
        <v>92</v>
      </c>
      <c r="H1149" t="s">
        <v>81</v>
      </c>
      <c r="J1149" t="s">
        <v>83</v>
      </c>
      <c r="L1149">
        <v>7</v>
      </c>
      <c r="M1149" t="s">
        <v>83</v>
      </c>
      <c r="O1149" t="s">
        <v>83</v>
      </c>
      <c r="P1149" t="s">
        <v>84</v>
      </c>
      <c r="Q1149" t="s">
        <v>85</v>
      </c>
    </row>
    <row r="1150" spans="1:17" hidden="1">
      <c r="A1150" t="s">
        <v>76</v>
      </c>
      <c r="B1150" t="s">
        <v>77</v>
      </c>
      <c r="C1150" t="s">
        <v>741</v>
      </c>
      <c r="D1150" t="s">
        <v>741</v>
      </c>
      <c r="E1150" t="s">
        <v>744</v>
      </c>
      <c r="F1150" t="s">
        <v>744</v>
      </c>
      <c r="G1150" t="s">
        <v>94</v>
      </c>
      <c r="H1150" t="s">
        <v>81</v>
      </c>
      <c r="L1150">
        <v>8</v>
      </c>
      <c r="M1150" t="s">
        <v>83</v>
      </c>
      <c r="O1150" t="s">
        <v>83</v>
      </c>
      <c r="P1150" t="s">
        <v>84</v>
      </c>
      <c r="Q1150" t="s">
        <v>85</v>
      </c>
    </row>
    <row r="1151" spans="1:17" hidden="1">
      <c r="A1151" t="s">
        <v>76</v>
      </c>
      <c r="B1151" t="s">
        <v>77</v>
      </c>
      <c r="C1151" t="s">
        <v>741</v>
      </c>
      <c r="D1151" t="s">
        <v>741</v>
      </c>
      <c r="E1151" t="s">
        <v>745</v>
      </c>
      <c r="F1151" t="s">
        <v>745</v>
      </c>
      <c r="G1151" t="s">
        <v>88</v>
      </c>
      <c r="H1151" t="s">
        <v>81</v>
      </c>
      <c r="L1151">
        <v>9</v>
      </c>
      <c r="M1151" t="s">
        <v>83</v>
      </c>
      <c r="O1151" t="s">
        <v>83</v>
      </c>
      <c r="P1151" t="s">
        <v>84</v>
      </c>
      <c r="Q1151" t="s">
        <v>85</v>
      </c>
    </row>
    <row r="1152" spans="1:17" hidden="1">
      <c r="A1152" t="s">
        <v>76</v>
      </c>
      <c r="B1152" t="s">
        <v>77</v>
      </c>
      <c r="C1152" t="s">
        <v>741</v>
      </c>
      <c r="D1152" t="s">
        <v>741</v>
      </c>
      <c r="E1152" t="s">
        <v>746</v>
      </c>
      <c r="F1152" t="s">
        <v>746</v>
      </c>
      <c r="G1152" t="s">
        <v>94</v>
      </c>
      <c r="H1152" t="s">
        <v>81</v>
      </c>
      <c r="L1152">
        <v>10</v>
      </c>
      <c r="M1152" t="s">
        <v>83</v>
      </c>
      <c r="O1152" t="s">
        <v>83</v>
      </c>
      <c r="P1152" t="s">
        <v>84</v>
      </c>
      <c r="Q1152" t="s">
        <v>85</v>
      </c>
    </row>
    <row r="1153" spans="1:17" hidden="1">
      <c r="A1153" t="s">
        <v>76</v>
      </c>
      <c r="B1153" t="s">
        <v>77</v>
      </c>
      <c r="C1153" t="s">
        <v>741</v>
      </c>
      <c r="D1153" t="s">
        <v>741</v>
      </c>
      <c r="E1153" t="s">
        <v>747</v>
      </c>
      <c r="F1153" t="s">
        <v>747</v>
      </c>
      <c r="G1153" t="s">
        <v>98</v>
      </c>
      <c r="H1153" t="s">
        <v>81</v>
      </c>
      <c r="L1153">
        <v>11</v>
      </c>
      <c r="M1153" t="s">
        <v>83</v>
      </c>
      <c r="O1153" t="s">
        <v>83</v>
      </c>
      <c r="P1153" t="s">
        <v>84</v>
      </c>
      <c r="Q1153" t="s">
        <v>85</v>
      </c>
    </row>
    <row r="1154" spans="1:17" hidden="1">
      <c r="A1154" t="s">
        <v>76</v>
      </c>
      <c r="B1154" t="s">
        <v>77</v>
      </c>
      <c r="C1154" t="s">
        <v>741</v>
      </c>
      <c r="D1154" t="s">
        <v>741</v>
      </c>
      <c r="E1154" t="s">
        <v>748</v>
      </c>
      <c r="F1154" t="s">
        <v>748</v>
      </c>
      <c r="G1154" t="s">
        <v>98</v>
      </c>
      <c r="H1154" t="s">
        <v>81</v>
      </c>
      <c r="L1154">
        <v>12</v>
      </c>
      <c r="M1154" t="s">
        <v>83</v>
      </c>
      <c r="O1154" t="s">
        <v>83</v>
      </c>
      <c r="P1154" t="s">
        <v>84</v>
      </c>
      <c r="Q1154" t="s">
        <v>85</v>
      </c>
    </row>
    <row r="1155" spans="1:17" hidden="1">
      <c r="A1155" t="s">
        <v>76</v>
      </c>
      <c r="B1155" t="s">
        <v>77</v>
      </c>
      <c r="C1155" t="s">
        <v>741</v>
      </c>
      <c r="D1155" t="s">
        <v>741</v>
      </c>
      <c r="E1155" t="s">
        <v>749</v>
      </c>
      <c r="F1155" t="s">
        <v>749</v>
      </c>
      <c r="G1155" t="s">
        <v>98</v>
      </c>
      <c r="H1155" t="s">
        <v>81</v>
      </c>
      <c r="L1155">
        <v>13</v>
      </c>
      <c r="M1155" t="s">
        <v>83</v>
      </c>
      <c r="O1155" t="s">
        <v>83</v>
      </c>
      <c r="P1155" t="s">
        <v>84</v>
      </c>
      <c r="Q1155" t="s">
        <v>85</v>
      </c>
    </row>
    <row r="1156" spans="1:17" hidden="1">
      <c r="A1156" t="s">
        <v>76</v>
      </c>
      <c r="B1156" t="s">
        <v>77</v>
      </c>
      <c r="C1156" t="s">
        <v>741</v>
      </c>
      <c r="D1156" t="s">
        <v>741</v>
      </c>
      <c r="E1156" t="s">
        <v>112</v>
      </c>
      <c r="F1156" t="s">
        <v>112</v>
      </c>
      <c r="G1156" t="s">
        <v>113</v>
      </c>
      <c r="H1156" t="s">
        <v>81</v>
      </c>
      <c r="I1156" t="s">
        <v>114</v>
      </c>
      <c r="L1156">
        <v>14</v>
      </c>
      <c r="M1156" t="s">
        <v>83</v>
      </c>
      <c r="O1156" t="s">
        <v>83</v>
      </c>
      <c r="P1156" t="s">
        <v>84</v>
      </c>
      <c r="Q1156" t="s">
        <v>85</v>
      </c>
    </row>
    <row r="1157" spans="1:17" hidden="1">
      <c r="A1157" t="s">
        <v>76</v>
      </c>
      <c r="B1157" t="s">
        <v>77</v>
      </c>
      <c r="C1157" t="s">
        <v>741</v>
      </c>
      <c r="D1157" t="s">
        <v>741</v>
      </c>
      <c r="E1157" t="s">
        <v>115</v>
      </c>
      <c r="F1157" t="s">
        <v>115</v>
      </c>
      <c r="G1157" t="s">
        <v>113</v>
      </c>
      <c r="H1157" t="s">
        <v>81</v>
      </c>
      <c r="I1157" t="s">
        <v>114</v>
      </c>
      <c r="L1157">
        <v>15</v>
      </c>
      <c r="M1157" t="s">
        <v>83</v>
      </c>
      <c r="O1157" t="s">
        <v>83</v>
      </c>
      <c r="P1157" t="s">
        <v>84</v>
      </c>
      <c r="Q1157" t="s">
        <v>85</v>
      </c>
    </row>
    <row r="1158" spans="1:17" hidden="1">
      <c r="A1158" t="s">
        <v>76</v>
      </c>
      <c r="B1158" t="s">
        <v>77</v>
      </c>
      <c r="C1158" t="s">
        <v>741</v>
      </c>
      <c r="D1158" t="s">
        <v>741</v>
      </c>
      <c r="E1158" t="s">
        <v>117</v>
      </c>
      <c r="F1158" t="s">
        <v>117</v>
      </c>
      <c r="G1158" t="s">
        <v>90</v>
      </c>
      <c r="H1158" t="s">
        <v>81</v>
      </c>
      <c r="L1158">
        <v>22</v>
      </c>
      <c r="M1158" t="s">
        <v>83</v>
      </c>
      <c r="O1158" t="s">
        <v>83</v>
      </c>
      <c r="P1158" t="s">
        <v>84</v>
      </c>
      <c r="Q1158" t="s">
        <v>85</v>
      </c>
    </row>
    <row r="1159" spans="1:17" hidden="1">
      <c r="A1159" t="s">
        <v>76</v>
      </c>
      <c r="B1159" t="s">
        <v>77</v>
      </c>
      <c r="C1159" t="s">
        <v>741</v>
      </c>
      <c r="D1159" t="s">
        <v>741</v>
      </c>
      <c r="E1159" t="s">
        <v>327</v>
      </c>
      <c r="F1159" t="s">
        <v>327</v>
      </c>
      <c r="G1159" t="s">
        <v>90</v>
      </c>
      <c r="H1159" t="s">
        <v>81</v>
      </c>
      <c r="L1159">
        <v>23</v>
      </c>
      <c r="M1159" t="s">
        <v>83</v>
      </c>
      <c r="O1159" t="s">
        <v>83</v>
      </c>
      <c r="P1159" t="s">
        <v>84</v>
      </c>
      <c r="Q1159" t="s">
        <v>85</v>
      </c>
    </row>
    <row r="1160" spans="1:17" hidden="1">
      <c r="A1160" t="s">
        <v>76</v>
      </c>
      <c r="B1160" t="s">
        <v>77</v>
      </c>
      <c r="C1160" t="s">
        <v>741</v>
      </c>
      <c r="D1160" t="s">
        <v>741</v>
      </c>
      <c r="E1160" t="s">
        <v>328</v>
      </c>
      <c r="F1160" t="s">
        <v>328</v>
      </c>
      <c r="G1160" t="s">
        <v>90</v>
      </c>
      <c r="H1160" t="s">
        <v>81</v>
      </c>
      <c r="L1160">
        <v>24</v>
      </c>
      <c r="M1160" t="s">
        <v>83</v>
      </c>
      <c r="O1160" t="s">
        <v>83</v>
      </c>
      <c r="P1160" t="s">
        <v>84</v>
      </c>
      <c r="Q1160" t="s">
        <v>85</v>
      </c>
    </row>
    <row r="1161" spans="1:17" hidden="1">
      <c r="A1161" t="s">
        <v>76</v>
      </c>
      <c r="B1161" t="s">
        <v>77</v>
      </c>
      <c r="C1161" t="s">
        <v>741</v>
      </c>
      <c r="D1161" t="s">
        <v>741</v>
      </c>
      <c r="E1161" t="s">
        <v>118</v>
      </c>
      <c r="F1161" t="s">
        <v>118</v>
      </c>
      <c r="G1161" t="s">
        <v>92</v>
      </c>
      <c r="H1161" t="s">
        <v>81</v>
      </c>
      <c r="L1161">
        <v>25</v>
      </c>
      <c r="M1161" t="s">
        <v>83</v>
      </c>
      <c r="O1161" t="s">
        <v>83</v>
      </c>
      <c r="P1161" t="s">
        <v>84</v>
      </c>
      <c r="Q1161" t="s">
        <v>85</v>
      </c>
    </row>
    <row r="1162" spans="1:17" hidden="1">
      <c r="A1162" t="s">
        <v>76</v>
      </c>
      <c r="B1162" t="s">
        <v>77</v>
      </c>
      <c r="C1162" t="s">
        <v>750</v>
      </c>
      <c r="D1162" t="s">
        <v>750</v>
      </c>
      <c r="E1162" t="s">
        <v>79</v>
      </c>
      <c r="F1162" t="s">
        <v>79</v>
      </c>
      <c r="G1162" t="s">
        <v>80</v>
      </c>
      <c r="H1162" t="s">
        <v>81</v>
      </c>
      <c r="I1162" t="s">
        <v>82</v>
      </c>
      <c r="L1162">
        <v>1</v>
      </c>
      <c r="M1162" t="s">
        <v>83</v>
      </c>
      <c r="O1162" t="s">
        <v>83</v>
      </c>
      <c r="P1162" t="s">
        <v>84</v>
      </c>
      <c r="Q1162" t="s">
        <v>85</v>
      </c>
    </row>
    <row r="1163" spans="1:17" hidden="1">
      <c r="A1163" t="s">
        <v>76</v>
      </c>
      <c r="B1163" t="s">
        <v>77</v>
      </c>
      <c r="C1163" t="s">
        <v>750</v>
      </c>
      <c r="D1163" t="s">
        <v>750</v>
      </c>
      <c r="E1163" t="s">
        <v>86</v>
      </c>
      <c r="F1163" t="s">
        <v>86</v>
      </c>
      <c r="G1163" t="s">
        <v>80</v>
      </c>
      <c r="H1163" t="s">
        <v>81</v>
      </c>
      <c r="I1163" t="s">
        <v>82</v>
      </c>
      <c r="L1163">
        <v>2</v>
      </c>
      <c r="M1163" t="s">
        <v>83</v>
      </c>
      <c r="O1163" t="s">
        <v>83</v>
      </c>
      <c r="P1163" t="s">
        <v>84</v>
      </c>
      <c r="Q1163" t="s">
        <v>85</v>
      </c>
    </row>
    <row r="1164" spans="1:17" hidden="1">
      <c r="A1164" t="s">
        <v>76</v>
      </c>
      <c r="B1164" t="s">
        <v>77</v>
      </c>
      <c r="C1164" t="s">
        <v>750</v>
      </c>
      <c r="D1164" t="s">
        <v>750</v>
      </c>
      <c r="E1164" t="s">
        <v>87</v>
      </c>
      <c r="F1164" t="s">
        <v>87</v>
      </c>
      <c r="G1164" t="s">
        <v>88</v>
      </c>
      <c r="H1164" t="s">
        <v>81</v>
      </c>
      <c r="J1164" t="s">
        <v>83</v>
      </c>
      <c r="L1164">
        <v>3</v>
      </c>
      <c r="M1164" t="s">
        <v>83</v>
      </c>
      <c r="O1164" t="s">
        <v>83</v>
      </c>
      <c r="P1164" t="s">
        <v>84</v>
      </c>
      <c r="Q1164" t="s">
        <v>85</v>
      </c>
    </row>
    <row r="1165" spans="1:17" hidden="1">
      <c r="A1165" t="s">
        <v>76</v>
      </c>
      <c r="B1165" t="s">
        <v>77</v>
      </c>
      <c r="C1165" t="s">
        <v>750</v>
      </c>
      <c r="D1165" t="s">
        <v>750</v>
      </c>
      <c r="E1165" t="s">
        <v>89</v>
      </c>
      <c r="F1165" t="s">
        <v>89</v>
      </c>
      <c r="G1165" t="s">
        <v>90</v>
      </c>
      <c r="H1165" t="s">
        <v>81</v>
      </c>
      <c r="J1165" t="s">
        <v>83</v>
      </c>
      <c r="K1165" t="s">
        <v>83</v>
      </c>
      <c r="L1165">
        <v>4</v>
      </c>
      <c r="M1165" t="s">
        <v>83</v>
      </c>
      <c r="O1165" t="s">
        <v>83</v>
      </c>
      <c r="P1165" t="s">
        <v>84</v>
      </c>
      <c r="Q1165" t="s">
        <v>85</v>
      </c>
    </row>
    <row r="1166" spans="1:17" hidden="1">
      <c r="A1166" t="s">
        <v>76</v>
      </c>
      <c r="B1166" t="s">
        <v>77</v>
      </c>
      <c r="C1166" t="s">
        <v>750</v>
      </c>
      <c r="D1166" t="s">
        <v>750</v>
      </c>
      <c r="E1166" t="s">
        <v>751</v>
      </c>
      <c r="F1166" t="s">
        <v>751</v>
      </c>
      <c r="G1166" t="s">
        <v>90</v>
      </c>
      <c r="H1166" t="s">
        <v>81</v>
      </c>
      <c r="J1166" t="s">
        <v>83</v>
      </c>
      <c r="L1166">
        <v>5</v>
      </c>
      <c r="M1166" t="s">
        <v>83</v>
      </c>
      <c r="O1166" t="s">
        <v>83</v>
      </c>
      <c r="P1166" t="s">
        <v>84</v>
      </c>
      <c r="Q1166" t="s">
        <v>85</v>
      </c>
    </row>
    <row r="1167" spans="1:17" hidden="1">
      <c r="A1167" t="s">
        <v>76</v>
      </c>
      <c r="B1167" t="s">
        <v>77</v>
      </c>
      <c r="C1167" t="s">
        <v>750</v>
      </c>
      <c r="D1167" t="s">
        <v>750</v>
      </c>
      <c r="E1167" t="s">
        <v>91</v>
      </c>
      <c r="F1167" t="s">
        <v>91</v>
      </c>
      <c r="G1167" t="s">
        <v>92</v>
      </c>
      <c r="H1167" t="s">
        <v>81</v>
      </c>
      <c r="J1167" t="s">
        <v>83</v>
      </c>
      <c r="L1167">
        <v>6</v>
      </c>
      <c r="M1167" t="s">
        <v>83</v>
      </c>
      <c r="O1167" t="s">
        <v>83</v>
      </c>
      <c r="P1167" t="s">
        <v>84</v>
      </c>
      <c r="Q1167" t="s">
        <v>85</v>
      </c>
    </row>
    <row r="1168" spans="1:17" hidden="1">
      <c r="A1168" t="s">
        <v>76</v>
      </c>
      <c r="B1168" t="s">
        <v>77</v>
      </c>
      <c r="C1168" t="s">
        <v>750</v>
      </c>
      <c r="D1168" t="s">
        <v>750</v>
      </c>
      <c r="E1168" t="s">
        <v>112</v>
      </c>
      <c r="F1168" t="s">
        <v>112</v>
      </c>
      <c r="G1168" t="s">
        <v>113</v>
      </c>
      <c r="H1168" t="s">
        <v>81</v>
      </c>
      <c r="I1168" t="s">
        <v>114</v>
      </c>
      <c r="L1168">
        <v>7</v>
      </c>
      <c r="M1168" t="s">
        <v>83</v>
      </c>
      <c r="O1168" t="s">
        <v>83</v>
      </c>
      <c r="P1168" t="s">
        <v>84</v>
      </c>
      <c r="Q1168" t="s">
        <v>85</v>
      </c>
    </row>
    <row r="1169" spans="1:17" hidden="1">
      <c r="A1169" t="s">
        <v>76</v>
      </c>
      <c r="B1169" t="s">
        <v>77</v>
      </c>
      <c r="C1169" t="s">
        <v>750</v>
      </c>
      <c r="D1169" t="s">
        <v>750</v>
      </c>
      <c r="E1169" t="s">
        <v>115</v>
      </c>
      <c r="F1169" t="s">
        <v>115</v>
      </c>
      <c r="G1169" t="s">
        <v>113</v>
      </c>
      <c r="H1169" t="s">
        <v>81</v>
      </c>
      <c r="I1169" t="s">
        <v>114</v>
      </c>
      <c r="L1169">
        <v>8</v>
      </c>
      <c r="M1169" t="s">
        <v>83</v>
      </c>
      <c r="O1169" t="s">
        <v>83</v>
      </c>
      <c r="P1169" t="s">
        <v>84</v>
      </c>
      <c r="Q1169" t="s">
        <v>85</v>
      </c>
    </row>
    <row r="1170" spans="1:17" hidden="1">
      <c r="A1170" t="s">
        <v>76</v>
      </c>
      <c r="B1170" t="s">
        <v>77</v>
      </c>
      <c r="C1170" t="s">
        <v>750</v>
      </c>
      <c r="D1170" t="s">
        <v>750</v>
      </c>
      <c r="E1170" t="s">
        <v>117</v>
      </c>
      <c r="F1170" t="s">
        <v>117</v>
      </c>
      <c r="G1170" t="s">
        <v>90</v>
      </c>
      <c r="H1170" t="s">
        <v>81</v>
      </c>
      <c r="L1170">
        <v>15</v>
      </c>
      <c r="M1170" t="s">
        <v>83</v>
      </c>
      <c r="O1170" t="s">
        <v>83</v>
      </c>
      <c r="P1170" t="s">
        <v>84</v>
      </c>
      <c r="Q1170" t="s">
        <v>85</v>
      </c>
    </row>
    <row r="1171" spans="1:17" hidden="1">
      <c r="A1171" t="s">
        <v>76</v>
      </c>
      <c r="B1171" t="s">
        <v>77</v>
      </c>
      <c r="C1171" t="s">
        <v>750</v>
      </c>
      <c r="D1171" t="s">
        <v>750</v>
      </c>
      <c r="E1171" t="s">
        <v>752</v>
      </c>
      <c r="F1171" t="s">
        <v>752</v>
      </c>
      <c r="G1171" t="s">
        <v>90</v>
      </c>
      <c r="H1171" t="s">
        <v>81</v>
      </c>
      <c r="L1171">
        <v>16</v>
      </c>
      <c r="M1171" t="s">
        <v>83</v>
      </c>
      <c r="O1171" t="s">
        <v>83</v>
      </c>
      <c r="P1171" t="s">
        <v>84</v>
      </c>
      <c r="Q1171" t="s">
        <v>85</v>
      </c>
    </row>
    <row r="1172" spans="1:17" hidden="1">
      <c r="A1172" t="s">
        <v>76</v>
      </c>
      <c r="B1172" t="s">
        <v>77</v>
      </c>
      <c r="C1172" t="s">
        <v>750</v>
      </c>
      <c r="D1172" t="s">
        <v>750</v>
      </c>
      <c r="E1172" t="s">
        <v>118</v>
      </c>
      <c r="F1172" t="s">
        <v>118</v>
      </c>
      <c r="G1172" t="s">
        <v>92</v>
      </c>
      <c r="H1172" t="s">
        <v>81</v>
      </c>
      <c r="L1172">
        <v>17</v>
      </c>
      <c r="M1172" t="s">
        <v>83</v>
      </c>
      <c r="O1172" t="s">
        <v>83</v>
      </c>
      <c r="P1172" t="s">
        <v>84</v>
      </c>
      <c r="Q1172" t="s">
        <v>85</v>
      </c>
    </row>
    <row r="1173" spans="1:17" hidden="1">
      <c r="A1173" t="s">
        <v>76</v>
      </c>
      <c r="B1173" t="s">
        <v>77</v>
      </c>
      <c r="C1173" t="s">
        <v>750</v>
      </c>
      <c r="D1173" t="s">
        <v>750</v>
      </c>
      <c r="E1173" t="s">
        <v>753</v>
      </c>
      <c r="F1173" t="s">
        <v>753</v>
      </c>
      <c r="G1173" t="s">
        <v>88</v>
      </c>
      <c r="H1173" t="s">
        <v>81</v>
      </c>
      <c r="L1173">
        <v>18</v>
      </c>
      <c r="M1173" t="s">
        <v>83</v>
      </c>
      <c r="O1173" t="s">
        <v>83</v>
      </c>
      <c r="P1173" t="s">
        <v>84</v>
      </c>
      <c r="Q1173" t="s">
        <v>85</v>
      </c>
    </row>
    <row r="1174" spans="1:17" hidden="1">
      <c r="A1174" t="s">
        <v>76</v>
      </c>
      <c r="B1174" t="s">
        <v>77</v>
      </c>
      <c r="C1174" t="s">
        <v>754</v>
      </c>
      <c r="D1174" t="s">
        <v>754</v>
      </c>
      <c r="E1174" t="s">
        <v>79</v>
      </c>
      <c r="F1174" t="s">
        <v>79</v>
      </c>
      <c r="G1174" t="s">
        <v>80</v>
      </c>
      <c r="H1174" t="s">
        <v>81</v>
      </c>
      <c r="I1174" t="s">
        <v>82</v>
      </c>
      <c r="L1174">
        <v>1</v>
      </c>
      <c r="M1174" t="s">
        <v>83</v>
      </c>
      <c r="O1174" t="s">
        <v>83</v>
      </c>
      <c r="P1174" t="s">
        <v>84</v>
      </c>
      <c r="Q1174" t="s">
        <v>85</v>
      </c>
    </row>
    <row r="1175" spans="1:17" hidden="1">
      <c r="A1175" t="s">
        <v>76</v>
      </c>
      <c r="B1175" t="s">
        <v>77</v>
      </c>
      <c r="C1175" t="s">
        <v>754</v>
      </c>
      <c r="D1175" t="s">
        <v>754</v>
      </c>
      <c r="E1175" t="s">
        <v>86</v>
      </c>
      <c r="F1175" t="s">
        <v>86</v>
      </c>
      <c r="G1175" t="s">
        <v>80</v>
      </c>
      <c r="H1175" t="s">
        <v>81</v>
      </c>
      <c r="I1175" t="s">
        <v>82</v>
      </c>
      <c r="L1175">
        <v>2</v>
      </c>
      <c r="M1175" t="s">
        <v>83</v>
      </c>
      <c r="O1175" t="s">
        <v>83</v>
      </c>
      <c r="P1175" t="s">
        <v>84</v>
      </c>
      <c r="Q1175" t="s">
        <v>85</v>
      </c>
    </row>
    <row r="1176" spans="1:17" hidden="1">
      <c r="A1176" t="s">
        <v>76</v>
      </c>
      <c r="B1176" t="s">
        <v>77</v>
      </c>
      <c r="C1176" t="s">
        <v>754</v>
      </c>
      <c r="D1176" t="s">
        <v>754</v>
      </c>
      <c r="E1176" t="s">
        <v>87</v>
      </c>
      <c r="F1176" t="s">
        <v>87</v>
      </c>
      <c r="G1176" t="s">
        <v>88</v>
      </c>
      <c r="H1176" t="s">
        <v>81</v>
      </c>
      <c r="J1176" t="s">
        <v>83</v>
      </c>
      <c r="L1176">
        <v>3</v>
      </c>
      <c r="M1176" t="s">
        <v>83</v>
      </c>
      <c r="O1176" t="s">
        <v>83</v>
      </c>
      <c r="P1176" t="s">
        <v>84</v>
      </c>
      <c r="Q1176" t="s">
        <v>85</v>
      </c>
    </row>
    <row r="1177" spans="1:17" hidden="1">
      <c r="A1177" t="s">
        <v>76</v>
      </c>
      <c r="B1177" t="s">
        <v>77</v>
      </c>
      <c r="C1177" t="s">
        <v>754</v>
      </c>
      <c r="D1177" t="s">
        <v>754</v>
      </c>
      <c r="E1177" t="s">
        <v>89</v>
      </c>
      <c r="F1177" t="s">
        <v>89</v>
      </c>
      <c r="G1177" t="s">
        <v>90</v>
      </c>
      <c r="H1177" t="s">
        <v>81</v>
      </c>
      <c r="J1177" t="s">
        <v>83</v>
      </c>
      <c r="K1177" t="s">
        <v>83</v>
      </c>
      <c r="L1177">
        <v>4</v>
      </c>
      <c r="M1177" t="s">
        <v>83</v>
      </c>
      <c r="O1177" t="s">
        <v>83</v>
      </c>
      <c r="P1177" t="s">
        <v>84</v>
      </c>
      <c r="Q1177" t="s">
        <v>85</v>
      </c>
    </row>
    <row r="1178" spans="1:17" hidden="1">
      <c r="A1178" t="s">
        <v>76</v>
      </c>
      <c r="B1178" t="s">
        <v>77</v>
      </c>
      <c r="C1178" t="s">
        <v>754</v>
      </c>
      <c r="D1178" t="s">
        <v>754</v>
      </c>
      <c r="E1178" t="s">
        <v>751</v>
      </c>
      <c r="F1178" t="s">
        <v>751</v>
      </c>
      <c r="G1178" t="s">
        <v>90</v>
      </c>
      <c r="H1178" t="s">
        <v>81</v>
      </c>
      <c r="J1178" t="s">
        <v>83</v>
      </c>
      <c r="L1178">
        <v>5</v>
      </c>
      <c r="M1178" t="s">
        <v>83</v>
      </c>
      <c r="O1178" t="s">
        <v>83</v>
      </c>
      <c r="P1178" t="s">
        <v>84</v>
      </c>
      <c r="Q1178" t="s">
        <v>85</v>
      </c>
    </row>
    <row r="1179" spans="1:17" hidden="1">
      <c r="A1179" t="s">
        <v>76</v>
      </c>
      <c r="B1179" t="s">
        <v>77</v>
      </c>
      <c r="C1179" t="s">
        <v>754</v>
      </c>
      <c r="D1179" t="s">
        <v>754</v>
      </c>
      <c r="E1179" t="s">
        <v>755</v>
      </c>
      <c r="F1179" t="s">
        <v>755</v>
      </c>
      <c r="G1179" t="s">
        <v>90</v>
      </c>
      <c r="H1179" t="s">
        <v>81</v>
      </c>
      <c r="I1179" t="s">
        <v>82</v>
      </c>
      <c r="L1179">
        <v>6</v>
      </c>
      <c r="M1179" t="s">
        <v>83</v>
      </c>
      <c r="O1179" t="s">
        <v>83</v>
      </c>
      <c r="P1179" t="s">
        <v>100</v>
      </c>
      <c r="Q1179" t="s">
        <v>85</v>
      </c>
    </row>
    <row r="1180" spans="1:17" hidden="1">
      <c r="A1180" t="s">
        <v>76</v>
      </c>
      <c r="B1180" t="s">
        <v>77</v>
      </c>
      <c r="C1180" t="s">
        <v>754</v>
      </c>
      <c r="D1180" t="s">
        <v>754</v>
      </c>
      <c r="E1180" t="s">
        <v>755</v>
      </c>
      <c r="F1180" t="s">
        <v>756</v>
      </c>
      <c r="G1180" t="s">
        <v>90</v>
      </c>
      <c r="H1180" t="s">
        <v>81</v>
      </c>
      <c r="L1180">
        <v>7</v>
      </c>
      <c r="M1180" t="s">
        <v>83</v>
      </c>
      <c r="O1180" t="s">
        <v>83</v>
      </c>
      <c r="P1180" t="s">
        <v>84</v>
      </c>
      <c r="Q1180" t="s">
        <v>85</v>
      </c>
    </row>
    <row r="1181" spans="1:17" hidden="1">
      <c r="A1181" t="s">
        <v>76</v>
      </c>
      <c r="B1181" t="s">
        <v>77</v>
      </c>
      <c r="C1181" t="s">
        <v>754</v>
      </c>
      <c r="D1181" t="s">
        <v>754</v>
      </c>
      <c r="E1181" t="s">
        <v>91</v>
      </c>
      <c r="F1181" t="s">
        <v>91</v>
      </c>
      <c r="G1181" t="s">
        <v>92</v>
      </c>
      <c r="H1181" t="s">
        <v>81</v>
      </c>
      <c r="J1181" t="s">
        <v>83</v>
      </c>
      <c r="L1181">
        <v>8</v>
      </c>
      <c r="M1181" t="s">
        <v>83</v>
      </c>
      <c r="O1181" t="s">
        <v>83</v>
      </c>
      <c r="P1181" t="s">
        <v>84</v>
      </c>
      <c r="Q1181" t="s">
        <v>85</v>
      </c>
    </row>
    <row r="1182" spans="1:17" hidden="1">
      <c r="A1182" t="s">
        <v>76</v>
      </c>
      <c r="B1182" t="s">
        <v>77</v>
      </c>
      <c r="C1182" t="s">
        <v>754</v>
      </c>
      <c r="D1182" t="s">
        <v>754</v>
      </c>
      <c r="E1182" t="s">
        <v>757</v>
      </c>
      <c r="F1182" t="s">
        <v>757</v>
      </c>
      <c r="G1182" t="s">
        <v>94</v>
      </c>
      <c r="H1182" t="s">
        <v>81</v>
      </c>
      <c r="L1182">
        <v>9</v>
      </c>
      <c r="M1182" t="s">
        <v>83</v>
      </c>
      <c r="O1182" t="s">
        <v>83</v>
      </c>
      <c r="P1182" t="s">
        <v>84</v>
      </c>
      <c r="Q1182" t="s">
        <v>85</v>
      </c>
    </row>
    <row r="1183" spans="1:17" hidden="1">
      <c r="A1183" t="s">
        <v>76</v>
      </c>
      <c r="B1183" t="s">
        <v>77</v>
      </c>
      <c r="C1183" t="s">
        <v>754</v>
      </c>
      <c r="D1183" t="s">
        <v>754</v>
      </c>
      <c r="E1183" t="s">
        <v>758</v>
      </c>
      <c r="F1183" t="s">
        <v>758</v>
      </c>
      <c r="G1183" t="s">
        <v>88</v>
      </c>
      <c r="H1183" t="s">
        <v>81</v>
      </c>
      <c r="L1183">
        <v>10</v>
      </c>
      <c r="M1183" t="s">
        <v>83</v>
      </c>
      <c r="O1183" t="s">
        <v>83</v>
      </c>
      <c r="P1183" t="s">
        <v>84</v>
      </c>
      <c r="Q1183" t="s">
        <v>85</v>
      </c>
    </row>
    <row r="1184" spans="1:17" hidden="1">
      <c r="A1184" t="s">
        <v>76</v>
      </c>
      <c r="B1184" t="s">
        <v>77</v>
      </c>
      <c r="C1184" t="s">
        <v>754</v>
      </c>
      <c r="D1184" t="s">
        <v>754</v>
      </c>
      <c r="E1184" t="s">
        <v>759</v>
      </c>
      <c r="F1184" t="s">
        <v>759</v>
      </c>
      <c r="G1184" t="s">
        <v>94</v>
      </c>
      <c r="H1184" t="s">
        <v>81</v>
      </c>
      <c r="L1184">
        <v>11</v>
      </c>
      <c r="M1184" t="s">
        <v>83</v>
      </c>
      <c r="O1184" t="s">
        <v>83</v>
      </c>
      <c r="P1184" t="s">
        <v>84</v>
      </c>
      <c r="Q1184" t="s">
        <v>85</v>
      </c>
    </row>
    <row r="1185" spans="1:17" hidden="1">
      <c r="A1185" t="s">
        <v>76</v>
      </c>
      <c r="B1185" t="s">
        <v>77</v>
      </c>
      <c r="C1185" t="s">
        <v>754</v>
      </c>
      <c r="D1185" t="s">
        <v>754</v>
      </c>
      <c r="E1185" t="s">
        <v>760</v>
      </c>
      <c r="F1185" t="s">
        <v>760</v>
      </c>
      <c r="G1185" t="s">
        <v>98</v>
      </c>
      <c r="H1185" t="s">
        <v>81</v>
      </c>
      <c r="L1185">
        <v>12</v>
      </c>
      <c r="M1185" t="s">
        <v>83</v>
      </c>
      <c r="O1185" t="s">
        <v>83</v>
      </c>
      <c r="P1185" t="s">
        <v>84</v>
      </c>
      <c r="Q1185" t="s">
        <v>85</v>
      </c>
    </row>
    <row r="1186" spans="1:17" hidden="1">
      <c r="A1186" t="s">
        <v>76</v>
      </c>
      <c r="B1186" t="s">
        <v>77</v>
      </c>
      <c r="C1186" t="s">
        <v>754</v>
      </c>
      <c r="D1186" t="s">
        <v>754</v>
      </c>
      <c r="E1186" t="s">
        <v>761</v>
      </c>
      <c r="F1186" t="s">
        <v>761</v>
      </c>
      <c r="G1186" t="s">
        <v>88</v>
      </c>
      <c r="H1186" t="s">
        <v>81</v>
      </c>
      <c r="L1186">
        <v>13</v>
      </c>
      <c r="M1186" t="s">
        <v>83</v>
      </c>
      <c r="O1186" t="s">
        <v>83</v>
      </c>
      <c r="P1186" t="s">
        <v>84</v>
      </c>
      <c r="Q1186" t="s">
        <v>85</v>
      </c>
    </row>
    <row r="1187" spans="1:17" hidden="1">
      <c r="A1187" t="s">
        <v>76</v>
      </c>
      <c r="B1187" t="s">
        <v>77</v>
      </c>
      <c r="C1187" t="s">
        <v>754</v>
      </c>
      <c r="D1187" t="s">
        <v>754</v>
      </c>
      <c r="E1187" t="s">
        <v>762</v>
      </c>
      <c r="F1187" t="s">
        <v>762</v>
      </c>
      <c r="G1187" t="s">
        <v>88</v>
      </c>
      <c r="H1187" t="s">
        <v>81</v>
      </c>
      <c r="L1187">
        <v>14</v>
      </c>
      <c r="M1187" t="s">
        <v>83</v>
      </c>
      <c r="O1187" t="s">
        <v>83</v>
      </c>
      <c r="P1187" t="s">
        <v>84</v>
      </c>
      <c r="Q1187" t="s">
        <v>85</v>
      </c>
    </row>
    <row r="1188" spans="1:17" hidden="1">
      <c r="A1188" t="s">
        <v>76</v>
      </c>
      <c r="B1188" t="s">
        <v>77</v>
      </c>
      <c r="C1188" t="s">
        <v>754</v>
      </c>
      <c r="D1188" t="s">
        <v>754</v>
      </c>
      <c r="E1188" t="s">
        <v>763</v>
      </c>
      <c r="F1188" t="s">
        <v>763</v>
      </c>
      <c r="G1188" t="s">
        <v>188</v>
      </c>
      <c r="H1188" t="s">
        <v>81</v>
      </c>
      <c r="L1188">
        <v>15</v>
      </c>
      <c r="M1188" t="s">
        <v>83</v>
      </c>
      <c r="O1188" t="s">
        <v>83</v>
      </c>
      <c r="P1188" t="s">
        <v>84</v>
      </c>
      <c r="Q1188" t="s">
        <v>85</v>
      </c>
    </row>
    <row r="1189" spans="1:17" hidden="1">
      <c r="A1189" t="s">
        <v>76</v>
      </c>
      <c r="B1189" t="s">
        <v>77</v>
      </c>
      <c r="C1189" t="s">
        <v>754</v>
      </c>
      <c r="D1189" t="s">
        <v>754</v>
      </c>
      <c r="E1189" t="s">
        <v>112</v>
      </c>
      <c r="F1189" t="s">
        <v>112</v>
      </c>
      <c r="G1189" t="s">
        <v>113</v>
      </c>
      <c r="H1189" t="s">
        <v>81</v>
      </c>
      <c r="I1189" t="s">
        <v>114</v>
      </c>
      <c r="L1189">
        <v>16</v>
      </c>
      <c r="M1189" t="s">
        <v>83</v>
      </c>
      <c r="O1189" t="s">
        <v>83</v>
      </c>
      <c r="P1189" t="s">
        <v>84</v>
      </c>
      <c r="Q1189" t="s">
        <v>85</v>
      </c>
    </row>
    <row r="1190" spans="1:17" hidden="1">
      <c r="A1190" t="s">
        <v>76</v>
      </c>
      <c r="B1190" t="s">
        <v>77</v>
      </c>
      <c r="C1190" t="s">
        <v>754</v>
      </c>
      <c r="D1190" t="s">
        <v>754</v>
      </c>
      <c r="E1190" t="s">
        <v>115</v>
      </c>
      <c r="F1190" t="s">
        <v>115</v>
      </c>
      <c r="G1190" t="s">
        <v>113</v>
      </c>
      <c r="H1190" t="s">
        <v>81</v>
      </c>
      <c r="I1190" t="s">
        <v>114</v>
      </c>
      <c r="L1190">
        <v>17</v>
      </c>
      <c r="M1190" t="s">
        <v>83</v>
      </c>
      <c r="O1190" t="s">
        <v>83</v>
      </c>
      <c r="P1190" t="s">
        <v>84</v>
      </c>
      <c r="Q1190" t="s">
        <v>85</v>
      </c>
    </row>
    <row r="1191" spans="1:17" hidden="1">
      <c r="A1191" t="s">
        <v>76</v>
      </c>
      <c r="B1191" t="s">
        <v>77</v>
      </c>
      <c r="C1191" t="s">
        <v>754</v>
      </c>
      <c r="D1191" t="s">
        <v>754</v>
      </c>
      <c r="E1191" t="s">
        <v>752</v>
      </c>
      <c r="F1191" t="s">
        <v>752</v>
      </c>
      <c r="G1191" t="s">
        <v>90</v>
      </c>
      <c r="H1191" t="s">
        <v>81</v>
      </c>
      <c r="L1191">
        <v>18</v>
      </c>
      <c r="M1191" t="s">
        <v>83</v>
      </c>
      <c r="O1191" t="s">
        <v>83</v>
      </c>
      <c r="P1191" t="s">
        <v>84</v>
      </c>
      <c r="Q1191" t="s">
        <v>85</v>
      </c>
    </row>
    <row r="1192" spans="1:17" hidden="1">
      <c r="A1192" t="s">
        <v>76</v>
      </c>
      <c r="B1192" t="s">
        <v>77</v>
      </c>
      <c r="C1192" t="s">
        <v>754</v>
      </c>
      <c r="D1192" t="s">
        <v>754</v>
      </c>
      <c r="E1192" t="s">
        <v>117</v>
      </c>
      <c r="F1192" t="s">
        <v>117</v>
      </c>
      <c r="G1192" t="s">
        <v>90</v>
      </c>
      <c r="H1192" t="s">
        <v>81</v>
      </c>
      <c r="L1192">
        <v>25</v>
      </c>
      <c r="M1192" t="s">
        <v>83</v>
      </c>
      <c r="O1192" t="s">
        <v>83</v>
      </c>
      <c r="P1192" t="s">
        <v>84</v>
      </c>
      <c r="Q1192" t="s">
        <v>85</v>
      </c>
    </row>
    <row r="1193" spans="1:17" hidden="1">
      <c r="A1193" t="s">
        <v>76</v>
      </c>
      <c r="B1193" t="s">
        <v>77</v>
      </c>
      <c r="C1193" t="s">
        <v>754</v>
      </c>
      <c r="D1193" t="s">
        <v>754</v>
      </c>
      <c r="E1193" t="s">
        <v>174</v>
      </c>
      <c r="F1193" t="s">
        <v>174</v>
      </c>
      <c r="G1193" t="s">
        <v>90</v>
      </c>
      <c r="H1193" t="s">
        <v>81</v>
      </c>
      <c r="L1193">
        <v>26</v>
      </c>
      <c r="M1193" t="s">
        <v>83</v>
      </c>
      <c r="O1193" t="s">
        <v>83</v>
      </c>
      <c r="P1193" t="s">
        <v>84</v>
      </c>
      <c r="Q1193" t="s">
        <v>85</v>
      </c>
    </row>
    <row r="1194" spans="1:17" hidden="1">
      <c r="A1194" t="s">
        <v>76</v>
      </c>
      <c r="B1194" t="s">
        <v>77</v>
      </c>
      <c r="C1194" t="s">
        <v>754</v>
      </c>
      <c r="D1194" t="s">
        <v>754</v>
      </c>
      <c r="E1194" t="s">
        <v>118</v>
      </c>
      <c r="F1194" t="s">
        <v>118</v>
      </c>
      <c r="G1194" t="s">
        <v>92</v>
      </c>
      <c r="H1194" t="s">
        <v>81</v>
      </c>
      <c r="L1194">
        <v>27</v>
      </c>
      <c r="M1194" t="s">
        <v>83</v>
      </c>
      <c r="O1194" t="s">
        <v>83</v>
      </c>
      <c r="P1194" t="s">
        <v>84</v>
      </c>
      <c r="Q1194" t="s">
        <v>85</v>
      </c>
    </row>
    <row r="1195" spans="1:17" hidden="1">
      <c r="A1195" t="s">
        <v>76</v>
      </c>
      <c r="B1195" t="s">
        <v>77</v>
      </c>
      <c r="C1195" t="s">
        <v>764</v>
      </c>
      <c r="D1195" t="s">
        <v>764</v>
      </c>
      <c r="E1195" t="s">
        <v>79</v>
      </c>
      <c r="F1195" t="s">
        <v>79</v>
      </c>
      <c r="G1195" t="s">
        <v>80</v>
      </c>
      <c r="H1195" t="s">
        <v>81</v>
      </c>
      <c r="I1195" t="s">
        <v>82</v>
      </c>
      <c r="L1195">
        <v>1</v>
      </c>
      <c r="M1195" t="s">
        <v>83</v>
      </c>
      <c r="O1195" t="s">
        <v>83</v>
      </c>
      <c r="P1195" t="s">
        <v>84</v>
      </c>
      <c r="Q1195" t="s">
        <v>85</v>
      </c>
    </row>
    <row r="1196" spans="1:17" hidden="1">
      <c r="A1196" t="s">
        <v>76</v>
      </c>
      <c r="B1196" t="s">
        <v>77</v>
      </c>
      <c r="C1196" t="s">
        <v>764</v>
      </c>
      <c r="D1196" t="s">
        <v>764</v>
      </c>
      <c r="E1196" t="s">
        <v>86</v>
      </c>
      <c r="F1196" t="s">
        <v>86</v>
      </c>
      <c r="G1196" t="s">
        <v>80</v>
      </c>
      <c r="H1196" t="s">
        <v>81</v>
      </c>
      <c r="I1196" t="s">
        <v>82</v>
      </c>
      <c r="L1196">
        <v>2</v>
      </c>
      <c r="M1196" t="s">
        <v>83</v>
      </c>
      <c r="O1196" t="s">
        <v>83</v>
      </c>
      <c r="P1196" t="s">
        <v>84</v>
      </c>
      <c r="Q1196" t="s">
        <v>85</v>
      </c>
    </row>
    <row r="1197" spans="1:17" hidden="1">
      <c r="A1197" t="s">
        <v>76</v>
      </c>
      <c r="B1197" t="s">
        <v>77</v>
      </c>
      <c r="C1197" t="s">
        <v>764</v>
      </c>
      <c r="D1197" t="s">
        <v>764</v>
      </c>
      <c r="E1197" t="s">
        <v>87</v>
      </c>
      <c r="F1197" t="s">
        <v>87</v>
      </c>
      <c r="G1197" t="s">
        <v>88</v>
      </c>
      <c r="H1197" t="s">
        <v>81</v>
      </c>
      <c r="J1197" t="s">
        <v>83</v>
      </c>
      <c r="L1197">
        <v>3</v>
      </c>
      <c r="M1197" t="s">
        <v>83</v>
      </c>
      <c r="O1197" t="s">
        <v>83</v>
      </c>
      <c r="P1197" t="s">
        <v>84</v>
      </c>
      <c r="Q1197" t="s">
        <v>85</v>
      </c>
    </row>
    <row r="1198" spans="1:17" hidden="1">
      <c r="A1198" t="s">
        <v>76</v>
      </c>
      <c r="B1198" t="s">
        <v>77</v>
      </c>
      <c r="C1198" t="s">
        <v>764</v>
      </c>
      <c r="D1198" t="s">
        <v>764</v>
      </c>
      <c r="E1198" t="s">
        <v>89</v>
      </c>
      <c r="F1198" t="s">
        <v>89</v>
      </c>
      <c r="G1198" t="s">
        <v>90</v>
      </c>
      <c r="H1198" t="s">
        <v>81</v>
      </c>
      <c r="J1198" t="s">
        <v>83</v>
      </c>
      <c r="K1198" t="s">
        <v>83</v>
      </c>
      <c r="L1198">
        <v>4</v>
      </c>
      <c r="M1198" t="s">
        <v>83</v>
      </c>
      <c r="O1198" t="s">
        <v>83</v>
      </c>
      <c r="P1198" t="s">
        <v>84</v>
      </c>
      <c r="Q1198" t="s">
        <v>85</v>
      </c>
    </row>
    <row r="1199" spans="1:17" hidden="1">
      <c r="A1199" t="s">
        <v>76</v>
      </c>
      <c r="B1199" t="s">
        <v>77</v>
      </c>
      <c r="C1199" t="s">
        <v>764</v>
      </c>
      <c r="D1199" t="s">
        <v>764</v>
      </c>
      <c r="E1199" t="s">
        <v>751</v>
      </c>
      <c r="F1199" t="s">
        <v>751</v>
      </c>
      <c r="G1199" t="s">
        <v>90</v>
      </c>
      <c r="H1199" t="s">
        <v>81</v>
      </c>
      <c r="J1199" t="s">
        <v>83</v>
      </c>
      <c r="L1199">
        <v>5</v>
      </c>
      <c r="M1199" t="s">
        <v>83</v>
      </c>
      <c r="O1199" t="s">
        <v>83</v>
      </c>
      <c r="P1199" t="s">
        <v>84</v>
      </c>
      <c r="Q1199" t="s">
        <v>85</v>
      </c>
    </row>
    <row r="1200" spans="1:17" hidden="1">
      <c r="A1200" t="s">
        <v>76</v>
      </c>
      <c r="B1200" t="s">
        <v>77</v>
      </c>
      <c r="C1200" t="s">
        <v>764</v>
      </c>
      <c r="D1200" t="s">
        <v>764</v>
      </c>
      <c r="E1200" t="s">
        <v>765</v>
      </c>
      <c r="F1200" t="s">
        <v>765</v>
      </c>
      <c r="G1200" t="s">
        <v>90</v>
      </c>
      <c r="H1200" t="s">
        <v>81</v>
      </c>
      <c r="I1200" t="s">
        <v>82</v>
      </c>
      <c r="L1200">
        <v>6</v>
      </c>
      <c r="M1200" t="s">
        <v>83</v>
      </c>
      <c r="O1200" t="s">
        <v>83</v>
      </c>
      <c r="P1200" t="s">
        <v>100</v>
      </c>
      <c r="Q1200" t="s">
        <v>85</v>
      </c>
    </row>
    <row r="1201" spans="1:17" hidden="1">
      <c r="A1201" t="s">
        <v>76</v>
      </c>
      <c r="B1201" t="s">
        <v>77</v>
      </c>
      <c r="C1201" t="s">
        <v>764</v>
      </c>
      <c r="D1201" t="s">
        <v>764</v>
      </c>
      <c r="E1201" t="s">
        <v>765</v>
      </c>
      <c r="F1201" t="s">
        <v>766</v>
      </c>
      <c r="G1201" t="s">
        <v>90</v>
      </c>
      <c r="H1201" t="s">
        <v>81</v>
      </c>
      <c r="L1201">
        <v>7</v>
      </c>
      <c r="M1201" t="s">
        <v>83</v>
      </c>
      <c r="O1201" t="s">
        <v>83</v>
      </c>
      <c r="P1201" t="s">
        <v>84</v>
      </c>
      <c r="Q1201" t="s">
        <v>85</v>
      </c>
    </row>
    <row r="1202" spans="1:17" hidden="1">
      <c r="A1202" t="s">
        <v>76</v>
      </c>
      <c r="B1202" t="s">
        <v>77</v>
      </c>
      <c r="C1202" t="s">
        <v>764</v>
      </c>
      <c r="D1202" t="s">
        <v>764</v>
      </c>
      <c r="E1202" t="s">
        <v>91</v>
      </c>
      <c r="F1202" t="s">
        <v>91</v>
      </c>
      <c r="G1202" t="s">
        <v>92</v>
      </c>
      <c r="H1202" t="s">
        <v>81</v>
      </c>
      <c r="J1202" t="s">
        <v>83</v>
      </c>
      <c r="L1202">
        <v>8</v>
      </c>
      <c r="M1202" t="s">
        <v>83</v>
      </c>
      <c r="O1202" t="s">
        <v>83</v>
      </c>
      <c r="P1202" t="s">
        <v>84</v>
      </c>
      <c r="Q1202" t="s">
        <v>85</v>
      </c>
    </row>
    <row r="1203" spans="1:17" hidden="1">
      <c r="A1203" t="s">
        <v>76</v>
      </c>
      <c r="B1203" t="s">
        <v>77</v>
      </c>
      <c r="C1203" t="s">
        <v>764</v>
      </c>
      <c r="D1203" t="s">
        <v>764</v>
      </c>
      <c r="E1203" t="s">
        <v>767</v>
      </c>
      <c r="F1203" t="s">
        <v>767</v>
      </c>
      <c r="G1203" t="s">
        <v>94</v>
      </c>
      <c r="H1203" t="s">
        <v>81</v>
      </c>
      <c r="L1203">
        <v>9</v>
      </c>
      <c r="M1203" t="s">
        <v>83</v>
      </c>
      <c r="O1203" t="s">
        <v>83</v>
      </c>
      <c r="P1203" t="s">
        <v>84</v>
      </c>
      <c r="Q1203" t="s">
        <v>85</v>
      </c>
    </row>
    <row r="1204" spans="1:17" hidden="1">
      <c r="A1204" t="s">
        <v>76</v>
      </c>
      <c r="B1204" t="s">
        <v>77</v>
      </c>
      <c r="C1204" t="s">
        <v>764</v>
      </c>
      <c r="D1204" t="s">
        <v>764</v>
      </c>
      <c r="E1204" t="s">
        <v>768</v>
      </c>
      <c r="F1204" t="s">
        <v>768</v>
      </c>
      <c r="G1204" t="s">
        <v>88</v>
      </c>
      <c r="H1204" t="s">
        <v>81</v>
      </c>
      <c r="L1204">
        <v>10</v>
      </c>
      <c r="M1204" t="s">
        <v>83</v>
      </c>
      <c r="O1204" t="s">
        <v>83</v>
      </c>
      <c r="P1204" t="s">
        <v>84</v>
      </c>
      <c r="Q1204" t="s">
        <v>85</v>
      </c>
    </row>
    <row r="1205" spans="1:17" hidden="1">
      <c r="A1205" t="s">
        <v>76</v>
      </c>
      <c r="B1205" t="s">
        <v>77</v>
      </c>
      <c r="C1205" t="s">
        <v>764</v>
      </c>
      <c r="D1205" t="s">
        <v>764</v>
      </c>
      <c r="E1205" t="s">
        <v>769</v>
      </c>
      <c r="F1205" t="s">
        <v>769</v>
      </c>
      <c r="G1205" t="s">
        <v>94</v>
      </c>
      <c r="H1205" t="s">
        <v>81</v>
      </c>
      <c r="L1205">
        <v>11</v>
      </c>
      <c r="M1205" t="s">
        <v>83</v>
      </c>
      <c r="O1205" t="s">
        <v>83</v>
      </c>
      <c r="P1205" t="s">
        <v>84</v>
      </c>
      <c r="Q1205" t="s">
        <v>85</v>
      </c>
    </row>
    <row r="1206" spans="1:17" hidden="1">
      <c r="A1206" t="s">
        <v>76</v>
      </c>
      <c r="B1206" t="s">
        <v>77</v>
      </c>
      <c r="C1206" t="s">
        <v>764</v>
      </c>
      <c r="D1206" t="s">
        <v>764</v>
      </c>
      <c r="E1206" t="s">
        <v>770</v>
      </c>
      <c r="F1206" t="s">
        <v>770</v>
      </c>
      <c r="G1206" t="s">
        <v>88</v>
      </c>
      <c r="H1206" t="s">
        <v>81</v>
      </c>
      <c r="L1206">
        <v>12</v>
      </c>
      <c r="M1206" t="s">
        <v>83</v>
      </c>
      <c r="O1206" t="s">
        <v>83</v>
      </c>
      <c r="P1206" t="s">
        <v>84</v>
      </c>
      <c r="Q1206" t="s">
        <v>85</v>
      </c>
    </row>
    <row r="1207" spans="1:17" hidden="1">
      <c r="A1207" t="s">
        <v>76</v>
      </c>
      <c r="B1207" t="s">
        <v>77</v>
      </c>
      <c r="C1207" t="s">
        <v>764</v>
      </c>
      <c r="D1207" t="s">
        <v>764</v>
      </c>
      <c r="E1207" t="s">
        <v>771</v>
      </c>
      <c r="F1207" t="s">
        <v>771</v>
      </c>
      <c r="G1207" t="s">
        <v>98</v>
      </c>
      <c r="H1207" t="s">
        <v>81</v>
      </c>
      <c r="L1207">
        <v>13</v>
      </c>
      <c r="M1207" t="s">
        <v>83</v>
      </c>
      <c r="O1207" t="s">
        <v>83</v>
      </c>
      <c r="P1207" t="s">
        <v>84</v>
      </c>
      <c r="Q1207" t="s">
        <v>85</v>
      </c>
    </row>
    <row r="1208" spans="1:17" hidden="1">
      <c r="A1208" t="s">
        <v>76</v>
      </c>
      <c r="B1208" t="s">
        <v>77</v>
      </c>
      <c r="C1208" t="s">
        <v>764</v>
      </c>
      <c r="D1208" t="s">
        <v>764</v>
      </c>
      <c r="E1208" t="s">
        <v>174</v>
      </c>
      <c r="F1208" t="s">
        <v>174</v>
      </c>
      <c r="G1208" t="s">
        <v>90</v>
      </c>
      <c r="H1208" t="s">
        <v>81</v>
      </c>
      <c r="L1208">
        <v>14</v>
      </c>
      <c r="M1208" t="s">
        <v>83</v>
      </c>
      <c r="O1208" t="s">
        <v>83</v>
      </c>
      <c r="P1208" t="s">
        <v>84</v>
      </c>
      <c r="Q1208" t="s">
        <v>85</v>
      </c>
    </row>
    <row r="1209" spans="1:17" hidden="1">
      <c r="A1209" t="s">
        <v>76</v>
      </c>
      <c r="B1209" t="s">
        <v>77</v>
      </c>
      <c r="C1209" t="s">
        <v>764</v>
      </c>
      <c r="D1209" t="s">
        <v>764</v>
      </c>
      <c r="E1209" t="s">
        <v>117</v>
      </c>
      <c r="F1209" t="s">
        <v>117</v>
      </c>
      <c r="G1209" t="s">
        <v>90</v>
      </c>
      <c r="H1209" t="s">
        <v>81</v>
      </c>
      <c r="L1209">
        <v>15</v>
      </c>
      <c r="M1209" t="s">
        <v>83</v>
      </c>
      <c r="O1209" t="s">
        <v>83</v>
      </c>
      <c r="P1209" t="s">
        <v>84</v>
      </c>
      <c r="Q1209" t="s">
        <v>85</v>
      </c>
    </row>
    <row r="1210" spans="1:17" hidden="1">
      <c r="A1210" t="s">
        <v>76</v>
      </c>
      <c r="B1210" t="s">
        <v>77</v>
      </c>
      <c r="C1210" t="s">
        <v>764</v>
      </c>
      <c r="D1210" t="s">
        <v>764</v>
      </c>
      <c r="E1210" t="s">
        <v>112</v>
      </c>
      <c r="F1210" t="s">
        <v>112</v>
      </c>
      <c r="G1210" t="s">
        <v>113</v>
      </c>
      <c r="H1210" t="s">
        <v>81</v>
      </c>
      <c r="I1210" t="s">
        <v>114</v>
      </c>
      <c r="L1210">
        <v>16</v>
      </c>
      <c r="M1210" t="s">
        <v>83</v>
      </c>
      <c r="O1210" t="s">
        <v>83</v>
      </c>
      <c r="P1210" t="s">
        <v>84</v>
      </c>
      <c r="Q1210" t="s">
        <v>85</v>
      </c>
    </row>
    <row r="1211" spans="1:17" hidden="1">
      <c r="A1211" t="s">
        <v>76</v>
      </c>
      <c r="B1211" t="s">
        <v>77</v>
      </c>
      <c r="C1211" t="s">
        <v>764</v>
      </c>
      <c r="D1211" t="s">
        <v>764</v>
      </c>
      <c r="E1211" t="s">
        <v>115</v>
      </c>
      <c r="F1211" t="s">
        <v>115</v>
      </c>
      <c r="G1211" t="s">
        <v>113</v>
      </c>
      <c r="H1211" t="s">
        <v>81</v>
      </c>
      <c r="I1211" t="s">
        <v>114</v>
      </c>
      <c r="L1211">
        <v>17</v>
      </c>
      <c r="M1211" t="s">
        <v>83</v>
      </c>
      <c r="O1211" t="s">
        <v>83</v>
      </c>
      <c r="P1211" t="s">
        <v>84</v>
      </c>
      <c r="Q1211" t="s">
        <v>85</v>
      </c>
    </row>
    <row r="1212" spans="1:17" hidden="1">
      <c r="A1212" t="s">
        <v>76</v>
      </c>
      <c r="B1212" t="s">
        <v>77</v>
      </c>
      <c r="C1212" t="s">
        <v>764</v>
      </c>
      <c r="D1212" t="s">
        <v>764</v>
      </c>
      <c r="E1212" t="s">
        <v>118</v>
      </c>
      <c r="F1212" t="s">
        <v>118</v>
      </c>
      <c r="G1212" t="s">
        <v>92</v>
      </c>
      <c r="H1212" t="s">
        <v>81</v>
      </c>
      <c r="L1212">
        <v>24</v>
      </c>
      <c r="M1212" t="s">
        <v>83</v>
      </c>
      <c r="O1212" t="s">
        <v>83</v>
      </c>
      <c r="P1212" t="s">
        <v>84</v>
      </c>
      <c r="Q1212" t="s">
        <v>85</v>
      </c>
    </row>
    <row r="1213" spans="1:17" hidden="1">
      <c r="A1213" t="s">
        <v>76</v>
      </c>
      <c r="B1213" t="s">
        <v>77</v>
      </c>
      <c r="C1213" t="s">
        <v>772</v>
      </c>
      <c r="D1213" t="s">
        <v>772</v>
      </c>
      <c r="E1213" t="s">
        <v>79</v>
      </c>
      <c r="F1213" t="s">
        <v>79</v>
      </c>
      <c r="G1213" t="s">
        <v>80</v>
      </c>
      <c r="H1213" t="s">
        <v>81</v>
      </c>
      <c r="I1213" t="s">
        <v>82</v>
      </c>
      <c r="L1213">
        <v>1</v>
      </c>
      <c r="M1213" t="s">
        <v>83</v>
      </c>
      <c r="O1213" t="s">
        <v>83</v>
      </c>
      <c r="P1213" t="s">
        <v>84</v>
      </c>
      <c r="Q1213" t="s">
        <v>85</v>
      </c>
    </row>
    <row r="1214" spans="1:17" hidden="1">
      <c r="A1214" t="s">
        <v>76</v>
      </c>
      <c r="B1214" t="s">
        <v>77</v>
      </c>
      <c r="C1214" t="s">
        <v>772</v>
      </c>
      <c r="D1214" t="s">
        <v>772</v>
      </c>
      <c r="E1214" t="s">
        <v>86</v>
      </c>
      <c r="F1214" t="s">
        <v>86</v>
      </c>
      <c r="G1214" t="s">
        <v>80</v>
      </c>
      <c r="H1214" t="s">
        <v>81</v>
      </c>
      <c r="I1214" t="s">
        <v>82</v>
      </c>
      <c r="L1214">
        <v>2</v>
      </c>
      <c r="M1214" t="s">
        <v>83</v>
      </c>
      <c r="O1214" t="s">
        <v>83</v>
      </c>
      <c r="P1214" t="s">
        <v>84</v>
      </c>
      <c r="Q1214" t="s">
        <v>85</v>
      </c>
    </row>
    <row r="1215" spans="1:17" hidden="1">
      <c r="A1215" t="s">
        <v>76</v>
      </c>
      <c r="B1215" t="s">
        <v>77</v>
      </c>
      <c r="C1215" t="s">
        <v>772</v>
      </c>
      <c r="D1215" t="s">
        <v>772</v>
      </c>
      <c r="E1215" t="s">
        <v>87</v>
      </c>
      <c r="F1215" t="s">
        <v>87</v>
      </c>
      <c r="G1215" t="s">
        <v>88</v>
      </c>
      <c r="H1215" t="s">
        <v>81</v>
      </c>
      <c r="J1215" t="s">
        <v>83</v>
      </c>
      <c r="K1215" t="s">
        <v>83</v>
      </c>
      <c r="L1215">
        <v>3</v>
      </c>
      <c r="M1215" t="s">
        <v>83</v>
      </c>
      <c r="O1215" t="s">
        <v>83</v>
      </c>
      <c r="P1215" t="s">
        <v>84</v>
      </c>
      <c r="Q1215" t="s">
        <v>85</v>
      </c>
    </row>
    <row r="1216" spans="1:17" hidden="1">
      <c r="A1216" t="s">
        <v>76</v>
      </c>
      <c r="B1216" t="s">
        <v>77</v>
      </c>
      <c r="C1216" t="s">
        <v>772</v>
      </c>
      <c r="D1216" t="s">
        <v>772</v>
      </c>
      <c r="E1216" t="s">
        <v>154</v>
      </c>
      <c r="F1216" t="s">
        <v>154</v>
      </c>
      <c r="G1216" t="s">
        <v>90</v>
      </c>
      <c r="H1216" t="s">
        <v>81</v>
      </c>
      <c r="J1216" t="s">
        <v>83</v>
      </c>
      <c r="K1216" t="s">
        <v>83</v>
      </c>
      <c r="L1216">
        <v>4</v>
      </c>
      <c r="M1216" t="s">
        <v>83</v>
      </c>
      <c r="O1216" t="s">
        <v>83</v>
      </c>
      <c r="P1216" t="s">
        <v>84</v>
      </c>
      <c r="Q1216" t="s">
        <v>85</v>
      </c>
    </row>
    <row r="1217" spans="1:17" hidden="1">
      <c r="A1217" t="s">
        <v>76</v>
      </c>
      <c r="B1217" t="s">
        <v>77</v>
      </c>
      <c r="C1217" t="s">
        <v>772</v>
      </c>
      <c r="D1217" t="s">
        <v>772</v>
      </c>
      <c r="E1217" t="s">
        <v>773</v>
      </c>
      <c r="F1217" t="s">
        <v>773</v>
      </c>
      <c r="G1217" t="s">
        <v>90</v>
      </c>
      <c r="H1217" t="s">
        <v>81</v>
      </c>
      <c r="J1217" t="s">
        <v>83</v>
      </c>
      <c r="K1217" t="s">
        <v>83</v>
      </c>
      <c r="L1217">
        <v>5</v>
      </c>
      <c r="M1217" t="s">
        <v>83</v>
      </c>
      <c r="O1217" t="s">
        <v>83</v>
      </c>
      <c r="P1217" t="s">
        <v>84</v>
      </c>
      <c r="Q1217" t="s">
        <v>85</v>
      </c>
    </row>
    <row r="1218" spans="1:17" hidden="1">
      <c r="A1218" t="s">
        <v>76</v>
      </c>
      <c r="B1218" t="s">
        <v>77</v>
      </c>
      <c r="C1218" t="s">
        <v>772</v>
      </c>
      <c r="D1218" t="s">
        <v>772</v>
      </c>
      <c r="E1218" t="s">
        <v>774</v>
      </c>
      <c r="F1218" t="s">
        <v>774</v>
      </c>
      <c r="G1218" t="s">
        <v>98</v>
      </c>
      <c r="H1218" t="s">
        <v>81</v>
      </c>
      <c r="J1218" t="s">
        <v>83</v>
      </c>
      <c r="K1218" t="s">
        <v>83</v>
      </c>
      <c r="L1218">
        <v>6</v>
      </c>
      <c r="M1218" t="s">
        <v>83</v>
      </c>
      <c r="O1218" t="s">
        <v>83</v>
      </c>
      <c r="P1218" t="s">
        <v>84</v>
      </c>
      <c r="Q1218" t="s">
        <v>85</v>
      </c>
    </row>
    <row r="1219" spans="1:17" hidden="1">
      <c r="A1219" t="s">
        <v>76</v>
      </c>
      <c r="B1219" t="s">
        <v>77</v>
      </c>
      <c r="C1219" t="s">
        <v>772</v>
      </c>
      <c r="D1219" t="s">
        <v>772</v>
      </c>
      <c r="E1219" t="s">
        <v>775</v>
      </c>
      <c r="F1219" t="s">
        <v>775</v>
      </c>
      <c r="G1219" t="s">
        <v>98</v>
      </c>
      <c r="H1219" t="s">
        <v>81</v>
      </c>
      <c r="J1219" t="s">
        <v>83</v>
      </c>
      <c r="K1219" t="s">
        <v>83</v>
      </c>
      <c r="L1219">
        <v>7</v>
      </c>
      <c r="M1219" t="s">
        <v>83</v>
      </c>
      <c r="O1219" t="s">
        <v>83</v>
      </c>
      <c r="P1219" t="s">
        <v>84</v>
      </c>
      <c r="Q1219" t="s">
        <v>85</v>
      </c>
    </row>
    <row r="1220" spans="1:17" hidden="1">
      <c r="A1220" t="s">
        <v>76</v>
      </c>
      <c r="B1220" t="s">
        <v>77</v>
      </c>
      <c r="C1220" t="s">
        <v>772</v>
      </c>
      <c r="D1220" t="s">
        <v>772</v>
      </c>
      <c r="E1220" t="s">
        <v>776</v>
      </c>
      <c r="F1220" t="s">
        <v>776</v>
      </c>
      <c r="G1220" t="s">
        <v>98</v>
      </c>
      <c r="H1220" t="s">
        <v>81</v>
      </c>
      <c r="J1220" t="s">
        <v>83</v>
      </c>
      <c r="K1220" t="s">
        <v>83</v>
      </c>
      <c r="L1220">
        <v>8</v>
      </c>
      <c r="M1220" t="s">
        <v>83</v>
      </c>
      <c r="O1220" t="s">
        <v>83</v>
      </c>
      <c r="P1220" t="s">
        <v>84</v>
      </c>
      <c r="Q1220" t="s">
        <v>85</v>
      </c>
    </row>
    <row r="1221" spans="1:17" hidden="1">
      <c r="A1221" t="s">
        <v>76</v>
      </c>
      <c r="B1221" t="s">
        <v>77</v>
      </c>
      <c r="C1221" t="s">
        <v>772</v>
      </c>
      <c r="D1221" t="s">
        <v>772</v>
      </c>
      <c r="E1221" t="s">
        <v>777</v>
      </c>
      <c r="F1221" t="s">
        <v>777</v>
      </c>
      <c r="G1221" t="s">
        <v>90</v>
      </c>
      <c r="H1221" t="s">
        <v>81</v>
      </c>
      <c r="I1221" t="s">
        <v>82</v>
      </c>
      <c r="L1221">
        <v>9</v>
      </c>
      <c r="M1221" t="s">
        <v>83</v>
      </c>
      <c r="O1221" t="s">
        <v>83</v>
      </c>
      <c r="P1221" t="s">
        <v>100</v>
      </c>
      <c r="Q1221" t="s">
        <v>85</v>
      </c>
    </row>
    <row r="1222" spans="1:17" hidden="1">
      <c r="A1222" t="s">
        <v>76</v>
      </c>
      <c r="B1222" t="s">
        <v>77</v>
      </c>
      <c r="C1222" t="s">
        <v>772</v>
      </c>
      <c r="D1222" t="s">
        <v>772</v>
      </c>
      <c r="E1222" t="s">
        <v>777</v>
      </c>
      <c r="F1222" t="s">
        <v>778</v>
      </c>
      <c r="G1222" t="s">
        <v>90</v>
      </c>
      <c r="H1222" t="s">
        <v>81</v>
      </c>
      <c r="J1222" t="s">
        <v>83</v>
      </c>
      <c r="K1222" t="s">
        <v>83</v>
      </c>
      <c r="L1222">
        <v>10</v>
      </c>
      <c r="M1222" t="s">
        <v>83</v>
      </c>
      <c r="O1222" t="s">
        <v>83</v>
      </c>
      <c r="P1222" t="s">
        <v>84</v>
      </c>
      <c r="Q1222" t="s">
        <v>85</v>
      </c>
    </row>
    <row r="1223" spans="1:17" hidden="1">
      <c r="A1223" t="s">
        <v>76</v>
      </c>
      <c r="B1223" t="s">
        <v>77</v>
      </c>
      <c r="C1223" t="s">
        <v>772</v>
      </c>
      <c r="D1223" t="s">
        <v>772</v>
      </c>
      <c r="E1223" t="s">
        <v>91</v>
      </c>
      <c r="F1223" t="s">
        <v>91</v>
      </c>
      <c r="G1223" t="s">
        <v>92</v>
      </c>
      <c r="H1223" t="s">
        <v>81</v>
      </c>
      <c r="J1223" t="s">
        <v>83</v>
      </c>
      <c r="K1223" t="s">
        <v>83</v>
      </c>
      <c r="L1223">
        <v>11</v>
      </c>
      <c r="M1223" t="s">
        <v>83</v>
      </c>
      <c r="O1223" t="s">
        <v>83</v>
      </c>
      <c r="P1223" t="s">
        <v>84</v>
      </c>
      <c r="Q1223" t="s">
        <v>85</v>
      </c>
    </row>
    <row r="1224" spans="1:17" hidden="1">
      <c r="A1224" t="s">
        <v>76</v>
      </c>
      <c r="B1224" t="s">
        <v>77</v>
      </c>
      <c r="C1224" t="s">
        <v>772</v>
      </c>
      <c r="D1224" t="s">
        <v>772</v>
      </c>
      <c r="E1224" t="s">
        <v>779</v>
      </c>
      <c r="F1224" t="s">
        <v>779</v>
      </c>
      <c r="G1224" t="s">
        <v>94</v>
      </c>
      <c r="H1224" t="s">
        <v>81</v>
      </c>
      <c r="J1224" t="s">
        <v>83</v>
      </c>
      <c r="K1224" t="s">
        <v>83</v>
      </c>
      <c r="L1224">
        <v>12</v>
      </c>
      <c r="M1224" t="s">
        <v>83</v>
      </c>
      <c r="O1224" t="s">
        <v>83</v>
      </c>
      <c r="P1224" t="s">
        <v>84</v>
      </c>
      <c r="Q1224" t="s">
        <v>85</v>
      </c>
    </row>
    <row r="1225" spans="1:17" hidden="1">
      <c r="A1225" t="s">
        <v>76</v>
      </c>
      <c r="B1225" t="s">
        <v>77</v>
      </c>
      <c r="C1225" t="s">
        <v>772</v>
      </c>
      <c r="D1225" t="s">
        <v>772</v>
      </c>
      <c r="E1225" t="s">
        <v>780</v>
      </c>
      <c r="F1225" t="s">
        <v>780</v>
      </c>
      <c r="G1225" t="s">
        <v>88</v>
      </c>
      <c r="H1225" t="s">
        <v>81</v>
      </c>
      <c r="L1225">
        <v>13</v>
      </c>
      <c r="M1225" t="s">
        <v>83</v>
      </c>
      <c r="O1225" t="s">
        <v>83</v>
      </c>
      <c r="P1225" t="s">
        <v>84</v>
      </c>
      <c r="Q1225" t="s">
        <v>85</v>
      </c>
    </row>
    <row r="1226" spans="1:17" hidden="1">
      <c r="A1226" t="s">
        <v>76</v>
      </c>
      <c r="B1226" t="s">
        <v>77</v>
      </c>
      <c r="C1226" t="s">
        <v>772</v>
      </c>
      <c r="D1226" t="s">
        <v>772</v>
      </c>
      <c r="E1226" t="s">
        <v>781</v>
      </c>
      <c r="F1226" t="s">
        <v>781</v>
      </c>
      <c r="G1226" t="s">
        <v>94</v>
      </c>
      <c r="H1226" t="s">
        <v>81</v>
      </c>
      <c r="L1226">
        <v>14</v>
      </c>
      <c r="M1226" t="s">
        <v>83</v>
      </c>
      <c r="O1226" t="s">
        <v>83</v>
      </c>
      <c r="P1226" t="s">
        <v>84</v>
      </c>
      <c r="Q1226" t="s">
        <v>85</v>
      </c>
    </row>
    <row r="1227" spans="1:17" hidden="1">
      <c r="A1227" t="s">
        <v>76</v>
      </c>
      <c r="B1227" t="s">
        <v>77</v>
      </c>
      <c r="C1227" t="s">
        <v>772</v>
      </c>
      <c r="D1227" t="s">
        <v>772</v>
      </c>
      <c r="E1227" t="s">
        <v>782</v>
      </c>
      <c r="F1227" t="s">
        <v>782</v>
      </c>
      <c r="G1227" t="s">
        <v>98</v>
      </c>
      <c r="H1227" t="s">
        <v>81</v>
      </c>
      <c r="L1227">
        <v>15</v>
      </c>
      <c r="M1227" t="s">
        <v>83</v>
      </c>
      <c r="O1227" t="s">
        <v>83</v>
      </c>
      <c r="P1227" t="s">
        <v>84</v>
      </c>
      <c r="Q1227" t="s">
        <v>85</v>
      </c>
    </row>
    <row r="1228" spans="1:17" hidden="1">
      <c r="A1228" t="s">
        <v>76</v>
      </c>
      <c r="B1228" t="s">
        <v>77</v>
      </c>
      <c r="C1228" t="s">
        <v>772</v>
      </c>
      <c r="D1228" t="s">
        <v>772</v>
      </c>
      <c r="E1228" t="s">
        <v>112</v>
      </c>
      <c r="F1228" t="s">
        <v>112</v>
      </c>
      <c r="G1228" t="s">
        <v>113</v>
      </c>
      <c r="H1228" t="s">
        <v>81</v>
      </c>
      <c r="I1228" t="s">
        <v>114</v>
      </c>
      <c r="L1228">
        <v>16</v>
      </c>
      <c r="M1228" t="s">
        <v>83</v>
      </c>
      <c r="O1228" t="s">
        <v>83</v>
      </c>
      <c r="P1228" t="s">
        <v>84</v>
      </c>
      <c r="Q1228" t="s">
        <v>85</v>
      </c>
    </row>
    <row r="1229" spans="1:17" hidden="1">
      <c r="A1229" t="s">
        <v>76</v>
      </c>
      <c r="B1229" t="s">
        <v>77</v>
      </c>
      <c r="C1229" t="s">
        <v>772</v>
      </c>
      <c r="D1229" t="s">
        <v>772</v>
      </c>
      <c r="E1229" t="s">
        <v>115</v>
      </c>
      <c r="F1229" t="s">
        <v>115</v>
      </c>
      <c r="G1229" t="s">
        <v>113</v>
      </c>
      <c r="H1229" t="s">
        <v>81</v>
      </c>
      <c r="I1229" t="s">
        <v>114</v>
      </c>
      <c r="L1229">
        <v>17</v>
      </c>
      <c r="M1229" t="s">
        <v>83</v>
      </c>
      <c r="O1229" t="s">
        <v>83</v>
      </c>
      <c r="P1229" t="s">
        <v>84</v>
      </c>
      <c r="Q1229" t="s">
        <v>85</v>
      </c>
    </row>
    <row r="1230" spans="1:17" hidden="1">
      <c r="A1230" t="s">
        <v>76</v>
      </c>
      <c r="B1230" t="s">
        <v>77</v>
      </c>
      <c r="C1230" t="s">
        <v>772</v>
      </c>
      <c r="D1230" t="s">
        <v>772</v>
      </c>
      <c r="E1230" t="s">
        <v>117</v>
      </c>
      <c r="F1230" t="s">
        <v>117</v>
      </c>
      <c r="G1230" t="s">
        <v>90</v>
      </c>
      <c r="H1230" t="s">
        <v>81</v>
      </c>
      <c r="L1230">
        <v>24</v>
      </c>
      <c r="M1230" t="s">
        <v>83</v>
      </c>
      <c r="O1230" t="s">
        <v>83</v>
      </c>
      <c r="P1230" t="s">
        <v>84</v>
      </c>
      <c r="Q1230" t="s">
        <v>85</v>
      </c>
    </row>
    <row r="1231" spans="1:17" hidden="1">
      <c r="A1231" t="s">
        <v>76</v>
      </c>
      <c r="B1231" t="s">
        <v>77</v>
      </c>
      <c r="C1231" t="s">
        <v>772</v>
      </c>
      <c r="D1231" t="s">
        <v>772</v>
      </c>
      <c r="E1231" t="s">
        <v>174</v>
      </c>
      <c r="F1231" t="s">
        <v>174</v>
      </c>
      <c r="G1231" t="s">
        <v>90</v>
      </c>
      <c r="H1231" t="s">
        <v>81</v>
      </c>
      <c r="L1231">
        <v>25</v>
      </c>
      <c r="M1231" t="s">
        <v>83</v>
      </c>
      <c r="O1231" t="s">
        <v>83</v>
      </c>
      <c r="P1231" t="s">
        <v>84</v>
      </c>
      <c r="Q1231" t="s">
        <v>85</v>
      </c>
    </row>
    <row r="1232" spans="1:17" hidden="1">
      <c r="A1232" t="s">
        <v>76</v>
      </c>
      <c r="B1232" t="s">
        <v>77</v>
      </c>
      <c r="C1232" t="s">
        <v>772</v>
      </c>
      <c r="D1232" t="s">
        <v>772</v>
      </c>
      <c r="E1232" t="s">
        <v>118</v>
      </c>
      <c r="F1232" t="s">
        <v>118</v>
      </c>
      <c r="G1232" t="s">
        <v>92</v>
      </c>
      <c r="H1232" t="s">
        <v>81</v>
      </c>
      <c r="L1232">
        <v>26</v>
      </c>
      <c r="M1232" t="s">
        <v>83</v>
      </c>
      <c r="O1232" t="s">
        <v>83</v>
      </c>
      <c r="P1232" t="s">
        <v>84</v>
      </c>
      <c r="Q1232" t="s">
        <v>85</v>
      </c>
    </row>
  </sheetData>
  <autoFilter ref="A1:Q1232" xr:uid="{CB853D04-1006-43C3-81C0-D5A71F843CA8}">
    <filterColumn colId="2">
      <filters>
        <filter val="CIRC_RES_RSEV"/>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BCB71-9B26-4709-9B08-9B8CB2CE23C3}">
  <dimension ref="A1:P1412"/>
  <sheetViews>
    <sheetView workbookViewId="0">
      <selection activeCell="C1" sqref="C1:C1048576"/>
    </sheetView>
  </sheetViews>
  <sheetFormatPr defaultRowHeight="15"/>
  <cols>
    <col min="1" max="1" width="11.7109375" bestFit="1" customWidth="1"/>
    <col min="2" max="2" width="20.42578125" bestFit="1" customWidth="1"/>
    <col min="3" max="4" width="22.28515625" bestFit="1" customWidth="1"/>
    <col min="5" max="6" width="34.85546875" bestFit="1" customWidth="1"/>
    <col min="7" max="7" width="19" bestFit="1" customWidth="1"/>
    <col min="8" max="8" width="16" bestFit="1" customWidth="1"/>
    <col min="9" max="9" width="26.140625" bestFit="1" customWidth="1"/>
    <col min="10" max="10" width="15.28515625" bestFit="1" customWidth="1"/>
    <col min="11" max="11" width="6.140625" customWidth="1"/>
    <col min="12" max="12" width="6.140625" bestFit="1" customWidth="1"/>
    <col min="13" max="13" width="15.42578125" bestFit="1" customWidth="1"/>
    <col min="14" max="14" width="5.7109375" bestFit="1" customWidth="1"/>
    <col min="15" max="15" width="23.85546875" bestFit="1" customWidth="1"/>
    <col min="16" max="16" width="52.7109375" bestFit="1" customWidth="1"/>
  </cols>
  <sheetData>
    <row r="1" spans="1:16">
      <c r="A1" s="1" t="s">
        <v>60</v>
      </c>
      <c r="B1" s="1" t="s">
        <v>61</v>
      </c>
      <c r="C1" s="1" t="s">
        <v>62</v>
      </c>
      <c r="D1" s="1" t="s">
        <v>63</v>
      </c>
      <c r="E1" s="1" t="s">
        <v>64</v>
      </c>
      <c r="F1" s="1" t="s">
        <v>65</v>
      </c>
      <c r="G1" s="1" t="s">
        <v>66</v>
      </c>
      <c r="H1" s="1" t="s">
        <v>67</v>
      </c>
      <c r="I1" s="1" t="s">
        <v>68</v>
      </c>
      <c r="J1" s="1" t="s">
        <v>69</v>
      </c>
      <c r="K1" s="1" t="s">
        <v>70</v>
      </c>
      <c r="L1" s="1" t="s">
        <v>71</v>
      </c>
      <c r="M1" s="1" t="s">
        <v>72</v>
      </c>
      <c r="N1" s="1" t="s">
        <v>73</v>
      </c>
      <c r="O1" s="1" t="s">
        <v>74</v>
      </c>
      <c r="P1" s="1" t="s">
        <v>75</v>
      </c>
    </row>
    <row r="2" spans="1:16">
      <c r="A2" t="s">
        <v>783</v>
      </c>
      <c r="B2" t="s">
        <v>77</v>
      </c>
      <c r="C2" t="s">
        <v>78</v>
      </c>
      <c r="D2" t="s">
        <v>78</v>
      </c>
      <c r="E2" t="s">
        <v>79</v>
      </c>
      <c r="F2" t="s">
        <v>79</v>
      </c>
      <c r="G2" t="s">
        <v>80</v>
      </c>
      <c r="H2" t="s">
        <v>81</v>
      </c>
      <c r="I2" t="s">
        <v>82</v>
      </c>
      <c r="L2">
        <v>1</v>
      </c>
      <c r="M2" t="s">
        <v>83</v>
      </c>
      <c r="O2" t="s">
        <v>83</v>
      </c>
      <c r="P2" t="s">
        <v>84</v>
      </c>
    </row>
    <row r="3" spans="1:16">
      <c r="A3" t="s">
        <v>783</v>
      </c>
      <c r="B3" t="s">
        <v>77</v>
      </c>
      <c r="C3" t="s">
        <v>78</v>
      </c>
      <c r="D3" t="s">
        <v>78</v>
      </c>
      <c r="E3" t="s">
        <v>86</v>
      </c>
      <c r="F3" t="s">
        <v>86</v>
      </c>
      <c r="G3" t="s">
        <v>80</v>
      </c>
      <c r="H3" t="s">
        <v>81</v>
      </c>
      <c r="I3" t="s">
        <v>82</v>
      </c>
      <c r="L3">
        <v>2</v>
      </c>
      <c r="M3" t="s">
        <v>83</v>
      </c>
      <c r="O3" t="s">
        <v>83</v>
      </c>
      <c r="P3" t="s">
        <v>84</v>
      </c>
    </row>
    <row r="4" spans="1:16">
      <c r="A4" t="s">
        <v>783</v>
      </c>
      <c r="B4" t="s">
        <v>77</v>
      </c>
      <c r="C4" t="s">
        <v>78</v>
      </c>
      <c r="D4" t="s">
        <v>78</v>
      </c>
      <c r="E4" t="s">
        <v>87</v>
      </c>
      <c r="F4" t="s">
        <v>87</v>
      </c>
      <c r="G4" t="s">
        <v>88</v>
      </c>
      <c r="H4" t="s">
        <v>81</v>
      </c>
      <c r="J4" t="s">
        <v>83</v>
      </c>
      <c r="L4">
        <v>3</v>
      </c>
      <c r="M4" t="s">
        <v>83</v>
      </c>
      <c r="O4" t="s">
        <v>83</v>
      </c>
      <c r="P4" t="s">
        <v>84</v>
      </c>
    </row>
    <row r="5" spans="1:16">
      <c r="A5" t="s">
        <v>783</v>
      </c>
      <c r="B5" t="s">
        <v>77</v>
      </c>
      <c r="C5" t="s">
        <v>78</v>
      </c>
      <c r="D5" t="s">
        <v>78</v>
      </c>
      <c r="E5" t="s">
        <v>89</v>
      </c>
      <c r="F5" t="s">
        <v>89</v>
      </c>
      <c r="G5" t="s">
        <v>90</v>
      </c>
      <c r="H5" t="s">
        <v>81</v>
      </c>
      <c r="J5" t="s">
        <v>83</v>
      </c>
      <c r="K5" t="s">
        <v>83</v>
      </c>
      <c r="L5">
        <v>4</v>
      </c>
      <c r="M5" t="s">
        <v>83</v>
      </c>
      <c r="O5" t="s">
        <v>83</v>
      </c>
      <c r="P5" t="s">
        <v>84</v>
      </c>
    </row>
    <row r="6" spans="1:16">
      <c r="A6" t="s">
        <v>783</v>
      </c>
      <c r="B6" t="s">
        <v>77</v>
      </c>
      <c r="C6" t="s">
        <v>78</v>
      </c>
      <c r="D6" t="s">
        <v>78</v>
      </c>
      <c r="E6" t="s">
        <v>91</v>
      </c>
      <c r="F6" t="s">
        <v>91</v>
      </c>
      <c r="G6" t="s">
        <v>92</v>
      </c>
      <c r="H6" t="s">
        <v>81</v>
      </c>
      <c r="J6" t="s">
        <v>83</v>
      </c>
      <c r="L6">
        <v>5</v>
      </c>
      <c r="M6" t="s">
        <v>83</v>
      </c>
      <c r="O6" t="s">
        <v>83</v>
      </c>
      <c r="P6" t="s">
        <v>84</v>
      </c>
    </row>
    <row r="7" spans="1:16">
      <c r="A7" t="s">
        <v>783</v>
      </c>
      <c r="B7" t="s">
        <v>77</v>
      </c>
      <c r="C7" t="s">
        <v>78</v>
      </c>
      <c r="D7" t="s">
        <v>78</v>
      </c>
      <c r="E7" t="s">
        <v>93</v>
      </c>
      <c r="F7" t="s">
        <v>93</v>
      </c>
      <c r="G7" t="s">
        <v>94</v>
      </c>
      <c r="H7" t="s">
        <v>81</v>
      </c>
      <c r="L7">
        <v>6</v>
      </c>
      <c r="M7" t="s">
        <v>83</v>
      </c>
      <c r="O7" t="s">
        <v>83</v>
      </c>
      <c r="P7" t="s">
        <v>84</v>
      </c>
    </row>
    <row r="8" spans="1:16">
      <c r="A8" t="s">
        <v>783</v>
      </c>
      <c r="B8" t="s">
        <v>77</v>
      </c>
      <c r="C8" t="s">
        <v>78</v>
      </c>
      <c r="D8" t="s">
        <v>78</v>
      </c>
      <c r="E8" t="s">
        <v>95</v>
      </c>
      <c r="F8" t="s">
        <v>95</v>
      </c>
      <c r="G8" t="s">
        <v>88</v>
      </c>
      <c r="H8" t="s">
        <v>81</v>
      </c>
      <c r="L8">
        <v>7</v>
      </c>
      <c r="M8" t="s">
        <v>83</v>
      </c>
      <c r="O8" t="s">
        <v>83</v>
      </c>
      <c r="P8" t="s">
        <v>84</v>
      </c>
    </row>
    <row r="9" spans="1:16">
      <c r="A9" t="s">
        <v>783</v>
      </c>
      <c r="B9" t="s">
        <v>77</v>
      </c>
      <c r="C9" t="s">
        <v>78</v>
      </c>
      <c r="D9" t="s">
        <v>78</v>
      </c>
      <c r="E9" t="s">
        <v>96</v>
      </c>
      <c r="F9" t="s">
        <v>96</v>
      </c>
      <c r="G9" t="s">
        <v>94</v>
      </c>
      <c r="H9" t="s">
        <v>81</v>
      </c>
      <c r="L9">
        <v>8</v>
      </c>
      <c r="M9" t="s">
        <v>83</v>
      </c>
      <c r="O9" t="s">
        <v>83</v>
      </c>
      <c r="P9" t="s">
        <v>84</v>
      </c>
    </row>
    <row r="10" spans="1:16">
      <c r="A10" t="s">
        <v>783</v>
      </c>
      <c r="B10" t="s">
        <v>77</v>
      </c>
      <c r="C10" t="s">
        <v>78</v>
      </c>
      <c r="D10" t="s">
        <v>78</v>
      </c>
      <c r="E10" t="s">
        <v>97</v>
      </c>
      <c r="F10" t="s">
        <v>97</v>
      </c>
      <c r="G10" t="s">
        <v>98</v>
      </c>
      <c r="H10" t="s">
        <v>81</v>
      </c>
      <c r="L10">
        <v>9</v>
      </c>
      <c r="M10" t="s">
        <v>83</v>
      </c>
      <c r="O10" t="s">
        <v>83</v>
      </c>
      <c r="P10" t="s">
        <v>84</v>
      </c>
    </row>
    <row r="11" spans="1:16">
      <c r="A11" t="s">
        <v>783</v>
      </c>
      <c r="B11" t="s">
        <v>77</v>
      </c>
      <c r="C11" t="s">
        <v>78</v>
      </c>
      <c r="D11" t="s">
        <v>78</v>
      </c>
      <c r="E11" t="s">
        <v>99</v>
      </c>
      <c r="F11" t="s">
        <v>99</v>
      </c>
      <c r="G11" t="s">
        <v>80</v>
      </c>
      <c r="H11" t="s">
        <v>81</v>
      </c>
      <c r="I11" t="s">
        <v>82</v>
      </c>
      <c r="L11">
        <v>10</v>
      </c>
      <c r="M11" t="s">
        <v>83</v>
      </c>
      <c r="O11" t="s">
        <v>83</v>
      </c>
      <c r="P11" t="s">
        <v>84</v>
      </c>
    </row>
    <row r="12" spans="1:16">
      <c r="A12" t="s">
        <v>783</v>
      </c>
      <c r="B12" t="s">
        <v>77</v>
      </c>
      <c r="C12" t="s">
        <v>78</v>
      </c>
      <c r="D12" t="s">
        <v>78</v>
      </c>
      <c r="E12" t="s">
        <v>101</v>
      </c>
      <c r="F12" t="s">
        <v>101</v>
      </c>
      <c r="G12" t="s">
        <v>90</v>
      </c>
      <c r="H12" t="s">
        <v>81</v>
      </c>
      <c r="L12">
        <v>11</v>
      </c>
      <c r="M12" t="s">
        <v>83</v>
      </c>
      <c r="O12" t="s">
        <v>83</v>
      </c>
      <c r="P12" t="s">
        <v>84</v>
      </c>
    </row>
    <row r="13" spans="1:16">
      <c r="A13" t="s">
        <v>783</v>
      </c>
      <c r="B13" t="s">
        <v>77</v>
      </c>
      <c r="C13" t="s">
        <v>78</v>
      </c>
      <c r="D13" t="s">
        <v>78</v>
      </c>
      <c r="E13" t="s">
        <v>102</v>
      </c>
      <c r="F13" t="s">
        <v>102</v>
      </c>
      <c r="G13" t="s">
        <v>80</v>
      </c>
      <c r="H13" t="s">
        <v>81</v>
      </c>
      <c r="I13" t="s">
        <v>82</v>
      </c>
      <c r="L13">
        <v>12</v>
      </c>
      <c r="M13" t="s">
        <v>83</v>
      </c>
      <c r="O13" t="s">
        <v>83</v>
      </c>
      <c r="P13" t="s">
        <v>84</v>
      </c>
    </row>
    <row r="14" spans="1:16">
      <c r="A14" t="s">
        <v>783</v>
      </c>
      <c r="B14" t="s">
        <v>77</v>
      </c>
      <c r="C14" t="s">
        <v>78</v>
      </c>
      <c r="D14" t="s">
        <v>78</v>
      </c>
      <c r="E14" t="s">
        <v>103</v>
      </c>
      <c r="F14" t="s">
        <v>103</v>
      </c>
      <c r="G14" t="s">
        <v>90</v>
      </c>
      <c r="H14" t="s">
        <v>81</v>
      </c>
      <c r="L14">
        <v>13</v>
      </c>
      <c r="M14" t="s">
        <v>83</v>
      </c>
      <c r="O14" t="s">
        <v>83</v>
      </c>
      <c r="P14" t="s">
        <v>84</v>
      </c>
    </row>
    <row r="15" spans="1:16">
      <c r="A15" t="s">
        <v>783</v>
      </c>
      <c r="B15" t="s">
        <v>77</v>
      </c>
      <c r="C15" t="s">
        <v>78</v>
      </c>
      <c r="D15" t="s">
        <v>78</v>
      </c>
      <c r="E15" t="s">
        <v>104</v>
      </c>
      <c r="F15" t="s">
        <v>104</v>
      </c>
      <c r="G15" t="s">
        <v>98</v>
      </c>
      <c r="H15" t="s">
        <v>81</v>
      </c>
      <c r="L15">
        <v>14</v>
      </c>
      <c r="M15" t="s">
        <v>83</v>
      </c>
      <c r="O15" t="s">
        <v>83</v>
      </c>
      <c r="P15" t="s">
        <v>84</v>
      </c>
    </row>
    <row r="16" spans="1:16">
      <c r="A16" t="s">
        <v>783</v>
      </c>
      <c r="B16" t="s">
        <v>77</v>
      </c>
      <c r="C16" t="s">
        <v>78</v>
      </c>
      <c r="D16" t="s">
        <v>78</v>
      </c>
      <c r="E16" t="s">
        <v>105</v>
      </c>
      <c r="F16" t="s">
        <v>105</v>
      </c>
      <c r="G16" t="s">
        <v>80</v>
      </c>
      <c r="H16" t="s">
        <v>81</v>
      </c>
      <c r="I16" t="s">
        <v>82</v>
      </c>
      <c r="L16">
        <v>15</v>
      </c>
      <c r="M16" t="s">
        <v>83</v>
      </c>
      <c r="O16" t="s">
        <v>83</v>
      </c>
      <c r="P16" t="s">
        <v>84</v>
      </c>
    </row>
    <row r="17" spans="1:16">
      <c r="A17" t="s">
        <v>783</v>
      </c>
      <c r="B17" t="s">
        <v>77</v>
      </c>
      <c r="C17" t="s">
        <v>78</v>
      </c>
      <c r="D17" t="s">
        <v>78</v>
      </c>
      <c r="E17" t="s">
        <v>106</v>
      </c>
      <c r="F17" t="s">
        <v>106</v>
      </c>
      <c r="G17" t="s">
        <v>90</v>
      </c>
      <c r="H17" t="s">
        <v>81</v>
      </c>
      <c r="L17">
        <v>16</v>
      </c>
      <c r="M17" t="s">
        <v>83</v>
      </c>
      <c r="O17" t="s">
        <v>83</v>
      </c>
      <c r="P17" t="s">
        <v>84</v>
      </c>
    </row>
    <row r="18" spans="1:16">
      <c r="A18" t="s">
        <v>783</v>
      </c>
      <c r="B18" t="s">
        <v>77</v>
      </c>
      <c r="C18" t="s">
        <v>78</v>
      </c>
      <c r="D18" t="s">
        <v>78</v>
      </c>
      <c r="E18" t="s">
        <v>107</v>
      </c>
      <c r="F18" t="s">
        <v>107</v>
      </c>
      <c r="G18" t="s">
        <v>98</v>
      </c>
      <c r="H18" t="s">
        <v>81</v>
      </c>
      <c r="L18">
        <v>17</v>
      </c>
      <c r="M18" t="s">
        <v>83</v>
      </c>
      <c r="O18" t="s">
        <v>83</v>
      </c>
      <c r="P18" t="s">
        <v>84</v>
      </c>
    </row>
    <row r="19" spans="1:16">
      <c r="A19" t="s">
        <v>783</v>
      </c>
      <c r="B19" t="s">
        <v>77</v>
      </c>
      <c r="C19" t="s">
        <v>78</v>
      </c>
      <c r="D19" t="s">
        <v>78</v>
      </c>
      <c r="E19" t="s">
        <v>108</v>
      </c>
      <c r="F19" t="s">
        <v>108</v>
      </c>
      <c r="G19" t="s">
        <v>88</v>
      </c>
      <c r="H19" t="s">
        <v>81</v>
      </c>
      <c r="L19">
        <v>18</v>
      </c>
      <c r="M19" t="s">
        <v>83</v>
      </c>
      <c r="O19" t="s">
        <v>83</v>
      </c>
      <c r="P19" t="s">
        <v>84</v>
      </c>
    </row>
    <row r="20" spans="1:16">
      <c r="A20" t="s">
        <v>783</v>
      </c>
      <c r="B20" t="s">
        <v>77</v>
      </c>
      <c r="C20" t="s">
        <v>78</v>
      </c>
      <c r="D20" t="s">
        <v>78</v>
      </c>
      <c r="E20" t="s">
        <v>109</v>
      </c>
      <c r="F20" t="s">
        <v>109</v>
      </c>
      <c r="G20" t="s">
        <v>98</v>
      </c>
      <c r="H20" t="s">
        <v>81</v>
      </c>
      <c r="L20">
        <v>19</v>
      </c>
      <c r="M20" t="s">
        <v>83</v>
      </c>
      <c r="O20" t="s">
        <v>83</v>
      </c>
      <c r="P20" t="s">
        <v>84</v>
      </c>
    </row>
    <row r="21" spans="1:16">
      <c r="A21" t="s">
        <v>783</v>
      </c>
      <c r="B21" t="s">
        <v>77</v>
      </c>
      <c r="C21" t="s">
        <v>78</v>
      </c>
      <c r="D21" t="s">
        <v>78</v>
      </c>
      <c r="E21" t="s">
        <v>110</v>
      </c>
      <c r="F21" t="s">
        <v>110</v>
      </c>
      <c r="G21" t="s">
        <v>88</v>
      </c>
      <c r="H21" t="s">
        <v>81</v>
      </c>
      <c r="L21">
        <v>20</v>
      </c>
      <c r="M21" t="s">
        <v>83</v>
      </c>
      <c r="O21" t="s">
        <v>83</v>
      </c>
      <c r="P21" t="s">
        <v>84</v>
      </c>
    </row>
    <row r="22" spans="1:16">
      <c r="A22" t="s">
        <v>783</v>
      </c>
      <c r="B22" t="s">
        <v>77</v>
      </c>
      <c r="C22" t="s">
        <v>78</v>
      </c>
      <c r="D22" t="s">
        <v>78</v>
      </c>
      <c r="E22" t="s">
        <v>111</v>
      </c>
      <c r="F22" t="s">
        <v>111</v>
      </c>
      <c r="G22" t="s">
        <v>98</v>
      </c>
      <c r="H22" t="s">
        <v>81</v>
      </c>
      <c r="L22">
        <v>21</v>
      </c>
      <c r="M22" t="s">
        <v>83</v>
      </c>
      <c r="O22" t="s">
        <v>83</v>
      </c>
      <c r="P22" t="s">
        <v>84</v>
      </c>
    </row>
    <row r="23" spans="1:16">
      <c r="A23" t="s">
        <v>783</v>
      </c>
      <c r="B23" t="s">
        <v>77</v>
      </c>
      <c r="C23" t="s">
        <v>78</v>
      </c>
      <c r="D23" t="s">
        <v>78</v>
      </c>
      <c r="E23" t="s">
        <v>112</v>
      </c>
      <c r="F23" t="s">
        <v>112</v>
      </c>
      <c r="G23" t="s">
        <v>113</v>
      </c>
      <c r="H23" t="s">
        <v>81</v>
      </c>
      <c r="I23" t="s">
        <v>114</v>
      </c>
      <c r="L23">
        <v>22</v>
      </c>
      <c r="M23" t="s">
        <v>83</v>
      </c>
      <c r="O23" t="s">
        <v>83</v>
      </c>
      <c r="P23" t="s">
        <v>84</v>
      </c>
    </row>
    <row r="24" spans="1:16">
      <c r="A24" t="s">
        <v>783</v>
      </c>
      <c r="B24" t="s">
        <v>77</v>
      </c>
      <c r="C24" t="s">
        <v>78</v>
      </c>
      <c r="D24" t="s">
        <v>78</v>
      </c>
      <c r="E24" t="s">
        <v>115</v>
      </c>
      <c r="F24" t="s">
        <v>115</v>
      </c>
      <c r="G24" t="s">
        <v>113</v>
      </c>
      <c r="H24" t="s">
        <v>81</v>
      </c>
      <c r="I24" t="s">
        <v>114</v>
      </c>
      <c r="L24">
        <v>23</v>
      </c>
      <c r="M24" t="s">
        <v>83</v>
      </c>
      <c r="O24" t="s">
        <v>83</v>
      </c>
      <c r="P24" t="s">
        <v>84</v>
      </c>
    </row>
    <row r="25" spans="1:16">
      <c r="A25" t="s">
        <v>783</v>
      </c>
      <c r="B25" t="s">
        <v>77</v>
      </c>
      <c r="C25" t="s">
        <v>78</v>
      </c>
      <c r="D25" t="s">
        <v>78</v>
      </c>
      <c r="E25" t="s">
        <v>116</v>
      </c>
      <c r="F25" t="s">
        <v>116</v>
      </c>
      <c r="G25" t="s">
        <v>90</v>
      </c>
      <c r="H25" t="s">
        <v>81</v>
      </c>
      <c r="L25">
        <v>30</v>
      </c>
      <c r="M25" t="s">
        <v>83</v>
      </c>
      <c r="O25" t="s">
        <v>83</v>
      </c>
      <c r="P25" t="s">
        <v>84</v>
      </c>
    </row>
    <row r="26" spans="1:16">
      <c r="A26" t="s">
        <v>783</v>
      </c>
      <c r="B26" t="s">
        <v>77</v>
      </c>
      <c r="C26" t="s">
        <v>78</v>
      </c>
      <c r="D26" t="s">
        <v>78</v>
      </c>
      <c r="E26" t="s">
        <v>117</v>
      </c>
      <c r="F26" t="s">
        <v>117</v>
      </c>
      <c r="G26" t="s">
        <v>90</v>
      </c>
      <c r="H26" t="s">
        <v>81</v>
      </c>
      <c r="L26">
        <v>31</v>
      </c>
      <c r="M26" t="s">
        <v>83</v>
      </c>
      <c r="O26" t="s">
        <v>83</v>
      </c>
      <c r="P26" t="s">
        <v>84</v>
      </c>
    </row>
    <row r="27" spans="1:16">
      <c r="A27" t="s">
        <v>783</v>
      </c>
      <c r="B27" t="s">
        <v>77</v>
      </c>
      <c r="C27" t="s">
        <v>78</v>
      </c>
      <c r="D27" t="s">
        <v>78</v>
      </c>
      <c r="E27" t="s">
        <v>118</v>
      </c>
      <c r="F27" t="s">
        <v>118</v>
      </c>
      <c r="G27" t="s">
        <v>92</v>
      </c>
      <c r="H27" t="s">
        <v>81</v>
      </c>
      <c r="L27">
        <v>32</v>
      </c>
      <c r="M27" t="s">
        <v>83</v>
      </c>
      <c r="O27" t="s">
        <v>83</v>
      </c>
      <c r="P27" t="s">
        <v>84</v>
      </c>
    </row>
    <row r="28" spans="1:16">
      <c r="A28" t="s">
        <v>783</v>
      </c>
      <c r="B28" t="s">
        <v>77</v>
      </c>
      <c r="C28" t="s">
        <v>78</v>
      </c>
      <c r="D28" t="s">
        <v>78</v>
      </c>
      <c r="E28" t="s">
        <v>784</v>
      </c>
      <c r="F28" t="s">
        <v>784</v>
      </c>
      <c r="G28" t="s">
        <v>80</v>
      </c>
      <c r="H28" t="s">
        <v>81</v>
      </c>
      <c r="I28" t="s">
        <v>82</v>
      </c>
      <c r="L28">
        <v>33</v>
      </c>
      <c r="M28" t="s">
        <v>83</v>
      </c>
      <c r="O28" t="s">
        <v>83</v>
      </c>
      <c r="P28" t="s">
        <v>84</v>
      </c>
    </row>
    <row r="29" spans="1:16">
      <c r="A29" t="s">
        <v>783</v>
      </c>
      <c r="B29" t="s">
        <v>77</v>
      </c>
      <c r="C29" t="s">
        <v>78</v>
      </c>
      <c r="D29" t="s">
        <v>78</v>
      </c>
      <c r="E29" t="s">
        <v>785</v>
      </c>
      <c r="F29" t="s">
        <v>785</v>
      </c>
      <c r="G29" t="s">
        <v>80</v>
      </c>
      <c r="H29" t="s">
        <v>81</v>
      </c>
      <c r="I29" t="s">
        <v>82</v>
      </c>
      <c r="L29">
        <v>34</v>
      </c>
      <c r="M29" t="s">
        <v>83</v>
      </c>
      <c r="O29" t="s">
        <v>83</v>
      </c>
      <c r="P29" t="s">
        <v>84</v>
      </c>
    </row>
    <row r="30" spans="1:16">
      <c r="A30" t="s">
        <v>783</v>
      </c>
      <c r="B30" t="s">
        <v>77</v>
      </c>
      <c r="C30" t="s">
        <v>78</v>
      </c>
      <c r="D30" t="s">
        <v>78</v>
      </c>
      <c r="E30" t="s">
        <v>786</v>
      </c>
      <c r="F30" t="s">
        <v>786</v>
      </c>
      <c r="G30" t="s">
        <v>787</v>
      </c>
      <c r="H30" t="s">
        <v>81</v>
      </c>
      <c r="L30">
        <v>35</v>
      </c>
      <c r="M30" t="s">
        <v>83</v>
      </c>
      <c r="O30" t="s">
        <v>83</v>
      </c>
      <c r="P30" t="s">
        <v>84</v>
      </c>
    </row>
    <row r="31" spans="1:16">
      <c r="A31" t="s">
        <v>783</v>
      </c>
      <c r="B31" t="s">
        <v>77</v>
      </c>
      <c r="C31" t="s">
        <v>119</v>
      </c>
      <c r="D31" t="s">
        <v>119</v>
      </c>
      <c r="E31" t="s">
        <v>79</v>
      </c>
      <c r="F31" t="s">
        <v>79</v>
      </c>
      <c r="G31" t="s">
        <v>80</v>
      </c>
      <c r="H31" t="s">
        <v>81</v>
      </c>
      <c r="I31" t="s">
        <v>82</v>
      </c>
      <c r="L31">
        <v>1</v>
      </c>
      <c r="M31" t="s">
        <v>83</v>
      </c>
      <c r="O31" t="s">
        <v>83</v>
      </c>
      <c r="P31" t="s">
        <v>84</v>
      </c>
    </row>
    <row r="32" spans="1:16">
      <c r="A32" t="s">
        <v>783</v>
      </c>
      <c r="B32" t="s">
        <v>77</v>
      </c>
      <c r="C32" t="s">
        <v>119</v>
      </c>
      <c r="D32" t="s">
        <v>119</v>
      </c>
      <c r="E32" t="s">
        <v>86</v>
      </c>
      <c r="F32" t="s">
        <v>86</v>
      </c>
      <c r="G32" t="s">
        <v>80</v>
      </c>
      <c r="H32" t="s">
        <v>81</v>
      </c>
      <c r="I32" t="s">
        <v>82</v>
      </c>
      <c r="L32">
        <v>2</v>
      </c>
      <c r="M32" t="s">
        <v>83</v>
      </c>
      <c r="O32" t="s">
        <v>83</v>
      </c>
      <c r="P32" t="s">
        <v>84</v>
      </c>
    </row>
    <row r="33" spans="1:16">
      <c r="A33" t="s">
        <v>783</v>
      </c>
      <c r="B33" t="s">
        <v>77</v>
      </c>
      <c r="C33" t="s">
        <v>119</v>
      </c>
      <c r="D33" t="s">
        <v>119</v>
      </c>
      <c r="E33" t="s">
        <v>87</v>
      </c>
      <c r="F33" t="s">
        <v>87</v>
      </c>
      <c r="G33" t="s">
        <v>88</v>
      </c>
      <c r="H33" t="s">
        <v>81</v>
      </c>
      <c r="J33" t="s">
        <v>83</v>
      </c>
      <c r="L33">
        <v>3</v>
      </c>
      <c r="M33" t="s">
        <v>83</v>
      </c>
      <c r="O33" t="s">
        <v>83</v>
      </c>
      <c r="P33" t="s">
        <v>84</v>
      </c>
    </row>
    <row r="34" spans="1:16">
      <c r="A34" t="s">
        <v>783</v>
      </c>
      <c r="B34" t="s">
        <v>77</v>
      </c>
      <c r="C34" t="s">
        <v>119</v>
      </c>
      <c r="D34" t="s">
        <v>119</v>
      </c>
      <c r="E34" t="s">
        <v>89</v>
      </c>
      <c r="F34" t="s">
        <v>89</v>
      </c>
      <c r="G34" t="s">
        <v>90</v>
      </c>
      <c r="H34" t="s">
        <v>81</v>
      </c>
      <c r="J34" t="s">
        <v>83</v>
      </c>
      <c r="K34" t="s">
        <v>83</v>
      </c>
      <c r="L34">
        <v>4</v>
      </c>
      <c r="M34" t="s">
        <v>83</v>
      </c>
      <c r="O34" t="s">
        <v>83</v>
      </c>
      <c r="P34" t="s">
        <v>84</v>
      </c>
    </row>
    <row r="35" spans="1:16">
      <c r="A35" t="s">
        <v>783</v>
      </c>
      <c r="B35" t="s">
        <v>77</v>
      </c>
      <c r="C35" t="s">
        <v>119</v>
      </c>
      <c r="D35" t="s">
        <v>119</v>
      </c>
      <c r="E35" t="s">
        <v>120</v>
      </c>
      <c r="F35" t="s">
        <v>120</v>
      </c>
      <c r="G35" t="s">
        <v>80</v>
      </c>
      <c r="H35" t="s">
        <v>81</v>
      </c>
      <c r="I35" t="s">
        <v>82</v>
      </c>
      <c r="L35">
        <v>5</v>
      </c>
      <c r="M35" t="s">
        <v>83</v>
      </c>
      <c r="O35" t="s">
        <v>83</v>
      </c>
      <c r="P35" t="s">
        <v>84</v>
      </c>
    </row>
    <row r="36" spans="1:16">
      <c r="A36" t="s">
        <v>783</v>
      </c>
      <c r="B36" t="s">
        <v>77</v>
      </c>
      <c r="C36" t="s">
        <v>119</v>
      </c>
      <c r="D36" t="s">
        <v>119</v>
      </c>
      <c r="E36" t="s">
        <v>121</v>
      </c>
      <c r="F36" t="s">
        <v>121</v>
      </c>
      <c r="G36" t="s">
        <v>90</v>
      </c>
      <c r="H36" t="s">
        <v>81</v>
      </c>
      <c r="L36">
        <v>6</v>
      </c>
      <c r="M36" t="s">
        <v>83</v>
      </c>
      <c r="O36" t="s">
        <v>83</v>
      </c>
      <c r="P36" t="s">
        <v>84</v>
      </c>
    </row>
    <row r="37" spans="1:16">
      <c r="A37" t="s">
        <v>783</v>
      </c>
      <c r="B37" t="s">
        <v>77</v>
      </c>
      <c r="C37" t="s">
        <v>119</v>
      </c>
      <c r="D37" t="s">
        <v>119</v>
      </c>
      <c r="E37" t="s">
        <v>91</v>
      </c>
      <c r="F37" t="s">
        <v>91</v>
      </c>
      <c r="G37" t="s">
        <v>92</v>
      </c>
      <c r="H37" t="s">
        <v>81</v>
      </c>
      <c r="J37" t="s">
        <v>83</v>
      </c>
      <c r="L37">
        <v>7</v>
      </c>
      <c r="M37" t="s">
        <v>83</v>
      </c>
      <c r="O37" t="s">
        <v>83</v>
      </c>
      <c r="P37" t="s">
        <v>84</v>
      </c>
    </row>
    <row r="38" spans="1:16">
      <c r="A38" t="s">
        <v>783</v>
      </c>
      <c r="B38" t="s">
        <v>77</v>
      </c>
      <c r="C38" t="s">
        <v>119</v>
      </c>
      <c r="D38" t="s">
        <v>119</v>
      </c>
      <c r="E38" t="s">
        <v>122</v>
      </c>
      <c r="F38" t="s">
        <v>122</v>
      </c>
      <c r="G38" t="s">
        <v>94</v>
      </c>
      <c r="H38" t="s">
        <v>81</v>
      </c>
      <c r="L38">
        <v>8</v>
      </c>
      <c r="M38" t="s">
        <v>83</v>
      </c>
      <c r="O38" t="s">
        <v>83</v>
      </c>
      <c r="P38" t="s">
        <v>84</v>
      </c>
    </row>
    <row r="39" spans="1:16">
      <c r="A39" t="s">
        <v>783</v>
      </c>
      <c r="B39" t="s">
        <v>77</v>
      </c>
      <c r="C39" t="s">
        <v>119</v>
      </c>
      <c r="D39" t="s">
        <v>119</v>
      </c>
      <c r="E39" t="s">
        <v>123</v>
      </c>
      <c r="F39" t="s">
        <v>123</v>
      </c>
      <c r="G39" t="s">
        <v>88</v>
      </c>
      <c r="H39" t="s">
        <v>81</v>
      </c>
      <c r="L39">
        <v>9</v>
      </c>
      <c r="M39" t="s">
        <v>83</v>
      </c>
      <c r="O39" t="s">
        <v>83</v>
      </c>
      <c r="P39" t="s">
        <v>84</v>
      </c>
    </row>
    <row r="40" spans="1:16">
      <c r="A40" t="s">
        <v>783</v>
      </c>
      <c r="B40" t="s">
        <v>77</v>
      </c>
      <c r="C40" t="s">
        <v>119</v>
      </c>
      <c r="D40" t="s">
        <v>119</v>
      </c>
      <c r="E40" t="s">
        <v>124</v>
      </c>
      <c r="F40" t="s">
        <v>124</v>
      </c>
      <c r="G40" t="s">
        <v>94</v>
      </c>
      <c r="H40" t="s">
        <v>81</v>
      </c>
      <c r="L40">
        <v>10</v>
      </c>
      <c r="M40" t="s">
        <v>83</v>
      </c>
      <c r="O40" t="s">
        <v>83</v>
      </c>
      <c r="P40" t="s">
        <v>84</v>
      </c>
    </row>
    <row r="41" spans="1:16">
      <c r="A41" t="s">
        <v>783</v>
      </c>
      <c r="B41" t="s">
        <v>77</v>
      </c>
      <c r="C41" t="s">
        <v>119</v>
      </c>
      <c r="D41" t="s">
        <v>119</v>
      </c>
      <c r="E41" t="s">
        <v>125</v>
      </c>
      <c r="F41" t="s">
        <v>125</v>
      </c>
      <c r="G41" t="s">
        <v>126</v>
      </c>
      <c r="H41" t="s">
        <v>81</v>
      </c>
      <c r="L41">
        <v>11</v>
      </c>
      <c r="M41" t="s">
        <v>83</v>
      </c>
      <c r="O41" t="s">
        <v>83</v>
      </c>
      <c r="P41" t="s">
        <v>84</v>
      </c>
    </row>
    <row r="42" spans="1:16">
      <c r="A42" t="s">
        <v>783</v>
      </c>
      <c r="B42" t="s">
        <v>77</v>
      </c>
      <c r="C42" t="s">
        <v>119</v>
      </c>
      <c r="D42" t="s">
        <v>119</v>
      </c>
      <c r="E42" t="s">
        <v>127</v>
      </c>
      <c r="F42" t="s">
        <v>127</v>
      </c>
      <c r="G42" t="s">
        <v>98</v>
      </c>
      <c r="H42" t="s">
        <v>81</v>
      </c>
      <c r="L42">
        <v>12</v>
      </c>
      <c r="M42" t="s">
        <v>83</v>
      </c>
      <c r="O42" t="s">
        <v>83</v>
      </c>
      <c r="P42" t="s">
        <v>84</v>
      </c>
    </row>
    <row r="43" spans="1:16">
      <c r="A43" t="s">
        <v>783</v>
      </c>
      <c r="B43" t="s">
        <v>77</v>
      </c>
      <c r="C43" t="s">
        <v>119</v>
      </c>
      <c r="D43" t="s">
        <v>119</v>
      </c>
      <c r="E43" t="s">
        <v>112</v>
      </c>
      <c r="F43" t="s">
        <v>112</v>
      </c>
      <c r="G43" t="s">
        <v>113</v>
      </c>
      <c r="H43" t="s">
        <v>81</v>
      </c>
      <c r="I43" t="s">
        <v>114</v>
      </c>
      <c r="L43">
        <v>13</v>
      </c>
      <c r="M43" t="s">
        <v>83</v>
      </c>
      <c r="O43" t="s">
        <v>83</v>
      </c>
      <c r="P43" t="s">
        <v>84</v>
      </c>
    </row>
    <row r="44" spans="1:16">
      <c r="A44" t="s">
        <v>783</v>
      </c>
      <c r="B44" t="s">
        <v>77</v>
      </c>
      <c r="C44" t="s">
        <v>119</v>
      </c>
      <c r="D44" t="s">
        <v>119</v>
      </c>
      <c r="E44" t="s">
        <v>115</v>
      </c>
      <c r="F44" t="s">
        <v>115</v>
      </c>
      <c r="G44" t="s">
        <v>113</v>
      </c>
      <c r="H44" t="s">
        <v>81</v>
      </c>
      <c r="I44" t="s">
        <v>114</v>
      </c>
      <c r="L44">
        <v>14</v>
      </c>
      <c r="M44" t="s">
        <v>83</v>
      </c>
      <c r="O44" t="s">
        <v>83</v>
      </c>
      <c r="P44" t="s">
        <v>84</v>
      </c>
    </row>
    <row r="45" spans="1:16">
      <c r="A45" t="s">
        <v>783</v>
      </c>
      <c r="B45" t="s">
        <v>77</v>
      </c>
      <c r="C45" t="s">
        <v>119</v>
      </c>
      <c r="D45" t="s">
        <v>119</v>
      </c>
      <c r="E45" t="s">
        <v>117</v>
      </c>
      <c r="F45" t="s">
        <v>117</v>
      </c>
      <c r="G45" t="s">
        <v>90</v>
      </c>
      <c r="H45" t="s">
        <v>81</v>
      </c>
      <c r="L45">
        <v>21</v>
      </c>
      <c r="M45" t="s">
        <v>83</v>
      </c>
      <c r="O45" t="s">
        <v>83</v>
      </c>
      <c r="P45" t="s">
        <v>84</v>
      </c>
    </row>
    <row r="46" spans="1:16">
      <c r="A46" t="s">
        <v>783</v>
      </c>
      <c r="B46" t="s">
        <v>77</v>
      </c>
      <c r="C46" t="s">
        <v>119</v>
      </c>
      <c r="D46" t="s">
        <v>119</v>
      </c>
      <c r="E46" t="s">
        <v>118</v>
      </c>
      <c r="F46" t="s">
        <v>118</v>
      </c>
      <c r="G46" t="s">
        <v>92</v>
      </c>
      <c r="H46" t="s">
        <v>81</v>
      </c>
      <c r="L46">
        <v>22</v>
      </c>
      <c r="M46" t="s">
        <v>83</v>
      </c>
      <c r="O46" t="s">
        <v>83</v>
      </c>
      <c r="P46" t="s">
        <v>84</v>
      </c>
    </row>
    <row r="47" spans="1:16">
      <c r="A47" t="s">
        <v>783</v>
      </c>
      <c r="B47" t="s">
        <v>77</v>
      </c>
      <c r="C47" t="s">
        <v>119</v>
      </c>
      <c r="D47" t="s">
        <v>119</v>
      </c>
      <c r="E47" t="s">
        <v>784</v>
      </c>
      <c r="F47" t="s">
        <v>784</v>
      </c>
      <c r="G47" t="s">
        <v>80</v>
      </c>
      <c r="H47" t="s">
        <v>81</v>
      </c>
      <c r="I47" t="s">
        <v>82</v>
      </c>
      <c r="L47">
        <v>23</v>
      </c>
      <c r="M47" t="s">
        <v>83</v>
      </c>
      <c r="O47" t="s">
        <v>83</v>
      </c>
      <c r="P47" t="s">
        <v>84</v>
      </c>
    </row>
    <row r="48" spans="1:16">
      <c r="A48" t="s">
        <v>783</v>
      </c>
      <c r="B48" t="s">
        <v>77</v>
      </c>
      <c r="C48" t="s">
        <v>119</v>
      </c>
      <c r="D48" t="s">
        <v>119</v>
      </c>
      <c r="E48" t="s">
        <v>785</v>
      </c>
      <c r="F48" t="s">
        <v>785</v>
      </c>
      <c r="G48" t="s">
        <v>80</v>
      </c>
      <c r="H48" t="s">
        <v>81</v>
      </c>
      <c r="I48" t="s">
        <v>82</v>
      </c>
      <c r="L48">
        <v>24</v>
      </c>
      <c r="M48" t="s">
        <v>83</v>
      </c>
      <c r="O48" t="s">
        <v>83</v>
      </c>
      <c r="P48" t="s">
        <v>84</v>
      </c>
    </row>
    <row r="49" spans="1:16">
      <c r="A49" t="s">
        <v>783</v>
      </c>
      <c r="B49" t="s">
        <v>77</v>
      </c>
      <c r="C49" t="s">
        <v>119</v>
      </c>
      <c r="D49" t="s">
        <v>119</v>
      </c>
      <c r="E49" t="s">
        <v>786</v>
      </c>
      <c r="F49" t="s">
        <v>786</v>
      </c>
      <c r="G49" t="s">
        <v>787</v>
      </c>
      <c r="H49" t="s">
        <v>81</v>
      </c>
      <c r="L49">
        <v>25</v>
      </c>
      <c r="M49" t="s">
        <v>83</v>
      </c>
      <c r="O49" t="s">
        <v>83</v>
      </c>
      <c r="P49" t="s">
        <v>84</v>
      </c>
    </row>
    <row r="50" spans="1:16">
      <c r="A50" t="s">
        <v>783</v>
      </c>
      <c r="B50" t="s">
        <v>77</v>
      </c>
      <c r="C50" t="s">
        <v>128</v>
      </c>
      <c r="D50" t="s">
        <v>128</v>
      </c>
      <c r="E50" t="s">
        <v>79</v>
      </c>
      <c r="F50" t="s">
        <v>79</v>
      </c>
      <c r="G50" t="s">
        <v>80</v>
      </c>
      <c r="H50" t="s">
        <v>81</v>
      </c>
      <c r="I50" t="s">
        <v>82</v>
      </c>
      <c r="L50">
        <v>1</v>
      </c>
      <c r="M50" t="s">
        <v>83</v>
      </c>
      <c r="O50" t="s">
        <v>83</v>
      </c>
      <c r="P50" t="s">
        <v>84</v>
      </c>
    </row>
    <row r="51" spans="1:16">
      <c r="A51" t="s">
        <v>783</v>
      </c>
      <c r="B51" t="s">
        <v>77</v>
      </c>
      <c r="C51" t="s">
        <v>128</v>
      </c>
      <c r="D51" t="s">
        <v>128</v>
      </c>
      <c r="E51" t="s">
        <v>86</v>
      </c>
      <c r="F51" t="s">
        <v>86</v>
      </c>
      <c r="G51" t="s">
        <v>80</v>
      </c>
      <c r="H51" t="s">
        <v>81</v>
      </c>
      <c r="I51" t="s">
        <v>82</v>
      </c>
      <c r="L51">
        <v>2</v>
      </c>
      <c r="M51" t="s">
        <v>83</v>
      </c>
      <c r="O51" t="s">
        <v>83</v>
      </c>
      <c r="P51" t="s">
        <v>84</v>
      </c>
    </row>
    <row r="52" spans="1:16">
      <c r="A52" t="s">
        <v>783</v>
      </c>
      <c r="B52" t="s">
        <v>77</v>
      </c>
      <c r="C52" t="s">
        <v>128</v>
      </c>
      <c r="D52" t="s">
        <v>128</v>
      </c>
      <c r="E52" t="s">
        <v>87</v>
      </c>
      <c r="F52" t="s">
        <v>87</v>
      </c>
      <c r="G52" t="s">
        <v>88</v>
      </c>
      <c r="H52" t="s">
        <v>81</v>
      </c>
      <c r="J52" t="s">
        <v>83</v>
      </c>
      <c r="L52">
        <v>3</v>
      </c>
      <c r="M52" t="s">
        <v>83</v>
      </c>
      <c r="O52" t="s">
        <v>83</v>
      </c>
      <c r="P52" t="s">
        <v>84</v>
      </c>
    </row>
    <row r="53" spans="1:16">
      <c r="A53" t="s">
        <v>783</v>
      </c>
      <c r="B53" t="s">
        <v>77</v>
      </c>
      <c r="C53" t="s">
        <v>128</v>
      </c>
      <c r="D53" t="s">
        <v>128</v>
      </c>
      <c r="E53" t="s">
        <v>89</v>
      </c>
      <c r="F53" t="s">
        <v>89</v>
      </c>
      <c r="G53" t="s">
        <v>90</v>
      </c>
      <c r="H53" t="s">
        <v>81</v>
      </c>
      <c r="J53" t="s">
        <v>83</v>
      </c>
      <c r="K53" t="s">
        <v>83</v>
      </c>
      <c r="L53">
        <v>4</v>
      </c>
      <c r="M53" t="s">
        <v>83</v>
      </c>
      <c r="O53" t="s">
        <v>83</v>
      </c>
      <c r="P53" t="s">
        <v>84</v>
      </c>
    </row>
    <row r="54" spans="1:16">
      <c r="A54" t="s">
        <v>783</v>
      </c>
      <c r="B54" t="s">
        <v>77</v>
      </c>
      <c r="C54" t="s">
        <v>128</v>
      </c>
      <c r="D54" t="s">
        <v>128</v>
      </c>
      <c r="E54" t="s">
        <v>129</v>
      </c>
      <c r="F54" t="s">
        <v>129</v>
      </c>
      <c r="G54" t="s">
        <v>80</v>
      </c>
      <c r="H54" t="s">
        <v>81</v>
      </c>
      <c r="I54" t="s">
        <v>82</v>
      </c>
      <c r="L54">
        <v>5</v>
      </c>
      <c r="M54" t="s">
        <v>83</v>
      </c>
      <c r="O54" t="s">
        <v>83</v>
      </c>
      <c r="P54" t="s">
        <v>84</v>
      </c>
    </row>
    <row r="55" spans="1:16">
      <c r="A55" t="s">
        <v>783</v>
      </c>
      <c r="B55" t="s">
        <v>77</v>
      </c>
      <c r="C55" t="s">
        <v>128</v>
      </c>
      <c r="D55" t="s">
        <v>128</v>
      </c>
      <c r="E55" t="s">
        <v>130</v>
      </c>
      <c r="F55" t="s">
        <v>130</v>
      </c>
      <c r="G55" t="s">
        <v>90</v>
      </c>
      <c r="H55" t="s">
        <v>81</v>
      </c>
      <c r="L55">
        <v>6</v>
      </c>
      <c r="M55" t="s">
        <v>83</v>
      </c>
      <c r="O55" t="s">
        <v>83</v>
      </c>
      <c r="P55" t="s">
        <v>84</v>
      </c>
    </row>
    <row r="56" spans="1:16">
      <c r="A56" t="s">
        <v>783</v>
      </c>
      <c r="B56" t="s">
        <v>77</v>
      </c>
      <c r="C56" t="s">
        <v>128</v>
      </c>
      <c r="D56" t="s">
        <v>128</v>
      </c>
      <c r="E56" t="s">
        <v>91</v>
      </c>
      <c r="F56" t="s">
        <v>91</v>
      </c>
      <c r="G56" t="s">
        <v>92</v>
      </c>
      <c r="H56" t="s">
        <v>81</v>
      </c>
      <c r="J56" t="s">
        <v>83</v>
      </c>
      <c r="L56">
        <v>7</v>
      </c>
      <c r="M56" t="s">
        <v>83</v>
      </c>
      <c r="O56" t="s">
        <v>83</v>
      </c>
      <c r="P56" t="s">
        <v>84</v>
      </c>
    </row>
    <row r="57" spans="1:16">
      <c r="A57" t="s">
        <v>783</v>
      </c>
      <c r="B57" t="s">
        <v>77</v>
      </c>
      <c r="C57" t="s">
        <v>128</v>
      </c>
      <c r="D57" t="s">
        <v>128</v>
      </c>
      <c r="E57" t="s">
        <v>131</v>
      </c>
      <c r="F57" t="s">
        <v>131</v>
      </c>
      <c r="G57" t="s">
        <v>94</v>
      </c>
      <c r="H57" t="s">
        <v>81</v>
      </c>
      <c r="L57">
        <v>8</v>
      </c>
      <c r="M57" t="s">
        <v>83</v>
      </c>
      <c r="O57" t="s">
        <v>83</v>
      </c>
      <c r="P57" t="s">
        <v>84</v>
      </c>
    </row>
    <row r="58" spans="1:16">
      <c r="A58" t="s">
        <v>783</v>
      </c>
      <c r="B58" t="s">
        <v>77</v>
      </c>
      <c r="C58" t="s">
        <v>128</v>
      </c>
      <c r="D58" t="s">
        <v>128</v>
      </c>
      <c r="E58" t="s">
        <v>132</v>
      </c>
      <c r="F58" t="s">
        <v>132</v>
      </c>
      <c r="G58" t="s">
        <v>88</v>
      </c>
      <c r="H58" t="s">
        <v>81</v>
      </c>
      <c r="L58">
        <v>9</v>
      </c>
      <c r="M58" t="s">
        <v>83</v>
      </c>
      <c r="O58" t="s">
        <v>83</v>
      </c>
      <c r="P58" t="s">
        <v>84</v>
      </c>
    </row>
    <row r="59" spans="1:16">
      <c r="A59" t="s">
        <v>783</v>
      </c>
      <c r="B59" t="s">
        <v>77</v>
      </c>
      <c r="C59" t="s">
        <v>128</v>
      </c>
      <c r="D59" t="s">
        <v>128</v>
      </c>
      <c r="E59" t="s">
        <v>133</v>
      </c>
      <c r="F59" t="s">
        <v>133</v>
      </c>
      <c r="G59" t="s">
        <v>94</v>
      </c>
      <c r="H59" t="s">
        <v>81</v>
      </c>
      <c r="L59">
        <v>10</v>
      </c>
      <c r="M59" t="s">
        <v>83</v>
      </c>
      <c r="O59" t="s">
        <v>83</v>
      </c>
      <c r="P59" t="s">
        <v>84</v>
      </c>
    </row>
    <row r="60" spans="1:16">
      <c r="A60" t="s">
        <v>783</v>
      </c>
      <c r="B60" t="s">
        <v>77</v>
      </c>
      <c r="C60" t="s">
        <v>128</v>
      </c>
      <c r="D60" t="s">
        <v>128</v>
      </c>
      <c r="E60" t="s">
        <v>134</v>
      </c>
      <c r="F60" t="s">
        <v>134</v>
      </c>
      <c r="G60" t="s">
        <v>88</v>
      </c>
      <c r="H60" t="s">
        <v>81</v>
      </c>
      <c r="L60">
        <v>11</v>
      </c>
      <c r="M60" t="s">
        <v>83</v>
      </c>
      <c r="O60" t="s">
        <v>83</v>
      </c>
      <c r="P60" t="s">
        <v>84</v>
      </c>
    </row>
    <row r="61" spans="1:16">
      <c r="A61" t="s">
        <v>783</v>
      </c>
      <c r="B61" t="s">
        <v>77</v>
      </c>
      <c r="C61" t="s">
        <v>128</v>
      </c>
      <c r="D61" t="s">
        <v>128</v>
      </c>
      <c r="E61" t="s">
        <v>117</v>
      </c>
      <c r="F61" t="s">
        <v>117</v>
      </c>
      <c r="G61" t="s">
        <v>90</v>
      </c>
      <c r="H61" t="s">
        <v>81</v>
      </c>
      <c r="L61">
        <v>12</v>
      </c>
      <c r="M61" t="s">
        <v>83</v>
      </c>
      <c r="O61" t="s">
        <v>83</v>
      </c>
      <c r="P61" t="s">
        <v>84</v>
      </c>
    </row>
    <row r="62" spans="1:16">
      <c r="A62" t="s">
        <v>783</v>
      </c>
      <c r="B62" t="s">
        <v>77</v>
      </c>
      <c r="C62" t="s">
        <v>128</v>
      </c>
      <c r="D62" t="s">
        <v>128</v>
      </c>
      <c r="E62" t="s">
        <v>112</v>
      </c>
      <c r="F62" t="s">
        <v>112</v>
      </c>
      <c r="G62" t="s">
        <v>113</v>
      </c>
      <c r="H62" t="s">
        <v>81</v>
      </c>
      <c r="I62" t="s">
        <v>114</v>
      </c>
      <c r="L62">
        <v>13</v>
      </c>
      <c r="M62" t="s">
        <v>83</v>
      </c>
      <c r="O62" t="s">
        <v>83</v>
      </c>
      <c r="P62" t="s">
        <v>84</v>
      </c>
    </row>
    <row r="63" spans="1:16">
      <c r="A63" t="s">
        <v>783</v>
      </c>
      <c r="B63" t="s">
        <v>77</v>
      </c>
      <c r="C63" t="s">
        <v>128</v>
      </c>
      <c r="D63" t="s">
        <v>128</v>
      </c>
      <c r="E63" t="s">
        <v>115</v>
      </c>
      <c r="F63" t="s">
        <v>115</v>
      </c>
      <c r="G63" t="s">
        <v>113</v>
      </c>
      <c r="H63" t="s">
        <v>81</v>
      </c>
      <c r="I63" t="s">
        <v>114</v>
      </c>
      <c r="L63">
        <v>14</v>
      </c>
      <c r="M63" t="s">
        <v>83</v>
      </c>
      <c r="O63" t="s">
        <v>83</v>
      </c>
      <c r="P63" t="s">
        <v>84</v>
      </c>
    </row>
    <row r="64" spans="1:16">
      <c r="A64" t="s">
        <v>783</v>
      </c>
      <c r="B64" t="s">
        <v>77</v>
      </c>
      <c r="C64" t="s">
        <v>128</v>
      </c>
      <c r="D64" t="s">
        <v>128</v>
      </c>
      <c r="E64" t="s">
        <v>118</v>
      </c>
      <c r="F64" t="s">
        <v>118</v>
      </c>
      <c r="G64" t="s">
        <v>92</v>
      </c>
      <c r="H64" t="s">
        <v>81</v>
      </c>
      <c r="L64">
        <v>21</v>
      </c>
      <c r="M64" t="s">
        <v>83</v>
      </c>
      <c r="O64" t="s">
        <v>83</v>
      </c>
      <c r="P64" t="s">
        <v>84</v>
      </c>
    </row>
    <row r="65" spans="1:16">
      <c r="A65" t="s">
        <v>783</v>
      </c>
      <c r="B65" t="s">
        <v>77</v>
      </c>
      <c r="C65" t="s">
        <v>128</v>
      </c>
      <c r="D65" t="s">
        <v>128</v>
      </c>
      <c r="E65" t="s">
        <v>784</v>
      </c>
      <c r="F65" t="s">
        <v>784</v>
      </c>
      <c r="G65" t="s">
        <v>80</v>
      </c>
      <c r="H65" t="s">
        <v>81</v>
      </c>
      <c r="I65" t="s">
        <v>82</v>
      </c>
      <c r="L65">
        <v>23</v>
      </c>
      <c r="M65" t="s">
        <v>83</v>
      </c>
      <c r="O65" t="s">
        <v>83</v>
      </c>
      <c r="P65" t="s">
        <v>84</v>
      </c>
    </row>
    <row r="66" spans="1:16">
      <c r="A66" t="s">
        <v>783</v>
      </c>
      <c r="B66" t="s">
        <v>77</v>
      </c>
      <c r="C66" t="s">
        <v>128</v>
      </c>
      <c r="D66" t="s">
        <v>128</v>
      </c>
      <c r="E66" t="s">
        <v>785</v>
      </c>
      <c r="F66" t="s">
        <v>785</v>
      </c>
      <c r="G66" t="s">
        <v>80</v>
      </c>
      <c r="H66" t="s">
        <v>81</v>
      </c>
      <c r="I66" t="s">
        <v>82</v>
      </c>
      <c r="L66">
        <v>24</v>
      </c>
      <c r="M66" t="s">
        <v>83</v>
      </c>
      <c r="O66" t="s">
        <v>83</v>
      </c>
      <c r="P66" t="s">
        <v>84</v>
      </c>
    </row>
    <row r="67" spans="1:16">
      <c r="A67" t="s">
        <v>783</v>
      </c>
      <c r="B67" t="s">
        <v>77</v>
      </c>
      <c r="C67" t="s">
        <v>128</v>
      </c>
      <c r="D67" t="s">
        <v>128</v>
      </c>
      <c r="E67" t="s">
        <v>786</v>
      </c>
      <c r="F67" t="s">
        <v>786</v>
      </c>
      <c r="G67" t="s">
        <v>787</v>
      </c>
      <c r="H67" t="s">
        <v>81</v>
      </c>
      <c r="L67">
        <v>25</v>
      </c>
      <c r="M67" t="s">
        <v>83</v>
      </c>
      <c r="O67" t="s">
        <v>83</v>
      </c>
      <c r="P67" t="s">
        <v>84</v>
      </c>
    </row>
    <row r="68" spans="1:16">
      <c r="A68" t="s">
        <v>783</v>
      </c>
      <c r="B68" t="s">
        <v>77</v>
      </c>
      <c r="C68" t="s">
        <v>135</v>
      </c>
      <c r="D68" t="s">
        <v>135</v>
      </c>
      <c r="E68" t="s">
        <v>79</v>
      </c>
      <c r="F68" t="s">
        <v>79</v>
      </c>
      <c r="G68" t="s">
        <v>80</v>
      </c>
      <c r="H68" t="s">
        <v>81</v>
      </c>
      <c r="I68" t="s">
        <v>82</v>
      </c>
      <c r="L68">
        <v>1</v>
      </c>
      <c r="M68" t="s">
        <v>83</v>
      </c>
      <c r="O68" t="s">
        <v>83</v>
      </c>
      <c r="P68" t="s">
        <v>84</v>
      </c>
    </row>
    <row r="69" spans="1:16">
      <c r="A69" t="s">
        <v>783</v>
      </c>
      <c r="B69" t="s">
        <v>77</v>
      </c>
      <c r="C69" t="s">
        <v>135</v>
      </c>
      <c r="D69" t="s">
        <v>135</v>
      </c>
      <c r="E69" t="s">
        <v>86</v>
      </c>
      <c r="F69" t="s">
        <v>86</v>
      </c>
      <c r="G69" t="s">
        <v>80</v>
      </c>
      <c r="H69" t="s">
        <v>81</v>
      </c>
      <c r="I69" t="s">
        <v>82</v>
      </c>
      <c r="L69">
        <v>2</v>
      </c>
      <c r="M69" t="s">
        <v>83</v>
      </c>
      <c r="O69" t="s">
        <v>83</v>
      </c>
      <c r="P69" t="s">
        <v>84</v>
      </c>
    </row>
    <row r="70" spans="1:16">
      <c r="A70" t="s">
        <v>783</v>
      </c>
      <c r="B70" t="s">
        <v>77</v>
      </c>
      <c r="C70" t="s">
        <v>135</v>
      </c>
      <c r="D70" t="s">
        <v>135</v>
      </c>
      <c r="E70" t="s">
        <v>87</v>
      </c>
      <c r="F70" t="s">
        <v>87</v>
      </c>
      <c r="G70" t="s">
        <v>88</v>
      </c>
      <c r="H70" t="s">
        <v>81</v>
      </c>
      <c r="J70" t="s">
        <v>83</v>
      </c>
      <c r="L70">
        <v>3</v>
      </c>
      <c r="M70" t="s">
        <v>83</v>
      </c>
      <c r="O70" t="s">
        <v>83</v>
      </c>
      <c r="P70" t="s">
        <v>84</v>
      </c>
    </row>
    <row r="71" spans="1:16">
      <c r="A71" t="s">
        <v>783</v>
      </c>
      <c r="B71" t="s">
        <v>77</v>
      </c>
      <c r="C71" t="s">
        <v>135</v>
      </c>
      <c r="D71" t="s">
        <v>135</v>
      </c>
      <c r="E71" t="s">
        <v>89</v>
      </c>
      <c r="F71" t="s">
        <v>89</v>
      </c>
      <c r="G71" t="s">
        <v>90</v>
      </c>
      <c r="H71" t="s">
        <v>81</v>
      </c>
      <c r="J71" t="s">
        <v>83</v>
      </c>
      <c r="K71" t="s">
        <v>83</v>
      </c>
      <c r="L71">
        <v>4</v>
      </c>
      <c r="M71" t="s">
        <v>83</v>
      </c>
      <c r="O71" t="s">
        <v>83</v>
      </c>
      <c r="P71" t="s">
        <v>84</v>
      </c>
    </row>
    <row r="72" spans="1:16">
      <c r="A72" t="s">
        <v>783</v>
      </c>
      <c r="B72" t="s">
        <v>77</v>
      </c>
      <c r="C72" t="s">
        <v>135</v>
      </c>
      <c r="D72" t="s">
        <v>135</v>
      </c>
      <c r="E72" t="s">
        <v>136</v>
      </c>
      <c r="F72" t="s">
        <v>136</v>
      </c>
      <c r="G72" t="s">
        <v>80</v>
      </c>
      <c r="H72" t="s">
        <v>81</v>
      </c>
      <c r="I72" t="s">
        <v>82</v>
      </c>
      <c r="L72">
        <v>5</v>
      </c>
      <c r="M72" t="s">
        <v>83</v>
      </c>
      <c r="O72" t="s">
        <v>83</v>
      </c>
      <c r="P72" t="s">
        <v>84</v>
      </c>
    </row>
    <row r="73" spans="1:16">
      <c r="A73" t="s">
        <v>783</v>
      </c>
      <c r="B73" t="s">
        <v>77</v>
      </c>
      <c r="C73" t="s">
        <v>135</v>
      </c>
      <c r="D73" t="s">
        <v>135</v>
      </c>
      <c r="E73" t="s">
        <v>137</v>
      </c>
      <c r="F73" t="s">
        <v>137</v>
      </c>
      <c r="G73" t="s">
        <v>90</v>
      </c>
      <c r="H73" t="s">
        <v>81</v>
      </c>
      <c r="L73">
        <v>6</v>
      </c>
      <c r="M73" t="s">
        <v>83</v>
      </c>
      <c r="O73" t="s">
        <v>83</v>
      </c>
      <c r="P73" t="s">
        <v>84</v>
      </c>
    </row>
    <row r="74" spans="1:16">
      <c r="A74" t="s">
        <v>783</v>
      </c>
      <c r="B74" t="s">
        <v>77</v>
      </c>
      <c r="C74" t="s">
        <v>135</v>
      </c>
      <c r="D74" t="s">
        <v>135</v>
      </c>
      <c r="E74" t="s">
        <v>138</v>
      </c>
      <c r="F74" t="s">
        <v>138</v>
      </c>
      <c r="G74" t="s">
        <v>139</v>
      </c>
      <c r="H74" t="s">
        <v>81</v>
      </c>
      <c r="L74">
        <v>7</v>
      </c>
      <c r="M74" t="s">
        <v>83</v>
      </c>
      <c r="O74" t="s">
        <v>83</v>
      </c>
      <c r="P74" t="s">
        <v>84</v>
      </c>
    </row>
    <row r="75" spans="1:16">
      <c r="A75" t="s">
        <v>783</v>
      </c>
      <c r="B75" t="s">
        <v>77</v>
      </c>
      <c r="C75" t="s">
        <v>135</v>
      </c>
      <c r="D75" t="s">
        <v>135</v>
      </c>
      <c r="E75" t="s">
        <v>91</v>
      </c>
      <c r="F75" t="s">
        <v>91</v>
      </c>
      <c r="G75" t="s">
        <v>92</v>
      </c>
      <c r="H75" t="s">
        <v>81</v>
      </c>
      <c r="J75" t="s">
        <v>83</v>
      </c>
      <c r="L75">
        <v>8</v>
      </c>
      <c r="M75" t="s">
        <v>83</v>
      </c>
      <c r="O75" t="s">
        <v>83</v>
      </c>
      <c r="P75" t="s">
        <v>84</v>
      </c>
    </row>
    <row r="76" spans="1:16">
      <c r="A76" t="s">
        <v>783</v>
      </c>
      <c r="B76" t="s">
        <v>77</v>
      </c>
      <c r="C76" t="s">
        <v>135</v>
      </c>
      <c r="D76" t="s">
        <v>135</v>
      </c>
      <c r="E76" t="s">
        <v>140</v>
      </c>
      <c r="F76" t="s">
        <v>140</v>
      </c>
      <c r="G76" t="s">
        <v>94</v>
      </c>
      <c r="H76" t="s">
        <v>81</v>
      </c>
      <c r="L76">
        <v>9</v>
      </c>
      <c r="M76" t="s">
        <v>83</v>
      </c>
      <c r="O76" t="s">
        <v>83</v>
      </c>
      <c r="P76" t="s">
        <v>84</v>
      </c>
    </row>
    <row r="77" spans="1:16">
      <c r="A77" t="s">
        <v>783</v>
      </c>
      <c r="B77" t="s">
        <v>77</v>
      </c>
      <c r="C77" t="s">
        <v>135</v>
      </c>
      <c r="D77" t="s">
        <v>135</v>
      </c>
      <c r="E77" t="s">
        <v>141</v>
      </c>
      <c r="F77" t="s">
        <v>141</v>
      </c>
      <c r="G77" t="s">
        <v>88</v>
      </c>
      <c r="H77" t="s">
        <v>81</v>
      </c>
      <c r="L77">
        <v>10</v>
      </c>
      <c r="M77" t="s">
        <v>83</v>
      </c>
      <c r="O77" t="s">
        <v>83</v>
      </c>
      <c r="P77" t="s">
        <v>84</v>
      </c>
    </row>
    <row r="78" spans="1:16">
      <c r="A78" t="s">
        <v>783</v>
      </c>
      <c r="B78" t="s">
        <v>77</v>
      </c>
      <c r="C78" t="s">
        <v>135</v>
      </c>
      <c r="D78" t="s">
        <v>135</v>
      </c>
      <c r="E78" t="s">
        <v>142</v>
      </c>
      <c r="F78" t="s">
        <v>142</v>
      </c>
      <c r="G78" t="s">
        <v>94</v>
      </c>
      <c r="H78" t="s">
        <v>81</v>
      </c>
      <c r="L78">
        <v>11</v>
      </c>
      <c r="M78" t="s">
        <v>83</v>
      </c>
      <c r="O78" t="s">
        <v>83</v>
      </c>
      <c r="P78" t="s">
        <v>84</v>
      </c>
    </row>
    <row r="79" spans="1:16">
      <c r="A79" t="s">
        <v>783</v>
      </c>
      <c r="B79" t="s">
        <v>77</v>
      </c>
      <c r="C79" t="s">
        <v>135</v>
      </c>
      <c r="D79" t="s">
        <v>135</v>
      </c>
      <c r="E79" t="s">
        <v>143</v>
      </c>
      <c r="F79" t="s">
        <v>143</v>
      </c>
      <c r="G79" t="s">
        <v>98</v>
      </c>
      <c r="H79" t="s">
        <v>81</v>
      </c>
      <c r="L79">
        <v>12</v>
      </c>
      <c r="M79" t="s">
        <v>83</v>
      </c>
      <c r="O79" t="s">
        <v>83</v>
      </c>
      <c r="P79" t="s">
        <v>84</v>
      </c>
    </row>
    <row r="80" spans="1:16">
      <c r="A80" t="s">
        <v>783</v>
      </c>
      <c r="B80" t="s">
        <v>77</v>
      </c>
      <c r="C80" t="s">
        <v>135</v>
      </c>
      <c r="D80" t="s">
        <v>135</v>
      </c>
      <c r="E80" t="s">
        <v>144</v>
      </c>
      <c r="F80" t="s">
        <v>144</v>
      </c>
      <c r="G80" t="s">
        <v>88</v>
      </c>
      <c r="H80" t="s">
        <v>81</v>
      </c>
      <c r="L80">
        <v>13</v>
      </c>
      <c r="M80" t="s">
        <v>83</v>
      </c>
      <c r="O80" t="s">
        <v>83</v>
      </c>
      <c r="P80" t="s">
        <v>84</v>
      </c>
    </row>
    <row r="81" spans="1:16">
      <c r="A81" t="s">
        <v>783</v>
      </c>
      <c r="B81" t="s">
        <v>77</v>
      </c>
      <c r="C81" t="s">
        <v>135</v>
      </c>
      <c r="D81" t="s">
        <v>135</v>
      </c>
      <c r="E81" t="s">
        <v>145</v>
      </c>
      <c r="F81" t="s">
        <v>145</v>
      </c>
      <c r="G81" t="s">
        <v>80</v>
      </c>
      <c r="H81" t="s">
        <v>81</v>
      </c>
      <c r="I81" t="s">
        <v>82</v>
      </c>
      <c r="L81">
        <v>14</v>
      </c>
      <c r="M81" t="s">
        <v>83</v>
      </c>
      <c r="O81" t="s">
        <v>83</v>
      </c>
      <c r="P81" t="s">
        <v>84</v>
      </c>
    </row>
    <row r="82" spans="1:16">
      <c r="A82" t="s">
        <v>783</v>
      </c>
      <c r="B82" t="s">
        <v>77</v>
      </c>
      <c r="C82" t="s">
        <v>135</v>
      </c>
      <c r="D82" t="s">
        <v>135</v>
      </c>
      <c r="E82" t="s">
        <v>146</v>
      </c>
      <c r="F82" t="s">
        <v>146</v>
      </c>
      <c r="G82" t="s">
        <v>90</v>
      </c>
      <c r="H82" t="s">
        <v>81</v>
      </c>
      <c r="L82">
        <v>15</v>
      </c>
      <c r="M82" t="s">
        <v>83</v>
      </c>
      <c r="O82" t="s">
        <v>83</v>
      </c>
      <c r="P82" t="s">
        <v>84</v>
      </c>
    </row>
    <row r="83" spans="1:16">
      <c r="A83" t="s">
        <v>783</v>
      </c>
      <c r="B83" t="s">
        <v>77</v>
      </c>
      <c r="C83" t="s">
        <v>135</v>
      </c>
      <c r="D83" t="s">
        <v>135</v>
      </c>
      <c r="E83" t="s">
        <v>147</v>
      </c>
      <c r="F83" t="s">
        <v>147</v>
      </c>
      <c r="G83" t="s">
        <v>80</v>
      </c>
      <c r="H83" t="s">
        <v>81</v>
      </c>
      <c r="I83" t="s">
        <v>82</v>
      </c>
      <c r="L83">
        <v>16</v>
      </c>
      <c r="M83" t="s">
        <v>83</v>
      </c>
      <c r="O83" t="s">
        <v>83</v>
      </c>
      <c r="P83" t="s">
        <v>84</v>
      </c>
    </row>
    <row r="84" spans="1:16">
      <c r="A84" t="s">
        <v>783</v>
      </c>
      <c r="B84" t="s">
        <v>77</v>
      </c>
      <c r="C84" t="s">
        <v>135</v>
      </c>
      <c r="D84" t="s">
        <v>135</v>
      </c>
      <c r="E84" t="s">
        <v>148</v>
      </c>
      <c r="F84" t="s">
        <v>148</v>
      </c>
      <c r="G84" t="s">
        <v>90</v>
      </c>
      <c r="H84" t="s">
        <v>81</v>
      </c>
      <c r="L84">
        <v>17</v>
      </c>
      <c r="M84" t="s">
        <v>83</v>
      </c>
      <c r="O84" t="s">
        <v>83</v>
      </c>
      <c r="P84" t="s">
        <v>84</v>
      </c>
    </row>
    <row r="85" spans="1:16">
      <c r="A85" t="s">
        <v>783</v>
      </c>
      <c r="B85" t="s">
        <v>77</v>
      </c>
      <c r="C85" t="s">
        <v>135</v>
      </c>
      <c r="D85" t="s">
        <v>135</v>
      </c>
      <c r="E85" t="s">
        <v>149</v>
      </c>
      <c r="F85" t="s">
        <v>149</v>
      </c>
      <c r="G85" t="s">
        <v>150</v>
      </c>
      <c r="H85" t="s">
        <v>81</v>
      </c>
      <c r="L85">
        <v>18</v>
      </c>
      <c r="M85" t="s">
        <v>83</v>
      </c>
      <c r="O85" t="s">
        <v>83</v>
      </c>
      <c r="P85" t="s">
        <v>84</v>
      </c>
    </row>
    <row r="86" spans="1:16">
      <c r="A86" t="s">
        <v>783</v>
      </c>
      <c r="B86" t="s">
        <v>77</v>
      </c>
      <c r="C86" t="s">
        <v>135</v>
      </c>
      <c r="D86" t="s">
        <v>135</v>
      </c>
      <c r="E86" t="s">
        <v>151</v>
      </c>
      <c r="F86" t="s">
        <v>151</v>
      </c>
      <c r="G86" t="s">
        <v>152</v>
      </c>
      <c r="H86" t="s">
        <v>81</v>
      </c>
      <c r="L86">
        <v>19</v>
      </c>
      <c r="M86" t="s">
        <v>83</v>
      </c>
      <c r="O86" t="s">
        <v>83</v>
      </c>
      <c r="P86" t="s">
        <v>84</v>
      </c>
    </row>
    <row r="87" spans="1:16">
      <c r="A87" t="s">
        <v>783</v>
      </c>
      <c r="B87" t="s">
        <v>77</v>
      </c>
      <c r="C87" t="s">
        <v>135</v>
      </c>
      <c r="D87" t="s">
        <v>135</v>
      </c>
      <c r="E87" t="s">
        <v>112</v>
      </c>
      <c r="F87" t="s">
        <v>112</v>
      </c>
      <c r="G87" t="s">
        <v>113</v>
      </c>
      <c r="H87" t="s">
        <v>81</v>
      </c>
      <c r="I87" t="s">
        <v>114</v>
      </c>
      <c r="L87">
        <v>20</v>
      </c>
      <c r="M87" t="s">
        <v>83</v>
      </c>
      <c r="O87" t="s">
        <v>83</v>
      </c>
      <c r="P87" t="s">
        <v>84</v>
      </c>
    </row>
    <row r="88" spans="1:16">
      <c r="A88" t="s">
        <v>783</v>
      </c>
      <c r="B88" t="s">
        <v>77</v>
      </c>
      <c r="C88" t="s">
        <v>135</v>
      </c>
      <c r="D88" t="s">
        <v>135</v>
      </c>
      <c r="E88" t="s">
        <v>115</v>
      </c>
      <c r="F88" t="s">
        <v>115</v>
      </c>
      <c r="G88" t="s">
        <v>113</v>
      </c>
      <c r="H88" t="s">
        <v>81</v>
      </c>
      <c r="I88" t="s">
        <v>114</v>
      </c>
      <c r="L88">
        <v>21</v>
      </c>
      <c r="M88" t="s">
        <v>83</v>
      </c>
      <c r="O88" t="s">
        <v>83</v>
      </c>
      <c r="P88" t="s">
        <v>84</v>
      </c>
    </row>
    <row r="89" spans="1:16">
      <c r="A89" t="s">
        <v>783</v>
      </c>
      <c r="B89" t="s">
        <v>77</v>
      </c>
      <c r="C89" t="s">
        <v>135</v>
      </c>
      <c r="D89" t="s">
        <v>135</v>
      </c>
      <c r="E89" t="s">
        <v>116</v>
      </c>
      <c r="F89" t="s">
        <v>116</v>
      </c>
      <c r="G89" t="s">
        <v>90</v>
      </c>
      <c r="H89" t="s">
        <v>81</v>
      </c>
      <c r="L89">
        <v>28</v>
      </c>
      <c r="M89" t="s">
        <v>83</v>
      </c>
      <c r="O89" t="s">
        <v>83</v>
      </c>
      <c r="P89" t="s">
        <v>84</v>
      </c>
    </row>
    <row r="90" spans="1:16">
      <c r="A90" t="s">
        <v>783</v>
      </c>
      <c r="B90" t="s">
        <v>77</v>
      </c>
      <c r="C90" t="s">
        <v>135</v>
      </c>
      <c r="D90" t="s">
        <v>135</v>
      </c>
      <c r="E90" t="s">
        <v>117</v>
      </c>
      <c r="F90" t="s">
        <v>117</v>
      </c>
      <c r="G90" t="s">
        <v>90</v>
      </c>
      <c r="H90" t="s">
        <v>81</v>
      </c>
      <c r="L90">
        <v>29</v>
      </c>
      <c r="M90" t="s">
        <v>83</v>
      </c>
      <c r="O90" t="s">
        <v>83</v>
      </c>
      <c r="P90" t="s">
        <v>84</v>
      </c>
    </row>
    <row r="91" spans="1:16">
      <c r="A91" t="s">
        <v>783</v>
      </c>
      <c r="B91" t="s">
        <v>77</v>
      </c>
      <c r="C91" t="s">
        <v>135</v>
      </c>
      <c r="D91" t="s">
        <v>135</v>
      </c>
      <c r="E91" t="s">
        <v>118</v>
      </c>
      <c r="F91" t="s">
        <v>118</v>
      </c>
      <c r="G91" t="s">
        <v>92</v>
      </c>
      <c r="H91" t="s">
        <v>81</v>
      </c>
      <c r="L91">
        <v>30</v>
      </c>
      <c r="M91" t="s">
        <v>83</v>
      </c>
      <c r="O91" t="s">
        <v>83</v>
      </c>
      <c r="P91" t="s">
        <v>84</v>
      </c>
    </row>
    <row r="92" spans="1:16">
      <c r="A92" t="s">
        <v>783</v>
      </c>
      <c r="B92" t="s">
        <v>77</v>
      </c>
      <c r="C92" t="s">
        <v>135</v>
      </c>
      <c r="D92" t="s">
        <v>135</v>
      </c>
      <c r="E92" t="s">
        <v>784</v>
      </c>
      <c r="F92" t="s">
        <v>784</v>
      </c>
      <c r="G92" t="s">
        <v>80</v>
      </c>
      <c r="H92" t="s">
        <v>81</v>
      </c>
      <c r="I92" t="s">
        <v>82</v>
      </c>
      <c r="L92">
        <v>31</v>
      </c>
      <c r="M92" t="s">
        <v>83</v>
      </c>
      <c r="O92" t="s">
        <v>83</v>
      </c>
      <c r="P92" t="s">
        <v>84</v>
      </c>
    </row>
    <row r="93" spans="1:16">
      <c r="A93" t="s">
        <v>783</v>
      </c>
      <c r="B93" t="s">
        <v>77</v>
      </c>
      <c r="C93" t="s">
        <v>135</v>
      </c>
      <c r="D93" t="s">
        <v>135</v>
      </c>
      <c r="E93" t="s">
        <v>785</v>
      </c>
      <c r="F93" t="s">
        <v>785</v>
      </c>
      <c r="G93" t="s">
        <v>80</v>
      </c>
      <c r="H93" t="s">
        <v>81</v>
      </c>
      <c r="I93" t="s">
        <v>82</v>
      </c>
      <c r="L93">
        <v>32</v>
      </c>
      <c r="M93" t="s">
        <v>83</v>
      </c>
      <c r="O93" t="s">
        <v>83</v>
      </c>
      <c r="P93" t="s">
        <v>84</v>
      </c>
    </row>
    <row r="94" spans="1:16">
      <c r="A94" t="s">
        <v>783</v>
      </c>
      <c r="B94" t="s">
        <v>77</v>
      </c>
      <c r="C94" t="s">
        <v>135</v>
      </c>
      <c r="D94" t="s">
        <v>135</v>
      </c>
      <c r="E94" t="s">
        <v>786</v>
      </c>
      <c r="F94" t="s">
        <v>786</v>
      </c>
      <c r="G94" t="s">
        <v>787</v>
      </c>
      <c r="H94" t="s">
        <v>81</v>
      </c>
      <c r="L94">
        <v>33</v>
      </c>
      <c r="M94" t="s">
        <v>83</v>
      </c>
      <c r="O94" t="s">
        <v>83</v>
      </c>
      <c r="P94" t="s">
        <v>84</v>
      </c>
    </row>
    <row r="95" spans="1:16">
      <c r="A95" t="s">
        <v>783</v>
      </c>
      <c r="B95" t="s">
        <v>77</v>
      </c>
      <c r="C95" t="s">
        <v>153</v>
      </c>
      <c r="D95" t="s">
        <v>153</v>
      </c>
      <c r="E95" t="s">
        <v>79</v>
      </c>
      <c r="F95" t="s">
        <v>79</v>
      </c>
      <c r="G95" t="s">
        <v>80</v>
      </c>
      <c r="H95" t="s">
        <v>81</v>
      </c>
      <c r="I95" t="s">
        <v>82</v>
      </c>
      <c r="L95">
        <v>1</v>
      </c>
      <c r="M95" t="s">
        <v>83</v>
      </c>
      <c r="O95" t="s">
        <v>83</v>
      </c>
      <c r="P95" t="s">
        <v>84</v>
      </c>
    </row>
    <row r="96" spans="1:16">
      <c r="A96" t="s">
        <v>783</v>
      </c>
      <c r="B96" t="s">
        <v>77</v>
      </c>
      <c r="C96" t="s">
        <v>153</v>
      </c>
      <c r="D96" t="s">
        <v>153</v>
      </c>
      <c r="E96" t="s">
        <v>86</v>
      </c>
      <c r="F96" t="s">
        <v>86</v>
      </c>
      <c r="G96" t="s">
        <v>80</v>
      </c>
      <c r="H96" t="s">
        <v>81</v>
      </c>
      <c r="I96" t="s">
        <v>82</v>
      </c>
      <c r="L96">
        <v>2</v>
      </c>
      <c r="M96" t="s">
        <v>83</v>
      </c>
      <c r="O96" t="s">
        <v>83</v>
      </c>
      <c r="P96" t="s">
        <v>84</v>
      </c>
    </row>
    <row r="97" spans="1:16">
      <c r="A97" t="s">
        <v>783</v>
      </c>
      <c r="B97" t="s">
        <v>77</v>
      </c>
      <c r="C97" t="s">
        <v>153</v>
      </c>
      <c r="D97" t="s">
        <v>153</v>
      </c>
      <c r="E97" t="s">
        <v>87</v>
      </c>
      <c r="F97" t="s">
        <v>87</v>
      </c>
      <c r="G97" t="s">
        <v>88</v>
      </c>
      <c r="H97" t="s">
        <v>81</v>
      </c>
      <c r="J97" t="s">
        <v>83</v>
      </c>
      <c r="L97">
        <v>3</v>
      </c>
      <c r="M97" t="s">
        <v>83</v>
      </c>
      <c r="O97" t="s">
        <v>83</v>
      </c>
      <c r="P97" t="s">
        <v>84</v>
      </c>
    </row>
    <row r="98" spans="1:16">
      <c r="A98" t="s">
        <v>783</v>
      </c>
      <c r="B98" t="s">
        <v>77</v>
      </c>
      <c r="C98" t="s">
        <v>153</v>
      </c>
      <c r="D98" t="s">
        <v>153</v>
      </c>
      <c r="E98" t="s">
        <v>89</v>
      </c>
      <c r="F98" t="s">
        <v>89</v>
      </c>
      <c r="G98" t="s">
        <v>90</v>
      </c>
      <c r="H98" t="s">
        <v>81</v>
      </c>
      <c r="J98" t="s">
        <v>83</v>
      </c>
      <c r="K98" t="s">
        <v>83</v>
      </c>
      <c r="L98">
        <v>4</v>
      </c>
      <c r="M98" t="s">
        <v>83</v>
      </c>
      <c r="O98" t="s">
        <v>83</v>
      </c>
      <c r="P98" t="s">
        <v>84</v>
      </c>
    </row>
    <row r="99" spans="1:16">
      <c r="A99" t="s">
        <v>783</v>
      </c>
      <c r="B99" t="s">
        <v>77</v>
      </c>
      <c r="C99" t="s">
        <v>153</v>
      </c>
      <c r="D99" t="s">
        <v>153</v>
      </c>
      <c r="E99" t="s">
        <v>154</v>
      </c>
      <c r="F99" t="s">
        <v>154</v>
      </c>
      <c r="G99" t="s">
        <v>90</v>
      </c>
      <c r="H99" t="s">
        <v>81</v>
      </c>
      <c r="J99" t="s">
        <v>83</v>
      </c>
      <c r="K99" t="s">
        <v>83</v>
      </c>
      <c r="L99">
        <v>5</v>
      </c>
      <c r="M99" t="s">
        <v>83</v>
      </c>
      <c r="O99" t="s">
        <v>83</v>
      </c>
      <c r="P99" t="s">
        <v>84</v>
      </c>
    </row>
    <row r="100" spans="1:16">
      <c r="A100" t="s">
        <v>783</v>
      </c>
      <c r="B100" t="s">
        <v>77</v>
      </c>
      <c r="C100" t="s">
        <v>153</v>
      </c>
      <c r="D100" t="s">
        <v>153</v>
      </c>
      <c r="E100" t="s">
        <v>155</v>
      </c>
      <c r="F100" t="s">
        <v>155</v>
      </c>
      <c r="G100" t="s">
        <v>80</v>
      </c>
      <c r="H100" t="s">
        <v>81</v>
      </c>
      <c r="I100" t="s">
        <v>82</v>
      </c>
      <c r="L100">
        <v>6</v>
      </c>
      <c r="M100" t="s">
        <v>83</v>
      </c>
      <c r="O100" t="s">
        <v>83</v>
      </c>
      <c r="P100" t="s">
        <v>84</v>
      </c>
    </row>
    <row r="101" spans="1:16">
      <c r="A101" t="s">
        <v>783</v>
      </c>
      <c r="B101" t="s">
        <v>77</v>
      </c>
      <c r="C101" t="s">
        <v>153</v>
      </c>
      <c r="D101" t="s">
        <v>153</v>
      </c>
      <c r="E101" t="s">
        <v>788</v>
      </c>
      <c r="F101" t="s">
        <v>156</v>
      </c>
      <c r="G101" t="s">
        <v>90</v>
      </c>
      <c r="H101" t="s">
        <v>81</v>
      </c>
      <c r="J101" t="s">
        <v>83</v>
      </c>
      <c r="L101">
        <v>7</v>
      </c>
      <c r="M101" t="s">
        <v>83</v>
      </c>
      <c r="O101" t="s">
        <v>83</v>
      </c>
      <c r="P101" t="s">
        <v>84</v>
      </c>
    </row>
    <row r="102" spans="1:16">
      <c r="A102" t="s">
        <v>783</v>
      </c>
      <c r="B102" t="s">
        <v>77</v>
      </c>
      <c r="C102" t="s">
        <v>153</v>
      </c>
      <c r="D102" t="s">
        <v>153</v>
      </c>
      <c r="E102" t="s">
        <v>157</v>
      </c>
      <c r="F102" t="s">
        <v>157</v>
      </c>
      <c r="G102" t="s">
        <v>98</v>
      </c>
      <c r="H102" t="s">
        <v>81</v>
      </c>
      <c r="J102" t="s">
        <v>83</v>
      </c>
      <c r="L102">
        <v>8</v>
      </c>
      <c r="M102" t="s">
        <v>83</v>
      </c>
      <c r="O102" t="s">
        <v>83</v>
      </c>
      <c r="P102" t="s">
        <v>84</v>
      </c>
    </row>
    <row r="103" spans="1:16">
      <c r="A103" t="s">
        <v>783</v>
      </c>
      <c r="B103" t="s">
        <v>77</v>
      </c>
      <c r="C103" t="s">
        <v>153</v>
      </c>
      <c r="D103" t="s">
        <v>153</v>
      </c>
      <c r="E103" t="s">
        <v>91</v>
      </c>
      <c r="F103" t="s">
        <v>91</v>
      </c>
      <c r="G103" t="s">
        <v>92</v>
      </c>
      <c r="H103" t="s">
        <v>81</v>
      </c>
      <c r="J103" t="s">
        <v>83</v>
      </c>
      <c r="L103">
        <v>9</v>
      </c>
      <c r="M103" t="s">
        <v>83</v>
      </c>
      <c r="O103" t="s">
        <v>83</v>
      </c>
      <c r="P103" t="s">
        <v>84</v>
      </c>
    </row>
    <row r="104" spans="1:16">
      <c r="A104" t="s">
        <v>783</v>
      </c>
      <c r="B104" t="s">
        <v>77</v>
      </c>
      <c r="C104" t="s">
        <v>153</v>
      </c>
      <c r="D104" t="s">
        <v>153</v>
      </c>
      <c r="E104" t="s">
        <v>158</v>
      </c>
      <c r="F104" t="s">
        <v>158</v>
      </c>
      <c r="G104" t="s">
        <v>94</v>
      </c>
      <c r="H104" t="s">
        <v>81</v>
      </c>
      <c r="L104">
        <v>10</v>
      </c>
      <c r="M104" t="s">
        <v>83</v>
      </c>
      <c r="O104" t="s">
        <v>83</v>
      </c>
      <c r="P104" t="s">
        <v>84</v>
      </c>
    </row>
    <row r="105" spans="1:16">
      <c r="A105" t="s">
        <v>783</v>
      </c>
      <c r="B105" t="s">
        <v>77</v>
      </c>
      <c r="C105" t="s">
        <v>153</v>
      </c>
      <c r="D105" t="s">
        <v>153</v>
      </c>
      <c r="E105" t="s">
        <v>159</v>
      </c>
      <c r="F105" t="s">
        <v>159</v>
      </c>
      <c r="G105" t="s">
        <v>88</v>
      </c>
      <c r="H105" t="s">
        <v>81</v>
      </c>
      <c r="J105" t="s">
        <v>83</v>
      </c>
      <c r="L105">
        <v>11</v>
      </c>
      <c r="M105" t="s">
        <v>83</v>
      </c>
      <c r="O105" t="s">
        <v>83</v>
      </c>
      <c r="P105" t="s">
        <v>84</v>
      </c>
    </row>
    <row r="106" spans="1:16">
      <c r="A106" t="s">
        <v>783</v>
      </c>
      <c r="B106" t="s">
        <v>77</v>
      </c>
      <c r="C106" t="s">
        <v>153</v>
      </c>
      <c r="D106" t="s">
        <v>153</v>
      </c>
      <c r="E106" t="s">
        <v>160</v>
      </c>
      <c r="F106" t="s">
        <v>160</v>
      </c>
      <c r="G106" t="s">
        <v>94</v>
      </c>
      <c r="H106" t="s">
        <v>81</v>
      </c>
      <c r="L106">
        <v>12</v>
      </c>
      <c r="M106" t="s">
        <v>83</v>
      </c>
      <c r="O106" t="s">
        <v>83</v>
      </c>
      <c r="P106" t="s">
        <v>84</v>
      </c>
    </row>
    <row r="107" spans="1:16">
      <c r="A107" t="s">
        <v>783</v>
      </c>
      <c r="B107" t="s">
        <v>77</v>
      </c>
      <c r="C107" t="s">
        <v>153</v>
      </c>
      <c r="D107" t="s">
        <v>153</v>
      </c>
      <c r="E107" t="s">
        <v>161</v>
      </c>
      <c r="F107" t="s">
        <v>161</v>
      </c>
      <c r="G107" t="s">
        <v>98</v>
      </c>
      <c r="H107" t="s">
        <v>81</v>
      </c>
      <c r="L107">
        <v>13</v>
      </c>
      <c r="M107" t="s">
        <v>83</v>
      </c>
      <c r="O107" t="s">
        <v>83</v>
      </c>
      <c r="P107" t="s">
        <v>84</v>
      </c>
    </row>
    <row r="108" spans="1:16">
      <c r="A108" t="s">
        <v>783</v>
      </c>
      <c r="B108" t="s">
        <v>77</v>
      </c>
      <c r="C108" t="s">
        <v>153</v>
      </c>
      <c r="D108" t="s">
        <v>153</v>
      </c>
      <c r="E108" t="s">
        <v>162</v>
      </c>
      <c r="F108" t="s">
        <v>162</v>
      </c>
      <c r="G108" t="s">
        <v>163</v>
      </c>
      <c r="H108" t="s">
        <v>81</v>
      </c>
      <c r="L108">
        <v>14</v>
      </c>
      <c r="M108" t="s">
        <v>83</v>
      </c>
      <c r="O108" t="s">
        <v>83</v>
      </c>
      <c r="P108" t="s">
        <v>84</v>
      </c>
    </row>
    <row r="109" spans="1:16">
      <c r="A109" t="s">
        <v>783</v>
      </c>
      <c r="B109" t="s">
        <v>77</v>
      </c>
      <c r="C109" t="s">
        <v>153</v>
      </c>
      <c r="D109" t="s">
        <v>153</v>
      </c>
      <c r="E109" t="s">
        <v>164</v>
      </c>
      <c r="F109" t="s">
        <v>164</v>
      </c>
      <c r="G109" t="s">
        <v>98</v>
      </c>
      <c r="H109" t="s">
        <v>81</v>
      </c>
      <c r="L109">
        <v>15</v>
      </c>
      <c r="M109" t="s">
        <v>83</v>
      </c>
      <c r="O109" t="s">
        <v>83</v>
      </c>
      <c r="P109" t="s">
        <v>84</v>
      </c>
    </row>
    <row r="110" spans="1:16">
      <c r="A110" t="s">
        <v>783</v>
      </c>
      <c r="B110" t="s">
        <v>77</v>
      </c>
      <c r="C110" t="s">
        <v>153</v>
      </c>
      <c r="D110" t="s">
        <v>153</v>
      </c>
      <c r="E110" t="s">
        <v>165</v>
      </c>
      <c r="F110" t="s">
        <v>165</v>
      </c>
      <c r="G110" t="s">
        <v>88</v>
      </c>
      <c r="H110" t="s">
        <v>81</v>
      </c>
      <c r="L110">
        <v>16</v>
      </c>
      <c r="M110" t="s">
        <v>83</v>
      </c>
      <c r="O110" t="s">
        <v>83</v>
      </c>
      <c r="P110" t="s">
        <v>84</v>
      </c>
    </row>
    <row r="111" spans="1:16">
      <c r="A111" t="s">
        <v>783</v>
      </c>
      <c r="B111" t="s">
        <v>77</v>
      </c>
      <c r="C111" t="s">
        <v>153</v>
      </c>
      <c r="D111" t="s">
        <v>153</v>
      </c>
      <c r="E111" t="s">
        <v>166</v>
      </c>
      <c r="F111" t="s">
        <v>166</v>
      </c>
      <c r="G111" t="s">
        <v>88</v>
      </c>
      <c r="H111" t="s">
        <v>81</v>
      </c>
      <c r="L111">
        <v>17</v>
      </c>
      <c r="M111" t="s">
        <v>83</v>
      </c>
      <c r="O111" t="s">
        <v>83</v>
      </c>
      <c r="P111" t="s">
        <v>84</v>
      </c>
    </row>
    <row r="112" spans="1:16">
      <c r="A112" t="s">
        <v>783</v>
      </c>
      <c r="B112" t="s">
        <v>77</v>
      </c>
      <c r="C112" t="s">
        <v>153</v>
      </c>
      <c r="D112" t="s">
        <v>153</v>
      </c>
      <c r="E112" t="s">
        <v>167</v>
      </c>
      <c r="F112" t="s">
        <v>167</v>
      </c>
      <c r="G112" t="s">
        <v>168</v>
      </c>
      <c r="H112" t="s">
        <v>81</v>
      </c>
      <c r="L112">
        <v>18</v>
      </c>
      <c r="M112" t="s">
        <v>83</v>
      </c>
      <c r="O112" t="s">
        <v>83</v>
      </c>
      <c r="P112" t="s">
        <v>84</v>
      </c>
    </row>
    <row r="113" spans="1:16">
      <c r="A113" t="s">
        <v>783</v>
      </c>
      <c r="B113" t="s">
        <v>77</v>
      </c>
      <c r="C113" t="s">
        <v>153</v>
      </c>
      <c r="D113" t="s">
        <v>153</v>
      </c>
      <c r="E113" t="s">
        <v>169</v>
      </c>
      <c r="F113" t="s">
        <v>169</v>
      </c>
      <c r="G113" t="s">
        <v>98</v>
      </c>
      <c r="H113" t="s">
        <v>81</v>
      </c>
      <c r="L113">
        <v>19</v>
      </c>
      <c r="M113" t="s">
        <v>83</v>
      </c>
      <c r="O113" t="s">
        <v>83</v>
      </c>
      <c r="P113" t="s">
        <v>84</v>
      </c>
    </row>
    <row r="114" spans="1:16">
      <c r="A114" t="s">
        <v>783</v>
      </c>
      <c r="B114" t="s">
        <v>77</v>
      </c>
      <c r="C114" t="s">
        <v>153</v>
      </c>
      <c r="D114" t="s">
        <v>153</v>
      </c>
      <c r="E114" t="s">
        <v>170</v>
      </c>
      <c r="F114" t="s">
        <v>170</v>
      </c>
      <c r="G114" t="s">
        <v>88</v>
      </c>
      <c r="H114" t="s">
        <v>81</v>
      </c>
      <c r="L114">
        <v>20</v>
      </c>
      <c r="M114" t="s">
        <v>83</v>
      </c>
      <c r="O114" t="s">
        <v>83</v>
      </c>
      <c r="P114" t="s">
        <v>84</v>
      </c>
    </row>
    <row r="115" spans="1:16">
      <c r="A115" t="s">
        <v>783</v>
      </c>
      <c r="B115" t="s">
        <v>77</v>
      </c>
      <c r="C115" t="s">
        <v>153</v>
      </c>
      <c r="D115" t="s">
        <v>153</v>
      </c>
      <c r="E115" t="s">
        <v>171</v>
      </c>
      <c r="F115" t="s">
        <v>171</v>
      </c>
      <c r="G115" t="s">
        <v>80</v>
      </c>
      <c r="H115" t="s">
        <v>81</v>
      </c>
      <c r="I115" t="s">
        <v>82</v>
      </c>
      <c r="L115">
        <v>21</v>
      </c>
      <c r="M115" t="s">
        <v>83</v>
      </c>
      <c r="O115" t="s">
        <v>83</v>
      </c>
      <c r="P115" t="s">
        <v>84</v>
      </c>
    </row>
    <row r="116" spans="1:16">
      <c r="A116" t="s">
        <v>783</v>
      </c>
      <c r="B116" t="s">
        <v>77</v>
      </c>
      <c r="C116" t="s">
        <v>153</v>
      </c>
      <c r="D116" t="s">
        <v>153</v>
      </c>
      <c r="E116" t="s">
        <v>172</v>
      </c>
      <c r="F116" t="s">
        <v>172</v>
      </c>
      <c r="G116" t="s">
        <v>90</v>
      </c>
      <c r="H116" t="s">
        <v>81</v>
      </c>
      <c r="L116">
        <v>22</v>
      </c>
      <c r="M116" t="s">
        <v>83</v>
      </c>
      <c r="O116" t="s">
        <v>83</v>
      </c>
      <c r="P116" t="s">
        <v>84</v>
      </c>
    </row>
    <row r="117" spans="1:16">
      <c r="A117" t="s">
        <v>783</v>
      </c>
      <c r="B117" t="s">
        <v>77</v>
      </c>
      <c r="C117" t="s">
        <v>153</v>
      </c>
      <c r="D117" t="s">
        <v>153</v>
      </c>
      <c r="E117" t="s">
        <v>173</v>
      </c>
      <c r="F117" t="s">
        <v>173</v>
      </c>
      <c r="G117" t="s">
        <v>168</v>
      </c>
      <c r="H117" t="s">
        <v>81</v>
      </c>
      <c r="L117">
        <v>23</v>
      </c>
      <c r="M117" t="s">
        <v>83</v>
      </c>
      <c r="O117" t="s">
        <v>83</v>
      </c>
      <c r="P117" t="s">
        <v>84</v>
      </c>
    </row>
    <row r="118" spans="1:16">
      <c r="A118" t="s">
        <v>783</v>
      </c>
      <c r="B118" t="s">
        <v>77</v>
      </c>
      <c r="C118" t="s">
        <v>153</v>
      </c>
      <c r="D118" t="s">
        <v>153</v>
      </c>
      <c r="E118" t="s">
        <v>117</v>
      </c>
      <c r="F118" t="s">
        <v>117</v>
      </c>
      <c r="G118" t="s">
        <v>90</v>
      </c>
      <c r="H118" t="s">
        <v>81</v>
      </c>
      <c r="L118">
        <v>24</v>
      </c>
      <c r="M118" t="s">
        <v>83</v>
      </c>
      <c r="O118" t="s">
        <v>83</v>
      </c>
      <c r="P118" t="s">
        <v>84</v>
      </c>
    </row>
    <row r="119" spans="1:16">
      <c r="A119" t="s">
        <v>783</v>
      </c>
      <c r="B119" t="s">
        <v>77</v>
      </c>
      <c r="C119" t="s">
        <v>153</v>
      </c>
      <c r="D119" t="s">
        <v>153</v>
      </c>
      <c r="E119" t="s">
        <v>174</v>
      </c>
      <c r="F119" t="s">
        <v>174</v>
      </c>
      <c r="G119" t="s">
        <v>90</v>
      </c>
      <c r="H119" t="s">
        <v>81</v>
      </c>
      <c r="L119">
        <v>25</v>
      </c>
      <c r="M119" t="s">
        <v>83</v>
      </c>
      <c r="O119" t="s">
        <v>83</v>
      </c>
      <c r="P119" t="s">
        <v>84</v>
      </c>
    </row>
    <row r="120" spans="1:16">
      <c r="A120" t="s">
        <v>783</v>
      </c>
      <c r="B120" t="s">
        <v>77</v>
      </c>
      <c r="C120" t="s">
        <v>153</v>
      </c>
      <c r="D120" t="s">
        <v>153</v>
      </c>
      <c r="E120" t="s">
        <v>112</v>
      </c>
      <c r="F120" t="s">
        <v>112</v>
      </c>
      <c r="G120" t="s">
        <v>113</v>
      </c>
      <c r="H120" t="s">
        <v>81</v>
      </c>
      <c r="I120" t="s">
        <v>114</v>
      </c>
      <c r="L120">
        <v>26</v>
      </c>
      <c r="M120" t="s">
        <v>83</v>
      </c>
      <c r="O120" t="s">
        <v>83</v>
      </c>
      <c r="P120" t="s">
        <v>84</v>
      </c>
    </row>
    <row r="121" spans="1:16">
      <c r="A121" t="s">
        <v>783</v>
      </c>
      <c r="B121" t="s">
        <v>77</v>
      </c>
      <c r="C121" t="s">
        <v>153</v>
      </c>
      <c r="D121" t="s">
        <v>153</v>
      </c>
      <c r="E121" t="s">
        <v>115</v>
      </c>
      <c r="F121" t="s">
        <v>115</v>
      </c>
      <c r="G121" t="s">
        <v>113</v>
      </c>
      <c r="H121" t="s">
        <v>81</v>
      </c>
      <c r="I121" t="s">
        <v>114</v>
      </c>
      <c r="L121">
        <v>27</v>
      </c>
      <c r="M121" t="s">
        <v>83</v>
      </c>
      <c r="O121" t="s">
        <v>83</v>
      </c>
      <c r="P121" t="s">
        <v>84</v>
      </c>
    </row>
    <row r="122" spans="1:16">
      <c r="A122" t="s">
        <v>783</v>
      </c>
      <c r="B122" t="s">
        <v>77</v>
      </c>
      <c r="C122" t="s">
        <v>153</v>
      </c>
      <c r="D122" t="s">
        <v>153</v>
      </c>
      <c r="E122" t="s">
        <v>118</v>
      </c>
      <c r="F122" t="s">
        <v>118</v>
      </c>
      <c r="G122" t="s">
        <v>92</v>
      </c>
      <c r="H122" t="s">
        <v>81</v>
      </c>
      <c r="L122">
        <v>34</v>
      </c>
      <c r="M122" t="s">
        <v>83</v>
      </c>
      <c r="O122" t="s">
        <v>83</v>
      </c>
      <c r="P122" t="s">
        <v>84</v>
      </c>
    </row>
    <row r="123" spans="1:16">
      <c r="A123" t="s">
        <v>783</v>
      </c>
      <c r="B123" t="s">
        <v>77</v>
      </c>
      <c r="C123" t="s">
        <v>153</v>
      </c>
      <c r="D123" t="s">
        <v>153</v>
      </c>
      <c r="E123" t="s">
        <v>784</v>
      </c>
      <c r="F123" t="s">
        <v>784</v>
      </c>
      <c r="G123" t="s">
        <v>80</v>
      </c>
      <c r="H123" t="s">
        <v>81</v>
      </c>
      <c r="I123" t="s">
        <v>82</v>
      </c>
      <c r="L123">
        <v>35</v>
      </c>
      <c r="M123" t="s">
        <v>83</v>
      </c>
      <c r="O123" t="s">
        <v>83</v>
      </c>
      <c r="P123" t="s">
        <v>84</v>
      </c>
    </row>
    <row r="124" spans="1:16">
      <c r="A124" t="s">
        <v>783</v>
      </c>
      <c r="B124" t="s">
        <v>77</v>
      </c>
      <c r="C124" t="s">
        <v>153</v>
      </c>
      <c r="D124" t="s">
        <v>153</v>
      </c>
      <c r="E124" t="s">
        <v>785</v>
      </c>
      <c r="F124" t="s">
        <v>785</v>
      </c>
      <c r="G124" t="s">
        <v>80</v>
      </c>
      <c r="H124" t="s">
        <v>81</v>
      </c>
      <c r="I124" t="s">
        <v>82</v>
      </c>
      <c r="L124">
        <v>36</v>
      </c>
      <c r="M124" t="s">
        <v>83</v>
      </c>
      <c r="O124" t="s">
        <v>83</v>
      </c>
      <c r="P124" t="s">
        <v>84</v>
      </c>
    </row>
    <row r="125" spans="1:16">
      <c r="A125" t="s">
        <v>783</v>
      </c>
      <c r="B125" t="s">
        <v>77</v>
      </c>
      <c r="C125" t="s">
        <v>153</v>
      </c>
      <c r="D125" t="s">
        <v>153</v>
      </c>
      <c r="E125" t="s">
        <v>786</v>
      </c>
      <c r="F125" t="s">
        <v>786</v>
      </c>
      <c r="G125" t="s">
        <v>787</v>
      </c>
      <c r="H125" t="s">
        <v>81</v>
      </c>
      <c r="L125">
        <v>37</v>
      </c>
      <c r="M125" t="s">
        <v>83</v>
      </c>
      <c r="O125" t="s">
        <v>83</v>
      </c>
      <c r="P125" t="s">
        <v>84</v>
      </c>
    </row>
    <row r="126" spans="1:16">
      <c r="A126" t="s">
        <v>783</v>
      </c>
      <c r="B126" t="s">
        <v>77</v>
      </c>
      <c r="C126" t="s">
        <v>175</v>
      </c>
      <c r="D126" t="s">
        <v>175</v>
      </c>
      <c r="E126" t="s">
        <v>79</v>
      </c>
      <c r="F126" t="s">
        <v>79</v>
      </c>
      <c r="G126" t="s">
        <v>80</v>
      </c>
      <c r="H126" t="s">
        <v>81</v>
      </c>
      <c r="I126" t="s">
        <v>82</v>
      </c>
      <c r="L126">
        <v>1</v>
      </c>
      <c r="M126" t="s">
        <v>83</v>
      </c>
      <c r="O126" t="s">
        <v>83</v>
      </c>
      <c r="P126" t="s">
        <v>84</v>
      </c>
    </row>
    <row r="127" spans="1:16">
      <c r="A127" t="s">
        <v>783</v>
      </c>
      <c r="B127" t="s">
        <v>77</v>
      </c>
      <c r="C127" t="s">
        <v>175</v>
      </c>
      <c r="D127" t="s">
        <v>175</v>
      </c>
      <c r="E127" t="s">
        <v>86</v>
      </c>
      <c r="F127" t="s">
        <v>86</v>
      </c>
      <c r="G127" t="s">
        <v>80</v>
      </c>
      <c r="H127" t="s">
        <v>81</v>
      </c>
      <c r="I127" t="s">
        <v>82</v>
      </c>
      <c r="L127">
        <v>2</v>
      </c>
      <c r="M127" t="s">
        <v>83</v>
      </c>
      <c r="O127" t="s">
        <v>83</v>
      </c>
      <c r="P127" t="s">
        <v>84</v>
      </c>
    </row>
    <row r="128" spans="1:16">
      <c r="A128" t="s">
        <v>783</v>
      </c>
      <c r="B128" t="s">
        <v>77</v>
      </c>
      <c r="C128" t="s">
        <v>175</v>
      </c>
      <c r="D128" t="s">
        <v>175</v>
      </c>
      <c r="E128" t="s">
        <v>87</v>
      </c>
      <c r="F128" t="s">
        <v>87</v>
      </c>
      <c r="G128" t="s">
        <v>88</v>
      </c>
      <c r="H128" t="s">
        <v>81</v>
      </c>
      <c r="J128" t="s">
        <v>83</v>
      </c>
      <c r="L128">
        <v>3</v>
      </c>
      <c r="M128" t="s">
        <v>83</v>
      </c>
      <c r="O128" t="s">
        <v>83</v>
      </c>
      <c r="P128" t="s">
        <v>84</v>
      </c>
    </row>
    <row r="129" spans="1:16">
      <c r="A129" t="s">
        <v>783</v>
      </c>
      <c r="B129" t="s">
        <v>77</v>
      </c>
      <c r="C129" t="s">
        <v>175</v>
      </c>
      <c r="D129" t="s">
        <v>175</v>
      </c>
      <c r="E129" t="s">
        <v>89</v>
      </c>
      <c r="F129" t="s">
        <v>89</v>
      </c>
      <c r="G129" t="s">
        <v>90</v>
      </c>
      <c r="H129" t="s">
        <v>81</v>
      </c>
      <c r="J129" t="s">
        <v>83</v>
      </c>
      <c r="K129" t="s">
        <v>83</v>
      </c>
      <c r="L129">
        <v>4</v>
      </c>
      <c r="M129" t="s">
        <v>83</v>
      </c>
      <c r="O129" t="s">
        <v>83</v>
      </c>
      <c r="P129" t="s">
        <v>84</v>
      </c>
    </row>
    <row r="130" spans="1:16">
      <c r="A130" t="s">
        <v>783</v>
      </c>
      <c r="B130" t="s">
        <v>77</v>
      </c>
      <c r="C130" t="s">
        <v>175</v>
      </c>
      <c r="D130" t="s">
        <v>175</v>
      </c>
      <c r="E130" t="s">
        <v>176</v>
      </c>
      <c r="F130" t="s">
        <v>176</v>
      </c>
      <c r="G130" t="s">
        <v>80</v>
      </c>
      <c r="H130" t="s">
        <v>81</v>
      </c>
      <c r="I130" t="s">
        <v>82</v>
      </c>
      <c r="L130">
        <v>5</v>
      </c>
      <c r="M130" t="s">
        <v>83</v>
      </c>
      <c r="O130" t="s">
        <v>83</v>
      </c>
      <c r="P130" t="s">
        <v>84</v>
      </c>
    </row>
    <row r="131" spans="1:16">
      <c r="A131" t="s">
        <v>783</v>
      </c>
      <c r="B131" t="s">
        <v>77</v>
      </c>
      <c r="C131" t="s">
        <v>175</v>
      </c>
      <c r="D131" t="s">
        <v>175</v>
      </c>
      <c r="E131" t="s">
        <v>177</v>
      </c>
      <c r="F131" t="s">
        <v>177</v>
      </c>
      <c r="G131" t="s">
        <v>90</v>
      </c>
      <c r="H131" t="s">
        <v>81</v>
      </c>
      <c r="J131" t="s">
        <v>83</v>
      </c>
      <c r="L131">
        <v>6</v>
      </c>
      <c r="M131" t="s">
        <v>83</v>
      </c>
      <c r="O131" t="s">
        <v>83</v>
      </c>
      <c r="P131" t="s">
        <v>84</v>
      </c>
    </row>
    <row r="132" spans="1:16">
      <c r="A132" t="s">
        <v>783</v>
      </c>
      <c r="B132" t="s">
        <v>77</v>
      </c>
      <c r="C132" t="s">
        <v>175</v>
      </c>
      <c r="D132" t="s">
        <v>175</v>
      </c>
      <c r="E132" t="s">
        <v>178</v>
      </c>
      <c r="F132" t="s">
        <v>178</v>
      </c>
      <c r="G132" t="s">
        <v>98</v>
      </c>
      <c r="H132" t="s">
        <v>81</v>
      </c>
      <c r="J132" t="s">
        <v>83</v>
      </c>
      <c r="L132">
        <v>7</v>
      </c>
      <c r="M132" t="s">
        <v>83</v>
      </c>
      <c r="O132" t="s">
        <v>83</v>
      </c>
      <c r="P132" t="s">
        <v>84</v>
      </c>
    </row>
    <row r="133" spans="1:16">
      <c r="A133" t="s">
        <v>783</v>
      </c>
      <c r="B133" t="s">
        <v>77</v>
      </c>
      <c r="C133" t="s">
        <v>175</v>
      </c>
      <c r="D133" t="s">
        <v>175</v>
      </c>
      <c r="E133" t="s">
        <v>91</v>
      </c>
      <c r="F133" t="s">
        <v>91</v>
      </c>
      <c r="G133" t="s">
        <v>92</v>
      </c>
      <c r="H133" t="s">
        <v>81</v>
      </c>
      <c r="J133" t="s">
        <v>83</v>
      </c>
      <c r="L133">
        <v>8</v>
      </c>
      <c r="M133" t="s">
        <v>83</v>
      </c>
      <c r="O133" t="s">
        <v>83</v>
      </c>
      <c r="P133" t="s">
        <v>84</v>
      </c>
    </row>
    <row r="134" spans="1:16">
      <c r="A134" t="s">
        <v>783</v>
      </c>
      <c r="B134" t="s">
        <v>77</v>
      </c>
      <c r="C134" t="s">
        <v>175</v>
      </c>
      <c r="D134" t="s">
        <v>175</v>
      </c>
      <c r="E134" t="s">
        <v>179</v>
      </c>
      <c r="F134" t="s">
        <v>179</v>
      </c>
      <c r="G134" t="s">
        <v>180</v>
      </c>
      <c r="H134" t="s">
        <v>81</v>
      </c>
      <c r="L134">
        <v>9</v>
      </c>
      <c r="M134" t="s">
        <v>83</v>
      </c>
      <c r="O134" t="s">
        <v>83</v>
      </c>
      <c r="P134" t="s">
        <v>84</v>
      </c>
    </row>
    <row r="135" spans="1:16">
      <c r="A135" t="s">
        <v>783</v>
      </c>
      <c r="B135" t="s">
        <v>77</v>
      </c>
      <c r="C135" t="s">
        <v>175</v>
      </c>
      <c r="D135" t="s">
        <v>175</v>
      </c>
      <c r="E135" t="s">
        <v>181</v>
      </c>
      <c r="F135" t="s">
        <v>181</v>
      </c>
      <c r="G135" t="s">
        <v>180</v>
      </c>
      <c r="H135" t="s">
        <v>81</v>
      </c>
      <c r="L135">
        <v>10</v>
      </c>
      <c r="M135" t="s">
        <v>83</v>
      </c>
      <c r="O135" t="s">
        <v>83</v>
      </c>
      <c r="P135" t="s">
        <v>84</v>
      </c>
    </row>
    <row r="136" spans="1:16">
      <c r="A136" t="s">
        <v>783</v>
      </c>
      <c r="B136" t="s">
        <v>77</v>
      </c>
      <c r="C136" t="s">
        <v>175</v>
      </c>
      <c r="D136" t="s">
        <v>175</v>
      </c>
      <c r="E136" t="s">
        <v>182</v>
      </c>
      <c r="F136" t="s">
        <v>182</v>
      </c>
      <c r="G136" t="s">
        <v>94</v>
      </c>
      <c r="H136" t="s">
        <v>81</v>
      </c>
      <c r="J136" t="s">
        <v>83</v>
      </c>
      <c r="L136">
        <v>11</v>
      </c>
      <c r="M136" t="s">
        <v>83</v>
      </c>
      <c r="O136" t="s">
        <v>83</v>
      </c>
      <c r="P136" t="s">
        <v>84</v>
      </c>
    </row>
    <row r="137" spans="1:16">
      <c r="A137" t="s">
        <v>783</v>
      </c>
      <c r="B137" t="s">
        <v>77</v>
      </c>
      <c r="C137" t="s">
        <v>175</v>
      </c>
      <c r="D137" t="s">
        <v>175</v>
      </c>
      <c r="E137" t="s">
        <v>183</v>
      </c>
      <c r="F137" t="s">
        <v>183</v>
      </c>
      <c r="G137" t="s">
        <v>88</v>
      </c>
      <c r="H137" t="s">
        <v>81</v>
      </c>
      <c r="L137">
        <v>12</v>
      </c>
      <c r="M137" t="s">
        <v>83</v>
      </c>
      <c r="O137" t="s">
        <v>83</v>
      </c>
      <c r="P137" t="s">
        <v>84</v>
      </c>
    </row>
    <row r="138" spans="1:16">
      <c r="A138" t="s">
        <v>783</v>
      </c>
      <c r="B138" t="s">
        <v>77</v>
      </c>
      <c r="C138" t="s">
        <v>175</v>
      </c>
      <c r="D138" t="s">
        <v>175</v>
      </c>
      <c r="E138" t="s">
        <v>184</v>
      </c>
      <c r="F138" t="s">
        <v>184</v>
      </c>
      <c r="G138" t="s">
        <v>94</v>
      </c>
      <c r="H138" t="s">
        <v>81</v>
      </c>
      <c r="L138">
        <v>13</v>
      </c>
      <c r="M138" t="s">
        <v>83</v>
      </c>
      <c r="O138" t="s">
        <v>83</v>
      </c>
      <c r="P138" t="s">
        <v>84</v>
      </c>
    </row>
    <row r="139" spans="1:16">
      <c r="A139" t="s">
        <v>783</v>
      </c>
      <c r="B139" t="s">
        <v>77</v>
      </c>
      <c r="C139" t="s">
        <v>175</v>
      </c>
      <c r="D139" t="s">
        <v>175</v>
      </c>
      <c r="E139" t="s">
        <v>185</v>
      </c>
      <c r="F139" t="s">
        <v>185</v>
      </c>
      <c r="G139" t="s">
        <v>94</v>
      </c>
      <c r="H139" t="s">
        <v>81</v>
      </c>
      <c r="L139">
        <v>14</v>
      </c>
      <c r="M139" t="s">
        <v>83</v>
      </c>
      <c r="O139" t="s">
        <v>83</v>
      </c>
      <c r="P139" t="s">
        <v>84</v>
      </c>
    </row>
    <row r="140" spans="1:16">
      <c r="A140" t="s">
        <v>783</v>
      </c>
      <c r="B140" t="s">
        <v>77</v>
      </c>
      <c r="C140" t="s">
        <v>175</v>
      </c>
      <c r="D140" t="s">
        <v>175</v>
      </c>
      <c r="E140" t="s">
        <v>186</v>
      </c>
      <c r="F140" t="s">
        <v>186</v>
      </c>
      <c r="G140" t="s">
        <v>94</v>
      </c>
      <c r="H140" t="s">
        <v>81</v>
      </c>
      <c r="L140">
        <v>15</v>
      </c>
      <c r="M140" t="s">
        <v>83</v>
      </c>
      <c r="O140" t="s">
        <v>83</v>
      </c>
      <c r="P140" t="s">
        <v>84</v>
      </c>
    </row>
    <row r="141" spans="1:16">
      <c r="A141" t="s">
        <v>783</v>
      </c>
      <c r="B141" t="s">
        <v>77</v>
      </c>
      <c r="C141" t="s">
        <v>175</v>
      </c>
      <c r="D141" t="s">
        <v>175</v>
      </c>
      <c r="E141" t="s">
        <v>187</v>
      </c>
      <c r="F141" t="s">
        <v>187</v>
      </c>
      <c r="G141" t="s">
        <v>188</v>
      </c>
      <c r="H141" t="s">
        <v>81</v>
      </c>
      <c r="L141">
        <v>16</v>
      </c>
      <c r="M141" t="s">
        <v>83</v>
      </c>
      <c r="O141" t="s">
        <v>83</v>
      </c>
      <c r="P141" t="s">
        <v>84</v>
      </c>
    </row>
    <row r="142" spans="1:16">
      <c r="A142" t="s">
        <v>783</v>
      </c>
      <c r="B142" t="s">
        <v>77</v>
      </c>
      <c r="C142" t="s">
        <v>175</v>
      </c>
      <c r="D142" t="s">
        <v>175</v>
      </c>
      <c r="E142" t="s">
        <v>189</v>
      </c>
      <c r="F142" t="s">
        <v>189</v>
      </c>
      <c r="G142" t="s">
        <v>98</v>
      </c>
      <c r="H142" t="s">
        <v>81</v>
      </c>
      <c r="L142">
        <v>17</v>
      </c>
      <c r="M142" t="s">
        <v>83</v>
      </c>
      <c r="O142" t="s">
        <v>83</v>
      </c>
      <c r="P142" t="s">
        <v>84</v>
      </c>
    </row>
    <row r="143" spans="1:16">
      <c r="A143" t="s">
        <v>783</v>
      </c>
      <c r="B143" t="s">
        <v>77</v>
      </c>
      <c r="C143" t="s">
        <v>175</v>
      </c>
      <c r="D143" t="s">
        <v>175</v>
      </c>
      <c r="E143" t="s">
        <v>190</v>
      </c>
      <c r="F143" t="s">
        <v>190</v>
      </c>
      <c r="G143" t="s">
        <v>191</v>
      </c>
      <c r="H143" t="s">
        <v>81</v>
      </c>
      <c r="L143">
        <v>18</v>
      </c>
      <c r="M143" t="s">
        <v>83</v>
      </c>
      <c r="O143" t="s">
        <v>83</v>
      </c>
      <c r="P143" t="s">
        <v>84</v>
      </c>
    </row>
    <row r="144" spans="1:16">
      <c r="A144" t="s">
        <v>783</v>
      </c>
      <c r="B144" t="s">
        <v>77</v>
      </c>
      <c r="C144" t="s">
        <v>175</v>
      </c>
      <c r="D144" t="s">
        <v>175</v>
      </c>
      <c r="E144" t="s">
        <v>192</v>
      </c>
      <c r="F144" t="s">
        <v>192</v>
      </c>
      <c r="G144" t="s">
        <v>98</v>
      </c>
      <c r="H144" t="s">
        <v>81</v>
      </c>
      <c r="L144">
        <v>19</v>
      </c>
      <c r="M144" t="s">
        <v>83</v>
      </c>
      <c r="O144" t="s">
        <v>83</v>
      </c>
      <c r="P144" t="s">
        <v>84</v>
      </c>
    </row>
    <row r="145" spans="1:16">
      <c r="A145" t="s">
        <v>783</v>
      </c>
      <c r="B145" t="s">
        <v>77</v>
      </c>
      <c r="C145" t="s">
        <v>175</v>
      </c>
      <c r="D145" t="s">
        <v>175</v>
      </c>
      <c r="E145" t="s">
        <v>193</v>
      </c>
      <c r="F145" t="s">
        <v>193</v>
      </c>
      <c r="G145" t="s">
        <v>92</v>
      </c>
      <c r="H145" t="s">
        <v>81</v>
      </c>
      <c r="L145">
        <v>20</v>
      </c>
      <c r="M145" t="s">
        <v>83</v>
      </c>
      <c r="O145" t="s">
        <v>83</v>
      </c>
      <c r="P145" t="s">
        <v>84</v>
      </c>
    </row>
    <row r="146" spans="1:16">
      <c r="A146" t="s">
        <v>783</v>
      </c>
      <c r="B146" t="s">
        <v>77</v>
      </c>
      <c r="C146" t="s">
        <v>175</v>
      </c>
      <c r="D146" t="s">
        <v>175</v>
      </c>
      <c r="E146" t="s">
        <v>194</v>
      </c>
      <c r="F146" t="s">
        <v>194</v>
      </c>
      <c r="G146" t="s">
        <v>92</v>
      </c>
      <c r="H146" t="s">
        <v>81</v>
      </c>
      <c r="L146">
        <v>21</v>
      </c>
      <c r="M146" t="s">
        <v>83</v>
      </c>
      <c r="O146" t="s">
        <v>83</v>
      </c>
      <c r="P146" t="s">
        <v>84</v>
      </c>
    </row>
    <row r="147" spans="1:16">
      <c r="A147" t="s">
        <v>783</v>
      </c>
      <c r="B147" t="s">
        <v>77</v>
      </c>
      <c r="C147" t="s">
        <v>175</v>
      </c>
      <c r="D147" t="s">
        <v>175</v>
      </c>
      <c r="E147" t="s">
        <v>195</v>
      </c>
      <c r="F147" t="s">
        <v>195</v>
      </c>
      <c r="G147" t="s">
        <v>196</v>
      </c>
      <c r="H147" t="s">
        <v>81</v>
      </c>
      <c r="L147">
        <v>22</v>
      </c>
      <c r="M147" t="s">
        <v>83</v>
      </c>
      <c r="O147" t="s">
        <v>83</v>
      </c>
      <c r="P147" t="s">
        <v>84</v>
      </c>
    </row>
    <row r="148" spans="1:16">
      <c r="A148" t="s">
        <v>783</v>
      </c>
      <c r="B148" t="s">
        <v>77</v>
      </c>
      <c r="C148" t="s">
        <v>175</v>
      </c>
      <c r="D148" t="s">
        <v>175</v>
      </c>
      <c r="E148" t="s">
        <v>197</v>
      </c>
      <c r="F148" t="s">
        <v>197</v>
      </c>
      <c r="G148" t="s">
        <v>150</v>
      </c>
      <c r="H148" t="s">
        <v>81</v>
      </c>
      <c r="L148">
        <v>23</v>
      </c>
      <c r="M148" t="s">
        <v>83</v>
      </c>
      <c r="O148" t="s">
        <v>83</v>
      </c>
      <c r="P148" t="s">
        <v>84</v>
      </c>
    </row>
    <row r="149" spans="1:16">
      <c r="A149" t="s">
        <v>783</v>
      </c>
      <c r="B149" t="s">
        <v>77</v>
      </c>
      <c r="C149" t="s">
        <v>175</v>
      </c>
      <c r="D149" t="s">
        <v>175</v>
      </c>
      <c r="E149" t="s">
        <v>198</v>
      </c>
      <c r="F149" t="s">
        <v>198</v>
      </c>
      <c r="G149" t="s">
        <v>199</v>
      </c>
      <c r="H149" t="s">
        <v>81</v>
      </c>
      <c r="L149">
        <v>24</v>
      </c>
      <c r="M149" t="s">
        <v>83</v>
      </c>
      <c r="O149" t="s">
        <v>83</v>
      </c>
      <c r="P149" t="s">
        <v>84</v>
      </c>
    </row>
    <row r="150" spans="1:16">
      <c r="A150" t="s">
        <v>783</v>
      </c>
      <c r="B150" t="s">
        <v>77</v>
      </c>
      <c r="C150" t="s">
        <v>175</v>
      </c>
      <c r="D150" t="s">
        <v>175</v>
      </c>
      <c r="E150" t="s">
        <v>200</v>
      </c>
      <c r="F150" t="s">
        <v>200</v>
      </c>
      <c r="G150" t="s">
        <v>150</v>
      </c>
      <c r="H150" t="s">
        <v>81</v>
      </c>
      <c r="L150">
        <v>25</v>
      </c>
      <c r="M150" t="s">
        <v>83</v>
      </c>
      <c r="O150" t="s">
        <v>83</v>
      </c>
      <c r="P150" t="s">
        <v>84</v>
      </c>
    </row>
    <row r="151" spans="1:16">
      <c r="A151" t="s">
        <v>783</v>
      </c>
      <c r="B151" t="s">
        <v>77</v>
      </c>
      <c r="C151" t="s">
        <v>175</v>
      </c>
      <c r="D151" t="s">
        <v>175</v>
      </c>
      <c r="E151" t="s">
        <v>201</v>
      </c>
      <c r="F151" t="s">
        <v>201</v>
      </c>
      <c r="G151" t="s">
        <v>92</v>
      </c>
      <c r="H151" t="s">
        <v>81</v>
      </c>
      <c r="L151">
        <v>26</v>
      </c>
      <c r="M151" t="s">
        <v>83</v>
      </c>
      <c r="O151" t="s">
        <v>83</v>
      </c>
      <c r="P151" t="s">
        <v>84</v>
      </c>
    </row>
    <row r="152" spans="1:16">
      <c r="A152" t="s">
        <v>783</v>
      </c>
      <c r="B152" t="s">
        <v>77</v>
      </c>
      <c r="C152" t="s">
        <v>175</v>
      </c>
      <c r="D152" t="s">
        <v>175</v>
      </c>
      <c r="E152" t="s">
        <v>202</v>
      </c>
      <c r="F152" t="s">
        <v>202</v>
      </c>
      <c r="G152" t="s">
        <v>80</v>
      </c>
      <c r="H152" t="s">
        <v>81</v>
      </c>
      <c r="I152" t="s">
        <v>82</v>
      </c>
      <c r="L152">
        <v>27</v>
      </c>
      <c r="M152" t="s">
        <v>83</v>
      </c>
      <c r="O152" t="s">
        <v>83</v>
      </c>
      <c r="P152" t="s">
        <v>84</v>
      </c>
    </row>
    <row r="153" spans="1:16">
      <c r="A153" t="s">
        <v>783</v>
      </c>
      <c r="B153" t="s">
        <v>77</v>
      </c>
      <c r="C153" t="s">
        <v>175</v>
      </c>
      <c r="D153" t="s">
        <v>175</v>
      </c>
      <c r="E153" t="s">
        <v>203</v>
      </c>
      <c r="F153" t="s">
        <v>203</v>
      </c>
      <c r="G153" t="s">
        <v>90</v>
      </c>
      <c r="H153" t="s">
        <v>81</v>
      </c>
      <c r="L153">
        <v>28</v>
      </c>
      <c r="M153" t="s">
        <v>83</v>
      </c>
      <c r="O153" t="s">
        <v>83</v>
      </c>
      <c r="P153" t="s">
        <v>84</v>
      </c>
    </row>
    <row r="154" spans="1:16">
      <c r="A154" t="s">
        <v>783</v>
      </c>
      <c r="B154" t="s">
        <v>77</v>
      </c>
      <c r="C154" t="s">
        <v>175</v>
      </c>
      <c r="D154" t="s">
        <v>175</v>
      </c>
      <c r="E154" t="s">
        <v>204</v>
      </c>
      <c r="F154" t="s">
        <v>204</v>
      </c>
      <c r="G154" t="s">
        <v>94</v>
      </c>
      <c r="H154" t="s">
        <v>81</v>
      </c>
      <c r="L154">
        <v>29</v>
      </c>
      <c r="M154" t="s">
        <v>83</v>
      </c>
      <c r="O154" t="s">
        <v>83</v>
      </c>
      <c r="P154" t="s">
        <v>84</v>
      </c>
    </row>
    <row r="155" spans="1:16">
      <c r="A155" t="s">
        <v>783</v>
      </c>
      <c r="B155" t="s">
        <v>77</v>
      </c>
      <c r="C155" t="s">
        <v>175</v>
      </c>
      <c r="D155" t="s">
        <v>175</v>
      </c>
      <c r="E155" t="s">
        <v>205</v>
      </c>
      <c r="F155" t="s">
        <v>205</v>
      </c>
      <c r="G155" t="s">
        <v>92</v>
      </c>
      <c r="H155" t="s">
        <v>81</v>
      </c>
      <c r="L155">
        <v>30</v>
      </c>
      <c r="M155" t="s">
        <v>83</v>
      </c>
      <c r="O155" t="s">
        <v>83</v>
      </c>
      <c r="P155" t="s">
        <v>84</v>
      </c>
    </row>
    <row r="156" spans="1:16">
      <c r="A156" t="s">
        <v>783</v>
      </c>
      <c r="B156" t="s">
        <v>77</v>
      </c>
      <c r="C156" t="s">
        <v>175</v>
      </c>
      <c r="D156" t="s">
        <v>175</v>
      </c>
      <c r="E156" t="s">
        <v>206</v>
      </c>
      <c r="F156" t="s">
        <v>206</v>
      </c>
      <c r="G156" t="s">
        <v>180</v>
      </c>
      <c r="H156" t="s">
        <v>81</v>
      </c>
      <c r="L156">
        <v>31</v>
      </c>
      <c r="M156" t="s">
        <v>83</v>
      </c>
      <c r="O156" t="s">
        <v>83</v>
      </c>
      <c r="P156" t="s">
        <v>84</v>
      </c>
    </row>
    <row r="157" spans="1:16">
      <c r="A157" t="s">
        <v>783</v>
      </c>
      <c r="B157" t="s">
        <v>77</v>
      </c>
      <c r="C157" t="s">
        <v>175</v>
      </c>
      <c r="D157" t="s">
        <v>175</v>
      </c>
      <c r="E157" t="s">
        <v>207</v>
      </c>
      <c r="F157" t="s">
        <v>207</v>
      </c>
      <c r="G157" t="s">
        <v>126</v>
      </c>
      <c r="H157" t="s">
        <v>81</v>
      </c>
      <c r="L157">
        <v>32</v>
      </c>
      <c r="M157" t="s">
        <v>83</v>
      </c>
      <c r="O157" t="s">
        <v>83</v>
      </c>
      <c r="P157" t="s">
        <v>84</v>
      </c>
    </row>
    <row r="158" spans="1:16">
      <c r="A158" t="s">
        <v>783</v>
      </c>
      <c r="B158" t="s">
        <v>77</v>
      </c>
      <c r="C158" t="s">
        <v>175</v>
      </c>
      <c r="D158" t="s">
        <v>175</v>
      </c>
      <c r="E158" t="s">
        <v>208</v>
      </c>
      <c r="F158" t="s">
        <v>208</v>
      </c>
      <c r="G158" t="s">
        <v>209</v>
      </c>
      <c r="H158" t="s">
        <v>81</v>
      </c>
      <c r="L158">
        <v>33</v>
      </c>
      <c r="M158" t="s">
        <v>83</v>
      </c>
      <c r="O158" t="s">
        <v>83</v>
      </c>
      <c r="P158" t="s">
        <v>84</v>
      </c>
    </row>
    <row r="159" spans="1:16">
      <c r="A159" t="s">
        <v>783</v>
      </c>
      <c r="B159" t="s">
        <v>77</v>
      </c>
      <c r="C159" t="s">
        <v>175</v>
      </c>
      <c r="D159" t="s">
        <v>175</v>
      </c>
      <c r="E159" t="s">
        <v>210</v>
      </c>
      <c r="F159" t="s">
        <v>210</v>
      </c>
      <c r="G159" t="s">
        <v>88</v>
      </c>
      <c r="H159" t="s">
        <v>81</v>
      </c>
      <c r="L159">
        <v>34</v>
      </c>
      <c r="M159" t="s">
        <v>83</v>
      </c>
      <c r="O159" t="s">
        <v>83</v>
      </c>
      <c r="P159" t="s">
        <v>84</v>
      </c>
    </row>
    <row r="160" spans="1:16">
      <c r="A160" t="s">
        <v>783</v>
      </c>
      <c r="B160" t="s">
        <v>77</v>
      </c>
      <c r="C160" t="s">
        <v>175</v>
      </c>
      <c r="D160" t="s">
        <v>175</v>
      </c>
      <c r="E160" t="s">
        <v>211</v>
      </c>
      <c r="F160" t="s">
        <v>211</v>
      </c>
      <c r="G160" t="s">
        <v>98</v>
      </c>
      <c r="H160" t="s">
        <v>81</v>
      </c>
      <c r="L160">
        <v>35</v>
      </c>
      <c r="M160" t="s">
        <v>83</v>
      </c>
      <c r="O160" t="s">
        <v>83</v>
      </c>
      <c r="P160" t="s">
        <v>84</v>
      </c>
    </row>
    <row r="161" spans="1:16">
      <c r="A161" t="s">
        <v>783</v>
      </c>
      <c r="B161" t="s">
        <v>77</v>
      </c>
      <c r="C161" t="s">
        <v>175</v>
      </c>
      <c r="D161" t="s">
        <v>175</v>
      </c>
      <c r="E161" t="s">
        <v>212</v>
      </c>
      <c r="F161" t="s">
        <v>212</v>
      </c>
      <c r="G161" t="s">
        <v>180</v>
      </c>
      <c r="H161" t="s">
        <v>81</v>
      </c>
      <c r="L161">
        <v>36</v>
      </c>
      <c r="M161" t="s">
        <v>83</v>
      </c>
      <c r="O161" t="s">
        <v>83</v>
      </c>
      <c r="P161" t="s">
        <v>84</v>
      </c>
    </row>
    <row r="162" spans="1:16">
      <c r="A162" t="s">
        <v>783</v>
      </c>
      <c r="B162" t="s">
        <v>77</v>
      </c>
      <c r="C162" t="s">
        <v>175</v>
      </c>
      <c r="D162" t="s">
        <v>175</v>
      </c>
      <c r="E162" t="s">
        <v>213</v>
      </c>
      <c r="F162" t="s">
        <v>213</v>
      </c>
      <c r="G162" t="s">
        <v>88</v>
      </c>
      <c r="H162" t="s">
        <v>81</v>
      </c>
      <c r="L162">
        <v>37</v>
      </c>
      <c r="M162" t="s">
        <v>83</v>
      </c>
      <c r="O162" t="s">
        <v>83</v>
      </c>
      <c r="P162" t="s">
        <v>84</v>
      </c>
    </row>
    <row r="163" spans="1:16">
      <c r="A163" t="s">
        <v>783</v>
      </c>
      <c r="B163" t="s">
        <v>77</v>
      </c>
      <c r="C163" t="s">
        <v>175</v>
      </c>
      <c r="D163" t="s">
        <v>175</v>
      </c>
      <c r="E163" t="s">
        <v>112</v>
      </c>
      <c r="F163" t="s">
        <v>112</v>
      </c>
      <c r="G163" t="s">
        <v>113</v>
      </c>
      <c r="H163" t="s">
        <v>81</v>
      </c>
      <c r="I163" t="s">
        <v>114</v>
      </c>
      <c r="L163">
        <v>38</v>
      </c>
      <c r="M163" t="s">
        <v>83</v>
      </c>
      <c r="O163" t="s">
        <v>83</v>
      </c>
      <c r="P163" t="s">
        <v>84</v>
      </c>
    </row>
    <row r="164" spans="1:16">
      <c r="A164" t="s">
        <v>783</v>
      </c>
      <c r="B164" t="s">
        <v>77</v>
      </c>
      <c r="C164" t="s">
        <v>175</v>
      </c>
      <c r="D164" t="s">
        <v>175</v>
      </c>
      <c r="E164" t="s">
        <v>115</v>
      </c>
      <c r="F164" t="s">
        <v>115</v>
      </c>
      <c r="G164" t="s">
        <v>113</v>
      </c>
      <c r="H164" t="s">
        <v>81</v>
      </c>
      <c r="I164" t="s">
        <v>114</v>
      </c>
      <c r="L164">
        <v>39</v>
      </c>
      <c r="M164" t="s">
        <v>83</v>
      </c>
      <c r="O164" t="s">
        <v>83</v>
      </c>
      <c r="P164" t="s">
        <v>84</v>
      </c>
    </row>
    <row r="165" spans="1:16">
      <c r="A165" t="s">
        <v>783</v>
      </c>
      <c r="B165" t="s">
        <v>77</v>
      </c>
      <c r="C165" t="s">
        <v>175</v>
      </c>
      <c r="D165" t="s">
        <v>175</v>
      </c>
      <c r="E165" t="s">
        <v>214</v>
      </c>
      <c r="F165" t="s">
        <v>214</v>
      </c>
      <c r="G165" t="s">
        <v>90</v>
      </c>
      <c r="H165" t="s">
        <v>81</v>
      </c>
      <c r="J165" t="s">
        <v>83</v>
      </c>
      <c r="L165">
        <v>46</v>
      </c>
      <c r="M165" t="s">
        <v>83</v>
      </c>
      <c r="O165" t="s">
        <v>83</v>
      </c>
      <c r="P165" t="s">
        <v>84</v>
      </c>
    </row>
    <row r="166" spans="1:16">
      <c r="A166" t="s">
        <v>783</v>
      </c>
      <c r="B166" t="s">
        <v>77</v>
      </c>
      <c r="C166" t="s">
        <v>175</v>
      </c>
      <c r="D166" t="s">
        <v>175</v>
      </c>
      <c r="E166" t="s">
        <v>116</v>
      </c>
      <c r="F166" t="s">
        <v>116</v>
      </c>
      <c r="G166" t="s">
        <v>90</v>
      </c>
      <c r="H166" t="s">
        <v>81</v>
      </c>
      <c r="L166">
        <v>47</v>
      </c>
      <c r="M166" t="s">
        <v>83</v>
      </c>
      <c r="O166" t="s">
        <v>83</v>
      </c>
      <c r="P166" t="s">
        <v>84</v>
      </c>
    </row>
    <row r="167" spans="1:16">
      <c r="A167" t="s">
        <v>783</v>
      </c>
      <c r="B167" t="s">
        <v>77</v>
      </c>
      <c r="C167" t="s">
        <v>175</v>
      </c>
      <c r="D167" t="s">
        <v>175</v>
      </c>
      <c r="E167" t="s">
        <v>117</v>
      </c>
      <c r="F167" t="s">
        <v>117</v>
      </c>
      <c r="G167" t="s">
        <v>90</v>
      </c>
      <c r="H167" t="s">
        <v>81</v>
      </c>
      <c r="L167">
        <v>48</v>
      </c>
      <c r="M167" t="s">
        <v>83</v>
      </c>
      <c r="O167" t="s">
        <v>83</v>
      </c>
      <c r="P167" t="s">
        <v>84</v>
      </c>
    </row>
    <row r="168" spans="1:16">
      <c r="A168" t="s">
        <v>783</v>
      </c>
      <c r="B168" t="s">
        <v>77</v>
      </c>
      <c r="C168" t="s">
        <v>175</v>
      </c>
      <c r="D168" t="s">
        <v>175</v>
      </c>
      <c r="E168" t="s">
        <v>215</v>
      </c>
      <c r="F168" t="s">
        <v>215</v>
      </c>
      <c r="G168" t="s">
        <v>90</v>
      </c>
      <c r="H168" t="s">
        <v>81</v>
      </c>
      <c r="L168">
        <v>49</v>
      </c>
      <c r="M168" t="s">
        <v>83</v>
      </c>
      <c r="O168" t="s">
        <v>83</v>
      </c>
      <c r="P168" t="s">
        <v>84</v>
      </c>
    </row>
    <row r="169" spans="1:16">
      <c r="A169" t="s">
        <v>783</v>
      </c>
      <c r="B169" t="s">
        <v>77</v>
      </c>
      <c r="C169" t="s">
        <v>175</v>
      </c>
      <c r="D169" t="s">
        <v>175</v>
      </c>
      <c r="E169" t="s">
        <v>118</v>
      </c>
      <c r="F169" t="s">
        <v>118</v>
      </c>
      <c r="G169" t="s">
        <v>92</v>
      </c>
      <c r="H169" t="s">
        <v>81</v>
      </c>
      <c r="L169">
        <v>50</v>
      </c>
      <c r="M169" t="s">
        <v>83</v>
      </c>
      <c r="O169" t="s">
        <v>83</v>
      </c>
      <c r="P169" t="s">
        <v>84</v>
      </c>
    </row>
    <row r="170" spans="1:16">
      <c r="A170" t="s">
        <v>783</v>
      </c>
      <c r="B170" t="s">
        <v>77</v>
      </c>
      <c r="C170" t="s">
        <v>175</v>
      </c>
      <c r="D170" t="s">
        <v>175</v>
      </c>
      <c r="E170" t="s">
        <v>216</v>
      </c>
      <c r="F170" t="s">
        <v>216</v>
      </c>
      <c r="G170" t="s">
        <v>217</v>
      </c>
      <c r="H170" t="s">
        <v>81</v>
      </c>
      <c r="L170">
        <v>51</v>
      </c>
      <c r="M170" t="s">
        <v>83</v>
      </c>
      <c r="O170" t="s">
        <v>83</v>
      </c>
      <c r="P170" t="s">
        <v>84</v>
      </c>
    </row>
    <row r="171" spans="1:16">
      <c r="A171" t="s">
        <v>783</v>
      </c>
      <c r="B171" t="s">
        <v>77</v>
      </c>
      <c r="C171" t="s">
        <v>175</v>
      </c>
      <c r="D171" t="s">
        <v>175</v>
      </c>
      <c r="E171" t="s">
        <v>784</v>
      </c>
      <c r="F171" t="s">
        <v>784</v>
      </c>
      <c r="G171" t="s">
        <v>80</v>
      </c>
      <c r="H171" t="s">
        <v>81</v>
      </c>
      <c r="I171" t="s">
        <v>82</v>
      </c>
      <c r="L171">
        <v>52</v>
      </c>
      <c r="M171" t="s">
        <v>83</v>
      </c>
      <c r="O171" t="s">
        <v>83</v>
      </c>
      <c r="P171" t="s">
        <v>84</v>
      </c>
    </row>
    <row r="172" spans="1:16">
      <c r="A172" t="s">
        <v>783</v>
      </c>
      <c r="B172" t="s">
        <v>77</v>
      </c>
      <c r="C172" t="s">
        <v>175</v>
      </c>
      <c r="D172" t="s">
        <v>175</v>
      </c>
      <c r="E172" t="s">
        <v>785</v>
      </c>
      <c r="F172" t="s">
        <v>785</v>
      </c>
      <c r="G172" t="s">
        <v>80</v>
      </c>
      <c r="H172" t="s">
        <v>81</v>
      </c>
      <c r="I172" t="s">
        <v>82</v>
      </c>
      <c r="L172">
        <v>53</v>
      </c>
      <c r="M172" t="s">
        <v>83</v>
      </c>
      <c r="O172" t="s">
        <v>83</v>
      </c>
      <c r="P172" t="s">
        <v>84</v>
      </c>
    </row>
    <row r="173" spans="1:16">
      <c r="A173" t="s">
        <v>783</v>
      </c>
      <c r="B173" t="s">
        <v>77</v>
      </c>
      <c r="C173" t="s">
        <v>175</v>
      </c>
      <c r="D173" t="s">
        <v>175</v>
      </c>
      <c r="E173" t="s">
        <v>786</v>
      </c>
      <c r="F173" t="s">
        <v>786</v>
      </c>
      <c r="G173" t="s">
        <v>787</v>
      </c>
      <c r="H173" t="s">
        <v>81</v>
      </c>
      <c r="L173">
        <v>54</v>
      </c>
      <c r="M173" t="s">
        <v>83</v>
      </c>
      <c r="O173" t="s">
        <v>83</v>
      </c>
      <c r="P173" t="s">
        <v>84</v>
      </c>
    </row>
    <row r="174" spans="1:16">
      <c r="A174" t="s">
        <v>783</v>
      </c>
      <c r="B174" t="s">
        <v>77</v>
      </c>
      <c r="C174" t="s">
        <v>219</v>
      </c>
      <c r="D174" t="s">
        <v>219</v>
      </c>
      <c r="E174" t="s">
        <v>79</v>
      </c>
      <c r="F174" t="s">
        <v>79</v>
      </c>
      <c r="G174" t="s">
        <v>80</v>
      </c>
      <c r="H174" t="s">
        <v>81</v>
      </c>
      <c r="I174" t="s">
        <v>82</v>
      </c>
      <c r="L174">
        <v>1</v>
      </c>
      <c r="M174" t="s">
        <v>83</v>
      </c>
      <c r="O174" t="s">
        <v>83</v>
      </c>
      <c r="P174" t="s">
        <v>84</v>
      </c>
    </row>
    <row r="175" spans="1:16">
      <c r="A175" t="s">
        <v>783</v>
      </c>
      <c r="B175" t="s">
        <v>77</v>
      </c>
      <c r="C175" t="s">
        <v>219</v>
      </c>
      <c r="D175" t="s">
        <v>219</v>
      </c>
      <c r="E175" t="s">
        <v>86</v>
      </c>
      <c r="F175" t="s">
        <v>86</v>
      </c>
      <c r="G175" t="s">
        <v>80</v>
      </c>
      <c r="H175" t="s">
        <v>81</v>
      </c>
      <c r="I175" t="s">
        <v>82</v>
      </c>
      <c r="L175">
        <v>2</v>
      </c>
      <c r="M175" t="s">
        <v>83</v>
      </c>
      <c r="O175" t="s">
        <v>83</v>
      </c>
      <c r="P175" t="s">
        <v>84</v>
      </c>
    </row>
    <row r="176" spans="1:16">
      <c r="A176" t="s">
        <v>783</v>
      </c>
      <c r="B176" t="s">
        <v>77</v>
      </c>
      <c r="C176" t="s">
        <v>219</v>
      </c>
      <c r="D176" t="s">
        <v>219</v>
      </c>
      <c r="E176" t="s">
        <v>87</v>
      </c>
      <c r="F176" t="s">
        <v>87</v>
      </c>
      <c r="G176" t="s">
        <v>88</v>
      </c>
      <c r="H176" t="s">
        <v>81</v>
      </c>
      <c r="J176" t="s">
        <v>83</v>
      </c>
      <c r="L176">
        <v>3</v>
      </c>
      <c r="M176" t="s">
        <v>83</v>
      </c>
      <c r="O176" t="s">
        <v>83</v>
      </c>
      <c r="P176" t="s">
        <v>84</v>
      </c>
    </row>
    <row r="177" spans="1:16">
      <c r="A177" t="s">
        <v>783</v>
      </c>
      <c r="B177" t="s">
        <v>77</v>
      </c>
      <c r="C177" t="s">
        <v>219</v>
      </c>
      <c r="D177" t="s">
        <v>219</v>
      </c>
      <c r="E177" t="s">
        <v>89</v>
      </c>
      <c r="F177" t="s">
        <v>89</v>
      </c>
      <c r="G177" t="s">
        <v>90</v>
      </c>
      <c r="H177" t="s">
        <v>81</v>
      </c>
      <c r="J177" t="s">
        <v>83</v>
      </c>
      <c r="K177" t="s">
        <v>83</v>
      </c>
      <c r="L177">
        <v>4</v>
      </c>
      <c r="M177" t="s">
        <v>83</v>
      </c>
      <c r="O177" t="s">
        <v>83</v>
      </c>
      <c r="P177" t="s">
        <v>84</v>
      </c>
    </row>
    <row r="178" spans="1:16">
      <c r="A178" t="s">
        <v>783</v>
      </c>
      <c r="B178" t="s">
        <v>77</v>
      </c>
      <c r="C178" t="s">
        <v>219</v>
      </c>
      <c r="D178" t="s">
        <v>219</v>
      </c>
      <c r="E178" t="s">
        <v>91</v>
      </c>
      <c r="F178" t="s">
        <v>91</v>
      </c>
      <c r="G178" t="s">
        <v>92</v>
      </c>
      <c r="H178" t="s">
        <v>81</v>
      </c>
      <c r="J178" t="s">
        <v>83</v>
      </c>
      <c r="L178">
        <v>5</v>
      </c>
      <c r="M178" t="s">
        <v>83</v>
      </c>
      <c r="O178" t="s">
        <v>83</v>
      </c>
      <c r="P178" t="s">
        <v>84</v>
      </c>
    </row>
    <row r="179" spans="1:16">
      <c r="A179" t="s">
        <v>783</v>
      </c>
      <c r="B179" t="s">
        <v>77</v>
      </c>
      <c r="C179" t="s">
        <v>219</v>
      </c>
      <c r="D179" t="s">
        <v>219</v>
      </c>
      <c r="E179" t="s">
        <v>220</v>
      </c>
      <c r="F179" t="s">
        <v>220</v>
      </c>
      <c r="G179" t="s">
        <v>94</v>
      </c>
      <c r="H179" t="s">
        <v>81</v>
      </c>
      <c r="L179">
        <v>6</v>
      </c>
      <c r="M179" t="s">
        <v>83</v>
      </c>
      <c r="O179" t="s">
        <v>83</v>
      </c>
      <c r="P179" t="s">
        <v>84</v>
      </c>
    </row>
    <row r="180" spans="1:16">
      <c r="A180" t="s">
        <v>783</v>
      </c>
      <c r="B180" t="s">
        <v>77</v>
      </c>
      <c r="C180" t="s">
        <v>219</v>
      </c>
      <c r="D180" t="s">
        <v>219</v>
      </c>
      <c r="E180" t="s">
        <v>221</v>
      </c>
      <c r="F180" t="s">
        <v>221</v>
      </c>
      <c r="G180" t="s">
        <v>88</v>
      </c>
      <c r="H180" t="s">
        <v>81</v>
      </c>
      <c r="L180">
        <v>7</v>
      </c>
      <c r="M180" t="s">
        <v>83</v>
      </c>
      <c r="O180" t="s">
        <v>83</v>
      </c>
      <c r="P180" t="s">
        <v>84</v>
      </c>
    </row>
    <row r="181" spans="1:16">
      <c r="A181" t="s">
        <v>783</v>
      </c>
      <c r="B181" t="s">
        <v>77</v>
      </c>
      <c r="C181" t="s">
        <v>219</v>
      </c>
      <c r="D181" t="s">
        <v>219</v>
      </c>
      <c r="E181" t="s">
        <v>222</v>
      </c>
      <c r="F181" t="s">
        <v>222</v>
      </c>
      <c r="G181" t="s">
        <v>94</v>
      </c>
      <c r="H181" t="s">
        <v>81</v>
      </c>
      <c r="L181">
        <v>8</v>
      </c>
      <c r="M181" t="s">
        <v>83</v>
      </c>
      <c r="O181" t="s">
        <v>83</v>
      </c>
      <c r="P181" t="s">
        <v>84</v>
      </c>
    </row>
    <row r="182" spans="1:16">
      <c r="A182" t="s">
        <v>783</v>
      </c>
      <c r="B182" t="s">
        <v>77</v>
      </c>
      <c r="C182" t="s">
        <v>219</v>
      </c>
      <c r="D182" t="s">
        <v>219</v>
      </c>
      <c r="E182" t="s">
        <v>223</v>
      </c>
      <c r="F182" t="s">
        <v>223</v>
      </c>
      <c r="G182" t="s">
        <v>80</v>
      </c>
      <c r="H182" t="s">
        <v>81</v>
      </c>
      <c r="I182" t="s">
        <v>82</v>
      </c>
      <c r="L182">
        <v>9</v>
      </c>
      <c r="M182" t="s">
        <v>83</v>
      </c>
      <c r="O182" t="s">
        <v>83</v>
      </c>
      <c r="P182" t="s">
        <v>84</v>
      </c>
    </row>
    <row r="183" spans="1:16">
      <c r="A183" t="s">
        <v>783</v>
      </c>
      <c r="B183" t="s">
        <v>77</v>
      </c>
      <c r="C183" t="s">
        <v>219</v>
      </c>
      <c r="D183" t="s">
        <v>219</v>
      </c>
      <c r="E183" t="s">
        <v>224</v>
      </c>
      <c r="F183" t="s">
        <v>224</v>
      </c>
      <c r="G183" t="s">
        <v>90</v>
      </c>
      <c r="H183" t="s">
        <v>81</v>
      </c>
      <c r="L183">
        <v>10</v>
      </c>
      <c r="M183" t="s">
        <v>83</v>
      </c>
      <c r="O183" t="s">
        <v>83</v>
      </c>
      <c r="P183" t="s">
        <v>84</v>
      </c>
    </row>
    <row r="184" spans="1:16">
      <c r="A184" t="s">
        <v>783</v>
      </c>
      <c r="B184" t="s">
        <v>77</v>
      </c>
      <c r="C184" t="s">
        <v>219</v>
      </c>
      <c r="D184" t="s">
        <v>219</v>
      </c>
      <c r="E184" t="s">
        <v>225</v>
      </c>
      <c r="F184" t="s">
        <v>225</v>
      </c>
      <c r="G184" t="s">
        <v>80</v>
      </c>
      <c r="H184" t="s">
        <v>81</v>
      </c>
      <c r="I184" t="s">
        <v>82</v>
      </c>
      <c r="L184">
        <v>11</v>
      </c>
      <c r="M184" t="s">
        <v>83</v>
      </c>
      <c r="O184" t="s">
        <v>83</v>
      </c>
      <c r="P184" t="s">
        <v>84</v>
      </c>
    </row>
    <row r="185" spans="1:16">
      <c r="A185" t="s">
        <v>783</v>
      </c>
      <c r="B185" t="s">
        <v>77</v>
      </c>
      <c r="C185" t="s">
        <v>219</v>
      </c>
      <c r="D185" t="s">
        <v>219</v>
      </c>
      <c r="E185" t="s">
        <v>226</v>
      </c>
      <c r="F185" t="s">
        <v>226</v>
      </c>
      <c r="G185" t="s">
        <v>90</v>
      </c>
      <c r="H185" t="s">
        <v>81</v>
      </c>
      <c r="L185">
        <v>12</v>
      </c>
      <c r="M185" t="s">
        <v>83</v>
      </c>
      <c r="O185" t="s">
        <v>83</v>
      </c>
      <c r="P185" t="s">
        <v>84</v>
      </c>
    </row>
    <row r="186" spans="1:16">
      <c r="A186" t="s">
        <v>783</v>
      </c>
      <c r="B186" t="s">
        <v>77</v>
      </c>
      <c r="C186" t="s">
        <v>219</v>
      </c>
      <c r="D186" t="s">
        <v>219</v>
      </c>
      <c r="E186" t="s">
        <v>112</v>
      </c>
      <c r="F186" t="s">
        <v>112</v>
      </c>
      <c r="G186" t="s">
        <v>113</v>
      </c>
      <c r="H186" t="s">
        <v>81</v>
      </c>
      <c r="I186" t="s">
        <v>114</v>
      </c>
      <c r="L186">
        <v>13</v>
      </c>
      <c r="M186" t="s">
        <v>83</v>
      </c>
      <c r="O186" t="s">
        <v>83</v>
      </c>
      <c r="P186" t="s">
        <v>84</v>
      </c>
    </row>
    <row r="187" spans="1:16">
      <c r="A187" t="s">
        <v>783</v>
      </c>
      <c r="B187" t="s">
        <v>77</v>
      </c>
      <c r="C187" t="s">
        <v>219</v>
      </c>
      <c r="D187" t="s">
        <v>219</v>
      </c>
      <c r="E187" t="s">
        <v>115</v>
      </c>
      <c r="F187" t="s">
        <v>115</v>
      </c>
      <c r="G187" t="s">
        <v>113</v>
      </c>
      <c r="H187" t="s">
        <v>81</v>
      </c>
      <c r="I187" t="s">
        <v>114</v>
      </c>
      <c r="L187">
        <v>14</v>
      </c>
      <c r="M187" t="s">
        <v>83</v>
      </c>
      <c r="O187" t="s">
        <v>83</v>
      </c>
      <c r="P187" t="s">
        <v>84</v>
      </c>
    </row>
    <row r="188" spans="1:16">
      <c r="A188" t="s">
        <v>783</v>
      </c>
      <c r="B188" t="s">
        <v>77</v>
      </c>
      <c r="C188" t="s">
        <v>219</v>
      </c>
      <c r="D188" t="s">
        <v>219</v>
      </c>
      <c r="E188" t="s">
        <v>117</v>
      </c>
      <c r="F188" t="s">
        <v>117</v>
      </c>
      <c r="G188" t="s">
        <v>90</v>
      </c>
      <c r="H188" t="s">
        <v>81</v>
      </c>
      <c r="L188">
        <v>21</v>
      </c>
      <c r="M188" t="s">
        <v>83</v>
      </c>
      <c r="O188" t="s">
        <v>83</v>
      </c>
      <c r="P188" t="s">
        <v>84</v>
      </c>
    </row>
    <row r="189" spans="1:16">
      <c r="A189" t="s">
        <v>783</v>
      </c>
      <c r="B189" t="s">
        <v>77</v>
      </c>
      <c r="C189" t="s">
        <v>219</v>
      </c>
      <c r="D189" t="s">
        <v>219</v>
      </c>
      <c r="E189" t="s">
        <v>118</v>
      </c>
      <c r="F189" t="s">
        <v>118</v>
      </c>
      <c r="G189" t="s">
        <v>92</v>
      </c>
      <c r="H189" t="s">
        <v>81</v>
      </c>
      <c r="L189">
        <v>22</v>
      </c>
      <c r="M189" t="s">
        <v>83</v>
      </c>
      <c r="O189" t="s">
        <v>83</v>
      </c>
      <c r="P189" t="s">
        <v>84</v>
      </c>
    </row>
    <row r="190" spans="1:16">
      <c r="A190" t="s">
        <v>783</v>
      </c>
      <c r="B190" t="s">
        <v>77</v>
      </c>
      <c r="C190" t="s">
        <v>219</v>
      </c>
      <c r="D190" t="s">
        <v>219</v>
      </c>
      <c r="E190" t="s">
        <v>784</v>
      </c>
      <c r="F190" t="s">
        <v>784</v>
      </c>
      <c r="G190" t="s">
        <v>80</v>
      </c>
      <c r="H190" t="s">
        <v>81</v>
      </c>
      <c r="I190" t="s">
        <v>82</v>
      </c>
      <c r="L190">
        <v>23</v>
      </c>
      <c r="M190" t="s">
        <v>83</v>
      </c>
      <c r="O190" t="s">
        <v>83</v>
      </c>
      <c r="P190" t="s">
        <v>84</v>
      </c>
    </row>
    <row r="191" spans="1:16">
      <c r="A191" t="s">
        <v>783</v>
      </c>
      <c r="B191" t="s">
        <v>77</v>
      </c>
      <c r="C191" t="s">
        <v>219</v>
      </c>
      <c r="D191" t="s">
        <v>219</v>
      </c>
      <c r="E191" t="s">
        <v>785</v>
      </c>
      <c r="F191" t="s">
        <v>785</v>
      </c>
      <c r="G191" t="s">
        <v>80</v>
      </c>
      <c r="H191" t="s">
        <v>81</v>
      </c>
      <c r="I191" t="s">
        <v>82</v>
      </c>
      <c r="L191">
        <v>24</v>
      </c>
      <c r="M191" t="s">
        <v>83</v>
      </c>
      <c r="O191" t="s">
        <v>83</v>
      </c>
      <c r="P191" t="s">
        <v>84</v>
      </c>
    </row>
    <row r="192" spans="1:16">
      <c r="A192" t="s">
        <v>783</v>
      </c>
      <c r="B192" t="s">
        <v>77</v>
      </c>
      <c r="C192" t="s">
        <v>219</v>
      </c>
      <c r="D192" t="s">
        <v>219</v>
      </c>
      <c r="E192" t="s">
        <v>786</v>
      </c>
      <c r="F192" t="s">
        <v>786</v>
      </c>
      <c r="G192" t="s">
        <v>787</v>
      </c>
      <c r="H192" t="s">
        <v>81</v>
      </c>
      <c r="L192">
        <v>25</v>
      </c>
      <c r="M192" t="s">
        <v>83</v>
      </c>
      <c r="O192" t="s">
        <v>83</v>
      </c>
      <c r="P192" t="s">
        <v>84</v>
      </c>
    </row>
    <row r="193" spans="1:16">
      <c r="A193" t="s">
        <v>783</v>
      </c>
      <c r="B193" t="s">
        <v>77</v>
      </c>
      <c r="C193" t="s">
        <v>227</v>
      </c>
      <c r="D193" t="s">
        <v>227</v>
      </c>
      <c r="E193" t="s">
        <v>79</v>
      </c>
      <c r="F193" t="s">
        <v>79</v>
      </c>
      <c r="G193" t="s">
        <v>80</v>
      </c>
      <c r="H193" t="s">
        <v>81</v>
      </c>
      <c r="I193" t="s">
        <v>82</v>
      </c>
      <c r="L193">
        <v>1</v>
      </c>
      <c r="M193" t="s">
        <v>83</v>
      </c>
      <c r="O193" t="s">
        <v>83</v>
      </c>
      <c r="P193" t="s">
        <v>84</v>
      </c>
    </row>
    <row r="194" spans="1:16">
      <c r="A194" t="s">
        <v>783</v>
      </c>
      <c r="B194" t="s">
        <v>77</v>
      </c>
      <c r="C194" t="s">
        <v>227</v>
      </c>
      <c r="D194" t="s">
        <v>227</v>
      </c>
      <c r="E194" t="s">
        <v>86</v>
      </c>
      <c r="F194" t="s">
        <v>86</v>
      </c>
      <c r="G194" t="s">
        <v>80</v>
      </c>
      <c r="H194" t="s">
        <v>81</v>
      </c>
      <c r="I194" t="s">
        <v>82</v>
      </c>
      <c r="L194">
        <v>2</v>
      </c>
      <c r="M194" t="s">
        <v>83</v>
      </c>
      <c r="O194" t="s">
        <v>83</v>
      </c>
      <c r="P194" t="s">
        <v>84</v>
      </c>
    </row>
    <row r="195" spans="1:16">
      <c r="A195" t="s">
        <v>783</v>
      </c>
      <c r="B195" t="s">
        <v>77</v>
      </c>
      <c r="C195" t="s">
        <v>227</v>
      </c>
      <c r="D195" t="s">
        <v>227</v>
      </c>
      <c r="E195" t="s">
        <v>87</v>
      </c>
      <c r="F195" t="s">
        <v>87</v>
      </c>
      <c r="G195" t="s">
        <v>88</v>
      </c>
      <c r="H195" t="s">
        <v>81</v>
      </c>
      <c r="J195" t="s">
        <v>83</v>
      </c>
      <c r="L195">
        <v>3</v>
      </c>
      <c r="M195" t="s">
        <v>83</v>
      </c>
      <c r="O195" t="s">
        <v>83</v>
      </c>
      <c r="P195" t="s">
        <v>84</v>
      </c>
    </row>
    <row r="196" spans="1:16">
      <c r="A196" t="s">
        <v>783</v>
      </c>
      <c r="B196" t="s">
        <v>77</v>
      </c>
      <c r="C196" t="s">
        <v>227</v>
      </c>
      <c r="D196" t="s">
        <v>227</v>
      </c>
      <c r="E196" t="s">
        <v>89</v>
      </c>
      <c r="F196" t="s">
        <v>89</v>
      </c>
      <c r="G196" t="s">
        <v>90</v>
      </c>
      <c r="H196" t="s">
        <v>81</v>
      </c>
      <c r="J196" t="s">
        <v>83</v>
      </c>
      <c r="K196" t="s">
        <v>83</v>
      </c>
      <c r="L196">
        <v>4</v>
      </c>
      <c r="M196" t="s">
        <v>83</v>
      </c>
      <c r="O196" t="s">
        <v>83</v>
      </c>
      <c r="P196" t="s">
        <v>84</v>
      </c>
    </row>
    <row r="197" spans="1:16">
      <c r="A197" t="s">
        <v>783</v>
      </c>
      <c r="B197" t="s">
        <v>77</v>
      </c>
      <c r="C197" t="s">
        <v>227</v>
      </c>
      <c r="D197" t="s">
        <v>227</v>
      </c>
      <c r="E197" t="s">
        <v>228</v>
      </c>
      <c r="F197" t="s">
        <v>228</v>
      </c>
      <c r="G197" t="s">
        <v>80</v>
      </c>
      <c r="H197" t="s">
        <v>81</v>
      </c>
      <c r="I197" t="s">
        <v>82</v>
      </c>
      <c r="L197">
        <v>5</v>
      </c>
      <c r="M197" t="s">
        <v>83</v>
      </c>
      <c r="O197" t="s">
        <v>83</v>
      </c>
      <c r="P197" t="s">
        <v>84</v>
      </c>
    </row>
    <row r="198" spans="1:16">
      <c r="A198" t="s">
        <v>783</v>
      </c>
      <c r="B198" t="s">
        <v>77</v>
      </c>
      <c r="C198" t="s">
        <v>227</v>
      </c>
      <c r="D198" t="s">
        <v>227</v>
      </c>
      <c r="E198" t="s">
        <v>229</v>
      </c>
      <c r="F198" t="s">
        <v>229</v>
      </c>
      <c r="G198" t="s">
        <v>90</v>
      </c>
      <c r="H198" t="s">
        <v>81</v>
      </c>
      <c r="L198">
        <v>6</v>
      </c>
      <c r="M198" t="s">
        <v>83</v>
      </c>
      <c r="O198" t="s">
        <v>83</v>
      </c>
      <c r="P198" t="s">
        <v>84</v>
      </c>
    </row>
    <row r="199" spans="1:16">
      <c r="A199" t="s">
        <v>783</v>
      </c>
      <c r="B199" t="s">
        <v>77</v>
      </c>
      <c r="C199" t="s">
        <v>227</v>
      </c>
      <c r="D199" t="s">
        <v>227</v>
      </c>
      <c r="E199" t="s">
        <v>230</v>
      </c>
      <c r="F199" t="s">
        <v>230</v>
      </c>
      <c r="G199" t="s">
        <v>94</v>
      </c>
      <c r="H199" t="s">
        <v>81</v>
      </c>
      <c r="L199">
        <v>7</v>
      </c>
      <c r="M199" t="s">
        <v>83</v>
      </c>
      <c r="O199" t="s">
        <v>83</v>
      </c>
      <c r="P199" t="s">
        <v>84</v>
      </c>
    </row>
    <row r="200" spans="1:16">
      <c r="A200" t="s">
        <v>783</v>
      </c>
      <c r="B200" t="s">
        <v>77</v>
      </c>
      <c r="C200" t="s">
        <v>227</v>
      </c>
      <c r="D200" t="s">
        <v>227</v>
      </c>
      <c r="E200" t="s">
        <v>91</v>
      </c>
      <c r="F200" t="s">
        <v>91</v>
      </c>
      <c r="G200" t="s">
        <v>92</v>
      </c>
      <c r="H200" t="s">
        <v>81</v>
      </c>
      <c r="J200" t="s">
        <v>83</v>
      </c>
      <c r="L200">
        <v>8</v>
      </c>
      <c r="M200" t="s">
        <v>83</v>
      </c>
      <c r="O200" t="s">
        <v>83</v>
      </c>
      <c r="P200" t="s">
        <v>84</v>
      </c>
    </row>
    <row r="201" spans="1:16">
      <c r="A201" t="s">
        <v>783</v>
      </c>
      <c r="B201" t="s">
        <v>77</v>
      </c>
      <c r="C201" t="s">
        <v>227</v>
      </c>
      <c r="D201" t="s">
        <v>227</v>
      </c>
      <c r="E201" t="s">
        <v>231</v>
      </c>
      <c r="F201" t="s">
        <v>231</v>
      </c>
      <c r="G201" t="s">
        <v>94</v>
      </c>
      <c r="H201" t="s">
        <v>81</v>
      </c>
      <c r="L201">
        <v>9</v>
      </c>
      <c r="M201" t="s">
        <v>83</v>
      </c>
      <c r="O201" t="s">
        <v>83</v>
      </c>
      <c r="P201" t="s">
        <v>84</v>
      </c>
    </row>
    <row r="202" spans="1:16">
      <c r="A202" t="s">
        <v>783</v>
      </c>
      <c r="B202" t="s">
        <v>77</v>
      </c>
      <c r="C202" t="s">
        <v>227</v>
      </c>
      <c r="D202" t="s">
        <v>227</v>
      </c>
      <c r="E202" t="s">
        <v>232</v>
      </c>
      <c r="F202" t="s">
        <v>232</v>
      </c>
      <c r="G202" t="s">
        <v>88</v>
      </c>
      <c r="H202" t="s">
        <v>81</v>
      </c>
      <c r="L202">
        <v>10</v>
      </c>
      <c r="M202" t="s">
        <v>83</v>
      </c>
      <c r="O202" t="s">
        <v>83</v>
      </c>
      <c r="P202" t="s">
        <v>84</v>
      </c>
    </row>
    <row r="203" spans="1:16">
      <c r="A203" t="s">
        <v>783</v>
      </c>
      <c r="B203" t="s">
        <v>77</v>
      </c>
      <c r="C203" t="s">
        <v>227</v>
      </c>
      <c r="D203" t="s">
        <v>227</v>
      </c>
      <c r="E203" t="s">
        <v>233</v>
      </c>
      <c r="F203" t="s">
        <v>233</v>
      </c>
      <c r="G203" t="s">
        <v>94</v>
      </c>
      <c r="H203" t="s">
        <v>81</v>
      </c>
      <c r="L203">
        <v>11</v>
      </c>
      <c r="M203" t="s">
        <v>83</v>
      </c>
      <c r="O203" t="s">
        <v>83</v>
      </c>
      <c r="P203" t="s">
        <v>84</v>
      </c>
    </row>
    <row r="204" spans="1:16">
      <c r="A204" t="s">
        <v>783</v>
      </c>
      <c r="B204" t="s">
        <v>77</v>
      </c>
      <c r="C204" t="s">
        <v>227</v>
      </c>
      <c r="D204" t="s">
        <v>227</v>
      </c>
      <c r="E204" t="s">
        <v>234</v>
      </c>
      <c r="F204" t="s">
        <v>234</v>
      </c>
      <c r="G204" t="s">
        <v>235</v>
      </c>
      <c r="H204" t="s">
        <v>81</v>
      </c>
      <c r="L204">
        <v>12</v>
      </c>
      <c r="M204" t="s">
        <v>83</v>
      </c>
      <c r="O204" t="s">
        <v>83</v>
      </c>
      <c r="P204" t="s">
        <v>84</v>
      </c>
    </row>
    <row r="205" spans="1:16">
      <c r="A205" t="s">
        <v>783</v>
      </c>
      <c r="B205" t="s">
        <v>77</v>
      </c>
      <c r="C205" t="s">
        <v>227</v>
      </c>
      <c r="D205" t="s">
        <v>227</v>
      </c>
      <c r="E205" t="s">
        <v>236</v>
      </c>
      <c r="F205" t="s">
        <v>236</v>
      </c>
      <c r="G205" t="s">
        <v>209</v>
      </c>
      <c r="H205" t="s">
        <v>81</v>
      </c>
      <c r="L205">
        <v>13</v>
      </c>
      <c r="M205" t="s">
        <v>83</v>
      </c>
      <c r="O205" t="s">
        <v>83</v>
      </c>
      <c r="P205" t="s">
        <v>84</v>
      </c>
    </row>
    <row r="206" spans="1:16">
      <c r="A206" t="s">
        <v>783</v>
      </c>
      <c r="B206" t="s">
        <v>77</v>
      </c>
      <c r="C206" t="s">
        <v>227</v>
      </c>
      <c r="D206" t="s">
        <v>227</v>
      </c>
      <c r="E206" t="s">
        <v>112</v>
      </c>
      <c r="F206" t="s">
        <v>112</v>
      </c>
      <c r="G206" t="s">
        <v>113</v>
      </c>
      <c r="H206" t="s">
        <v>81</v>
      </c>
      <c r="I206" t="s">
        <v>114</v>
      </c>
      <c r="L206">
        <v>14</v>
      </c>
      <c r="M206" t="s">
        <v>83</v>
      </c>
      <c r="O206" t="s">
        <v>83</v>
      </c>
      <c r="P206" t="s">
        <v>84</v>
      </c>
    </row>
    <row r="207" spans="1:16">
      <c r="A207" t="s">
        <v>783</v>
      </c>
      <c r="B207" t="s">
        <v>77</v>
      </c>
      <c r="C207" t="s">
        <v>227</v>
      </c>
      <c r="D207" t="s">
        <v>227</v>
      </c>
      <c r="E207" t="s">
        <v>115</v>
      </c>
      <c r="F207" t="s">
        <v>115</v>
      </c>
      <c r="G207" t="s">
        <v>113</v>
      </c>
      <c r="H207" t="s">
        <v>81</v>
      </c>
      <c r="I207" t="s">
        <v>114</v>
      </c>
      <c r="L207">
        <v>15</v>
      </c>
      <c r="M207" t="s">
        <v>83</v>
      </c>
      <c r="O207" t="s">
        <v>83</v>
      </c>
      <c r="P207" t="s">
        <v>84</v>
      </c>
    </row>
    <row r="208" spans="1:16">
      <c r="A208" t="s">
        <v>783</v>
      </c>
      <c r="B208" t="s">
        <v>77</v>
      </c>
      <c r="C208" t="s">
        <v>227</v>
      </c>
      <c r="D208" t="s">
        <v>227</v>
      </c>
      <c r="E208" t="s">
        <v>117</v>
      </c>
      <c r="F208" t="s">
        <v>117</v>
      </c>
      <c r="G208" t="s">
        <v>90</v>
      </c>
      <c r="H208" t="s">
        <v>81</v>
      </c>
      <c r="L208">
        <v>22</v>
      </c>
      <c r="M208" t="s">
        <v>83</v>
      </c>
      <c r="O208" t="s">
        <v>83</v>
      </c>
      <c r="P208" t="s">
        <v>84</v>
      </c>
    </row>
    <row r="209" spans="1:16">
      <c r="A209" t="s">
        <v>783</v>
      </c>
      <c r="B209" t="s">
        <v>77</v>
      </c>
      <c r="C209" t="s">
        <v>227</v>
      </c>
      <c r="D209" t="s">
        <v>227</v>
      </c>
      <c r="E209" t="s">
        <v>118</v>
      </c>
      <c r="F209" t="s">
        <v>118</v>
      </c>
      <c r="G209" t="s">
        <v>92</v>
      </c>
      <c r="H209" t="s">
        <v>81</v>
      </c>
      <c r="L209">
        <v>23</v>
      </c>
      <c r="M209" t="s">
        <v>83</v>
      </c>
      <c r="O209" t="s">
        <v>83</v>
      </c>
      <c r="P209" t="s">
        <v>84</v>
      </c>
    </row>
    <row r="210" spans="1:16">
      <c r="A210" t="s">
        <v>783</v>
      </c>
      <c r="B210" t="s">
        <v>77</v>
      </c>
      <c r="C210" t="s">
        <v>227</v>
      </c>
      <c r="D210" t="s">
        <v>227</v>
      </c>
      <c r="E210" t="s">
        <v>784</v>
      </c>
      <c r="F210" t="s">
        <v>784</v>
      </c>
      <c r="G210" t="s">
        <v>80</v>
      </c>
      <c r="H210" t="s">
        <v>81</v>
      </c>
      <c r="I210" t="s">
        <v>82</v>
      </c>
      <c r="L210">
        <v>24</v>
      </c>
      <c r="M210" t="s">
        <v>83</v>
      </c>
      <c r="O210" t="s">
        <v>83</v>
      </c>
      <c r="P210" t="s">
        <v>84</v>
      </c>
    </row>
    <row r="211" spans="1:16">
      <c r="A211" t="s">
        <v>783</v>
      </c>
      <c r="B211" t="s">
        <v>77</v>
      </c>
      <c r="C211" t="s">
        <v>227</v>
      </c>
      <c r="D211" t="s">
        <v>227</v>
      </c>
      <c r="E211" t="s">
        <v>785</v>
      </c>
      <c r="F211" t="s">
        <v>785</v>
      </c>
      <c r="G211" t="s">
        <v>80</v>
      </c>
      <c r="H211" t="s">
        <v>81</v>
      </c>
      <c r="I211" t="s">
        <v>82</v>
      </c>
      <c r="L211">
        <v>25</v>
      </c>
      <c r="M211" t="s">
        <v>83</v>
      </c>
      <c r="O211" t="s">
        <v>83</v>
      </c>
      <c r="P211" t="s">
        <v>84</v>
      </c>
    </row>
    <row r="212" spans="1:16">
      <c r="A212" t="s">
        <v>783</v>
      </c>
      <c r="B212" t="s">
        <v>77</v>
      </c>
      <c r="C212" t="s">
        <v>227</v>
      </c>
      <c r="D212" t="s">
        <v>227</v>
      </c>
      <c r="E212" t="s">
        <v>786</v>
      </c>
      <c r="F212" t="s">
        <v>786</v>
      </c>
      <c r="G212" t="s">
        <v>787</v>
      </c>
      <c r="H212" t="s">
        <v>81</v>
      </c>
      <c r="L212">
        <v>26</v>
      </c>
      <c r="M212" t="s">
        <v>83</v>
      </c>
      <c r="O212" t="s">
        <v>83</v>
      </c>
      <c r="P212" t="s">
        <v>84</v>
      </c>
    </row>
    <row r="213" spans="1:16">
      <c r="A213" t="s">
        <v>783</v>
      </c>
      <c r="B213" t="s">
        <v>77</v>
      </c>
      <c r="C213" t="s">
        <v>237</v>
      </c>
      <c r="D213" t="s">
        <v>237</v>
      </c>
      <c r="E213" t="s">
        <v>79</v>
      </c>
      <c r="F213" t="s">
        <v>79</v>
      </c>
      <c r="G213" t="s">
        <v>80</v>
      </c>
      <c r="H213" t="s">
        <v>81</v>
      </c>
      <c r="I213" t="s">
        <v>82</v>
      </c>
      <c r="L213">
        <v>1</v>
      </c>
      <c r="M213" t="s">
        <v>83</v>
      </c>
      <c r="O213" t="s">
        <v>83</v>
      </c>
      <c r="P213" t="s">
        <v>84</v>
      </c>
    </row>
    <row r="214" spans="1:16">
      <c r="A214" t="s">
        <v>783</v>
      </c>
      <c r="B214" t="s">
        <v>77</v>
      </c>
      <c r="C214" t="s">
        <v>237</v>
      </c>
      <c r="D214" t="s">
        <v>237</v>
      </c>
      <c r="E214" t="s">
        <v>86</v>
      </c>
      <c r="F214" t="s">
        <v>86</v>
      </c>
      <c r="G214" t="s">
        <v>80</v>
      </c>
      <c r="H214" t="s">
        <v>81</v>
      </c>
      <c r="I214" t="s">
        <v>82</v>
      </c>
      <c r="L214">
        <v>2</v>
      </c>
      <c r="M214" t="s">
        <v>83</v>
      </c>
      <c r="O214" t="s">
        <v>83</v>
      </c>
      <c r="P214" t="s">
        <v>84</v>
      </c>
    </row>
    <row r="215" spans="1:16">
      <c r="A215" t="s">
        <v>783</v>
      </c>
      <c r="B215" t="s">
        <v>77</v>
      </c>
      <c r="C215" t="s">
        <v>237</v>
      </c>
      <c r="D215" t="s">
        <v>237</v>
      </c>
      <c r="E215" t="s">
        <v>87</v>
      </c>
      <c r="F215" t="s">
        <v>87</v>
      </c>
      <c r="G215" t="s">
        <v>88</v>
      </c>
      <c r="H215" t="s">
        <v>81</v>
      </c>
      <c r="J215" t="s">
        <v>83</v>
      </c>
      <c r="L215">
        <v>3</v>
      </c>
      <c r="M215" t="s">
        <v>83</v>
      </c>
      <c r="O215" t="s">
        <v>83</v>
      </c>
      <c r="P215" t="s">
        <v>84</v>
      </c>
    </row>
    <row r="216" spans="1:16">
      <c r="A216" t="s">
        <v>783</v>
      </c>
      <c r="B216" t="s">
        <v>77</v>
      </c>
      <c r="C216" t="s">
        <v>237</v>
      </c>
      <c r="D216" t="s">
        <v>237</v>
      </c>
      <c r="E216" t="s">
        <v>89</v>
      </c>
      <c r="F216" t="s">
        <v>89</v>
      </c>
      <c r="G216" t="s">
        <v>90</v>
      </c>
      <c r="H216" t="s">
        <v>81</v>
      </c>
      <c r="J216" t="s">
        <v>83</v>
      </c>
      <c r="K216" t="s">
        <v>83</v>
      </c>
      <c r="L216">
        <v>4</v>
      </c>
      <c r="M216" t="s">
        <v>83</v>
      </c>
      <c r="O216" t="s">
        <v>83</v>
      </c>
      <c r="P216" t="s">
        <v>84</v>
      </c>
    </row>
    <row r="217" spans="1:16">
      <c r="A217" t="s">
        <v>783</v>
      </c>
      <c r="B217" t="s">
        <v>77</v>
      </c>
      <c r="C217" t="s">
        <v>237</v>
      </c>
      <c r="D217" t="s">
        <v>237</v>
      </c>
      <c r="E217" t="s">
        <v>238</v>
      </c>
      <c r="F217" t="s">
        <v>238</v>
      </c>
      <c r="G217" t="s">
        <v>80</v>
      </c>
      <c r="H217" t="s">
        <v>81</v>
      </c>
      <c r="I217" t="s">
        <v>82</v>
      </c>
      <c r="L217">
        <v>5</v>
      </c>
      <c r="M217" t="s">
        <v>83</v>
      </c>
      <c r="O217" t="s">
        <v>83</v>
      </c>
      <c r="P217" t="s">
        <v>84</v>
      </c>
    </row>
    <row r="218" spans="1:16">
      <c r="A218" t="s">
        <v>783</v>
      </c>
      <c r="B218" t="s">
        <v>77</v>
      </c>
      <c r="C218" t="s">
        <v>237</v>
      </c>
      <c r="D218" t="s">
        <v>237</v>
      </c>
      <c r="E218" t="s">
        <v>239</v>
      </c>
      <c r="F218" t="s">
        <v>239</v>
      </c>
      <c r="G218" t="s">
        <v>90</v>
      </c>
      <c r="H218" t="s">
        <v>81</v>
      </c>
      <c r="L218">
        <v>6</v>
      </c>
      <c r="M218" t="s">
        <v>83</v>
      </c>
      <c r="O218" t="s">
        <v>83</v>
      </c>
      <c r="P218" t="s">
        <v>84</v>
      </c>
    </row>
    <row r="219" spans="1:16">
      <c r="A219" t="s">
        <v>783</v>
      </c>
      <c r="B219" t="s">
        <v>77</v>
      </c>
      <c r="C219" t="s">
        <v>237</v>
      </c>
      <c r="D219" t="s">
        <v>237</v>
      </c>
      <c r="E219" t="s">
        <v>240</v>
      </c>
      <c r="F219" t="s">
        <v>240</v>
      </c>
      <c r="G219" t="s">
        <v>98</v>
      </c>
      <c r="H219" t="s">
        <v>81</v>
      </c>
      <c r="L219">
        <v>7</v>
      </c>
      <c r="M219" t="s">
        <v>83</v>
      </c>
      <c r="O219" t="s">
        <v>83</v>
      </c>
      <c r="P219" t="s">
        <v>84</v>
      </c>
    </row>
    <row r="220" spans="1:16">
      <c r="A220" t="s">
        <v>783</v>
      </c>
      <c r="B220" t="s">
        <v>77</v>
      </c>
      <c r="C220" t="s">
        <v>237</v>
      </c>
      <c r="D220" t="s">
        <v>237</v>
      </c>
      <c r="E220" t="s">
        <v>91</v>
      </c>
      <c r="F220" t="s">
        <v>91</v>
      </c>
      <c r="G220" t="s">
        <v>92</v>
      </c>
      <c r="H220" t="s">
        <v>81</v>
      </c>
      <c r="J220" t="s">
        <v>83</v>
      </c>
      <c r="L220">
        <v>8</v>
      </c>
      <c r="M220" t="s">
        <v>83</v>
      </c>
      <c r="O220" t="s">
        <v>83</v>
      </c>
      <c r="P220" t="s">
        <v>84</v>
      </c>
    </row>
    <row r="221" spans="1:16">
      <c r="A221" t="s">
        <v>783</v>
      </c>
      <c r="B221" t="s">
        <v>77</v>
      </c>
      <c r="C221" t="s">
        <v>237</v>
      </c>
      <c r="D221" t="s">
        <v>237</v>
      </c>
      <c r="E221" t="s">
        <v>241</v>
      </c>
      <c r="F221" t="s">
        <v>241</v>
      </c>
      <c r="G221" t="s">
        <v>94</v>
      </c>
      <c r="H221" t="s">
        <v>81</v>
      </c>
      <c r="L221">
        <v>9</v>
      </c>
      <c r="M221" t="s">
        <v>83</v>
      </c>
      <c r="O221" t="s">
        <v>83</v>
      </c>
      <c r="P221" t="s">
        <v>84</v>
      </c>
    </row>
    <row r="222" spans="1:16">
      <c r="A222" t="s">
        <v>783</v>
      </c>
      <c r="B222" t="s">
        <v>77</v>
      </c>
      <c r="C222" t="s">
        <v>237</v>
      </c>
      <c r="D222" t="s">
        <v>237</v>
      </c>
      <c r="E222" t="s">
        <v>242</v>
      </c>
      <c r="F222" t="s">
        <v>242</v>
      </c>
      <c r="G222" t="s">
        <v>88</v>
      </c>
      <c r="H222" t="s">
        <v>81</v>
      </c>
      <c r="L222">
        <v>10</v>
      </c>
      <c r="M222" t="s">
        <v>83</v>
      </c>
      <c r="O222" t="s">
        <v>83</v>
      </c>
      <c r="P222" t="s">
        <v>84</v>
      </c>
    </row>
    <row r="223" spans="1:16">
      <c r="A223" t="s">
        <v>783</v>
      </c>
      <c r="B223" t="s">
        <v>77</v>
      </c>
      <c r="C223" t="s">
        <v>237</v>
      </c>
      <c r="D223" t="s">
        <v>237</v>
      </c>
      <c r="E223" t="s">
        <v>243</v>
      </c>
      <c r="F223" t="s">
        <v>243</v>
      </c>
      <c r="G223" t="s">
        <v>94</v>
      </c>
      <c r="H223" t="s">
        <v>81</v>
      </c>
      <c r="L223">
        <v>11</v>
      </c>
      <c r="M223" t="s">
        <v>83</v>
      </c>
      <c r="O223" t="s">
        <v>83</v>
      </c>
      <c r="P223" t="s">
        <v>84</v>
      </c>
    </row>
    <row r="224" spans="1:16">
      <c r="A224" t="s">
        <v>783</v>
      </c>
      <c r="B224" t="s">
        <v>77</v>
      </c>
      <c r="C224" t="s">
        <v>237</v>
      </c>
      <c r="D224" t="s">
        <v>237</v>
      </c>
      <c r="E224" t="s">
        <v>244</v>
      </c>
      <c r="F224" t="s">
        <v>244</v>
      </c>
      <c r="G224" t="s">
        <v>80</v>
      </c>
      <c r="H224" t="s">
        <v>81</v>
      </c>
      <c r="I224" t="s">
        <v>82</v>
      </c>
      <c r="L224">
        <v>12</v>
      </c>
      <c r="M224" t="s">
        <v>83</v>
      </c>
      <c r="O224" t="s">
        <v>83</v>
      </c>
      <c r="P224" t="s">
        <v>84</v>
      </c>
    </row>
    <row r="225" spans="1:16">
      <c r="A225" t="s">
        <v>783</v>
      </c>
      <c r="B225" t="s">
        <v>77</v>
      </c>
      <c r="C225" t="s">
        <v>237</v>
      </c>
      <c r="D225" t="s">
        <v>237</v>
      </c>
      <c r="E225" t="s">
        <v>245</v>
      </c>
      <c r="F225" t="s">
        <v>245</v>
      </c>
      <c r="G225" t="s">
        <v>90</v>
      </c>
      <c r="H225" t="s">
        <v>81</v>
      </c>
      <c r="L225">
        <v>13</v>
      </c>
      <c r="M225" t="s">
        <v>83</v>
      </c>
      <c r="O225" t="s">
        <v>83</v>
      </c>
      <c r="P225" t="s">
        <v>84</v>
      </c>
    </row>
    <row r="226" spans="1:16">
      <c r="A226" t="s">
        <v>783</v>
      </c>
      <c r="B226" t="s">
        <v>77</v>
      </c>
      <c r="C226" t="s">
        <v>237</v>
      </c>
      <c r="D226" t="s">
        <v>237</v>
      </c>
      <c r="E226" t="s">
        <v>246</v>
      </c>
      <c r="F226" t="s">
        <v>246</v>
      </c>
      <c r="G226" t="s">
        <v>88</v>
      </c>
      <c r="H226" t="s">
        <v>81</v>
      </c>
      <c r="L226">
        <v>14</v>
      </c>
      <c r="M226" t="s">
        <v>83</v>
      </c>
      <c r="O226" t="s">
        <v>83</v>
      </c>
      <c r="P226" t="s">
        <v>84</v>
      </c>
    </row>
    <row r="227" spans="1:16">
      <c r="A227" t="s">
        <v>783</v>
      </c>
      <c r="B227" t="s">
        <v>77</v>
      </c>
      <c r="C227" t="s">
        <v>237</v>
      </c>
      <c r="D227" t="s">
        <v>237</v>
      </c>
      <c r="E227" t="s">
        <v>247</v>
      </c>
      <c r="F227" t="s">
        <v>247</v>
      </c>
      <c r="G227" t="s">
        <v>209</v>
      </c>
      <c r="H227" t="s">
        <v>81</v>
      </c>
      <c r="L227">
        <v>15</v>
      </c>
      <c r="M227" t="s">
        <v>83</v>
      </c>
      <c r="O227" t="s">
        <v>83</v>
      </c>
      <c r="P227" t="s">
        <v>84</v>
      </c>
    </row>
    <row r="228" spans="1:16">
      <c r="A228" t="s">
        <v>783</v>
      </c>
      <c r="B228" t="s">
        <v>77</v>
      </c>
      <c r="C228" t="s">
        <v>237</v>
      </c>
      <c r="D228" t="s">
        <v>237</v>
      </c>
      <c r="E228" t="s">
        <v>248</v>
      </c>
      <c r="F228" t="s">
        <v>248</v>
      </c>
      <c r="G228" t="s">
        <v>249</v>
      </c>
      <c r="H228" t="s">
        <v>81</v>
      </c>
      <c r="L228">
        <v>16</v>
      </c>
      <c r="M228" t="s">
        <v>83</v>
      </c>
      <c r="O228" t="s">
        <v>83</v>
      </c>
      <c r="P228" t="s">
        <v>84</v>
      </c>
    </row>
    <row r="229" spans="1:16">
      <c r="A229" t="s">
        <v>783</v>
      </c>
      <c r="B229" t="s">
        <v>77</v>
      </c>
      <c r="C229" t="s">
        <v>237</v>
      </c>
      <c r="D229" t="s">
        <v>237</v>
      </c>
      <c r="E229" t="s">
        <v>250</v>
      </c>
      <c r="F229" t="s">
        <v>250</v>
      </c>
      <c r="G229" t="s">
        <v>209</v>
      </c>
      <c r="H229" t="s">
        <v>81</v>
      </c>
      <c r="L229">
        <v>17</v>
      </c>
      <c r="M229" t="s">
        <v>83</v>
      </c>
      <c r="O229" t="s">
        <v>83</v>
      </c>
      <c r="P229" t="s">
        <v>84</v>
      </c>
    </row>
    <row r="230" spans="1:16">
      <c r="A230" t="s">
        <v>783</v>
      </c>
      <c r="B230" t="s">
        <v>77</v>
      </c>
      <c r="C230" t="s">
        <v>237</v>
      </c>
      <c r="D230" t="s">
        <v>237</v>
      </c>
      <c r="E230" t="s">
        <v>251</v>
      </c>
      <c r="F230" t="s">
        <v>251</v>
      </c>
      <c r="G230" t="s">
        <v>249</v>
      </c>
      <c r="H230" t="s">
        <v>81</v>
      </c>
      <c r="L230">
        <v>18</v>
      </c>
      <c r="M230" t="s">
        <v>83</v>
      </c>
      <c r="O230" t="s">
        <v>83</v>
      </c>
      <c r="P230" t="s">
        <v>84</v>
      </c>
    </row>
    <row r="231" spans="1:16">
      <c r="A231" t="s">
        <v>783</v>
      </c>
      <c r="B231" t="s">
        <v>77</v>
      </c>
      <c r="C231" t="s">
        <v>237</v>
      </c>
      <c r="D231" t="s">
        <v>237</v>
      </c>
      <c r="E231" t="s">
        <v>252</v>
      </c>
      <c r="F231" t="s">
        <v>252</v>
      </c>
      <c r="G231" t="s">
        <v>249</v>
      </c>
      <c r="H231" t="s">
        <v>81</v>
      </c>
      <c r="L231">
        <v>19</v>
      </c>
      <c r="M231" t="s">
        <v>83</v>
      </c>
      <c r="O231" t="s">
        <v>83</v>
      </c>
      <c r="P231" t="s">
        <v>84</v>
      </c>
    </row>
    <row r="232" spans="1:16">
      <c r="A232" t="s">
        <v>783</v>
      </c>
      <c r="B232" t="s">
        <v>77</v>
      </c>
      <c r="C232" t="s">
        <v>237</v>
      </c>
      <c r="D232" t="s">
        <v>237</v>
      </c>
      <c r="E232" t="s">
        <v>112</v>
      </c>
      <c r="F232" t="s">
        <v>112</v>
      </c>
      <c r="G232" t="s">
        <v>113</v>
      </c>
      <c r="H232" t="s">
        <v>81</v>
      </c>
      <c r="I232" t="s">
        <v>114</v>
      </c>
      <c r="L232">
        <v>20</v>
      </c>
      <c r="M232" t="s">
        <v>83</v>
      </c>
      <c r="O232" t="s">
        <v>83</v>
      </c>
      <c r="P232" t="s">
        <v>84</v>
      </c>
    </row>
    <row r="233" spans="1:16">
      <c r="A233" t="s">
        <v>783</v>
      </c>
      <c r="B233" t="s">
        <v>77</v>
      </c>
      <c r="C233" t="s">
        <v>237</v>
      </c>
      <c r="D233" t="s">
        <v>237</v>
      </c>
      <c r="E233" t="s">
        <v>115</v>
      </c>
      <c r="F233" t="s">
        <v>115</v>
      </c>
      <c r="G233" t="s">
        <v>113</v>
      </c>
      <c r="H233" t="s">
        <v>81</v>
      </c>
      <c r="I233" t="s">
        <v>114</v>
      </c>
      <c r="L233">
        <v>21</v>
      </c>
      <c r="M233" t="s">
        <v>83</v>
      </c>
      <c r="O233" t="s">
        <v>83</v>
      </c>
      <c r="P233" t="s">
        <v>84</v>
      </c>
    </row>
    <row r="234" spans="1:16">
      <c r="A234" t="s">
        <v>783</v>
      </c>
      <c r="B234" t="s">
        <v>77</v>
      </c>
      <c r="C234" t="s">
        <v>237</v>
      </c>
      <c r="D234" t="s">
        <v>237</v>
      </c>
      <c r="E234" t="s">
        <v>253</v>
      </c>
      <c r="F234" t="s">
        <v>253</v>
      </c>
      <c r="G234" t="s">
        <v>789</v>
      </c>
      <c r="H234" t="s">
        <v>81</v>
      </c>
      <c r="L234">
        <v>22</v>
      </c>
      <c r="M234" t="s">
        <v>83</v>
      </c>
      <c r="O234" t="s">
        <v>83</v>
      </c>
      <c r="P234" t="s">
        <v>84</v>
      </c>
    </row>
    <row r="235" spans="1:16">
      <c r="A235" t="s">
        <v>783</v>
      </c>
      <c r="B235" t="s">
        <v>77</v>
      </c>
      <c r="C235" t="s">
        <v>237</v>
      </c>
      <c r="D235" t="s">
        <v>237</v>
      </c>
      <c r="E235" t="s">
        <v>255</v>
      </c>
      <c r="F235" t="s">
        <v>255</v>
      </c>
      <c r="G235" t="s">
        <v>88</v>
      </c>
      <c r="H235" t="s">
        <v>81</v>
      </c>
      <c r="L235">
        <v>23</v>
      </c>
      <c r="M235" t="s">
        <v>83</v>
      </c>
      <c r="O235" t="s">
        <v>83</v>
      </c>
      <c r="P235" t="s">
        <v>84</v>
      </c>
    </row>
    <row r="236" spans="1:16">
      <c r="A236" t="s">
        <v>783</v>
      </c>
      <c r="B236" t="s">
        <v>77</v>
      </c>
      <c r="C236" t="s">
        <v>237</v>
      </c>
      <c r="D236" t="s">
        <v>237</v>
      </c>
      <c r="E236" t="s">
        <v>117</v>
      </c>
      <c r="F236" t="s">
        <v>117</v>
      </c>
      <c r="G236" t="s">
        <v>90</v>
      </c>
      <c r="H236" t="s">
        <v>81</v>
      </c>
      <c r="L236">
        <v>30</v>
      </c>
      <c r="M236" t="s">
        <v>83</v>
      </c>
      <c r="O236" t="s">
        <v>83</v>
      </c>
      <c r="P236" t="s">
        <v>84</v>
      </c>
    </row>
    <row r="237" spans="1:16">
      <c r="A237" t="s">
        <v>783</v>
      </c>
      <c r="B237" t="s">
        <v>77</v>
      </c>
      <c r="C237" t="s">
        <v>237</v>
      </c>
      <c r="D237" t="s">
        <v>237</v>
      </c>
      <c r="E237" t="s">
        <v>116</v>
      </c>
      <c r="F237" t="s">
        <v>116</v>
      </c>
      <c r="G237" t="s">
        <v>90</v>
      </c>
      <c r="H237" t="s">
        <v>81</v>
      </c>
      <c r="L237">
        <v>31</v>
      </c>
      <c r="M237" t="s">
        <v>83</v>
      </c>
      <c r="O237" t="s">
        <v>83</v>
      </c>
      <c r="P237" t="s">
        <v>84</v>
      </c>
    </row>
    <row r="238" spans="1:16">
      <c r="A238" t="s">
        <v>783</v>
      </c>
      <c r="B238" t="s">
        <v>77</v>
      </c>
      <c r="C238" t="s">
        <v>237</v>
      </c>
      <c r="D238" t="s">
        <v>237</v>
      </c>
      <c r="E238" t="s">
        <v>118</v>
      </c>
      <c r="F238" t="s">
        <v>118</v>
      </c>
      <c r="G238" t="s">
        <v>92</v>
      </c>
      <c r="H238" t="s">
        <v>81</v>
      </c>
      <c r="L238">
        <v>32</v>
      </c>
      <c r="M238" t="s">
        <v>83</v>
      </c>
      <c r="O238" t="s">
        <v>83</v>
      </c>
      <c r="P238" t="s">
        <v>84</v>
      </c>
    </row>
    <row r="239" spans="1:16">
      <c r="A239" t="s">
        <v>783</v>
      </c>
      <c r="B239" t="s">
        <v>77</v>
      </c>
      <c r="C239" t="s">
        <v>237</v>
      </c>
      <c r="D239" t="s">
        <v>237</v>
      </c>
      <c r="E239" t="s">
        <v>784</v>
      </c>
      <c r="F239" t="s">
        <v>784</v>
      </c>
      <c r="G239" t="s">
        <v>80</v>
      </c>
      <c r="H239" t="s">
        <v>81</v>
      </c>
      <c r="I239" t="s">
        <v>82</v>
      </c>
      <c r="L239">
        <v>33</v>
      </c>
      <c r="M239" t="s">
        <v>83</v>
      </c>
      <c r="O239" t="s">
        <v>83</v>
      </c>
      <c r="P239" t="s">
        <v>84</v>
      </c>
    </row>
    <row r="240" spans="1:16">
      <c r="A240" t="s">
        <v>783</v>
      </c>
      <c r="B240" t="s">
        <v>77</v>
      </c>
      <c r="C240" t="s">
        <v>237</v>
      </c>
      <c r="D240" t="s">
        <v>237</v>
      </c>
      <c r="E240" t="s">
        <v>785</v>
      </c>
      <c r="F240" t="s">
        <v>785</v>
      </c>
      <c r="G240" t="s">
        <v>80</v>
      </c>
      <c r="H240" t="s">
        <v>81</v>
      </c>
      <c r="I240" t="s">
        <v>82</v>
      </c>
      <c r="L240">
        <v>34</v>
      </c>
      <c r="M240" t="s">
        <v>83</v>
      </c>
      <c r="O240" t="s">
        <v>83</v>
      </c>
      <c r="P240" t="s">
        <v>84</v>
      </c>
    </row>
    <row r="241" spans="1:16">
      <c r="A241" t="s">
        <v>783</v>
      </c>
      <c r="B241" t="s">
        <v>77</v>
      </c>
      <c r="C241" t="s">
        <v>237</v>
      </c>
      <c r="D241" t="s">
        <v>237</v>
      </c>
      <c r="E241" t="s">
        <v>786</v>
      </c>
      <c r="F241" t="s">
        <v>786</v>
      </c>
      <c r="G241" t="s">
        <v>787</v>
      </c>
      <c r="H241" t="s">
        <v>81</v>
      </c>
      <c r="L241">
        <v>35</v>
      </c>
      <c r="M241" t="s">
        <v>83</v>
      </c>
      <c r="O241" t="s">
        <v>83</v>
      </c>
      <c r="P241" t="s">
        <v>84</v>
      </c>
    </row>
    <row r="242" spans="1:16">
      <c r="A242" t="s">
        <v>783</v>
      </c>
      <c r="B242" t="s">
        <v>77</v>
      </c>
      <c r="C242" t="s">
        <v>257</v>
      </c>
      <c r="D242" t="s">
        <v>257</v>
      </c>
      <c r="E242" t="s">
        <v>79</v>
      </c>
      <c r="F242" t="s">
        <v>79</v>
      </c>
      <c r="G242" t="s">
        <v>80</v>
      </c>
      <c r="H242" t="s">
        <v>81</v>
      </c>
      <c r="I242" t="s">
        <v>82</v>
      </c>
      <c r="L242">
        <v>1</v>
      </c>
      <c r="M242" t="s">
        <v>83</v>
      </c>
      <c r="O242" t="s">
        <v>83</v>
      </c>
      <c r="P242" t="s">
        <v>84</v>
      </c>
    </row>
    <row r="243" spans="1:16">
      <c r="A243" t="s">
        <v>783</v>
      </c>
      <c r="B243" t="s">
        <v>77</v>
      </c>
      <c r="C243" t="s">
        <v>257</v>
      </c>
      <c r="D243" t="s">
        <v>257</v>
      </c>
      <c r="E243" t="s">
        <v>86</v>
      </c>
      <c r="F243" t="s">
        <v>86</v>
      </c>
      <c r="G243" t="s">
        <v>80</v>
      </c>
      <c r="H243" t="s">
        <v>81</v>
      </c>
      <c r="I243" t="s">
        <v>82</v>
      </c>
      <c r="L243">
        <v>2</v>
      </c>
      <c r="M243" t="s">
        <v>83</v>
      </c>
      <c r="O243" t="s">
        <v>83</v>
      </c>
      <c r="P243" t="s">
        <v>84</v>
      </c>
    </row>
    <row r="244" spans="1:16">
      <c r="A244" t="s">
        <v>783</v>
      </c>
      <c r="B244" t="s">
        <v>77</v>
      </c>
      <c r="C244" t="s">
        <v>257</v>
      </c>
      <c r="D244" t="s">
        <v>257</v>
      </c>
      <c r="E244" t="s">
        <v>87</v>
      </c>
      <c r="F244" t="s">
        <v>87</v>
      </c>
      <c r="G244" t="s">
        <v>88</v>
      </c>
      <c r="H244" t="s">
        <v>81</v>
      </c>
      <c r="L244">
        <v>3</v>
      </c>
      <c r="M244" t="s">
        <v>83</v>
      </c>
      <c r="O244" t="s">
        <v>83</v>
      </c>
      <c r="P244" t="s">
        <v>84</v>
      </c>
    </row>
    <row r="245" spans="1:16">
      <c r="A245" t="s">
        <v>783</v>
      </c>
      <c r="B245" t="s">
        <v>77</v>
      </c>
      <c r="C245" t="s">
        <v>257</v>
      </c>
      <c r="D245" t="s">
        <v>257</v>
      </c>
      <c r="E245" t="s">
        <v>89</v>
      </c>
      <c r="F245" t="s">
        <v>89</v>
      </c>
      <c r="G245" t="s">
        <v>90</v>
      </c>
      <c r="H245" t="s">
        <v>81</v>
      </c>
      <c r="J245" t="s">
        <v>83</v>
      </c>
      <c r="K245" t="s">
        <v>83</v>
      </c>
      <c r="L245">
        <v>4</v>
      </c>
      <c r="M245" t="s">
        <v>83</v>
      </c>
      <c r="O245" t="s">
        <v>83</v>
      </c>
      <c r="P245" t="s">
        <v>84</v>
      </c>
    </row>
    <row r="246" spans="1:16">
      <c r="A246" t="s">
        <v>783</v>
      </c>
      <c r="B246" t="s">
        <v>77</v>
      </c>
      <c r="C246" t="s">
        <v>257</v>
      </c>
      <c r="D246" t="s">
        <v>257</v>
      </c>
      <c r="E246" t="s">
        <v>258</v>
      </c>
      <c r="F246" t="s">
        <v>258</v>
      </c>
      <c r="G246" t="s">
        <v>94</v>
      </c>
      <c r="H246" t="s">
        <v>81</v>
      </c>
      <c r="L246">
        <v>5</v>
      </c>
      <c r="M246" t="s">
        <v>83</v>
      </c>
      <c r="O246" t="s">
        <v>83</v>
      </c>
      <c r="P246" t="s">
        <v>84</v>
      </c>
    </row>
    <row r="247" spans="1:16">
      <c r="A247" t="s">
        <v>783</v>
      </c>
      <c r="B247" t="s">
        <v>77</v>
      </c>
      <c r="C247" t="s">
        <v>257</v>
      </c>
      <c r="D247" t="s">
        <v>257</v>
      </c>
      <c r="E247" t="s">
        <v>259</v>
      </c>
      <c r="F247" t="s">
        <v>259</v>
      </c>
      <c r="G247" t="s">
        <v>88</v>
      </c>
      <c r="H247" t="s">
        <v>81</v>
      </c>
      <c r="L247">
        <v>6</v>
      </c>
      <c r="M247" t="s">
        <v>83</v>
      </c>
      <c r="O247" t="s">
        <v>83</v>
      </c>
      <c r="P247" t="s">
        <v>84</v>
      </c>
    </row>
    <row r="248" spans="1:16">
      <c r="A248" t="s">
        <v>783</v>
      </c>
      <c r="B248" t="s">
        <v>77</v>
      </c>
      <c r="C248" t="s">
        <v>257</v>
      </c>
      <c r="D248" t="s">
        <v>257</v>
      </c>
      <c r="E248" t="s">
        <v>260</v>
      </c>
      <c r="F248" t="s">
        <v>260</v>
      </c>
      <c r="G248" t="s">
        <v>94</v>
      </c>
      <c r="H248" t="s">
        <v>81</v>
      </c>
      <c r="L248">
        <v>7</v>
      </c>
      <c r="M248" t="s">
        <v>83</v>
      </c>
      <c r="O248" t="s">
        <v>83</v>
      </c>
      <c r="P248" t="s">
        <v>84</v>
      </c>
    </row>
    <row r="249" spans="1:16">
      <c r="A249" t="s">
        <v>783</v>
      </c>
      <c r="B249" t="s">
        <v>77</v>
      </c>
      <c r="C249" t="s">
        <v>257</v>
      </c>
      <c r="D249" t="s">
        <v>257</v>
      </c>
      <c r="E249" t="s">
        <v>261</v>
      </c>
      <c r="F249" t="s">
        <v>261</v>
      </c>
      <c r="G249" t="s">
        <v>90</v>
      </c>
      <c r="H249" t="s">
        <v>81</v>
      </c>
      <c r="L249">
        <v>8</v>
      </c>
      <c r="M249" t="s">
        <v>83</v>
      </c>
      <c r="O249" t="s">
        <v>83</v>
      </c>
      <c r="P249" t="s">
        <v>84</v>
      </c>
    </row>
    <row r="250" spans="1:16">
      <c r="A250" t="s">
        <v>783</v>
      </c>
      <c r="B250" t="s">
        <v>77</v>
      </c>
      <c r="C250" t="s">
        <v>257</v>
      </c>
      <c r="D250" t="s">
        <v>257</v>
      </c>
      <c r="E250" t="s">
        <v>262</v>
      </c>
      <c r="F250" t="s">
        <v>262</v>
      </c>
      <c r="G250" t="s">
        <v>263</v>
      </c>
      <c r="H250" t="s">
        <v>81</v>
      </c>
      <c r="L250">
        <v>9</v>
      </c>
      <c r="M250" t="s">
        <v>83</v>
      </c>
      <c r="O250" t="s">
        <v>83</v>
      </c>
      <c r="P250" t="s">
        <v>84</v>
      </c>
    </row>
    <row r="251" spans="1:16">
      <c r="A251" t="s">
        <v>783</v>
      </c>
      <c r="B251" t="s">
        <v>77</v>
      </c>
      <c r="C251" t="s">
        <v>257</v>
      </c>
      <c r="D251" t="s">
        <v>257</v>
      </c>
      <c r="E251" t="s">
        <v>91</v>
      </c>
      <c r="F251" t="s">
        <v>91</v>
      </c>
      <c r="G251" t="s">
        <v>92</v>
      </c>
      <c r="H251" t="s">
        <v>81</v>
      </c>
      <c r="L251">
        <v>10</v>
      </c>
      <c r="M251" t="s">
        <v>83</v>
      </c>
      <c r="O251" t="s">
        <v>83</v>
      </c>
      <c r="P251" t="s">
        <v>84</v>
      </c>
    </row>
    <row r="252" spans="1:16">
      <c r="A252" t="s">
        <v>783</v>
      </c>
      <c r="B252" t="s">
        <v>77</v>
      </c>
      <c r="C252" t="s">
        <v>257</v>
      </c>
      <c r="D252" t="s">
        <v>257</v>
      </c>
      <c r="E252" t="s">
        <v>264</v>
      </c>
      <c r="F252" t="s">
        <v>264</v>
      </c>
      <c r="G252" t="s">
        <v>98</v>
      </c>
      <c r="H252" t="s">
        <v>81</v>
      </c>
      <c r="L252">
        <v>11</v>
      </c>
      <c r="M252" t="s">
        <v>83</v>
      </c>
      <c r="O252" t="s">
        <v>83</v>
      </c>
      <c r="P252" t="s">
        <v>84</v>
      </c>
    </row>
    <row r="253" spans="1:16">
      <c r="A253" t="s">
        <v>783</v>
      </c>
      <c r="B253" t="s">
        <v>77</v>
      </c>
      <c r="C253" t="s">
        <v>257</v>
      </c>
      <c r="D253" t="s">
        <v>257</v>
      </c>
      <c r="E253" t="s">
        <v>265</v>
      </c>
      <c r="F253" t="s">
        <v>265</v>
      </c>
      <c r="G253" t="s">
        <v>180</v>
      </c>
      <c r="H253" t="s">
        <v>81</v>
      </c>
      <c r="L253">
        <v>12</v>
      </c>
      <c r="M253" t="s">
        <v>83</v>
      </c>
      <c r="O253" t="s">
        <v>83</v>
      </c>
      <c r="P253" t="s">
        <v>84</v>
      </c>
    </row>
    <row r="254" spans="1:16">
      <c r="A254" t="s">
        <v>783</v>
      </c>
      <c r="B254" t="s">
        <v>77</v>
      </c>
      <c r="C254" t="s">
        <v>257</v>
      </c>
      <c r="D254" t="s">
        <v>257</v>
      </c>
      <c r="E254" t="s">
        <v>266</v>
      </c>
      <c r="F254" t="s">
        <v>266</v>
      </c>
      <c r="G254" t="s">
        <v>180</v>
      </c>
      <c r="H254" t="s">
        <v>81</v>
      </c>
      <c r="L254">
        <v>13</v>
      </c>
      <c r="M254" t="s">
        <v>83</v>
      </c>
      <c r="O254" t="s">
        <v>83</v>
      </c>
      <c r="P254" t="s">
        <v>84</v>
      </c>
    </row>
    <row r="255" spans="1:16">
      <c r="A255" t="s">
        <v>783</v>
      </c>
      <c r="B255" t="s">
        <v>77</v>
      </c>
      <c r="C255" t="s">
        <v>257</v>
      </c>
      <c r="D255" t="s">
        <v>257</v>
      </c>
      <c r="E255" t="s">
        <v>267</v>
      </c>
      <c r="F255" t="s">
        <v>267</v>
      </c>
      <c r="G255" t="s">
        <v>94</v>
      </c>
      <c r="H255" t="s">
        <v>81</v>
      </c>
      <c r="L255">
        <v>14</v>
      </c>
      <c r="M255" t="s">
        <v>83</v>
      </c>
      <c r="O255" t="s">
        <v>83</v>
      </c>
      <c r="P255" t="s">
        <v>84</v>
      </c>
    </row>
    <row r="256" spans="1:16">
      <c r="A256" t="s">
        <v>783</v>
      </c>
      <c r="B256" t="s">
        <v>77</v>
      </c>
      <c r="C256" t="s">
        <v>257</v>
      </c>
      <c r="D256" t="s">
        <v>257</v>
      </c>
      <c r="E256" t="s">
        <v>268</v>
      </c>
      <c r="F256" t="s">
        <v>268</v>
      </c>
      <c r="G256" t="s">
        <v>94</v>
      </c>
      <c r="H256" t="s">
        <v>81</v>
      </c>
      <c r="L256">
        <v>15</v>
      </c>
      <c r="M256" t="s">
        <v>83</v>
      </c>
      <c r="O256" t="s">
        <v>83</v>
      </c>
      <c r="P256" t="s">
        <v>84</v>
      </c>
    </row>
    <row r="257" spans="1:16">
      <c r="A257" t="s">
        <v>783</v>
      </c>
      <c r="B257" t="s">
        <v>77</v>
      </c>
      <c r="C257" t="s">
        <v>257</v>
      </c>
      <c r="D257" t="s">
        <v>257</v>
      </c>
      <c r="E257" t="s">
        <v>269</v>
      </c>
      <c r="F257" t="s">
        <v>269</v>
      </c>
      <c r="G257" t="s">
        <v>188</v>
      </c>
      <c r="H257" t="s">
        <v>81</v>
      </c>
      <c r="L257">
        <v>16</v>
      </c>
      <c r="M257" t="s">
        <v>83</v>
      </c>
      <c r="O257" t="s">
        <v>83</v>
      </c>
      <c r="P257" t="s">
        <v>84</v>
      </c>
    </row>
    <row r="258" spans="1:16">
      <c r="A258" t="s">
        <v>783</v>
      </c>
      <c r="B258" t="s">
        <v>77</v>
      </c>
      <c r="C258" t="s">
        <v>257</v>
      </c>
      <c r="D258" t="s">
        <v>257</v>
      </c>
      <c r="E258" t="s">
        <v>270</v>
      </c>
      <c r="F258" t="s">
        <v>270</v>
      </c>
      <c r="G258" t="s">
        <v>126</v>
      </c>
      <c r="H258" t="s">
        <v>81</v>
      </c>
      <c r="L258">
        <v>17</v>
      </c>
      <c r="M258" t="s">
        <v>83</v>
      </c>
      <c r="O258" t="s">
        <v>83</v>
      </c>
      <c r="P258" t="s">
        <v>84</v>
      </c>
    </row>
    <row r="259" spans="1:16">
      <c r="A259" t="s">
        <v>783</v>
      </c>
      <c r="B259" t="s">
        <v>77</v>
      </c>
      <c r="C259" t="s">
        <v>257</v>
      </c>
      <c r="D259" t="s">
        <v>257</v>
      </c>
      <c r="E259" t="s">
        <v>271</v>
      </c>
      <c r="F259" t="s">
        <v>271</v>
      </c>
      <c r="G259" t="s">
        <v>90</v>
      </c>
      <c r="H259" t="s">
        <v>81</v>
      </c>
      <c r="L259">
        <v>18</v>
      </c>
      <c r="M259" t="s">
        <v>83</v>
      </c>
      <c r="O259" t="s">
        <v>83</v>
      </c>
      <c r="P259" t="s">
        <v>84</v>
      </c>
    </row>
    <row r="260" spans="1:16">
      <c r="A260" t="s">
        <v>783</v>
      </c>
      <c r="B260" t="s">
        <v>77</v>
      </c>
      <c r="C260" t="s">
        <v>257</v>
      </c>
      <c r="D260" t="s">
        <v>257</v>
      </c>
      <c r="E260" t="s">
        <v>272</v>
      </c>
      <c r="F260" t="s">
        <v>272</v>
      </c>
      <c r="G260" t="s">
        <v>188</v>
      </c>
      <c r="H260" t="s">
        <v>81</v>
      </c>
      <c r="L260">
        <v>19</v>
      </c>
      <c r="M260" t="s">
        <v>83</v>
      </c>
      <c r="O260" t="s">
        <v>83</v>
      </c>
      <c r="P260" t="s">
        <v>84</v>
      </c>
    </row>
    <row r="261" spans="1:16">
      <c r="A261" t="s">
        <v>783</v>
      </c>
      <c r="B261" t="s">
        <v>77</v>
      </c>
      <c r="C261" t="s">
        <v>257</v>
      </c>
      <c r="D261" t="s">
        <v>257</v>
      </c>
      <c r="E261" t="s">
        <v>273</v>
      </c>
      <c r="F261" t="s">
        <v>273</v>
      </c>
      <c r="G261" t="s">
        <v>90</v>
      </c>
      <c r="H261" t="s">
        <v>81</v>
      </c>
      <c r="L261">
        <v>20</v>
      </c>
      <c r="M261" t="s">
        <v>83</v>
      </c>
      <c r="O261" t="s">
        <v>83</v>
      </c>
      <c r="P261" t="s">
        <v>84</v>
      </c>
    </row>
    <row r="262" spans="1:16">
      <c r="A262" t="s">
        <v>783</v>
      </c>
      <c r="B262" t="s">
        <v>77</v>
      </c>
      <c r="C262" t="s">
        <v>257</v>
      </c>
      <c r="D262" t="s">
        <v>257</v>
      </c>
      <c r="E262" t="s">
        <v>274</v>
      </c>
      <c r="F262" t="s">
        <v>274</v>
      </c>
      <c r="G262" t="s">
        <v>98</v>
      </c>
      <c r="H262" t="s">
        <v>81</v>
      </c>
      <c r="L262">
        <v>21</v>
      </c>
      <c r="M262" t="s">
        <v>83</v>
      </c>
      <c r="O262" t="s">
        <v>83</v>
      </c>
      <c r="P262" t="s">
        <v>84</v>
      </c>
    </row>
    <row r="263" spans="1:16">
      <c r="A263" t="s">
        <v>783</v>
      </c>
      <c r="B263" t="s">
        <v>77</v>
      </c>
      <c r="C263" t="s">
        <v>257</v>
      </c>
      <c r="D263" t="s">
        <v>257</v>
      </c>
      <c r="E263" t="s">
        <v>275</v>
      </c>
      <c r="F263" t="s">
        <v>275</v>
      </c>
      <c r="G263" t="s">
        <v>98</v>
      </c>
      <c r="H263" t="s">
        <v>81</v>
      </c>
      <c r="L263">
        <v>22</v>
      </c>
      <c r="M263" t="s">
        <v>83</v>
      </c>
      <c r="O263" t="s">
        <v>83</v>
      </c>
      <c r="P263" t="s">
        <v>84</v>
      </c>
    </row>
    <row r="264" spans="1:16">
      <c r="A264" t="s">
        <v>783</v>
      </c>
      <c r="B264" t="s">
        <v>77</v>
      </c>
      <c r="C264" t="s">
        <v>257</v>
      </c>
      <c r="D264" t="s">
        <v>257</v>
      </c>
      <c r="E264" t="s">
        <v>276</v>
      </c>
      <c r="F264" t="s">
        <v>276</v>
      </c>
      <c r="G264" t="s">
        <v>180</v>
      </c>
      <c r="H264" t="s">
        <v>81</v>
      </c>
      <c r="L264">
        <v>23</v>
      </c>
      <c r="M264" t="s">
        <v>83</v>
      </c>
      <c r="O264" t="s">
        <v>83</v>
      </c>
      <c r="P264" t="s">
        <v>84</v>
      </c>
    </row>
    <row r="265" spans="1:16">
      <c r="A265" t="s">
        <v>783</v>
      </c>
      <c r="B265" t="s">
        <v>77</v>
      </c>
      <c r="C265" t="s">
        <v>257</v>
      </c>
      <c r="D265" t="s">
        <v>257</v>
      </c>
      <c r="E265" t="s">
        <v>277</v>
      </c>
      <c r="F265" t="s">
        <v>277</v>
      </c>
      <c r="G265" t="s">
        <v>180</v>
      </c>
      <c r="H265" t="s">
        <v>81</v>
      </c>
      <c r="L265">
        <v>24</v>
      </c>
      <c r="M265" t="s">
        <v>83</v>
      </c>
      <c r="O265" t="s">
        <v>83</v>
      </c>
      <c r="P265" t="s">
        <v>84</v>
      </c>
    </row>
    <row r="266" spans="1:16">
      <c r="A266" t="s">
        <v>783</v>
      </c>
      <c r="B266" t="s">
        <v>77</v>
      </c>
      <c r="C266" t="s">
        <v>257</v>
      </c>
      <c r="D266" t="s">
        <v>257</v>
      </c>
      <c r="E266" t="s">
        <v>278</v>
      </c>
      <c r="F266" t="s">
        <v>278</v>
      </c>
      <c r="G266" t="s">
        <v>209</v>
      </c>
      <c r="H266" t="s">
        <v>81</v>
      </c>
      <c r="L266">
        <v>25</v>
      </c>
      <c r="M266" t="s">
        <v>83</v>
      </c>
      <c r="O266" t="s">
        <v>83</v>
      </c>
      <c r="P266" t="s">
        <v>84</v>
      </c>
    </row>
    <row r="267" spans="1:16">
      <c r="A267" t="s">
        <v>783</v>
      </c>
      <c r="B267" t="s">
        <v>77</v>
      </c>
      <c r="C267" t="s">
        <v>257</v>
      </c>
      <c r="D267" t="s">
        <v>257</v>
      </c>
      <c r="E267" t="s">
        <v>279</v>
      </c>
      <c r="F267" t="s">
        <v>279</v>
      </c>
      <c r="G267" t="s">
        <v>280</v>
      </c>
      <c r="H267" t="s">
        <v>81</v>
      </c>
      <c r="L267">
        <v>26</v>
      </c>
      <c r="M267" t="s">
        <v>83</v>
      </c>
      <c r="O267" t="s">
        <v>83</v>
      </c>
      <c r="P267" t="s">
        <v>84</v>
      </c>
    </row>
    <row r="268" spans="1:16">
      <c r="A268" t="s">
        <v>783</v>
      </c>
      <c r="B268" t="s">
        <v>77</v>
      </c>
      <c r="C268" t="s">
        <v>257</v>
      </c>
      <c r="D268" t="s">
        <v>257</v>
      </c>
      <c r="E268" t="s">
        <v>281</v>
      </c>
      <c r="F268" t="s">
        <v>281</v>
      </c>
      <c r="G268" t="s">
        <v>92</v>
      </c>
      <c r="H268" t="s">
        <v>81</v>
      </c>
      <c r="L268">
        <v>27</v>
      </c>
      <c r="M268" t="s">
        <v>83</v>
      </c>
      <c r="O268" t="s">
        <v>83</v>
      </c>
      <c r="P268" t="s">
        <v>84</v>
      </c>
    </row>
    <row r="269" spans="1:16">
      <c r="A269" t="s">
        <v>783</v>
      </c>
      <c r="B269" t="s">
        <v>77</v>
      </c>
      <c r="C269" t="s">
        <v>257</v>
      </c>
      <c r="D269" t="s">
        <v>257</v>
      </c>
      <c r="E269" t="s">
        <v>282</v>
      </c>
      <c r="F269" t="s">
        <v>282</v>
      </c>
      <c r="G269" t="s">
        <v>283</v>
      </c>
      <c r="H269" t="s">
        <v>81</v>
      </c>
      <c r="L269">
        <v>28</v>
      </c>
      <c r="M269" t="s">
        <v>83</v>
      </c>
      <c r="O269" t="s">
        <v>83</v>
      </c>
      <c r="P269" t="s">
        <v>84</v>
      </c>
    </row>
    <row r="270" spans="1:16">
      <c r="A270" t="s">
        <v>783</v>
      </c>
      <c r="B270" t="s">
        <v>77</v>
      </c>
      <c r="C270" t="s">
        <v>257</v>
      </c>
      <c r="D270" t="s">
        <v>257</v>
      </c>
      <c r="E270" t="s">
        <v>284</v>
      </c>
      <c r="F270" t="s">
        <v>284</v>
      </c>
      <c r="G270" t="s">
        <v>98</v>
      </c>
      <c r="H270" t="s">
        <v>81</v>
      </c>
      <c r="L270">
        <v>29</v>
      </c>
      <c r="M270" t="s">
        <v>83</v>
      </c>
      <c r="O270" t="s">
        <v>83</v>
      </c>
      <c r="P270" t="s">
        <v>84</v>
      </c>
    </row>
    <row r="271" spans="1:16">
      <c r="A271" t="s">
        <v>783</v>
      </c>
      <c r="B271" t="s">
        <v>77</v>
      </c>
      <c r="C271" t="s">
        <v>257</v>
      </c>
      <c r="D271" t="s">
        <v>257</v>
      </c>
      <c r="E271" t="s">
        <v>285</v>
      </c>
      <c r="F271" t="s">
        <v>285</v>
      </c>
      <c r="G271" t="s">
        <v>98</v>
      </c>
      <c r="H271" t="s">
        <v>81</v>
      </c>
      <c r="L271">
        <v>30</v>
      </c>
      <c r="M271" t="s">
        <v>83</v>
      </c>
      <c r="O271" t="s">
        <v>83</v>
      </c>
      <c r="P271" t="s">
        <v>84</v>
      </c>
    </row>
    <row r="272" spans="1:16">
      <c r="A272" t="s">
        <v>783</v>
      </c>
      <c r="B272" t="s">
        <v>77</v>
      </c>
      <c r="C272" t="s">
        <v>257</v>
      </c>
      <c r="D272" t="s">
        <v>257</v>
      </c>
      <c r="E272" t="s">
        <v>286</v>
      </c>
      <c r="F272" t="s">
        <v>286</v>
      </c>
      <c r="G272" t="s">
        <v>88</v>
      </c>
      <c r="H272" t="s">
        <v>81</v>
      </c>
      <c r="L272">
        <v>31</v>
      </c>
      <c r="M272" t="s">
        <v>83</v>
      </c>
      <c r="O272" t="s">
        <v>83</v>
      </c>
      <c r="P272" t="s">
        <v>84</v>
      </c>
    </row>
    <row r="273" spans="1:16">
      <c r="A273" t="s">
        <v>783</v>
      </c>
      <c r="B273" t="s">
        <v>77</v>
      </c>
      <c r="C273" t="s">
        <v>257</v>
      </c>
      <c r="D273" t="s">
        <v>257</v>
      </c>
      <c r="E273" t="s">
        <v>287</v>
      </c>
      <c r="F273" t="s">
        <v>287</v>
      </c>
      <c r="G273" t="s">
        <v>98</v>
      </c>
      <c r="H273" t="s">
        <v>81</v>
      </c>
      <c r="L273">
        <v>32</v>
      </c>
      <c r="M273" t="s">
        <v>83</v>
      </c>
      <c r="O273" t="s">
        <v>83</v>
      </c>
      <c r="P273" t="s">
        <v>84</v>
      </c>
    </row>
    <row r="274" spans="1:16">
      <c r="A274" t="s">
        <v>783</v>
      </c>
      <c r="B274" t="s">
        <v>77</v>
      </c>
      <c r="C274" t="s">
        <v>257</v>
      </c>
      <c r="D274" t="s">
        <v>257</v>
      </c>
      <c r="E274" t="s">
        <v>288</v>
      </c>
      <c r="F274" t="s">
        <v>288</v>
      </c>
      <c r="G274" t="s">
        <v>180</v>
      </c>
      <c r="H274" t="s">
        <v>81</v>
      </c>
      <c r="L274">
        <v>33</v>
      </c>
      <c r="M274" t="s">
        <v>83</v>
      </c>
      <c r="O274" t="s">
        <v>83</v>
      </c>
      <c r="P274" t="s">
        <v>84</v>
      </c>
    </row>
    <row r="275" spans="1:16">
      <c r="A275" t="s">
        <v>783</v>
      </c>
      <c r="B275" t="s">
        <v>77</v>
      </c>
      <c r="C275" t="s">
        <v>257</v>
      </c>
      <c r="D275" t="s">
        <v>257</v>
      </c>
      <c r="E275" t="s">
        <v>289</v>
      </c>
      <c r="F275" t="s">
        <v>289</v>
      </c>
      <c r="G275" t="s">
        <v>249</v>
      </c>
      <c r="H275" t="s">
        <v>81</v>
      </c>
      <c r="L275">
        <v>34</v>
      </c>
      <c r="M275" t="s">
        <v>83</v>
      </c>
      <c r="O275" t="s">
        <v>83</v>
      </c>
      <c r="P275" t="s">
        <v>84</v>
      </c>
    </row>
    <row r="276" spans="1:16">
      <c r="A276" t="s">
        <v>783</v>
      </c>
      <c r="B276" t="s">
        <v>77</v>
      </c>
      <c r="C276" t="s">
        <v>257</v>
      </c>
      <c r="D276" t="s">
        <v>257</v>
      </c>
      <c r="E276" t="s">
        <v>290</v>
      </c>
      <c r="F276" t="s">
        <v>290</v>
      </c>
      <c r="G276" t="s">
        <v>209</v>
      </c>
      <c r="H276" t="s">
        <v>81</v>
      </c>
      <c r="L276">
        <v>35</v>
      </c>
      <c r="M276" t="s">
        <v>83</v>
      </c>
      <c r="O276" t="s">
        <v>83</v>
      </c>
      <c r="P276" t="s">
        <v>84</v>
      </c>
    </row>
    <row r="277" spans="1:16">
      <c r="A277" t="s">
        <v>783</v>
      </c>
      <c r="B277" t="s">
        <v>77</v>
      </c>
      <c r="C277" t="s">
        <v>257</v>
      </c>
      <c r="D277" t="s">
        <v>257</v>
      </c>
      <c r="E277" t="s">
        <v>291</v>
      </c>
      <c r="F277" t="s">
        <v>291</v>
      </c>
      <c r="G277" t="s">
        <v>168</v>
      </c>
      <c r="H277" t="s">
        <v>81</v>
      </c>
      <c r="L277">
        <v>36</v>
      </c>
      <c r="M277" t="s">
        <v>83</v>
      </c>
      <c r="O277" t="s">
        <v>83</v>
      </c>
      <c r="P277" t="s">
        <v>84</v>
      </c>
    </row>
    <row r="278" spans="1:16">
      <c r="A278" t="s">
        <v>783</v>
      </c>
      <c r="B278" t="s">
        <v>77</v>
      </c>
      <c r="C278" t="s">
        <v>257</v>
      </c>
      <c r="D278" t="s">
        <v>257</v>
      </c>
      <c r="E278" t="s">
        <v>292</v>
      </c>
      <c r="F278" t="s">
        <v>292</v>
      </c>
      <c r="G278" t="s">
        <v>249</v>
      </c>
      <c r="H278" t="s">
        <v>81</v>
      </c>
      <c r="L278">
        <v>37</v>
      </c>
      <c r="M278" t="s">
        <v>83</v>
      </c>
      <c r="O278" t="s">
        <v>83</v>
      </c>
      <c r="P278" t="s">
        <v>84</v>
      </c>
    </row>
    <row r="279" spans="1:16">
      <c r="A279" t="s">
        <v>783</v>
      </c>
      <c r="B279" t="s">
        <v>77</v>
      </c>
      <c r="C279" t="s">
        <v>257</v>
      </c>
      <c r="D279" t="s">
        <v>257</v>
      </c>
      <c r="E279" t="s">
        <v>293</v>
      </c>
      <c r="F279" t="s">
        <v>293</v>
      </c>
      <c r="G279" t="s">
        <v>249</v>
      </c>
      <c r="H279" t="s">
        <v>81</v>
      </c>
      <c r="L279">
        <v>38</v>
      </c>
      <c r="M279" t="s">
        <v>83</v>
      </c>
      <c r="O279" t="s">
        <v>83</v>
      </c>
      <c r="P279" t="s">
        <v>84</v>
      </c>
    </row>
    <row r="280" spans="1:16">
      <c r="A280" t="s">
        <v>783</v>
      </c>
      <c r="B280" t="s">
        <v>77</v>
      </c>
      <c r="C280" t="s">
        <v>257</v>
      </c>
      <c r="D280" t="s">
        <v>257</v>
      </c>
      <c r="E280" t="s">
        <v>112</v>
      </c>
      <c r="F280" t="s">
        <v>112</v>
      </c>
      <c r="G280" t="s">
        <v>113</v>
      </c>
      <c r="H280" t="s">
        <v>81</v>
      </c>
      <c r="I280" t="s">
        <v>114</v>
      </c>
      <c r="L280">
        <v>39</v>
      </c>
      <c r="M280" t="s">
        <v>83</v>
      </c>
      <c r="O280" t="s">
        <v>83</v>
      </c>
      <c r="P280" t="s">
        <v>84</v>
      </c>
    </row>
    <row r="281" spans="1:16">
      <c r="A281" t="s">
        <v>783</v>
      </c>
      <c r="B281" t="s">
        <v>77</v>
      </c>
      <c r="C281" t="s">
        <v>257</v>
      </c>
      <c r="D281" t="s">
        <v>257</v>
      </c>
      <c r="E281" t="s">
        <v>115</v>
      </c>
      <c r="F281" t="s">
        <v>115</v>
      </c>
      <c r="G281" t="s">
        <v>113</v>
      </c>
      <c r="H281" t="s">
        <v>81</v>
      </c>
      <c r="I281" t="s">
        <v>114</v>
      </c>
      <c r="L281">
        <v>40</v>
      </c>
      <c r="M281" t="s">
        <v>83</v>
      </c>
      <c r="O281" t="s">
        <v>83</v>
      </c>
      <c r="P281" t="s">
        <v>84</v>
      </c>
    </row>
    <row r="282" spans="1:16">
      <c r="A282" t="s">
        <v>783</v>
      </c>
      <c r="B282" t="s">
        <v>77</v>
      </c>
      <c r="C282" t="s">
        <v>257</v>
      </c>
      <c r="D282" t="s">
        <v>257</v>
      </c>
      <c r="E282" t="s">
        <v>117</v>
      </c>
      <c r="F282" t="s">
        <v>117</v>
      </c>
      <c r="G282" t="s">
        <v>90</v>
      </c>
      <c r="H282" t="s">
        <v>81</v>
      </c>
      <c r="L282">
        <v>47</v>
      </c>
      <c r="M282" t="s">
        <v>83</v>
      </c>
      <c r="O282" t="s">
        <v>83</v>
      </c>
      <c r="P282" t="s">
        <v>84</v>
      </c>
    </row>
    <row r="283" spans="1:16">
      <c r="A283" t="s">
        <v>783</v>
      </c>
      <c r="B283" t="s">
        <v>77</v>
      </c>
      <c r="C283" t="s">
        <v>257</v>
      </c>
      <c r="D283" t="s">
        <v>257</v>
      </c>
      <c r="E283" t="s">
        <v>174</v>
      </c>
      <c r="F283" t="s">
        <v>174</v>
      </c>
      <c r="G283" t="s">
        <v>90</v>
      </c>
      <c r="H283" t="s">
        <v>81</v>
      </c>
      <c r="L283">
        <v>48</v>
      </c>
      <c r="M283" t="s">
        <v>83</v>
      </c>
      <c r="O283" t="s">
        <v>83</v>
      </c>
      <c r="P283" t="s">
        <v>84</v>
      </c>
    </row>
    <row r="284" spans="1:16">
      <c r="A284" t="s">
        <v>783</v>
      </c>
      <c r="B284" t="s">
        <v>77</v>
      </c>
      <c r="C284" t="s">
        <v>257</v>
      </c>
      <c r="D284" t="s">
        <v>257</v>
      </c>
      <c r="E284" t="s">
        <v>118</v>
      </c>
      <c r="F284" t="s">
        <v>118</v>
      </c>
      <c r="G284" t="s">
        <v>92</v>
      </c>
      <c r="H284" t="s">
        <v>81</v>
      </c>
      <c r="L284">
        <v>49</v>
      </c>
      <c r="M284" t="s">
        <v>83</v>
      </c>
      <c r="O284" t="s">
        <v>83</v>
      </c>
      <c r="P284" t="s">
        <v>84</v>
      </c>
    </row>
    <row r="285" spans="1:16">
      <c r="A285" t="s">
        <v>783</v>
      </c>
      <c r="B285" t="s">
        <v>77</v>
      </c>
      <c r="C285" t="s">
        <v>257</v>
      </c>
      <c r="D285" t="s">
        <v>257</v>
      </c>
      <c r="E285" t="s">
        <v>784</v>
      </c>
      <c r="F285" t="s">
        <v>784</v>
      </c>
      <c r="G285" t="s">
        <v>80</v>
      </c>
      <c r="H285" t="s">
        <v>81</v>
      </c>
      <c r="I285" t="s">
        <v>82</v>
      </c>
      <c r="L285">
        <v>50</v>
      </c>
      <c r="M285" t="s">
        <v>83</v>
      </c>
      <c r="O285" t="s">
        <v>83</v>
      </c>
      <c r="P285" t="s">
        <v>84</v>
      </c>
    </row>
    <row r="286" spans="1:16">
      <c r="A286" t="s">
        <v>783</v>
      </c>
      <c r="B286" t="s">
        <v>77</v>
      </c>
      <c r="C286" t="s">
        <v>257</v>
      </c>
      <c r="D286" t="s">
        <v>257</v>
      </c>
      <c r="E286" t="s">
        <v>785</v>
      </c>
      <c r="F286" t="s">
        <v>785</v>
      </c>
      <c r="G286" t="s">
        <v>80</v>
      </c>
      <c r="H286" t="s">
        <v>81</v>
      </c>
      <c r="I286" t="s">
        <v>82</v>
      </c>
      <c r="L286">
        <v>51</v>
      </c>
      <c r="M286" t="s">
        <v>83</v>
      </c>
      <c r="O286" t="s">
        <v>83</v>
      </c>
      <c r="P286" t="s">
        <v>84</v>
      </c>
    </row>
    <row r="287" spans="1:16">
      <c r="A287" t="s">
        <v>783</v>
      </c>
      <c r="B287" t="s">
        <v>77</v>
      </c>
      <c r="C287" t="s">
        <v>257</v>
      </c>
      <c r="D287" t="s">
        <v>257</v>
      </c>
      <c r="E287" t="s">
        <v>786</v>
      </c>
      <c r="F287" t="s">
        <v>786</v>
      </c>
      <c r="G287" t="s">
        <v>787</v>
      </c>
      <c r="H287" t="s">
        <v>81</v>
      </c>
      <c r="L287">
        <v>52</v>
      </c>
      <c r="M287" t="s">
        <v>83</v>
      </c>
      <c r="O287" t="s">
        <v>83</v>
      </c>
      <c r="P287" t="s">
        <v>84</v>
      </c>
    </row>
    <row r="288" spans="1:16">
      <c r="A288" t="s">
        <v>783</v>
      </c>
      <c r="B288" t="s">
        <v>77</v>
      </c>
      <c r="C288" t="s">
        <v>294</v>
      </c>
      <c r="D288" t="s">
        <v>294</v>
      </c>
      <c r="E288" t="s">
        <v>79</v>
      </c>
      <c r="F288" t="s">
        <v>79</v>
      </c>
      <c r="G288" t="s">
        <v>80</v>
      </c>
      <c r="H288" t="s">
        <v>81</v>
      </c>
      <c r="I288" t="s">
        <v>82</v>
      </c>
      <c r="L288">
        <v>1</v>
      </c>
      <c r="M288" t="s">
        <v>83</v>
      </c>
      <c r="O288" t="s">
        <v>83</v>
      </c>
      <c r="P288" t="s">
        <v>84</v>
      </c>
    </row>
    <row r="289" spans="1:16">
      <c r="A289" t="s">
        <v>783</v>
      </c>
      <c r="B289" t="s">
        <v>77</v>
      </c>
      <c r="C289" t="s">
        <v>294</v>
      </c>
      <c r="D289" t="s">
        <v>294</v>
      </c>
      <c r="E289" t="s">
        <v>86</v>
      </c>
      <c r="F289" t="s">
        <v>86</v>
      </c>
      <c r="G289" t="s">
        <v>80</v>
      </c>
      <c r="H289" t="s">
        <v>81</v>
      </c>
      <c r="I289" t="s">
        <v>82</v>
      </c>
      <c r="L289">
        <v>2</v>
      </c>
      <c r="M289" t="s">
        <v>83</v>
      </c>
      <c r="O289" t="s">
        <v>83</v>
      </c>
      <c r="P289" t="s">
        <v>84</v>
      </c>
    </row>
    <row r="290" spans="1:16">
      <c r="A290" t="s">
        <v>783</v>
      </c>
      <c r="B290" t="s">
        <v>77</v>
      </c>
      <c r="C290" t="s">
        <v>294</v>
      </c>
      <c r="D290" t="s">
        <v>294</v>
      </c>
      <c r="E290" t="s">
        <v>87</v>
      </c>
      <c r="F290" t="s">
        <v>87</v>
      </c>
      <c r="G290" t="s">
        <v>88</v>
      </c>
      <c r="H290" t="s">
        <v>81</v>
      </c>
      <c r="J290" t="s">
        <v>83</v>
      </c>
      <c r="L290">
        <v>3</v>
      </c>
      <c r="M290" t="s">
        <v>83</v>
      </c>
      <c r="O290" t="s">
        <v>83</v>
      </c>
      <c r="P290" t="s">
        <v>84</v>
      </c>
    </row>
    <row r="291" spans="1:16">
      <c r="A291" t="s">
        <v>783</v>
      </c>
      <c r="B291" t="s">
        <v>77</v>
      </c>
      <c r="C291" t="s">
        <v>294</v>
      </c>
      <c r="D291" t="s">
        <v>294</v>
      </c>
      <c r="E291" t="s">
        <v>89</v>
      </c>
      <c r="F291" t="s">
        <v>89</v>
      </c>
      <c r="G291" t="s">
        <v>90</v>
      </c>
      <c r="H291" t="s">
        <v>81</v>
      </c>
      <c r="J291" t="s">
        <v>83</v>
      </c>
      <c r="K291" t="s">
        <v>83</v>
      </c>
      <c r="L291">
        <v>4</v>
      </c>
      <c r="M291" t="s">
        <v>83</v>
      </c>
      <c r="O291" t="s">
        <v>83</v>
      </c>
      <c r="P291" t="s">
        <v>84</v>
      </c>
    </row>
    <row r="292" spans="1:16">
      <c r="A292" t="s">
        <v>783</v>
      </c>
      <c r="B292" t="s">
        <v>77</v>
      </c>
      <c r="C292" t="s">
        <v>294</v>
      </c>
      <c r="D292" t="s">
        <v>294</v>
      </c>
      <c r="E292" t="s">
        <v>91</v>
      </c>
      <c r="F292" t="s">
        <v>91</v>
      </c>
      <c r="G292" t="s">
        <v>92</v>
      </c>
      <c r="H292" t="s">
        <v>81</v>
      </c>
      <c r="J292" t="s">
        <v>83</v>
      </c>
      <c r="L292">
        <v>5</v>
      </c>
      <c r="M292" t="s">
        <v>83</v>
      </c>
      <c r="O292" t="s">
        <v>83</v>
      </c>
      <c r="P292" t="s">
        <v>84</v>
      </c>
    </row>
    <row r="293" spans="1:16">
      <c r="A293" t="s">
        <v>783</v>
      </c>
      <c r="B293" t="s">
        <v>77</v>
      </c>
      <c r="C293" t="s">
        <v>294</v>
      </c>
      <c r="D293" t="s">
        <v>294</v>
      </c>
      <c r="E293" t="s">
        <v>295</v>
      </c>
      <c r="F293" t="s">
        <v>295</v>
      </c>
      <c r="G293" t="s">
        <v>94</v>
      </c>
      <c r="H293" t="s">
        <v>81</v>
      </c>
      <c r="L293">
        <v>6</v>
      </c>
      <c r="M293" t="s">
        <v>83</v>
      </c>
      <c r="O293" t="s">
        <v>83</v>
      </c>
      <c r="P293" t="s">
        <v>84</v>
      </c>
    </row>
    <row r="294" spans="1:16">
      <c r="A294" t="s">
        <v>783</v>
      </c>
      <c r="B294" t="s">
        <v>77</v>
      </c>
      <c r="C294" t="s">
        <v>294</v>
      </c>
      <c r="D294" t="s">
        <v>294</v>
      </c>
      <c r="E294" t="s">
        <v>296</v>
      </c>
      <c r="F294" t="s">
        <v>296</v>
      </c>
      <c r="G294" t="s">
        <v>88</v>
      </c>
      <c r="H294" t="s">
        <v>81</v>
      </c>
      <c r="L294">
        <v>7</v>
      </c>
      <c r="M294" t="s">
        <v>83</v>
      </c>
      <c r="O294" t="s">
        <v>83</v>
      </c>
      <c r="P294" t="s">
        <v>84</v>
      </c>
    </row>
    <row r="295" spans="1:16">
      <c r="A295" t="s">
        <v>783</v>
      </c>
      <c r="B295" t="s">
        <v>77</v>
      </c>
      <c r="C295" t="s">
        <v>294</v>
      </c>
      <c r="D295" t="s">
        <v>294</v>
      </c>
      <c r="E295" t="s">
        <v>297</v>
      </c>
      <c r="F295" t="s">
        <v>297</v>
      </c>
      <c r="G295" t="s">
        <v>94</v>
      </c>
      <c r="H295" t="s">
        <v>81</v>
      </c>
      <c r="L295">
        <v>8</v>
      </c>
      <c r="M295" t="s">
        <v>83</v>
      </c>
      <c r="O295" t="s">
        <v>83</v>
      </c>
      <c r="P295" t="s">
        <v>84</v>
      </c>
    </row>
    <row r="296" spans="1:16">
      <c r="A296" t="s">
        <v>783</v>
      </c>
      <c r="B296" t="s">
        <v>77</v>
      </c>
      <c r="C296" t="s">
        <v>294</v>
      </c>
      <c r="D296" t="s">
        <v>294</v>
      </c>
      <c r="E296" t="s">
        <v>298</v>
      </c>
      <c r="F296" t="s">
        <v>298</v>
      </c>
      <c r="G296" t="s">
        <v>80</v>
      </c>
      <c r="H296" t="s">
        <v>81</v>
      </c>
      <c r="I296" t="s">
        <v>82</v>
      </c>
      <c r="L296">
        <v>9</v>
      </c>
      <c r="M296" t="s">
        <v>83</v>
      </c>
      <c r="O296" t="s">
        <v>83</v>
      </c>
      <c r="P296" t="s">
        <v>84</v>
      </c>
    </row>
    <row r="297" spans="1:16">
      <c r="A297" t="s">
        <v>783</v>
      </c>
      <c r="B297" t="s">
        <v>77</v>
      </c>
      <c r="C297" t="s">
        <v>294</v>
      </c>
      <c r="D297" t="s">
        <v>294</v>
      </c>
      <c r="E297" t="s">
        <v>299</v>
      </c>
      <c r="F297" t="s">
        <v>299</v>
      </c>
      <c r="G297" t="s">
        <v>90</v>
      </c>
      <c r="H297" t="s">
        <v>81</v>
      </c>
      <c r="L297">
        <v>10</v>
      </c>
      <c r="M297" t="s">
        <v>83</v>
      </c>
      <c r="O297" t="s">
        <v>83</v>
      </c>
      <c r="P297" t="s">
        <v>84</v>
      </c>
    </row>
    <row r="298" spans="1:16">
      <c r="A298" t="s">
        <v>783</v>
      </c>
      <c r="B298" t="s">
        <v>77</v>
      </c>
      <c r="C298" t="s">
        <v>294</v>
      </c>
      <c r="D298" t="s">
        <v>294</v>
      </c>
      <c r="E298" t="s">
        <v>300</v>
      </c>
      <c r="F298" t="s">
        <v>300</v>
      </c>
      <c r="G298" t="s">
        <v>98</v>
      </c>
      <c r="H298" t="s">
        <v>81</v>
      </c>
      <c r="L298">
        <v>11</v>
      </c>
      <c r="M298" t="s">
        <v>83</v>
      </c>
      <c r="O298" t="s">
        <v>83</v>
      </c>
      <c r="P298" t="s">
        <v>84</v>
      </c>
    </row>
    <row r="299" spans="1:16">
      <c r="A299" t="s">
        <v>783</v>
      </c>
      <c r="B299" t="s">
        <v>77</v>
      </c>
      <c r="C299" t="s">
        <v>294</v>
      </c>
      <c r="D299" t="s">
        <v>294</v>
      </c>
      <c r="E299" t="s">
        <v>301</v>
      </c>
      <c r="F299" t="s">
        <v>301</v>
      </c>
      <c r="G299" t="s">
        <v>88</v>
      </c>
      <c r="H299" t="s">
        <v>81</v>
      </c>
      <c r="L299">
        <v>12</v>
      </c>
      <c r="M299" t="s">
        <v>83</v>
      </c>
      <c r="O299" t="s">
        <v>83</v>
      </c>
      <c r="P299" t="s">
        <v>84</v>
      </c>
    </row>
    <row r="300" spans="1:16">
      <c r="A300" t="s">
        <v>783</v>
      </c>
      <c r="B300" t="s">
        <v>77</v>
      </c>
      <c r="C300" t="s">
        <v>294</v>
      </c>
      <c r="D300" t="s">
        <v>294</v>
      </c>
      <c r="E300" t="s">
        <v>302</v>
      </c>
      <c r="F300" t="s">
        <v>302</v>
      </c>
      <c r="G300" t="s">
        <v>90</v>
      </c>
      <c r="H300" t="s">
        <v>81</v>
      </c>
      <c r="L300">
        <v>13</v>
      </c>
      <c r="M300" t="s">
        <v>83</v>
      </c>
      <c r="O300" t="s">
        <v>83</v>
      </c>
      <c r="P300" t="s">
        <v>84</v>
      </c>
    </row>
    <row r="301" spans="1:16">
      <c r="A301" t="s">
        <v>783</v>
      </c>
      <c r="B301" t="s">
        <v>77</v>
      </c>
      <c r="C301" t="s">
        <v>294</v>
      </c>
      <c r="D301" t="s">
        <v>294</v>
      </c>
      <c r="E301" t="s">
        <v>303</v>
      </c>
      <c r="F301" t="s">
        <v>303</v>
      </c>
      <c r="G301" t="s">
        <v>98</v>
      </c>
      <c r="H301" t="s">
        <v>81</v>
      </c>
      <c r="L301">
        <v>14</v>
      </c>
      <c r="M301" t="s">
        <v>83</v>
      </c>
      <c r="O301" t="s">
        <v>83</v>
      </c>
      <c r="P301" t="s">
        <v>84</v>
      </c>
    </row>
    <row r="302" spans="1:16">
      <c r="A302" t="s">
        <v>783</v>
      </c>
      <c r="B302" t="s">
        <v>77</v>
      </c>
      <c r="C302" t="s">
        <v>294</v>
      </c>
      <c r="D302" t="s">
        <v>294</v>
      </c>
      <c r="E302" t="s">
        <v>304</v>
      </c>
      <c r="F302" t="s">
        <v>304</v>
      </c>
      <c r="G302" t="s">
        <v>98</v>
      </c>
      <c r="H302" t="s">
        <v>81</v>
      </c>
      <c r="L302">
        <v>15</v>
      </c>
      <c r="M302" t="s">
        <v>83</v>
      </c>
      <c r="O302" t="s">
        <v>83</v>
      </c>
      <c r="P302" t="s">
        <v>84</v>
      </c>
    </row>
    <row r="303" spans="1:16">
      <c r="A303" t="s">
        <v>783</v>
      </c>
      <c r="B303" t="s">
        <v>77</v>
      </c>
      <c r="C303" t="s">
        <v>294</v>
      </c>
      <c r="D303" t="s">
        <v>294</v>
      </c>
      <c r="E303" t="s">
        <v>305</v>
      </c>
      <c r="F303" t="s">
        <v>305</v>
      </c>
      <c r="G303" t="s">
        <v>98</v>
      </c>
      <c r="H303" t="s">
        <v>81</v>
      </c>
      <c r="L303">
        <v>16</v>
      </c>
      <c r="M303" t="s">
        <v>83</v>
      </c>
      <c r="O303" t="s">
        <v>83</v>
      </c>
      <c r="P303" t="s">
        <v>84</v>
      </c>
    </row>
    <row r="304" spans="1:16">
      <c r="A304" t="s">
        <v>783</v>
      </c>
      <c r="B304" t="s">
        <v>77</v>
      </c>
      <c r="C304" t="s">
        <v>294</v>
      </c>
      <c r="D304" t="s">
        <v>294</v>
      </c>
      <c r="E304" t="s">
        <v>117</v>
      </c>
      <c r="F304" t="s">
        <v>117</v>
      </c>
      <c r="G304" t="s">
        <v>90</v>
      </c>
      <c r="H304" t="s">
        <v>81</v>
      </c>
      <c r="L304">
        <v>17</v>
      </c>
      <c r="M304" t="s">
        <v>83</v>
      </c>
      <c r="O304" t="s">
        <v>83</v>
      </c>
      <c r="P304" t="s">
        <v>84</v>
      </c>
    </row>
    <row r="305" spans="1:16">
      <c r="A305" t="s">
        <v>783</v>
      </c>
      <c r="B305" t="s">
        <v>77</v>
      </c>
      <c r="C305" t="s">
        <v>294</v>
      </c>
      <c r="D305" t="s">
        <v>294</v>
      </c>
      <c r="E305" t="s">
        <v>174</v>
      </c>
      <c r="F305" t="s">
        <v>174</v>
      </c>
      <c r="G305" t="s">
        <v>90</v>
      </c>
      <c r="H305" t="s">
        <v>81</v>
      </c>
      <c r="L305">
        <v>18</v>
      </c>
      <c r="M305" t="s">
        <v>83</v>
      </c>
      <c r="O305" t="s">
        <v>83</v>
      </c>
      <c r="P305" t="s">
        <v>84</v>
      </c>
    </row>
    <row r="306" spans="1:16">
      <c r="A306" t="s">
        <v>783</v>
      </c>
      <c r="B306" t="s">
        <v>77</v>
      </c>
      <c r="C306" t="s">
        <v>294</v>
      </c>
      <c r="D306" t="s">
        <v>294</v>
      </c>
      <c r="E306" t="s">
        <v>112</v>
      </c>
      <c r="F306" t="s">
        <v>112</v>
      </c>
      <c r="G306" t="s">
        <v>113</v>
      </c>
      <c r="H306" t="s">
        <v>81</v>
      </c>
      <c r="I306" t="s">
        <v>114</v>
      </c>
      <c r="L306">
        <v>19</v>
      </c>
      <c r="M306" t="s">
        <v>83</v>
      </c>
      <c r="O306" t="s">
        <v>83</v>
      </c>
      <c r="P306" t="s">
        <v>84</v>
      </c>
    </row>
    <row r="307" spans="1:16">
      <c r="A307" t="s">
        <v>783</v>
      </c>
      <c r="B307" t="s">
        <v>77</v>
      </c>
      <c r="C307" t="s">
        <v>294</v>
      </c>
      <c r="D307" t="s">
        <v>294</v>
      </c>
      <c r="E307" t="s">
        <v>115</v>
      </c>
      <c r="F307" t="s">
        <v>115</v>
      </c>
      <c r="G307" t="s">
        <v>113</v>
      </c>
      <c r="H307" t="s">
        <v>81</v>
      </c>
      <c r="I307" t="s">
        <v>114</v>
      </c>
      <c r="L307">
        <v>20</v>
      </c>
      <c r="M307" t="s">
        <v>83</v>
      </c>
      <c r="O307" t="s">
        <v>83</v>
      </c>
      <c r="P307" t="s">
        <v>84</v>
      </c>
    </row>
    <row r="308" spans="1:16">
      <c r="A308" t="s">
        <v>783</v>
      </c>
      <c r="B308" t="s">
        <v>77</v>
      </c>
      <c r="C308" t="s">
        <v>294</v>
      </c>
      <c r="D308" t="s">
        <v>294</v>
      </c>
      <c r="E308" t="s">
        <v>118</v>
      </c>
      <c r="F308" t="s">
        <v>118</v>
      </c>
      <c r="G308" t="s">
        <v>92</v>
      </c>
      <c r="H308" t="s">
        <v>81</v>
      </c>
      <c r="L308">
        <v>27</v>
      </c>
      <c r="M308" t="s">
        <v>83</v>
      </c>
      <c r="O308" t="s">
        <v>83</v>
      </c>
      <c r="P308" t="s">
        <v>84</v>
      </c>
    </row>
    <row r="309" spans="1:16">
      <c r="A309" t="s">
        <v>783</v>
      </c>
      <c r="B309" t="s">
        <v>77</v>
      </c>
      <c r="C309" t="s">
        <v>294</v>
      </c>
      <c r="D309" t="s">
        <v>294</v>
      </c>
      <c r="E309" t="s">
        <v>784</v>
      </c>
      <c r="F309" t="s">
        <v>784</v>
      </c>
      <c r="G309" t="s">
        <v>80</v>
      </c>
      <c r="H309" t="s">
        <v>81</v>
      </c>
      <c r="I309" t="s">
        <v>82</v>
      </c>
      <c r="L309">
        <v>28</v>
      </c>
      <c r="M309" t="s">
        <v>83</v>
      </c>
      <c r="O309" t="s">
        <v>83</v>
      </c>
      <c r="P309" t="s">
        <v>84</v>
      </c>
    </row>
    <row r="310" spans="1:16">
      <c r="A310" t="s">
        <v>783</v>
      </c>
      <c r="B310" t="s">
        <v>77</v>
      </c>
      <c r="C310" t="s">
        <v>294</v>
      </c>
      <c r="D310" t="s">
        <v>294</v>
      </c>
      <c r="E310" t="s">
        <v>785</v>
      </c>
      <c r="F310" t="s">
        <v>785</v>
      </c>
      <c r="G310" t="s">
        <v>80</v>
      </c>
      <c r="H310" t="s">
        <v>81</v>
      </c>
      <c r="I310" t="s">
        <v>82</v>
      </c>
      <c r="L310">
        <v>29</v>
      </c>
      <c r="M310" t="s">
        <v>83</v>
      </c>
      <c r="O310" t="s">
        <v>83</v>
      </c>
      <c r="P310" t="s">
        <v>84</v>
      </c>
    </row>
    <row r="311" spans="1:16">
      <c r="A311" t="s">
        <v>783</v>
      </c>
      <c r="B311" t="s">
        <v>77</v>
      </c>
      <c r="C311" t="s">
        <v>294</v>
      </c>
      <c r="D311" t="s">
        <v>294</v>
      </c>
      <c r="E311" t="s">
        <v>786</v>
      </c>
      <c r="F311" t="s">
        <v>786</v>
      </c>
      <c r="G311" t="s">
        <v>787</v>
      </c>
      <c r="H311" t="s">
        <v>81</v>
      </c>
      <c r="L311">
        <v>30</v>
      </c>
      <c r="M311" t="s">
        <v>83</v>
      </c>
      <c r="O311" t="s">
        <v>83</v>
      </c>
      <c r="P311" t="s">
        <v>84</v>
      </c>
    </row>
    <row r="312" spans="1:16">
      <c r="A312" t="s">
        <v>783</v>
      </c>
      <c r="B312" t="s">
        <v>77</v>
      </c>
      <c r="C312" t="s">
        <v>306</v>
      </c>
      <c r="D312" t="s">
        <v>306</v>
      </c>
      <c r="E312" t="s">
        <v>79</v>
      </c>
      <c r="F312" t="s">
        <v>79</v>
      </c>
      <c r="G312" t="s">
        <v>80</v>
      </c>
      <c r="H312" t="s">
        <v>81</v>
      </c>
      <c r="I312" t="s">
        <v>82</v>
      </c>
      <c r="L312">
        <v>1</v>
      </c>
      <c r="M312" t="s">
        <v>83</v>
      </c>
      <c r="O312" t="s">
        <v>83</v>
      </c>
      <c r="P312" t="s">
        <v>84</v>
      </c>
    </row>
    <row r="313" spans="1:16">
      <c r="A313" t="s">
        <v>783</v>
      </c>
      <c r="B313" t="s">
        <v>77</v>
      </c>
      <c r="C313" t="s">
        <v>306</v>
      </c>
      <c r="D313" t="s">
        <v>306</v>
      </c>
      <c r="E313" t="s">
        <v>86</v>
      </c>
      <c r="F313" t="s">
        <v>86</v>
      </c>
      <c r="G313" t="s">
        <v>80</v>
      </c>
      <c r="H313" t="s">
        <v>81</v>
      </c>
      <c r="I313" t="s">
        <v>82</v>
      </c>
      <c r="L313">
        <v>2</v>
      </c>
      <c r="M313" t="s">
        <v>83</v>
      </c>
      <c r="O313" t="s">
        <v>83</v>
      </c>
      <c r="P313" t="s">
        <v>84</v>
      </c>
    </row>
    <row r="314" spans="1:16">
      <c r="A314" t="s">
        <v>783</v>
      </c>
      <c r="B314" t="s">
        <v>77</v>
      </c>
      <c r="C314" t="s">
        <v>306</v>
      </c>
      <c r="D314" t="s">
        <v>306</v>
      </c>
      <c r="E314" t="s">
        <v>87</v>
      </c>
      <c r="F314" t="s">
        <v>87</v>
      </c>
      <c r="G314" t="s">
        <v>88</v>
      </c>
      <c r="H314" t="s">
        <v>81</v>
      </c>
      <c r="J314" t="s">
        <v>83</v>
      </c>
      <c r="L314">
        <v>3</v>
      </c>
      <c r="M314" t="s">
        <v>83</v>
      </c>
      <c r="O314" t="s">
        <v>83</v>
      </c>
      <c r="P314" t="s">
        <v>84</v>
      </c>
    </row>
    <row r="315" spans="1:16">
      <c r="A315" t="s">
        <v>783</v>
      </c>
      <c r="B315" t="s">
        <v>77</v>
      </c>
      <c r="C315" t="s">
        <v>306</v>
      </c>
      <c r="D315" t="s">
        <v>306</v>
      </c>
      <c r="E315" t="s">
        <v>89</v>
      </c>
      <c r="F315" t="s">
        <v>89</v>
      </c>
      <c r="G315" t="s">
        <v>90</v>
      </c>
      <c r="H315" t="s">
        <v>81</v>
      </c>
      <c r="J315" t="s">
        <v>83</v>
      </c>
      <c r="K315" t="s">
        <v>83</v>
      </c>
      <c r="L315">
        <v>4</v>
      </c>
      <c r="M315" t="s">
        <v>83</v>
      </c>
      <c r="O315" t="s">
        <v>83</v>
      </c>
      <c r="P315" t="s">
        <v>84</v>
      </c>
    </row>
    <row r="316" spans="1:16">
      <c r="A316" t="s">
        <v>783</v>
      </c>
      <c r="B316" t="s">
        <v>77</v>
      </c>
      <c r="C316" t="s">
        <v>306</v>
      </c>
      <c r="D316" t="s">
        <v>306</v>
      </c>
      <c r="E316" t="s">
        <v>307</v>
      </c>
      <c r="F316" t="s">
        <v>307</v>
      </c>
      <c r="G316" t="s">
        <v>80</v>
      </c>
      <c r="H316" t="s">
        <v>81</v>
      </c>
      <c r="I316" t="s">
        <v>82</v>
      </c>
      <c r="L316">
        <v>5</v>
      </c>
      <c r="M316" t="s">
        <v>83</v>
      </c>
      <c r="O316" t="s">
        <v>83</v>
      </c>
      <c r="P316" t="s">
        <v>84</v>
      </c>
    </row>
    <row r="317" spans="1:16">
      <c r="A317" t="s">
        <v>783</v>
      </c>
      <c r="B317" t="s">
        <v>77</v>
      </c>
      <c r="C317" t="s">
        <v>306</v>
      </c>
      <c r="D317" t="s">
        <v>306</v>
      </c>
      <c r="E317" t="s">
        <v>308</v>
      </c>
      <c r="F317" t="s">
        <v>308</v>
      </c>
      <c r="G317" t="s">
        <v>90</v>
      </c>
      <c r="H317" t="s">
        <v>81</v>
      </c>
      <c r="L317">
        <v>6</v>
      </c>
      <c r="M317" t="s">
        <v>83</v>
      </c>
      <c r="O317" t="s">
        <v>83</v>
      </c>
      <c r="P317" t="s">
        <v>84</v>
      </c>
    </row>
    <row r="318" spans="1:16">
      <c r="A318" t="s">
        <v>783</v>
      </c>
      <c r="B318" t="s">
        <v>77</v>
      </c>
      <c r="C318" t="s">
        <v>306</v>
      </c>
      <c r="D318" t="s">
        <v>306</v>
      </c>
      <c r="E318" t="s">
        <v>91</v>
      </c>
      <c r="F318" t="s">
        <v>91</v>
      </c>
      <c r="G318" t="s">
        <v>92</v>
      </c>
      <c r="H318" t="s">
        <v>81</v>
      </c>
      <c r="J318" t="s">
        <v>83</v>
      </c>
      <c r="L318">
        <v>7</v>
      </c>
      <c r="M318" t="s">
        <v>83</v>
      </c>
      <c r="O318" t="s">
        <v>83</v>
      </c>
      <c r="P318" t="s">
        <v>84</v>
      </c>
    </row>
    <row r="319" spans="1:16">
      <c r="A319" t="s">
        <v>783</v>
      </c>
      <c r="B319" t="s">
        <v>77</v>
      </c>
      <c r="C319" t="s">
        <v>306</v>
      </c>
      <c r="D319" t="s">
        <v>306</v>
      </c>
      <c r="E319" t="s">
        <v>309</v>
      </c>
      <c r="F319" t="s">
        <v>309</v>
      </c>
      <c r="G319" t="s">
        <v>94</v>
      </c>
      <c r="H319" t="s">
        <v>81</v>
      </c>
      <c r="L319">
        <v>8</v>
      </c>
      <c r="M319" t="s">
        <v>83</v>
      </c>
      <c r="O319" t="s">
        <v>83</v>
      </c>
      <c r="P319" t="s">
        <v>84</v>
      </c>
    </row>
    <row r="320" spans="1:16">
      <c r="A320" t="s">
        <v>783</v>
      </c>
      <c r="B320" t="s">
        <v>77</v>
      </c>
      <c r="C320" t="s">
        <v>306</v>
      </c>
      <c r="D320" t="s">
        <v>306</v>
      </c>
      <c r="E320" t="s">
        <v>310</v>
      </c>
      <c r="F320" t="s">
        <v>310</v>
      </c>
      <c r="G320" t="s">
        <v>88</v>
      </c>
      <c r="H320" t="s">
        <v>81</v>
      </c>
      <c r="L320">
        <v>9</v>
      </c>
      <c r="M320" t="s">
        <v>83</v>
      </c>
      <c r="O320" t="s">
        <v>83</v>
      </c>
      <c r="P320" t="s">
        <v>84</v>
      </c>
    </row>
    <row r="321" spans="1:16">
      <c r="A321" t="s">
        <v>783</v>
      </c>
      <c r="B321" t="s">
        <v>77</v>
      </c>
      <c r="C321" t="s">
        <v>306</v>
      </c>
      <c r="D321" t="s">
        <v>306</v>
      </c>
      <c r="E321" t="s">
        <v>311</v>
      </c>
      <c r="F321" t="s">
        <v>311</v>
      </c>
      <c r="G321" t="s">
        <v>94</v>
      </c>
      <c r="H321" t="s">
        <v>81</v>
      </c>
      <c r="L321">
        <v>10</v>
      </c>
      <c r="M321" t="s">
        <v>83</v>
      </c>
      <c r="O321" t="s">
        <v>83</v>
      </c>
      <c r="P321" t="s">
        <v>84</v>
      </c>
    </row>
    <row r="322" spans="1:16">
      <c r="A322" t="s">
        <v>783</v>
      </c>
      <c r="B322" t="s">
        <v>77</v>
      </c>
      <c r="C322" t="s">
        <v>306</v>
      </c>
      <c r="D322" t="s">
        <v>306</v>
      </c>
      <c r="E322" t="s">
        <v>312</v>
      </c>
      <c r="F322" t="s">
        <v>312</v>
      </c>
      <c r="G322" t="s">
        <v>98</v>
      </c>
      <c r="H322" t="s">
        <v>81</v>
      </c>
      <c r="L322">
        <v>11</v>
      </c>
      <c r="M322" t="s">
        <v>83</v>
      </c>
      <c r="O322" t="s">
        <v>83</v>
      </c>
      <c r="P322" t="s">
        <v>84</v>
      </c>
    </row>
    <row r="323" spans="1:16">
      <c r="A323" t="s">
        <v>783</v>
      </c>
      <c r="B323" t="s">
        <v>77</v>
      </c>
      <c r="C323" t="s">
        <v>306</v>
      </c>
      <c r="D323" t="s">
        <v>306</v>
      </c>
      <c r="E323" t="s">
        <v>313</v>
      </c>
      <c r="F323" t="s">
        <v>313</v>
      </c>
      <c r="G323" t="s">
        <v>88</v>
      </c>
      <c r="H323" t="s">
        <v>81</v>
      </c>
      <c r="L323">
        <v>12</v>
      </c>
      <c r="M323" t="s">
        <v>83</v>
      </c>
      <c r="O323" t="s">
        <v>83</v>
      </c>
      <c r="P323" t="s">
        <v>84</v>
      </c>
    </row>
    <row r="324" spans="1:16">
      <c r="A324" t="s">
        <v>783</v>
      </c>
      <c r="B324" t="s">
        <v>77</v>
      </c>
      <c r="C324" t="s">
        <v>306</v>
      </c>
      <c r="D324" t="s">
        <v>306</v>
      </c>
      <c r="E324" t="s">
        <v>314</v>
      </c>
      <c r="F324" t="s">
        <v>314</v>
      </c>
      <c r="G324" t="s">
        <v>90</v>
      </c>
      <c r="H324" t="s">
        <v>81</v>
      </c>
      <c r="L324">
        <v>13</v>
      </c>
      <c r="M324" t="s">
        <v>83</v>
      </c>
      <c r="O324" t="s">
        <v>83</v>
      </c>
      <c r="P324" t="s">
        <v>84</v>
      </c>
    </row>
    <row r="325" spans="1:16">
      <c r="A325" t="s">
        <v>783</v>
      </c>
      <c r="B325" t="s">
        <v>77</v>
      </c>
      <c r="C325" t="s">
        <v>306</v>
      </c>
      <c r="D325" t="s">
        <v>306</v>
      </c>
      <c r="E325" t="s">
        <v>315</v>
      </c>
      <c r="F325" t="s">
        <v>315</v>
      </c>
      <c r="G325" t="s">
        <v>98</v>
      </c>
      <c r="H325" t="s">
        <v>81</v>
      </c>
      <c r="L325">
        <v>14</v>
      </c>
      <c r="M325" t="s">
        <v>83</v>
      </c>
      <c r="O325" t="s">
        <v>83</v>
      </c>
      <c r="P325" t="s">
        <v>84</v>
      </c>
    </row>
    <row r="326" spans="1:16">
      <c r="A326" t="s">
        <v>783</v>
      </c>
      <c r="B326" t="s">
        <v>77</v>
      </c>
      <c r="C326" t="s">
        <v>306</v>
      </c>
      <c r="D326" t="s">
        <v>306</v>
      </c>
      <c r="E326" t="s">
        <v>112</v>
      </c>
      <c r="F326" t="s">
        <v>112</v>
      </c>
      <c r="G326" t="s">
        <v>113</v>
      </c>
      <c r="H326" t="s">
        <v>81</v>
      </c>
      <c r="I326" t="s">
        <v>114</v>
      </c>
      <c r="L326">
        <v>15</v>
      </c>
      <c r="M326" t="s">
        <v>83</v>
      </c>
      <c r="O326" t="s">
        <v>83</v>
      </c>
      <c r="P326" t="s">
        <v>84</v>
      </c>
    </row>
    <row r="327" spans="1:16">
      <c r="A327" t="s">
        <v>783</v>
      </c>
      <c r="B327" t="s">
        <v>77</v>
      </c>
      <c r="C327" t="s">
        <v>306</v>
      </c>
      <c r="D327" t="s">
        <v>306</v>
      </c>
      <c r="E327" t="s">
        <v>115</v>
      </c>
      <c r="F327" t="s">
        <v>115</v>
      </c>
      <c r="G327" t="s">
        <v>113</v>
      </c>
      <c r="H327" t="s">
        <v>81</v>
      </c>
      <c r="I327" t="s">
        <v>114</v>
      </c>
      <c r="L327">
        <v>16</v>
      </c>
      <c r="M327" t="s">
        <v>83</v>
      </c>
      <c r="O327" t="s">
        <v>83</v>
      </c>
      <c r="P327" t="s">
        <v>84</v>
      </c>
    </row>
    <row r="328" spans="1:16">
      <c r="A328" t="s">
        <v>783</v>
      </c>
      <c r="B328" t="s">
        <v>77</v>
      </c>
      <c r="C328" t="s">
        <v>306</v>
      </c>
      <c r="D328" t="s">
        <v>306</v>
      </c>
      <c r="E328" t="s">
        <v>316</v>
      </c>
      <c r="F328" t="s">
        <v>316</v>
      </c>
      <c r="G328" t="s">
        <v>90</v>
      </c>
      <c r="H328" t="s">
        <v>81</v>
      </c>
      <c r="L328">
        <v>23</v>
      </c>
      <c r="M328" t="s">
        <v>83</v>
      </c>
      <c r="O328" t="s">
        <v>83</v>
      </c>
      <c r="P328" t="s">
        <v>84</v>
      </c>
    </row>
    <row r="329" spans="1:16">
      <c r="A329" t="s">
        <v>783</v>
      </c>
      <c r="B329" t="s">
        <v>77</v>
      </c>
      <c r="C329" t="s">
        <v>306</v>
      </c>
      <c r="D329" t="s">
        <v>306</v>
      </c>
      <c r="E329" t="s">
        <v>117</v>
      </c>
      <c r="F329" t="s">
        <v>117</v>
      </c>
      <c r="G329" t="s">
        <v>90</v>
      </c>
      <c r="H329" t="s">
        <v>81</v>
      </c>
      <c r="L329">
        <v>24</v>
      </c>
      <c r="M329" t="s">
        <v>83</v>
      </c>
      <c r="O329" t="s">
        <v>83</v>
      </c>
      <c r="P329" t="s">
        <v>84</v>
      </c>
    </row>
    <row r="330" spans="1:16">
      <c r="A330" t="s">
        <v>783</v>
      </c>
      <c r="B330" t="s">
        <v>77</v>
      </c>
      <c r="C330" t="s">
        <v>306</v>
      </c>
      <c r="D330" t="s">
        <v>306</v>
      </c>
      <c r="E330" t="s">
        <v>174</v>
      </c>
      <c r="F330" t="s">
        <v>174</v>
      </c>
      <c r="G330" t="s">
        <v>90</v>
      </c>
      <c r="H330" t="s">
        <v>81</v>
      </c>
      <c r="L330">
        <v>25</v>
      </c>
      <c r="M330" t="s">
        <v>83</v>
      </c>
      <c r="O330" t="s">
        <v>83</v>
      </c>
      <c r="P330" t="s">
        <v>84</v>
      </c>
    </row>
    <row r="331" spans="1:16">
      <c r="A331" t="s">
        <v>783</v>
      </c>
      <c r="B331" t="s">
        <v>77</v>
      </c>
      <c r="C331" t="s">
        <v>306</v>
      </c>
      <c r="D331" t="s">
        <v>306</v>
      </c>
      <c r="E331" t="s">
        <v>118</v>
      </c>
      <c r="F331" t="s">
        <v>118</v>
      </c>
      <c r="G331" t="s">
        <v>92</v>
      </c>
      <c r="H331" t="s">
        <v>81</v>
      </c>
      <c r="L331">
        <v>26</v>
      </c>
      <c r="M331" t="s">
        <v>83</v>
      </c>
      <c r="O331" t="s">
        <v>83</v>
      </c>
      <c r="P331" t="s">
        <v>84</v>
      </c>
    </row>
    <row r="332" spans="1:16">
      <c r="A332" t="s">
        <v>783</v>
      </c>
      <c r="B332" t="s">
        <v>77</v>
      </c>
      <c r="C332" t="s">
        <v>306</v>
      </c>
      <c r="D332" t="s">
        <v>306</v>
      </c>
      <c r="E332" t="s">
        <v>784</v>
      </c>
      <c r="F332" t="s">
        <v>784</v>
      </c>
      <c r="G332" t="s">
        <v>80</v>
      </c>
      <c r="H332" t="s">
        <v>81</v>
      </c>
      <c r="I332" t="s">
        <v>82</v>
      </c>
      <c r="L332">
        <v>27</v>
      </c>
      <c r="M332" t="s">
        <v>83</v>
      </c>
      <c r="O332" t="s">
        <v>83</v>
      </c>
      <c r="P332" t="s">
        <v>84</v>
      </c>
    </row>
    <row r="333" spans="1:16">
      <c r="A333" t="s">
        <v>783</v>
      </c>
      <c r="B333" t="s">
        <v>77</v>
      </c>
      <c r="C333" t="s">
        <v>306</v>
      </c>
      <c r="D333" t="s">
        <v>306</v>
      </c>
      <c r="E333" t="s">
        <v>785</v>
      </c>
      <c r="F333" t="s">
        <v>785</v>
      </c>
      <c r="G333" t="s">
        <v>80</v>
      </c>
      <c r="H333" t="s">
        <v>81</v>
      </c>
      <c r="I333" t="s">
        <v>82</v>
      </c>
      <c r="L333">
        <v>28</v>
      </c>
      <c r="M333" t="s">
        <v>83</v>
      </c>
      <c r="O333" t="s">
        <v>83</v>
      </c>
      <c r="P333" t="s">
        <v>84</v>
      </c>
    </row>
    <row r="334" spans="1:16">
      <c r="A334" t="s">
        <v>783</v>
      </c>
      <c r="B334" t="s">
        <v>77</v>
      </c>
      <c r="C334" t="s">
        <v>306</v>
      </c>
      <c r="D334" t="s">
        <v>306</v>
      </c>
      <c r="E334" t="s">
        <v>786</v>
      </c>
      <c r="F334" t="s">
        <v>786</v>
      </c>
      <c r="G334" t="s">
        <v>787</v>
      </c>
      <c r="H334" t="s">
        <v>81</v>
      </c>
      <c r="L334">
        <v>29</v>
      </c>
      <c r="M334" t="s">
        <v>83</v>
      </c>
      <c r="O334" t="s">
        <v>83</v>
      </c>
      <c r="P334" t="s">
        <v>84</v>
      </c>
    </row>
    <row r="335" spans="1:16">
      <c r="A335" t="s">
        <v>783</v>
      </c>
      <c r="B335" t="s">
        <v>77</v>
      </c>
      <c r="C335" t="s">
        <v>317</v>
      </c>
      <c r="D335" t="s">
        <v>317</v>
      </c>
      <c r="E335" t="s">
        <v>79</v>
      </c>
      <c r="F335" t="s">
        <v>79</v>
      </c>
      <c r="G335" t="s">
        <v>80</v>
      </c>
      <c r="H335" t="s">
        <v>81</v>
      </c>
      <c r="I335" t="s">
        <v>82</v>
      </c>
      <c r="L335">
        <v>1</v>
      </c>
      <c r="M335" t="s">
        <v>83</v>
      </c>
      <c r="O335" t="s">
        <v>83</v>
      </c>
      <c r="P335" t="s">
        <v>84</v>
      </c>
    </row>
    <row r="336" spans="1:16">
      <c r="A336" t="s">
        <v>783</v>
      </c>
      <c r="B336" t="s">
        <v>77</v>
      </c>
      <c r="C336" t="s">
        <v>317</v>
      </c>
      <c r="D336" t="s">
        <v>317</v>
      </c>
      <c r="E336" t="s">
        <v>86</v>
      </c>
      <c r="F336" t="s">
        <v>86</v>
      </c>
      <c r="G336" t="s">
        <v>80</v>
      </c>
      <c r="H336" t="s">
        <v>81</v>
      </c>
      <c r="I336" t="s">
        <v>82</v>
      </c>
      <c r="L336">
        <v>2</v>
      </c>
      <c r="M336" t="s">
        <v>83</v>
      </c>
      <c r="O336" t="s">
        <v>83</v>
      </c>
      <c r="P336" t="s">
        <v>84</v>
      </c>
    </row>
    <row r="337" spans="1:16">
      <c r="A337" t="s">
        <v>783</v>
      </c>
      <c r="B337" t="s">
        <v>77</v>
      </c>
      <c r="C337" t="s">
        <v>317</v>
      </c>
      <c r="D337" t="s">
        <v>317</v>
      </c>
      <c r="E337" t="s">
        <v>87</v>
      </c>
      <c r="F337" t="s">
        <v>87</v>
      </c>
      <c r="G337" t="s">
        <v>88</v>
      </c>
      <c r="H337" t="s">
        <v>81</v>
      </c>
      <c r="J337" t="s">
        <v>83</v>
      </c>
      <c r="L337">
        <v>3</v>
      </c>
      <c r="M337" t="s">
        <v>83</v>
      </c>
      <c r="O337" t="s">
        <v>83</v>
      </c>
      <c r="P337" t="s">
        <v>84</v>
      </c>
    </row>
    <row r="338" spans="1:16">
      <c r="A338" t="s">
        <v>783</v>
      </c>
      <c r="B338" t="s">
        <v>77</v>
      </c>
      <c r="C338" t="s">
        <v>317</v>
      </c>
      <c r="D338" t="s">
        <v>317</v>
      </c>
      <c r="E338" t="s">
        <v>89</v>
      </c>
      <c r="F338" t="s">
        <v>89</v>
      </c>
      <c r="G338" t="s">
        <v>90</v>
      </c>
      <c r="H338" t="s">
        <v>81</v>
      </c>
      <c r="J338" t="s">
        <v>83</v>
      </c>
      <c r="K338" t="s">
        <v>83</v>
      </c>
      <c r="L338">
        <v>4</v>
      </c>
      <c r="M338" t="s">
        <v>83</v>
      </c>
      <c r="O338" t="s">
        <v>83</v>
      </c>
      <c r="P338" t="s">
        <v>84</v>
      </c>
    </row>
    <row r="339" spans="1:16">
      <c r="A339" t="s">
        <v>783</v>
      </c>
      <c r="B339" t="s">
        <v>77</v>
      </c>
      <c r="C339" t="s">
        <v>317</v>
      </c>
      <c r="D339" t="s">
        <v>317</v>
      </c>
      <c r="E339" t="s">
        <v>318</v>
      </c>
      <c r="F339" t="s">
        <v>318</v>
      </c>
      <c r="G339" t="s">
        <v>80</v>
      </c>
      <c r="H339" t="s">
        <v>81</v>
      </c>
      <c r="I339" t="s">
        <v>82</v>
      </c>
      <c r="L339">
        <v>5</v>
      </c>
      <c r="M339" t="s">
        <v>83</v>
      </c>
      <c r="O339" t="s">
        <v>83</v>
      </c>
      <c r="P339" t="s">
        <v>84</v>
      </c>
    </row>
    <row r="340" spans="1:16">
      <c r="A340" t="s">
        <v>783</v>
      </c>
      <c r="B340" t="s">
        <v>77</v>
      </c>
      <c r="C340" t="s">
        <v>317</v>
      </c>
      <c r="D340" t="s">
        <v>317</v>
      </c>
      <c r="E340" t="s">
        <v>319</v>
      </c>
      <c r="F340" t="s">
        <v>319</v>
      </c>
      <c r="G340" t="s">
        <v>90</v>
      </c>
      <c r="H340" t="s">
        <v>81</v>
      </c>
      <c r="L340">
        <v>6</v>
      </c>
      <c r="M340" t="s">
        <v>83</v>
      </c>
      <c r="O340" t="s">
        <v>83</v>
      </c>
      <c r="P340" t="s">
        <v>84</v>
      </c>
    </row>
    <row r="341" spans="1:16">
      <c r="A341" t="s">
        <v>783</v>
      </c>
      <c r="B341" t="s">
        <v>77</v>
      </c>
      <c r="C341" t="s">
        <v>317</v>
      </c>
      <c r="D341" t="s">
        <v>317</v>
      </c>
      <c r="E341" t="s">
        <v>91</v>
      </c>
      <c r="F341" t="s">
        <v>91</v>
      </c>
      <c r="G341" t="s">
        <v>92</v>
      </c>
      <c r="H341" t="s">
        <v>81</v>
      </c>
      <c r="J341" t="s">
        <v>83</v>
      </c>
      <c r="L341">
        <v>7</v>
      </c>
      <c r="M341" t="s">
        <v>83</v>
      </c>
      <c r="O341" t="s">
        <v>83</v>
      </c>
      <c r="P341" t="s">
        <v>84</v>
      </c>
    </row>
    <row r="342" spans="1:16">
      <c r="A342" t="s">
        <v>783</v>
      </c>
      <c r="B342" t="s">
        <v>77</v>
      </c>
      <c r="C342" t="s">
        <v>317</v>
      </c>
      <c r="D342" t="s">
        <v>317</v>
      </c>
      <c r="E342" t="s">
        <v>320</v>
      </c>
      <c r="F342" t="s">
        <v>320</v>
      </c>
      <c r="G342" t="s">
        <v>94</v>
      </c>
      <c r="H342" t="s">
        <v>81</v>
      </c>
      <c r="L342">
        <v>8</v>
      </c>
      <c r="M342" t="s">
        <v>83</v>
      </c>
      <c r="O342" t="s">
        <v>83</v>
      </c>
      <c r="P342" t="s">
        <v>84</v>
      </c>
    </row>
    <row r="343" spans="1:16">
      <c r="A343" t="s">
        <v>783</v>
      </c>
      <c r="B343" t="s">
        <v>77</v>
      </c>
      <c r="C343" t="s">
        <v>317</v>
      </c>
      <c r="D343" t="s">
        <v>317</v>
      </c>
      <c r="E343" t="s">
        <v>321</v>
      </c>
      <c r="F343" t="s">
        <v>321</v>
      </c>
      <c r="G343" t="s">
        <v>88</v>
      </c>
      <c r="H343" t="s">
        <v>81</v>
      </c>
      <c r="L343">
        <v>9</v>
      </c>
      <c r="M343" t="s">
        <v>83</v>
      </c>
      <c r="O343" t="s">
        <v>83</v>
      </c>
      <c r="P343" t="s">
        <v>84</v>
      </c>
    </row>
    <row r="344" spans="1:16">
      <c r="A344" t="s">
        <v>783</v>
      </c>
      <c r="B344" t="s">
        <v>77</v>
      </c>
      <c r="C344" t="s">
        <v>317</v>
      </c>
      <c r="D344" t="s">
        <v>317</v>
      </c>
      <c r="E344" t="s">
        <v>322</v>
      </c>
      <c r="F344" t="s">
        <v>322</v>
      </c>
      <c r="G344" t="s">
        <v>94</v>
      </c>
      <c r="H344" t="s">
        <v>81</v>
      </c>
      <c r="L344">
        <v>10</v>
      </c>
      <c r="M344" t="s">
        <v>83</v>
      </c>
      <c r="O344" t="s">
        <v>83</v>
      </c>
      <c r="P344" t="s">
        <v>84</v>
      </c>
    </row>
    <row r="345" spans="1:16">
      <c r="A345" t="s">
        <v>783</v>
      </c>
      <c r="B345" t="s">
        <v>77</v>
      </c>
      <c r="C345" t="s">
        <v>317</v>
      </c>
      <c r="D345" t="s">
        <v>317</v>
      </c>
      <c r="E345" t="s">
        <v>323</v>
      </c>
      <c r="F345" t="s">
        <v>323</v>
      </c>
      <c r="G345" t="s">
        <v>98</v>
      </c>
      <c r="H345" t="s">
        <v>81</v>
      </c>
      <c r="L345">
        <v>11</v>
      </c>
      <c r="M345" t="s">
        <v>83</v>
      </c>
      <c r="O345" t="s">
        <v>83</v>
      </c>
      <c r="P345" t="s">
        <v>84</v>
      </c>
    </row>
    <row r="346" spans="1:16">
      <c r="A346" t="s">
        <v>783</v>
      </c>
      <c r="B346" t="s">
        <v>77</v>
      </c>
      <c r="C346" t="s">
        <v>317</v>
      </c>
      <c r="D346" t="s">
        <v>317</v>
      </c>
      <c r="E346" t="s">
        <v>324</v>
      </c>
      <c r="F346" t="s">
        <v>324</v>
      </c>
      <c r="G346" t="s">
        <v>98</v>
      </c>
      <c r="H346" t="s">
        <v>81</v>
      </c>
      <c r="L346">
        <v>12</v>
      </c>
      <c r="M346" t="s">
        <v>83</v>
      </c>
      <c r="O346" t="s">
        <v>83</v>
      </c>
      <c r="P346" t="s">
        <v>84</v>
      </c>
    </row>
    <row r="347" spans="1:16">
      <c r="A347" t="s">
        <v>783</v>
      </c>
      <c r="B347" t="s">
        <v>77</v>
      </c>
      <c r="C347" t="s">
        <v>317</v>
      </c>
      <c r="D347" t="s">
        <v>317</v>
      </c>
      <c r="E347" t="s">
        <v>325</v>
      </c>
      <c r="F347" t="s">
        <v>325</v>
      </c>
      <c r="G347" t="s">
        <v>98</v>
      </c>
      <c r="H347" t="s">
        <v>81</v>
      </c>
      <c r="L347">
        <v>13</v>
      </c>
      <c r="M347" t="s">
        <v>83</v>
      </c>
      <c r="O347" t="s">
        <v>83</v>
      </c>
      <c r="P347" t="s">
        <v>84</v>
      </c>
    </row>
    <row r="348" spans="1:16">
      <c r="A348" t="s">
        <v>783</v>
      </c>
      <c r="B348" t="s">
        <v>77</v>
      </c>
      <c r="C348" t="s">
        <v>317</v>
      </c>
      <c r="D348" t="s">
        <v>317</v>
      </c>
      <c r="E348" t="s">
        <v>326</v>
      </c>
      <c r="F348" t="s">
        <v>326</v>
      </c>
      <c r="G348" t="s">
        <v>188</v>
      </c>
      <c r="H348" t="s">
        <v>81</v>
      </c>
      <c r="L348">
        <v>14</v>
      </c>
      <c r="M348" t="s">
        <v>83</v>
      </c>
      <c r="O348" t="s">
        <v>83</v>
      </c>
      <c r="P348" t="s">
        <v>84</v>
      </c>
    </row>
    <row r="349" spans="1:16">
      <c r="A349" t="s">
        <v>783</v>
      </c>
      <c r="B349" t="s">
        <v>77</v>
      </c>
      <c r="C349" t="s">
        <v>317</v>
      </c>
      <c r="D349" t="s">
        <v>317</v>
      </c>
      <c r="E349" t="s">
        <v>112</v>
      </c>
      <c r="F349" t="s">
        <v>112</v>
      </c>
      <c r="G349" t="s">
        <v>113</v>
      </c>
      <c r="H349" t="s">
        <v>81</v>
      </c>
      <c r="I349" t="s">
        <v>114</v>
      </c>
      <c r="L349">
        <v>15</v>
      </c>
      <c r="M349" t="s">
        <v>83</v>
      </c>
      <c r="O349" t="s">
        <v>83</v>
      </c>
      <c r="P349" t="s">
        <v>84</v>
      </c>
    </row>
    <row r="350" spans="1:16">
      <c r="A350" t="s">
        <v>783</v>
      </c>
      <c r="B350" t="s">
        <v>77</v>
      </c>
      <c r="C350" t="s">
        <v>317</v>
      </c>
      <c r="D350" t="s">
        <v>317</v>
      </c>
      <c r="E350" t="s">
        <v>115</v>
      </c>
      <c r="F350" t="s">
        <v>115</v>
      </c>
      <c r="G350" t="s">
        <v>113</v>
      </c>
      <c r="H350" t="s">
        <v>81</v>
      </c>
      <c r="I350" t="s">
        <v>114</v>
      </c>
      <c r="L350">
        <v>16</v>
      </c>
      <c r="M350" t="s">
        <v>83</v>
      </c>
      <c r="O350" t="s">
        <v>83</v>
      </c>
      <c r="P350" t="s">
        <v>84</v>
      </c>
    </row>
    <row r="351" spans="1:16">
      <c r="A351" t="s">
        <v>783</v>
      </c>
      <c r="B351" t="s">
        <v>77</v>
      </c>
      <c r="C351" t="s">
        <v>317</v>
      </c>
      <c r="D351" t="s">
        <v>317</v>
      </c>
      <c r="E351" t="s">
        <v>327</v>
      </c>
      <c r="F351" t="s">
        <v>327</v>
      </c>
      <c r="G351" t="s">
        <v>90</v>
      </c>
      <c r="H351" t="s">
        <v>81</v>
      </c>
      <c r="L351">
        <v>17</v>
      </c>
      <c r="M351" t="s">
        <v>83</v>
      </c>
      <c r="O351" t="s">
        <v>83</v>
      </c>
      <c r="P351" t="s">
        <v>84</v>
      </c>
    </row>
    <row r="352" spans="1:16">
      <c r="A352" t="s">
        <v>783</v>
      </c>
      <c r="B352" t="s">
        <v>77</v>
      </c>
      <c r="C352" t="s">
        <v>317</v>
      </c>
      <c r="D352" t="s">
        <v>317</v>
      </c>
      <c r="E352" t="s">
        <v>117</v>
      </c>
      <c r="F352" t="s">
        <v>117</v>
      </c>
      <c r="G352" t="s">
        <v>90</v>
      </c>
      <c r="H352" t="s">
        <v>81</v>
      </c>
      <c r="L352">
        <v>24</v>
      </c>
      <c r="M352" t="s">
        <v>83</v>
      </c>
      <c r="O352" t="s">
        <v>83</v>
      </c>
      <c r="P352" t="s">
        <v>84</v>
      </c>
    </row>
    <row r="353" spans="1:16">
      <c r="A353" t="s">
        <v>783</v>
      </c>
      <c r="B353" t="s">
        <v>77</v>
      </c>
      <c r="C353" t="s">
        <v>317</v>
      </c>
      <c r="D353" t="s">
        <v>317</v>
      </c>
      <c r="E353" t="s">
        <v>328</v>
      </c>
      <c r="F353" t="s">
        <v>328</v>
      </c>
      <c r="G353" t="s">
        <v>90</v>
      </c>
      <c r="H353" t="s">
        <v>81</v>
      </c>
      <c r="L353">
        <v>25</v>
      </c>
      <c r="M353" t="s">
        <v>83</v>
      </c>
      <c r="O353" t="s">
        <v>83</v>
      </c>
      <c r="P353" t="s">
        <v>84</v>
      </c>
    </row>
    <row r="354" spans="1:16">
      <c r="A354" t="s">
        <v>783</v>
      </c>
      <c r="B354" t="s">
        <v>77</v>
      </c>
      <c r="C354" t="s">
        <v>317</v>
      </c>
      <c r="D354" t="s">
        <v>317</v>
      </c>
      <c r="E354" t="s">
        <v>118</v>
      </c>
      <c r="F354" t="s">
        <v>118</v>
      </c>
      <c r="G354" t="s">
        <v>92</v>
      </c>
      <c r="H354" t="s">
        <v>81</v>
      </c>
      <c r="L354">
        <v>26</v>
      </c>
      <c r="M354" t="s">
        <v>83</v>
      </c>
      <c r="O354" t="s">
        <v>83</v>
      </c>
      <c r="P354" t="s">
        <v>84</v>
      </c>
    </row>
    <row r="355" spans="1:16">
      <c r="A355" t="s">
        <v>783</v>
      </c>
      <c r="B355" t="s">
        <v>77</v>
      </c>
      <c r="C355" t="s">
        <v>317</v>
      </c>
      <c r="D355" t="s">
        <v>317</v>
      </c>
      <c r="E355" t="s">
        <v>784</v>
      </c>
      <c r="F355" t="s">
        <v>784</v>
      </c>
      <c r="G355" t="s">
        <v>80</v>
      </c>
      <c r="H355" t="s">
        <v>81</v>
      </c>
      <c r="I355" t="s">
        <v>82</v>
      </c>
      <c r="L355">
        <v>27</v>
      </c>
      <c r="M355" t="s">
        <v>83</v>
      </c>
      <c r="O355" t="s">
        <v>83</v>
      </c>
      <c r="P355" t="s">
        <v>84</v>
      </c>
    </row>
    <row r="356" spans="1:16">
      <c r="A356" t="s">
        <v>783</v>
      </c>
      <c r="B356" t="s">
        <v>77</v>
      </c>
      <c r="C356" t="s">
        <v>317</v>
      </c>
      <c r="D356" t="s">
        <v>317</v>
      </c>
      <c r="E356" t="s">
        <v>785</v>
      </c>
      <c r="F356" t="s">
        <v>785</v>
      </c>
      <c r="G356" t="s">
        <v>80</v>
      </c>
      <c r="H356" t="s">
        <v>81</v>
      </c>
      <c r="I356" t="s">
        <v>82</v>
      </c>
      <c r="L356">
        <v>28</v>
      </c>
      <c r="M356" t="s">
        <v>83</v>
      </c>
      <c r="O356" t="s">
        <v>83</v>
      </c>
      <c r="P356" t="s">
        <v>84</v>
      </c>
    </row>
    <row r="357" spans="1:16">
      <c r="A357" t="s">
        <v>783</v>
      </c>
      <c r="B357" t="s">
        <v>77</v>
      </c>
      <c r="C357" t="s">
        <v>317</v>
      </c>
      <c r="D357" t="s">
        <v>317</v>
      </c>
      <c r="E357" t="s">
        <v>786</v>
      </c>
      <c r="F357" t="s">
        <v>786</v>
      </c>
      <c r="G357" t="s">
        <v>787</v>
      </c>
      <c r="H357" t="s">
        <v>81</v>
      </c>
      <c r="L357">
        <v>29</v>
      </c>
      <c r="M357" t="s">
        <v>83</v>
      </c>
      <c r="O357" t="s">
        <v>83</v>
      </c>
      <c r="P357" t="s">
        <v>84</v>
      </c>
    </row>
    <row r="358" spans="1:16">
      <c r="A358" t="s">
        <v>783</v>
      </c>
      <c r="B358" t="s">
        <v>77</v>
      </c>
      <c r="C358" t="s">
        <v>329</v>
      </c>
      <c r="D358" t="s">
        <v>329</v>
      </c>
      <c r="E358" t="s">
        <v>79</v>
      </c>
      <c r="F358" t="s">
        <v>79</v>
      </c>
      <c r="G358" t="s">
        <v>80</v>
      </c>
      <c r="H358" t="s">
        <v>81</v>
      </c>
      <c r="I358" t="s">
        <v>82</v>
      </c>
      <c r="L358">
        <v>1</v>
      </c>
      <c r="M358" t="s">
        <v>83</v>
      </c>
      <c r="O358" t="s">
        <v>83</v>
      </c>
      <c r="P358" t="s">
        <v>84</v>
      </c>
    </row>
    <row r="359" spans="1:16">
      <c r="A359" t="s">
        <v>783</v>
      </c>
      <c r="B359" t="s">
        <v>77</v>
      </c>
      <c r="C359" t="s">
        <v>329</v>
      </c>
      <c r="D359" t="s">
        <v>329</v>
      </c>
      <c r="E359" t="s">
        <v>86</v>
      </c>
      <c r="F359" t="s">
        <v>86</v>
      </c>
      <c r="G359" t="s">
        <v>80</v>
      </c>
      <c r="H359" t="s">
        <v>81</v>
      </c>
      <c r="I359" t="s">
        <v>82</v>
      </c>
      <c r="L359">
        <v>2</v>
      </c>
      <c r="M359" t="s">
        <v>83</v>
      </c>
      <c r="O359" t="s">
        <v>83</v>
      </c>
      <c r="P359" t="s">
        <v>84</v>
      </c>
    </row>
    <row r="360" spans="1:16">
      <c r="A360" t="s">
        <v>783</v>
      </c>
      <c r="B360" t="s">
        <v>77</v>
      </c>
      <c r="C360" t="s">
        <v>329</v>
      </c>
      <c r="D360" t="s">
        <v>329</v>
      </c>
      <c r="E360" t="s">
        <v>87</v>
      </c>
      <c r="F360" t="s">
        <v>87</v>
      </c>
      <c r="G360" t="s">
        <v>88</v>
      </c>
      <c r="H360" t="s">
        <v>81</v>
      </c>
      <c r="J360" t="s">
        <v>83</v>
      </c>
      <c r="L360">
        <v>3</v>
      </c>
      <c r="M360" t="s">
        <v>83</v>
      </c>
      <c r="O360" t="s">
        <v>83</v>
      </c>
      <c r="P360" t="s">
        <v>84</v>
      </c>
    </row>
    <row r="361" spans="1:16">
      <c r="A361" t="s">
        <v>783</v>
      </c>
      <c r="B361" t="s">
        <v>77</v>
      </c>
      <c r="C361" t="s">
        <v>329</v>
      </c>
      <c r="D361" t="s">
        <v>329</v>
      </c>
      <c r="E361" t="s">
        <v>89</v>
      </c>
      <c r="F361" t="s">
        <v>89</v>
      </c>
      <c r="G361" t="s">
        <v>90</v>
      </c>
      <c r="H361" t="s">
        <v>81</v>
      </c>
      <c r="J361" t="s">
        <v>83</v>
      </c>
      <c r="K361" t="s">
        <v>83</v>
      </c>
      <c r="L361">
        <v>4</v>
      </c>
      <c r="M361" t="s">
        <v>83</v>
      </c>
      <c r="O361" t="s">
        <v>83</v>
      </c>
      <c r="P361" t="s">
        <v>84</v>
      </c>
    </row>
    <row r="362" spans="1:16">
      <c r="A362" t="s">
        <v>783</v>
      </c>
      <c r="B362" t="s">
        <v>77</v>
      </c>
      <c r="C362" t="s">
        <v>329</v>
      </c>
      <c r="D362" t="s">
        <v>329</v>
      </c>
      <c r="E362" t="s">
        <v>330</v>
      </c>
      <c r="F362" t="s">
        <v>330</v>
      </c>
      <c r="G362" t="s">
        <v>80</v>
      </c>
      <c r="H362" t="s">
        <v>81</v>
      </c>
      <c r="I362" t="s">
        <v>82</v>
      </c>
      <c r="L362">
        <v>5</v>
      </c>
      <c r="M362" t="s">
        <v>83</v>
      </c>
      <c r="O362" t="s">
        <v>83</v>
      </c>
      <c r="P362" t="s">
        <v>84</v>
      </c>
    </row>
    <row r="363" spans="1:16">
      <c r="A363" t="s">
        <v>783</v>
      </c>
      <c r="B363" t="s">
        <v>77</v>
      </c>
      <c r="C363" t="s">
        <v>329</v>
      </c>
      <c r="D363" t="s">
        <v>329</v>
      </c>
      <c r="E363" t="s">
        <v>331</v>
      </c>
      <c r="F363" t="s">
        <v>331</v>
      </c>
      <c r="G363" t="s">
        <v>90</v>
      </c>
      <c r="H363" t="s">
        <v>81</v>
      </c>
      <c r="L363">
        <v>6</v>
      </c>
      <c r="M363" t="s">
        <v>83</v>
      </c>
      <c r="O363" t="s">
        <v>83</v>
      </c>
      <c r="P363" t="s">
        <v>84</v>
      </c>
    </row>
    <row r="364" spans="1:16">
      <c r="A364" t="s">
        <v>783</v>
      </c>
      <c r="B364" t="s">
        <v>77</v>
      </c>
      <c r="C364" t="s">
        <v>329</v>
      </c>
      <c r="D364" t="s">
        <v>329</v>
      </c>
      <c r="E364" t="s">
        <v>91</v>
      </c>
      <c r="F364" t="s">
        <v>91</v>
      </c>
      <c r="G364" t="s">
        <v>92</v>
      </c>
      <c r="H364" t="s">
        <v>81</v>
      </c>
      <c r="J364" t="s">
        <v>83</v>
      </c>
      <c r="L364">
        <v>7</v>
      </c>
      <c r="M364" t="s">
        <v>83</v>
      </c>
      <c r="O364" t="s">
        <v>83</v>
      </c>
      <c r="P364" t="s">
        <v>84</v>
      </c>
    </row>
    <row r="365" spans="1:16">
      <c r="A365" t="s">
        <v>783</v>
      </c>
      <c r="B365" t="s">
        <v>77</v>
      </c>
      <c r="C365" t="s">
        <v>329</v>
      </c>
      <c r="D365" t="s">
        <v>329</v>
      </c>
      <c r="E365" t="s">
        <v>332</v>
      </c>
      <c r="F365" t="s">
        <v>332</v>
      </c>
      <c r="G365" t="s">
        <v>94</v>
      </c>
      <c r="H365" t="s">
        <v>81</v>
      </c>
      <c r="L365">
        <v>8</v>
      </c>
      <c r="M365" t="s">
        <v>83</v>
      </c>
      <c r="O365" t="s">
        <v>83</v>
      </c>
      <c r="P365" t="s">
        <v>84</v>
      </c>
    </row>
    <row r="366" spans="1:16">
      <c r="A366" t="s">
        <v>783</v>
      </c>
      <c r="B366" t="s">
        <v>77</v>
      </c>
      <c r="C366" t="s">
        <v>329</v>
      </c>
      <c r="D366" t="s">
        <v>329</v>
      </c>
      <c r="E366" t="s">
        <v>333</v>
      </c>
      <c r="F366" t="s">
        <v>333</v>
      </c>
      <c r="G366" t="s">
        <v>88</v>
      </c>
      <c r="H366" t="s">
        <v>81</v>
      </c>
      <c r="L366">
        <v>9</v>
      </c>
      <c r="M366" t="s">
        <v>83</v>
      </c>
      <c r="O366" t="s">
        <v>83</v>
      </c>
      <c r="P366" t="s">
        <v>84</v>
      </c>
    </row>
    <row r="367" spans="1:16">
      <c r="A367" t="s">
        <v>783</v>
      </c>
      <c r="B367" t="s">
        <v>77</v>
      </c>
      <c r="C367" t="s">
        <v>329</v>
      </c>
      <c r="D367" t="s">
        <v>329</v>
      </c>
      <c r="E367" t="s">
        <v>334</v>
      </c>
      <c r="F367" t="s">
        <v>334</v>
      </c>
      <c r="G367" t="s">
        <v>94</v>
      </c>
      <c r="H367" t="s">
        <v>81</v>
      </c>
      <c r="L367">
        <v>10</v>
      </c>
      <c r="M367" t="s">
        <v>83</v>
      </c>
      <c r="O367" t="s">
        <v>83</v>
      </c>
      <c r="P367" t="s">
        <v>84</v>
      </c>
    </row>
    <row r="368" spans="1:16">
      <c r="A368" t="s">
        <v>783</v>
      </c>
      <c r="B368" t="s">
        <v>77</v>
      </c>
      <c r="C368" t="s">
        <v>329</v>
      </c>
      <c r="D368" t="s">
        <v>329</v>
      </c>
      <c r="E368" t="s">
        <v>335</v>
      </c>
      <c r="F368" t="s">
        <v>335</v>
      </c>
      <c r="G368" t="s">
        <v>98</v>
      </c>
      <c r="H368" t="s">
        <v>81</v>
      </c>
      <c r="L368">
        <v>11</v>
      </c>
      <c r="M368" t="s">
        <v>83</v>
      </c>
      <c r="O368" t="s">
        <v>83</v>
      </c>
      <c r="P368" t="s">
        <v>84</v>
      </c>
    </row>
    <row r="369" spans="1:16">
      <c r="A369" t="s">
        <v>783</v>
      </c>
      <c r="B369" t="s">
        <v>77</v>
      </c>
      <c r="C369" t="s">
        <v>329</v>
      </c>
      <c r="D369" t="s">
        <v>329</v>
      </c>
      <c r="E369" t="s">
        <v>336</v>
      </c>
      <c r="F369" t="s">
        <v>336</v>
      </c>
      <c r="G369" t="s">
        <v>98</v>
      </c>
      <c r="H369" t="s">
        <v>81</v>
      </c>
      <c r="L369">
        <v>12</v>
      </c>
      <c r="M369" t="s">
        <v>83</v>
      </c>
      <c r="O369" t="s">
        <v>83</v>
      </c>
      <c r="P369" t="s">
        <v>84</v>
      </c>
    </row>
    <row r="370" spans="1:16">
      <c r="A370" t="s">
        <v>783</v>
      </c>
      <c r="B370" t="s">
        <v>77</v>
      </c>
      <c r="C370" t="s">
        <v>329</v>
      </c>
      <c r="D370" t="s">
        <v>329</v>
      </c>
      <c r="E370" t="s">
        <v>337</v>
      </c>
      <c r="F370" t="s">
        <v>337</v>
      </c>
      <c r="G370" t="s">
        <v>98</v>
      </c>
      <c r="H370" t="s">
        <v>81</v>
      </c>
      <c r="L370">
        <v>13</v>
      </c>
      <c r="M370" t="s">
        <v>83</v>
      </c>
      <c r="O370" t="s">
        <v>83</v>
      </c>
      <c r="P370" t="s">
        <v>84</v>
      </c>
    </row>
    <row r="371" spans="1:16">
      <c r="A371" t="s">
        <v>783</v>
      </c>
      <c r="B371" t="s">
        <v>77</v>
      </c>
      <c r="C371" t="s">
        <v>329</v>
      </c>
      <c r="D371" t="s">
        <v>329</v>
      </c>
      <c r="E371" t="s">
        <v>338</v>
      </c>
      <c r="F371" t="s">
        <v>338</v>
      </c>
      <c r="G371" t="s">
        <v>188</v>
      </c>
      <c r="H371" t="s">
        <v>81</v>
      </c>
      <c r="L371">
        <v>14</v>
      </c>
      <c r="M371" t="s">
        <v>83</v>
      </c>
      <c r="O371" t="s">
        <v>83</v>
      </c>
      <c r="P371" t="s">
        <v>84</v>
      </c>
    </row>
    <row r="372" spans="1:16">
      <c r="A372" t="s">
        <v>783</v>
      </c>
      <c r="B372" t="s">
        <v>77</v>
      </c>
      <c r="C372" t="s">
        <v>329</v>
      </c>
      <c r="D372" t="s">
        <v>329</v>
      </c>
      <c r="E372" t="s">
        <v>112</v>
      </c>
      <c r="F372" t="s">
        <v>112</v>
      </c>
      <c r="G372" t="s">
        <v>113</v>
      </c>
      <c r="H372" t="s">
        <v>81</v>
      </c>
      <c r="I372" t="s">
        <v>114</v>
      </c>
      <c r="L372">
        <v>15</v>
      </c>
      <c r="M372" t="s">
        <v>83</v>
      </c>
      <c r="O372" t="s">
        <v>83</v>
      </c>
      <c r="P372" t="s">
        <v>84</v>
      </c>
    </row>
    <row r="373" spans="1:16">
      <c r="A373" t="s">
        <v>783</v>
      </c>
      <c r="B373" t="s">
        <v>77</v>
      </c>
      <c r="C373" t="s">
        <v>329</v>
      </c>
      <c r="D373" t="s">
        <v>329</v>
      </c>
      <c r="E373" t="s">
        <v>115</v>
      </c>
      <c r="F373" t="s">
        <v>115</v>
      </c>
      <c r="G373" t="s">
        <v>113</v>
      </c>
      <c r="H373" t="s">
        <v>81</v>
      </c>
      <c r="I373" t="s">
        <v>114</v>
      </c>
      <c r="L373">
        <v>16</v>
      </c>
      <c r="M373" t="s">
        <v>83</v>
      </c>
      <c r="O373" t="s">
        <v>83</v>
      </c>
      <c r="P373" t="s">
        <v>84</v>
      </c>
    </row>
    <row r="374" spans="1:16">
      <c r="A374" t="s">
        <v>783</v>
      </c>
      <c r="B374" t="s">
        <v>77</v>
      </c>
      <c r="C374" t="s">
        <v>329</v>
      </c>
      <c r="D374" t="s">
        <v>329</v>
      </c>
      <c r="E374" t="s">
        <v>327</v>
      </c>
      <c r="F374" t="s">
        <v>327</v>
      </c>
      <c r="G374" t="s">
        <v>90</v>
      </c>
      <c r="H374" t="s">
        <v>81</v>
      </c>
      <c r="L374">
        <v>17</v>
      </c>
      <c r="M374" t="s">
        <v>83</v>
      </c>
      <c r="O374" t="s">
        <v>83</v>
      </c>
      <c r="P374" t="s">
        <v>84</v>
      </c>
    </row>
    <row r="375" spans="1:16">
      <c r="A375" t="s">
        <v>783</v>
      </c>
      <c r="B375" t="s">
        <v>77</v>
      </c>
      <c r="C375" t="s">
        <v>329</v>
      </c>
      <c r="D375" t="s">
        <v>329</v>
      </c>
      <c r="E375" t="s">
        <v>117</v>
      </c>
      <c r="F375" t="s">
        <v>117</v>
      </c>
      <c r="G375" t="s">
        <v>90</v>
      </c>
      <c r="H375" t="s">
        <v>81</v>
      </c>
      <c r="L375">
        <v>24</v>
      </c>
      <c r="M375" t="s">
        <v>83</v>
      </c>
      <c r="O375" t="s">
        <v>83</v>
      </c>
      <c r="P375" t="s">
        <v>84</v>
      </c>
    </row>
    <row r="376" spans="1:16">
      <c r="A376" t="s">
        <v>783</v>
      </c>
      <c r="B376" t="s">
        <v>77</v>
      </c>
      <c r="C376" t="s">
        <v>329</v>
      </c>
      <c r="D376" t="s">
        <v>329</v>
      </c>
      <c r="E376" t="s">
        <v>328</v>
      </c>
      <c r="F376" t="s">
        <v>328</v>
      </c>
      <c r="G376" t="s">
        <v>90</v>
      </c>
      <c r="H376" t="s">
        <v>81</v>
      </c>
      <c r="L376">
        <v>25</v>
      </c>
      <c r="M376" t="s">
        <v>83</v>
      </c>
      <c r="O376" t="s">
        <v>83</v>
      </c>
      <c r="P376" t="s">
        <v>84</v>
      </c>
    </row>
    <row r="377" spans="1:16">
      <c r="A377" t="s">
        <v>783</v>
      </c>
      <c r="B377" t="s">
        <v>77</v>
      </c>
      <c r="C377" t="s">
        <v>329</v>
      </c>
      <c r="D377" t="s">
        <v>329</v>
      </c>
      <c r="E377" t="s">
        <v>118</v>
      </c>
      <c r="F377" t="s">
        <v>118</v>
      </c>
      <c r="G377" t="s">
        <v>92</v>
      </c>
      <c r="H377" t="s">
        <v>81</v>
      </c>
      <c r="L377">
        <v>26</v>
      </c>
      <c r="M377" t="s">
        <v>83</v>
      </c>
      <c r="O377" t="s">
        <v>83</v>
      </c>
      <c r="P377" t="s">
        <v>84</v>
      </c>
    </row>
    <row r="378" spans="1:16">
      <c r="A378" t="s">
        <v>783</v>
      </c>
      <c r="B378" t="s">
        <v>77</v>
      </c>
      <c r="C378" t="s">
        <v>329</v>
      </c>
      <c r="D378" t="s">
        <v>329</v>
      </c>
      <c r="E378" t="s">
        <v>784</v>
      </c>
      <c r="F378" t="s">
        <v>784</v>
      </c>
      <c r="G378" t="s">
        <v>80</v>
      </c>
      <c r="H378" t="s">
        <v>81</v>
      </c>
      <c r="I378" t="s">
        <v>82</v>
      </c>
      <c r="L378">
        <v>27</v>
      </c>
      <c r="M378" t="s">
        <v>83</v>
      </c>
      <c r="O378" t="s">
        <v>83</v>
      </c>
      <c r="P378" t="s">
        <v>84</v>
      </c>
    </row>
    <row r="379" spans="1:16">
      <c r="A379" t="s">
        <v>783</v>
      </c>
      <c r="B379" t="s">
        <v>77</v>
      </c>
      <c r="C379" t="s">
        <v>329</v>
      </c>
      <c r="D379" t="s">
        <v>329</v>
      </c>
      <c r="E379" t="s">
        <v>785</v>
      </c>
      <c r="F379" t="s">
        <v>785</v>
      </c>
      <c r="G379" t="s">
        <v>80</v>
      </c>
      <c r="H379" t="s">
        <v>81</v>
      </c>
      <c r="I379" t="s">
        <v>82</v>
      </c>
      <c r="L379">
        <v>28</v>
      </c>
      <c r="M379" t="s">
        <v>83</v>
      </c>
      <c r="O379" t="s">
        <v>83</v>
      </c>
      <c r="P379" t="s">
        <v>84</v>
      </c>
    </row>
    <row r="380" spans="1:16">
      <c r="A380" t="s">
        <v>783</v>
      </c>
      <c r="B380" t="s">
        <v>77</v>
      </c>
      <c r="C380" t="s">
        <v>329</v>
      </c>
      <c r="D380" t="s">
        <v>329</v>
      </c>
      <c r="E380" t="s">
        <v>786</v>
      </c>
      <c r="F380" t="s">
        <v>786</v>
      </c>
      <c r="G380" t="s">
        <v>787</v>
      </c>
      <c r="H380" t="s">
        <v>81</v>
      </c>
      <c r="L380">
        <v>29</v>
      </c>
      <c r="M380" t="s">
        <v>83</v>
      </c>
      <c r="O380" t="s">
        <v>83</v>
      </c>
      <c r="P380" t="s">
        <v>84</v>
      </c>
    </row>
    <row r="381" spans="1:16">
      <c r="A381" t="s">
        <v>783</v>
      </c>
      <c r="B381" t="s">
        <v>77</v>
      </c>
      <c r="C381" t="s">
        <v>339</v>
      </c>
      <c r="D381" t="s">
        <v>339</v>
      </c>
      <c r="E381" t="s">
        <v>79</v>
      </c>
      <c r="F381" t="s">
        <v>79</v>
      </c>
      <c r="G381" t="s">
        <v>80</v>
      </c>
      <c r="H381" t="s">
        <v>81</v>
      </c>
      <c r="I381" t="s">
        <v>82</v>
      </c>
      <c r="L381">
        <v>1</v>
      </c>
      <c r="M381" t="s">
        <v>83</v>
      </c>
      <c r="O381" t="s">
        <v>83</v>
      </c>
      <c r="P381" t="s">
        <v>84</v>
      </c>
    </row>
    <row r="382" spans="1:16">
      <c r="A382" t="s">
        <v>783</v>
      </c>
      <c r="B382" t="s">
        <v>77</v>
      </c>
      <c r="C382" t="s">
        <v>339</v>
      </c>
      <c r="D382" t="s">
        <v>339</v>
      </c>
      <c r="E382" t="s">
        <v>86</v>
      </c>
      <c r="F382" t="s">
        <v>86</v>
      </c>
      <c r="G382" t="s">
        <v>80</v>
      </c>
      <c r="H382" t="s">
        <v>81</v>
      </c>
      <c r="I382" t="s">
        <v>82</v>
      </c>
      <c r="L382">
        <v>2</v>
      </c>
      <c r="M382" t="s">
        <v>83</v>
      </c>
      <c r="O382" t="s">
        <v>83</v>
      </c>
      <c r="P382" t="s">
        <v>84</v>
      </c>
    </row>
    <row r="383" spans="1:16">
      <c r="A383" t="s">
        <v>783</v>
      </c>
      <c r="B383" t="s">
        <v>77</v>
      </c>
      <c r="C383" t="s">
        <v>339</v>
      </c>
      <c r="D383" t="s">
        <v>339</v>
      </c>
      <c r="E383" t="s">
        <v>87</v>
      </c>
      <c r="F383" t="s">
        <v>87</v>
      </c>
      <c r="G383" t="s">
        <v>88</v>
      </c>
      <c r="H383" t="s">
        <v>81</v>
      </c>
      <c r="J383" t="s">
        <v>83</v>
      </c>
      <c r="L383">
        <v>3</v>
      </c>
      <c r="M383" t="s">
        <v>83</v>
      </c>
      <c r="O383" t="s">
        <v>83</v>
      </c>
      <c r="P383" t="s">
        <v>84</v>
      </c>
    </row>
    <row r="384" spans="1:16">
      <c r="A384" t="s">
        <v>783</v>
      </c>
      <c r="B384" t="s">
        <v>77</v>
      </c>
      <c r="C384" t="s">
        <v>339</v>
      </c>
      <c r="D384" t="s">
        <v>339</v>
      </c>
      <c r="E384" t="s">
        <v>89</v>
      </c>
      <c r="F384" t="s">
        <v>89</v>
      </c>
      <c r="G384" t="s">
        <v>90</v>
      </c>
      <c r="H384" t="s">
        <v>81</v>
      </c>
      <c r="J384" t="s">
        <v>83</v>
      </c>
      <c r="K384" t="s">
        <v>83</v>
      </c>
      <c r="L384">
        <v>4</v>
      </c>
      <c r="M384" t="s">
        <v>83</v>
      </c>
      <c r="O384" t="s">
        <v>83</v>
      </c>
      <c r="P384" t="s">
        <v>84</v>
      </c>
    </row>
    <row r="385" spans="1:16">
      <c r="A385" t="s">
        <v>783</v>
      </c>
      <c r="B385" t="s">
        <v>77</v>
      </c>
      <c r="C385" t="s">
        <v>339</v>
      </c>
      <c r="D385" t="s">
        <v>339</v>
      </c>
      <c r="E385" t="s">
        <v>91</v>
      </c>
      <c r="F385" t="s">
        <v>91</v>
      </c>
      <c r="G385" t="s">
        <v>92</v>
      </c>
      <c r="H385" t="s">
        <v>81</v>
      </c>
      <c r="J385" t="s">
        <v>83</v>
      </c>
      <c r="L385">
        <v>5</v>
      </c>
      <c r="M385" t="s">
        <v>83</v>
      </c>
      <c r="O385" t="s">
        <v>83</v>
      </c>
      <c r="P385" t="s">
        <v>84</v>
      </c>
    </row>
    <row r="386" spans="1:16">
      <c r="A386" t="s">
        <v>783</v>
      </c>
      <c r="B386" t="s">
        <v>77</v>
      </c>
      <c r="C386" t="s">
        <v>339</v>
      </c>
      <c r="D386" t="s">
        <v>339</v>
      </c>
      <c r="E386" t="s">
        <v>340</v>
      </c>
      <c r="F386" t="s">
        <v>340</v>
      </c>
      <c r="G386" t="s">
        <v>94</v>
      </c>
      <c r="H386" t="s">
        <v>81</v>
      </c>
      <c r="L386">
        <v>6</v>
      </c>
      <c r="M386" t="s">
        <v>83</v>
      </c>
      <c r="O386" t="s">
        <v>83</v>
      </c>
      <c r="P386" t="s">
        <v>84</v>
      </c>
    </row>
    <row r="387" spans="1:16">
      <c r="A387" t="s">
        <v>783</v>
      </c>
      <c r="B387" t="s">
        <v>77</v>
      </c>
      <c r="C387" t="s">
        <v>339</v>
      </c>
      <c r="D387" t="s">
        <v>339</v>
      </c>
      <c r="E387" t="s">
        <v>341</v>
      </c>
      <c r="F387" t="s">
        <v>341</v>
      </c>
      <c r="G387" t="s">
        <v>88</v>
      </c>
      <c r="H387" t="s">
        <v>81</v>
      </c>
      <c r="L387">
        <v>7</v>
      </c>
      <c r="M387" t="s">
        <v>83</v>
      </c>
      <c r="O387" t="s">
        <v>83</v>
      </c>
      <c r="P387" t="s">
        <v>84</v>
      </c>
    </row>
    <row r="388" spans="1:16">
      <c r="A388" t="s">
        <v>783</v>
      </c>
      <c r="B388" t="s">
        <v>77</v>
      </c>
      <c r="C388" t="s">
        <v>339</v>
      </c>
      <c r="D388" t="s">
        <v>339</v>
      </c>
      <c r="E388" t="s">
        <v>342</v>
      </c>
      <c r="F388" t="s">
        <v>342</v>
      </c>
      <c r="G388" t="s">
        <v>94</v>
      </c>
      <c r="H388" t="s">
        <v>81</v>
      </c>
      <c r="L388">
        <v>8</v>
      </c>
      <c r="M388" t="s">
        <v>83</v>
      </c>
      <c r="O388" t="s">
        <v>83</v>
      </c>
      <c r="P388" t="s">
        <v>84</v>
      </c>
    </row>
    <row r="389" spans="1:16">
      <c r="A389" t="s">
        <v>783</v>
      </c>
      <c r="B389" t="s">
        <v>77</v>
      </c>
      <c r="C389" t="s">
        <v>339</v>
      </c>
      <c r="D389" t="s">
        <v>339</v>
      </c>
      <c r="E389" t="s">
        <v>343</v>
      </c>
      <c r="F389" t="s">
        <v>343</v>
      </c>
      <c r="G389" t="s">
        <v>98</v>
      </c>
      <c r="H389" t="s">
        <v>81</v>
      </c>
      <c r="L389">
        <v>9</v>
      </c>
      <c r="M389" t="s">
        <v>83</v>
      </c>
      <c r="O389" t="s">
        <v>83</v>
      </c>
      <c r="P389" t="s">
        <v>84</v>
      </c>
    </row>
    <row r="390" spans="1:16">
      <c r="A390" t="s">
        <v>783</v>
      </c>
      <c r="B390" t="s">
        <v>77</v>
      </c>
      <c r="C390" t="s">
        <v>339</v>
      </c>
      <c r="D390" t="s">
        <v>339</v>
      </c>
      <c r="E390" t="s">
        <v>344</v>
      </c>
      <c r="F390" t="s">
        <v>344</v>
      </c>
      <c r="G390" t="s">
        <v>80</v>
      </c>
      <c r="H390" t="s">
        <v>81</v>
      </c>
      <c r="I390" t="s">
        <v>82</v>
      </c>
      <c r="L390">
        <v>10</v>
      </c>
      <c r="M390" t="s">
        <v>83</v>
      </c>
      <c r="O390" t="s">
        <v>83</v>
      </c>
      <c r="P390" t="s">
        <v>84</v>
      </c>
    </row>
    <row r="391" spans="1:16">
      <c r="A391" t="s">
        <v>783</v>
      </c>
      <c r="B391" t="s">
        <v>77</v>
      </c>
      <c r="C391" t="s">
        <v>339</v>
      </c>
      <c r="D391" t="s">
        <v>339</v>
      </c>
      <c r="E391" t="s">
        <v>345</v>
      </c>
      <c r="F391" t="s">
        <v>345</v>
      </c>
      <c r="G391" t="s">
        <v>90</v>
      </c>
      <c r="H391" t="s">
        <v>81</v>
      </c>
      <c r="L391">
        <v>11</v>
      </c>
      <c r="M391" t="s">
        <v>83</v>
      </c>
      <c r="O391" t="s">
        <v>83</v>
      </c>
      <c r="P391" t="s">
        <v>84</v>
      </c>
    </row>
    <row r="392" spans="1:16">
      <c r="A392" t="s">
        <v>783</v>
      </c>
      <c r="B392" t="s">
        <v>77</v>
      </c>
      <c r="C392" t="s">
        <v>339</v>
      </c>
      <c r="D392" t="s">
        <v>339</v>
      </c>
      <c r="E392" t="s">
        <v>346</v>
      </c>
      <c r="F392" t="s">
        <v>346</v>
      </c>
      <c r="G392" t="s">
        <v>98</v>
      </c>
      <c r="H392" t="s">
        <v>81</v>
      </c>
      <c r="L392">
        <v>12</v>
      </c>
      <c r="M392" t="s">
        <v>83</v>
      </c>
      <c r="O392" t="s">
        <v>83</v>
      </c>
      <c r="P392" t="s">
        <v>84</v>
      </c>
    </row>
    <row r="393" spans="1:16">
      <c r="A393" t="s">
        <v>783</v>
      </c>
      <c r="B393" t="s">
        <v>77</v>
      </c>
      <c r="C393" t="s">
        <v>339</v>
      </c>
      <c r="D393" t="s">
        <v>339</v>
      </c>
      <c r="E393" t="s">
        <v>347</v>
      </c>
      <c r="F393" t="s">
        <v>347</v>
      </c>
      <c r="G393" t="s">
        <v>98</v>
      </c>
      <c r="H393" t="s">
        <v>81</v>
      </c>
      <c r="L393">
        <v>13</v>
      </c>
      <c r="M393" t="s">
        <v>83</v>
      </c>
      <c r="O393" t="s">
        <v>83</v>
      </c>
      <c r="P393" t="s">
        <v>84</v>
      </c>
    </row>
    <row r="394" spans="1:16">
      <c r="A394" t="s">
        <v>783</v>
      </c>
      <c r="B394" t="s">
        <v>77</v>
      </c>
      <c r="C394" t="s">
        <v>339</v>
      </c>
      <c r="D394" t="s">
        <v>339</v>
      </c>
      <c r="E394" t="s">
        <v>118</v>
      </c>
      <c r="F394" t="s">
        <v>118</v>
      </c>
      <c r="G394" t="s">
        <v>92</v>
      </c>
      <c r="H394" t="s">
        <v>81</v>
      </c>
      <c r="L394">
        <v>14</v>
      </c>
      <c r="M394" t="s">
        <v>83</v>
      </c>
      <c r="O394" t="s">
        <v>83</v>
      </c>
      <c r="P394" t="s">
        <v>84</v>
      </c>
    </row>
    <row r="395" spans="1:16">
      <c r="A395" t="s">
        <v>783</v>
      </c>
      <c r="B395" t="s">
        <v>77</v>
      </c>
      <c r="C395" t="s">
        <v>339</v>
      </c>
      <c r="D395" t="s">
        <v>339</v>
      </c>
      <c r="E395" t="s">
        <v>112</v>
      </c>
      <c r="F395" t="s">
        <v>112</v>
      </c>
      <c r="G395" t="s">
        <v>113</v>
      </c>
      <c r="H395" t="s">
        <v>81</v>
      </c>
      <c r="I395" t="s">
        <v>114</v>
      </c>
      <c r="L395">
        <v>15</v>
      </c>
      <c r="M395" t="s">
        <v>83</v>
      </c>
      <c r="O395" t="s">
        <v>83</v>
      </c>
      <c r="P395" t="s">
        <v>84</v>
      </c>
    </row>
    <row r="396" spans="1:16">
      <c r="A396" t="s">
        <v>783</v>
      </c>
      <c r="B396" t="s">
        <v>77</v>
      </c>
      <c r="C396" t="s">
        <v>339</v>
      </c>
      <c r="D396" t="s">
        <v>339</v>
      </c>
      <c r="E396" t="s">
        <v>115</v>
      </c>
      <c r="F396" t="s">
        <v>115</v>
      </c>
      <c r="G396" t="s">
        <v>113</v>
      </c>
      <c r="H396" t="s">
        <v>81</v>
      </c>
      <c r="I396" t="s">
        <v>114</v>
      </c>
      <c r="L396">
        <v>16</v>
      </c>
      <c r="M396" t="s">
        <v>83</v>
      </c>
      <c r="O396" t="s">
        <v>83</v>
      </c>
      <c r="P396" t="s">
        <v>84</v>
      </c>
    </row>
    <row r="397" spans="1:16">
      <c r="A397" t="s">
        <v>783</v>
      </c>
      <c r="B397" t="s">
        <v>77</v>
      </c>
      <c r="C397" t="s">
        <v>339</v>
      </c>
      <c r="D397" t="s">
        <v>339</v>
      </c>
      <c r="E397" t="s">
        <v>117</v>
      </c>
      <c r="F397" t="s">
        <v>117</v>
      </c>
      <c r="G397" t="s">
        <v>90</v>
      </c>
      <c r="H397" t="s">
        <v>81</v>
      </c>
      <c r="L397">
        <v>23</v>
      </c>
      <c r="M397" t="s">
        <v>83</v>
      </c>
      <c r="O397" t="s">
        <v>83</v>
      </c>
      <c r="P397" t="s">
        <v>84</v>
      </c>
    </row>
    <row r="398" spans="1:16">
      <c r="A398" t="s">
        <v>783</v>
      </c>
      <c r="B398" t="s">
        <v>77</v>
      </c>
      <c r="C398" t="s">
        <v>339</v>
      </c>
      <c r="D398" t="s">
        <v>339</v>
      </c>
      <c r="E398" t="s">
        <v>327</v>
      </c>
      <c r="F398" t="s">
        <v>327</v>
      </c>
      <c r="G398" t="s">
        <v>90</v>
      </c>
      <c r="H398" t="s">
        <v>81</v>
      </c>
      <c r="L398">
        <v>24</v>
      </c>
      <c r="M398" t="s">
        <v>83</v>
      </c>
      <c r="O398" t="s">
        <v>83</v>
      </c>
      <c r="P398" t="s">
        <v>84</v>
      </c>
    </row>
    <row r="399" spans="1:16">
      <c r="A399" t="s">
        <v>783</v>
      </c>
      <c r="B399" t="s">
        <v>77</v>
      </c>
      <c r="C399" t="s">
        <v>339</v>
      </c>
      <c r="D399" t="s">
        <v>339</v>
      </c>
      <c r="E399" t="s">
        <v>328</v>
      </c>
      <c r="F399" t="s">
        <v>328</v>
      </c>
      <c r="G399" t="s">
        <v>90</v>
      </c>
      <c r="H399" t="s">
        <v>81</v>
      </c>
      <c r="L399">
        <v>25</v>
      </c>
      <c r="M399" t="s">
        <v>83</v>
      </c>
      <c r="O399" t="s">
        <v>83</v>
      </c>
      <c r="P399" t="s">
        <v>84</v>
      </c>
    </row>
    <row r="400" spans="1:16">
      <c r="A400" t="s">
        <v>783</v>
      </c>
      <c r="B400" t="s">
        <v>77</v>
      </c>
      <c r="C400" t="s">
        <v>339</v>
      </c>
      <c r="D400" t="s">
        <v>339</v>
      </c>
      <c r="E400" t="s">
        <v>784</v>
      </c>
      <c r="F400" t="s">
        <v>784</v>
      </c>
      <c r="G400" t="s">
        <v>80</v>
      </c>
      <c r="H400" t="s">
        <v>81</v>
      </c>
      <c r="I400" t="s">
        <v>82</v>
      </c>
      <c r="L400">
        <v>27</v>
      </c>
      <c r="M400" t="s">
        <v>83</v>
      </c>
      <c r="O400" t="s">
        <v>83</v>
      </c>
      <c r="P400" t="s">
        <v>84</v>
      </c>
    </row>
    <row r="401" spans="1:16">
      <c r="A401" t="s">
        <v>783</v>
      </c>
      <c r="B401" t="s">
        <v>77</v>
      </c>
      <c r="C401" t="s">
        <v>339</v>
      </c>
      <c r="D401" t="s">
        <v>339</v>
      </c>
      <c r="E401" t="s">
        <v>785</v>
      </c>
      <c r="F401" t="s">
        <v>785</v>
      </c>
      <c r="G401" t="s">
        <v>80</v>
      </c>
      <c r="H401" t="s">
        <v>81</v>
      </c>
      <c r="I401" t="s">
        <v>82</v>
      </c>
      <c r="L401">
        <v>28</v>
      </c>
      <c r="M401" t="s">
        <v>83</v>
      </c>
      <c r="O401" t="s">
        <v>83</v>
      </c>
      <c r="P401" t="s">
        <v>84</v>
      </c>
    </row>
    <row r="402" spans="1:16">
      <c r="A402" t="s">
        <v>783</v>
      </c>
      <c r="B402" t="s">
        <v>77</v>
      </c>
      <c r="C402" t="s">
        <v>339</v>
      </c>
      <c r="D402" t="s">
        <v>339</v>
      </c>
      <c r="E402" t="s">
        <v>786</v>
      </c>
      <c r="F402" t="s">
        <v>786</v>
      </c>
      <c r="G402" t="s">
        <v>787</v>
      </c>
      <c r="H402" t="s">
        <v>81</v>
      </c>
      <c r="L402">
        <v>29</v>
      </c>
      <c r="M402" t="s">
        <v>83</v>
      </c>
      <c r="O402" t="s">
        <v>83</v>
      </c>
      <c r="P402" t="s">
        <v>84</v>
      </c>
    </row>
    <row r="403" spans="1:16">
      <c r="A403" t="s">
        <v>783</v>
      </c>
      <c r="B403" t="s">
        <v>77</v>
      </c>
      <c r="C403" t="s">
        <v>348</v>
      </c>
      <c r="D403" t="s">
        <v>348</v>
      </c>
      <c r="E403" t="s">
        <v>79</v>
      </c>
      <c r="F403" t="s">
        <v>79</v>
      </c>
      <c r="G403" t="s">
        <v>80</v>
      </c>
      <c r="H403" t="s">
        <v>81</v>
      </c>
      <c r="I403" t="s">
        <v>82</v>
      </c>
      <c r="L403">
        <v>1</v>
      </c>
      <c r="M403" t="s">
        <v>83</v>
      </c>
      <c r="O403" t="s">
        <v>83</v>
      </c>
      <c r="P403" t="s">
        <v>84</v>
      </c>
    </row>
    <row r="404" spans="1:16">
      <c r="A404" t="s">
        <v>783</v>
      </c>
      <c r="B404" t="s">
        <v>77</v>
      </c>
      <c r="C404" t="s">
        <v>348</v>
      </c>
      <c r="D404" t="s">
        <v>348</v>
      </c>
      <c r="E404" t="s">
        <v>86</v>
      </c>
      <c r="F404" t="s">
        <v>86</v>
      </c>
      <c r="G404" t="s">
        <v>80</v>
      </c>
      <c r="H404" t="s">
        <v>81</v>
      </c>
      <c r="I404" t="s">
        <v>82</v>
      </c>
      <c r="L404">
        <v>2</v>
      </c>
      <c r="M404" t="s">
        <v>83</v>
      </c>
      <c r="O404" t="s">
        <v>83</v>
      </c>
      <c r="P404" t="s">
        <v>84</v>
      </c>
    </row>
    <row r="405" spans="1:16">
      <c r="A405" t="s">
        <v>783</v>
      </c>
      <c r="B405" t="s">
        <v>77</v>
      </c>
      <c r="C405" t="s">
        <v>348</v>
      </c>
      <c r="D405" t="s">
        <v>348</v>
      </c>
      <c r="E405" t="s">
        <v>87</v>
      </c>
      <c r="F405" t="s">
        <v>87</v>
      </c>
      <c r="G405" t="s">
        <v>88</v>
      </c>
      <c r="H405" t="s">
        <v>81</v>
      </c>
      <c r="J405" t="s">
        <v>83</v>
      </c>
      <c r="L405">
        <v>3</v>
      </c>
      <c r="M405" t="s">
        <v>83</v>
      </c>
      <c r="O405" t="s">
        <v>83</v>
      </c>
      <c r="P405" t="s">
        <v>84</v>
      </c>
    </row>
    <row r="406" spans="1:16">
      <c r="A406" t="s">
        <v>783</v>
      </c>
      <c r="B406" t="s">
        <v>77</v>
      </c>
      <c r="C406" t="s">
        <v>348</v>
      </c>
      <c r="D406" t="s">
        <v>348</v>
      </c>
      <c r="E406" t="s">
        <v>89</v>
      </c>
      <c r="F406" t="s">
        <v>89</v>
      </c>
      <c r="G406" t="s">
        <v>90</v>
      </c>
      <c r="H406" t="s">
        <v>81</v>
      </c>
      <c r="J406" t="s">
        <v>83</v>
      </c>
      <c r="K406" t="s">
        <v>83</v>
      </c>
      <c r="L406">
        <v>4</v>
      </c>
      <c r="M406" t="s">
        <v>83</v>
      </c>
      <c r="O406" t="s">
        <v>83</v>
      </c>
      <c r="P406" t="s">
        <v>84</v>
      </c>
    </row>
    <row r="407" spans="1:16">
      <c r="A407" t="s">
        <v>783</v>
      </c>
      <c r="B407" t="s">
        <v>77</v>
      </c>
      <c r="C407" t="s">
        <v>348</v>
      </c>
      <c r="D407" t="s">
        <v>348</v>
      </c>
      <c r="E407" t="s">
        <v>349</v>
      </c>
      <c r="F407" t="s">
        <v>349</v>
      </c>
      <c r="G407" t="s">
        <v>80</v>
      </c>
      <c r="H407" t="s">
        <v>81</v>
      </c>
      <c r="I407" t="s">
        <v>82</v>
      </c>
      <c r="L407">
        <v>5</v>
      </c>
      <c r="M407" t="s">
        <v>83</v>
      </c>
      <c r="O407" t="s">
        <v>83</v>
      </c>
      <c r="P407" t="s">
        <v>84</v>
      </c>
    </row>
    <row r="408" spans="1:16">
      <c r="A408" t="s">
        <v>783</v>
      </c>
      <c r="B408" t="s">
        <v>77</v>
      </c>
      <c r="C408" t="s">
        <v>348</v>
      </c>
      <c r="D408" t="s">
        <v>348</v>
      </c>
      <c r="E408" t="s">
        <v>350</v>
      </c>
      <c r="F408" t="s">
        <v>350</v>
      </c>
      <c r="G408" t="s">
        <v>90</v>
      </c>
      <c r="H408" t="s">
        <v>81</v>
      </c>
      <c r="L408">
        <v>6</v>
      </c>
      <c r="M408" t="s">
        <v>83</v>
      </c>
      <c r="O408" t="s">
        <v>83</v>
      </c>
      <c r="P408" t="s">
        <v>84</v>
      </c>
    </row>
    <row r="409" spans="1:16">
      <c r="A409" t="s">
        <v>783</v>
      </c>
      <c r="B409" t="s">
        <v>77</v>
      </c>
      <c r="C409" t="s">
        <v>348</v>
      </c>
      <c r="D409" t="s">
        <v>348</v>
      </c>
      <c r="E409" t="s">
        <v>91</v>
      </c>
      <c r="F409" t="s">
        <v>91</v>
      </c>
      <c r="G409" t="s">
        <v>92</v>
      </c>
      <c r="H409" t="s">
        <v>81</v>
      </c>
      <c r="J409" t="s">
        <v>83</v>
      </c>
      <c r="L409">
        <v>7</v>
      </c>
      <c r="M409" t="s">
        <v>83</v>
      </c>
      <c r="O409" t="s">
        <v>83</v>
      </c>
      <c r="P409" t="s">
        <v>84</v>
      </c>
    </row>
    <row r="410" spans="1:16">
      <c r="A410" t="s">
        <v>783</v>
      </c>
      <c r="B410" t="s">
        <v>77</v>
      </c>
      <c r="C410" t="s">
        <v>348</v>
      </c>
      <c r="D410" t="s">
        <v>348</v>
      </c>
      <c r="E410" t="s">
        <v>351</v>
      </c>
      <c r="F410" t="s">
        <v>351</v>
      </c>
      <c r="G410" t="s">
        <v>94</v>
      </c>
      <c r="H410" t="s">
        <v>81</v>
      </c>
      <c r="L410">
        <v>8</v>
      </c>
      <c r="M410" t="s">
        <v>83</v>
      </c>
      <c r="O410" t="s">
        <v>83</v>
      </c>
      <c r="P410" t="s">
        <v>84</v>
      </c>
    </row>
    <row r="411" spans="1:16">
      <c r="A411" t="s">
        <v>783</v>
      </c>
      <c r="B411" t="s">
        <v>77</v>
      </c>
      <c r="C411" t="s">
        <v>348</v>
      </c>
      <c r="D411" t="s">
        <v>348</v>
      </c>
      <c r="E411" t="s">
        <v>352</v>
      </c>
      <c r="F411" t="s">
        <v>352</v>
      </c>
      <c r="G411" t="s">
        <v>88</v>
      </c>
      <c r="H411" t="s">
        <v>81</v>
      </c>
      <c r="L411">
        <v>9</v>
      </c>
      <c r="M411" t="s">
        <v>83</v>
      </c>
      <c r="O411" t="s">
        <v>83</v>
      </c>
      <c r="P411" t="s">
        <v>84</v>
      </c>
    </row>
    <row r="412" spans="1:16">
      <c r="A412" t="s">
        <v>783</v>
      </c>
      <c r="B412" t="s">
        <v>77</v>
      </c>
      <c r="C412" t="s">
        <v>348</v>
      </c>
      <c r="D412" t="s">
        <v>348</v>
      </c>
      <c r="E412" t="s">
        <v>353</v>
      </c>
      <c r="F412" t="s">
        <v>353</v>
      </c>
      <c r="G412" t="s">
        <v>94</v>
      </c>
      <c r="H412" t="s">
        <v>81</v>
      </c>
      <c r="L412">
        <v>10</v>
      </c>
      <c r="M412" t="s">
        <v>83</v>
      </c>
      <c r="O412" t="s">
        <v>83</v>
      </c>
      <c r="P412" t="s">
        <v>84</v>
      </c>
    </row>
    <row r="413" spans="1:16">
      <c r="A413" t="s">
        <v>783</v>
      </c>
      <c r="B413" t="s">
        <v>77</v>
      </c>
      <c r="C413" t="s">
        <v>348</v>
      </c>
      <c r="D413" t="s">
        <v>348</v>
      </c>
      <c r="E413" t="s">
        <v>354</v>
      </c>
      <c r="F413" t="s">
        <v>354</v>
      </c>
      <c r="G413" t="s">
        <v>98</v>
      </c>
      <c r="H413" t="s">
        <v>81</v>
      </c>
      <c r="L413">
        <v>11</v>
      </c>
      <c r="M413" t="s">
        <v>83</v>
      </c>
      <c r="O413" t="s">
        <v>83</v>
      </c>
      <c r="P413" t="s">
        <v>84</v>
      </c>
    </row>
    <row r="414" spans="1:16">
      <c r="A414" t="s">
        <v>783</v>
      </c>
      <c r="B414" t="s">
        <v>77</v>
      </c>
      <c r="C414" t="s">
        <v>348</v>
      </c>
      <c r="D414" t="s">
        <v>348</v>
      </c>
      <c r="E414" t="s">
        <v>355</v>
      </c>
      <c r="F414" t="s">
        <v>355</v>
      </c>
      <c r="G414" t="s">
        <v>98</v>
      </c>
      <c r="H414" t="s">
        <v>81</v>
      </c>
      <c r="L414">
        <v>12</v>
      </c>
      <c r="M414" t="s">
        <v>83</v>
      </c>
      <c r="O414" t="s">
        <v>83</v>
      </c>
      <c r="P414" t="s">
        <v>84</v>
      </c>
    </row>
    <row r="415" spans="1:16">
      <c r="A415" t="s">
        <v>783</v>
      </c>
      <c r="B415" t="s">
        <v>77</v>
      </c>
      <c r="C415" t="s">
        <v>348</v>
      </c>
      <c r="D415" t="s">
        <v>348</v>
      </c>
      <c r="E415" t="s">
        <v>356</v>
      </c>
      <c r="F415" t="s">
        <v>356</v>
      </c>
      <c r="G415" t="s">
        <v>98</v>
      </c>
      <c r="H415" t="s">
        <v>81</v>
      </c>
      <c r="L415">
        <v>13</v>
      </c>
      <c r="M415" t="s">
        <v>83</v>
      </c>
      <c r="O415" t="s">
        <v>83</v>
      </c>
      <c r="P415" t="s">
        <v>84</v>
      </c>
    </row>
    <row r="416" spans="1:16">
      <c r="A416" t="s">
        <v>783</v>
      </c>
      <c r="B416" t="s">
        <v>77</v>
      </c>
      <c r="C416" t="s">
        <v>348</v>
      </c>
      <c r="D416" t="s">
        <v>348</v>
      </c>
      <c r="E416" t="s">
        <v>357</v>
      </c>
      <c r="F416" t="s">
        <v>357</v>
      </c>
      <c r="G416" t="s">
        <v>188</v>
      </c>
      <c r="H416" t="s">
        <v>81</v>
      </c>
      <c r="L416">
        <v>14</v>
      </c>
      <c r="M416" t="s">
        <v>83</v>
      </c>
      <c r="O416" t="s">
        <v>83</v>
      </c>
      <c r="P416" t="s">
        <v>84</v>
      </c>
    </row>
    <row r="417" spans="1:16">
      <c r="A417" t="s">
        <v>783</v>
      </c>
      <c r="B417" t="s">
        <v>77</v>
      </c>
      <c r="C417" t="s">
        <v>348</v>
      </c>
      <c r="D417" t="s">
        <v>348</v>
      </c>
      <c r="E417" t="s">
        <v>112</v>
      </c>
      <c r="F417" t="s">
        <v>112</v>
      </c>
      <c r="G417" t="s">
        <v>113</v>
      </c>
      <c r="H417" t="s">
        <v>81</v>
      </c>
      <c r="I417" t="s">
        <v>114</v>
      </c>
      <c r="L417">
        <v>15</v>
      </c>
      <c r="M417" t="s">
        <v>83</v>
      </c>
      <c r="O417" t="s">
        <v>83</v>
      </c>
      <c r="P417" t="s">
        <v>84</v>
      </c>
    </row>
    <row r="418" spans="1:16">
      <c r="A418" t="s">
        <v>783</v>
      </c>
      <c r="B418" t="s">
        <v>77</v>
      </c>
      <c r="C418" t="s">
        <v>348</v>
      </c>
      <c r="D418" t="s">
        <v>348</v>
      </c>
      <c r="E418" t="s">
        <v>115</v>
      </c>
      <c r="F418" t="s">
        <v>115</v>
      </c>
      <c r="G418" t="s">
        <v>113</v>
      </c>
      <c r="H418" t="s">
        <v>81</v>
      </c>
      <c r="I418" t="s">
        <v>114</v>
      </c>
      <c r="L418">
        <v>16</v>
      </c>
      <c r="M418" t="s">
        <v>83</v>
      </c>
      <c r="O418" t="s">
        <v>83</v>
      </c>
      <c r="P418" t="s">
        <v>84</v>
      </c>
    </row>
    <row r="419" spans="1:16">
      <c r="A419" t="s">
        <v>783</v>
      </c>
      <c r="B419" t="s">
        <v>77</v>
      </c>
      <c r="C419" t="s">
        <v>348</v>
      </c>
      <c r="D419" t="s">
        <v>348</v>
      </c>
      <c r="E419" t="s">
        <v>327</v>
      </c>
      <c r="F419" t="s">
        <v>327</v>
      </c>
      <c r="G419" t="s">
        <v>90</v>
      </c>
      <c r="H419" t="s">
        <v>81</v>
      </c>
      <c r="L419">
        <v>17</v>
      </c>
      <c r="M419" t="s">
        <v>83</v>
      </c>
      <c r="O419" t="s">
        <v>83</v>
      </c>
      <c r="P419" t="s">
        <v>84</v>
      </c>
    </row>
    <row r="420" spans="1:16">
      <c r="A420" t="s">
        <v>783</v>
      </c>
      <c r="B420" t="s">
        <v>77</v>
      </c>
      <c r="C420" t="s">
        <v>348</v>
      </c>
      <c r="D420" t="s">
        <v>348</v>
      </c>
      <c r="E420" t="s">
        <v>117</v>
      </c>
      <c r="F420" t="s">
        <v>117</v>
      </c>
      <c r="G420" t="s">
        <v>90</v>
      </c>
      <c r="H420" t="s">
        <v>81</v>
      </c>
      <c r="L420">
        <v>24</v>
      </c>
      <c r="M420" t="s">
        <v>83</v>
      </c>
      <c r="O420" t="s">
        <v>83</v>
      </c>
      <c r="P420" t="s">
        <v>84</v>
      </c>
    </row>
    <row r="421" spans="1:16">
      <c r="A421" t="s">
        <v>783</v>
      </c>
      <c r="B421" t="s">
        <v>77</v>
      </c>
      <c r="C421" t="s">
        <v>348</v>
      </c>
      <c r="D421" t="s">
        <v>348</v>
      </c>
      <c r="E421" t="s">
        <v>328</v>
      </c>
      <c r="F421" t="s">
        <v>328</v>
      </c>
      <c r="G421" t="s">
        <v>90</v>
      </c>
      <c r="H421" t="s">
        <v>81</v>
      </c>
      <c r="L421">
        <v>25</v>
      </c>
      <c r="M421" t="s">
        <v>83</v>
      </c>
      <c r="O421" t="s">
        <v>83</v>
      </c>
      <c r="P421" t="s">
        <v>84</v>
      </c>
    </row>
    <row r="422" spans="1:16">
      <c r="A422" t="s">
        <v>783</v>
      </c>
      <c r="B422" t="s">
        <v>77</v>
      </c>
      <c r="C422" t="s">
        <v>348</v>
      </c>
      <c r="D422" t="s">
        <v>348</v>
      </c>
      <c r="E422" t="s">
        <v>118</v>
      </c>
      <c r="F422" t="s">
        <v>118</v>
      </c>
      <c r="G422" t="s">
        <v>92</v>
      </c>
      <c r="H422" t="s">
        <v>81</v>
      </c>
      <c r="L422">
        <v>26</v>
      </c>
      <c r="M422" t="s">
        <v>83</v>
      </c>
      <c r="O422" t="s">
        <v>83</v>
      </c>
      <c r="P422" t="s">
        <v>84</v>
      </c>
    </row>
    <row r="423" spans="1:16">
      <c r="A423" t="s">
        <v>783</v>
      </c>
      <c r="B423" t="s">
        <v>77</v>
      </c>
      <c r="C423" t="s">
        <v>348</v>
      </c>
      <c r="D423" t="s">
        <v>348</v>
      </c>
      <c r="E423" t="s">
        <v>784</v>
      </c>
      <c r="F423" t="s">
        <v>784</v>
      </c>
      <c r="G423" t="s">
        <v>80</v>
      </c>
      <c r="H423" t="s">
        <v>81</v>
      </c>
      <c r="I423" t="s">
        <v>82</v>
      </c>
      <c r="L423">
        <v>27</v>
      </c>
      <c r="M423" t="s">
        <v>83</v>
      </c>
      <c r="O423" t="s">
        <v>83</v>
      </c>
      <c r="P423" t="s">
        <v>84</v>
      </c>
    </row>
    <row r="424" spans="1:16">
      <c r="A424" t="s">
        <v>783</v>
      </c>
      <c r="B424" t="s">
        <v>77</v>
      </c>
      <c r="C424" t="s">
        <v>348</v>
      </c>
      <c r="D424" t="s">
        <v>348</v>
      </c>
      <c r="E424" t="s">
        <v>785</v>
      </c>
      <c r="F424" t="s">
        <v>785</v>
      </c>
      <c r="G424" t="s">
        <v>80</v>
      </c>
      <c r="H424" t="s">
        <v>81</v>
      </c>
      <c r="I424" t="s">
        <v>82</v>
      </c>
      <c r="L424">
        <v>28</v>
      </c>
      <c r="M424" t="s">
        <v>83</v>
      </c>
      <c r="O424" t="s">
        <v>83</v>
      </c>
      <c r="P424" t="s">
        <v>84</v>
      </c>
    </row>
    <row r="425" spans="1:16">
      <c r="A425" t="s">
        <v>783</v>
      </c>
      <c r="B425" t="s">
        <v>77</v>
      </c>
      <c r="C425" t="s">
        <v>348</v>
      </c>
      <c r="D425" t="s">
        <v>348</v>
      </c>
      <c r="E425" t="s">
        <v>786</v>
      </c>
      <c r="F425" t="s">
        <v>786</v>
      </c>
      <c r="G425" t="s">
        <v>787</v>
      </c>
      <c r="H425" t="s">
        <v>81</v>
      </c>
      <c r="L425">
        <v>29</v>
      </c>
      <c r="M425" t="s">
        <v>83</v>
      </c>
      <c r="O425" t="s">
        <v>83</v>
      </c>
      <c r="P425" t="s">
        <v>84</v>
      </c>
    </row>
    <row r="426" spans="1:16">
      <c r="A426" t="s">
        <v>783</v>
      </c>
      <c r="B426" t="s">
        <v>77</v>
      </c>
      <c r="C426" t="s">
        <v>358</v>
      </c>
      <c r="D426" t="s">
        <v>358</v>
      </c>
      <c r="E426" t="s">
        <v>79</v>
      </c>
      <c r="F426" t="s">
        <v>79</v>
      </c>
      <c r="G426" t="s">
        <v>80</v>
      </c>
      <c r="H426" t="s">
        <v>81</v>
      </c>
      <c r="I426" t="s">
        <v>82</v>
      </c>
      <c r="L426">
        <v>1</v>
      </c>
      <c r="M426" t="s">
        <v>83</v>
      </c>
      <c r="O426" t="s">
        <v>83</v>
      </c>
      <c r="P426" t="s">
        <v>84</v>
      </c>
    </row>
    <row r="427" spans="1:16">
      <c r="A427" t="s">
        <v>783</v>
      </c>
      <c r="B427" t="s">
        <v>77</v>
      </c>
      <c r="C427" t="s">
        <v>358</v>
      </c>
      <c r="D427" t="s">
        <v>358</v>
      </c>
      <c r="E427" t="s">
        <v>86</v>
      </c>
      <c r="F427" t="s">
        <v>86</v>
      </c>
      <c r="G427" t="s">
        <v>80</v>
      </c>
      <c r="H427" t="s">
        <v>81</v>
      </c>
      <c r="I427" t="s">
        <v>82</v>
      </c>
      <c r="L427">
        <v>2</v>
      </c>
      <c r="M427" t="s">
        <v>83</v>
      </c>
      <c r="O427" t="s">
        <v>83</v>
      </c>
      <c r="P427" t="s">
        <v>84</v>
      </c>
    </row>
    <row r="428" spans="1:16">
      <c r="A428" t="s">
        <v>783</v>
      </c>
      <c r="B428" t="s">
        <v>77</v>
      </c>
      <c r="C428" t="s">
        <v>358</v>
      </c>
      <c r="D428" t="s">
        <v>358</v>
      </c>
      <c r="E428" t="s">
        <v>87</v>
      </c>
      <c r="F428" t="s">
        <v>87</v>
      </c>
      <c r="G428" t="s">
        <v>88</v>
      </c>
      <c r="H428" t="s">
        <v>81</v>
      </c>
      <c r="J428" t="s">
        <v>83</v>
      </c>
      <c r="L428">
        <v>3</v>
      </c>
      <c r="M428" t="s">
        <v>83</v>
      </c>
      <c r="O428" t="s">
        <v>83</v>
      </c>
      <c r="P428" t="s">
        <v>84</v>
      </c>
    </row>
    <row r="429" spans="1:16">
      <c r="A429" t="s">
        <v>783</v>
      </c>
      <c r="B429" t="s">
        <v>77</v>
      </c>
      <c r="C429" t="s">
        <v>358</v>
      </c>
      <c r="D429" t="s">
        <v>358</v>
      </c>
      <c r="E429" t="s">
        <v>89</v>
      </c>
      <c r="F429" t="s">
        <v>89</v>
      </c>
      <c r="G429" t="s">
        <v>90</v>
      </c>
      <c r="H429" t="s">
        <v>81</v>
      </c>
      <c r="J429" t="s">
        <v>83</v>
      </c>
      <c r="K429" t="s">
        <v>83</v>
      </c>
      <c r="L429">
        <v>4</v>
      </c>
      <c r="M429" t="s">
        <v>83</v>
      </c>
      <c r="O429" t="s">
        <v>83</v>
      </c>
      <c r="P429" t="s">
        <v>84</v>
      </c>
    </row>
    <row r="430" spans="1:16">
      <c r="A430" t="s">
        <v>783</v>
      </c>
      <c r="B430" t="s">
        <v>77</v>
      </c>
      <c r="C430" t="s">
        <v>358</v>
      </c>
      <c r="D430" t="s">
        <v>358</v>
      </c>
      <c r="E430" t="s">
        <v>359</v>
      </c>
      <c r="F430" t="s">
        <v>359</v>
      </c>
      <c r="G430" t="s">
        <v>80</v>
      </c>
      <c r="H430" t="s">
        <v>81</v>
      </c>
      <c r="I430" t="s">
        <v>82</v>
      </c>
      <c r="L430">
        <v>5</v>
      </c>
      <c r="M430" t="s">
        <v>83</v>
      </c>
      <c r="O430" t="s">
        <v>83</v>
      </c>
      <c r="P430" t="s">
        <v>84</v>
      </c>
    </row>
    <row r="431" spans="1:16">
      <c r="A431" t="s">
        <v>783</v>
      </c>
      <c r="B431" t="s">
        <v>77</v>
      </c>
      <c r="C431" t="s">
        <v>358</v>
      </c>
      <c r="D431" t="s">
        <v>358</v>
      </c>
      <c r="E431" t="s">
        <v>360</v>
      </c>
      <c r="F431" t="s">
        <v>360</v>
      </c>
      <c r="G431" t="s">
        <v>90</v>
      </c>
      <c r="H431" t="s">
        <v>81</v>
      </c>
      <c r="L431">
        <v>6</v>
      </c>
      <c r="M431" t="s">
        <v>83</v>
      </c>
      <c r="O431" t="s">
        <v>83</v>
      </c>
      <c r="P431" t="s">
        <v>84</v>
      </c>
    </row>
    <row r="432" spans="1:16">
      <c r="A432" t="s">
        <v>783</v>
      </c>
      <c r="B432" t="s">
        <v>77</v>
      </c>
      <c r="C432" t="s">
        <v>358</v>
      </c>
      <c r="D432" t="s">
        <v>358</v>
      </c>
      <c r="E432" t="s">
        <v>91</v>
      </c>
      <c r="F432" t="s">
        <v>91</v>
      </c>
      <c r="G432" t="s">
        <v>92</v>
      </c>
      <c r="H432" t="s">
        <v>81</v>
      </c>
      <c r="J432" t="s">
        <v>83</v>
      </c>
      <c r="L432">
        <v>7</v>
      </c>
      <c r="M432" t="s">
        <v>83</v>
      </c>
      <c r="O432" t="s">
        <v>83</v>
      </c>
      <c r="P432" t="s">
        <v>84</v>
      </c>
    </row>
    <row r="433" spans="1:16">
      <c r="A433" t="s">
        <v>783</v>
      </c>
      <c r="B433" t="s">
        <v>77</v>
      </c>
      <c r="C433" t="s">
        <v>358</v>
      </c>
      <c r="D433" t="s">
        <v>358</v>
      </c>
      <c r="E433" t="s">
        <v>361</v>
      </c>
      <c r="F433" t="s">
        <v>361</v>
      </c>
      <c r="G433" t="s">
        <v>94</v>
      </c>
      <c r="H433" t="s">
        <v>81</v>
      </c>
      <c r="L433">
        <v>8</v>
      </c>
      <c r="M433" t="s">
        <v>83</v>
      </c>
      <c r="O433" t="s">
        <v>83</v>
      </c>
      <c r="P433" t="s">
        <v>84</v>
      </c>
    </row>
    <row r="434" spans="1:16">
      <c r="A434" t="s">
        <v>783</v>
      </c>
      <c r="B434" t="s">
        <v>77</v>
      </c>
      <c r="C434" t="s">
        <v>358</v>
      </c>
      <c r="D434" t="s">
        <v>358</v>
      </c>
      <c r="E434" t="s">
        <v>362</v>
      </c>
      <c r="F434" t="s">
        <v>362</v>
      </c>
      <c r="G434" t="s">
        <v>88</v>
      </c>
      <c r="H434" t="s">
        <v>81</v>
      </c>
      <c r="L434">
        <v>9</v>
      </c>
      <c r="M434" t="s">
        <v>83</v>
      </c>
      <c r="O434" t="s">
        <v>83</v>
      </c>
      <c r="P434" t="s">
        <v>84</v>
      </c>
    </row>
    <row r="435" spans="1:16">
      <c r="A435" t="s">
        <v>783</v>
      </c>
      <c r="B435" t="s">
        <v>77</v>
      </c>
      <c r="C435" t="s">
        <v>358</v>
      </c>
      <c r="D435" t="s">
        <v>358</v>
      </c>
      <c r="E435" t="s">
        <v>363</v>
      </c>
      <c r="F435" t="s">
        <v>363</v>
      </c>
      <c r="G435" t="s">
        <v>94</v>
      </c>
      <c r="H435" t="s">
        <v>81</v>
      </c>
      <c r="L435">
        <v>10</v>
      </c>
      <c r="M435" t="s">
        <v>83</v>
      </c>
      <c r="O435" t="s">
        <v>83</v>
      </c>
      <c r="P435" t="s">
        <v>84</v>
      </c>
    </row>
    <row r="436" spans="1:16">
      <c r="A436" t="s">
        <v>783</v>
      </c>
      <c r="B436" t="s">
        <v>77</v>
      </c>
      <c r="C436" t="s">
        <v>358</v>
      </c>
      <c r="D436" t="s">
        <v>358</v>
      </c>
      <c r="E436" t="s">
        <v>364</v>
      </c>
      <c r="F436" t="s">
        <v>364</v>
      </c>
      <c r="G436" t="s">
        <v>98</v>
      </c>
      <c r="H436" t="s">
        <v>81</v>
      </c>
      <c r="L436">
        <v>11</v>
      </c>
      <c r="M436" t="s">
        <v>83</v>
      </c>
      <c r="O436" t="s">
        <v>83</v>
      </c>
      <c r="P436" t="s">
        <v>84</v>
      </c>
    </row>
    <row r="437" spans="1:16">
      <c r="A437" t="s">
        <v>783</v>
      </c>
      <c r="B437" t="s">
        <v>77</v>
      </c>
      <c r="C437" t="s">
        <v>358</v>
      </c>
      <c r="D437" t="s">
        <v>358</v>
      </c>
      <c r="E437" t="s">
        <v>365</v>
      </c>
      <c r="F437" t="s">
        <v>365</v>
      </c>
      <c r="G437" t="s">
        <v>98</v>
      </c>
      <c r="H437" t="s">
        <v>81</v>
      </c>
      <c r="L437">
        <v>12</v>
      </c>
      <c r="M437" t="s">
        <v>83</v>
      </c>
      <c r="O437" t="s">
        <v>83</v>
      </c>
      <c r="P437" t="s">
        <v>84</v>
      </c>
    </row>
    <row r="438" spans="1:16">
      <c r="A438" t="s">
        <v>783</v>
      </c>
      <c r="B438" t="s">
        <v>77</v>
      </c>
      <c r="C438" t="s">
        <v>358</v>
      </c>
      <c r="D438" t="s">
        <v>358</v>
      </c>
      <c r="E438" t="s">
        <v>366</v>
      </c>
      <c r="F438" t="s">
        <v>366</v>
      </c>
      <c r="G438" t="s">
        <v>98</v>
      </c>
      <c r="H438" t="s">
        <v>81</v>
      </c>
      <c r="L438">
        <v>13</v>
      </c>
      <c r="M438" t="s">
        <v>83</v>
      </c>
      <c r="O438" t="s">
        <v>83</v>
      </c>
      <c r="P438" t="s">
        <v>84</v>
      </c>
    </row>
    <row r="439" spans="1:16">
      <c r="A439" t="s">
        <v>783</v>
      </c>
      <c r="B439" t="s">
        <v>77</v>
      </c>
      <c r="C439" t="s">
        <v>358</v>
      </c>
      <c r="D439" t="s">
        <v>358</v>
      </c>
      <c r="E439" t="s">
        <v>367</v>
      </c>
      <c r="F439" t="s">
        <v>367</v>
      </c>
      <c r="G439" t="s">
        <v>188</v>
      </c>
      <c r="H439" t="s">
        <v>81</v>
      </c>
      <c r="L439">
        <v>14</v>
      </c>
      <c r="M439" t="s">
        <v>83</v>
      </c>
      <c r="O439" t="s">
        <v>83</v>
      </c>
      <c r="P439" t="s">
        <v>84</v>
      </c>
    </row>
    <row r="440" spans="1:16">
      <c r="A440" t="s">
        <v>783</v>
      </c>
      <c r="B440" t="s">
        <v>77</v>
      </c>
      <c r="C440" t="s">
        <v>358</v>
      </c>
      <c r="D440" t="s">
        <v>358</v>
      </c>
      <c r="E440" t="s">
        <v>112</v>
      </c>
      <c r="F440" t="s">
        <v>112</v>
      </c>
      <c r="G440" t="s">
        <v>113</v>
      </c>
      <c r="H440" t="s">
        <v>81</v>
      </c>
      <c r="I440" t="s">
        <v>114</v>
      </c>
      <c r="L440">
        <v>15</v>
      </c>
      <c r="M440" t="s">
        <v>83</v>
      </c>
      <c r="O440" t="s">
        <v>83</v>
      </c>
      <c r="P440" t="s">
        <v>84</v>
      </c>
    </row>
    <row r="441" spans="1:16">
      <c r="A441" t="s">
        <v>783</v>
      </c>
      <c r="B441" t="s">
        <v>77</v>
      </c>
      <c r="C441" t="s">
        <v>358</v>
      </c>
      <c r="D441" t="s">
        <v>358</v>
      </c>
      <c r="E441" t="s">
        <v>115</v>
      </c>
      <c r="F441" t="s">
        <v>115</v>
      </c>
      <c r="G441" t="s">
        <v>113</v>
      </c>
      <c r="H441" t="s">
        <v>81</v>
      </c>
      <c r="I441" t="s">
        <v>114</v>
      </c>
      <c r="L441">
        <v>16</v>
      </c>
      <c r="M441" t="s">
        <v>83</v>
      </c>
      <c r="O441" t="s">
        <v>83</v>
      </c>
      <c r="P441" t="s">
        <v>84</v>
      </c>
    </row>
    <row r="442" spans="1:16">
      <c r="A442" t="s">
        <v>783</v>
      </c>
      <c r="B442" t="s">
        <v>77</v>
      </c>
      <c r="C442" t="s">
        <v>358</v>
      </c>
      <c r="D442" t="s">
        <v>358</v>
      </c>
      <c r="E442" t="s">
        <v>327</v>
      </c>
      <c r="F442" t="s">
        <v>327</v>
      </c>
      <c r="G442" t="s">
        <v>90</v>
      </c>
      <c r="H442" t="s">
        <v>81</v>
      </c>
      <c r="L442">
        <v>17</v>
      </c>
      <c r="M442" t="s">
        <v>83</v>
      </c>
      <c r="O442" t="s">
        <v>83</v>
      </c>
      <c r="P442" t="s">
        <v>84</v>
      </c>
    </row>
    <row r="443" spans="1:16">
      <c r="A443" t="s">
        <v>783</v>
      </c>
      <c r="B443" t="s">
        <v>77</v>
      </c>
      <c r="C443" t="s">
        <v>358</v>
      </c>
      <c r="D443" t="s">
        <v>358</v>
      </c>
      <c r="E443" t="s">
        <v>117</v>
      </c>
      <c r="F443" t="s">
        <v>117</v>
      </c>
      <c r="G443" t="s">
        <v>90</v>
      </c>
      <c r="H443" t="s">
        <v>81</v>
      </c>
      <c r="L443">
        <v>24</v>
      </c>
      <c r="M443" t="s">
        <v>83</v>
      </c>
      <c r="O443" t="s">
        <v>83</v>
      </c>
      <c r="P443" t="s">
        <v>84</v>
      </c>
    </row>
    <row r="444" spans="1:16">
      <c r="A444" t="s">
        <v>783</v>
      </c>
      <c r="B444" t="s">
        <v>77</v>
      </c>
      <c r="C444" t="s">
        <v>358</v>
      </c>
      <c r="D444" t="s">
        <v>358</v>
      </c>
      <c r="E444" t="s">
        <v>328</v>
      </c>
      <c r="F444" t="s">
        <v>328</v>
      </c>
      <c r="G444" t="s">
        <v>90</v>
      </c>
      <c r="H444" t="s">
        <v>81</v>
      </c>
      <c r="L444">
        <v>25</v>
      </c>
      <c r="M444" t="s">
        <v>83</v>
      </c>
      <c r="O444" t="s">
        <v>83</v>
      </c>
      <c r="P444" t="s">
        <v>84</v>
      </c>
    </row>
    <row r="445" spans="1:16">
      <c r="A445" t="s">
        <v>783</v>
      </c>
      <c r="B445" t="s">
        <v>77</v>
      </c>
      <c r="C445" t="s">
        <v>358</v>
      </c>
      <c r="D445" t="s">
        <v>358</v>
      </c>
      <c r="E445" t="s">
        <v>118</v>
      </c>
      <c r="F445" t="s">
        <v>118</v>
      </c>
      <c r="G445" t="s">
        <v>92</v>
      </c>
      <c r="H445" t="s">
        <v>81</v>
      </c>
      <c r="L445">
        <v>26</v>
      </c>
      <c r="M445" t="s">
        <v>83</v>
      </c>
      <c r="O445" t="s">
        <v>83</v>
      </c>
      <c r="P445" t="s">
        <v>84</v>
      </c>
    </row>
    <row r="446" spans="1:16">
      <c r="A446" t="s">
        <v>783</v>
      </c>
      <c r="B446" t="s">
        <v>77</v>
      </c>
      <c r="C446" t="s">
        <v>358</v>
      </c>
      <c r="D446" t="s">
        <v>358</v>
      </c>
      <c r="E446" t="s">
        <v>784</v>
      </c>
      <c r="F446" t="s">
        <v>784</v>
      </c>
      <c r="G446" t="s">
        <v>80</v>
      </c>
      <c r="H446" t="s">
        <v>81</v>
      </c>
      <c r="I446" t="s">
        <v>82</v>
      </c>
      <c r="L446">
        <v>27</v>
      </c>
      <c r="M446" t="s">
        <v>83</v>
      </c>
      <c r="O446" t="s">
        <v>83</v>
      </c>
      <c r="P446" t="s">
        <v>84</v>
      </c>
    </row>
    <row r="447" spans="1:16">
      <c r="A447" t="s">
        <v>783</v>
      </c>
      <c r="B447" t="s">
        <v>77</v>
      </c>
      <c r="C447" t="s">
        <v>358</v>
      </c>
      <c r="D447" t="s">
        <v>358</v>
      </c>
      <c r="E447" t="s">
        <v>785</v>
      </c>
      <c r="F447" t="s">
        <v>785</v>
      </c>
      <c r="G447" t="s">
        <v>80</v>
      </c>
      <c r="H447" t="s">
        <v>81</v>
      </c>
      <c r="I447" t="s">
        <v>82</v>
      </c>
      <c r="L447">
        <v>28</v>
      </c>
      <c r="M447" t="s">
        <v>83</v>
      </c>
      <c r="O447" t="s">
        <v>83</v>
      </c>
      <c r="P447" t="s">
        <v>84</v>
      </c>
    </row>
    <row r="448" spans="1:16">
      <c r="A448" t="s">
        <v>783</v>
      </c>
      <c r="B448" t="s">
        <v>77</v>
      </c>
      <c r="C448" t="s">
        <v>358</v>
      </c>
      <c r="D448" t="s">
        <v>358</v>
      </c>
      <c r="E448" t="s">
        <v>786</v>
      </c>
      <c r="F448" t="s">
        <v>786</v>
      </c>
      <c r="G448" t="s">
        <v>787</v>
      </c>
      <c r="H448" t="s">
        <v>81</v>
      </c>
      <c r="L448">
        <v>29</v>
      </c>
      <c r="M448" t="s">
        <v>83</v>
      </c>
      <c r="O448" t="s">
        <v>83</v>
      </c>
      <c r="P448" t="s">
        <v>84</v>
      </c>
    </row>
    <row r="449" spans="1:16">
      <c r="A449" t="s">
        <v>783</v>
      </c>
      <c r="B449" t="s">
        <v>77</v>
      </c>
      <c r="C449" t="s">
        <v>368</v>
      </c>
      <c r="D449" t="s">
        <v>368</v>
      </c>
      <c r="E449" t="s">
        <v>79</v>
      </c>
      <c r="F449" t="s">
        <v>79</v>
      </c>
      <c r="G449" t="s">
        <v>80</v>
      </c>
      <c r="H449" t="s">
        <v>81</v>
      </c>
      <c r="I449" t="s">
        <v>82</v>
      </c>
      <c r="L449">
        <v>1</v>
      </c>
      <c r="M449" t="s">
        <v>83</v>
      </c>
      <c r="O449" t="s">
        <v>83</v>
      </c>
      <c r="P449" t="s">
        <v>84</v>
      </c>
    </row>
    <row r="450" spans="1:16">
      <c r="A450" t="s">
        <v>783</v>
      </c>
      <c r="B450" t="s">
        <v>77</v>
      </c>
      <c r="C450" t="s">
        <v>368</v>
      </c>
      <c r="D450" t="s">
        <v>368</v>
      </c>
      <c r="E450" t="s">
        <v>86</v>
      </c>
      <c r="F450" t="s">
        <v>86</v>
      </c>
      <c r="G450" t="s">
        <v>80</v>
      </c>
      <c r="H450" t="s">
        <v>81</v>
      </c>
      <c r="I450" t="s">
        <v>82</v>
      </c>
      <c r="L450">
        <v>2</v>
      </c>
      <c r="M450" t="s">
        <v>83</v>
      </c>
      <c r="O450" t="s">
        <v>83</v>
      </c>
      <c r="P450" t="s">
        <v>84</v>
      </c>
    </row>
    <row r="451" spans="1:16">
      <c r="A451" t="s">
        <v>783</v>
      </c>
      <c r="B451" t="s">
        <v>77</v>
      </c>
      <c r="C451" t="s">
        <v>368</v>
      </c>
      <c r="D451" t="s">
        <v>368</v>
      </c>
      <c r="E451" t="s">
        <v>87</v>
      </c>
      <c r="F451" t="s">
        <v>87</v>
      </c>
      <c r="G451" t="s">
        <v>88</v>
      </c>
      <c r="H451" t="s">
        <v>81</v>
      </c>
      <c r="J451" t="s">
        <v>83</v>
      </c>
      <c r="L451">
        <v>3</v>
      </c>
      <c r="M451" t="s">
        <v>83</v>
      </c>
      <c r="O451" t="s">
        <v>83</v>
      </c>
      <c r="P451" t="s">
        <v>84</v>
      </c>
    </row>
    <row r="452" spans="1:16">
      <c r="A452" t="s">
        <v>783</v>
      </c>
      <c r="B452" t="s">
        <v>77</v>
      </c>
      <c r="C452" t="s">
        <v>368</v>
      </c>
      <c r="D452" t="s">
        <v>368</v>
      </c>
      <c r="E452" t="s">
        <v>89</v>
      </c>
      <c r="F452" t="s">
        <v>89</v>
      </c>
      <c r="G452" t="s">
        <v>90</v>
      </c>
      <c r="H452" t="s">
        <v>81</v>
      </c>
      <c r="J452" t="s">
        <v>83</v>
      </c>
      <c r="K452" t="s">
        <v>83</v>
      </c>
      <c r="L452">
        <v>4</v>
      </c>
      <c r="M452" t="s">
        <v>83</v>
      </c>
      <c r="O452" t="s">
        <v>83</v>
      </c>
      <c r="P452" t="s">
        <v>84</v>
      </c>
    </row>
    <row r="453" spans="1:16">
      <c r="A453" t="s">
        <v>783</v>
      </c>
      <c r="B453" t="s">
        <v>77</v>
      </c>
      <c r="C453" t="s">
        <v>368</v>
      </c>
      <c r="D453" t="s">
        <v>368</v>
      </c>
      <c r="E453" t="s">
        <v>369</v>
      </c>
      <c r="F453" t="s">
        <v>369</v>
      </c>
      <c r="G453" t="s">
        <v>80</v>
      </c>
      <c r="H453" t="s">
        <v>81</v>
      </c>
      <c r="I453" t="s">
        <v>82</v>
      </c>
      <c r="L453">
        <v>5</v>
      </c>
      <c r="M453" t="s">
        <v>83</v>
      </c>
      <c r="O453" t="s">
        <v>83</v>
      </c>
      <c r="P453" t="s">
        <v>84</v>
      </c>
    </row>
    <row r="454" spans="1:16">
      <c r="A454" t="s">
        <v>783</v>
      </c>
      <c r="B454" t="s">
        <v>77</v>
      </c>
      <c r="C454" t="s">
        <v>368</v>
      </c>
      <c r="D454" t="s">
        <v>368</v>
      </c>
      <c r="E454" t="s">
        <v>370</v>
      </c>
      <c r="F454" t="s">
        <v>370</v>
      </c>
      <c r="G454" t="s">
        <v>90</v>
      </c>
      <c r="H454" t="s">
        <v>81</v>
      </c>
      <c r="L454">
        <v>6</v>
      </c>
      <c r="M454" t="s">
        <v>83</v>
      </c>
      <c r="O454" t="s">
        <v>83</v>
      </c>
      <c r="P454" t="s">
        <v>84</v>
      </c>
    </row>
    <row r="455" spans="1:16">
      <c r="A455" t="s">
        <v>783</v>
      </c>
      <c r="B455" t="s">
        <v>77</v>
      </c>
      <c r="C455" t="s">
        <v>368</v>
      </c>
      <c r="D455" t="s">
        <v>368</v>
      </c>
      <c r="E455" t="s">
        <v>91</v>
      </c>
      <c r="F455" t="s">
        <v>91</v>
      </c>
      <c r="G455" t="s">
        <v>92</v>
      </c>
      <c r="H455" t="s">
        <v>81</v>
      </c>
      <c r="J455" t="s">
        <v>83</v>
      </c>
      <c r="L455">
        <v>7</v>
      </c>
      <c r="M455" t="s">
        <v>83</v>
      </c>
      <c r="O455" t="s">
        <v>83</v>
      </c>
      <c r="P455" t="s">
        <v>84</v>
      </c>
    </row>
    <row r="456" spans="1:16">
      <c r="A456" t="s">
        <v>783</v>
      </c>
      <c r="B456" t="s">
        <v>77</v>
      </c>
      <c r="C456" t="s">
        <v>368</v>
      </c>
      <c r="D456" t="s">
        <v>368</v>
      </c>
      <c r="E456" t="s">
        <v>371</v>
      </c>
      <c r="F456" t="s">
        <v>371</v>
      </c>
      <c r="G456" t="s">
        <v>94</v>
      </c>
      <c r="H456" t="s">
        <v>81</v>
      </c>
      <c r="L456">
        <v>8</v>
      </c>
      <c r="M456" t="s">
        <v>83</v>
      </c>
      <c r="O456" t="s">
        <v>83</v>
      </c>
      <c r="P456" t="s">
        <v>84</v>
      </c>
    </row>
    <row r="457" spans="1:16">
      <c r="A457" t="s">
        <v>783</v>
      </c>
      <c r="B457" t="s">
        <v>77</v>
      </c>
      <c r="C457" t="s">
        <v>368</v>
      </c>
      <c r="D457" t="s">
        <v>368</v>
      </c>
      <c r="E457" t="s">
        <v>372</v>
      </c>
      <c r="F457" t="s">
        <v>372</v>
      </c>
      <c r="G457" t="s">
        <v>88</v>
      </c>
      <c r="H457" t="s">
        <v>81</v>
      </c>
      <c r="L457">
        <v>9</v>
      </c>
      <c r="M457" t="s">
        <v>83</v>
      </c>
      <c r="O457" t="s">
        <v>83</v>
      </c>
      <c r="P457" t="s">
        <v>84</v>
      </c>
    </row>
    <row r="458" spans="1:16">
      <c r="A458" t="s">
        <v>783</v>
      </c>
      <c r="B458" t="s">
        <v>77</v>
      </c>
      <c r="C458" t="s">
        <v>368</v>
      </c>
      <c r="D458" t="s">
        <v>368</v>
      </c>
      <c r="E458" t="s">
        <v>373</v>
      </c>
      <c r="F458" t="s">
        <v>373</v>
      </c>
      <c r="G458" t="s">
        <v>94</v>
      </c>
      <c r="H458" t="s">
        <v>81</v>
      </c>
      <c r="L458">
        <v>10</v>
      </c>
      <c r="M458" t="s">
        <v>83</v>
      </c>
      <c r="O458" t="s">
        <v>83</v>
      </c>
      <c r="P458" t="s">
        <v>84</v>
      </c>
    </row>
    <row r="459" spans="1:16">
      <c r="A459" t="s">
        <v>783</v>
      </c>
      <c r="B459" t="s">
        <v>77</v>
      </c>
      <c r="C459" t="s">
        <v>368</v>
      </c>
      <c r="D459" t="s">
        <v>368</v>
      </c>
      <c r="E459" t="s">
        <v>374</v>
      </c>
      <c r="F459" t="s">
        <v>374</v>
      </c>
      <c r="G459" t="s">
        <v>98</v>
      </c>
      <c r="H459" t="s">
        <v>81</v>
      </c>
      <c r="L459">
        <v>11</v>
      </c>
      <c r="M459" t="s">
        <v>83</v>
      </c>
      <c r="O459" t="s">
        <v>83</v>
      </c>
      <c r="P459" t="s">
        <v>84</v>
      </c>
    </row>
    <row r="460" spans="1:16">
      <c r="A460" t="s">
        <v>783</v>
      </c>
      <c r="B460" t="s">
        <v>77</v>
      </c>
      <c r="C460" t="s">
        <v>368</v>
      </c>
      <c r="D460" t="s">
        <v>368</v>
      </c>
      <c r="E460" t="s">
        <v>375</v>
      </c>
      <c r="F460" t="s">
        <v>375</v>
      </c>
      <c r="G460" t="s">
        <v>98</v>
      </c>
      <c r="H460" t="s">
        <v>81</v>
      </c>
      <c r="L460">
        <v>12</v>
      </c>
      <c r="M460" t="s">
        <v>83</v>
      </c>
      <c r="O460" t="s">
        <v>83</v>
      </c>
      <c r="P460" t="s">
        <v>84</v>
      </c>
    </row>
    <row r="461" spans="1:16">
      <c r="A461" t="s">
        <v>783</v>
      </c>
      <c r="B461" t="s">
        <v>77</v>
      </c>
      <c r="C461" t="s">
        <v>368</v>
      </c>
      <c r="D461" t="s">
        <v>368</v>
      </c>
      <c r="E461" t="s">
        <v>376</v>
      </c>
      <c r="F461" t="s">
        <v>376</v>
      </c>
      <c r="G461" t="s">
        <v>98</v>
      </c>
      <c r="H461" t="s">
        <v>81</v>
      </c>
      <c r="L461">
        <v>13</v>
      </c>
      <c r="M461" t="s">
        <v>83</v>
      </c>
      <c r="O461" t="s">
        <v>83</v>
      </c>
      <c r="P461" t="s">
        <v>84</v>
      </c>
    </row>
    <row r="462" spans="1:16">
      <c r="A462" t="s">
        <v>783</v>
      </c>
      <c r="B462" t="s">
        <v>77</v>
      </c>
      <c r="C462" t="s">
        <v>368</v>
      </c>
      <c r="D462" t="s">
        <v>368</v>
      </c>
      <c r="E462" t="s">
        <v>377</v>
      </c>
      <c r="F462" t="s">
        <v>377</v>
      </c>
      <c r="G462" t="s">
        <v>188</v>
      </c>
      <c r="H462" t="s">
        <v>81</v>
      </c>
      <c r="L462">
        <v>14</v>
      </c>
      <c r="M462" t="s">
        <v>83</v>
      </c>
      <c r="O462" t="s">
        <v>83</v>
      </c>
      <c r="P462" t="s">
        <v>84</v>
      </c>
    </row>
    <row r="463" spans="1:16">
      <c r="A463" t="s">
        <v>783</v>
      </c>
      <c r="B463" t="s">
        <v>77</v>
      </c>
      <c r="C463" t="s">
        <v>368</v>
      </c>
      <c r="D463" t="s">
        <v>368</v>
      </c>
      <c r="E463" t="s">
        <v>112</v>
      </c>
      <c r="F463" t="s">
        <v>112</v>
      </c>
      <c r="G463" t="s">
        <v>113</v>
      </c>
      <c r="H463" t="s">
        <v>81</v>
      </c>
      <c r="I463" t="s">
        <v>114</v>
      </c>
      <c r="L463">
        <v>15</v>
      </c>
      <c r="M463" t="s">
        <v>83</v>
      </c>
      <c r="O463" t="s">
        <v>83</v>
      </c>
      <c r="P463" t="s">
        <v>84</v>
      </c>
    </row>
    <row r="464" spans="1:16">
      <c r="A464" t="s">
        <v>783</v>
      </c>
      <c r="B464" t="s">
        <v>77</v>
      </c>
      <c r="C464" t="s">
        <v>368</v>
      </c>
      <c r="D464" t="s">
        <v>368</v>
      </c>
      <c r="E464" t="s">
        <v>115</v>
      </c>
      <c r="F464" t="s">
        <v>115</v>
      </c>
      <c r="G464" t="s">
        <v>113</v>
      </c>
      <c r="H464" t="s">
        <v>81</v>
      </c>
      <c r="I464" t="s">
        <v>114</v>
      </c>
      <c r="L464">
        <v>16</v>
      </c>
      <c r="M464" t="s">
        <v>83</v>
      </c>
      <c r="O464" t="s">
        <v>83</v>
      </c>
      <c r="P464" t="s">
        <v>84</v>
      </c>
    </row>
    <row r="465" spans="1:16">
      <c r="A465" t="s">
        <v>783</v>
      </c>
      <c r="B465" t="s">
        <v>77</v>
      </c>
      <c r="C465" t="s">
        <v>368</v>
      </c>
      <c r="D465" t="s">
        <v>368</v>
      </c>
      <c r="E465" t="s">
        <v>327</v>
      </c>
      <c r="F465" t="s">
        <v>327</v>
      </c>
      <c r="G465" t="s">
        <v>90</v>
      </c>
      <c r="H465" t="s">
        <v>81</v>
      </c>
      <c r="L465">
        <v>17</v>
      </c>
      <c r="M465" t="s">
        <v>83</v>
      </c>
      <c r="O465" t="s">
        <v>83</v>
      </c>
      <c r="P465" t="s">
        <v>84</v>
      </c>
    </row>
    <row r="466" spans="1:16">
      <c r="A466" t="s">
        <v>783</v>
      </c>
      <c r="B466" t="s">
        <v>77</v>
      </c>
      <c r="C466" t="s">
        <v>368</v>
      </c>
      <c r="D466" t="s">
        <v>368</v>
      </c>
      <c r="E466" t="s">
        <v>117</v>
      </c>
      <c r="F466" t="s">
        <v>117</v>
      </c>
      <c r="G466" t="s">
        <v>90</v>
      </c>
      <c r="H466" t="s">
        <v>81</v>
      </c>
      <c r="L466">
        <v>24</v>
      </c>
      <c r="M466" t="s">
        <v>83</v>
      </c>
      <c r="O466" t="s">
        <v>83</v>
      </c>
      <c r="P466" t="s">
        <v>84</v>
      </c>
    </row>
    <row r="467" spans="1:16">
      <c r="A467" t="s">
        <v>783</v>
      </c>
      <c r="B467" t="s">
        <v>77</v>
      </c>
      <c r="C467" t="s">
        <v>368</v>
      </c>
      <c r="D467" t="s">
        <v>368</v>
      </c>
      <c r="E467" t="s">
        <v>328</v>
      </c>
      <c r="F467" t="s">
        <v>328</v>
      </c>
      <c r="G467" t="s">
        <v>90</v>
      </c>
      <c r="H467" t="s">
        <v>81</v>
      </c>
      <c r="L467">
        <v>25</v>
      </c>
      <c r="M467" t="s">
        <v>83</v>
      </c>
      <c r="O467" t="s">
        <v>83</v>
      </c>
      <c r="P467" t="s">
        <v>84</v>
      </c>
    </row>
    <row r="468" spans="1:16">
      <c r="A468" t="s">
        <v>783</v>
      </c>
      <c r="B468" t="s">
        <v>77</v>
      </c>
      <c r="C468" t="s">
        <v>368</v>
      </c>
      <c r="D468" t="s">
        <v>368</v>
      </c>
      <c r="E468" t="s">
        <v>118</v>
      </c>
      <c r="F468" t="s">
        <v>118</v>
      </c>
      <c r="G468" t="s">
        <v>92</v>
      </c>
      <c r="H468" t="s">
        <v>81</v>
      </c>
      <c r="L468">
        <v>26</v>
      </c>
      <c r="M468" t="s">
        <v>83</v>
      </c>
      <c r="O468" t="s">
        <v>83</v>
      </c>
      <c r="P468" t="s">
        <v>84</v>
      </c>
    </row>
    <row r="469" spans="1:16">
      <c r="A469" t="s">
        <v>783</v>
      </c>
      <c r="B469" t="s">
        <v>77</v>
      </c>
      <c r="C469" t="s">
        <v>368</v>
      </c>
      <c r="D469" t="s">
        <v>368</v>
      </c>
      <c r="E469" t="s">
        <v>784</v>
      </c>
      <c r="F469" t="s">
        <v>784</v>
      </c>
      <c r="G469" t="s">
        <v>80</v>
      </c>
      <c r="H469" t="s">
        <v>81</v>
      </c>
      <c r="I469" t="s">
        <v>82</v>
      </c>
      <c r="L469">
        <v>27</v>
      </c>
      <c r="M469" t="s">
        <v>83</v>
      </c>
      <c r="O469" t="s">
        <v>83</v>
      </c>
      <c r="P469" t="s">
        <v>84</v>
      </c>
    </row>
    <row r="470" spans="1:16">
      <c r="A470" t="s">
        <v>783</v>
      </c>
      <c r="B470" t="s">
        <v>77</v>
      </c>
      <c r="C470" t="s">
        <v>368</v>
      </c>
      <c r="D470" t="s">
        <v>368</v>
      </c>
      <c r="E470" t="s">
        <v>785</v>
      </c>
      <c r="F470" t="s">
        <v>785</v>
      </c>
      <c r="G470" t="s">
        <v>80</v>
      </c>
      <c r="H470" t="s">
        <v>81</v>
      </c>
      <c r="I470" t="s">
        <v>82</v>
      </c>
      <c r="L470">
        <v>28</v>
      </c>
      <c r="M470" t="s">
        <v>83</v>
      </c>
      <c r="O470" t="s">
        <v>83</v>
      </c>
      <c r="P470" t="s">
        <v>84</v>
      </c>
    </row>
    <row r="471" spans="1:16">
      <c r="A471" t="s">
        <v>783</v>
      </c>
      <c r="B471" t="s">
        <v>77</v>
      </c>
      <c r="C471" t="s">
        <v>368</v>
      </c>
      <c r="D471" t="s">
        <v>368</v>
      </c>
      <c r="E471" t="s">
        <v>786</v>
      </c>
      <c r="F471" t="s">
        <v>786</v>
      </c>
      <c r="G471" t="s">
        <v>787</v>
      </c>
      <c r="H471" t="s">
        <v>81</v>
      </c>
      <c r="L471">
        <v>29</v>
      </c>
      <c r="M471" t="s">
        <v>83</v>
      </c>
      <c r="O471" t="s">
        <v>83</v>
      </c>
      <c r="P471" t="s">
        <v>84</v>
      </c>
    </row>
    <row r="472" spans="1:16">
      <c r="A472" t="s">
        <v>783</v>
      </c>
      <c r="B472" t="s">
        <v>77</v>
      </c>
      <c r="C472" t="s">
        <v>378</v>
      </c>
      <c r="D472" t="s">
        <v>378</v>
      </c>
      <c r="E472" t="s">
        <v>79</v>
      </c>
      <c r="F472" t="s">
        <v>79</v>
      </c>
      <c r="G472" t="s">
        <v>80</v>
      </c>
      <c r="H472" t="s">
        <v>81</v>
      </c>
      <c r="I472" t="s">
        <v>82</v>
      </c>
      <c r="L472">
        <v>1</v>
      </c>
      <c r="M472" t="s">
        <v>83</v>
      </c>
      <c r="O472" t="s">
        <v>83</v>
      </c>
      <c r="P472" t="s">
        <v>84</v>
      </c>
    </row>
    <row r="473" spans="1:16">
      <c r="A473" t="s">
        <v>783</v>
      </c>
      <c r="B473" t="s">
        <v>77</v>
      </c>
      <c r="C473" t="s">
        <v>378</v>
      </c>
      <c r="D473" t="s">
        <v>378</v>
      </c>
      <c r="E473" t="s">
        <v>86</v>
      </c>
      <c r="F473" t="s">
        <v>86</v>
      </c>
      <c r="G473" t="s">
        <v>80</v>
      </c>
      <c r="H473" t="s">
        <v>81</v>
      </c>
      <c r="I473" t="s">
        <v>82</v>
      </c>
      <c r="L473">
        <v>2</v>
      </c>
      <c r="M473" t="s">
        <v>83</v>
      </c>
      <c r="O473" t="s">
        <v>83</v>
      </c>
      <c r="P473" t="s">
        <v>84</v>
      </c>
    </row>
    <row r="474" spans="1:16">
      <c r="A474" t="s">
        <v>783</v>
      </c>
      <c r="B474" t="s">
        <v>77</v>
      </c>
      <c r="C474" t="s">
        <v>378</v>
      </c>
      <c r="D474" t="s">
        <v>378</v>
      </c>
      <c r="E474" t="s">
        <v>87</v>
      </c>
      <c r="F474" t="s">
        <v>87</v>
      </c>
      <c r="G474" t="s">
        <v>88</v>
      </c>
      <c r="H474" t="s">
        <v>81</v>
      </c>
      <c r="J474" t="s">
        <v>83</v>
      </c>
      <c r="L474">
        <v>3</v>
      </c>
      <c r="M474" t="s">
        <v>83</v>
      </c>
      <c r="O474" t="s">
        <v>83</v>
      </c>
      <c r="P474" t="s">
        <v>84</v>
      </c>
    </row>
    <row r="475" spans="1:16">
      <c r="A475" t="s">
        <v>783</v>
      </c>
      <c r="B475" t="s">
        <v>77</v>
      </c>
      <c r="C475" t="s">
        <v>378</v>
      </c>
      <c r="D475" t="s">
        <v>378</v>
      </c>
      <c r="E475" t="s">
        <v>89</v>
      </c>
      <c r="F475" t="s">
        <v>89</v>
      </c>
      <c r="G475" t="s">
        <v>90</v>
      </c>
      <c r="H475" t="s">
        <v>81</v>
      </c>
      <c r="J475" t="s">
        <v>83</v>
      </c>
      <c r="K475" t="s">
        <v>83</v>
      </c>
      <c r="L475">
        <v>4</v>
      </c>
      <c r="M475" t="s">
        <v>83</v>
      </c>
      <c r="O475" t="s">
        <v>83</v>
      </c>
      <c r="P475" t="s">
        <v>84</v>
      </c>
    </row>
    <row r="476" spans="1:16">
      <c r="A476" t="s">
        <v>783</v>
      </c>
      <c r="B476" t="s">
        <v>77</v>
      </c>
      <c r="C476" t="s">
        <v>378</v>
      </c>
      <c r="D476" t="s">
        <v>378</v>
      </c>
      <c r="E476" t="s">
        <v>379</v>
      </c>
      <c r="F476" t="s">
        <v>379</v>
      </c>
      <c r="G476" t="s">
        <v>80</v>
      </c>
      <c r="H476" t="s">
        <v>81</v>
      </c>
      <c r="I476" t="s">
        <v>82</v>
      </c>
      <c r="L476">
        <v>5</v>
      </c>
      <c r="M476" t="s">
        <v>83</v>
      </c>
      <c r="O476" t="s">
        <v>83</v>
      </c>
      <c r="P476" t="s">
        <v>84</v>
      </c>
    </row>
    <row r="477" spans="1:16">
      <c r="A477" t="s">
        <v>783</v>
      </c>
      <c r="B477" t="s">
        <v>77</v>
      </c>
      <c r="C477" t="s">
        <v>378</v>
      </c>
      <c r="D477" t="s">
        <v>378</v>
      </c>
      <c r="E477" t="s">
        <v>380</v>
      </c>
      <c r="F477" t="s">
        <v>380</v>
      </c>
      <c r="G477" t="s">
        <v>90</v>
      </c>
      <c r="H477" t="s">
        <v>81</v>
      </c>
      <c r="L477">
        <v>6</v>
      </c>
      <c r="M477" t="s">
        <v>83</v>
      </c>
      <c r="O477" t="s">
        <v>83</v>
      </c>
      <c r="P477" t="s">
        <v>84</v>
      </c>
    </row>
    <row r="478" spans="1:16">
      <c r="A478" t="s">
        <v>783</v>
      </c>
      <c r="B478" t="s">
        <v>77</v>
      </c>
      <c r="C478" t="s">
        <v>378</v>
      </c>
      <c r="D478" t="s">
        <v>378</v>
      </c>
      <c r="E478" t="s">
        <v>91</v>
      </c>
      <c r="F478" t="s">
        <v>91</v>
      </c>
      <c r="G478" t="s">
        <v>92</v>
      </c>
      <c r="H478" t="s">
        <v>81</v>
      </c>
      <c r="J478" t="s">
        <v>83</v>
      </c>
      <c r="L478">
        <v>7</v>
      </c>
      <c r="M478" t="s">
        <v>83</v>
      </c>
      <c r="O478" t="s">
        <v>83</v>
      </c>
      <c r="P478" t="s">
        <v>84</v>
      </c>
    </row>
    <row r="479" spans="1:16">
      <c r="A479" t="s">
        <v>783</v>
      </c>
      <c r="B479" t="s">
        <v>77</v>
      </c>
      <c r="C479" t="s">
        <v>378</v>
      </c>
      <c r="D479" t="s">
        <v>378</v>
      </c>
      <c r="E479" t="s">
        <v>381</v>
      </c>
      <c r="F479" t="s">
        <v>381</v>
      </c>
      <c r="G479" t="s">
        <v>94</v>
      </c>
      <c r="H479" t="s">
        <v>81</v>
      </c>
      <c r="L479">
        <v>8</v>
      </c>
      <c r="M479" t="s">
        <v>83</v>
      </c>
      <c r="O479" t="s">
        <v>83</v>
      </c>
      <c r="P479" t="s">
        <v>84</v>
      </c>
    </row>
    <row r="480" spans="1:16">
      <c r="A480" t="s">
        <v>783</v>
      </c>
      <c r="B480" t="s">
        <v>77</v>
      </c>
      <c r="C480" t="s">
        <v>378</v>
      </c>
      <c r="D480" t="s">
        <v>378</v>
      </c>
      <c r="E480" t="s">
        <v>382</v>
      </c>
      <c r="F480" t="s">
        <v>382</v>
      </c>
      <c r="G480" t="s">
        <v>88</v>
      </c>
      <c r="H480" t="s">
        <v>81</v>
      </c>
      <c r="L480">
        <v>9</v>
      </c>
      <c r="M480" t="s">
        <v>83</v>
      </c>
      <c r="O480" t="s">
        <v>83</v>
      </c>
      <c r="P480" t="s">
        <v>84</v>
      </c>
    </row>
    <row r="481" spans="1:16">
      <c r="A481" t="s">
        <v>783</v>
      </c>
      <c r="B481" t="s">
        <v>77</v>
      </c>
      <c r="C481" t="s">
        <v>378</v>
      </c>
      <c r="D481" t="s">
        <v>378</v>
      </c>
      <c r="E481" t="s">
        <v>383</v>
      </c>
      <c r="F481" t="s">
        <v>383</v>
      </c>
      <c r="G481" t="s">
        <v>94</v>
      </c>
      <c r="H481" t="s">
        <v>81</v>
      </c>
      <c r="L481">
        <v>10</v>
      </c>
      <c r="M481" t="s">
        <v>83</v>
      </c>
      <c r="O481" t="s">
        <v>83</v>
      </c>
      <c r="P481" t="s">
        <v>84</v>
      </c>
    </row>
    <row r="482" spans="1:16">
      <c r="A482" t="s">
        <v>783</v>
      </c>
      <c r="B482" t="s">
        <v>77</v>
      </c>
      <c r="C482" t="s">
        <v>378</v>
      </c>
      <c r="D482" t="s">
        <v>378</v>
      </c>
      <c r="E482" t="s">
        <v>384</v>
      </c>
      <c r="F482" t="s">
        <v>384</v>
      </c>
      <c r="G482" t="s">
        <v>98</v>
      </c>
      <c r="H482" t="s">
        <v>81</v>
      </c>
      <c r="L482">
        <v>11</v>
      </c>
      <c r="M482" t="s">
        <v>83</v>
      </c>
      <c r="O482" t="s">
        <v>83</v>
      </c>
      <c r="P482" t="s">
        <v>84</v>
      </c>
    </row>
    <row r="483" spans="1:16">
      <c r="A483" t="s">
        <v>783</v>
      </c>
      <c r="B483" t="s">
        <v>77</v>
      </c>
      <c r="C483" t="s">
        <v>378</v>
      </c>
      <c r="D483" t="s">
        <v>378</v>
      </c>
      <c r="E483" t="s">
        <v>384</v>
      </c>
      <c r="F483" t="s">
        <v>385</v>
      </c>
      <c r="G483" t="s">
        <v>98</v>
      </c>
      <c r="H483" t="s">
        <v>81</v>
      </c>
      <c r="L483">
        <v>12</v>
      </c>
      <c r="M483" t="s">
        <v>83</v>
      </c>
      <c r="O483" t="s">
        <v>83</v>
      </c>
      <c r="P483" t="s">
        <v>84</v>
      </c>
    </row>
    <row r="484" spans="1:16">
      <c r="A484" t="s">
        <v>783</v>
      </c>
      <c r="B484" t="s">
        <v>77</v>
      </c>
      <c r="C484" t="s">
        <v>378</v>
      </c>
      <c r="D484" t="s">
        <v>378</v>
      </c>
      <c r="E484" t="s">
        <v>386</v>
      </c>
      <c r="F484" t="s">
        <v>386</v>
      </c>
      <c r="G484" t="s">
        <v>98</v>
      </c>
      <c r="H484" t="s">
        <v>81</v>
      </c>
      <c r="L484">
        <v>13</v>
      </c>
      <c r="M484" t="s">
        <v>83</v>
      </c>
      <c r="O484" t="s">
        <v>83</v>
      </c>
      <c r="P484" t="s">
        <v>84</v>
      </c>
    </row>
    <row r="485" spans="1:16">
      <c r="A485" t="s">
        <v>783</v>
      </c>
      <c r="B485" t="s">
        <v>77</v>
      </c>
      <c r="C485" t="s">
        <v>378</v>
      </c>
      <c r="D485" t="s">
        <v>378</v>
      </c>
      <c r="E485" t="s">
        <v>387</v>
      </c>
      <c r="F485" t="s">
        <v>387</v>
      </c>
      <c r="G485" t="s">
        <v>188</v>
      </c>
      <c r="H485" t="s">
        <v>81</v>
      </c>
      <c r="L485">
        <v>14</v>
      </c>
      <c r="M485" t="s">
        <v>83</v>
      </c>
      <c r="O485" t="s">
        <v>83</v>
      </c>
      <c r="P485" t="s">
        <v>84</v>
      </c>
    </row>
    <row r="486" spans="1:16">
      <c r="A486" t="s">
        <v>783</v>
      </c>
      <c r="B486" t="s">
        <v>77</v>
      </c>
      <c r="C486" t="s">
        <v>378</v>
      </c>
      <c r="D486" t="s">
        <v>378</v>
      </c>
      <c r="E486" t="s">
        <v>112</v>
      </c>
      <c r="F486" t="s">
        <v>112</v>
      </c>
      <c r="G486" t="s">
        <v>113</v>
      </c>
      <c r="H486" t="s">
        <v>81</v>
      </c>
      <c r="I486" t="s">
        <v>114</v>
      </c>
      <c r="L486">
        <v>15</v>
      </c>
      <c r="M486" t="s">
        <v>83</v>
      </c>
      <c r="O486" t="s">
        <v>83</v>
      </c>
      <c r="P486" t="s">
        <v>84</v>
      </c>
    </row>
    <row r="487" spans="1:16">
      <c r="A487" t="s">
        <v>783</v>
      </c>
      <c r="B487" t="s">
        <v>77</v>
      </c>
      <c r="C487" t="s">
        <v>378</v>
      </c>
      <c r="D487" t="s">
        <v>378</v>
      </c>
      <c r="E487" t="s">
        <v>115</v>
      </c>
      <c r="F487" t="s">
        <v>115</v>
      </c>
      <c r="G487" t="s">
        <v>113</v>
      </c>
      <c r="H487" t="s">
        <v>81</v>
      </c>
      <c r="I487" t="s">
        <v>114</v>
      </c>
      <c r="L487">
        <v>16</v>
      </c>
      <c r="M487" t="s">
        <v>83</v>
      </c>
      <c r="O487" t="s">
        <v>83</v>
      </c>
      <c r="P487" t="s">
        <v>84</v>
      </c>
    </row>
    <row r="488" spans="1:16">
      <c r="A488" t="s">
        <v>783</v>
      </c>
      <c r="B488" t="s">
        <v>77</v>
      </c>
      <c r="C488" t="s">
        <v>378</v>
      </c>
      <c r="D488" t="s">
        <v>378</v>
      </c>
      <c r="E488" t="s">
        <v>117</v>
      </c>
      <c r="F488" t="s">
        <v>117</v>
      </c>
      <c r="G488" t="s">
        <v>90</v>
      </c>
      <c r="H488" t="s">
        <v>81</v>
      </c>
      <c r="L488">
        <v>23</v>
      </c>
      <c r="M488" t="s">
        <v>83</v>
      </c>
      <c r="O488" t="s">
        <v>83</v>
      </c>
      <c r="P488" t="s">
        <v>84</v>
      </c>
    </row>
    <row r="489" spans="1:16">
      <c r="A489" t="s">
        <v>783</v>
      </c>
      <c r="B489" t="s">
        <v>77</v>
      </c>
      <c r="C489" t="s">
        <v>378</v>
      </c>
      <c r="D489" t="s">
        <v>378</v>
      </c>
      <c r="E489" t="s">
        <v>328</v>
      </c>
      <c r="F489" t="s">
        <v>328</v>
      </c>
      <c r="G489" t="s">
        <v>90</v>
      </c>
      <c r="H489" t="s">
        <v>81</v>
      </c>
      <c r="L489">
        <v>24</v>
      </c>
      <c r="M489" t="s">
        <v>83</v>
      </c>
      <c r="O489" t="s">
        <v>83</v>
      </c>
      <c r="P489" t="s">
        <v>84</v>
      </c>
    </row>
    <row r="490" spans="1:16">
      <c r="A490" t="s">
        <v>783</v>
      </c>
      <c r="B490" t="s">
        <v>77</v>
      </c>
      <c r="C490" t="s">
        <v>378</v>
      </c>
      <c r="D490" t="s">
        <v>378</v>
      </c>
      <c r="E490" t="s">
        <v>118</v>
      </c>
      <c r="F490" t="s">
        <v>118</v>
      </c>
      <c r="G490" t="s">
        <v>92</v>
      </c>
      <c r="H490" t="s">
        <v>81</v>
      </c>
      <c r="L490">
        <v>25</v>
      </c>
      <c r="M490" t="s">
        <v>83</v>
      </c>
      <c r="O490" t="s">
        <v>83</v>
      </c>
      <c r="P490" t="s">
        <v>84</v>
      </c>
    </row>
    <row r="491" spans="1:16">
      <c r="A491" t="s">
        <v>783</v>
      </c>
      <c r="B491" t="s">
        <v>77</v>
      </c>
      <c r="C491" t="s">
        <v>378</v>
      </c>
      <c r="D491" t="s">
        <v>378</v>
      </c>
      <c r="E491" t="s">
        <v>784</v>
      </c>
      <c r="F491" t="s">
        <v>784</v>
      </c>
      <c r="G491" t="s">
        <v>80</v>
      </c>
      <c r="H491" t="s">
        <v>81</v>
      </c>
      <c r="I491" t="s">
        <v>82</v>
      </c>
      <c r="L491">
        <v>26</v>
      </c>
      <c r="M491" t="s">
        <v>83</v>
      </c>
      <c r="O491" t="s">
        <v>83</v>
      </c>
      <c r="P491" t="s">
        <v>84</v>
      </c>
    </row>
    <row r="492" spans="1:16">
      <c r="A492" t="s">
        <v>783</v>
      </c>
      <c r="B492" t="s">
        <v>77</v>
      </c>
      <c r="C492" t="s">
        <v>378</v>
      </c>
      <c r="D492" t="s">
        <v>378</v>
      </c>
      <c r="E492" t="s">
        <v>785</v>
      </c>
      <c r="F492" t="s">
        <v>785</v>
      </c>
      <c r="G492" t="s">
        <v>80</v>
      </c>
      <c r="H492" t="s">
        <v>81</v>
      </c>
      <c r="I492" t="s">
        <v>82</v>
      </c>
      <c r="L492">
        <v>27</v>
      </c>
      <c r="M492" t="s">
        <v>83</v>
      </c>
      <c r="O492" t="s">
        <v>83</v>
      </c>
      <c r="P492" t="s">
        <v>84</v>
      </c>
    </row>
    <row r="493" spans="1:16">
      <c r="A493" t="s">
        <v>783</v>
      </c>
      <c r="B493" t="s">
        <v>77</v>
      </c>
      <c r="C493" t="s">
        <v>378</v>
      </c>
      <c r="D493" t="s">
        <v>378</v>
      </c>
      <c r="E493" t="s">
        <v>786</v>
      </c>
      <c r="F493" t="s">
        <v>786</v>
      </c>
      <c r="G493" t="s">
        <v>787</v>
      </c>
      <c r="H493" t="s">
        <v>81</v>
      </c>
      <c r="L493">
        <v>28</v>
      </c>
      <c r="M493" t="s">
        <v>83</v>
      </c>
      <c r="O493" t="s">
        <v>83</v>
      </c>
      <c r="P493" t="s">
        <v>84</v>
      </c>
    </row>
    <row r="494" spans="1:16">
      <c r="A494" t="s">
        <v>783</v>
      </c>
      <c r="B494" t="s">
        <v>77</v>
      </c>
      <c r="C494" t="s">
        <v>388</v>
      </c>
      <c r="D494" t="s">
        <v>388</v>
      </c>
      <c r="E494" t="s">
        <v>79</v>
      </c>
      <c r="F494" t="s">
        <v>79</v>
      </c>
      <c r="G494" t="s">
        <v>80</v>
      </c>
      <c r="H494" t="s">
        <v>81</v>
      </c>
      <c r="I494" t="s">
        <v>82</v>
      </c>
      <c r="L494">
        <v>1</v>
      </c>
      <c r="M494" t="s">
        <v>83</v>
      </c>
      <c r="O494" t="s">
        <v>83</v>
      </c>
      <c r="P494" t="s">
        <v>84</v>
      </c>
    </row>
    <row r="495" spans="1:16">
      <c r="A495" t="s">
        <v>783</v>
      </c>
      <c r="B495" t="s">
        <v>77</v>
      </c>
      <c r="C495" t="s">
        <v>388</v>
      </c>
      <c r="D495" t="s">
        <v>388</v>
      </c>
      <c r="E495" t="s">
        <v>86</v>
      </c>
      <c r="F495" t="s">
        <v>86</v>
      </c>
      <c r="G495" t="s">
        <v>80</v>
      </c>
      <c r="H495" t="s">
        <v>81</v>
      </c>
      <c r="I495" t="s">
        <v>82</v>
      </c>
      <c r="L495">
        <v>2</v>
      </c>
      <c r="M495" t="s">
        <v>83</v>
      </c>
      <c r="O495" t="s">
        <v>83</v>
      </c>
      <c r="P495" t="s">
        <v>84</v>
      </c>
    </row>
    <row r="496" spans="1:16">
      <c r="A496" t="s">
        <v>783</v>
      </c>
      <c r="B496" t="s">
        <v>77</v>
      </c>
      <c r="C496" t="s">
        <v>388</v>
      </c>
      <c r="D496" t="s">
        <v>388</v>
      </c>
      <c r="E496" t="s">
        <v>87</v>
      </c>
      <c r="F496" t="s">
        <v>87</v>
      </c>
      <c r="G496" t="s">
        <v>88</v>
      </c>
      <c r="H496" t="s">
        <v>81</v>
      </c>
      <c r="J496" t="s">
        <v>83</v>
      </c>
      <c r="L496">
        <v>3</v>
      </c>
      <c r="M496" t="s">
        <v>83</v>
      </c>
      <c r="O496" t="s">
        <v>83</v>
      </c>
      <c r="P496" t="s">
        <v>84</v>
      </c>
    </row>
    <row r="497" spans="1:16">
      <c r="A497" t="s">
        <v>783</v>
      </c>
      <c r="B497" t="s">
        <v>77</v>
      </c>
      <c r="C497" t="s">
        <v>388</v>
      </c>
      <c r="D497" t="s">
        <v>388</v>
      </c>
      <c r="E497" t="s">
        <v>89</v>
      </c>
      <c r="F497" t="s">
        <v>89</v>
      </c>
      <c r="G497" t="s">
        <v>90</v>
      </c>
      <c r="H497" t="s">
        <v>81</v>
      </c>
      <c r="J497" t="s">
        <v>83</v>
      </c>
      <c r="K497" t="s">
        <v>83</v>
      </c>
      <c r="L497">
        <v>4</v>
      </c>
      <c r="M497" t="s">
        <v>83</v>
      </c>
      <c r="O497" t="s">
        <v>83</v>
      </c>
      <c r="P497" t="s">
        <v>84</v>
      </c>
    </row>
    <row r="498" spans="1:16">
      <c r="A498" t="s">
        <v>783</v>
      </c>
      <c r="B498" t="s">
        <v>77</v>
      </c>
      <c r="C498" t="s">
        <v>388</v>
      </c>
      <c r="D498" t="s">
        <v>388</v>
      </c>
      <c r="E498" t="s">
        <v>389</v>
      </c>
      <c r="F498" t="s">
        <v>389</v>
      </c>
      <c r="G498" t="s">
        <v>80</v>
      </c>
      <c r="H498" t="s">
        <v>81</v>
      </c>
      <c r="I498" t="s">
        <v>82</v>
      </c>
      <c r="L498">
        <v>5</v>
      </c>
      <c r="M498" t="s">
        <v>83</v>
      </c>
      <c r="O498" t="s">
        <v>83</v>
      </c>
      <c r="P498" t="s">
        <v>84</v>
      </c>
    </row>
    <row r="499" spans="1:16">
      <c r="A499" t="s">
        <v>783</v>
      </c>
      <c r="B499" t="s">
        <v>77</v>
      </c>
      <c r="C499" t="s">
        <v>388</v>
      </c>
      <c r="D499" t="s">
        <v>388</v>
      </c>
      <c r="E499" t="s">
        <v>390</v>
      </c>
      <c r="F499" t="s">
        <v>390</v>
      </c>
      <c r="G499" t="s">
        <v>90</v>
      </c>
      <c r="H499" t="s">
        <v>81</v>
      </c>
      <c r="L499">
        <v>6</v>
      </c>
      <c r="M499" t="s">
        <v>83</v>
      </c>
      <c r="O499" t="s">
        <v>83</v>
      </c>
      <c r="P499" t="s">
        <v>84</v>
      </c>
    </row>
    <row r="500" spans="1:16">
      <c r="A500" t="s">
        <v>783</v>
      </c>
      <c r="B500" t="s">
        <v>77</v>
      </c>
      <c r="C500" t="s">
        <v>388</v>
      </c>
      <c r="D500" t="s">
        <v>388</v>
      </c>
      <c r="E500" t="s">
        <v>91</v>
      </c>
      <c r="F500" t="s">
        <v>91</v>
      </c>
      <c r="G500" t="s">
        <v>92</v>
      </c>
      <c r="H500" t="s">
        <v>81</v>
      </c>
      <c r="J500" t="s">
        <v>83</v>
      </c>
      <c r="L500">
        <v>7</v>
      </c>
      <c r="M500" t="s">
        <v>83</v>
      </c>
      <c r="O500" t="s">
        <v>83</v>
      </c>
      <c r="P500" t="s">
        <v>84</v>
      </c>
    </row>
    <row r="501" spans="1:16">
      <c r="A501" t="s">
        <v>783</v>
      </c>
      <c r="B501" t="s">
        <v>77</v>
      </c>
      <c r="C501" t="s">
        <v>388</v>
      </c>
      <c r="D501" t="s">
        <v>388</v>
      </c>
      <c r="E501" t="s">
        <v>391</v>
      </c>
      <c r="F501" t="s">
        <v>391</v>
      </c>
      <c r="G501" t="s">
        <v>94</v>
      </c>
      <c r="H501" t="s">
        <v>81</v>
      </c>
      <c r="L501">
        <v>8</v>
      </c>
      <c r="M501" t="s">
        <v>83</v>
      </c>
      <c r="O501" t="s">
        <v>83</v>
      </c>
      <c r="P501" t="s">
        <v>84</v>
      </c>
    </row>
    <row r="502" spans="1:16">
      <c r="A502" t="s">
        <v>783</v>
      </c>
      <c r="B502" t="s">
        <v>77</v>
      </c>
      <c r="C502" t="s">
        <v>388</v>
      </c>
      <c r="D502" t="s">
        <v>388</v>
      </c>
      <c r="E502" t="s">
        <v>392</v>
      </c>
      <c r="F502" t="s">
        <v>392</v>
      </c>
      <c r="G502" t="s">
        <v>88</v>
      </c>
      <c r="H502" t="s">
        <v>81</v>
      </c>
      <c r="L502">
        <v>9</v>
      </c>
      <c r="M502" t="s">
        <v>83</v>
      </c>
      <c r="O502" t="s">
        <v>83</v>
      </c>
      <c r="P502" t="s">
        <v>84</v>
      </c>
    </row>
    <row r="503" spans="1:16">
      <c r="A503" t="s">
        <v>783</v>
      </c>
      <c r="B503" t="s">
        <v>77</v>
      </c>
      <c r="C503" t="s">
        <v>388</v>
      </c>
      <c r="D503" t="s">
        <v>388</v>
      </c>
      <c r="E503" t="s">
        <v>393</v>
      </c>
      <c r="F503" t="s">
        <v>393</v>
      </c>
      <c r="G503" t="s">
        <v>94</v>
      </c>
      <c r="H503" t="s">
        <v>81</v>
      </c>
      <c r="L503">
        <v>10</v>
      </c>
      <c r="M503" t="s">
        <v>83</v>
      </c>
      <c r="O503" t="s">
        <v>83</v>
      </c>
      <c r="P503" t="s">
        <v>84</v>
      </c>
    </row>
    <row r="504" spans="1:16">
      <c r="A504" t="s">
        <v>783</v>
      </c>
      <c r="B504" t="s">
        <v>77</v>
      </c>
      <c r="C504" t="s">
        <v>388</v>
      </c>
      <c r="D504" t="s">
        <v>388</v>
      </c>
      <c r="E504" t="s">
        <v>394</v>
      </c>
      <c r="F504" t="s">
        <v>394</v>
      </c>
      <c r="G504" t="s">
        <v>98</v>
      </c>
      <c r="H504" t="s">
        <v>81</v>
      </c>
      <c r="L504">
        <v>11</v>
      </c>
      <c r="M504" t="s">
        <v>83</v>
      </c>
      <c r="O504" t="s">
        <v>83</v>
      </c>
      <c r="P504" t="s">
        <v>84</v>
      </c>
    </row>
    <row r="505" spans="1:16">
      <c r="A505" t="s">
        <v>783</v>
      </c>
      <c r="B505" t="s">
        <v>77</v>
      </c>
      <c r="C505" t="s">
        <v>388</v>
      </c>
      <c r="D505" t="s">
        <v>388</v>
      </c>
      <c r="E505" t="s">
        <v>395</v>
      </c>
      <c r="F505" t="s">
        <v>395</v>
      </c>
      <c r="G505" t="s">
        <v>98</v>
      </c>
      <c r="H505" t="s">
        <v>81</v>
      </c>
      <c r="L505">
        <v>12</v>
      </c>
      <c r="M505" t="s">
        <v>83</v>
      </c>
      <c r="O505" t="s">
        <v>83</v>
      </c>
      <c r="P505" t="s">
        <v>84</v>
      </c>
    </row>
    <row r="506" spans="1:16">
      <c r="A506" t="s">
        <v>783</v>
      </c>
      <c r="B506" t="s">
        <v>77</v>
      </c>
      <c r="C506" t="s">
        <v>388</v>
      </c>
      <c r="D506" t="s">
        <v>388</v>
      </c>
      <c r="E506" t="s">
        <v>396</v>
      </c>
      <c r="F506" t="s">
        <v>396</v>
      </c>
      <c r="G506" t="s">
        <v>98</v>
      </c>
      <c r="H506" t="s">
        <v>81</v>
      </c>
      <c r="L506">
        <v>13</v>
      </c>
      <c r="M506" t="s">
        <v>83</v>
      </c>
      <c r="O506" t="s">
        <v>83</v>
      </c>
      <c r="P506" t="s">
        <v>84</v>
      </c>
    </row>
    <row r="507" spans="1:16">
      <c r="A507" t="s">
        <v>783</v>
      </c>
      <c r="B507" t="s">
        <v>77</v>
      </c>
      <c r="C507" t="s">
        <v>388</v>
      </c>
      <c r="D507" t="s">
        <v>388</v>
      </c>
      <c r="E507" t="s">
        <v>397</v>
      </c>
      <c r="F507" t="s">
        <v>397</v>
      </c>
      <c r="G507" t="s">
        <v>188</v>
      </c>
      <c r="H507" t="s">
        <v>81</v>
      </c>
      <c r="L507">
        <v>14</v>
      </c>
      <c r="M507" t="s">
        <v>83</v>
      </c>
      <c r="O507" t="s">
        <v>83</v>
      </c>
      <c r="P507" t="s">
        <v>84</v>
      </c>
    </row>
    <row r="508" spans="1:16">
      <c r="A508" t="s">
        <v>783</v>
      </c>
      <c r="B508" t="s">
        <v>77</v>
      </c>
      <c r="C508" t="s">
        <v>388</v>
      </c>
      <c r="D508" t="s">
        <v>388</v>
      </c>
      <c r="E508" t="s">
        <v>112</v>
      </c>
      <c r="F508" t="s">
        <v>112</v>
      </c>
      <c r="G508" t="s">
        <v>113</v>
      </c>
      <c r="H508" t="s">
        <v>81</v>
      </c>
      <c r="I508" t="s">
        <v>114</v>
      </c>
      <c r="L508">
        <v>15</v>
      </c>
      <c r="M508" t="s">
        <v>83</v>
      </c>
      <c r="O508" t="s">
        <v>83</v>
      </c>
      <c r="P508" t="s">
        <v>84</v>
      </c>
    </row>
    <row r="509" spans="1:16">
      <c r="A509" t="s">
        <v>783</v>
      </c>
      <c r="B509" t="s">
        <v>77</v>
      </c>
      <c r="C509" t="s">
        <v>388</v>
      </c>
      <c r="D509" t="s">
        <v>388</v>
      </c>
      <c r="E509" t="s">
        <v>115</v>
      </c>
      <c r="F509" t="s">
        <v>115</v>
      </c>
      <c r="G509" t="s">
        <v>113</v>
      </c>
      <c r="H509" t="s">
        <v>81</v>
      </c>
      <c r="I509" t="s">
        <v>114</v>
      </c>
      <c r="L509">
        <v>16</v>
      </c>
      <c r="M509" t="s">
        <v>83</v>
      </c>
      <c r="O509" t="s">
        <v>83</v>
      </c>
      <c r="P509" t="s">
        <v>84</v>
      </c>
    </row>
    <row r="510" spans="1:16">
      <c r="A510" t="s">
        <v>783</v>
      </c>
      <c r="B510" t="s">
        <v>77</v>
      </c>
      <c r="C510" t="s">
        <v>388</v>
      </c>
      <c r="D510" t="s">
        <v>388</v>
      </c>
      <c r="E510" t="s">
        <v>327</v>
      </c>
      <c r="F510" t="s">
        <v>327</v>
      </c>
      <c r="G510" t="s">
        <v>90</v>
      </c>
      <c r="H510" t="s">
        <v>81</v>
      </c>
      <c r="L510">
        <v>17</v>
      </c>
      <c r="M510" t="s">
        <v>83</v>
      </c>
      <c r="O510" t="s">
        <v>83</v>
      </c>
      <c r="P510" t="s">
        <v>84</v>
      </c>
    </row>
    <row r="511" spans="1:16">
      <c r="A511" t="s">
        <v>783</v>
      </c>
      <c r="B511" t="s">
        <v>77</v>
      </c>
      <c r="C511" t="s">
        <v>388</v>
      </c>
      <c r="D511" t="s">
        <v>388</v>
      </c>
      <c r="E511" t="s">
        <v>117</v>
      </c>
      <c r="F511" t="s">
        <v>117</v>
      </c>
      <c r="G511" t="s">
        <v>90</v>
      </c>
      <c r="H511" t="s">
        <v>81</v>
      </c>
      <c r="L511">
        <v>24</v>
      </c>
      <c r="M511" t="s">
        <v>83</v>
      </c>
      <c r="O511" t="s">
        <v>83</v>
      </c>
      <c r="P511" t="s">
        <v>84</v>
      </c>
    </row>
    <row r="512" spans="1:16">
      <c r="A512" t="s">
        <v>783</v>
      </c>
      <c r="B512" t="s">
        <v>77</v>
      </c>
      <c r="C512" t="s">
        <v>388</v>
      </c>
      <c r="D512" t="s">
        <v>388</v>
      </c>
      <c r="E512" t="s">
        <v>328</v>
      </c>
      <c r="F512" t="s">
        <v>328</v>
      </c>
      <c r="G512" t="s">
        <v>90</v>
      </c>
      <c r="H512" t="s">
        <v>81</v>
      </c>
      <c r="L512">
        <v>25</v>
      </c>
      <c r="M512" t="s">
        <v>83</v>
      </c>
      <c r="O512" t="s">
        <v>83</v>
      </c>
      <c r="P512" t="s">
        <v>84</v>
      </c>
    </row>
    <row r="513" spans="1:16">
      <c r="A513" t="s">
        <v>783</v>
      </c>
      <c r="B513" t="s">
        <v>77</v>
      </c>
      <c r="C513" t="s">
        <v>388</v>
      </c>
      <c r="D513" t="s">
        <v>388</v>
      </c>
      <c r="E513" t="s">
        <v>118</v>
      </c>
      <c r="F513" t="s">
        <v>118</v>
      </c>
      <c r="G513" t="s">
        <v>92</v>
      </c>
      <c r="H513" t="s">
        <v>81</v>
      </c>
      <c r="L513">
        <v>26</v>
      </c>
      <c r="M513" t="s">
        <v>83</v>
      </c>
      <c r="O513" t="s">
        <v>83</v>
      </c>
      <c r="P513" t="s">
        <v>84</v>
      </c>
    </row>
    <row r="514" spans="1:16">
      <c r="A514" t="s">
        <v>783</v>
      </c>
      <c r="B514" t="s">
        <v>77</v>
      </c>
      <c r="C514" t="s">
        <v>388</v>
      </c>
      <c r="D514" t="s">
        <v>388</v>
      </c>
      <c r="E514" t="s">
        <v>784</v>
      </c>
      <c r="F514" t="s">
        <v>784</v>
      </c>
      <c r="G514" t="s">
        <v>80</v>
      </c>
      <c r="H514" t="s">
        <v>81</v>
      </c>
      <c r="I514" t="s">
        <v>82</v>
      </c>
      <c r="L514">
        <v>27</v>
      </c>
      <c r="M514" t="s">
        <v>83</v>
      </c>
      <c r="O514" t="s">
        <v>83</v>
      </c>
      <c r="P514" t="s">
        <v>84</v>
      </c>
    </row>
    <row r="515" spans="1:16">
      <c r="A515" t="s">
        <v>783</v>
      </c>
      <c r="B515" t="s">
        <v>77</v>
      </c>
      <c r="C515" t="s">
        <v>388</v>
      </c>
      <c r="D515" t="s">
        <v>388</v>
      </c>
      <c r="E515" t="s">
        <v>785</v>
      </c>
      <c r="F515" t="s">
        <v>785</v>
      </c>
      <c r="G515" t="s">
        <v>80</v>
      </c>
      <c r="H515" t="s">
        <v>81</v>
      </c>
      <c r="I515" t="s">
        <v>82</v>
      </c>
      <c r="L515">
        <v>28</v>
      </c>
      <c r="M515" t="s">
        <v>83</v>
      </c>
      <c r="O515" t="s">
        <v>83</v>
      </c>
      <c r="P515" t="s">
        <v>84</v>
      </c>
    </row>
    <row r="516" spans="1:16">
      <c r="A516" t="s">
        <v>783</v>
      </c>
      <c r="B516" t="s">
        <v>77</v>
      </c>
      <c r="C516" t="s">
        <v>388</v>
      </c>
      <c r="D516" t="s">
        <v>388</v>
      </c>
      <c r="E516" t="s">
        <v>786</v>
      </c>
      <c r="F516" t="s">
        <v>786</v>
      </c>
      <c r="G516" t="s">
        <v>787</v>
      </c>
      <c r="H516" t="s">
        <v>81</v>
      </c>
      <c r="L516">
        <v>29</v>
      </c>
      <c r="M516" t="s">
        <v>83</v>
      </c>
      <c r="O516" t="s">
        <v>83</v>
      </c>
      <c r="P516" t="s">
        <v>84</v>
      </c>
    </row>
    <row r="517" spans="1:16">
      <c r="A517" t="s">
        <v>783</v>
      </c>
      <c r="B517" t="s">
        <v>77</v>
      </c>
      <c r="C517" t="s">
        <v>398</v>
      </c>
      <c r="D517" t="s">
        <v>398</v>
      </c>
      <c r="E517" t="s">
        <v>79</v>
      </c>
      <c r="F517" t="s">
        <v>79</v>
      </c>
      <c r="G517" t="s">
        <v>80</v>
      </c>
      <c r="H517" t="s">
        <v>81</v>
      </c>
      <c r="I517" t="s">
        <v>82</v>
      </c>
      <c r="L517">
        <v>1</v>
      </c>
      <c r="M517" t="s">
        <v>83</v>
      </c>
      <c r="O517" t="s">
        <v>83</v>
      </c>
      <c r="P517" t="s">
        <v>84</v>
      </c>
    </row>
    <row r="518" spans="1:16">
      <c r="A518" t="s">
        <v>783</v>
      </c>
      <c r="B518" t="s">
        <v>77</v>
      </c>
      <c r="C518" t="s">
        <v>398</v>
      </c>
      <c r="D518" t="s">
        <v>398</v>
      </c>
      <c r="E518" t="s">
        <v>86</v>
      </c>
      <c r="F518" t="s">
        <v>86</v>
      </c>
      <c r="G518" t="s">
        <v>80</v>
      </c>
      <c r="H518" t="s">
        <v>81</v>
      </c>
      <c r="I518" t="s">
        <v>82</v>
      </c>
      <c r="L518">
        <v>2</v>
      </c>
      <c r="M518" t="s">
        <v>83</v>
      </c>
      <c r="O518" t="s">
        <v>83</v>
      </c>
      <c r="P518" t="s">
        <v>84</v>
      </c>
    </row>
    <row r="519" spans="1:16">
      <c r="A519" t="s">
        <v>783</v>
      </c>
      <c r="B519" t="s">
        <v>77</v>
      </c>
      <c r="C519" t="s">
        <v>398</v>
      </c>
      <c r="D519" t="s">
        <v>398</v>
      </c>
      <c r="E519" t="s">
        <v>87</v>
      </c>
      <c r="F519" t="s">
        <v>87</v>
      </c>
      <c r="G519" t="s">
        <v>88</v>
      </c>
      <c r="H519" t="s">
        <v>81</v>
      </c>
      <c r="J519" t="s">
        <v>83</v>
      </c>
      <c r="L519">
        <v>3</v>
      </c>
      <c r="M519" t="s">
        <v>83</v>
      </c>
      <c r="O519" t="s">
        <v>83</v>
      </c>
      <c r="P519" t="s">
        <v>84</v>
      </c>
    </row>
    <row r="520" spans="1:16">
      <c r="A520" t="s">
        <v>783</v>
      </c>
      <c r="B520" t="s">
        <v>77</v>
      </c>
      <c r="C520" t="s">
        <v>398</v>
      </c>
      <c r="D520" t="s">
        <v>398</v>
      </c>
      <c r="E520" t="s">
        <v>89</v>
      </c>
      <c r="F520" t="s">
        <v>89</v>
      </c>
      <c r="G520" t="s">
        <v>90</v>
      </c>
      <c r="H520" t="s">
        <v>81</v>
      </c>
      <c r="J520" t="s">
        <v>83</v>
      </c>
      <c r="K520" t="s">
        <v>83</v>
      </c>
      <c r="L520">
        <v>4</v>
      </c>
      <c r="M520" t="s">
        <v>83</v>
      </c>
      <c r="O520" t="s">
        <v>83</v>
      </c>
      <c r="P520" t="s">
        <v>84</v>
      </c>
    </row>
    <row r="521" spans="1:16">
      <c r="A521" t="s">
        <v>783</v>
      </c>
      <c r="B521" t="s">
        <v>77</v>
      </c>
      <c r="C521" t="s">
        <v>398</v>
      </c>
      <c r="D521" t="s">
        <v>398</v>
      </c>
      <c r="E521" t="s">
        <v>399</v>
      </c>
      <c r="F521" t="s">
        <v>399</v>
      </c>
      <c r="G521" t="s">
        <v>80</v>
      </c>
      <c r="H521" t="s">
        <v>81</v>
      </c>
      <c r="I521" t="s">
        <v>82</v>
      </c>
      <c r="L521">
        <v>5</v>
      </c>
      <c r="M521" t="s">
        <v>83</v>
      </c>
      <c r="O521" t="s">
        <v>83</v>
      </c>
      <c r="P521" t="s">
        <v>84</v>
      </c>
    </row>
    <row r="522" spans="1:16">
      <c r="A522" t="s">
        <v>783</v>
      </c>
      <c r="B522" t="s">
        <v>77</v>
      </c>
      <c r="C522" t="s">
        <v>398</v>
      </c>
      <c r="D522" t="s">
        <v>398</v>
      </c>
      <c r="E522" t="s">
        <v>400</v>
      </c>
      <c r="F522" t="s">
        <v>400</v>
      </c>
      <c r="G522" t="s">
        <v>90</v>
      </c>
      <c r="H522" t="s">
        <v>81</v>
      </c>
      <c r="L522">
        <v>6</v>
      </c>
      <c r="M522" t="s">
        <v>83</v>
      </c>
      <c r="O522" t="s">
        <v>83</v>
      </c>
      <c r="P522" t="s">
        <v>84</v>
      </c>
    </row>
    <row r="523" spans="1:16">
      <c r="A523" t="s">
        <v>783</v>
      </c>
      <c r="B523" t="s">
        <v>77</v>
      </c>
      <c r="C523" t="s">
        <v>398</v>
      </c>
      <c r="D523" t="s">
        <v>398</v>
      </c>
      <c r="E523" t="s">
        <v>91</v>
      </c>
      <c r="F523" t="s">
        <v>91</v>
      </c>
      <c r="G523" t="s">
        <v>92</v>
      </c>
      <c r="H523" t="s">
        <v>81</v>
      </c>
      <c r="J523" t="s">
        <v>83</v>
      </c>
      <c r="L523">
        <v>7</v>
      </c>
      <c r="M523" t="s">
        <v>83</v>
      </c>
      <c r="O523" t="s">
        <v>83</v>
      </c>
      <c r="P523" t="s">
        <v>84</v>
      </c>
    </row>
    <row r="524" spans="1:16">
      <c r="A524" t="s">
        <v>783</v>
      </c>
      <c r="B524" t="s">
        <v>77</v>
      </c>
      <c r="C524" t="s">
        <v>398</v>
      </c>
      <c r="D524" t="s">
        <v>398</v>
      </c>
      <c r="E524" t="s">
        <v>401</v>
      </c>
      <c r="F524" t="s">
        <v>401</v>
      </c>
      <c r="G524" t="s">
        <v>94</v>
      </c>
      <c r="H524" t="s">
        <v>81</v>
      </c>
      <c r="L524">
        <v>8</v>
      </c>
      <c r="M524" t="s">
        <v>83</v>
      </c>
      <c r="O524" t="s">
        <v>83</v>
      </c>
      <c r="P524" t="s">
        <v>84</v>
      </c>
    </row>
    <row r="525" spans="1:16">
      <c r="A525" t="s">
        <v>783</v>
      </c>
      <c r="B525" t="s">
        <v>77</v>
      </c>
      <c r="C525" t="s">
        <v>398</v>
      </c>
      <c r="D525" t="s">
        <v>398</v>
      </c>
      <c r="E525" t="s">
        <v>402</v>
      </c>
      <c r="F525" t="s">
        <v>402</v>
      </c>
      <c r="G525" t="s">
        <v>88</v>
      </c>
      <c r="H525" t="s">
        <v>81</v>
      </c>
      <c r="L525">
        <v>9</v>
      </c>
      <c r="M525" t="s">
        <v>83</v>
      </c>
      <c r="O525" t="s">
        <v>83</v>
      </c>
      <c r="P525" t="s">
        <v>84</v>
      </c>
    </row>
    <row r="526" spans="1:16">
      <c r="A526" t="s">
        <v>783</v>
      </c>
      <c r="B526" t="s">
        <v>77</v>
      </c>
      <c r="C526" t="s">
        <v>398</v>
      </c>
      <c r="D526" t="s">
        <v>398</v>
      </c>
      <c r="E526" t="s">
        <v>403</v>
      </c>
      <c r="F526" t="s">
        <v>403</v>
      </c>
      <c r="G526" t="s">
        <v>94</v>
      </c>
      <c r="H526" t="s">
        <v>81</v>
      </c>
      <c r="L526">
        <v>10</v>
      </c>
      <c r="M526" t="s">
        <v>83</v>
      </c>
      <c r="O526" t="s">
        <v>83</v>
      </c>
      <c r="P526" t="s">
        <v>84</v>
      </c>
    </row>
    <row r="527" spans="1:16">
      <c r="A527" t="s">
        <v>783</v>
      </c>
      <c r="B527" t="s">
        <v>77</v>
      </c>
      <c r="C527" t="s">
        <v>398</v>
      </c>
      <c r="D527" t="s">
        <v>398</v>
      </c>
      <c r="E527" t="s">
        <v>404</v>
      </c>
      <c r="F527" t="s">
        <v>404</v>
      </c>
      <c r="G527" t="s">
        <v>98</v>
      </c>
      <c r="H527" t="s">
        <v>81</v>
      </c>
      <c r="L527">
        <v>11</v>
      </c>
      <c r="M527" t="s">
        <v>83</v>
      </c>
      <c r="O527" t="s">
        <v>83</v>
      </c>
      <c r="P527" t="s">
        <v>84</v>
      </c>
    </row>
    <row r="528" spans="1:16">
      <c r="A528" t="s">
        <v>783</v>
      </c>
      <c r="B528" t="s">
        <v>77</v>
      </c>
      <c r="C528" t="s">
        <v>398</v>
      </c>
      <c r="D528" t="s">
        <v>398</v>
      </c>
      <c r="E528" t="s">
        <v>405</v>
      </c>
      <c r="F528" t="s">
        <v>405</v>
      </c>
      <c r="G528" t="s">
        <v>98</v>
      </c>
      <c r="H528" t="s">
        <v>81</v>
      </c>
      <c r="L528">
        <v>12</v>
      </c>
      <c r="M528" t="s">
        <v>83</v>
      </c>
      <c r="O528" t="s">
        <v>83</v>
      </c>
      <c r="P528" t="s">
        <v>84</v>
      </c>
    </row>
    <row r="529" spans="1:16">
      <c r="A529" t="s">
        <v>783</v>
      </c>
      <c r="B529" t="s">
        <v>77</v>
      </c>
      <c r="C529" t="s">
        <v>398</v>
      </c>
      <c r="D529" t="s">
        <v>398</v>
      </c>
      <c r="E529" t="s">
        <v>406</v>
      </c>
      <c r="F529" t="s">
        <v>406</v>
      </c>
      <c r="G529" t="s">
        <v>98</v>
      </c>
      <c r="H529" t="s">
        <v>81</v>
      </c>
      <c r="L529">
        <v>13</v>
      </c>
      <c r="M529" t="s">
        <v>83</v>
      </c>
      <c r="O529" t="s">
        <v>83</v>
      </c>
      <c r="P529" t="s">
        <v>84</v>
      </c>
    </row>
    <row r="530" spans="1:16">
      <c r="A530" t="s">
        <v>783</v>
      </c>
      <c r="B530" t="s">
        <v>77</v>
      </c>
      <c r="C530" t="s">
        <v>398</v>
      </c>
      <c r="D530" t="s">
        <v>398</v>
      </c>
      <c r="E530" t="s">
        <v>407</v>
      </c>
      <c r="F530" t="s">
        <v>407</v>
      </c>
      <c r="G530" t="s">
        <v>188</v>
      </c>
      <c r="H530" t="s">
        <v>81</v>
      </c>
      <c r="L530">
        <v>14</v>
      </c>
      <c r="M530" t="s">
        <v>83</v>
      </c>
      <c r="O530" t="s">
        <v>83</v>
      </c>
      <c r="P530" t="s">
        <v>84</v>
      </c>
    </row>
    <row r="531" spans="1:16">
      <c r="A531" t="s">
        <v>783</v>
      </c>
      <c r="B531" t="s">
        <v>77</v>
      </c>
      <c r="C531" t="s">
        <v>398</v>
      </c>
      <c r="D531" t="s">
        <v>398</v>
      </c>
      <c r="E531" t="s">
        <v>112</v>
      </c>
      <c r="F531" t="s">
        <v>112</v>
      </c>
      <c r="G531" t="s">
        <v>113</v>
      </c>
      <c r="H531" t="s">
        <v>81</v>
      </c>
      <c r="I531" t="s">
        <v>114</v>
      </c>
      <c r="L531">
        <v>15</v>
      </c>
      <c r="M531" t="s">
        <v>83</v>
      </c>
      <c r="O531" t="s">
        <v>83</v>
      </c>
      <c r="P531" t="s">
        <v>84</v>
      </c>
    </row>
    <row r="532" spans="1:16">
      <c r="A532" t="s">
        <v>783</v>
      </c>
      <c r="B532" t="s">
        <v>77</v>
      </c>
      <c r="C532" t="s">
        <v>398</v>
      </c>
      <c r="D532" t="s">
        <v>398</v>
      </c>
      <c r="E532" t="s">
        <v>115</v>
      </c>
      <c r="F532" t="s">
        <v>115</v>
      </c>
      <c r="G532" t="s">
        <v>113</v>
      </c>
      <c r="H532" t="s">
        <v>81</v>
      </c>
      <c r="I532" t="s">
        <v>114</v>
      </c>
      <c r="L532">
        <v>16</v>
      </c>
      <c r="M532" t="s">
        <v>83</v>
      </c>
      <c r="O532" t="s">
        <v>83</v>
      </c>
      <c r="P532" t="s">
        <v>84</v>
      </c>
    </row>
    <row r="533" spans="1:16">
      <c r="A533" t="s">
        <v>783</v>
      </c>
      <c r="B533" t="s">
        <v>77</v>
      </c>
      <c r="C533" t="s">
        <v>398</v>
      </c>
      <c r="D533" t="s">
        <v>398</v>
      </c>
      <c r="E533" t="s">
        <v>327</v>
      </c>
      <c r="F533" t="s">
        <v>327</v>
      </c>
      <c r="G533" t="s">
        <v>90</v>
      </c>
      <c r="H533" t="s">
        <v>81</v>
      </c>
      <c r="L533">
        <v>17</v>
      </c>
      <c r="M533" t="s">
        <v>83</v>
      </c>
      <c r="O533" t="s">
        <v>83</v>
      </c>
      <c r="P533" t="s">
        <v>84</v>
      </c>
    </row>
    <row r="534" spans="1:16">
      <c r="A534" t="s">
        <v>783</v>
      </c>
      <c r="B534" t="s">
        <v>77</v>
      </c>
      <c r="C534" t="s">
        <v>398</v>
      </c>
      <c r="D534" t="s">
        <v>398</v>
      </c>
      <c r="E534" t="s">
        <v>117</v>
      </c>
      <c r="F534" t="s">
        <v>117</v>
      </c>
      <c r="G534" t="s">
        <v>90</v>
      </c>
      <c r="H534" t="s">
        <v>81</v>
      </c>
      <c r="L534">
        <v>24</v>
      </c>
      <c r="M534" t="s">
        <v>83</v>
      </c>
      <c r="O534" t="s">
        <v>83</v>
      </c>
      <c r="P534" t="s">
        <v>84</v>
      </c>
    </row>
    <row r="535" spans="1:16">
      <c r="A535" t="s">
        <v>783</v>
      </c>
      <c r="B535" t="s">
        <v>77</v>
      </c>
      <c r="C535" t="s">
        <v>398</v>
      </c>
      <c r="D535" t="s">
        <v>398</v>
      </c>
      <c r="E535" t="s">
        <v>328</v>
      </c>
      <c r="F535" t="s">
        <v>328</v>
      </c>
      <c r="G535" t="s">
        <v>90</v>
      </c>
      <c r="H535" t="s">
        <v>81</v>
      </c>
      <c r="L535">
        <v>25</v>
      </c>
      <c r="M535" t="s">
        <v>83</v>
      </c>
      <c r="O535" t="s">
        <v>83</v>
      </c>
      <c r="P535" t="s">
        <v>84</v>
      </c>
    </row>
    <row r="536" spans="1:16">
      <c r="A536" t="s">
        <v>783</v>
      </c>
      <c r="B536" t="s">
        <v>77</v>
      </c>
      <c r="C536" t="s">
        <v>398</v>
      </c>
      <c r="D536" t="s">
        <v>398</v>
      </c>
      <c r="E536" t="s">
        <v>118</v>
      </c>
      <c r="F536" t="s">
        <v>118</v>
      </c>
      <c r="G536" t="s">
        <v>92</v>
      </c>
      <c r="H536" t="s">
        <v>81</v>
      </c>
      <c r="L536">
        <v>26</v>
      </c>
      <c r="M536" t="s">
        <v>83</v>
      </c>
      <c r="O536" t="s">
        <v>83</v>
      </c>
      <c r="P536" t="s">
        <v>84</v>
      </c>
    </row>
    <row r="537" spans="1:16">
      <c r="A537" t="s">
        <v>783</v>
      </c>
      <c r="B537" t="s">
        <v>77</v>
      </c>
      <c r="C537" t="s">
        <v>398</v>
      </c>
      <c r="D537" t="s">
        <v>398</v>
      </c>
      <c r="E537" t="s">
        <v>784</v>
      </c>
      <c r="F537" t="s">
        <v>784</v>
      </c>
      <c r="G537" t="s">
        <v>80</v>
      </c>
      <c r="H537" t="s">
        <v>81</v>
      </c>
      <c r="I537" t="s">
        <v>82</v>
      </c>
      <c r="L537">
        <v>27</v>
      </c>
      <c r="M537" t="s">
        <v>83</v>
      </c>
      <c r="O537" t="s">
        <v>83</v>
      </c>
      <c r="P537" t="s">
        <v>84</v>
      </c>
    </row>
    <row r="538" spans="1:16">
      <c r="A538" t="s">
        <v>783</v>
      </c>
      <c r="B538" t="s">
        <v>77</v>
      </c>
      <c r="C538" t="s">
        <v>398</v>
      </c>
      <c r="D538" t="s">
        <v>398</v>
      </c>
      <c r="E538" t="s">
        <v>785</v>
      </c>
      <c r="F538" t="s">
        <v>785</v>
      </c>
      <c r="G538" t="s">
        <v>80</v>
      </c>
      <c r="H538" t="s">
        <v>81</v>
      </c>
      <c r="I538" t="s">
        <v>82</v>
      </c>
      <c r="L538">
        <v>28</v>
      </c>
      <c r="M538" t="s">
        <v>83</v>
      </c>
      <c r="O538" t="s">
        <v>83</v>
      </c>
      <c r="P538" t="s">
        <v>84</v>
      </c>
    </row>
    <row r="539" spans="1:16">
      <c r="A539" t="s">
        <v>783</v>
      </c>
      <c r="B539" t="s">
        <v>77</v>
      </c>
      <c r="C539" t="s">
        <v>398</v>
      </c>
      <c r="D539" t="s">
        <v>398</v>
      </c>
      <c r="E539" t="s">
        <v>786</v>
      </c>
      <c r="F539" t="s">
        <v>786</v>
      </c>
      <c r="G539" t="s">
        <v>787</v>
      </c>
      <c r="H539" t="s">
        <v>81</v>
      </c>
      <c r="L539">
        <v>29</v>
      </c>
      <c r="M539" t="s">
        <v>83</v>
      </c>
      <c r="O539" t="s">
        <v>83</v>
      </c>
      <c r="P539" t="s">
        <v>84</v>
      </c>
    </row>
    <row r="540" spans="1:16">
      <c r="A540" t="s">
        <v>783</v>
      </c>
      <c r="B540" t="s">
        <v>77</v>
      </c>
      <c r="C540" t="s">
        <v>408</v>
      </c>
      <c r="D540" t="s">
        <v>408</v>
      </c>
      <c r="E540" t="s">
        <v>79</v>
      </c>
      <c r="F540" t="s">
        <v>79</v>
      </c>
      <c r="G540" t="s">
        <v>80</v>
      </c>
      <c r="H540" t="s">
        <v>81</v>
      </c>
      <c r="I540" t="s">
        <v>82</v>
      </c>
      <c r="L540">
        <v>1</v>
      </c>
      <c r="M540" t="s">
        <v>83</v>
      </c>
      <c r="O540" t="s">
        <v>83</v>
      </c>
      <c r="P540" t="s">
        <v>84</v>
      </c>
    </row>
    <row r="541" spans="1:16">
      <c r="A541" t="s">
        <v>783</v>
      </c>
      <c r="B541" t="s">
        <v>77</v>
      </c>
      <c r="C541" t="s">
        <v>408</v>
      </c>
      <c r="D541" t="s">
        <v>408</v>
      </c>
      <c r="E541" t="s">
        <v>86</v>
      </c>
      <c r="F541" t="s">
        <v>86</v>
      </c>
      <c r="G541" t="s">
        <v>80</v>
      </c>
      <c r="H541" t="s">
        <v>81</v>
      </c>
      <c r="I541" t="s">
        <v>82</v>
      </c>
      <c r="L541">
        <v>2</v>
      </c>
      <c r="M541" t="s">
        <v>83</v>
      </c>
      <c r="O541" t="s">
        <v>83</v>
      </c>
      <c r="P541" t="s">
        <v>84</v>
      </c>
    </row>
    <row r="542" spans="1:16">
      <c r="A542" t="s">
        <v>783</v>
      </c>
      <c r="B542" t="s">
        <v>77</v>
      </c>
      <c r="C542" t="s">
        <v>408</v>
      </c>
      <c r="D542" t="s">
        <v>408</v>
      </c>
      <c r="E542" t="s">
        <v>87</v>
      </c>
      <c r="F542" t="s">
        <v>87</v>
      </c>
      <c r="G542" t="s">
        <v>88</v>
      </c>
      <c r="H542" t="s">
        <v>81</v>
      </c>
      <c r="J542" t="s">
        <v>83</v>
      </c>
      <c r="L542">
        <v>3</v>
      </c>
      <c r="M542" t="s">
        <v>83</v>
      </c>
      <c r="O542" t="s">
        <v>83</v>
      </c>
      <c r="P542" t="s">
        <v>84</v>
      </c>
    </row>
    <row r="543" spans="1:16">
      <c r="A543" t="s">
        <v>783</v>
      </c>
      <c r="B543" t="s">
        <v>77</v>
      </c>
      <c r="C543" t="s">
        <v>408</v>
      </c>
      <c r="D543" t="s">
        <v>408</v>
      </c>
      <c r="E543" t="s">
        <v>89</v>
      </c>
      <c r="F543" t="s">
        <v>89</v>
      </c>
      <c r="G543" t="s">
        <v>90</v>
      </c>
      <c r="H543" t="s">
        <v>81</v>
      </c>
      <c r="J543" t="s">
        <v>83</v>
      </c>
      <c r="K543" t="s">
        <v>83</v>
      </c>
      <c r="L543">
        <v>4</v>
      </c>
      <c r="M543" t="s">
        <v>83</v>
      </c>
      <c r="O543" t="s">
        <v>83</v>
      </c>
      <c r="P543" t="s">
        <v>84</v>
      </c>
    </row>
    <row r="544" spans="1:16">
      <c r="A544" t="s">
        <v>783</v>
      </c>
      <c r="B544" t="s">
        <v>77</v>
      </c>
      <c r="C544" t="s">
        <v>408</v>
      </c>
      <c r="D544" t="s">
        <v>408</v>
      </c>
      <c r="E544" t="s">
        <v>409</v>
      </c>
      <c r="F544" t="s">
        <v>409</v>
      </c>
      <c r="G544" t="s">
        <v>80</v>
      </c>
      <c r="H544" t="s">
        <v>81</v>
      </c>
      <c r="I544" t="s">
        <v>82</v>
      </c>
      <c r="L544">
        <v>5</v>
      </c>
      <c r="M544" t="s">
        <v>83</v>
      </c>
      <c r="O544" t="s">
        <v>83</v>
      </c>
      <c r="P544" t="s">
        <v>84</v>
      </c>
    </row>
    <row r="545" spans="1:16">
      <c r="A545" t="s">
        <v>783</v>
      </c>
      <c r="B545" t="s">
        <v>77</v>
      </c>
      <c r="C545" t="s">
        <v>408</v>
      </c>
      <c r="D545" t="s">
        <v>408</v>
      </c>
      <c r="E545" t="s">
        <v>410</v>
      </c>
      <c r="F545" t="s">
        <v>410</v>
      </c>
      <c r="G545" t="s">
        <v>90</v>
      </c>
      <c r="H545" t="s">
        <v>81</v>
      </c>
      <c r="L545">
        <v>6</v>
      </c>
      <c r="M545" t="s">
        <v>83</v>
      </c>
      <c r="O545" t="s">
        <v>83</v>
      </c>
      <c r="P545" t="s">
        <v>84</v>
      </c>
    </row>
    <row r="546" spans="1:16">
      <c r="A546" t="s">
        <v>783</v>
      </c>
      <c r="B546" t="s">
        <v>77</v>
      </c>
      <c r="C546" t="s">
        <v>408</v>
      </c>
      <c r="D546" t="s">
        <v>408</v>
      </c>
      <c r="E546" t="s">
        <v>91</v>
      </c>
      <c r="F546" t="s">
        <v>91</v>
      </c>
      <c r="G546" t="s">
        <v>92</v>
      </c>
      <c r="H546" t="s">
        <v>81</v>
      </c>
      <c r="J546" t="s">
        <v>83</v>
      </c>
      <c r="L546">
        <v>7</v>
      </c>
      <c r="M546" t="s">
        <v>83</v>
      </c>
      <c r="O546" t="s">
        <v>83</v>
      </c>
      <c r="P546" t="s">
        <v>84</v>
      </c>
    </row>
    <row r="547" spans="1:16">
      <c r="A547" t="s">
        <v>783</v>
      </c>
      <c r="B547" t="s">
        <v>77</v>
      </c>
      <c r="C547" t="s">
        <v>408</v>
      </c>
      <c r="D547" t="s">
        <v>408</v>
      </c>
      <c r="E547" t="s">
        <v>411</v>
      </c>
      <c r="F547" t="s">
        <v>411</v>
      </c>
      <c r="G547" t="s">
        <v>94</v>
      </c>
      <c r="H547" t="s">
        <v>81</v>
      </c>
      <c r="L547">
        <v>8</v>
      </c>
      <c r="M547" t="s">
        <v>83</v>
      </c>
      <c r="O547" t="s">
        <v>83</v>
      </c>
      <c r="P547" t="s">
        <v>84</v>
      </c>
    </row>
    <row r="548" spans="1:16">
      <c r="A548" t="s">
        <v>783</v>
      </c>
      <c r="B548" t="s">
        <v>77</v>
      </c>
      <c r="C548" t="s">
        <v>408</v>
      </c>
      <c r="D548" t="s">
        <v>408</v>
      </c>
      <c r="E548" t="s">
        <v>412</v>
      </c>
      <c r="F548" t="s">
        <v>412</v>
      </c>
      <c r="G548" t="s">
        <v>88</v>
      </c>
      <c r="H548" t="s">
        <v>81</v>
      </c>
      <c r="L548">
        <v>9</v>
      </c>
      <c r="M548" t="s">
        <v>83</v>
      </c>
      <c r="O548" t="s">
        <v>83</v>
      </c>
      <c r="P548" t="s">
        <v>84</v>
      </c>
    </row>
    <row r="549" spans="1:16">
      <c r="A549" t="s">
        <v>783</v>
      </c>
      <c r="B549" t="s">
        <v>77</v>
      </c>
      <c r="C549" t="s">
        <v>408</v>
      </c>
      <c r="D549" t="s">
        <v>408</v>
      </c>
      <c r="E549" t="s">
        <v>413</v>
      </c>
      <c r="F549" t="s">
        <v>413</v>
      </c>
      <c r="G549" t="s">
        <v>94</v>
      </c>
      <c r="H549" t="s">
        <v>81</v>
      </c>
      <c r="L549">
        <v>10</v>
      </c>
      <c r="M549" t="s">
        <v>83</v>
      </c>
      <c r="O549" t="s">
        <v>83</v>
      </c>
      <c r="P549" t="s">
        <v>84</v>
      </c>
    </row>
    <row r="550" spans="1:16">
      <c r="A550" t="s">
        <v>783</v>
      </c>
      <c r="B550" t="s">
        <v>77</v>
      </c>
      <c r="C550" t="s">
        <v>408</v>
      </c>
      <c r="D550" t="s">
        <v>408</v>
      </c>
      <c r="E550" t="s">
        <v>414</v>
      </c>
      <c r="F550" t="s">
        <v>414</v>
      </c>
      <c r="G550" t="s">
        <v>98</v>
      </c>
      <c r="H550" t="s">
        <v>81</v>
      </c>
      <c r="L550">
        <v>11</v>
      </c>
      <c r="M550" t="s">
        <v>83</v>
      </c>
      <c r="O550" t="s">
        <v>83</v>
      </c>
      <c r="P550" t="s">
        <v>84</v>
      </c>
    </row>
    <row r="551" spans="1:16">
      <c r="A551" t="s">
        <v>783</v>
      </c>
      <c r="B551" t="s">
        <v>77</v>
      </c>
      <c r="C551" t="s">
        <v>408</v>
      </c>
      <c r="D551" t="s">
        <v>408</v>
      </c>
      <c r="E551" t="s">
        <v>415</v>
      </c>
      <c r="F551" t="s">
        <v>415</v>
      </c>
      <c r="G551" t="s">
        <v>98</v>
      </c>
      <c r="H551" t="s">
        <v>81</v>
      </c>
      <c r="L551">
        <v>12</v>
      </c>
      <c r="M551" t="s">
        <v>83</v>
      </c>
      <c r="O551" t="s">
        <v>83</v>
      </c>
      <c r="P551" t="s">
        <v>84</v>
      </c>
    </row>
    <row r="552" spans="1:16">
      <c r="A552" t="s">
        <v>783</v>
      </c>
      <c r="B552" t="s">
        <v>77</v>
      </c>
      <c r="C552" t="s">
        <v>408</v>
      </c>
      <c r="D552" t="s">
        <v>408</v>
      </c>
      <c r="E552" t="s">
        <v>416</v>
      </c>
      <c r="F552" t="s">
        <v>416</v>
      </c>
      <c r="G552" t="s">
        <v>98</v>
      </c>
      <c r="H552" t="s">
        <v>81</v>
      </c>
      <c r="L552">
        <v>13</v>
      </c>
      <c r="M552" t="s">
        <v>83</v>
      </c>
      <c r="O552" t="s">
        <v>83</v>
      </c>
      <c r="P552" t="s">
        <v>84</v>
      </c>
    </row>
    <row r="553" spans="1:16">
      <c r="A553" t="s">
        <v>783</v>
      </c>
      <c r="B553" t="s">
        <v>77</v>
      </c>
      <c r="C553" t="s">
        <v>408</v>
      </c>
      <c r="D553" t="s">
        <v>408</v>
      </c>
      <c r="E553" t="s">
        <v>417</v>
      </c>
      <c r="F553" t="s">
        <v>417</v>
      </c>
      <c r="G553" t="s">
        <v>188</v>
      </c>
      <c r="H553" t="s">
        <v>81</v>
      </c>
      <c r="L553">
        <v>14</v>
      </c>
      <c r="M553" t="s">
        <v>83</v>
      </c>
      <c r="O553" t="s">
        <v>83</v>
      </c>
      <c r="P553" t="s">
        <v>84</v>
      </c>
    </row>
    <row r="554" spans="1:16">
      <c r="A554" t="s">
        <v>783</v>
      </c>
      <c r="B554" t="s">
        <v>77</v>
      </c>
      <c r="C554" t="s">
        <v>408</v>
      </c>
      <c r="D554" t="s">
        <v>408</v>
      </c>
      <c r="E554" t="s">
        <v>112</v>
      </c>
      <c r="F554" t="s">
        <v>112</v>
      </c>
      <c r="G554" t="s">
        <v>113</v>
      </c>
      <c r="H554" t="s">
        <v>81</v>
      </c>
      <c r="I554" t="s">
        <v>114</v>
      </c>
      <c r="L554">
        <v>15</v>
      </c>
      <c r="M554" t="s">
        <v>83</v>
      </c>
      <c r="O554" t="s">
        <v>83</v>
      </c>
      <c r="P554" t="s">
        <v>84</v>
      </c>
    </row>
    <row r="555" spans="1:16">
      <c r="A555" t="s">
        <v>783</v>
      </c>
      <c r="B555" t="s">
        <v>77</v>
      </c>
      <c r="C555" t="s">
        <v>408</v>
      </c>
      <c r="D555" t="s">
        <v>408</v>
      </c>
      <c r="E555" t="s">
        <v>115</v>
      </c>
      <c r="F555" t="s">
        <v>115</v>
      </c>
      <c r="G555" t="s">
        <v>113</v>
      </c>
      <c r="H555" t="s">
        <v>81</v>
      </c>
      <c r="I555" t="s">
        <v>114</v>
      </c>
      <c r="L555">
        <v>16</v>
      </c>
      <c r="M555" t="s">
        <v>83</v>
      </c>
      <c r="O555" t="s">
        <v>83</v>
      </c>
      <c r="P555" t="s">
        <v>84</v>
      </c>
    </row>
    <row r="556" spans="1:16">
      <c r="A556" t="s">
        <v>783</v>
      </c>
      <c r="B556" t="s">
        <v>77</v>
      </c>
      <c r="C556" t="s">
        <v>408</v>
      </c>
      <c r="D556" t="s">
        <v>408</v>
      </c>
      <c r="E556" t="s">
        <v>327</v>
      </c>
      <c r="F556" t="s">
        <v>327</v>
      </c>
      <c r="G556" t="s">
        <v>90</v>
      </c>
      <c r="H556" t="s">
        <v>81</v>
      </c>
      <c r="L556">
        <v>17</v>
      </c>
      <c r="M556" t="s">
        <v>83</v>
      </c>
      <c r="O556" t="s">
        <v>83</v>
      </c>
      <c r="P556" t="s">
        <v>84</v>
      </c>
    </row>
    <row r="557" spans="1:16">
      <c r="A557" t="s">
        <v>783</v>
      </c>
      <c r="B557" t="s">
        <v>77</v>
      </c>
      <c r="C557" t="s">
        <v>408</v>
      </c>
      <c r="D557" t="s">
        <v>408</v>
      </c>
      <c r="E557" t="s">
        <v>117</v>
      </c>
      <c r="F557" t="s">
        <v>117</v>
      </c>
      <c r="G557" t="s">
        <v>90</v>
      </c>
      <c r="H557" t="s">
        <v>81</v>
      </c>
      <c r="L557">
        <v>24</v>
      </c>
      <c r="M557" t="s">
        <v>83</v>
      </c>
      <c r="O557" t="s">
        <v>83</v>
      </c>
      <c r="P557" t="s">
        <v>84</v>
      </c>
    </row>
    <row r="558" spans="1:16">
      <c r="A558" t="s">
        <v>783</v>
      </c>
      <c r="B558" t="s">
        <v>77</v>
      </c>
      <c r="C558" t="s">
        <v>408</v>
      </c>
      <c r="D558" t="s">
        <v>408</v>
      </c>
      <c r="E558" t="s">
        <v>328</v>
      </c>
      <c r="F558" t="s">
        <v>328</v>
      </c>
      <c r="G558" t="s">
        <v>90</v>
      </c>
      <c r="H558" t="s">
        <v>81</v>
      </c>
      <c r="L558">
        <v>25</v>
      </c>
      <c r="M558" t="s">
        <v>83</v>
      </c>
      <c r="O558" t="s">
        <v>83</v>
      </c>
      <c r="P558" t="s">
        <v>84</v>
      </c>
    </row>
    <row r="559" spans="1:16">
      <c r="A559" t="s">
        <v>783</v>
      </c>
      <c r="B559" t="s">
        <v>77</v>
      </c>
      <c r="C559" t="s">
        <v>408</v>
      </c>
      <c r="D559" t="s">
        <v>408</v>
      </c>
      <c r="E559" t="s">
        <v>118</v>
      </c>
      <c r="F559" t="s">
        <v>118</v>
      </c>
      <c r="G559" t="s">
        <v>92</v>
      </c>
      <c r="H559" t="s">
        <v>81</v>
      </c>
      <c r="L559">
        <v>26</v>
      </c>
      <c r="M559" t="s">
        <v>83</v>
      </c>
      <c r="O559" t="s">
        <v>83</v>
      </c>
      <c r="P559" t="s">
        <v>84</v>
      </c>
    </row>
    <row r="560" spans="1:16">
      <c r="A560" t="s">
        <v>783</v>
      </c>
      <c r="B560" t="s">
        <v>77</v>
      </c>
      <c r="C560" t="s">
        <v>408</v>
      </c>
      <c r="D560" t="s">
        <v>408</v>
      </c>
      <c r="E560" t="s">
        <v>784</v>
      </c>
      <c r="F560" t="s">
        <v>784</v>
      </c>
      <c r="G560" t="s">
        <v>80</v>
      </c>
      <c r="H560" t="s">
        <v>81</v>
      </c>
      <c r="I560" t="s">
        <v>82</v>
      </c>
      <c r="L560">
        <v>27</v>
      </c>
      <c r="M560" t="s">
        <v>83</v>
      </c>
      <c r="O560" t="s">
        <v>83</v>
      </c>
      <c r="P560" t="s">
        <v>84</v>
      </c>
    </row>
    <row r="561" spans="1:16">
      <c r="A561" t="s">
        <v>783</v>
      </c>
      <c r="B561" t="s">
        <v>77</v>
      </c>
      <c r="C561" t="s">
        <v>408</v>
      </c>
      <c r="D561" t="s">
        <v>408</v>
      </c>
      <c r="E561" t="s">
        <v>785</v>
      </c>
      <c r="F561" t="s">
        <v>785</v>
      </c>
      <c r="G561" t="s">
        <v>80</v>
      </c>
      <c r="H561" t="s">
        <v>81</v>
      </c>
      <c r="I561" t="s">
        <v>82</v>
      </c>
      <c r="L561">
        <v>28</v>
      </c>
      <c r="M561" t="s">
        <v>83</v>
      </c>
      <c r="O561" t="s">
        <v>83</v>
      </c>
      <c r="P561" t="s">
        <v>84</v>
      </c>
    </row>
    <row r="562" spans="1:16">
      <c r="A562" t="s">
        <v>783</v>
      </c>
      <c r="B562" t="s">
        <v>77</v>
      </c>
      <c r="C562" t="s">
        <v>408</v>
      </c>
      <c r="D562" t="s">
        <v>408</v>
      </c>
      <c r="E562" t="s">
        <v>786</v>
      </c>
      <c r="F562" t="s">
        <v>786</v>
      </c>
      <c r="G562" t="s">
        <v>787</v>
      </c>
      <c r="H562" t="s">
        <v>81</v>
      </c>
      <c r="L562">
        <v>29</v>
      </c>
      <c r="M562" t="s">
        <v>83</v>
      </c>
      <c r="O562" t="s">
        <v>83</v>
      </c>
      <c r="P562" t="s">
        <v>84</v>
      </c>
    </row>
    <row r="563" spans="1:16">
      <c r="A563" t="s">
        <v>783</v>
      </c>
      <c r="B563" t="s">
        <v>77</v>
      </c>
      <c r="C563" t="s">
        <v>418</v>
      </c>
      <c r="D563" t="s">
        <v>418</v>
      </c>
      <c r="E563" t="s">
        <v>79</v>
      </c>
      <c r="F563" t="s">
        <v>79</v>
      </c>
      <c r="G563" t="s">
        <v>80</v>
      </c>
      <c r="H563" t="s">
        <v>81</v>
      </c>
      <c r="I563" t="s">
        <v>82</v>
      </c>
      <c r="L563">
        <v>1</v>
      </c>
      <c r="M563" t="s">
        <v>83</v>
      </c>
      <c r="O563" t="s">
        <v>83</v>
      </c>
      <c r="P563" t="s">
        <v>84</v>
      </c>
    </row>
    <row r="564" spans="1:16">
      <c r="A564" t="s">
        <v>783</v>
      </c>
      <c r="B564" t="s">
        <v>77</v>
      </c>
      <c r="C564" t="s">
        <v>418</v>
      </c>
      <c r="D564" t="s">
        <v>418</v>
      </c>
      <c r="E564" t="s">
        <v>86</v>
      </c>
      <c r="F564" t="s">
        <v>86</v>
      </c>
      <c r="G564" t="s">
        <v>80</v>
      </c>
      <c r="H564" t="s">
        <v>81</v>
      </c>
      <c r="I564" t="s">
        <v>82</v>
      </c>
      <c r="L564">
        <v>2</v>
      </c>
      <c r="M564" t="s">
        <v>83</v>
      </c>
      <c r="O564" t="s">
        <v>83</v>
      </c>
      <c r="P564" t="s">
        <v>84</v>
      </c>
    </row>
    <row r="565" spans="1:16">
      <c r="A565" t="s">
        <v>783</v>
      </c>
      <c r="B565" t="s">
        <v>77</v>
      </c>
      <c r="C565" t="s">
        <v>418</v>
      </c>
      <c r="D565" t="s">
        <v>418</v>
      </c>
      <c r="E565" t="s">
        <v>87</v>
      </c>
      <c r="F565" t="s">
        <v>87</v>
      </c>
      <c r="G565" t="s">
        <v>88</v>
      </c>
      <c r="H565" t="s">
        <v>81</v>
      </c>
      <c r="J565" t="s">
        <v>83</v>
      </c>
      <c r="L565">
        <v>3</v>
      </c>
      <c r="M565" t="s">
        <v>83</v>
      </c>
      <c r="O565" t="s">
        <v>83</v>
      </c>
      <c r="P565" t="s">
        <v>84</v>
      </c>
    </row>
    <row r="566" spans="1:16">
      <c r="A566" t="s">
        <v>783</v>
      </c>
      <c r="B566" t="s">
        <v>77</v>
      </c>
      <c r="C566" t="s">
        <v>418</v>
      </c>
      <c r="D566" t="s">
        <v>418</v>
      </c>
      <c r="E566" t="s">
        <v>89</v>
      </c>
      <c r="F566" t="s">
        <v>89</v>
      </c>
      <c r="G566" t="s">
        <v>90</v>
      </c>
      <c r="H566" t="s">
        <v>81</v>
      </c>
      <c r="J566" t="s">
        <v>83</v>
      </c>
      <c r="K566" t="s">
        <v>83</v>
      </c>
      <c r="L566">
        <v>4</v>
      </c>
      <c r="M566" t="s">
        <v>83</v>
      </c>
      <c r="O566" t="s">
        <v>83</v>
      </c>
      <c r="P566" t="s">
        <v>84</v>
      </c>
    </row>
    <row r="567" spans="1:16">
      <c r="A567" t="s">
        <v>783</v>
      </c>
      <c r="B567" t="s">
        <v>77</v>
      </c>
      <c r="C567" t="s">
        <v>418</v>
      </c>
      <c r="D567" t="s">
        <v>418</v>
      </c>
      <c r="E567" t="s">
        <v>419</v>
      </c>
      <c r="F567" t="s">
        <v>419</v>
      </c>
      <c r="G567" t="s">
        <v>80</v>
      </c>
      <c r="H567" t="s">
        <v>81</v>
      </c>
      <c r="I567" t="s">
        <v>82</v>
      </c>
      <c r="L567">
        <v>5</v>
      </c>
      <c r="M567" t="s">
        <v>83</v>
      </c>
      <c r="O567" t="s">
        <v>83</v>
      </c>
      <c r="P567" t="s">
        <v>84</v>
      </c>
    </row>
    <row r="568" spans="1:16">
      <c r="A568" t="s">
        <v>783</v>
      </c>
      <c r="B568" t="s">
        <v>77</v>
      </c>
      <c r="C568" t="s">
        <v>418</v>
      </c>
      <c r="D568" t="s">
        <v>418</v>
      </c>
      <c r="E568" t="s">
        <v>420</v>
      </c>
      <c r="F568" t="s">
        <v>420</v>
      </c>
      <c r="G568" t="s">
        <v>90</v>
      </c>
      <c r="H568" t="s">
        <v>81</v>
      </c>
      <c r="L568">
        <v>6</v>
      </c>
      <c r="M568" t="s">
        <v>83</v>
      </c>
      <c r="O568" t="s">
        <v>83</v>
      </c>
      <c r="P568" t="s">
        <v>84</v>
      </c>
    </row>
    <row r="569" spans="1:16">
      <c r="A569" t="s">
        <v>783</v>
      </c>
      <c r="B569" t="s">
        <v>77</v>
      </c>
      <c r="C569" t="s">
        <v>418</v>
      </c>
      <c r="D569" t="s">
        <v>418</v>
      </c>
      <c r="E569" t="s">
        <v>421</v>
      </c>
      <c r="F569" t="s">
        <v>421</v>
      </c>
      <c r="G569" t="s">
        <v>98</v>
      </c>
      <c r="H569" t="s">
        <v>81</v>
      </c>
      <c r="L569">
        <v>7</v>
      </c>
      <c r="M569" t="s">
        <v>83</v>
      </c>
      <c r="O569" t="s">
        <v>83</v>
      </c>
      <c r="P569" t="s">
        <v>84</v>
      </c>
    </row>
    <row r="570" spans="1:16">
      <c r="A570" t="s">
        <v>783</v>
      </c>
      <c r="B570" t="s">
        <v>77</v>
      </c>
      <c r="C570" t="s">
        <v>418</v>
      </c>
      <c r="D570" t="s">
        <v>418</v>
      </c>
      <c r="E570" t="s">
        <v>91</v>
      </c>
      <c r="F570" t="s">
        <v>91</v>
      </c>
      <c r="G570" t="s">
        <v>92</v>
      </c>
      <c r="H570" t="s">
        <v>81</v>
      </c>
      <c r="J570" t="s">
        <v>83</v>
      </c>
      <c r="L570">
        <v>8</v>
      </c>
      <c r="M570" t="s">
        <v>83</v>
      </c>
      <c r="O570" t="s">
        <v>83</v>
      </c>
      <c r="P570" t="s">
        <v>84</v>
      </c>
    </row>
    <row r="571" spans="1:16">
      <c r="A571" t="s">
        <v>783</v>
      </c>
      <c r="B571" t="s">
        <v>77</v>
      </c>
      <c r="C571" t="s">
        <v>418</v>
      </c>
      <c r="D571" t="s">
        <v>418</v>
      </c>
      <c r="E571" t="s">
        <v>422</v>
      </c>
      <c r="F571" t="s">
        <v>422</v>
      </c>
      <c r="G571" t="s">
        <v>94</v>
      </c>
      <c r="H571" t="s">
        <v>81</v>
      </c>
      <c r="L571">
        <v>9</v>
      </c>
      <c r="M571" t="s">
        <v>83</v>
      </c>
      <c r="O571" t="s">
        <v>83</v>
      </c>
      <c r="P571" t="s">
        <v>84</v>
      </c>
    </row>
    <row r="572" spans="1:16">
      <c r="A572" t="s">
        <v>783</v>
      </c>
      <c r="B572" t="s">
        <v>77</v>
      </c>
      <c r="C572" t="s">
        <v>418</v>
      </c>
      <c r="D572" t="s">
        <v>418</v>
      </c>
      <c r="E572" t="s">
        <v>423</v>
      </c>
      <c r="F572" t="s">
        <v>423</v>
      </c>
      <c r="G572" t="s">
        <v>88</v>
      </c>
      <c r="H572" t="s">
        <v>81</v>
      </c>
      <c r="L572">
        <v>10</v>
      </c>
      <c r="M572" t="s">
        <v>83</v>
      </c>
      <c r="O572" t="s">
        <v>83</v>
      </c>
      <c r="P572" t="s">
        <v>84</v>
      </c>
    </row>
    <row r="573" spans="1:16">
      <c r="A573" t="s">
        <v>783</v>
      </c>
      <c r="B573" t="s">
        <v>77</v>
      </c>
      <c r="C573" t="s">
        <v>418</v>
      </c>
      <c r="D573" t="s">
        <v>418</v>
      </c>
      <c r="E573" t="s">
        <v>424</v>
      </c>
      <c r="F573" t="s">
        <v>424</v>
      </c>
      <c r="G573" t="s">
        <v>94</v>
      </c>
      <c r="H573" t="s">
        <v>81</v>
      </c>
      <c r="L573">
        <v>11</v>
      </c>
      <c r="M573" t="s">
        <v>83</v>
      </c>
      <c r="O573" t="s">
        <v>83</v>
      </c>
      <c r="P573" t="s">
        <v>84</v>
      </c>
    </row>
    <row r="574" spans="1:16">
      <c r="A574" t="s">
        <v>783</v>
      </c>
      <c r="B574" t="s">
        <v>77</v>
      </c>
      <c r="C574" t="s">
        <v>418</v>
      </c>
      <c r="D574" t="s">
        <v>418</v>
      </c>
      <c r="E574" t="s">
        <v>425</v>
      </c>
      <c r="F574" t="s">
        <v>425</v>
      </c>
      <c r="G574" t="s">
        <v>98</v>
      </c>
      <c r="H574" t="s">
        <v>81</v>
      </c>
      <c r="L574">
        <v>12</v>
      </c>
      <c r="M574" t="s">
        <v>83</v>
      </c>
      <c r="O574" t="s">
        <v>83</v>
      </c>
      <c r="P574" t="s">
        <v>84</v>
      </c>
    </row>
    <row r="575" spans="1:16">
      <c r="A575" t="s">
        <v>783</v>
      </c>
      <c r="B575" t="s">
        <v>77</v>
      </c>
      <c r="C575" t="s">
        <v>418</v>
      </c>
      <c r="D575" t="s">
        <v>418</v>
      </c>
      <c r="E575" t="s">
        <v>426</v>
      </c>
      <c r="F575" t="s">
        <v>426</v>
      </c>
      <c r="G575" t="s">
        <v>98</v>
      </c>
      <c r="H575" t="s">
        <v>81</v>
      </c>
      <c r="L575">
        <v>13</v>
      </c>
      <c r="M575" t="s">
        <v>83</v>
      </c>
      <c r="O575" t="s">
        <v>83</v>
      </c>
      <c r="P575" t="s">
        <v>84</v>
      </c>
    </row>
    <row r="576" spans="1:16">
      <c r="A576" t="s">
        <v>783</v>
      </c>
      <c r="B576" t="s">
        <v>77</v>
      </c>
      <c r="C576" t="s">
        <v>418</v>
      </c>
      <c r="D576" t="s">
        <v>418</v>
      </c>
      <c r="E576" t="s">
        <v>112</v>
      </c>
      <c r="F576" t="s">
        <v>112</v>
      </c>
      <c r="G576" t="s">
        <v>113</v>
      </c>
      <c r="H576" t="s">
        <v>81</v>
      </c>
      <c r="I576" t="s">
        <v>114</v>
      </c>
      <c r="L576">
        <v>14</v>
      </c>
      <c r="M576" t="s">
        <v>83</v>
      </c>
      <c r="O576" t="s">
        <v>83</v>
      </c>
      <c r="P576" t="s">
        <v>84</v>
      </c>
    </row>
    <row r="577" spans="1:16">
      <c r="A577" t="s">
        <v>783</v>
      </c>
      <c r="B577" t="s">
        <v>77</v>
      </c>
      <c r="C577" t="s">
        <v>418</v>
      </c>
      <c r="D577" t="s">
        <v>418</v>
      </c>
      <c r="E577" t="s">
        <v>115</v>
      </c>
      <c r="F577" t="s">
        <v>115</v>
      </c>
      <c r="G577" t="s">
        <v>113</v>
      </c>
      <c r="H577" t="s">
        <v>81</v>
      </c>
      <c r="I577" t="s">
        <v>114</v>
      </c>
      <c r="L577">
        <v>15</v>
      </c>
      <c r="M577" t="s">
        <v>83</v>
      </c>
      <c r="O577" t="s">
        <v>83</v>
      </c>
      <c r="P577" t="s">
        <v>84</v>
      </c>
    </row>
    <row r="578" spans="1:16">
      <c r="A578" t="s">
        <v>783</v>
      </c>
      <c r="B578" t="s">
        <v>77</v>
      </c>
      <c r="C578" t="s">
        <v>418</v>
      </c>
      <c r="D578" t="s">
        <v>418</v>
      </c>
      <c r="E578" t="s">
        <v>327</v>
      </c>
      <c r="F578" t="s">
        <v>327</v>
      </c>
      <c r="G578" t="s">
        <v>90</v>
      </c>
      <c r="H578" t="s">
        <v>81</v>
      </c>
      <c r="L578">
        <v>16</v>
      </c>
      <c r="M578" t="s">
        <v>83</v>
      </c>
      <c r="O578" t="s">
        <v>83</v>
      </c>
      <c r="P578" t="s">
        <v>84</v>
      </c>
    </row>
    <row r="579" spans="1:16">
      <c r="A579" t="s">
        <v>783</v>
      </c>
      <c r="B579" t="s">
        <v>77</v>
      </c>
      <c r="C579" t="s">
        <v>418</v>
      </c>
      <c r="D579" t="s">
        <v>418</v>
      </c>
      <c r="E579" t="s">
        <v>117</v>
      </c>
      <c r="F579" t="s">
        <v>117</v>
      </c>
      <c r="G579" t="s">
        <v>90</v>
      </c>
      <c r="H579" t="s">
        <v>81</v>
      </c>
      <c r="L579">
        <v>23</v>
      </c>
      <c r="M579" t="s">
        <v>83</v>
      </c>
      <c r="O579" t="s">
        <v>83</v>
      </c>
      <c r="P579" t="s">
        <v>84</v>
      </c>
    </row>
    <row r="580" spans="1:16">
      <c r="A580" t="s">
        <v>783</v>
      </c>
      <c r="B580" t="s">
        <v>77</v>
      </c>
      <c r="C580" t="s">
        <v>418</v>
      </c>
      <c r="D580" t="s">
        <v>418</v>
      </c>
      <c r="E580" t="s">
        <v>328</v>
      </c>
      <c r="F580" t="s">
        <v>328</v>
      </c>
      <c r="G580" t="s">
        <v>90</v>
      </c>
      <c r="H580" t="s">
        <v>81</v>
      </c>
      <c r="L580">
        <v>24</v>
      </c>
      <c r="M580" t="s">
        <v>83</v>
      </c>
      <c r="O580" t="s">
        <v>83</v>
      </c>
      <c r="P580" t="s">
        <v>84</v>
      </c>
    </row>
    <row r="581" spans="1:16">
      <c r="A581" t="s">
        <v>783</v>
      </c>
      <c r="B581" t="s">
        <v>77</v>
      </c>
      <c r="C581" t="s">
        <v>418</v>
      </c>
      <c r="D581" t="s">
        <v>418</v>
      </c>
      <c r="E581" t="s">
        <v>118</v>
      </c>
      <c r="F581" t="s">
        <v>118</v>
      </c>
      <c r="G581" t="s">
        <v>92</v>
      </c>
      <c r="H581" t="s">
        <v>81</v>
      </c>
      <c r="L581">
        <v>25</v>
      </c>
      <c r="M581" t="s">
        <v>83</v>
      </c>
      <c r="O581" t="s">
        <v>83</v>
      </c>
      <c r="P581" t="s">
        <v>84</v>
      </c>
    </row>
    <row r="582" spans="1:16">
      <c r="A582" t="s">
        <v>783</v>
      </c>
      <c r="B582" t="s">
        <v>77</v>
      </c>
      <c r="C582" t="s">
        <v>418</v>
      </c>
      <c r="D582" t="s">
        <v>418</v>
      </c>
      <c r="E582" t="s">
        <v>784</v>
      </c>
      <c r="F582" t="s">
        <v>784</v>
      </c>
      <c r="G582" t="s">
        <v>80</v>
      </c>
      <c r="H582" t="s">
        <v>81</v>
      </c>
      <c r="I582" t="s">
        <v>82</v>
      </c>
      <c r="L582">
        <v>26</v>
      </c>
      <c r="M582" t="s">
        <v>83</v>
      </c>
      <c r="O582" t="s">
        <v>83</v>
      </c>
      <c r="P582" t="s">
        <v>84</v>
      </c>
    </row>
    <row r="583" spans="1:16">
      <c r="A583" t="s">
        <v>783</v>
      </c>
      <c r="B583" t="s">
        <v>77</v>
      </c>
      <c r="C583" t="s">
        <v>418</v>
      </c>
      <c r="D583" t="s">
        <v>418</v>
      </c>
      <c r="E583" t="s">
        <v>785</v>
      </c>
      <c r="F583" t="s">
        <v>785</v>
      </c>
      <c r="G583" t="s">
        <v>80</v>
      </c>
      <c r="H583" t="s">
        <v>81</v>
      </c>
      <c r="I583" t="s">
        <v>82</v>
      </c>
      <c r="L583">
        <v>27</v>
      </c>
      <c r="M583" t="s">
        <v>83</v>
      </c>
      <c r="O583" t="s">
        <v>83</v>
      </c>
      <c r="P583" t="s">
        <v>84</v>
      </c>
    </row>
    <row r="584" spans="1:16">
      <c r="A584" t="s">
        <v>783</v>
      </c>
      <c r="B584" t="s">
        <v>77</v>
      </c>
      <c r="C584" t="s">
        <v>418</v>
      </c>
      <c r="D584" t="s">
        <v>418</v>
      </c>
      <c r="E584" t="s">
        <v>786</v>
      </c>
      <c r="F584" t="s">
        <v>786</v>
      </c>
      <c r="G584" t="s">
        <v>787</v>
      </c>
      <c r="H584" t="s">
        <v>81</v>
      </c>
      <c r="L584">
        <v>28</v>
      </c>
      <c r="M584" t="s">
        <v>83</v>
      </c>
      <c r="O584" t="s">
        <v>83</v>
      </c>
      <c r="P584" t="s">
        <v>84</v>
      </c>
    </row>
    <row r="585" spans="1:16">
      <c r="A585" t="s">
        <v>783</v>
      </c>
      <c r="B585" t="s">
        <v>77</v>
      </c>
      <c r="C585" t="s">
        <v>427</v>
      </c>
      <c r="D585" t="s">
        <v>427</v>
      </c>
      <c r="E585" t="s">
        <v>79</v>
      </c>
      <c r="F585" t="s">
        <v>79</v>
      </c>
      <c r="G585" t="s">
        <v>80</v>
      </c>
      <c r="H585" t="s">
        <v>81</v>
      </c>
      <c r="I585" t="s">
        <v>82</v>
      </c>
      <c r="L585">
        <v>1</v>
      </c>
      <c r="M585" t="s">
        <v>83</v>
      </c>
      <c r="O585" t="s">
        <v>83</v>
      </c>
      <c r="P585" t="s">
        <v>84</v>
      </c>
    </row>
    <row r="586" spans="1:16">
      <c r="A586" t="s">
        <v>783</v>
      </c>
      <c r="B586" t="s">
        <v>77</v>
      </c>
      <c r="C586" t="s">
        <v>427</v>
      </c>
      <c r="D586" t="s">
        <v>427</v>
      </c>
      <c r="E586" t="s">
        <v>86</v>
      </c>
      <c r="F586" t="s">
        <v>86</v>
      </c>
      <c r="G586" t="s">
        <v>80</v>
      </c>
      <c r="H586" t="s">
        <v>81</v>
      </c>
      <c r="I586" t="s">
        <v>82</v>
      </c>
      <c r="L586">
        <v>2</v>
      </c>
      <c r="M586" t="s">
        <v>83</v>
      </c>
      <c r="O586" t="s">
        <v>83</v>
      </c>
      <c r="P586" t="s">
        <v>84</v>
      </c>
    </row>
    <row r="587" spans="1:16">
      <c r="A587" t="s">
        <v>783</v>
      </c>
      <c r="B587" t="s">
        <v>77</v>
      </c>
      <c r="C587" t="s">
        <v>427</v>
      </c>
      <c r="D587" t="s">
        <v>427</v>
      </c>
      <c r="E587" t="s">
        <v>87</v>
      </c>
      <c r="F587" t="s">
        <v>87</v>
      </c>
      <c r="G587" t="s">
        <v>88</v>
      </c>
      <c r="H587" t="s">
        <v>81</v>
      </c>
      <c r="J587" t="s">
        <v>83</v>
      </c>
      <c r="L587">
        <v>3</v>
      </c>
      <c r="M587" t="s">
        <v>83</v>
      </c>
      <c r="O587" t="s">
        <v>83</v>
      </c>
      <c r="P587" t="s">
        <v>84</v>
      </c>
    </row>
    <row r="588" spans="1:16">
      <c r="A588" t="s">
        <v>783</v>
      </c>
      <c r="B588" t="s">
        <v>77</v>
      </c>
      <c r="C588" t="s">
        <v>427</v>
      </c>
      <c r="D588" t="s">
        <v>427</v>
      </c>
      <c r="E588" t="s">
        <v>89</v>
      </c>
      <c r="F588" t="s">
        <v>89</v>
      </c>
      <c r="G588" t="s">
        <v>90</v>
      </c>
      <c r="H588" t="s">
        <v>81</v>
      </c>
      <c r="J588" t="s">
        <v>83</v>
      </c>
      <c r="K588" t="s">
        <v>83</v>
      </c>
      <c r="L588">
        <v>4</v>
      </c>
      <c r="M588" t="s">
        <v>83</v>
      </c>
      <c r="O588" t="s">
        <v>83</v>
      </c>
      <c r="P588" t="s">
        <v>84</v>
      </c>
    </row>
    <row r="589" spans="1:16">
      <c r="A589" t="s">
        <v>783</v>
      </c>
      <c r="B589" t="s">
        <v>77</v>
      </c>
      <c r="C589" t="s">
        <v>427</v>
      </c>
      <c r="D589" t="s">
        <v>427</v>
      </c>
      <c r="E589" t="s">
        <v>428</v>
      </c>
      <c r="F589" t="s">
        <v>428</v>
      </c>
      <c r="G589" t="s">
        <v>80</v>
      </c>
      <c r="H589" t="s">
        <v>81</v>
      </c>
      <c r="I589" t="s">
        <v>82</v>
      </c>
      <c r="L589">
        <v>5</v>
      </c>
      <c r="M589" t="s">
        <v>83</v>
      </c>
      <c r="O589" t="s">
        <v>83</v>
      </c>
      <c r="P589" t="s">
        <v>84</v>
      </c>
    </row>
    <row r="590" spans="1:16">
      <c r="A590" t="s">
        <v>783</v>
      </c>
      <c r="B590" t="s">
        <v>77</v>
      </c>
      <c r="C590" t="s">
        <v>427</v>
      </c>
      <c r="D590" t="s">
        <v>427</v>
      </c>
      <c r="E590" t="s">
        <v>429</v>
      </c>
      <c r="F590" t="s">
        <v>429</v>
      </c>
      <c r="G590" t="s">
        <v>90</v>
      </c>
      <c r="H590" t="s">
        <v>81</v>
      </c>
      <c r="L590">
        <v>6</v>
      </c>
      <c r="M590" t="s">
        <v>83</v>
      </c>
      <c r="O590" t="s">
        <v>83</v>
      </c>
      <c r="P590" t="s">
        <v>84</v>
      </c>
    </row>
    <row r="591" spans="1:16">
      <c r="A591" t="s">
        <v>783</v>
      </c>
      <c r="B591" t="s">
        <v>77</v>
      </c>
      <c r="C591" t="s">
        <v>427</v>
      </c>
      <c r="D591" t="s">
        <v>427</v>
      </c>
      <c r="E591" t="s">
        <v>91</v>
      </c>
      <c r="F591" t="s">
        <v>91</v>
      </c>
      <c r="G591" t="s">
        <v>92</v>
      </c>
      <c r="H591" t="s">
        <v>81</v>
      </c>
      <c r="J591" t="s">
        <v>83</v>
      </c>
      <c r="L591">
        <v>7</v>
      </c>
      <c r="M591" t="s">
        <v>83</v>
      </c>
      <c r="O591" t="s">
        <v>83</v>
      </c>
      <c r="P591" t="s">
        <v>84</v>
      </c>
    </row>
    <row r="592" spans="1:16">
      <c r="A592" t="s">
        <v>783</v>
      </c>
      <c r="B592" t="s">
        <v>77</v>
      </c>
      <c r="C592" t="s">
        <v>427</v>
      </c>
      <c r="D592" t="s">
        <v>427</v>
      </c>
      <c r="E592" t="s">
        <v>430</v>
      </c>
      <c r="F592" t="s">
        <v>430</v>
      </c>
      <c r="G592" t="s">
        <v>94</v>
      </c>
      <c r="H592" t="s">
        <v>81</v>
      </c>
      <c r="L592">
        <v>8</v>
      </c>
      <c r="M592" t="s">
        <v>83</v>
      </c>
      <c r="O592" t="s">
        <v>83</v>
      </c>
      <c r="P592" t="s">
        <v>84</v>
      </c>
    </row>
    <row r="593" spans="1:16">
      <c r="A593" t="s">
        <v>783</v>
      </c>
      <c r="B593" t="s">
        <v>77</v>
      </c>
      <c r="C593" t="s">
        <v>427</v>
      </c>
      <c r="D593" t="s">
        <v>427</v>
      </c>
      <c r="E593" t="s">
        <v>431</v>
      </c>
      <c r="F593" t="s">
        <v>431</v>
      </c>
      <c r="G593" t="s">
        <v>88</v>
      </c>
      <c r="H593" t="s">
        <v>81</v>
      </c>
      <c r="L593">
        <v>9</v>
      </c>
      <c r="M593" t="s">
        <v>83</v>
      </c>
      <c r="O593" t="s">
        <v>83</v>
      </c>
      <c r="P593" t="s">
        <v>84</v>
      </c>
    </row>
    <row r="594" spans="1:16">
      <c r="A594" t="s">
        <v>783</v>
      </c>
      <c r="B594" t="s">
        <v>77</v>
      </c>
      <c r="C594" t="s">
        <v>427</v>
      </c>
      <c r="D594" t="s">
        <v>427</v>
      </c>
      <c r="E594" t="s">
        <v>432</v>
      </c>
      <c r="F594" t="s">
        <v>432</v>
      </c>
      <c r="G594" t="s">
        <v>94</v>
      </c>
      <c r="H594" t="s">
        <v>81</v>
      </c>
      <c r="L594">
        <v>10</v>
      </c>
      <c r="M594" t="s">
        <v>83</v>
      </c>
      <c r="O594" t="s">
        <v>83</v>
      </c>
      <c r="P594" t="s">
        <v>84</v>
      </c>
    </row>
    <row r="595" spans="1:16">
      <c r="A595" t="s">
        <v>783</v>
      </c>
      <c r="B595" t="s">
        <v>77</v>
      </c>
      <c r="C595" t="s">
        <v>427</v>
      </c>
      <c r="D595" t="s">
        <v>427</v>
      </c>
      <c r="E595" t="s">
        <v>433</v>
      </c>
      <c r="F595" t="s">
        <v>433</v>
      </c>
      <c r="G595" t="s">
        <v>98</v>
      </c>
      <c r="H595" t="s">
        <v>81</v>
      </c>
      <c r="L595">
        <v>11</v>
      </c>
      <c r="M595" t="s">
        <v>83</v>
      </c>
      <c r="O595" t="s">
        <v>83</v>
      </c>
      <c r="P595" t="s">
        <v>84</v>
      </c>
    </row>
    <row r="596" spans="1:16">
      <c r="A596" t="s">
        <v>783</v>
      </c>
      <c r="B596" t="s">
        <v>77</v>
      </c>
      <c r="C596" t="s">
        <v>427</v>
      </c>
      <c r="D596" t="s">
        <v>427</v>
      </c>
      <c r="E596" t="s">
        <v>434</v>
      </c>
      <c r="F596" t="s">
        <v>434</v>
      </c>
      <c r="G596" t="s">
        <v>98</v>
      </c>
      <c r="H596" t="s">
        <v>81</v>
      </c>
      <c r="L596">
        <v>12</v>
      </c>
      <c r="M596" t="s">
        <v>83</v>
      </c>
      <c r="O596" t="s">
        <v>83</v>
      </c>
      <c r="P596" t="s">
        <v>84</v>
      </c>
    </row>
    <row r="597" spans="1:16">
      <c r="A597" t="s">
        <v>783</v>
      </c>
      <c r="B597" t="s">
        <v>77</v>
      </c>
      <c r="C597" t="s">
        <v>427</v>
      </c>
      <c r="D597" t="s">
        <v>427</v>
      </c>
      <c r="E597" t="s">
        <v>435</v>
      </c>
      <c r="F597" t="s">
        <v>435</v>
      </c>
      <c r="G597" t="s">
        <v>98</v>
      </c>
      <c r="H597" t="s">
        <v>81</v>
      </c>
      <c r="L597">
        <v>13</v>
      </c>
      <c r="M597" t="s">
        <v>83</v>
      </c>
      <c r="O597" t="s">
        <v>83</v>
      </c>
      <c r="P597" t="s">
        <v>84</v>
      </c>
    </row>
    <row r="598" spans="1:16">
      <c r="A598" t="s">
        <v>783</v>
      </c>
      <c r="B598" t="s">
        <v>77</v>
      </c>
      <c r="C598" t="s">
        <v>427</v>
      </c>
      <c r="D598" t="s">
        <v>427</v>
      </c>
      <c r="E598" t="s">
        <v>436</v>
      </c>
      <c r="F598" t="s">
        <v>436</v>
      </c>
      <c r="G598" t="s">
        <v>188</v>
      </c>
      <c r="H598" t="s">
        <v>81</v>
      </c>
      <c r="L598">
        <v>14</v>
      </c>
      <c r="M598" t="s">
        <v>83</v>
      </c>
      <c r="O598" t="s">
        <v>83</v>
      </c>
      <c r="P598" t="s">
        <v>84</v>
      </c>
    </row>
    <row r="599" spans="1:16">
      <c r="A599" t="s">
        <v>783</v>
      </c>
      <c r="B599" t="s">
        <v>77</v>
      </c>
      <c r="C599" t="s">
        <v>427</v>
      </c>
      <c r="D599" t="s">
        <v>427</v>
      </c>
      <c r="E599" t="s">
        <v>112</v>
      </c>
      <c r="F599" t="s">
        <v>112</v>
      </c>
      <c r="G599" t="s">
        <v>113</v>
      </c>
      <c r="H599" t="s">
        <v>81</v>
      </c>
      <c r="I599" t="s">
        <v>114</v>
      </c>
      <c r="L599">
        <v>15</v>
      </c>
      <c r="M599" t="s">
        <v>83</v>
      </c>
      <c r="O599" t="s">
        <v>83</v>
      </c>
      <c r="P599" t="s">
        <v>84</v>
      </c>
    </row>
    <row r="600" spans="1:16">
      <c r="A600" t="s">
        <v>783</v>
      </c>
      <c r="B600" t="s">
        <v>77</v>
      </c>
      <c r="C600" t="s">
        <v>427</v>
      </c>
      <c r="D600" t="s">
        <v>427</v>
      </c>
      <c r="E600" t="s">
        <v>115</v>
      </c>
      <c r="F600" t="s">
        <v>115</v>
      </c>
      <c r="G600" t="s">
        <v>113</v>
      </c>
      <c r="H600" t="s">
        <v>81</v>
      </c>
      <c r="I600" t="s">
        <v>114</v>
      </c>
      <c r="L600">
        <v>16</v>
      </c>
      <c r="M600" t="s">
        <v>83</v>
      </c>
      <c r="O600" t="s">
        <v>83</v>
      </c>
      <c r="P600" t="s">
        <v>84</v>
      </c>
    </row>
    <row r="601" spans="1:16">
      <c r="A601" t="s">
        <v>783</v>
      </c>
      <c r="B601" t="s">
        <v>77</v>
      </c>
      <c r="C601" t="s">
        <v>427</v>
      </c>
      <c r="D601" t="s">
        <v>427</v>
      </c>
      <c r="E601" t="s">
        <v>327</v>
      </c>
      <c r="F601" t="s">
        <v>327</v>
      </c>
      <c r="G601" t="s">
        <v>90</v>
      </c>
      <c r="H601" t="s">
        <v>81</v>
      </c>
      <c r="L601">
        <v>17</v>
      </c>
      <c r="M601" t="s">
        <v>83</v>
      </c>
      <c r="O601" t="s">
        <v>83</v>
      </c>
      <c r="P601" t="s">
        <v>84</v>
      </c>
    </row>
    <row r="602" spans="1:16">
      <c r="A602" t="s">
        <v>783</v>
      </c>
      <c r="B602" t="s">
        <v>77</v>
      </c>
      <c r="C602" t="s">
        <v>427</v>
      </c>
      <c r="D602" t="s">
        <v>427</v>
      </c>
      <c r="E602" t="s">
        <v>117</v>
      </c>
      <c r="F602" t="s">
        <v>117</v>
      </c>
      <c r="G602" t="s">
        <v>90</v>
      </c>
      <c r="H602" t="s">
        <v>81</v>
      </c>
      <c r="L602">
        <v>24</v>
      </c>
      <c r="M602" t="s">
        <v>83</v>
      </c>
      <c r="O602" t="s">
        <v>83</v>
      </c>
      <c r="P602" t="s">
        <v>84</v>
      </c>
    </row>
    <row r="603" spans="1:16">
      <c r="A603" t="s">
        <v>783</v>
      </c>
      <c r="B603" t="s">
        <v>77</v>
      </c>
      <c r="C603" t="s">
        <v>427</v>
      </c>
      <c r="D603" t="s">
        <v>427</v>
      </c>
      <c r="E603" t="s">
        <v>328</v>
      </c>
      <c r="F603" t="s">
        <v>328</v>
      </c>
      <c r="G603" t="s">
        <v>90</v>
      </c>
      <c r="H603" t="s">
        <v>81</v>
      </c>
      <c r="L603">
        <v>25</v>
      </c>
      <c r="M603" t="s">
        <v>83</v>
      </c>
      <c r="O603" t="s">
        <v>83</v>
      </c>
      <c r="P603" t="s">
        <v>84</v>
      </c>
    </row>
    <row r="604" spans="1:16">
      <c r="A604" t="s">
        <v>783</v>
      </c>
      <c r="B604" t="s">
        <v>77</v>
      </c>
      <c r="C604" t="s">
        <v>427</v>
      </c>
      <c r="D604" t="s">
        <v>427</v>
      </c>
      <c r="E604" t="s">
        <v>118</v>
      </c>
      <c r="F604" t="s">
        <v>118</v>
      </c>
      <c r="G604" t="s">
        <v>92</v>
      </c>
      <c r="H604" t="s">
        <v>81</v>
      </c>
      <c r="L604">
        <v>26</v>
      </c>
      <c r="M604" t="s">
        <v>83</v>
      </c>
      <c r="O604" t="s">
        <v>83</v>
      </c>
      <c r="P604" t="s">
        <v>84</v>
      </c>
    </row>
    <row r="605" spans="1:16">
      <c r="A605" t="s">
        <v>783</v>
      </c>
      <c r="B605" t="s">
        <v>77</v>
      </c>
      <c r="C605" t="s">
        <v>427</v>
      </c>
      <c r="D605" t="s">
        <v>427</v>
      </c>
      <c r="E605" t="s">
        <v>784</v>
      </c>
      <c r="F605" t="s">
        <v>784</v>
      </c>
      <c r="G605" t="s">
        <v>80</v>
      </c>
      <c r="H605" t="s">
        <v>81</v>
      </c>
      <c r="I605" t="s">
        <v>82</v>
      </c>
      <c r="L605">
        <v>27</v>
      </c>
      <c r="M605" t="s">
        <v>83</v>
      </c>
      <c r="O605" t="s">
        <v>83</v>
      </c>
      <c r="P605" t="s">
        <v>84</v>
      </c>
    </row>
    <row r="606" spans="1:16">
      <c r="A606" t="s">
        <v>783</v>
      </c>
      <c r="B606" t="s">
        <v>77</v>
      </c>
      <c r="C606" t="s">
        <v>427</v>
      </c>
      <c r="D606" t="s">
        <v>427</v>
      </c>
      <c r="E606" t="s">
        <v>785</v>
      </c>
      <c r="F606" t="s">
        <v>785</v>
      </c>
      <c r="G606" t="s">
        <v>80</v>
      </c>
      <c r="H606" t="s">
        <v>81</v>
      </c>
      <c r="I606" t="s">
        <v>82</v>
      </c>
      <c r="L606">
        <v>28</v>
      </c>
      <c r="M606" t="s">
        <v>83</v>
      </c>
      <c r="O606" t="s">
        <v>83</v>
      </c>
      <c r="P606" t="s">
        <v>84</v>
      </c>
    </row>
    <row r="607" spans="1:16">
      <c r="A607" t="s">
        <v>783</v>
      </c>
      <c r="B607" t="s">
        <v>77</v>
      </c>
      <c r="C607" t="s">
        <v>427</v>
      </c>
      <c r="D607" t="s">
        <v>427</v>
      </c>
      <c r="E607" t="s">
        <v>786</v>
      </c>
      <c r="F607" t="s">
        <v>786</v>
      </c>
      <c r="G607" t="s">
        <v>787</v>
      </c>
      <c r="H607" t="s">
        <v>81</v>
      </c>
      <c r="L607">
        <v>29</v>
      </c>
      <c r="M607" t="s">
        <v>83</v>
      </c>
      <c r="O607" t="s">
        <v>83</v>
      </c>
      <c r="P607" t="s">
        <v>84</v>
      </c>
    </row>
    <row r="608" spans="1:16">
      <c r="A608" t="s">
        <v>783</v>
      </c>
      <c r="B608" t="s">
        <v>77</v>
      </c>
      <c r="C608" t="s">
        <v>437</v>
      </c>
      <c r="D608" t="s">
        <v>437</v>
      </c>
      <c r="E608" t="s">
        <v>79</v>
      </c>
      <c r="F608" t="s">
        <v>79</v>
      </c>
      <c r="G608" t="s">
        <v>80</v>
      </c>
      <c r="H608" t="s">
        <v>81</v>
      </c>
      <c r="I608" t="s">
        <v>82</v>
      </c>
      <c r="L608">
        <v>1</v>
      </c>
      <c r="M608" t="s">
        <v>83</v>
      </c>
      <c r="O608" t="s">
        <v>83</v>
      </c>
      <c r="P608" t="s">
        <v>84</v>
      </c>
    </row>
    <row r="609" spans="1:16">
      <c r="A609" t="s">
        <v>783</v>
      </c>
      <c r="B609" t="s">
        <v>77</v>
      </c>
      <c r="C609" t="s">
        <v>437</v>
      </c>
      <c r="D609" t="s">
        <v>437</v>
      </c>
      <c r="E609" t="s">
        <v>86</v>
      </c>
      <c r="F609" t="s">
        <v>86</v>
      </c>
      <c r="G609" t="s">
        <v>80</v>
      </c>
      <c r="H609" t="s">
        <v>81</v>
      </c>
      <c r="I609" t="s">
        <v>82</v>
      </c>
      <c r="L609">
        <v>2</v>
      </c>
      <c r="M609" t="s">
        <v>83</v>
      </c>
      <c r="O609" t="s">
        <v>83</v>
      </c>
      <c r="P609" t="s">
        <v>84</v>
      </c>
    </row>
    <row r="610" spans="1:16">
      <c r="A610" t="s">
        <v>783</v>
      </c>
      <c r="B610" t="s">
        <v>77</v>
      </c>
      <c r="C610" t="s">
        <v>437</v>
      </c>
      <c r="D610" t="s">
        <v>437</v>
      </c>
      <c r="E610" t="s">
        <v>87</v>
      </c>
      <c r="F610" t="s">
        <v>87</v>
      </c>
      <c r="G610" t="s">
        <v>88</v>
      </c>
      <c r="H610" t="s">
        <v>81</v>
      </c>
      <c r="J610" t="s">
        <v>83</v>
      </c>
      <c r="L610">
        <v>3</v>
      </c>
      <c r="M610" t="s">
        <v>83</v>
      </c>
      <c r="O610" t="s">
        <v>83</v>
      </c>
      <c r="P610" t="s">
        <v>84</v>
      </c>
    </row>
    <row r="611" spans="1:16">
      <c r="A611" t="s">
        <v>783</v>
      </c>
      <c r="B611" t="s">
        <v>77</v>
      </c>
      <c r="C611" t="s">
        <v>437</v>
      </c>
      <c r="D611" t="s">
        <v>437</v>
      </c>
      <c r="E611" t="s">
        <v>89</v>
      </c>
      <c r="F611" t="s">
        <v>89</v>
      </c>
      <c r="G611" t="s">
        <v>90</v>
      </c>
      <c r="H611" t="s">
        <v>81</v>
      </c>
      <c r="J611" t="s">
        <v>83</v>
      </c>
      <c r="K611" t="s">
        <v>83</v>
      </c>
      <c r="L611">
        <v>4</v>
      </c>
      <c r="M611" t="s">
        <v>83</v>
      </c>
      <c r="O611" t="s">
        <v>83</v>
      </c>
      <c r="P611" t="s">
        <v>84</v>
      </c>
    </row>
    <row r="612" spans="1:16">
      <c r="A612" t="s">
        <v>783</v>
      </c>
      <c r="B612" t="s">
        <v>77</v>
      </c>
      <c r="C612" t="s">
        <v>437</v>
      </c>
      <c r="D612" t="s">
        <v>437</v>
      </c>
      <c r="E612" t="s">
        <v>438</v>
      </c>
      <c r="F612" t="s">
        <v>438</v>
      </c>
      <c r="G612" t="s">
        <v>80</v>
      </c>
      <c r="H612" t="s">
        <v>81</v>
      </c>
      <c r="I612" t="s">
        <v>82</v>
      </c>
      <c r="L612">
        <v>5</v>
      </c>
      <c r="M612" t="s">
        <v>83</v>
      </c>
      <c r="O612" t="s">
        <v>83</v>
      </c>
      <c r="P612" t="s">
        <v>84</v>
      </c>
    </row>
    <row r="613" spans="1:16">
      <c r="A613" t="s">
        <v>783</v>
      </c>
      <c r="B613" t="s">
        <v>77</v>
      </c>
      <c r="C613" t="s">
        <v>437</v>
      </c>
      <c r="D613" t="s">
        <v>437</v>
      </c>
      <c r="E613" t="s">
        <v>439</v>
      </c>
      <c r="F613" t="s">
        <v>439</v>
      </c>
      <c r="G613" t="s">
        <v>90</v>
      </c>
      <c r="H613" t="s">
        <v>81</v>
      </c>
      <c r="L613">
        <v>6</v>
      </c>
      <c r="M613" t="s">
        <v>83</v>
      </c>
      <c r="O613" t="s">
        <v>83</v>
      </c>
      <c r="P613" t="s">
        <v>84</v>
      </c>
    </row>
    <row r="614" spans="1:16">
      <c r="A614" t="s">
        <v>783</v>
      </c>
      <c r="B614" t="s">
        <v>77</v>
      </c>
      <c r="C614" t="s">
        <v>437</v>
      </c>
      <c r="D614" t="s">
        <v>437</v>
      </c>
      <c r="E614" t="s">
        <v>91</v>
      </c>
      <c r="F614" t="s">
        <v>91</v>
      </c>
      <c r="G614" t="s">
        <v>92</v>
      </c>
      <c r="H614" t="s">
        <v>81</v>
      </c>
      <c r="J614" t="s">
        <v>83</v>
      </c>
      <c r="L614">
        <v>7</v>
      </c>
      <c r="M614" t="s">
        <v>83</v>
      </c>
      <c r="O614" t="s">
        <v>83</v>
      </c>
      <c r="P614" t="s">
        <v>84</v>
      </c>
    </row>
    <row r="615" spans="1:16">
      <c r="A615" t="s">
        <v>783</v>
      </c>
      <c r="B615" t="s">
        <v>77</v>
      </c>
      <c r="C615" t="s">
        <v>437</v>
      </c>
      <c r="D615" t="s">
        <v>437</v>
      </c>
      <c r="E615" t="s">
        <v>440</v>
      </c>
      <c r="F615" t="s">
        <v>440</v>
      </c>
      <c r="G615" t="s">
        <v>94</v>
      </c>
      <c r="H615" t="s">
        <v>81</v>
      </c>
      <c r="L615">
        <v>8</v>
      </c>
      <c r="M615" t="s">
        <v>83</v>
      </c>
      <c r="O615" t="s">
        <v>83</v>
      </c>
      <c r="P615" t="s">
        <v>84</v>
      </c>
    </row>
    <row r="616" spans="1:16">
      <c r="A616" t="s">
        <v>783</v>
      </c>
      <c r="B616" t="s">
        <v>77</v>
      </c>
      <c r="C616" t="s">
        <v>437</v>
      </c>
      <c r="D616" t="s">
        <v>437</v>
      </c>
      <c r="E616" t="s">
        <v>441</v>
      </c>
      <c r="F616" t="s">
        <v>441</v>
      </c>
      <c r="G616" t="s">
        <v>88</v>
      </c>
      <c r="H616" t="s">
        <v>81</v>
      </c>
      <c r="L616">
        <v>9</v>
      </c>
      <c r="M616" t="s">
        <v>83</v>
      </c>
      <c r="O616" t="s">
        <v>83</v>
      </c>
      <c r="P616" t="s">
        <v>84</v>
      </c>
    </row>
    <row r="617" spans="1:16">
      <c r="A617" t="s">
        <v>783</v>
      </c>
      <c r="B617" t="s">
        <v>77</v>
      </c>
      <c r="C617" t="s">
        <v>437</v>
      </c>
      <c r="D617" t="s">
        <v>437</v>
      </c>
      <c r="E617" t="s">
        <v>442</v>
      </c>
      <c r="F617" t="s">
        <v>442</v>
      </c>
      <c r="G617" t="s">
        <v>94</v>
      </c>
      <c r="H617" t="s">
        <v>81</v>
      </c>
      <c r="L617">
        <v>10</v>
      </c>
      <c r="M617" t="s">
        <v>83</v>
      </c>
      <c r="O617" t="s">
        <v>83</v>
      </c>
      <c r="P617" t="s">
        <v>84</v>
      </c>
    </row>
    <row r="618" spans="1:16">
      <c r="A618" t="s">
        <v>783</v>
      </c>
      <c r="B618" t="s">
        <v>77</v>
      </c>
      <c r="C618" t="s">
        <v>437</v>
      </c>
      <c r="D618" t="s">
        <v>437</v>
      </c>
      <c r="E618" t="s">
        <v>443</v>
      </c>
      <c r="F618" t="s">
        <v>443</v>
      </c>
      <c r="G618" t="s">
        <v>98</v>
      </c>
      <c r="H618" t="s">
        <v>81</v>
      </c>
      <c r="L618">
        <v>11</v>
      </c>
      <c r="M618" t="s">
        <v>83</v>
      </c>
      <c r="O618" t="s">
        <v>83</v>
      </c>
      <c r="P618" t="s">
        <v>84</v>
      </c>
    </row>
    <row r="619" spans="1:16">
      <c r="A619" t="s">
        <v>783</v>
      </c>
      <c r="B619" t="s">
        <v>77</v>
      </c>
      <c r="C619" t="s">
        <v>437</v>
      </c>
      <c r="D619" t="s">
        <v>437</v>
      </c>
      <c r="E619" t="s">
        <v>444</v>
      </c>
      <c r="F619" t="s">
        <v>444</v>
      </c>
      <c r="G619" t="s">
        <v>98</v>
      </c>
      <c r="H619" t="s">
        <v>81</v>
      </c>
      <c r="L619">
        <v>12</v>
      </c>
      <c r="M619" t="s">
        <v>83</v>
      </c>
      <c r="O619" t="s">
        <v>83</v>
      </c>
      <c r="P619" t="s">
        <v>84</v>
      </c>
    </row>
    <row r="620" spans="1:16">
      <c r="A620" t="s">
        <v>783</v>
      </c>
      <c r="B620" t="s">
        <v>77</v>
      </c>
      <c r="C620" t="s">
        <v>437</v>
      </c>
      <c r="D620" t="s">
        <v>437</v>
      </c>
      <c r="E620" t="s">
        <v>445</v>
      </c>
      <c r="F620" t="s">
        <v>445</v>
      </c>
      <c r="G620" t="s">
        <v>98</v>
      </c>
      <c r="H620" t="s">
        <v>81</v>
      </c>
      <c r="L620">
        <v>13</v>
      </c>
      <c r="M620" t="s">
        <v>83</v>
      </c>
      <c r="O620" t="s">
        <v>83</v>
      </c>
      <c r="P620" t="s">
        <v>84</v>
      </c>
    </row>
    <row r="621" spans="1:16">
      <c r="A621" t="s">
        <v>783</v>
      </c>
      <c r="B621" t="s">
        <v>77</v>
      </c>
      <c r="C621" t="s">
        <v>437</v>
      </c>
      <c r="D621" t="s">
        <v>437</v>
      </c>
      <c r="E621" t="s">
        <v>117</v>
      </c>
      <c r="F621" t="s">
        <v>117</v>
      </c>
      <c r="G621" t="s">
        <v>90</v>
      </c>
      <c r="H621" t="s">
        <v>81</v>
      </c>
      <c r="L621">
        <v>14</v>
      </c>
      <c r="M621" t="s">
        <v>83</v>
      </c>
      <c r="O621" t="s">
        <v>83</v>
      </c>
      <c r="P621" t="s">
        <v>84</v>
      </c>
    </row>
    <row r="622" spans="1:16">
      <c r="A622" t="s">
        <v>783</v>
      </c>
      <c r="B622" t="s">
        <v>77</v>
      </c>
      <c r="C622" t="s">
        <v>437</v>
      </c>
      <c r="D622" t="s">
        <v>437</v>
      </c>
      <c r="E622" t="s">
        <v>328</v>
      </c>
      <c r="F622" t="s">
        <v>328</v>
      </c>
      <c r="G622" t="s">
        <v>90</v>
      </c>
      <c r="H622" t="s">
        <v>81</v>
      </c>
      <c r="L622">
        <v>15</v>
      </c>
      <c r="M622" t="s">
        <v>83</v>
      </c>
      <c r="O622" t="s">
        <v>83</v>
      </c>
      <c r="P622" t="s">
        <v>84</v>
      </c>
    </row>
    <row r="623" spans="1:16">
      <c r="A623" t="s">
        <v>783</v>
      </c>
      <c r="B623" t="s">
        <v>77</v>
      </c>
      <c r="C623" t="s">
        <v>437</v>
      </c>
      <c r="D623" t="s">
        <v>437</v>
      </c>
      <c r="E623" t="s">
        <v>112</v>
      </c>
      <c r="F623" t="s">
        <v>112</v>
      </c>
      <c r="G623" t="s">
        <v>113</v>
      </c>
      <c r="H623" t="s">
        <v>81</v>
      </c>
      <c r="I623" t="s">
        <v>114</v>
      </c>
      <c r="L623">
        <v>16</v>
      </c>
      <c r="M623" t="s">
        <v>83</v>
      </c>
      <c r="O623" t="s">
        <v>83</v>
      </c>
      <c r="P623" t="s">
        <v>84</v>
      </c>
    </row>
    <row r="624" spans="1:16">
      <c r="A624" t="s">
        <v>783</v>
      </c>
      <c r="B624" t="s">
        <v>77</v>
      </c>
      <c r="C624" t="s">
        <v>437</v>
      </c>
      <c r="D624" t="s">
        <v>437</v>
      </c>
      <c r="E624" t="s">
        <v>115</v>
      </c>
      <c r="F624" t="s">
        <v>115</v>
      </c>
      <c r="G624" t="s">
        <v>113</v>
      </c>
      <c r="H624" t="s">
        <v>81</v>
      </c>
      <c r="I624" t="s">
        <v>114</v>
      </c>
      <c r="L624">
        <v>17</v>
      </c>
      <c r="M624" t="s">
        <v>83</v>
      </c>
      <c r="O624" t="s">
        <v>83</v>
      </c>
      <c r="P624" t="s">
        <v>84</v>
      </c>
    </row>
    <row r="625" spans="1:16">
      <c r="A625" t="s">
        <v>783</v>
      </c>
      <c r="B625" t="s">
        <v>77</v>
      </c>
      <c r="C625" t="s">
        <v>437</v>
      </c>
      <c r="D625" t="s">
        <v>437</v>
      </c>
      <c r="E625" t="s">
        <v>118</v>
      </c>
      <c r="F625" t="s">
        <v>118</v>
      </c>
      <c r="G625" t="s">
        <v>92</v>
      </c>
      <c r="H625" t="s">
        <v>81</v>
      </c>
      <c r="L625">
        <v>24</v>
      </c>
      <c r="M625" t="s">
        <v>83</v>
      </c>
      <c r="O625" t="s">
        <v>83</v>
      </c>
      <c r="P625" t="s">
        <v>84</v>
      </c>
    </row>
    <row r="626" spans="1:16">
      <c r="A626" t="s">
        <v>783</v>
      </c>
      <c r="B626" t="s">
        <v>77</v>
      </c>
      <c r="C626" t="s">
        <v>437</v>
      </c>
      <c r="D626" t="s">
        <v>437</v>
      </c>
      <c r="E626" t="s">
        <v>784</v>
      </c>
      <c r="F626" t="s">
        <v>784</v>
      </c>
      <c r="G626" t="s">
        <v>80</v>
      </c>
      <c r="H626" t="s">
        <v>81</v>
      </c>
      <c r="I626" t="s">
        <v>82</v>
      </c>
      <c r="L626">
        <v>25</v>
      </c>
      <c r="M626" t="s">
        <v>83</v>
      </c>
      <c r="O626" t="s">
        <v>83</v>
      </c>
      <c r="P626" t="s">
        <v>84</v>
      </c>
    </row>
    <row r="627" spans="1:16">
      <c r="A627" t="s">
        <v>783</v>
      </c>
      <c r="B627" t="s">
        <v>77</v>
      </c>
      <c r="C627" t="s">
        <v>437</v>
      </c>
      <c r="D627" t="s">
        <v>437</v>
      </c>
      <c r="E627" t="s">
        <v>785</v>
      </c>
      <c r="F627" t="s">
        <v>785</v>
      </c>
      <c r="G627" t="s">
        <v>80</v>
      </c>
      <c r="H627" t="s">
        <v>81</v>
      </c>
      <c r="I627" t="s">
        <v>82</v>
      </c>
      <c r="L627">
        <v>26</v>
      </c>
      <c r="M627" t="s">
        <v>83</v>
      </c>
      <c r="O627" t="s">
        <v>83</v>
      </c>
      <c r="P627" t="s">
        <v>84</v>
      </c>
    </row>
    <row r="628" spans="1:16">
      <c r="A628" t="s">
        <v>783</v>
      </c>
      <c r="B628" t="s">
        <v>77</v>
      </c>
      <c r="C628" t="s">
        <v>437</v>
      </c>
      <c r="D628" t="s">
        <v>437</v>
      </c>
      <c r="E628" t="s">
        <v>786</v>
      </c>
      <c r="F628" t="s">
        <v>786</v>
      </c>
      <c r="G628" t="s">
        <v>787</v>
      </c>
      <c r="H628" t="s">
        <v>81</v>
      </c>
      <c r="L628">
        <v>27</v>
      </c>
      <c r="M628" t="s">
        <v>83</v>
      </c>
      <c r="O628" t="s">
        <v>83</v>
      </c>
      <c r="P628" t="s">
        <v>84</v>
      </c>
    </row>
    <row r="629" spans="1:16">
      <c r="A629" t="s">
        <v>783</v>
      </c>
      <c r="B629" t="s">
        <v>77</v>
      </c>
      <c r="C629" t="s">
        <v>446</v>
      </c>
      <c r="D629" t="s">
        <v>446</v>
      </c>
      <c r="E629" t="s">
        <v>79</v>
      </c>
      <c r="F629" t="s">
        <v>79</v>
      </c>
      <c r="G629" t="s">
        <v>80</v>
      </c>
      <c r="H629" t="s">
        <v>81</v>
      </c>
      <c r="I629" t="s">
        <v>82</v>
      </c>
      <c r="L629">
        <v>1</v>
      </c>
      <c r="M629" t="s">
        <v>83</v>
      </c>
      <c r="O629" t="s">
        <v>83</v>
      </c>
      <c r="P629" t="s">
        <v>84</v>
      </c>
    </row>
    <row r="630" spans="1:16">
      <c r="A630" t="s">
        <v>783</v>
      </c>
      <c r="B630" t="s">
        <v>77</v>
      </c>
      <c r="C630" t="s">
        <v>446</v>
      </c>
      <c r="D630" t="s">
        <v>446</v>
      </c>
      <c r="E630" t="s">
        <v>86</v>
      </c>
      <c r="F630" t="s">
        <v>86</v>
      </c>
      <c r="G630" t="s">
        <v>80</v>
      </c>
      <c r="H630" t="s">
        <v>81</v>
      </c>
      <c r="I630" t="s">
        <v>82</v>
      </c>
      <c r="L630">
        <v>2</v>
      </c>
      <c r="M630" t="s">
        <v>83</v>
      </c>
      <c r="O630" t="s">
        <v>83</v>
      </c>
      <c r="P630" t="s">
        <v>84</v>
      </c>
    </row>
    <row r="631" spans="1:16">
      <c r="A631" t="s">
        <v>783</v>
      </c>
      <c r="B631" t="s">
        <v>77</v>
      </c>
      <c r="C631" t="s">
        <v>446</v>
      </c>
      <c r="D631" t="s">
        <v>446</v>
      </c>
      <c r="E631" t="s">
        <v>87</v>
      </c>
      <c r="F631" t="s">
        <v>87</v>
      </c>
      <c r="G631" t="s">
        <v>88</v>
      </c>
      <c r="H631" t="s">
        <v>81</v>
      </c>
      <c r="J631" t="s">
        <v>83</v>
      </c>
      <c r="L631">
        <v>3</v>
      </c>
      <c r="M631" t="s">
        <v>83</v>
      </c>
      <c r="O631" t="s">
        <v>83</v>
      </c>
      <c r="P631" t="s">
        <v>84</v>
      </c>
    </row>
    <row r="632" spans="1:16">
      <c r="A632" t="s">
        <v>783</v>
      </c>
      <c r="B632" t="s">
        <v>77</v>
      </c>
      <c r="C632" t="s">
        <v>446</v>
      </c>
      <c r="D632" t="s">
        <v>446</v>
      </c>
      <c r="E632" t="s">
        <v>89</v>
      </c>
      <c r="F632" t="s">
        <v>89</v>
      </c>
      <c r="G632" t="s">
        <v>90</v>
      </c>
      <c r="H632" t="s">
        <v>81</v>
      </c>
      <c r="J632" t="s">
        <v>83</v>
      </c>
      <c r="K632" t="s">
        <v>83</v>
      </c>
      <c r="L632">
        <v>4</v>
      </c>
      <c r="M632" t="s">
        <v>83</v>
      </c>
      <c r="O632" t="s">
        <v>83</v>
      </c>
      <c r="P632" t="s">
        <v>84</v>
      </c>
    </row>
    <row r="633" spans="1:16">
      <c r="A633" t="s">
        <v>783</v>
      </c>
      <c r="B633" t="s">
        <v>77</v>
      </c>
      <c r="C633" t="s">
        <v>446</v>
      </c>
      <c r="D633" t="s">
        <v>446</v>
      </c>
      <c r="E633" t="s">
        <v>447</v>
      </c>
      <c r="F633" t="s">
        <v>447</v>
      </c>
      <c r="G633" t="s">
        <v>80</v>
      </c>
      <c r="H633" t="s">
        <v>81</v>
      </c>
      <c r="I633" t="s">
        <v>82</v>
      </c>
      <c r="L633">
        <v>5</v>
      </c>
      <c r="M633" t="s">
        <v>83</v>
      </c>
      <c r="O633" t="s">
        <v>83</v>
      </c>
      <c r="P633" t="s">
        <v>84</v>
      </c>
    </row>
    <row r="634" spans="1:16">
      <c r="A634" t="s">
        <v>783</v>
      </c>
      <c r="B634" t="s">
        <v>77</v>
      </c>
      <c r="C634" t="s">
        <v>446</v>
      </c>
      <c r="D634" t="s">
        <v>446</v>
      </c>
      <c r="E634" t="s">
        <v>448</v>
      </c>
      <c r="F634" t="s">
        <v>448</v>
      </c>
      <c r="G634" t="s">
        <v>90</v>
      </c>
      <c r="H634" t="s">
        <v>81</v>
      </c>
      <c r="L634">
        <v>6</v>
      </c>
      <c r="M634" t="s">
        <v>83</v>
      </c>
      <c r="O634" t="s">
        <v>83</v>
      </c>
      <c r="P634" t="s">
        <v>84</v>
      </c>
    </row>
    <row r="635" spans="1:16">
      <c r="A635" t="s">
        <v>783</v>
      </c>
      <c r="B635" t="s">
        <v>77</v>
      </c>
      <c r="C635" t="s">
        <v>446</v>
      </c>
      <c r="D635" t="s">
        <v>446</v>
      </c>
      <c r="E635" t="s">
        <v>91</v>
      </c>
      <c r="F635" t="s">
        <v>91</v>
      </c>
      <c r="G635" t="s">
        <v>92</v>
      </c>
      <c r="H635" t="s">
        <v>81</v>
      </c>
      <c r="J635" t="s">
        <v>83</v>
      </c>
      <c r="L635">
        <v>7</v>
      </c>
      <c r="M635" t="s">
        <v>83</v>
      </c>
      <c r="O635" t="s">
        <v>83</v>
      </c>
      <c r="P635" t="s">
        <v>84</v>
      </c>
    </row>
    <row r="636" spans="1:16">
      <c r="A636" t="s">
        <v>783</v>
      </c>
      <c r="B636" t="s">
        <v>77</v>
      </c>
      <c r="C636" t="s">
        <v>446</v>
      </c>
      <c r="D636" t="s">
        <v>446</v>
      </c>
      <c r="E636" t="s">
        <v>449</v>
      </c>
      <c r="F636" t="s">
        <v>449</v>
      </c>
      <c r="G636" t="s">
        <v>94</v>
      </c>
      <c r="H636" t="s">
        <v>81</v>
      </c>
      <c r="L636">
        <v>8</v>
      </c>
      <c r="M636" t="s">
        <v>83</v>
      </c>
      <c r="O636" t="s">
        <v>83</v>
      </c>
      <c r="P636" t="s">
        <v>84</v>
      </c>
    </row>
    <row r="637" spans="1:16">
      <c r="A637" t="s">
        <v>783</v>
      </c>
      <c r="B637" t="s">
        <v>77</v>
      </c>
      <c r="C637" t="s">
        <v>446</v>
      </c>
      <c r="D637" t="s">
        <v>446</v>
      </c>
      <c r="E637" t="s">
        <v>450</v>
      </c>
      <c r="F637" t="s">
        <v>450</v>
      </c>
      <c r="G637" t="s">
        <v>88</v>
      </c>
      <c r="H637" t="s">
        <v>81</v>
      </c>
      <c r="L637">
        <v>9</v>
      </c>
      <c r="M637" t="s">
        <v>83</v>
      </c>
      <c r="O637" t="s">
        <v>83</v>
      </c>
      <c r="P637" t="s">
        <v>84</v>
      </c>
    </row>
    <row r="638" spans="1:16">
      <c r="A638" t="s">
        <v>783</v>
      </c>
      <c r="B638" t="s">
        <v>77</v>
      </c>
      <c r="C638" t="s">
        <v>446</v>
      </c>
      <c r="D638" t="s">
        <v>446</v>
      </c>
      <c r="E638" t="s">
        <v>451</v>
      </c>
      <c r="F638" t="s">
        <v>451</v>
      </c>
      <c r="G638" t="s">
        <v>94</v>
      </c>
      <c r="H638" t="s">
        <v>81</v>
      </c>
      <c r="L638">
        <v>10</v>
      </c>
      <c r="M638" t="s">
        <v>83</v>
      </c>
      <c r="O638" t="s">
        <v>83</v>
      </c>
      <c r="P638" t="s">
        <v>84</v>
      </c>
    </row>
    <row r="639" spans="1:16">
      <c r="A639" t="s">
        <v>783</v>
      </c>
      <c r="B639" t="s">
        <v>77</v>
      </c>
      <c r="C639" t="s">
        <v>446</v>
      </c>
      <c r="D639" t="s">
        <v>446</v>
      </c>
      <c r="E639" t="s">
        <v>452</v>
      </c>
      <c r="F639" t="s">
        <v>452</v>
      </c>
      <c r="G639" t="s">
        <v>98</v>
      </c>
      <c r="H639" t="s">
        <v>81</v>
      </c>
      <c r="L639">
        <v>11</v>
      </c>
      <c r="M639" t="s">
        <v>83</v>
      </c>
      <c r="O639" t="s">
        <v>83</v>
      </c>
      <c r="P639" t="s">
        <v>84</v>
      </c>
    </row>
    <row r="640" spans="1:16">
      <c r="A640" t="s">
        <v>783</v>
      </c>
      <c r="B640" t="s">
        <v>77</v>
      </c>
      <c r="C640" t="s">
        <v>446</v>
      </c>
      <c r="D640" t="s">
        <v>446</v>
      </c>
      <c r="E640" t="s">
        <v>453</v>
      </c>
      <c r="F640" t="s">
        <v>453</v>
      </c>
      <c r="G640" t="s">
        <v>98</v>
      </c>
      <c r="H640" t="s">
        <v>81</v>
      </c>
      <c r="L640">
        <v>12</v>
      </c>
      <c r="M640" t="s">
        <v>83</v>
      </c>
      <c r="O640" t="s">
        <v>83</v>
      </c>
      <c r="P640" t="s">
        <v>84</v>
      </c>
    </row>
    <row r="641" spans="1:16">
      <c r="A641" t="s">
        <v>783</v>
      </c>
      <c r="B641" t="s">
        <v>77</v>
      </c>
      <c r="C641" t="s">
        <v>446</v>
      </c>
      <c r="D641" t="s">
        <v>446</v>
      </c>
      <c r="E641" t="s">
        <v>454</v>
      </c>
      <c r="F641" t="s">
        <v>454</v>
      </c>
      <c r="G641" t="s">
        <v>98</v>
      </c>
      <c r="H641" t="s">
        <v>81</v>
      </c>
      <c r="L641">
        <v>13</v>
      </c>
      <c r="M641" t="s">
        <v>83</v>
      </c>
      <c r="O641" t="s">
        <v>83</v>
      </c>
      <c r="P641" t="s">
        <v>84</v>
      </c>
    </row>
    <row r="642" spans="1:16">
      <c r="A642" t="s">
        <v>783</v>
      </c>
      <c r="B642" t="s">
        <v>77</v>
      </c>
      <c r="C642" t="s">
        <v>446</v>
      </c>
      <c r="D642" t="s">
        <v>446</v>
      </c>
      <c r="E642" t="s">
        <v>455</v>
      </c>
      <c r="F642" t="s">
        <v>455</v>
      </c>
      <c r="G642" t="s">
        <v>188</v>
      </c>
      <c r="H642" t="s">
        <v>81</v>
      </c>
      <c r="L642">
        <v>14</v>
      </c>
      <c r="M642" t="s">
        <v>83</v>
      </c>
      <c r="O642" t="s">
        <v>83</v>
      </c>
      <c r="P642" t="s">
        <v>84</v>
      </c>
    </row>
    <row r="643" spans="1:16">
      <c r="A643" t="s">
        <v>783</v>
      </c>
      <c r="B643" t="s">
        <v>77</v>
      </c>
      <c r="C643" t="s">
        <v>446</v>
      </c>
      <c r="D643" t="s">
        <v>446</v>
      </c>
      <c r="E643" t="s">
        <v>112</v>
      </c>
      <c r="F643" t="s">
        <v>112</v>
      </c>
      <c r="G643" t="s">
        <v>113</v>
      </c>
      <c r="H643" t="s">
        <v>81</v>
      </c>
      <c r="I643" t="s">
        <v>114</v>
      </c>
      <c r="L643">
        <v>15</v>
      </c>
      <c r="M643" t="s">
        <v>83</v>
      </c>
      <c r="O643" t="s">
        <v>83</v>
      </c>
      <c r="P643" t="s">
        <v>84</v>
      </c>
    </row>
    <row r="644" spans="1:16">
      <c r="A644" t="s">
        <v>783</v>
      </c>
      <c r="B644" t="s">
        <v>77</v>
      </c>
      <c r="C644" t="s">
        <v>446</v>
      </c>
      <c r="D644" t="s">
        <v>446</v>
      </c>
      <c r="E644" t="s">
        <v>115</v>
      </c>
      <c r="F644" t="s">
        <v>115</v>
      </c>
      <c r="G644" t="s">
        <v>113</v>
      </c>
      <c r="H644" t="s">
        <v>81</v>
      </c>
      <c r="I644" t="s">
        <v>114</v>
      </c>
      <c r="L644">
        <v>16</v>
      </c>
      <c r="M644" t="s">
        <v>83</v>
      </c>
      <c r="O644" t="s">
        <v>83</v>
      </c>
      <c r="P644" t="s">
        <v>84</v>
      </c>
    </row>
    <row r="645" spans="1:16">
      <c r="A645" t="s">
        <v>783</v>
      </c>
      <c r="B645" t="s">
        <v>77</v>
      </c>
      <c r="C645" t="s">
        <v>446</v>
      </c>
      <c r="D645" t="s">
        <v>446</v>
      </c>
      <c r="E645" t="s">
        <v>117</v>
      </c>
      <c r="F645" t="s">
        <v>117</v>
      </c>
      <c r="G645" t="s">
        <v>90</v>
      </c>
      <c r="H645" t="s">
        <v>81</v>
      </c>
      <c r="L645">
        <v>23</v>
      </c>
      <c r="M645" t="s">
        <v>83</v>
      </c>
      <c r="O645" t="s">
        <v>83</v>
      </c>
      <c r="P645" t="s">
        <v>84</v>
      </c>
    </row>
    <row r="646" spans="1:16">
      <c r="A646" t="s">
        <v>783</v>
      </c>
      <c r="B646" t="s">
        <v>77</v>
      </c>
      <c r="C646" t="s">
        <v>446</v>
      </c>
      <c r="D646" t="s">
        <v>446</v>
      </c>
      <c r="E646" t="s">
        <v>328</v>
      </c>
      <c r="F646" t="s">
        <v>328</v>
      </c>
      <c r="G646" t="s">
        <v>90</v>
      </c>
      <c r="H646" t="s">
        <v>81</v>
      </c>
      <c r="L646">
        <v>24</v>
      </c>
      <c r="M646" t="s">
        <v>83</v>
      </c>
      <c r="O646" t="s">
        <v>83</v>
      </c>
      <c r="P646" t="s">
        <v>84</v>
      </c>
    </row>
    <row r="647" spans="1:16">
      <c r="A647" t="s">
        <v>783</v>
      </c>
      <c r="B647" t="s">
        <v>77</v>
      </c>
      <c r="C647" t="s">
        <v>446</v>
      </c>
      <c r="D647" t="s">
        <v>446</v>
      </c>
      <c r="E647" t="s">
        <v>118</v>
      </c>
      <c r="F647" t="s">
        <v>118</v>
      </c>
      <c r="G647" t="s">
        <v>92</v>
      </c>
      <c r="H647" t="s">
        <v>81</v>
      </c>
      <c r="L647">
        <v>25</v>
      </c>
      <c r="M647" t="s">
        <v>83</v>
      </c>
      <c r="O647" t="s">
        <v>83</v>
      </c>
      <c r="P647" t="s">
        <v>84</v>
      </c>
    </row>
    <row r="648" spans="1:16">
      <c r="A648" t="s">
        <v>783</v>
      </c>
      <c r="B648" t="s">
        <v>77</v>
      </c>
      <c r="C648" t="s">
        <v>446</v>
      </c>
      <c r="D648" t="s">
        <v>446</v>
      </c>
      <c r="E648" t="s">
        <v>784</v>
      </c>
      <c r="F648" t="s">
        <v>784</v>
      </c>
      <c r="G648" t="s">
        <v>80</v>
      </c>
      <c r="H648" t="s">
        <v>81</v>
      </c>
      <c r="I648" t="s">
        <v>82</v>
      </c>
      <c r="L648">
        <v>26</v>
      </c>
      <c r="M648" t="s">
        <v>83</v>
      </c>
      <c r="O648" t="s">
        <v>83</v>
      </c>
      <c r="P648" t="s">
        <v>84</v>
      </c>
    </row>
    <row r="649" spans="1:16">
      <c r="A649" t="s">
        <v>783</v>
      </c>
      <c r="B649" t="s">
        <v>77</v>
      </c>
      <c r="C649" t="s">
        <v>446</v>
      </c>
      <c r="D649" t="s">
        <v>446</v>
      </c>
      <c r="E649" t="s">
        <v>785</v>
      </c>
      <c r="F649" t="s">
        <v>785</v>
      </c>
      <c r="G649" t="s">
        <v>80</v>
      </c>
      <c r="H649" t="s">
        <v>81</v>
      </c>
      <c r="I649" t="s">
        <v>82</v>
      </c>
      <c r="L649">
        <v>27</v>
      </c>
      <c r="M649" t="s">
        <v>83</v>
      </c>
      <c r="O649" t="s">
        <v>83</v>
      </c>
      <c r="P649" t="s">
        <v>84</v>
      </c>
    </row>
    <row r="650" spans="1:16">
      <c r="A650" t="s">
        <v>783</v>
      </c>
      <c r="B650" t="s">
        <v>77</v>
      </c>
      <c r="C650" t="s">
        <v>446</v>
      </c>
      <c r="D650" t="s">
        <v>446</v>
      </c>
      <c r="E650" t="s">
        <v>786</v>
      </c>
      <c r="F650" t="s">
        <v>786</v>
      </c>
      <c r="G650" t="s">
        <v>787</v>
      </c>
      <c r="H650" t="s">
        <v>81</v>
      </c>
      <c r="L650">
        <v>28</v>
      </c>
      <c r="M650" t="s">
        <v>83</v>
      </c>
      <c r="O650" t="s">
        <v>83</v>
      </c>
      <c r="P650" t="s">
        <v>84</v>
      </c>
    </row>
    <row r="651" spans="1:16">
      <c r="A651" t="s">
        <v>783</v>
      </c>
      <c r="B651" t="s">
        <v>77</v>
      </c>
      <c r="C651" t="s">
        <v>456</v>
      </c>
      <c r="D651" t="s">
        <v>456</v>
      </c>
      <c r="E651" t="s">
        <v>79</v>
      </c>
      <c r="F651" t="s">
        <v>79</v>
      </c>
      <c r="G651" t="s">
        <v>80</v>
      </c>
      <c r="H651" t="s">
        <v>81</v>
      </c>
      <c r="I651" t="s">
        <v>82</v>
      </c>
      <c r="L651">
        <v>1</v>
      </c>
      <c r="M651" t="s">
        <v>83</v>
      </c>
      <c r="O651" t="s">
        <v>83</v>
      </c>
      <c r="P651" t="s">
        <v>84</v>
      </c>
    </row>
    <row r="652" spans="1:16">
      <c r="A652" t="s">
        <v>783</v>
      </c>
      <c r="B652" t="s">
        <v>77</v>
      </c>
      <c r="C652" t="s">
        <v>456</v>
      </c>
      <c r="D652" t="s">
        <v>456</v>
      </c>
      <c r="E652" t="s">
        <v>86</v>
      </c>
      <c r="F652" t="s">
        <v>86</v>
      </c>
      <c r="G652" t="s">
        <v>80</v>
      </c>
      <c r="H652" t="s">
        <v>81</v>
      </c>
      <c r="I652" t="s">
        <v>82</v>
      </c>
      <c r="L652">
        <v>2</v>
      </c>
      <c r="M652" t="s">
        <v>83</v>
      </c>
      <c r="O652" t="s">
        <v>83</v>
      </c>
      <c r="P652" t="s">
        <v>84</v>
      </c>
    </row>
    <row r="653" spans="1:16">
      <c r="A653" t="s">
        <v>783</v>
      </c>
      <c r="B653" t="s">
        <v>77</v>
      </c>
      <c r="C653" t="s">
        <v>456</v>
      </c>
      <c r="D653" t="s">
        <v>456</v>
      </c>
      <c r="E653" t="s">
        <v>87</v>
      </c>
      <c r="F653" t="s">
        <v>87</v>
      </c>
      <c r="G653" t="s">
        <v>88</v>
      </c>
      <c r="H653" t="s">
        <v>81</v>
      </c>
      <c r="J653" t="s">
        <v>83</v>
      </c>
      <c r="L653">
        <v>3</v>
      </c>
      <c r="M653" t="s">
        <v>83</v>
      </c>
      <c r="O653" t="s">
        <v>83</v>
      </c>
      <c r="P653" t="s">
        <v>84</v>
      </c>
    </row>
    <row r="654" spans="1:16">
      <c r="A654" t="s">
        <v>783</v>
      </c>
      <c r="B654" t="s">
        <v>77</v>
      </c>
      <c r="C654" t="s">
        <v>456</v>
      </c>
      <c r="D654" t="s">
        <v>456</v>
      </c>
      <c r="E654" t="s">
        <v>89</v>
      </c>
      <c r="F654" t="s">
        <v>89</v>
      </c>
      <c r="G654" t="s">
        <v>90</v>
      </c>
      <c r="H654" t="s">
        <v>81</v>
      </c>
      <c r="J654" t="s">
        <v>83</v>
      </c>
      <c r="K654" t="s">
        <v>83</v>
      </c>
      <c r="L654">
        <v>4</v>
      </c>
      <c r="M654" t="s">
        <v>83</v>
      </c>
      <c r="O654" t="s">
        <v>83</v>
      </c>
      <c r="P654" t="s">
        <v>84</v>
      </c>
    </row>
    <row r="655" spans="1:16">
      <c r="A655" t="s">
        <v>783</v>
      </c>
      <c r="B655" t="s">
        <v>77</v>
      </c>
      <c r="C655" t="s">
        <v>456</v>
      </c>
      <c r="D655" t="s">
        <v>456</v>
      </c>
      <c r="E655" t="s">
        <v>457</v>
      </c>
      <c r="F655" t="s">
        <v>457</v>
      </c>
      <c r="G655" t="s">
        <v>80</v>
      </c>
      <c r="H655" t="s">
        <v>81</v>
      </c>
      <c r="I655" t="s">
        <v>82</v>
      </c>
      <c r="L655">
        <v>5</v>
      </c>
      <c r="M655" t="s">
        <v>83</v>
      </c>
      <c r="O655" t="s">
        <v>83</v>
      </c>
      <c r="P655" t="s">
        <v>84</v>
      </c>
    </row>
    <row r="656" spans="1:16">
      <c r="A656" t="s">
        <v>783</v>
      </c>
      <c r="B656" t="s">
        <v>77</v>
      </c>
      <c r="C656" t="s">
        <v>456</v>
      </c>
      <c r="D656" t="s">
        <v>456</v>
      </c>
      <c r="E656" t="s">
        <v>458</v>
      </c>
      <c r="F656" t="s">
        <v>458</v>
      </c>
      <c r="G656" t="s">
        <v>90</v>
      </c>
      <c r="H656" t="s">
        <v>81</v>
      </c>
      <c r="L656">
        <v>6</v>
      </c>
      <c r="M656" t="s">
        <v>83</v>
      </c>
      <c r="O656" t="s">
        <v>83</v>
      </c>
      <c r="P656" t="s">
        <v>84</v>
      </c>
    </row>
    <row r="657" spans="1:16">
      <c r="A657" t="s">
        <v>783</v>
      </c>
      <c r="B657" t="s">
        <v>77</v>
      </c>
      <c r="C657" t="s">
        <v>456</v>
      </c>
      <c r="D657" t="s">
        <v>456</v>
      </c>
      <c r="E657" t="s">
        <v>91</v>
      </c>
      <c r="F657" t="s">
        <v>91</v>
      </c>
      <c r="G657" t="s">
        <v>92</v>
      </c>
      <c r="H657" t="s">
        <v>81</v>
      </c>
      <c r="J657" t="s">
        <v>83</v>
      </c>
      <c r="L657">
        <v>7</v>
      </c>
      <c r="M657" t="s">
        <v>83</v>
      </c>
      <c r="O657" t="s">
        <v>83</v>
      </c>
      <c r="P657" t="s">
        <v>84</v>
      </c>
    </row>
    <row r="658" spans="1:16">
      <c r="A658" t="s">
        <v>783</v>
      </c>
      <c r="B658" t="s">
        <v>77</v>
      </c>
      <c r="C658" t="s">
        <v>456</v>
      </c>
      <c r="D658" t="s">
        <v>456</v>
      </c>
      <c r="E658" t="s">
        <v>459</v>
      </c>
      <c r="F658" t="s">
        <v>459</v>
      </c>
      <c r="G658" t="s">
        <v>94</v>
      </c>
      <c r="H658" t="s">
        <v>81</v>
      </c>
      <c r="L658">
        <v>8</v>
      </c>
      <c r="M658" t="s">
        <v>83</v>
      </c>
      <c r="O658" t="s">
        <v>83</v>
      </c>
      <c r="P658" t="s">
        <v>84</v>
      </c>
    </row>
    <row r="659" spans="1:16">
      <c r="A659" t="s">
        <v>783</v>
      </c>
      <c r="B659" t="s">
        <v>77</v>
      </c>
      <c r="C659" t="s">
        <v>456</v>
      </c>
      <c r="D659" t="s">
        <v>456</v>
      </c>
      <c r="E659" t="s">
        <v>460</v>
      </c>
      <c r="F659" t="s">
        <v>460</v>
      </c>
      <c r="G659" t="s">
        <v>88</v>
      </c>
      <c r="H659" t="s">
        <v>81</v>
      </c>
      <c r="L659">
        <v>9</v>
      </c>
      <c r="M659" t="s">
        <v>83</v>
      </c>
      <c r="O659" t="s">
        <v>83</v>
      </c>
      <c r="P659" t="s">
        <v>84</v>
      </c>
    </row>
    <row r="660" spans="1:16">
      <c r="A660" t="s">
        <v>783</v>
      </c>
      <c r="B660" t="s">
        <v>77</v>
      </c>
      <c r="C660" t="s">
        <v>456</v>
      </c>
      <c r="D660" t="s">
        <v>456</v>
      </c>
      <c r="E660" t="s">
        <v>461</v>
      </c>
      <c r="F660" t="s">
        <v>461</v>
      </c>
      <c r="G660" t="s">
        <v>94</v>
      </c>
      <c r="H660" t="s">
        <v>81</v>
      </c>
      <c r="L660">
        <v>10</v>
      </c>
      <c r="M660" t="s">
        <v>83</v>
      </c>
      <c r="O660" t="s">
        <v>83</v>
      </c>
      <c r="P660" t="s">
        <v>84</v>
      </c>
    </row>
    <row r="661" spans="1:16">
      <c r="A661" t="s">
        <v>783</v>
      </c>
      <c r="B661" t="s">
        <v>77</v>
      </c>
      <c r="C661" t="s">
        <v>456</v>
      </c>
      <c r="D661" t="s">
        <v>456</v>
      </c>
      <c r="E661" t="s">
        <v>462</v>
      </c>
      <c r="F661" t="s">
        <v>462</v>
      </c>
      <c r="G661" t="s">
        <v>98</v>
      </c>
      <c r="H661" t="s">
        <v>81</v>
      </c>
      <c r="L661">
        <v>11</v>
      </c>
      <c r="M661" t="s">
        <v>83</v>
      </c>
      <c r="O661" t="s">
        <v>83</v>
      </c>
      <c r="P661" t="s">
        <v>84</v>
      </c>
    </row>
    <row r="662" spans="1:16">
      <c r="A662" t="s">
        <v>783</v>
      </c>
      <c r="B662" t="s">
        <v>77</v>
      </c>
      <c r="C662" t="s">
        <v>456</v>
      </c>
      <c r="D662" t="s">
        <v>456</v>
      </c>
      <c r="E662" t="s">
        <v>463</v>
      </c>
      <c r="F662" t="s">
        <v>463</v>
      </c>
      <c r="G662" t="s">
        <v>98</v>
      </c>
      <c r="H662" t="s">
        <v>81</v>
      </c>
      <c r="L662">
        <v>12</v>
      </c>
      <c r="M662" t="s">
        <v>83</v>
      </c>
      <c r="O662" t="s">
        <v>83</v>
      </c>
      <c r="P662" t="s">
        <v>84</v>
      </c>
    </row>
    <row r="663" spans="1:16">
      <c r="A663" t="s">
        <v>783</v>
      </c>
      <c r="B663" t="s">
        <v>77</v>
      </c>
      <c r="C663" t="s">
        <v>456</v>
      </c>
      <c r="D663" t="s">
        <v>456</v>
      </c>
      <c r="E663" t="s">
        <v>464</v>
      </c>
      <c r="F663" t="s">
        <v>464</v>
      </c>
      <c r="G663" t="s">
        <v>98</v>
      </c>
      <c r="H663" t="s">
        <v>81</v>
      </c>
      <c r="L663">
        <v>13</v>
      </c>
      <c r="M663" t="s">
        <v>83</v>
      </c>
      <c r="O663" t="s">
        <v>83</v>
      </c>
      <c r="P663" t="s">
        <v>84</v>
      </c>
    </row>
    <row r="664" spans="1:16">
      <c r="A664" t="s">
        <v>783</v>
      </c>
      <c r="B664" t="s">
        <v>77</v>
      </c>
      <c r="C664" t="s">
        <v>456</v>
      </c>
      <c r="D664" t="s">
        <v>456</v>
      </c>
      <c r="E664" t="s">
        <v>465</v>
      </c>
      <c r="F664" t="s">
        <v>465</v>
      </c>
      <c r="G664" t="s">
        <v>188</v>
      </c>
      <c r="H664" t="s">
        <v>81</v>
      </c>
      <c r="L664">
        <v>14</v>
      </c>
      <c r="M664" t="s">
        <v>83</v>
      </c>
      <c r="O664" t="s">
        <v>83</v>
      </c>
      <c r="P664" t="s">
        <v>84</v>
      </c>
    </row>
    <row r="665" spans="1:16">
      <c r="A665" t="s">
        <v>783</v>
      </c>
      <c r="B665" t="s">
        <v>77</v>
      </c>
      <c r="C665" t="s">
        <v>456</v>
      </c>
      <c r="D665" t="s">
        <v>456</v>
      </c>
      <c r="E665" t="s">
        <v>112</v>
      </c>
      <c r="F665" t="s">
        <v>112</v>
      </c>
      <c r="G665" t="s">
        <v>113</v>
      </c>
      <c r="H665" t="s">
        <v>81</v>
      </c>
      <c r="I665" t="s">
        <v>114</v>
      </c>
      <c r="L665">
        <v>15</v>
      </c>
      <c r="M665" t="s">
        <v>83</v>
      </c>
      <c r="O665" t="s">
        <v>83</v>
      </c>
      <c r="P665" t="s">
        <v>84</v>
      </c>
    </row>
    <row r="666" spans="1:16">
      <c r="A666" t="s">
        <v>783</v>
      </c>
      <c r="B666" t="s">
        <v>77</v>
      </c>
      <c r="C666" t="s">
        <v>456</v>
      </c>
      <c r="D666" t="s">
        <v>456</v>
      </c>
      <c r="E666" t="s">
        <v>115</v>
      </c>
      <c r="F666" t="s">
        <v>115</v>
      </c>
      <c r="G666" t="s">
        <v>113</v>
      </c>
      <c r="H666" t="s">
        <v>81</v>
      </c>
      <c r="I666" t="s">
        <v>114</v>
      </c>
      <c r="L666">
        <v>16</v>
      </c>
      <c r="M666" t="s">
        <v>83</v>
      </c>
      <c r="O666" t="s">
        <v>83</v>
      </c>
      <c r="P666" t="s">
        <v>84</v>
      </c>
    </row>
    <row r="667" spans="1:16">
      <c r="A667" t="s">
        <v>783</v>
      </c>
      <c r="B667" t="s">
        <v>77</v>
      </c>
      <c r="C667" t="s">
        <v>456</v>
      </c>
      <c r="D667" t="s">
        <v>456</v>
      </c>
      <c r="E667" t="s">
        <v>327</v>
      </c>
      <c r="F667" t="s">
        <v>327</v>
      </c>
      <c r="G667" t="s">
        <v>90</v>
      </c>
      <c r="H667" t="s">
        <v>81</v>
      </c>
      <c r="L667">
        <v>17</v>
      </c>
      <c r="M667" t="s">
        <v>83</v>
      </c>
      <c r="O667" t="s">
        <v>83</v>
      </c>
      <c r="P667" t="s">
        <v>84</v>
      </c>
    </row>
    <row r="668" spans="1:16">
      <c r="A668" t="s">
        <v>783</v>
      </c>
      <c r="B668" t="s">
        <v>77</v>
      </c>
      <c r="C668" t="s">
        <v>456</v>
      </c>
      <c r="D668" t="s">
        <v>456</v>
      </c>
      <c r="E668" t="s">
        <v>117</v>
      </c>
      <c r="F668" t="s">
        <v>117</v>
      </c>
      <c r="G668" t="s">
        <v>90</v>
      </c>
      <c r="H668" t="s">
        <v>81</v>
      </c>
      <c r="L668">
        <v>24</v>
      </c>
      <c r="M668" t="s">
        <v>83</v>
      </c>
      <c r="O668" t="s">
        <v>83</v>
      </c>
      <c r="P668" t="s">
        <v>84</v>
      </c>
    </row>
    <row r="669" spans="1:16">
      <c r="A669" t="s">
        <v>783</v>
      </c>
      <c r="B669" t="s">
        <v>77</v>
      </c>
      <c r="C669" t="s">
        <v>456</v>
      </c>
      <c r="D669" t="s">
        <v>456</v>
      </c>
      <c r="E669" t="s">
        <v>328</v>
      </c>
      <c r="F669" t="s">
        <v>328</v>
      </c>
      <c r="G669" t="s">
        <v>90</v>
      </c>
      <c r="H669" t="s">
        <v>81</v>
      </c>
      <c r="L669">
        <v>25</v>
      </c>
      <c r="M669" t="s">
        <v>83</v>
      </c>
      <c r="O669" t="s">
        <v>83</v>
      </c>
      <c r="P669" t="s">
        <v>84</v>
      </c>
    </row>
    <row r="670" spans="1:16">
      <c r="A670" t="s">
        <v>783</v>
      </c>
      <c r="B670" t="s">
        <v>77</v>
      </c>
      <c r="C670" t="s">
        <v>456</v>
      </c>
      <c r="D670" t="s">
        <v>456</v>
      </c>
      <c r="E670" t="s">
        <v>118</v>
      </c>
      <c r="F670" t="s">
        <v>118</v>
      </c>
      <c r="G670" t="s">
        <v>92</v>
      </c>
      <c r="H670" t="s">
        <v>81</v>
      </c>
      <c r="L670">
        <v>26</v>
      </c>
      <c r="M670" t="s">
        <v>83</v>
      </c>
      <c r="O670" t="s">
        <v>83</v>
      </c>
      <c r="P670" t="s">
        <v>84</v>
      </c>
    </row>
    <row r="671" spans="1:16">
      <c r="A671" t="s">
        <v>783</v>
      </c>
      <c r="B671" t="s">
        <v>77</v>
      </c>
      <c r="C671" t="s">
        <v>456</v>
      </c>
      <c r="D671" t="s">
        <v>456</v>
      </c>
      <c r="E671" t="s">
        <v>784</v>
      </c>
      <c r="F671" t="s">
        <v>784</v>
      </c>
      <c r="G671" t="s">
        <v>80</v>
      </c>
      <c r="H671" t="s">
        <v>81</v>
      </c>
      <c r="I671" t="s">
        <v>82</v>
      </c>
      <c r="L671">
        <v>27</v>
      </c>
      <c r="M671" t="s">
        <v>83</v>
      </c>
      <c r="O671" t="s">
        <v>83</v>
      </c>
      <c r="P671" t="s">
        <v>84</v>
      </c>
    </row>
    <row r="672" spans="1:16">
      <c r="A672" t="s">
        <v>783</v>
      </c>
      <c r="B672" t="s">
        <v>77</v>
      </c>
      <c r="C672" t="s">
        <v>456</v>
      </c>
      <c r="D672" t="s">
        <v>456</v>
      </c>
      <c r="E672" t="s">
        <v>785</v>
      </c>
      <c r="F672" t="s">
        <v>785</v>
      </c>
      <c r="G672" t="s">
        <v>80</v>
      </c>
      <c r="H672" t="s">
        <v>81</v>
      </c>
      <c r="I672" t="s">
        <v>82</v>
      </c>
      <c r="L672">
        <v>28</v>
      </c>
      <c r="M672" t="s">
        <v>83</v>
      </c>
      <c r="O672" t="s">
        <v>83</v>
      </c>
      <c r="P672" t="s">
        <v>84</v>
      </c>
    </row>
    <row r="673" spans="1:16">
      <c r="A673" t="s">
        <v>783</v>
      </c>
      <c r="B673" t="s">
        <v>77</v>
      </c>
      <c r="C673" t="s">
        <v>456</v>
      </c>
      <c r="D673" t="s">
        <v>456</v>
      </c>
      <c r="E673" t="s">
        <v>786</v>
      </c>
      <c r="F673" t="s">
        <v>786</v>
      </c>
      <c r="G673" t="s">
        <v>787</v>
      </c>
      <c r="H673" t="s">
        <v>81</v>
      </c>
      <c r="L673">
        <v>29</v>
      </c>
      <c r="M673" t="s">
        <v>83</v>
      </c>
      <c r="O673" t="s">
        <v>83</v>
      </c>
      <c r="P673" t="s">
        <v>84</v>
      </c>
    </row>
    <row r="674" spans="1:16">
      <c r="A674" t="s">
        <v>783</v>
      </c>
      <c r="B674" t="s">
        <v>77</v>
      </c>
      <c r="C674" t="s">
        <v>466</v>
      </c>
      <c r="D674" t="s">
        <v>466</v>
      </c>
      <c r="E674" t="s">
        <v>79</v>
      </c>
      <c r="F674" t="s">
        <v>79</v>
      </c>
      <c r="G674" t="s">
        <v>80</v>
      </c>
      <c r="H674" t="s">
        <v>81</v>
      </c>
      <c r="I674" t="s">
        <v>82</v>
      </c>
      <c r="L674">
        <v>1</v>
      </c>
      <c r="M674" t="s">
        <v>83</v>
      </c>
      <c r="O674" t="s">
        <v>83</v>
      </c>
      <c r="P674" t="s">
        <v>84</v>
      </c>
    </row>
    <row r="675" spans="1:16">
      <c r="A675" t="s">
        <v>783</v>
      </c>
      <c r="B675" t="s">
        <v>77</v>
      </c>
      <c r="C675" t="s">
        <v>466</v>
      </c>
      <c r="D675" t="s">
        <v>466</v>
      </c>
      <c r="E675" t="s">
        <v>86</v>
      </c>
      <c r="F675" t="s">
        <v>86</v>
      </c>
      <c r="G675" t="s">
        <v>80</v>
      </c>
      <c r="H675" t="s">
        <v>81</v>
      </c>
      <c r="I675" t="s">
        <v>82</v>
      </c>
      <c r="L675">
        <v>2</v>
      </c>
      <c r="M675" t="s">
        <v>83</v>
      </c>
      <c r="O675" t="s">
        <v>83</v>
      </c>
      <c r="P675" t="s">
        <v>84</v>
      </c>
    </row>
    <row r="676" spans="1:16">
      <c r="A676" t="s">
        <v>783</v>
      </c>
      <c r="B676" t="s">
        <v>77</v>
      </c>
      <c r="C676" t="s">
        <v>466</v>
      </c>
      <c r="D676" t="s">
        <v>466</v>
      </c>
      <c r="E676" t="s">
        <v>87</v>
      </c>
      <c r="F676" t="s">
        <v>87</v>
      </c>
      <c r="G676" t="s">
        <v>88</v>
      </c>
      <c r="H676" t="s">
        <v>81</v>
      </c>
      <c r="J676" t="s">
        <v>83</v>
      </c>
      <c r="L676">
        <v>3</v>
      </c>
      <c r="M676" t="s">
        <v>83</v>
      </c>
      <c r="O676" t="s">
        <v>83</v>
      </c>
      <c r="P676" t="s">
        <v>84</v>
      </c>
    </row>
    <row r="677" spans="1:16">
      <c r="A677" t="s">
        <v>783</v>
      </c>
      <c r="B677" t="s">
        <v>77</v>
      </c>
      <c r="C677" t="s">
        <v>466</v>
      </c>
      <c r="D677" t="s">
        <v>466</v>
      </c>
      <c r="E677" t="s">
        <v>89</v>
      </c>
      <c r="F677" t="s">
        <v>89</v>
      </c>
      <c r="G677" t="s">
        <v>90</v>
      </c>
      <c r="H677" t="s">
        <v>81</v>
      </c>
      <c r="J677" t="s">
        <v>83</v>
      </c>
      <c r="K677" t="s">
        <v>83</v>
      </c>
      <c r="L677">
        <v>4</v>
      </c>
      <c r="M677" t="s">
        <v>83</v>
      </c>
      <c r="O677" t="s">
        <v>83</v>
      </c>
      <c r="P677" t="s">
        <v>84</v>
      </c>
    </row>
    <row r="678" spans="1:16">
      <c r="A678" t="s">
        <v>783</v>
      </c>
      <c r="B678" t="s">
        <v>77</v>
      </c>
      <c r="C678" t="s">
        <v>466</v>
      </c>
      <c r="D678" t="s">
        <v>466</v>
      </c>
      <c r="E678" t="s">
        <v>467</v>
      </c>
      <c r="F678" t="s">
        <v>467</v>
      </c>
      <c r="G678" t="s">
        <v>80</v>
      </c>
      <c r="H678" t="s">
        <v>81</v>
      </c>
      <c r="I678" t="s">
        <v>82</v>
      </c>
      <c r="L678">
        <v>5</v>
      </c>
      <c r="M678" t="s">
        <v>83</v>
      </c>
      <c r="O678" t="s">
        <v>83</v>
      </c>
      <c r="P678" t="s">
        <v>84</v>
      </c>
    </row>
    <row r="679" spans="1:16">
      <c r="A679" t="s">
        <v>783</v>
      </c>
      <c r="B679" t="s">
        <v>77</v>
      </c>
      <c r="C679" t="s">
        <v>466</v>
      </c>
      <c r="D679" t="s">
        <v>466</v>
      </c>
      <c r="E679" t="s">
        <v>468</v>
      </c>
      <c r="F679" t="s">
        <v>468</v>
      </c>
      <c r="G679" t="s">
        <v>90</v>
      </c>
      <c r="H679" t="s">
        <v>81</v>
      </c>
      <c r="L679">
        <v>6</v>
      </c>
      <c r="M679" t="s">
        <v>83</v>
      </c>
      <c r="O679" t="s">
        <v>83</v>
      </c>
      <c r="P679" t="s">
        <v>84</v>
      </c>
    </row>
    <row r="680" spans="1:16">
      <c r="A680" t="s">
        <v>783</v>
      </c>
      <c r="B680" t="s">
        <v>77</v>
      </c>
      <c r="C680" t="s">
        <v>466</v>
      </c>
      <c r="D680" t="s">
        <v>466</v>
      </c>
      <c r="E680" t="s">
        <v>91</v>
      </c>
      <c r="F680" t="s">
        <v>91</v>
      </c>
      <c r="G680" t="s">
        <v>92</v>
      </c>
      <c r="H680" t="s">
        <v>81</v>
      </c>
      <c r="J680" t="s">
        <v>83</v>
      </c>
      <c r="L680">
        <v>7</v>
      </c>
      <c r="M680" t="s">
        <v>83</v>
      </c>
      <c r="O680" t="s">
        <v>83</v>
      </c>
      <c r="P680" t="s">
        <v>84</v>
      </c>
    </row>
    <row r="681" spans="1:16">
      <c r="A681" t="s">
        <v>783</v>
      </c>
      <c r="B681" t="s">
        <v>77</v>
      </c>
      <c r="C681" t="s">
        <v>466</v>
      </c>
      <c r="D681" t="s">
        <v>466</v>
      </c>
      <c r="E681" t="s">
        <v>469</v>
      </c>
      <c r="F681" t="s">
        <v>469</v>
      </c>
      <c r="G681" t="s">
        <v>94</v>
      </c>
      <c r="H681" t="s">
        <v>81</v>
      </c>
      <c r="L681">
        <v>8</v>
      </c>
      <c r="M681" t="s">
        <v>83</v>
      </c>
      <c r="O681" t="s">
        <v>83</v>
      </c>
      <c r="P681" t="s">
        <v>84</v>
      </c>
    </row>
    <row r="682" spans="1:16">
      <c r="A682" t="s">
        <v>783</v>
      </c>
      <c r="B682" t="s">
        <v>77</v>
      </c>
      <c r="C682" t="s">
        <v>466</v>
      </c>
      <c r="D682" t="s">
        <v>466</v>
      </c>
      <c r="E682" t="s">
        <v>470</v>
      </c>
      <c r="F682" t="s">
        <v>470</v>
      </c>
      <c r="G682" t="s">
        <v>88</v>
      </c>
      <c r="H682" t="s">
        <v>81</v>
      </c>
      <c r="L682">
        <v>9</v>
      </c>
      <c r="M682" t="s">
        <v>83</v>
      </c>
      <c r="O682" t="s">
        <v>83</v>
      </c>
      <c r="P682" t="s">
        <v>84</v>
      </c>
    </row>
    <row r="683" spans="1:16">
      <c r="A683" t="s">
        <v>783</v>
      </c>
      <c r="B683" t="s">
        <v>77</v>
      </c>
      <c r="C683" t="s">
        <v>466</v>
      </c>
      <c r="D683" t="s">
        <v>466</v>
      </c>
      <c r="E683" t="s">
        <v>471</v>
      </c>
      <c r="F683" t="s">
        <v>471</v>
      </c>
      <c r="G683" t="s">
        <v>94</v>
      </c>
      <c r="H683" t="s">
        <v>81</v>
      </c>
      <c r="L683">
        <v>10</v>
      </c>
      <c r="M683" t="s">
        <v>83</v>
      </c>
      <c r="O683" t="s">
        <v>83</v>
      </c>
      <c r="P683" t="s">
        <v>84</v>
      </c>
    </row>
    <row r="684" spans="1:16">
      <c r="A684" t="s">
        <v>783</v>
      </c>
      <c r="B684" t="s">
        <v>77</v>
      </c>
      <c r="C684" t="s">
        <v>466</v>
      </c>
      <c r="D684" t="s">
        <v>466</v>
      </c>
      <c r="E684" t="s">
        <v>472</v>
      </c>
      <c r="F684" t="s">
        <v>472</v>
      </c>
      <c r="G684" t="s">
        <v>98</v>
      </c>
      <c r="H684" t="s">
        <v>81</v>
      </c>
      <c r="L684">
        <v>11</v>
      </c>
      <c r="M684" t="s">
        <v>83</v>
      </c>
      <c r="O684" t="s">
        <v>83</v>
      </c>
      <c r="P684" t="s">
        <v>84</v>
      </c>
    </row>
    <row r="685" spans="1:16">
      <c r="A685" t="s">
        <v>783</v>
      </c>
      <c r="B685" t="s">
        <v>77</v>
      </c>
      <c r="C685" t="s">
        <v>466</v>
      </c>
      <c r="D685" t="s">
        <v>466</v>
      </c>
      <c r="E685" t="s">
        <v>473</v>
      </c>
      <c r="F685" t="s">
        <v>473</v>
      </c>
      <c r="G685" t="s">
        <v>98</v>
      </c>
      <c r="H685" t="s">
        <v>81</v>
      </c>
      <c r="L685">
        <v>12</v>
      </c>
      <c r="M685" t="s">
        <v>83</v>
      </c>
      <c r="O685" t="s">
        <v>83</v>
      </c>
      <c r="P685" t="s">
        <v>84</v>
      </c>
    </row>
    <row r="686" spans="1:16">
      <c r="A686" t="s">
        <v>783</v>
      </c>
      <c r="B686" t="s">
        <v>77</v>
      </c>
      <c r="C686" t="s">
        <v>466</v>
      </c>
      <c r="D686" t="s">
        <v>466</v>
      </c>
      <c r="E686" t="s">
        <v>474</v>
      </c>
      <c r="F686" t="s">
        <v>474</v>
      </c>
      <c r="G686" t="s">
        <v>98</v>
      </c>
      <c r="H686" t="s">
        <v>81</v>
      </c>
      <c r="L686">
        <v>13</v>
      </c>
      <c r="M686" t="s">
        <v>83</v>
      </c>
      <c r="O686" t="s">
        <v>83</v>
      </c>
      <c r="P686" t="s">
        <v>84</v>
      </c>
    </row>
    <row r="687" spans="1:16">
      <c r="A687" t="s">
        <v>783</v>
      </c>
      <c r="B687" t="s">
        <v>77</v>
      </c>
      <c r="C687" t="s">
        <v>466</v>
      </c>
      <c r="D687" t="s">
        <v>466</v>
      </c>
      <c r="E687" t="s">
        <v>475</v>
      </c>
      <c r="F687" t="s">
        <v>475</v>
      </c>
      <c r="G687" t="s">
        <v>188</v>
      </c>
      <c r="H687" t="s">
        <v>81</v>
      </c>
      <c r="L687">
        <v>14</v>
      </c>
      <c r="M687" t="s">
        <v>83</v>
      </c>
      <c r="O687" t="s">
        <v>83</v>
      </c>
      <c r="P687" t="s">
        <v>84</v>
      </c>
    </row>
    <row r="688" spans="1:16">
      <c r="A688" t="s">
        <v>783</v>
      </c>
      <c r="B688" t="s">
        <v>77</v>
      </c>
      <c r="C688" t="s">
        <v>466</v>
      </c>
      <c r="D688" t="s">
        <v>466</v>
      </c>
      <c r="E688" t="s">
        <v>112</v>
      </c>
      <c r="F688" t="s">
        <v>112</v>
      </c>
      <c r="G688" t="s">
        <v>113</v>
      </c>
      <c r="H688" t="s">
        <v>81</v>
      </c>
      <c r="I688" t="s">
        <v>114</v>
      </c>
      <c r="L688">
        <v>15</v>
      </c>
      <c r="M688" t="s">
        <v>83</v>
      </c>
      <c r="O688" t="s">
        <v>83</v>
      </c>
      <c r="P688" t="s">
        <v>84</v>
      </c>
    </row>
    <row r="689" spans="1:16">
      <c r="A689" t="s">
        <v>783</v>
      </c>
      <c r="B689" t="s">
        <v>77</v>
      </c>
      <c r="C689" t="s">
        <v>466</v>
      </c>
      <c r="D689" t="s">
        <v>466</v>
      </c>
      <c r="E689" t="s">
        <v>115</v>
      </c>
      <c r="F689" t="s">
        <v>115</v>
      </c>
      <c r="G689" t="s">
        <v>113</v>
      </c>
      <c r="H689" t="s">
        <v>81</v>
      </c>
      <c r="I689" t="s">
        <v>114</v>
      </c>
      <c r="L689">
        <v>16</v>
      </c>
      <c r="M689" t="s">
        <v>83</v>
      </c>
      <c r="O689" t="s">
        <v>83</v>
      </c>
      <c r="P689" t="s">
        <v>84</v>
      </c>
    </row>
    <row r="690" spans="1:16">
      <c r="A690" t="s">
        <v>783</v>
      </c>
      <c r="B690" t="s">
        <v>77</v>
      </c>
      <c r="C690" t="s">
        <v>466</v>
      </c>
      <c r="D690" t="s">
        <v>466</v>
      </c>
      <c r="E690" t="s">
        <v>327</v>
      </c>
      <c r="F690" t="s">
        <v>327</v>
      </c>
      <c r="G690" t="s">
        <v>90</v>
      </c>
      <c r="H690" t="s">
        <v>81</v>
      </c>
      <c r="L690">
        <v>17</v>
      </c>
      <c r="M690" t="s">
        <v>83</v>
      </c>
      <c r="O690" t="s">
        <v>83</v>
      </c>
      <c r="P690" t="s">
        <v>84</v>
      </c>
    </row>
    <row r="691" spans="1:16">
      <c r="A691" t="s">
        <v>783</v>
      </c>
      <c r="B691" t="s">
        <v>77</v>
      </c>
      <c r="C691" t="s">
        <v>466</v>
      </c>
      <c r="D691" t="s">
        <v>466</v>
      </c>
      <c r="E691" t="s">
        <v>117</v>
      </c>
      <c r="F691" t="s">
        <v>117</v>
      </c>
      <c r="G691" t="s">
        <v>90</v>
      </c>
      <c r="H691" t="s">
        <v>81</v>
      </c>
      <c r="L691">
        <v>24</v>
      </c>
      <c r="M691" t="s">
        <v>83</v>
      </c>
      <c r="O691" t="s">
        <v>83</v>
      </c>
      <c r="P691" t="s">
        <v>84</v>
      </c>
    </row>
    <row r="692" spans="1:16">
      <c r="A692" t="s">
        <v>783</v>
      </c>
      <c r="B692" t="s">
        <v>77</v>
      </c>
      <c r="C692" t="s">
        <v>466</v>
      </c>
      <c r="D692" t="s">
        <v>466</v>
      </c>
      <c r="E692" t="s">
        <v>328</v>
      </c>
      <c r="F692" t="s">
        <v>328</v>
      </c>
      <c r="G692" t="s">
        <v>90</v>
      </c>
      <c r="H692" t="s">
        <v>81</v>
      </c>
      <c r="L692">
        <v>25</v>
      </c>
      <c r="M692" t="s">
        <v>83</v>
      </c>
      <c r="O692" t="s">
        <v>83</v>
      </c>
      <c r="P692" t="s">
        <v>84</v>
      </c>
    </row>
    <row r="693" spans="1:16">
      <c r="A693" t="s">
        <v>783</v>
      </c>
      <c r="B693" t="s">
        <v>77</v>
      </c>
      <c r="C693" t="s">
        <v>466</v>
      </c>
      <c r="D693" t="s">
        <v>466</v>
      </c>
      <c r="E693" t="s">
        <v>118</v>
      </c>
      <c r="F693" t="s">
        <v>118</v>
      </c>
      <c r="G693" t="s">
        <v>92</v>
      </c>
      <c r="H693" t="s">
        <v>81</v>
      </c>
      <c r="L693">
        <v>26</v>
      </c>
      <c r="M693" t="s">
        <v>83</v>
      </c>
      <c r="O693" t="s">
        <v>83</v>
      </c>
      <c r="P693" t="s">
        <v>84</v>
      </c>
    </row>
    <row r="694" spans="1:16">
      <c r="A694" t="s">
        <v>783</v>
      </c>
      <c r="B694" t="s">
        <v>77</v>
      </c>
      <c r="C694" t="s">
        <v>466</v>
      </c>
      <c r="D694" t="s">
        <v>466</v>
      </c>
      <c r="E694" t="s">
        <v>784</v>
      </c>
      <c r="F694" t="s">
        <v>784</v>
      </c>
      <c r="G694" t="s">
        <v>80</v>
      </c>
      <c r="H694" t="s">
        <v>81</v>
      </c>
      <c r="I694" t="s">
        <v>82</v>
      </c>
      <c r="L694">
        <v>27</v>
      </c>
      <c r="M694" t="s">
        <v>83</v>
      </c>
      <c r="O694" t="s">
        <v>83</v>
      </c>
      <c r="P694" t="s">
        <v>84</v>
      </c>
    </row>
    <row r="695" spans="1:16">
      <c r="A695" t="s">
        <v>783</v>
      </c>
      <c r="B695" t="s">
        <v>77</v>
      </c>
      <c r="C695" t="s">
        <v>466</v>
      </c>
      <c r="D695" t="s">
        <v>466</v>
      </c>
      <c r="E695" t="s">
        <v>785</v>
      </c>
      <c r="F695" t="s">
        <v>785</v>
      </c>
      <c r="G695" t="s">
        <v>80</v>
      </c>
      <c r="H695" t="s">
        <v>81</v>
      </c>
      <c r="I695" t="s">
        <v>82</v>
      </c>
      <c r="L695">
        <v>28</v>
      </c>
      <c r="M695" t="s">
        <v>83</v>
      </c>
      <c r="O695" t="s">
        <v>83</v>
      </c>
      <c r="P695" t="s">
        <v>84</v>
      </c>
    </row>
    <row r="696" spans="1:16">
      <c r="A696" t="s">
        <v>783</v>
      </c>
      <c r="B696" t="s">
        <v>77</v>
      </c>
      <c r="C696" t="s">
        <v>466</v>
      </c>
      <c r="D696" t="s">
        <v>466</v>
      </c>
      <c r="E696" t="s">
        <v>786</v>
      </c>
      <c r="F696" t="s">
        <v>786</v>
      </c>
      <c r="G696" t="s">
        <v>787</v>
      </c>
      <c r="H696" t="s">
        <v>81</v>
      </c>
      <c r="L696">
        <v>29</v>
      </c>
      <c r="M696" t="s">
        <v>83</v>
      </c>
      <c r="O696" t="s">
        <v>83</v>
      </c>
      <c r="P696" t="s">
        <v>84</v>
      </c>
    </row>
    <row r="697" spans="1:16">
      <c r="A697" t="s">
        <v>783</v>
      </c>
      <c r="B697" t="s">
        <v>77</v>
      </c>
      <c r="C697" t="s">
        <v>476</v>
      </c>
      <c r="D697" t="s">
        <v>476</v>
      </c>
      <c r="E697" t="s">
        <v>79</v>
      </c>
      <c r="F697" t="s">
        <v>79</v>
      </c>
      <c r="G697" t="s">
        <v>80</v>
      </c>
      <c r="H697" t="s">
        <v>81</v>
      </c>
      <c r="I697" t="s">
        <v>82</v>
      </c>
      <c r="L697">
        <v>1</v>
      </c>
      <c r="M697" t="s">
        <v>83</v>
      </c>
      <c r="O697" t="s">
        <v>83</v>
      </c>
      <c r="P697" t="s">
        <v>84</v>
      </c>
    </row>
    <row r="698" spans="1:16">
      <c r="A698" t="s">
        <v>783</v>
      </c>
      <c r="B698" t="s">
        <v>77</v>
      </c>
      <c r="C698" t="s">
        <v>476</v>
      </c>
      <c r="D698" t="s">
        <v>476</v>
      </c>
      <c r="E698" t="s">
        <v>86</v>
      </c>
      <c r="F698" t="s">
        <v>86</v>
      </c>
      <c r="G698" t="s">
        <v>80</v>
      </c>
      <c r="H698" t="s">
        <v>81</v>
      </c>
      <c r="I698" t="s">
        <v>82</v>
      </c>
      <c r="L698">
        <v>2</v>
      </c>
      <c r="M698" t="s">
        <v>83</v>
      </c>
      <c r="O698" t="s">
        <v>83</v>
      </c>
      <c r="P698" t="s">
        <v>84</v>
      </c>
    </row>
    <row r="699" spans="1:16">
      <c r="A699" t="s">
        <v>783</v>
      </c>
      <c r="B699" t="s">
        <v>77</v>
      </c>
      <c r="C699" t="s">
        <v>476</v>
      </c>
      <c r="D699" t="s">
        <v>476</v>
      </c>
      <c r="E699" t="s">
        <v>87</v>
      </c>
      <c r="F699" t="s">
        <v>87</v>
      </c>
      <c r="G699" t="s">
        <v>88</v>
      </c>
      <c r="H699" t="s">
        <v>81</v>
      </c>
      <c r="J699" t="s">
        <v>83</v>
      </c>
      <c r="L699">
        <v>3</v>
      </c>
      <c r="M699" t="s">
        <v>83</v>
      </c>
      <c r="O699" t="s">
        <v>83</v>
      </c>
      <c r="P699" t="s">
        <v>84</v>
      </c>
    </row>
    <row r="700" spans="1:16">
      <c r="A700" t="s">
        <v>783</v>
      </c>
      <c r="B700" t="s">
        <v>77</v>
      </c>
      <c r="C700" t="s">
        <v>476</v>
      </c>
      <c r="D700" t="s">
        <v>476</v>
      </c>
      <c r="E700" t="s">
        <v>89</v>
      </c>
      <c r="F700" t="s">
        <v>89</v>
      </c>
      <c r="G700" t="s">
        <v>90</v>
      </c>
      <c r="H700" t="s">
        <v>81</v>
      </c>
      <c r="J700" t="s">
        <v>83</v>
      </c>
      <c r="K700" t="s">
        <v>83</v>
      </c>
      <c r="L700">
        <v>4</v>
      </c>
      <c r="M700" t="s">
        <v>83</v>
      </c>
      <c r="O700" t="s">
        <v>83</v>
      </c>
      <c r="P700" t="s">
        <v>84</v>
      </c>
    </row>
    <row r="701" spans="1:16">
      <c r="A701" t="s">
        <v>783</v>
      </c>
      <c r="B701" t="s">
        <v>77</v>
      </c>
      <c r="C701" t="s">
        <v>476</v>
      </c>
      <c r="D701" t="s">
        <v>476</v>
      </c>
      <c r="E701" t="s">
        <v>477</v>
      </c>
      <c r="F701" t="s">
        <v>477</v>
      </c>
      <c r="G701" t="s">
        <v>80</v>
      </c>
      <c r="H701" t="s">
        <v>81</v>
      </c>
      <c r="I701" t="s">
        <v>82</v>
      </c>
      <c r="L701">
        <v>5</v>
      </c>
      <c r="M701" t="s">
        <v>83</v>
      </c>
      <c r="O701" t="s">
        <v>83</v>
      </c>
      <c r="P701" t="s">
        <v>84</v>
      </c>
    </row>
    <row r="702" spans="1:16">
      <c r="A702" t="s">
        <v>783</v>
      </c>
      <c r="B702" t="s">
        <v>77</v>
      </c>
      <c r="C702" t="s">
        <v>476</v>
      </c>
      <c r="D702" t="s">
        <v>476</v>
      </c>
      <c r="E702" t="s">
        <v>478</v>
      </c>
      <c r="F702" t="s">
        <v>478</v>
      </c>
      <c r="G702" t="s">
        <v>90</v>
      </c>
      <c r="H702" t="s">
        <v>81</v>
      </c>
      <c r="L702">
        <v>6</v>
      </c>
      <c r="M702" t="s">
        <v>83</v>
      </c>
      <c r="O702" t="s">
        <v>83</v>
      </c>
      <c r="P702" t="s">
        <v>84</v>
      </c>
    </row>
    <row r="703" spans="1:16">
      <c r="A703" t="s">
        <v>783</v>
      </c>
      <c r="B703" t="s">
        <v>77</v>
      </c>
      <c r="C703" t="s">
        <v>476</v>
      </c>
      <c r="D703" t="s">
        <v>476</v>
      </c>
      <c r="E703" t="s">
        <v>91</v>
      </c>
      <c r="F703" t="s">
        <v>91</v>
      </c>
      <c r="G703" t="s">
        <v>92</v>
      </c>
      <c r="H703" t="s">
        <v>81</v>
      </c>
      <c r="J703" t="s">
        <v>83</v>
      </c>
      <c r="L703">
        <v>7</v>
      </c>
      <c r="M703" t="s">
        <v>83</v>
      </c>
      <c r="O703" t="s">
        <v>83</v>
      </c>
      <c r="P703" t="s">
        <v>84</v>
      </c>
    </row>
    <row r="704" spans="1:16">
      <c r="A704" t="s">
        <v>783</v>
      </c>
      <c r="B704" t="s">
        <v>77</v>
      </c>
      <c r="C704" t="s">
        <v>476</v>
      </c>
      <c r="D704" t="s">
        <v>476</v>
      </c>
      <c r="E704" t="s">
        <v>479</v>
      </c>
      <c r="F704" t="s">
        <v>479</v>
      </c>
      <c r="G704" t="s">
        <v>94</v>
      </c>
      <c r="H704" t="s">
        <v>81</v>
      </c>
      <c r="L704">
        <v>8</v>
      </c>
      <c r="M704" t="s">
        <v>83</v>
      </c>
      <c r="O704" t="s">
        <v>83</v>
      </c>
      <c r="P704" t="s">
        <v>84</v>
      </c>
    </row>
    <row r="705" spans="1:16">
      <c r="A705" t="s">
        <v>783</v>
      </c>
      <c r="B705" t="s">
        <v>77</v>
      </c>
      <c r="C705" t="s">
        <v>476</v>
      </c>
      <c r="D705" t="s">
        <v>476</v>
      </c>
      <c r="E705" t="s">
        <v>480</v>
      </c>
      <c r="F705" t="s">
        <v>480</v>
      </c>
      <c r="G705" t="s">
        <v>88</v>
      </c>
      <c r="H705" t="s">
        <v>81</v>
      </c>
      <c r="L705">
        <v>9</v>
      </c>
      <c r="M705" t="s">
        <v>83</v>
      </c>
      <c r="O705" t="s">
        <v>83</v>
      </c>
      <c r="P705" t="s">
        <v>84</v>
      </c>
    </row>
    <row r="706" spans="1:16">
      <c r="A706" t="s">
        <v>783</v>
      </c>
      <c r="B706" t="s">
        <v>77</v>
      </c>
      <c r="C706" t="s">
        <v>476</v>
      </c>
      <c r="D706" t="s">
        <v>476</v>
      </c>
      <c r="E706" t="s">
        <v>481</v>
      </c>
      <c r="F706" t="s">
        <v>481</v>
      </c>
      <c r="G706" t="s">
        <v>94</v>
      </c>
      <c r="H706" t="s">
        <v>81</v>
      </c>
      <c r="L706">
        <v>10</v>
      </c>
      <c r="M706" t="s">
        <v>83</v>
      </c>
      <c r="O706" t="s">
        <v>83</v>
      </c>
      <c r="P706" t="s">
        <v>84</v>
      </c>
    </row>
    <row r="707" spans="1:16">
      <c r="A707" t="s">
        <v>783</v>
      </c>
      <c r="B707" t="s">
        <v>77</v>
      </c>
      <c r="C707" t="s">
        <v>476</v>
      </c>
      <c r="D707" t="s">
        <v>476</v>
      </c>
      <c r="E707" t="s">
        <v>482</v>
      </c>
      <c r="F707" t="s">
        <v>482</v>
      </c>
      <c r="G707" t="s">
        <v>98</v>
      </c>
      <c r="H707" t="s">
        <v>81</v>
      </c>
      <c r="L707">
        <v>11</v>
      </c>
      <c r="M707" t="s">
        <v>83</v>
      </c>
      <c r="O707" t="s">
        <v>83</v>
      </c>
      <c r="P707" t="s">
        <v>84</v>
      </c>
    </row>
    <row r="708" spans="1:16">
      <c r="A708" t="s">
        <v>783</v>
      </c>
      <c r="B708" t="s">
        <v>77</v>
      </c>
      <c r="C708" t="s">
        <v>476</v>
      </c>
      <c r="D708" t="s">
        <v>476</v>
      </c>
      <c r="E708" t="s">
        <v>483</v>
      </c>
      <c r="F708" t="s">
        <v>483</v>
      </c>
      <c r="G708" t="s">
        <v>98</v>
      </c>
      <c r="H708" t="s">
        <v>81</v>
      </c>
      <c r="L708">
        <v>12</v>
      </c>
      <c r="M708" t="s">
        <v>83</v>
      </c>
      <c r="O708" t="s">
        <v>83</v>
      </c>
      <c r="P708" t="s">
        <v>84</v>
      </c>
    </row>
    <row r="709" spans="1:16">
      <c r="A709" t="s">
        <v>783</v>
      </c>
      <c r="B709" t="s">
        <v>77</v>
      </c>
      <c r="C709" t="s">
        <v>476</v>
      </c>
      <c r="D709" t="s">
        <v>476</v>
      </c>
      <c r="E709" t="s">
        <v>484</v>
      </c>
      <c r="F709" t="s">
        <v>484</v>
      </c>
      <c r="G709" t="s">
        <v>98</v>
      </c>
      <c r="H709" t="s">
        <v>81</v>
      </c>
      <c r="L709">
        <v>13</v>
      </c>
      <c r="M709" t="s">
        <v>83</v>
      </c>
      <c r="O709" t="s">
        <v>83</v>
      </c>
      <c r="P709" t="s">
        <v>84</v>
      </c>
    </row>
    <row r="710" spans="1:16">
      <c r="A710" t="s">
        <v>783</v>
      </c>
      <c r="B710" t="s">
        <v>77</v>
      </c>
      <c r="C710" t="s">
        <v>476</v>
      </c>
      <c r="D710" t="s">
        <v>476</v>
      </c>
      <c r="E710" t="s">
        <v>112</v>
      </c>
      <c r="F710" t="s">
        <v>112</v>
      </c>
      <c r="G710" t="s">
        <v>113</v>
      </c>
      <c r="H710" t="s">
        <v>81</v>
      </c>
      <c r="I710" t="s">
        <v>114</v>
      </c>
      <c r="L710">
        <v>14</v>
      </c>
      <c r="M710" t="s">
        <v>83</v>
      </c>
      <c r="O710" t="s">
        <v>83</v>
      </c>
      <c r="P710" t="s">
        <v>84</v>
      </c>
    </row>
    <row r="711" spans="1:16">
      <c r="A711" t="s">
        <v>783</v>
      </c>
      <c r="B711" t="s">
        <v>77</v>
      </c>
      <c r="C711" t="s">
        <v>476</v>
      </c>
      <c r="D711" t="s">
        <v>476</v>
      </c>
      <c r="E711" t="s">
        <v>115</v>
      </c>
      <c r="F711" t="s">
        <v>115</v>
      </c>
      <c r="G711" t="s">
        <v>113</v>
      </c>
      <c r="H711" t="s">
        <v>81</v>
      </c>
      <c r="I711" t="s">
        <v>114</v>
      </c>
      <c r="L711">
        <v>15</v>
      </c>
      <c r="M711" t="s">
        <v>83</v>
      </c>
      <c r="O711" t="s">
        <v>83</v>
      </c>
      <c r="P711" t="s">
        <v>84</v>
      </c>
    </row>
    <row r="712" spans="1:16">
      <c r="A712" t="s">
        <v>783</v>
      </c>
      <c r="B712" t="s">
        <v>77</v>
      </c>
      <c r="C712" t="s">
        <v>476</v>
      </c>
      <c r="D712" t="s">
        <v>476</v>
      </c>
      <c r="E712" t="s">
        <v>117</v>
      </c>
      <c r="F712" t="s">
        <v>117</v>
      </c>
      <c r="G712" t="s">
        <v>90</v>
      </c>
      <c r="H712" t="s">
        <v>81</v>
      </c>
      <c r="L712">
        <v>22</v>
      </c>
      <c r="M712" t="s">
        <v>83</v>
      </c>
      <c r="O712" t="s">
        <v>83</v>
      </c>
      <c r="P712" t="s">
        <v>84</v>
      </c>
    </row>
    <row r="713" spans="1:16">
      <c r="A713" t="s">
        <v>783</v>
      </c>
      <c r="B713" t="s">
        <v>77</v>
      </c>
      <c r="C713" t="s">
        <v>476</v>
      </c>
      <c r="D713" t="s">
        <v>476</v>
      </c>
      <c r="E713" t="s">
        <v>327</v>
      </c>
      <c r="F713" t="s">
        <v>327</v>
      </c>
      <c r="G713" t="s">
        <v>90</v>
      </c>
      <c r="H713" t="s">
        <v>81</v>
      </c>
      <c r="L713">
        <v>23</v>
      </c>
      <c r="M713" t="s">
        <v>83</v>
      </c>
      <c r="O713" t="s">
        <v>83</v>
      </c>
      <c r="P713" t="s">
        <v>84</v>
      </c>
    </row>
    <row r="714" spans="1:16">
      <c r="A714" t="s">
        <v>783</v>
      </c>
      <c r="B714" t="s">
        <v>77</v>
      </c>
      <c r="C714" t="s">
        <v>476</v>
      </c>
      <c r="D714" t="s">
        <v>476</v>
      </c>
      <c r="E714" t="s">
        <v>328</v>
      </c>
      <c r="F714" t="s">
        <v>328</v>
      </c>
      <c r="G714" t="s">
        <v>90</v>
      </c>
      <c r="H714" t="s">
        <v>81</v>
      </c>
      <c r="L714">
        <v>24</v>
      </c>
      <c r="M714" t="s">
        <v>83</v>
      </c>
      <c r="O714" t="s">
        <v>83</v>
      </c>
      <c r="P714" t="s">
        <v>84</v>
      </c>
    </row>
    <row r="715" spans="1:16">
      <c r="A715" t="s">
        <v>783</v>
      </c>
      <c r="B715" t="s">
        <v>77</v>
      </c>
      <c r="C715" t="s">
        <v>476</v>
      </c>
      <c r="D715" t="s">
        <v>476</v>
      </c>
      <c r="E715" t="s">
        <v>118</v>
      </c>
      <c r="F715" t="s">
        <v>118</v>
      </c>
      <c r="G715" t="s">
        <v>92</v>
      </c>
      <c r="H715" t="s">
        <v>81</v>
      </c>
      <c r="L715">
        <v>25</v>
      </c>
      <c r="M715" t="s">
        <v>83</v>
      </c>
      <c r="O715" t="s">
        <v>83</v>
      </c>
      <c r="P715" t="s">
        <v>84</v>
      </c>
    </row>
    <row r="716" spans="1:16">
      <c r="A716" t="s">
        <v>783</v>
      </c>
      <c r="B716" t="s">
        <v>77</v>
      </c>
      <c r="C716" t="s">
        <v>476</v>
      </c>
      <c r="D716" t="s">
        <v>476</v>
      </c>
      <c r="E716" t="s">
        <v>784</v>
      </c>
      <c r="F716" t="s">
        <v>784</v>
      </c>
      <c r="G716" t="s">
        <v>80</v>
      </c>
      <c r="H716" t="s">
        <v>81</v>
      </c>
      <c r="I716" t="s">
        <v>82</v>
      </c>
      <c r="L716">
        <v>26</v>
      </c>
      <c r="M716" t="s">
        <v>83</v>
      </c>
      <c r="O716" t="s">
        <v>83</v>
      </c>
      <c r="P716" t="s">
        <v>84</v>
      </c>
    </row>
    <row r="717" spans="1:16">
      <c r="A717" t="s">
        <v>783</v>
      </c>
      <c r="B717" t="s">
        <v>77</v>
      </c>
      <c r="C717" t="s">
        <v>476</v>
      </c>
      <c r="D717" t="s">
        <v>476</v>
      </c>
      <c r="E717" t="s">
        <v>785</v>
      </c>
      <c r="F717" t="s">
        <v>785</v>
      </c>
      <c r="G717" t="s">
        <v>80</v>
      </c>
      <c r="H717" t="s">
        <v>81</v>
      </c>
      <c r="I717" t="s">
        <v>82</v>
      </c>
      <c r="L717">
        <v>27</v>
      </c>
      <c r="M717" t="s">
        <v>83</v>
      </c>
      <c r="O717" t="s">
        <v>83</v>
      </c>
      <c r="P717" t="s">
        <v>84</v>
      </c>
    </row>
    <row r="718" spans="1:16">
      <c r="A718" t="s">
        <v>783</v>
      </c>
      <c r="B718" t="s">
        <v>77</v>
      </c>
      <c r="C718" t="s">
        <v>476</v>
      </c>
      <c r="D718" t="s">
        <v>476</v>
      </c>
      <c r="E718" t="s">
        <v>786</v>
      </c>
      <c r="F718" t="s">
        <v>786</v>
      </c>
      <c r="G718" t="s">
        <v>787</v>
      </c>
      <c r="H718" t="s">
        <v>81</v>
      </c>
      <c r="L718">
        <v>28</v>
      </c>
      <c r="M718" t="s">
        <v>83</v>
      </c>
      <c r="O718" t="s">
        <v>83</v>
      </c>
      <c r="P718" t="s">
        <v>84</v>
      </c>
    </row>
    <row r="719" spans="1:16">
      <c r="A719" t="s">
        <v>783</v>
      </c>
      <c r="B719" t="s">
        <v>77</v>
      </c>
      <c r="C719" t="s">
        <v>485</v>
      </c>
      <c r="D719" t="s">
        <v>485</v>
      </c>
      <c r="E719" t="s">
        <v>79</v>
      </c>
      <c r="F719" t="s">
        <v>79</v>
      </c>
      <c r="G719" t="s">
        <v>80</v>
      </c>
      <c r="H719" t="s">
        <v>81</v>
      </c>
      <c r="I719" t="s">
        <v>82</v>
      </c>
      <c r="L719">
        <v>1</v>
      </c>
      <c r="M719" t="s">
        <v>83</v>
      </c>
      <c r="O719" t="s">
        <v>83</v>
      </c>
      <c r="P719" t="s">
        <v>84</v>
      </c>
    </row>
    <row r="720" spans="1:16">
      <c r="A720" t="s">
        <v>783</v>
      </c>
      <c r="B720" t="s">
        <v>77</v>
      </c>
      <c r="C720" t="s">
        <v>485</v>
      </c>
      <c r="D720" t="s">
        <v>485</v>
      </c>
      <c r="E720" t="s">
        <v>86</v>
      </c>
      <c r="F720" t="s">
        <v>86</v>
      </c>
      <c r="G720" t="s">
        <v>80</v>
      </c>
      <c r="H720" t="s">
        <v>81</v>
      </c>
      <c r="I720" t="s">
        <v>82</v>
      </c>
      <c r="L720">
        <v>2</v>
      </c>
      <c r="M720" t="s">
        <v>83</v>
      </c>
      <c r="O720" t="s">
        <v>83</v>
      </c>
      <c r="P720" t="s">
        <v>84</v>
      </c>
    </row>
    <row r="721" spans="1:16">
      <c r="A721" t="s">
        <v>783</v>
      </c>
      <c r="B721" t="s">
        <v>77</v>
      </c>
      <c r="C721" t="s">
        <v>485</v>
      </c>
      <c r="D721" t="s">
        <v>485</v>
      </c>
      <c r="E721" t="s">
        <v>87</v>
      </c>
      <c r="F721" t="s">
        <v>87</v>
      </c>
      <c r="G721" t="s">
        <v>88</v>
      </c>
      <c r="H721" t="s">
        <v>81</v>
      </c>
      <c r="J721" t="s">
        <v>83</v>
      </c>
      <c r="L721">
        <v>3</v>
      </c>
      <c r="M721" t="s">
        <v>83</v>
      </c>
      <c r="O721" t="s">
        <v>83</v>
      </c>
      <c r="P721" t="s">
        <v>84</v>
      </c>
    </row>
    <row r="722" spans="1:16">
      <c r="A722" t="s">
        <v>783</v>
      </c>
      <c r="B722" t="s">
        <v>77</v>
      </c>
      <c r="C722" t="s">
        <v>485</v>
      </c>
      <c r="D722" t="s">
        <v>485</v>
      </c>
      <c r="E722" t="s">
        <v>89</v>
      </c>
      <c r="F722" t="s">
        <v>89</v>
      </c>
      <c r="G722" t="s">
        <v>90</v>
      </c>
      <c r="H722" t="s">
        <v>81</v>
      </c>
      <c r="J722" t="s">
        <v>83</v>
      </c>
      <c r="K722" t="s">
        <v>83</v>
      </c>
      <c r="L722">
        <v>4</v>
      </c>
      <c r="M722" t="s">
        <v>83</v>
      </c>
      <c r="O722" t="s">
        <v>83</v>
      </c>
      <c r="P722" t="s">
        <v>84</v>
      </c>
    </row>
    <row r="723" spans="1:16">
      <c r="A723" t="s">
        <v>783</v>
      </c>
      <c r="B723" t="s">
        <v>77</v>
      </c>
      <c r="C723" t="s">
        <v>485</v>
      </c>
      <c r="D723" t="s">
        <v>485</v>
      </c>
      <c r="E723" t="s">
        <v>486</v>
      </c>
      <c r="F723" t="s">
        <v>486</v>
      </c>
      <c r="G723" t="s">
        <v>80</v>
      </c>
      <c r="H723" t="s">
        <v>81</v>
      </c>
      <c r="I723" t="s">
        <v>82</v>
      </c>
      <c r="L723">
        <v>5</v>
      </c>
      <c r="M723" t="s">
        <v>83</v>
      </c>
      <c r="O723" t="s">
        <v>83</v>
      </c>
      <c r="P723" t="s">
        <v>84</v>
      </c>
    </row>
    <row r="724" spans="1:16">
      <c r="A724" t="s">
        <v>783</v>
      </c>
      <c r="B724" t="s">
        <v>77</v>
      </c>
      <c r="C724" t="s">
        <v>485</v>
      </c>
      <c r="D724" t="s">
        <v>485</v>
      </c>
      <c r="E724" t="s">
        <v>487</v>
      </c>
      <c r="F724" t="s">
        <v>487</v>
      </c>
      <c r="G724" t="s">
        <v>90</v>
      </c>
      <c r="H724" t="s">
        <v>81</v>
      </c>
      <c r="L724">
        <v>6</v>
      </c>
      <c r="M724" t="s">
        <v>83</v>
      </c>
      <c r="O724" t="s">
        <v>83</v>
      </c>
      <c r="P724" t="s">
        <v>84</v>
      </c>
    </row>
    <row r="725" spans="1:16">
      <c r="A725" t="s">
        <v>783</v>
      </c>
      <c r="B725" t="s">
        <v>77</v>
      </c>
      <c r="C725" t="s">
        <v>485</v>
      </c>
      <c r="D725" t="s">
        <v>485</v>
      </c>
      <c r="E725" t="s">
        <v>91</v>
      </c>
      <c r="F725" t="s">
        <v>91</v>
      </c>
      <c r="G725" t="s">
        <v>92</v>
      </c>
      <c r="H725" t="s">
        <v>81</v>
      </c>
      <c r="J725" t="s">
        <v>83</v>
      </c>
      <c r="L725">
        <v>7</v>
      </c>
      <c r="M725" t="s">
        <v>83</v>
      </c>
      <c r="O725" t="s">
        <v>83</v>
      </c>
      <c r="P725" t="s">
        <v>84</v>
      </c>
    </row>
    <row r="726" spans="1:16">
      <c r="A726" t="s">
        <v>783</v>
      </c>
      <c r="B726" t="s">
        <v>77</v>
      </c>
      <c r="C726" t="s">
        <v>485</v>
      </c>
      <c r="D726" t="s">
        <v>485</v>
      </c>
      <c r="E726" t="s">
        <v>488</v>
      </c>
      <c r="F726" t="s">
        <v>488</v>
      </c>
      <c r="G726" t="s">
        <v>94</v>
      </c>
      <c r="H726" t="s">
        <v>81</v>
      </c>
      <c r="L726">
        <v>8</v>
      </c>
      <c r="M726" t="s">
        <v>83</v>
      </c>
      <c r="O726" t="s">
        <v>83</v>
      </c>
      <c r="P726" t="s">
        <v>84</v>
      </c>
    </row>
    <row r="727" spans="1:16">
      <c r="A727" t="s">
        <v>783</v>
      </c>
      <c r="B727" t="s">
        <v>77</v>
      </c>
      <c r="C727" t="s">
        <v>485</v>
      </c>
      <c r="D727" t="s">
        <v>485</v>
      </c>
      <c r="E727" t="s">
        <v>489</v>
      </c>
      <c r="F727" t="s">
        <v>489</v>
      </c>
      <c r="G727" t="s">
        <v>88</v>
      </c>
      <c r="H727" t="s">
        <v>81</v>
      </c>
      <c r="L727">
        <v>9</v>
      </c>
      <c r="M727" t="s">
        <v>83</v>
      </c>
      <c r="O727" t="s">
        <v>83</v>
      </c>
      <c r="P727" t="s">
        <v>84</v>
      </c>
    </row>
    <row r="728" spans="1:16">
      <c r="A728" t="s">
        <v>783</v>
      </c>
      <c r="B728" t="s">
        <v>77</v>
      </c>
      <c r="C728" t="s">
        <v>485</v>
      </c>
      <c r="D728" t="s">
        <v>485</v>
      </c>
      <c r="E728" t="s">
        <v>490</v>
      </c>
      <c r="F728" t="s">
        <v>490</v>
      </c>
      <c r="G728" t="s">
        <v>94</v>
      </c>
      <c r="H728" t="s">
        <v>81</v>
      </c>
      <c r="L728">
        <v>10</v>
      </c>
      <c r="M728" t="s">
        <v>83</v>
      </c>
      <c r="O728" t="s">
        <v>83</v>
      </c>
      <c r="P728" t="s">
        <v>84</v>
      </c>
    </row>
    <row r="729" spans="1:16">
      <c r="A729" t="s">
        <v>783</v>
      </c>
      <c r="B729" t="s">
        <v>77</v>
      </c>
      <c r="C729" t="s">
        <v>485</v>
      </c>
      <c r="D729" t="s">
        <v>485</v>
      </c>
      <c r="E729" t="s">
        <v>491</v>
      </c>
      <c r="F729" t="s">
        <v>491</v>
      </c>
      <c r="G729" t="s">
        <v>98</v>
      </c>
      <c r="H729" t="s">
        <v>81</v>
      </c>
      <c r="L729">
        <v>11</v>
      </c>
      <c r="M729" t="s">
        <v>83</v>
      </c>
      <c r="O729" t="s">
        <v>83</v>
      </c>
      <c r="P729" t="s">
        <v>84</v>
      </c>
    </row>
    <row r="730" spans="1:16">
      <c r="A730" t="s">
        <v>783</v>
      </c>
      <c r="B730" t="s">
        <v>77</v>
      </c>
      <c r="C730" t="s">
        <v>485</v>
      </c>
      <c r="D730" t="s">
        <v>485</v>
      </c>
      <c r="E730" t="s">
        <v>492</v>
      </c>
      <c r="F730" t="s">
        <v>492</v>
      </c>
      <c r="G730" t="s">
        <v>98</v>
      </c>
      <c r="H730" t="s">
        <v>81</v>
      </c>
      <c r="L730">
        <v>12</v>
      </c>
      <c r="M730" t="s">
        <v>83</v>
      </c>
      <c r="O730" t="s">
        <v>83</v>
      </c>
      <c r="P730" t="s">
        <v>84</v>
      </c>
    </row>
    <row r="731" spans="1:16">
      <c r="A731" t="s">
        <v>783</v>
      </c>
      <c r="B731" t="s">
        <v>77</v>
      </c>
      <c r="C731" t="s">
        <v>485</v>
      </c>
      <c r="D731" t="s">
        <v>485</v>
      </c>
      <c r="E731" t="s">
        <v>493</v>
      </c>
      <c r="F731" t="s">
        <v>493</v>
      </c>
      <c r="G731" t="s">
        <v>98</v>
      </c>
      <c r="H731" t="s">
        <v>81</v>
      </c>
      <c r="L731">
        <v>13</v>
      </c>
      <c r="M731" t="s">
        <v>83</v>
      </c>
      <c r="O731" t="s">
        <v>83</v>
      </c>
      <c r="P731" t="s">
        <v>84</v>
      </c>
    </row>
    <row r="732" spans="1:16">
      <c r="A732" t="s">
        <v>783</v>
      </c>
      <c r="B732" t="s">
        <v>77</v>
      </c>
      <c r="C732" t="s">
        <v>485</v>
      </c>
      <c r="D732" t="s">
        <v>485</v>
      </c>
      <c r="E732" t="s">
        <v>494</v>
      </c>
      <c r="F732" t="s">
        <v>494</v>
      </c>
      <c r="G732" t="s">
        <v>188</v>
      </c>
      <c r="H732" t="s">
        <v>81</v>
      </c>
      <c r="L732">
        <v>14</v>
      </c>
      <c r="M732" t="s">
        <v>83</v>
      </c>
      <c r="O732" t="s">
        <v>83</v>
      </c>
      <c r="P732" t="s">
        <v>84</v>
      </c>
    </row>
    <row r="733" spans="1:16">
      <c r="A733" t="s">
        <v>783</v>
      </c>
      <c r="B733" t="s">
        <v>77</v>
      </c>
      <c r="C733" t="s">
        <v>485</v>
      </c>
      <c r="D733" t="s">
        <v>485</v>
      </c>
      <c r="E733" t="s">
        <v>112</v>
      </c>
      <c r="F733" t="s">
        <v>112</v>
      </c>
      <c r="G733" t="s">
        <v>113</v>
      </c>
      <c r="H733" t="s">
        <v>81</v>
      </c>
      <c r="I733" t="s">
        <v>114</v>
      </c>
      <c r="L733">
        <v>15</v>
      </c>
      <c r="M733" t="s">
        <v>83</v>
      </c>
      <c r="O733" t="s">
        <v>83</v>
      </c>
      <c r="P733" t="s">
        <v>84</v>
      </c>
    </row>
    <row r="734" spans="1:16">
      <c r="A734" t="s">
        <v>783</v>
      </c>
      <c r="B734" t="s">
        <v>77</v>
      </c>
      <c r="C734" t="s">
        <v>485</v>
      </c>
      <c r="D734" t="s">
        <v>485</v>
      </c>
      <c r="E734" t="s">
        <v>115</v>
      </c>
      <c r="F734" t="s">
        <v>115</v>
      </c>
      <c r="G734" t="s">
        <v>113</v>
      </c>
      <c r="H734" t="s">
        <v>81</v>
      </c>
      <c r="I734" t="s">
        <v>114</v>
      </c>
      <c r="L734">
        <v>16</v>
      </c>
      <c r="M734" t="s">
        <v>83</v>
      </c>
      <c r="O734" t="s">
        <v>83</v>
      </c>
      <c r="P734" t="s">
        <v>84</v>
      </c>
    </row>
    <row r="735" spans="1:16">
      <c r="A735" t="s">
        <v>783</v>
      </c>
      <c r="B735" t="s">
        <v>77</v>
      </c>
      <c r="C735" t="s">
        <v>485</v>
      </c>
      <c r="D735" t="s">
        <v>485</v>
      </c>
      <c r="E735" t="s">
        <v>327</v>
      </c>
      <c r="F735" t="s">
        <v>327</v>
      </c>
      <c r="G735" t="s">
        <v>90</v>
      </c>
      <c r="H735" t="s">
        <v>81</v>
      </c>
      <c r="L735">
        <v>17</v>
      </c>
      <c r="M735" t="s">
        <v>83</v>
      </c>
      <c r="O735" t="s">
        <v>83</v>
      </c>
      <c r="P735" t="s">
        <v>84</v>
      </c>
    </row>
    <row r="736" spans="1:16">
      <c r="A736" t="s">
        <v>783</v>
      </c>
      <c r="B736" t="s">
        <v>77</v>
      </c>
      <c r="C736" t="s">
        <v>485</v>
      </c>
      <c r="D736" t="s">
        <v>485</v>
      </c>
      <c r="E736" t="s">
        <v>117</v>
      </c>
      <c r="F736" t="s">
        <v>117</v>
      </c>
      <c r="G736" t="s">
        <v>90</v>
      </c>
      <c r="H736" t="s">
        <v>81</v>
      </c>
      <c r="L736">
        <v>24</v>
      </c>
      <c r="M736" t="s">
        <v>83</v>
      </c>
      <c r="O736" t="s">
        <v>83</v>
      </c>
      <c r="P736" t="s">
        <v>84</v>
      </c>
    </row>
    <row r="737" spans="1:16">
      <c r="A737" t="s">
        <v>783</v>
      </c>
      <c r="B737" t="s">
        <v>77</v>
      </c>
      <c r="C737" t="s">
        <v>485</v>
      </c>
      <c r="D737" t="s">
        <v>485</v>
      </c>
      <c r="E737" t="s">
        <v>328</v>
      </c>
      <c r="F737" t="s">
        <v>328</v>
      </c>
      <c r="G737" t="s">
        <v>90</v>
      </c>
      <c r="H737" t="s">
        <v>81</v>
      </c>
      <c r="L737">
        <v>25</v>
      </c>
      <c r="M737" t="s">
        <v>83</v>
      </c>
      <c r="O737" t="s">
        <v>83</v>
      </c>
      <c r="P737" t="s">
        <v>84</v>
      </c>
    </row>
    <row r="738" spans="1:16">
      <c r="A738" t="s">
        <v>783</v>
      </c>
      <c r="B738" t="s">
        <v>77</v>
      </c>
      <c r="C738" t="s">
        <v>485</v>
      </c>
      <c r="D738" t="s">
        <v>485</v>
      </c>
      <c r="E738" t="s">
        <v>118</v>
      </c>
      <c r="F738" t="s">
        <v>118</v>
      </c>
      <c r="G738" t="s">
        <v>92</v>
      </c>
      <c r="H738" t="s">
        <v>81</v>
      </c>
      <c r="L738">
        <v>26</v>
      </c>
      <c r="M738" t="s">
        <v>83</v>
      </c>
      <c r="O738" t="s">
        <v>83</v>
      </c>
      <c r="P738" t="s">
        <v>84</v>
      </c>
    </row>
    <row r="739" spans="1:16">
      <c r="A739" t="s">
        <v>783</v>
      </c>
      <c r="B739" t="s">
        <v>77</v>
      </c>
      <c r="C739" t="s">
        <v>485</v>
      </c>
      <c r="D739" t="s">
        <v>485</v>
      </c>
      <c r="E739" t="s">
        <v>784</v>
      </c>
      <c r="F739" t="s">
        <v>784</v>
      </c>
      <c r="G739" t="s">
        <v>80</v>
      </c>
      <c r="H739" t="s">
        <v>81</v>
      </c>
      <c r="I739" t="s">
        <v>82</v>
      </c>
      <c r="L739">
        <v>27</v>
      </c>
      <c r="M739" t="s">
        <v>83</v>
      </c>
      <c r="O739" t="s">
        <v>83</v>
      </c>
      <c r="P739" t="s">
        <v>84</v>
      </c>
    </row>
    <row r="740" spans="1:16">
      <c r="A740" t="s">
        <v>783</v>
      </c>
      <c r="B740" t="s">
        <v>77</v>
      </c>
      <c r="C740" t="s">
        <v>485</v>
      </c>
      <c r="D740" t="s">
        <v>485</v>
      </c>
      <c r="E740" t="s">
        <v>785</v>
      </c>
      <c r="F740" t="s">
        <v>785</v>
      </c>
      <c r="G740" t="s">
        <v>80</v>
      </c>
      <c r="H740" t="s">
        <v>81</v>
      </c>
      <c r="I740" t="s">
        <v>82</v>
      </c>
      <c r="L740">
        <v>28</v>
      </c>
      <c r="M740" t="s">
        <v>83</v>
      </c>
      <c r="O740" t="s">
        <v>83</v>
      </c>
      <c r="P740" t="s">
        <v>84</v>
      </c>
    </row>
    <row r="741" spans="1:16">
      <c r="A741" t="s">
        <v>783</v>
      </c>
      <c r="B741" t="s">
        <v>77</v>
      </c>
      <c r="C741" t="s">
        <v>485</v>
      </c>
      <c r="D741" t="s">
        <v>485</v>
      </c>
      <c r="E741" t="s">
        <v>786</v>
      </c>
      <c r="F741" t="s">
        <v>786</v>
      </c>
      <c r="G741" t="s">
        <v>787</v>
      </c>
      <c r="H741" t="s">
        <v>81</v>
      </c>
      <c r="L741">
        <v>29</v>
      </c>
      <c r="M741" t="s">
        <v>83</v>
      </c>
      <c r="O741" t="s">
        <v>83</v>
      </c>
      <c r="P741" t="s">
        <v>84</v>
      </c>
    </row>
    <row r="742" spans="1:16">
      <c r="A742" t="s">
        <v>783</v>
      </c>
      <c r="B742" t="s">
        <v>77</v>
      </c>
      <c r="C742" t="s">
        <v>495</v>
      </c>
      <c r="D742" t="s">
        <v>495</v>
      </c>
      <c r="E742" t="s">
        <v>79</v>
      </c>
      <c r="F742" t="s">
        <v>79</v>
      </c>
      <c r="G742" t="s">
        <v>80</v>
      </c>
      <c r="H742" t="s">
        <v>81</v>
      </c>
      <c r="I742" t="s">
        <v>82</v>
      </c>
      <c r="L742">
        <v>1</v>
      </c>
      <c r="M742" t="s">
        <v>83</v>
      </c>
      <c r="O742" t="s">
        <v>83</v>
      </c>
      <c r="P742" t="s">
        <v>84</v>
      </c>
    </row>
    <row r="743" spans="1:16">
      <c r="A743" t="s">
        <v>783</v>
      </c>
      <c r="B743" t="s">
        <v>77</v>
      </c>
      <c r="C743" t="s">
        <v>495</v>
      </c>
      <c r="D743" t="s">
        <v>495</v>
      </c>
      <c r="E743" t="s">
        <v>86</v>
      </c>
      <c r="F743" t="s">
        <v>86</v>
      </c>
      <c r="G743" t="s">
        <v>80</v>
      </c>
      <c r="H743" t="s">
        <v>81</v>
      </c>
      <c r="I743" t="s">
        <v>82</v>
      </c>
      <c r="L743">
        <v>2</v>
      </c>
      <c r="M743" t="s">
        <v>83</v>
      </c>
      <c r="O743" t="s">
        <v>83</v>
      </c>
      <c r="P743" t="s">
        <v>84</v>
      </c>
    </row>
    <row r="744" spans="1:16">
      <c r="A744" t="s">
        <v>783</v>
      </c>
      <c r="B744" t="s">
        <v>77</v>
      </c>
      <c r="C744" t="s">
        <v>495</v>
      </c>
      <c r="D744" t="s">
        <v>495</v>
      </c>
      <c r="E744" t="s">
        <v>87</v>
      </c>
      <c r="F744" t="s">
        <v>87</v>
      </c>
      <c r="G744" t="s">
        <v>88</v>
      </c>
      <c r="H744" t="s">
        <v>81</v>
      </c>
      <c r="J744" t="s">
        <v>83</v>
      </c>
      <c r="L744">
        <v>3</v>
      </c>
      <c r="M744" t="s">
        <v>83</v>
      </c>
      <c r="O744" t="s">
        <v>83</v>
      </c>
      <c r="P744" t="s">
        <v>84</v>
      </c>
    </row>
    <row r="745" spans="1:16">
      <c r="A745" t="s">
        <v>783</v>
      </c>
      <c r="B745" t="s">
        <v>77</v>
      </c>
      <c r="C745" t="s">
        <v>495</v>
      </c>
      <c r="D745" t="s">
        <v>495</v>
      </c>
      <c r="E745" t="s">
        <v>89</v>
      </c>
      <c r="F745" t="s">
        <v>89</v>
      </c>
      <c r="G745" t="s">
        <v>90</v>
      </c>
      <c r="H745" t="s">
        <v>81</v>
      </c>
      <c r="J745" t="s">
        <v>83</v>
      </c>
      <c r="K745" t="s">
        <v>83</v>
      </c>
      <c r="L745">
        <v>4</v>
      </c>
      <c r="M745" t="s">
        <v>83</v>
      </c>
      <c r="O745" t="s">
        <v>83</v>
      </c>
      <c r="P745" t="s">
        <v>84</v>
      </c>
    </row>
    <row r="746" spans="1:16">
      <c r="A746" t="s">
        <v>783</v>
      </c>
      <c r="B746" t="s">
        <v>77</v>
      </c>
      <c r="C746" t="s">
        <v>495</v>
      </c>
      <c r="D746" t="s">
        <v>495</v>
      </c>
      <c r="E746" t="s">
        <v>496</v>
      </c>
      <c r="F746" t="s">
        <v>496</v>
      </c>
      <c r="G746" t="s">
        <v>80</v>
      </c>
      <c r="H746" t="s">
        <v>81</v>
      </c>
      <c r="I746" t="s">
        <v>82</v>
      </c>
      <c r="L746">
        <v>5</v>
      </c>
      <c r="M746" t="s">
        <v>83</v>
      </c>
      <c r="O746" t="s">
        <v>83</v>
      </c>
      <c r="P746" t="s">
        <v>84</v>
      </c>
    </row>
    <row r="747" spans="1:16">
      <c r="A747" t="s">
        <v>783</v>
      </c>
      <c r="B747" t="s">
        <v>77</v>
      </c>
      <c r="C747" t="s">
        <v>495</v>
      </c>
      <c r="D747" t="s">
        <v>495</v>
      </c>
      <c r="E747" t="s">
        <v>497</v>
      </c>
      <c r="F747" t="s">
        <v>497</v>
      </c>
      <c r="G747" t="s">
        <v>90</v>
      </c>
      <c r="H747" t="s">
        <v>81</v>
      </c>
      <c r="L747">
        <v>6</v>
      </c>
      <c r="M747" t="s">
        <v>83</v>
      </c>
      <c r="O747" t="s">
        <v>83</v>
      </c>
      <c r="P747" t="s">
        <v>84</v>
      </c>
    </row>
    <row r="748" spans="1:16">
      <c r="A748" t="s">
        <v>783</v>
      </c>
      <c r="B748" t="s">
        <v>77</v>
      </c>
      <c r="C748" t="s">
        <v>495</v>
      </c>
      <c r="D748" t="s">
        <v>495</v>
      </c>
      <c r="E748" t="s">
        <v>91</v>
      </c>
      <c r="F748" t="s">
        <v>91</v>
      </c>
      <c r="G748" t="s">
        <v>92</v>
      </c>
      <c r="H748" t="s">
        <v>81</v>
      </c>
      <c r="J748" t="s">
        <v>83</v>
      </c>
      <c r="L748">
        <v>7</v>
      </c>
      <c r="M748" t="s">
        <v>83</v>
      </c>
      <c r="O748" t="s">
        <v>83</v>
      </c>
      <c r="P748" t="s">
        <v>84</v>
      </c>
    </row>
    <row r="749" spans="1:16">
      <c r="A749" t="s">
        <v>783</v>
      </c>
      <c r="B749" t="s">
        <v>77</v>
      </c>
      <c r="C749" t="s">
        <v>495</v>
      </c>
      <c r="D749" t="s">
        <v>495</v>
      </c>
      <c r="E749" t="s">
        <v>498</v>
      </c>
      <c r="F749" t="s">
        <v>498</v>
      </c>
      <c r="G749" t="s">
        <v>94</v>
      </c>
      <c r="H749" t="s">
        <v>81</v>
      </c>
      <c r="L749">
        <v>8</v>
      </c>
      <c r="M749" t="s">
        <v>83</v>
      </c>
      <c r="O749" t="s">
        <v>83</v>
      </c>
      <c r="P749" t="s">
        <v>84</v>
      </c>
    </row>
    <row r="750" spans="1:16">
      <c r="A750" t="s">
        <v>783</v>
      </c>
      <c r="B750" t="s">
        <v>77</v>
      </c>
      <c r="C750" t="s">
        <v>495</v>
      </c>
      <c r="D750" t="s">
        <v>495</v>
      </c>
      <c r="E750" t="s">
        <v>499</v>
      </c>
      <c r="F750" t="s">
        <v>499</v>
      </c>
      <c r="G750" t="s">
        <v>88</v>
      </c>
      <c r="H750" t="s">
        <v>81</v>
      </c>
      <c r="L750">
        <v>9</v>
      </c>
      <c r="M750" t="s">
        <v>83</v>
      </c>
      <c r="O750" t="s">
        <v>83</v>
      </c>
      <c r="P750" t="s">
        <v>84</v>
      </c>
    </row>
    <row r="751" spans="1:16">
      <c r="A751" t="s">
        <v>783</v>
      </c>
      <c r="B751" t="s">
        <v>77</v>
      </c>
      <c r="C751" t="s">
        <v>495</v>
      </c>
      <c r="D751" t="s">
        <v>495</v>
      </c>
      <c r="E751" t="s">
        <v>500</v>
      </c>
      <c r="F751" t="s">
        <v>500</v>
      </c>
      <c r="G751" t="s">
        <v>94</v>
      </c>
      <c r="H751" t="s">
        <v>81</v>
      </c>
      <c r="L751">
        <v>10</v>
      </c>
      <c r="M751" t="s">
        <v>83</v>
      </c>
      <c r="O751" t="s">
        <v>83</v>
      </c>
      <c r="P751" t="s">
        <v>84</v>
      </c>
    </row>
    <row r="752" spans="1:16">
      <c r="A752" t="s">
        <v>783</v>
      </c>
      <c r="B752" t="s">
        <v>77</v>
      </c>
      <c r="C752" t="s">
        <v>495</v>
      </c>
      <c r="D752" t="s">
        <v>495</v>
      </c>
      <c r="E752" t="s">
        <v>501</v>
      </c>
      <c r="F752" t="s">
        <v>501</v>
      </c>
      <c r="G752" t="s">
        <v>98</v>
      </c>
      <c r="H752" t="s">
        <v>81</v>
      </c>
      <c r="L752">
        <v>11</v>
      </c>
      <c r="M752" t="s">
        <v>83</v>
      </c>
      <c r="O752" t="s">
        <v>83</v>
      </c>
      <c r="P752" t="s">
        <v>84</v>
      </c>
    </row>
    <row r="753" spans="1:16">
      <c r="A753" t="s">
        <v>783</v>
      </c>
      <c r="B753" t="s">
        <v>77</v>
      </c>
      <c r="C753" t="s">
        <v>495</v>
      </c>
      <c r="D753" t="s">
        <v>495</v>
      </c>
      <c r="E753" t="s">
        <v>502</v>
      </c>
      <c r="F753" t="s">
        <v>502</v>
      </c>
      <c r="G753" t="s">
        <v>98</v>
      </c>
      <c r="H753" t="s">
        <v>81</v>
      </c>
      <c r="L753">
        <v>12</v>
      </c>
      <c r="M753" t="s">
        <v>83</v>
      </c>
      <c r="O753" t="s">
        <v>83</v>
      </c>
      <c r="P753" t="s">
        <v>84</v>
      </c>
    </row>
    <row r="754" spans="1:16">
      <c r="A754" t="s">
        <v>783</v>
      </c>
      <c r="B754" t="s">
        <v>77</v>
      </c>
      <c r="C754" t="s">
        <v>495</v>
      </c>
      <c r="D754" t="s">
        <v>495</v>
      </c>
      <c r="E754" t="s">
        <v>503</v>
      </c>
      <c r="F754" t="s">
        <v>503</v>
      </c>
      <c r="G754" t="s">
        <v>98</v>
      </c>
      <c r="H754" t="s">
        <v>81</v>
      </c>
      <c r="L754">
        <v>13</v>
      </c>
      <c r="M754" t="s">
        <v>83</v>
      </c>
      <c r="O754" t="s">
        <v>83</v>
      </c>
      <c r="P754" t="s">
        <v>84</v>
      </c>
    </row>
    <row r="755" spans="1:16">
      <c r="A755" t="s">
        <v>783</v>
      </c>
      <c r="B755" t="s">
        <v>77</v>
      </c>
      <c r="C755" t="s">
        <v>495</v>
      </c>
      <c r="D755" t="s">
        <v>495</v>
      </c>
      <c r="E755" t="s">
        <v>504</v>
      </c>
      <c r="F755" t="s">
        <v>504</v>
      </c>
      <c r="G755" t="s">
        <v>188</v>
      </c>
      <c r="H755" t="s">
        <v>81</v>
      </c>
      <c r="L755">
        <v>14</v>
      </c>
      <c r="M755" t="s">
        <v>83</v>
      </c>
      <c r="O755" t="s">
        <v>83</v>
      </c>
      <c r="P755" t="s">
        <v>84</v>
      </c>
    </row>
    <row r="756" spans="1:16">
      <c r="A756" t="s">
        <v>783</v>
      </c>
      <c r="B756" t="s">
        <v>77</v>
      </c>
      <c r="C756" t="s">
        <v>495</v>
      </c>
      <c r="D756" t="s">
        <v>495</v>
      </c>
      <c r="E756" t="s">
        <v>112</v>
      </c>
      <c r="F756" t="s">
        <v>112</v>
      </c>
      <c r="G756" t="s">
        <v>113</v>
      </c>
      <c r="H756" t="s">
        <v>81</v>
      </c>
      <c r="I756" t="s">
        <v>114</v>
      </c>
      <c r="L756">
        <v>15</v>
      </c>
      <c r="M756" t="s">
        <v>83</v>
      </c>
      <c r="O756" t="s">
        <v>83</v>
      </c>
      <c r="P756" t="s">
        <v>84</v>
      </c>
    </row>
    <row r="757" spans="1:16">
      <c r="A757" t="s">
        <v>783</v>
      </c>
      <c r="B757" t="s">
        <v>77</v>
      </c>
      <c r="C757" t="s">
        <v>495</v>
      </c>
      <c r="D757" t="s">
        <v>495</v>
      </c>
      <c r="E757" t="s">
        <v>115</v>
      </c>
      <c r="F757" t="s">
        <v>115</v>
      </c>
      <c r="G757" t="s">
        <v>113</v>
      </c>
      <c r="H757" t="s">
        <v>81</v>
      </c>
      <c r="I757" t="s">
        <v>114</v>
      </c>
      <c r="L757">
        <v>16</v>
      </c>
      <c r="M757" t="s">
        <v>83</v>
      </c>
      <c r="O757" t="s">
        <v>83</v>
      </c>
      <c r="P757" t="s">
        <v>84</v>
      </c>
    </row>
    <row r="758" spans="1:16">
      <c r="A758" t="s">
        <v>783</v>
      </c>
      <c r="B758" t="s">
        <v>77</v>
      </c>
      <c r="C758" t="s">
        <v>495</v>
      </c>
      <c r="D758" t="s">
        <v>495</v>
      </c>
      <c r="E758" t="s">
        <v>327</v>
      </c>
      <c r="F758" t="s">
        <v>327</v>
      </c>
      <c r="G758" t="s">
        <v>90</v>
      </c>
      <c r="H758" t="s">
        <v>81</v>
      </c>
      <c r="L758">
        <v>17</v>
      </c>
      <c r="M758" t="s">
        <v>83</v>
      </c>
      <c r="O758" t="s">
        <v>83</v>
      </c>
      <c r="P758" t="s">
        <v>84</v>
      </c>
    </row>
    <row r="759" spans="1:16">
      <c r="A759" t="s">
        <v>783</v>
      </c>
      <c r="B759" t="s">
        <v>77</v>
      </c>
      <c r="C759" t="s">
        <v>495</v>
      </c>
      <c r="D759" t="s">
        <v>495</v>
      </c>
      <c r="E759" t="s">
        <v>117</v>
      </c>
      <c r="F759" t="s">
        <v>117</v>
      </c>
      <c r="G759" t="s">
        <v>90</v>
      </c>
      <c r="H759" t="s">
        <v>81</v>
      </c>
      <c r="L759">
        <v>24</v>
      </c>
      <c r="M759" t="s">
        <v>83</v>
      </c>
      <c r="O759" t="s">
        <v>83</v>
      </c>
      <c r="P759" t="s">
        <v>84</v>
      </c>
    </row>
    <row r="760" spans="1:16">
      <c r="A760" t="s">
        <v>783</v>
      </c>
      <c r="B760" t="s">
        <v>77</v>
      </c>
      <c r="C760" t="s">
        <v>495</v>
      </c>
      <c r="D760" t="s">
        <v>495</v>
      </c>
      <c r="E760" t="s">
        <v>328</v>
      </c>
      <c r="F760" t="s">
        <v>328</v>
      </c>
      <c r="G760" t="s">
        <v>90</v>
      </c>
      <c r="H760" t="s">
        <v>81</v>
      </c>
      <c r="L760">
        <v>25</v>
      </c>
      <c r="M760" t="s">
        <v>83</v>
      </c>
      <c r="O760" t="s">
        <v>83</v>
      </c>
      <c r="P760" t="s">
        <v>84</v>
      </c>
    </row>
    <row r="761" spans="1:16">
      <c r="A761" t="s">
        <v>783</v>
      </c>
      <c r="B761" t="s">
        <v>77</v>
      </c>
      <c r="C761" t="s">
        <v>495</v>
      </c>
      <c r="D761" t="s">
        <v>495</v>
      </c>
      <c r="E761" t="s">
        <v>118</v>
      </c>
      <c r="F761" t="s">
        <v>118</v>
      </c>
      <c r="G761" t="s">
        <v>92</v>
      </c>
      <c r="H761" t="s">
        <v>81</v>
      </c>
      <c r="L761">
        <v>26</v>
      </c>
      <c r="M761" t="s">
        <v>83</v>
      </c>
      <c r="O761" t="s">
        <v>83</v>
      </c>
      <c r="P761" t="s">
        <v>84</v>
      </c>
    </row>
    <row r="762" spans="1:16">
      <c r="A762" t="s">
        <v>783</v>
      </c>
      <c r="B762" t="s">
        <v>77</v>
      </c>
      <c r="C762" t="s">
        <v>495</v>
      </c>
      <c r="D762" t="s">
        <v>495</v>
      </c>
      <c r="E762" t="s">
        <v>784</v>
      </c>
      <c r="F762" t="s">
        <v>784</v>
      </c>
      <c r="G762" t="s">
        <v>80</v>
      </c>
      <c r="H762" t="s">
        <v>81</v>
      </c>
      <c r="I762" t="s">
        <v>82</v>
      </c>
      <c r="L762">
        <v>27</v>
      </c>
      <c r="M762" t="s">
        <v>83</v>
      </c>
      <c r="O762" t="s">
        <v>83</v>
      </c>
      <c r="P762" t="s">
        <v>84</v>
      </c>
    </row>
    <row r="763" spans="1:16">
      <c r="A763" t="s">
        <v>783</v>
      </c>
      <c r="B763" t="s">
        <v>77</v>
      </c>
      <c r="C763" t="s">
        <v>495</v>
      </c>
      <c r="D763" t="s">
        <v>495</v>
      </c>
      <c r="E763" t="s">
        <v>785</v>
      </c>
      <c r="F763" t="s">
        <v>785</v>
      </c>
      <c r="G763" t="s">
        <v>80</v>
      </c>
      <c r="H763" t="s">
        <v>81</v>
      </c>
      <c r="I763" t="s">
        <v>82</v>
      </c>
      <c r="L763">
        <v>28</v>
      </c>
      <c r="M763" t="s">
        <v>83</v>
      </c>
      <c r="O763" t="s">
        <v>83</v>
      </c>
      <c r="P763" t="s">
        <v>84</v>
      </c>
    </row>
    <row r="764" spans="1:16">
      <c r="A764" t="s">
        <v>783</v>
      </c>
      <c r="B764" t="s">
        <v>77</v>
      </c>
      <c r="C764" t="s">
        <v>495</v>
      </c>
      <c r="D764" t="s">
        <v>495</v>
      </c>
      <c r="E764" t="s">
        <v>786</v>
      </c>
      <c r="F764" t="s">
        <v>786</v>
      </c>
      <c r="G764" t="s">
        <v>787</v>
      </c>
      <c r="H764" t="s">
        <v>81</v>
      </c>
      <c r="L764">
        <v>29</v>
      </c>
      <c r="M764" t="s">
        <v>83</v>
      </c>
      <c r="O764" t="s">
        <v>83</v>
      </c>
      <c r="P764" t="s">
        <v>84</v>
      </c>
    </row>
    <row r="765" spans="1:16">
      <c r="A765" t="s">
        <v>783</v>
      </c>
      <c r="B765" t="s">
        <v>77</v>
      </c>
      <c r="C765" t="s">
        <v>505</v>
      </c>
      <c r="D765" t="s">
        <v>505</v>
      </c>
      <c r="E765" t="s">
        <v>79</v>
      </c>
      <c r="F765" t="s">
        <v>79</v>
      </c>
      <c r="G765" t="s">
        <v>80</v>
      </c>
      <c r="H765" t="s">
        <v>81</v>
      </c>
      <c r="I765" t="s">
        <v>82</v>
      </c>
      <c r="L765">
        <v>1</v>
      </c>
      <c r="M765" t="s">
        <v>83</v>
      </c>
      <c r="O765" t="s">
        <v>83</v>
      </c>
      <c r="P765" t="s">
        <v>84</v>
      </c>
    </row>
    <row r="766" spans="1:16">
      <c r="A766" t="s">
        <v>783</v>
      </c>
      <c r="B766" t="s">
        <v>77</v>
      </c>
      <c r="C766" t="s">
        <v>505</v>
      </c>
      <c r="D766" t="s">
        <v>505</v>
      </c>
      <c r="E766" t="s">
        <v>86</v>
      </c>
      <c r="F766" t="s">
        <v>86</v>
      </c>
      <c r="G766" t="s">
        <v>80</v>
      </c>
      <c r="H766" t="s">
        <v>81</v>
      </c>
      <c r="I766" t="s">
        <v>82</v>
      </c>
      <c r="L766">
        <v>2</v>
      </c>
      <c r="M766" t="s">
        <v>83</v>
      </c>
      <c r="O766" t="s">
        <v>83</v>
      </c>
      <c r="P766" t="s">
        <v>84</v>
      </c>
    </row>
    <row r="767" spans="1:16">
      <c r="A767" t="s">
        <v>783</v>
      </c>
      <c r="B767" t="s">
        <v>77</v>
      </c>
      <c r="C767" t="s">
        <v>505</v>
      </c>
      <c r="D767" t="s">
        <v>505</v>
      </c>
      <c r="E767" t="s">
        <v>87</v>
      </c>
      <c r="F767" t="s">
        <v>87</v>
      </c>
      <c r="G767" t="s">
        <v>88</v>
      </c>
      <c r="H767" t="s">
        <v>81</v>
      </c>
      <c r="J767" t="s">
        <v>83</v>
      </c>
      <c r="L767">
        <v>3</v>
      </c>
      <c r="M767" t="s">
        <v>83</v>
      </c>
      <c r="O767" t="s">
        <v>83</v>
      </c>
      <c r="P767" t="s">
        <v>84</v>
      </c>
    </row>
    <row r="768" spans="1:16">
      <c r="A768" t="s">
        <v>783</v>
      </c>
      <c r="B768" t="s">
        <v>77</v>
      </c>
      <c r="C768" t="s">
        <v>505</v>
      </c>
      <c r="D768" t="s">
        <v>505</v>
      </c>
      <c r="E768" t="s">
        <v>89</v>
      </c>
      <c r="F768" t="s">
        <v>89</v>
      </c>
      <c r="G768" t="s">
        <v>90</v>
      </c>
      <c r="H768" t="s">
        <v>81</v>
      </c>
      <c r="J768" t="s">
        <v>83</v>
      </c>
      <c r="K768" t="s">
        <v>83</v>
      </c>
      <c r="L768">
        <v>4</v>
      </c>
      <c r="M768" t="s">
        <v>83</v>
      </c>
      <c r="O768" t="s">
        <v>83</v>
      </c>
      <c r="P768" t="s">
        <v>84</v>
      </c>
    </row>
    <row r="769" spans="1:16">
      <c r="A769" t="s">
        <v>783</v>
      </c>
      <c r="B769" t="s">
        <v>77</v>
      </c>
      <c r="C769" t="s">
        <v>505</v>
      </c>
      <c r="D769" t="s">
        <v>505</v>
      </c>
      <c r="E769" t="s">
        <v>506</v>
      </c>
      <c r="F769" t="s">
        <v>506</v>
      </c>
      <c r="G769" t="s">
        <v>94</v>
      </c>
      <c r="H769" t="s">
        <v>81</v>
      </c>
      <c r="L769">
        <v>5</v>
      </c>
      <c r="M769" t="s">
        <v>83</v>
      </c>
      <c r="O769" t="s">
        <v>83</v>
      </c>
      <c r="P769" t="s">
        <v>84</v>
      </c>
    </row>
    <row r="770" spans="1:16">
      <c r="A770" t="s">
        <v>783</v>
      </c>
      <c r="B770" t="s">
        <v>77</v>
      </c>
      <c r="C770" t="s">
        <v>505</v>
      </c>
      <c r="D770" t="s">
        <v>505</v>
      </c>
      <c r="E770" t="s">
        <v>507</v>
      </c>
      <c r="F770" t="s">
        <v>507</v>
      </c>
      <c r="G770" t="s">
        <v>88</v>
      </c>
      <c r="H770" t="s">
        <v>81</v>
      </c>
      <c r="L770">
        <v>6</v>
      </c>
      <c r="M770" t="s">
        <v>83</v>
      </c>
      <c r="O770" t="s">
        <v>83</v>
      </c>
      <c r="P770" t="s">
        <v>84</v>
      </c>
    </row>
    <row r="771" spans="1:16">
      <c r="A771" t="s">
        <v>783</v>
      </c>
      <c r="B771" t="s">
        <v>77</v>
      </c>
      <c r="C771" t="s">
        <v>505</v>
      </c>
      <c r="D771" t="s">
        <v>505</v>
      </c>
      <c r="E771" t="s">
        <v>508</v>
      </c>
      <c r="F771" t="s">
        <v>508</v>
      </c>
      <c r="G771" t="s">
        <v>94</v>
      </c>
      <c r="H771" t="s">
        <v>81</v>
      </c>
      <c r="L771">
        <v>7</v>
      </c>
      <c r="M771" t="s">
        <v>83</v>
      </c>
      <c r="O771" t="s">
        <v>83</v>
      </c>
      <c r="P771" t="s">
        <v>84</v>
      </c>
    </row>
    <row r="772" spans="1:16">
      <c r="A772" t="s">
        <v>783</v>
      </c>
      <c r="B772" t="s">
        <v>77</v>
      </c>
      <c r="C772" t="s">
        <v>505</v>
      </c>
      <c r="D772" t="s">
        <v>505</v>
      </c>
      <c r="E772" t="s">
        <v>509</v>
      </c>
      <c r="F772" t="s">
        <v>509</v>
      </c>
      <c r="G772" t="s">
        <v>80</v>
      </c>
      <c r="H772" t="s">
        <v>81</v>
      </c>
      <c r="I772" t="s">
        <v>82</v>
      </c>
      <c r="L772">
        <v>8</v>
      </c>
      <c r="M772" t="s">
        <v>83</v>
      </c>
      <c r="O772" t="s">
        <v>83</v>
      </c>
      <c r="P772" t="s">
        <v>84</v>
      </c>
    </row>
    <row r="773" spans="1:16">
      <c r="A773" t="s">
        <v>783</v>
      </c>
      <c r="B773" t="s">
        <v>77</v>
      </c>
      <c r="C773" t="s">
        <v>505</v>
      </c>
      <c r="D773" t="s">
        <v>505</v>
      </c>
      <c r="E773" t="s">
        <v>510</v>
      </c>
      <c r="F773" t="s">
        <v>510</v>
      </c>
      <c r="G773" t="s">
        <v>90</v>
      </c>
      <c r="H773" t="s">
        <v>81</v>
      </c>
      <c r="L773">
        <v>9</v>
      </c>
      <c r="M773" t="s">
        <v>83</v>
      </c>
      <c r="O773" t="s">
        <v>83</v>
      </c>
      <c r="P773" t="s">
        <v>84</v>
      </c>
    </row>
    <row r="774" spans="1:16">
      <c r="A774" t="s">
        <v>783</v>
      </c>
      <c r="B774" t="s">
        <v>77</v>
      </c>
      <c r="C774" t="s">
        <v>505</v>
      </c>
      <c r="D774" t="s">
        <v>505</v>
      </c>
      <c r="E774" t="s">
        <v>91</v>
      </c>
      <c r="F774" t="s">
        <v>91</v>
      </c>
      <c r="G774" t="s">
        <v>92</v>
      </c>
      <c r="H774" t="s">
        <v>81</v>
      </c>
      <c r="J774" t="s">
        <v>83</v>
      </c>
      <c r="L774">
        <v>10</v>
      </c>
      <c r="M774" t="s">
        <v>83</v>
      </c>
      <c r="O774" t="s">
        <v>83</v>
      </c>
      <c r="P774" t="s">
        <v>84</v>
      </c>
    </row>
    <row r="775" spans="1:16">
      <c r="A775" t="s">
        <v>783</v>
      </c>
      <c r="B775" t="s">
        <v>77</v>
      </c>
      <c r="C775" t="s">
        <v>505</v>
      </c>
      <c r="D775" t="s">
        <v>505</v>
      </c>
      <c r="E775" t="s">
        <v>511</v>
      </c>
      <c r="F775" t="s">
        <v>511</v>
      </c>
      <c r="G775" t="s">
        <v>98</v>
      </c>
      <c r="H775" t="s">
        <v>81</v>
      </c>
      <c r="L775">
        <v>11</v>
      </c>
      <c r="M775" t="s">
        <v>83</v>
      </c>
      <c r="O775" t="s">
        <v>83</v>
      </c>
      <c r="P775" t="s">
        <v>84</v>
      </c>
    </row>
    <row r="776" spans="1:16">
      <c r="A776" t="s">
        <v>783</v>
      </c>
      <c r="B776" t="s">
        <v>77</v>
      </c>
      <c r="C776" t="s">
        <v>505</v>
      </c>
      <c r="D776" t="s">
        <v>505</v>
      </c>
      <c r="E776" t="s">
        <v>512</v>
      </c>
      <c r="F776" t="s">
        <v>512</v>
      </c>
      <c r="G776" t="s">
        <v>98</v>
      </c>
      <c r="H776" t="s">
        <v>81</v>
      </c>
      <c r="L776">
        <v>12</v>
      </c>
      <c r="M776" t="s">
        <v>83</v>
      </c>
      <c r="O776" t="s">
        <v>83</v>
      </c>
      <c r="P776" t="s">
        <v>84</v>
      </c>
    </row>
    <row r="777" spans="1:16">
      <c r="A777" t="s">
        <v>783</v>
      </c>
      <c r="B777" t="s">
        <v>77</v>
      </c>
      <c r="C777" t="s">
        <v>505</v>
      </c>
      <c r="D777" t="s">
        <v>505</v>
      </c>
      <c r="E777" t="s">
        <v>513</v>
      </c>
      <c r="F777" t="s">
        <v>513</v>
      </c>
      <c r="G777" t="s">
        <v>98</v>
      </c>
      <c r="H777" t="s">
        <v>81</v>
      </c>
      <c r="L777">
        <v>13</v>
      </c>
      <c r="M777" t="s">
        <v>83</v>
      </c>
      <c r="O777" t="s">
        <v>83</v>
      </c>
      <c r="P777" t="s">
        <v>84</v>
      </c>
    </row>
    <row r="778" spans="1:16">
      <c r="A778" t="s">
        <v>783</v>
      </c>
      <c r="B778" t="s">
        <v>77</v>
      </c>
      <c r="C778" t="s">
        <v>505</v>
      </c>
      <c r="D778" t="s">
        <v>505</v>
      </c>
      <c r="E778" t="s">
        <v>514</v>
      </c>
      <c r="F778" t="s">
        <v>514</v>
      </c>
      <c r="G778" t="s">
        <v>515</v>
      </c>
      <c r="H778" t="s">
        <v>81</v>
      </c>
      <c r="L778">
        <v>14</v>
      </c>
      <c r="M778" t="s">
        <v>83</v>
      </c>
      <c r="O778" t="s">
        <v>83</v>
      </c>
      <c r="P778" t="s">
        <v>84</v>
      </c>
    </row>
    <row r="779" spans="1:16">
      <c r="A779" t="s">
        <v>783</v>
      </c>
      <c r="B779" t="s">
        <v>77</v>
      </c>
      <c r="C779" t="s">
        <v>505</v>
      </c>
      <c r="D779" t="s">
        <v>505</v>
      </c>
      <c r="E779" t="s">
        <v>516</v>
      </c>
      <c r="F779" t="s">
        <v>516</v>
      </c>
      <c r="G779" t="s">
        <v>188</v>
      </c>
      <c r="H779" t="s">
        <v>81</v>
      </c>
      <c r="L779">
        <v>15</v>
      </c>
      <c r="M779" t="s">
        <v>83</v>
      </c>
      <c r="O779" t="s">
        <v>83</v>
      </c>
      <c r="P779" t="s">
        <v>84</v>
      </c>
    </row>
    <row r="780" spans="1:16">
      <c r="A780" t="s">
        <v>783</v>
      </c>
      <c r="B780" t="s">
        <v>77</v>
      </c>
      <c r="C780" t="s">
        <v>505</v>
      </c>
      <c r="D780" t="s">
        <v>505</v>
      </c>
      <c r="E780" t="s">
        <v>112</v>
      </c>
      <c r="F780" t="s">
        <v>112</v>
      </c>
      <c r="G780" t="s">
        <v>113</v>
      </c>
      <c r="H780" t="s">
        <v>81</v>
      </c>
      <c r="I780" t="s">
        <v>114</v>
      </c>
      <c r="L780">
        <v>16</v>
      </c>
      <c r="M780" t="s">
        <v>83</v>
      </c>
      <c r="O780" t="s">
        <v>83</v>
      </c>
      <c r="P780" t="s">
        <v>84</v>
      </c>
    </row>
    <row r="781" spans="1:16">
      <c r="A781" t="s">
        <v>783</v>
      </c>
      <c r="B781" t="s">
        <v>77</v>
      </c>
      <c r="C781" t="s">
        <v>505</v>
      </c>
      <c r="D781" t="s">
        <v>505</v>
      </c>
      <c r="E781" t="s">
        <v>115</v>
      </c>
      <c r="F781" t="s">
        <v>115</v>
      </c>
      <c r="G781" t="s">
        <v>113</v>
      </c>
      <c r="H781" t="s">
        <v>81</v>
      </c>
      <c r="I781" t="s">
        <v>114</v>
      </c>
      <c r="L781">
        <v>17</v>
      </c>
      <c r="M781" t="s">
        <v>83</v>
      </c>
      <c r="O781" t="s">
        <v>83</v>
      </c>
      <c r="P781" t="s">
        <v>84</v>
      </c>
    </row>
    <row r="782" spans="1:16">
      <c r="A782" t="s">
        <v>783</v>
      </c>
      <c r="B782" t="s">
        <v>77</v>
      </c>
      <c r="C782" t="s">
        <v>505</v>
      </c>
      <c r="D782" t="s">
        <v>505</v>
      </c>
      <c r="E782" t="s">
        <v>327</v>
      </c>
      <c r="F782" t="s">
        <v>327</v>
      </c>
      <c r="G782" t="s">
        <v>90</v>
      </c>
      <c r="H782" t="s">
        <v>81</v>
      </c>
      <c r="L782">
        <v>18</v>
      </c>
      <c r="M782" t="s">
        <v>83</v>
      </c>
      <c r="O782" t="s">
        <v>83</v>
      </c>
      <c r="P782" t="s">
        <v>84</v>
      </c>
    </row>
    <row r="783" spans="1:16">
      <c r="A783" t="s">
        <v>783</v>
      </c>
      <c r="B783" t="s">
        <v>77</v>
      </c>
      <c r="C783" t="s">
        <v>505</v>
      </c>
      <c r="D783" t="s">
        <v>505</v>
      </c>
      <c r="E783" t="s">
        <v>117</v>
      </c>
      <c r="F783" t="s">
        <v>117</v>
      </c>
      <c r="G783" t="s">
        <v>90</v>
      </c>
      <c r="H783" t="s">
        <v>81</v>
      </c>
      <c r="L783">
        <v>25</v>
      </c>
      <c r="M783" t="s">
        <v>83</v>
      </c>
      <c r="O783" t="s">
        <v>83</v>
      </c>
      <c r="P783" t="s">
        <v>84</v>
      </c>
    </row>
    <row r="784" spans="1:16">
      <c r="A784" t="s">
        <v>783</v>
      </c>
      <c r="B784" t="s">
        <v>77</v>
      </c>
      <c r="C784" t="s">
        <v>505</v>
      </c>
      <c r="D784" t="s">
        <v>505</v>
      </c>
      <c r="E784" t="s">
        <v>328</v>
      </c>
      <c r="F784" t="s">
        <v>328</v>
      </c>
      <c r="G784" t="s">
        <v>90</v>
      </c>
      <c r="H784" t="s">
        <v>81</v>
      </c>
      <c r="L784">
        <v>26</v>
      </c>
      <c r="M784" t="s">
        <v>83</v>
      </c>
      <c r="O784" t="s">
        <v>83</v>
      </c>
      <c r="P784" t="s">
        <v>84</v>
      </c>
    </row>
    <row r="785" spans="1:16">
      <c r="A785" t="s">
        <v>783</v>
      </c>
      <c r="B785" t="s">
        <v>77</v>
      </c>
      <c r="C785" t="s">
        <v>505</v>
      </c>
      <c r="D785" t="s">
        <v>505</v>
      </c>
      <c r="E785" t="s">
        <v>118</v>
      </c>
      <c r="F785" t="s">
        <v>118</v>
      </c>
      <c r="G785" t="s">
        <v>92</v>
      </c>
      <c r="H785" t="s">
        <v>81</v>
      </c>
      <c r="L785">
        <v>27</v>
      </c>
      <c r="M785" t="s">
        <v>83</v>
      </c>
      <c r="O785" t="s">
        <v>83</v>
      </c>
      <c r="P785" t="s">
        <v>84</v>
      </c>
    </row>
    <row r="786" spans="1:16">
      <c r="A786" t="s">
        <v>783</v>
      </c>
      <c r="B786" t="s">
        <v>77</v>
      </c>
      <c r="C786" t="s">
        <v>505</v>
      </c>
      <c r="D786" t="s">
        <v>505</v>
      </c>
      <c r="E786" t="s">
        <v>784</v>
      </c>
      <c r="F786" t="s">
        <v>784</v>
      </c>
      <c r="G786" t="s">
        <v>80</v>
      </c>
      <c r="H786" t="s">
        <v>81</v>
      </c>
      <c r="I786" t="s">
        <v>82</v>
      </c>
      <c r="L786">
        <v>28</v>
      </c>
      <c r="M786" t="s">
        <v>83</v>
      </c>
      <c r="O786" t="s">
        <v>83</v>
      </c>
      <c r="P786" t="s">
        <v>84</v>
      </c>
    </row>
    <row r="787" spans="1:16">
      <c r="A787" t="s">
        <v>783</v>
      </c>
      <c r="B787" t="s">
        <v>77</v>
      </c>
      <c r="C787" t="s">
        <v>505</v>
      </c>
      <c r="D787" t="s">
        <v>505</v>
      </c>
      <c r="E787" t="s">
        <v>785</v>
      </c>
      <c r="F787" t="s">
        <v>785</v>
      </c>
      <c r="G787" t="s">
        <v>80</v>
      </c>
      <c r="H787" t="s">
        <v>81</v>
      </c>
      <c r="I787" t="s">
        <v>82</v>
      </c>
      <c r="L787">
        <v>29</v>
      </c>
      <c r="M787" t="s">
        <v>83</v>
      </c>
      <c r="O787" t="s">
        <v>83</v>
      </c>
      <c r="P787" t="s">
        <v>84</v>
      </c>
    </row>
    <row r="788" spans="1:16">
      <c r="A788" t="s">
        <v>783</v>
      </c>
      <c r="B788" t="s">
        <v>77</v>
      </c>
      <c r="C788" t="s">
        <v>505</v>
      </c>
      <c r="D788" t="s">
        <v>505</v>
      </c>
      <c r="E788" t="s">
        <v>786</v>
      </c>
      <c r="F788" t="s">
        <v>786</v>
      </c>
      <c r="G788" t="s">
        <v>787</v>
      </c>
      <c r="H788" t="s">
        <v>81</v>
      </c>
      <c r="L788">
        <v>30</v>
      </c>
      <c r="M788" t="s">
        <v>83</v>
      </c>
      <c r="O788" t="s">
        <v>83</v>
      </c>
      <c r="P788" t="s">
        <v>84</v>
      </c>
    </row>
    <row r="789" spans="1:16">
      <c r="A789" t="s">
        <v>783</v>
      </c>
      <c r="B789" t="s">
        <v>77</v>
      </c>
      <c r="C789" t="s">
        <v>517</v>
      </c>
      <c r="D789" t="s">
        <v>517</v>
      </c>
      <c r="E789" t="s">
        <v>79</v>
      </c>
      <c r="F789" t="s">
        <v>79</v>
      </c>
      <c r="G789" t="s">
        <v>80</v>
      </c>
      <c r="H789" t="s">
        <v>81</v>
      </c>
      <c r="I789" t="s">
        <v>82</v>
      </c>
      <c r="L789">
        <v>1</v>
      </c>
      <c r="M789" t="s">
        <v>83</v>
      </c>
      <c r="O789" t="s">
        <v>83</v>
      </c>
      <c r="P789" t="s">
        <v>84</v>
      </c>
    </row>
    <row r="790" spans="1:16">
      <c r="A790" t="s">
        <v>783</v>
      </c>
      <c r="B790" t="s">
        <v>77</v>
      </c>
      <c r="C790" t="s">
        <v>517</v>
      </c>
      <c r="D790" t="s">
        <v>517</v>
      </c>
      <c r="E790" t="s">
        <v>86</v>
      </c>
      <c r="F790" t="s">
        <v>86</v>
      </c>
      <c r="G790" t="s">
        <v>80</v>
      </c>
      <c r="H790" t="s">
        <v>81</v>
      </c>
      <c r="I790" t="s">
        <v>82</v>
      </c>
      <c r="L790">
        <v>2</v>
      </c>
      <c r="M790" t="s">
        <v>83</v>
      </c>
      <c r="O790" t="s">
        <v>83</v>
      </c>
      <c r="P790" t="s">
        <v>84</v>
      </c>
    </row>
    <row r="791" spans="1:16">
      <c r="A791" t="s">
        <v>783</v>
      </c>
      <c r="B791" t="s">
        <v>77</v>
      </c>
      <c r="C791" t="s">
        <v>517</v>
      </c>
      <c r="D791" t="s">
        <v>517</v>
      </c>
      <c r="E791" t="s">
        <v>87</v>
      </c>
      <c r="F791" t="s">
        <v>87</v>
      </c>
      <c r="G791" t="s">
        <v>88</v>
      </c>
      <c r="H791" t="s">
        <v>81</v>
      </c>
      <c r="J791" t="s">
        <v>83</v>
      </c>
      <c r="L791">
        <v>3</v>
      </c>
      <c r="M791" t="s">
        <v>83</v>
      </c>
      <c r="O791" t="s">
        <v>83</v>
      </c>
      <c r="P791" t="s">
        <v>84</v>
      </c>
    </row>
    <row r="792" spans="1:16">
      <c r="A792" t="s">
        <v>783</v>
      </c>
      <c r="B792" t="s">
        <v>77</v>
      </c>
      <c r="C792" t="s">
        <v>517</v>
      </c>
      <c r="D792" t="s">
        <v>517</v>
      </c>
      <c r="E792" t="s">
        <v>89</v>
      </c>
      <c r="F792" t="s">
        <v>89</v>
      </c>
      <c r="G792" t="s">
        <v>90</v>
      </c>
      <c r="H792" t="s">
        <v>81</v>
      </c>
      <c r="J792" t="s">
        <v>83</v>
      </c>
      <c r="K792" t="s">
        <v>83</v>
      </c>
      <c r="L792">
        <v>4</v>
      </c>
      <c r="M792" t="s">
        <v>83</v>
      </c>
      <c r="O792" t="s">
        <v>83</v>
      </c>
      <c r="P792" t="s">
        <v>84</v>
      </c>
    </row>
    <row r="793" spans="1:16">
      <c r="A793" t="s">
        <v>783</v>
      </c>
      <c r="B793" t="s">
        <v>77</v>
      </c>
      <c r="C793" t="s">
        <v>517</v>
      </c>
      <c r="D793" t="s">
        <v>517</v>
      </c>
      <c r="E793" t="s">
        <v>518</v>
      </c>
      <c r="F793" t="s">
        <v>518</v>
      </c>
      <c r="G793" t="s">
        <v>80</v>
      </c>
      <c r="H793" t="s">
        <v>81</v>
      </c>
      <c r="I793" t="s">
        <v>82</v>
      </c>
      <c r="L793">
        <v>5</v>
      </c>
      <c r="M793" t="s">
        <v>83</v>
      </c>
      <c r="O793" t="s">
        <v>83</v>
      </c>
      <c r="P793" t="s">
        <v>84</v>
      </c>
    </row>
    <row r="794" spans="1:16">
      <c r="A794" t="s">
        <v>783</v>
      </c>
      <c r="B794" t="s">
        <v>77</v>
      </c>
      <c r="C794" t="s">
        <v>517</v>
      </c>
      <c r="D794" t="s">
        <v>517</v>
      </c>
      <c r="E794" t="s">
        <v>519</v>
      </c>
      <c r="F794" t="s">
        <v>519</v>
      </c>
      <c r="G794" t="s">
        <v>90</v>
      </c>
      <c r="H794" t="s">
        <v>81</v>
      </c>
      <c r="L794">
        <v>6</v>
      </c>
      <c r="M794" t="s">
        <v>83</v>
      </c>
      <c r="O794" t="s">
        <v>83</v>
      </c>
      <c r="P794" t="s">
        <v>84</v>
      </c>
    </row>
    <row r="795" spans="1:16">
      <c r="A795" t="s">
        <v>783</v>
      </c>
      <c r="B795" t="s">
        <v>77</v>
      </c>
      <c r="C795" t="s">
        <v>517</v>
      </c>
      <c r="D795" t="s">
        <v>517</v>
      </c>
      <c r="E795" t="s">
        <v>91</v>
      </c>
      <c r="F795" t="s">
        <v>91</v>
      </c>
      <c r="G795" t="s">
        <v>92</v>
      </c>
      <c r="H795" t="s">
        <v>81</v>
      </c>
      <c r="J795" t="s">
        <v>83</v>
      </c>
      <c r="L795">
        <v>7</v>
      </c>
      <c r="M795" t="s">
        <v>83</v>
      </c>
      <c r="O795" t="s">
        <v>83</v>
      </c>
      <c r="P795" t="s">
        <v>84</v>
      </c>
    </row>
    <row r="796" spans="1:16">
      <c r="A796" t="s">
        <v>783</v>
      </c>
      <c r="B796" t="s">
        <v>77</v>
      </c>
      <c r="C796" t="s">
        <v>517</v>
      </c>
      <c r="D796" t="s">
        <v>517</v>
      </c>
      <c r="E796" t="s">
        <v>520</v>
      </c>
      <c r="F796" t="s">
        <v>520</v>
      </c>
      <c r="G796" t="s">
        <v>94</v>
      </c>
      <c r="H796" t="s">
        <v>81</v>
      </c>
      <c r="L796">
        <v>8</v>
      </c>
      <c r="M796" t="s">
        <v>83</v>
      </c>
      <c r="O796" t="s">
        <v>83</v>
      </c>
      <c r="P796" t="s">
        <v>84</v>
      </c>
    </row>
    <row r="797" spans="1:16">
      <c r="A797" t="s">
        <v>783</v>
      </c>
      <c r="B797" t="s">
        <v>77</v>
      </c>
      <c r="C797" t="s">
        <v>517</v>
      </c>
      <c r="D797" t="s">
        <v>517</v>
      </c>
      <c r="E797" t="s">
        <v>521</v>
      </c>
      <c r="F797" t="s">
        <v>521</v>
      </c>
      <c r="G797" t="s">
        <v>88</v>
      </c>
      <c r="H797" t="s">
        <v>81</v>
      </c>
      <c r="L797">
        <v>9</v>
      </c>
      <c r="M797" t="s">
        <v>83</v>
      </c>
      <c r="O797" t="s">
        <v>83</v>
      </c>
      <c r="P797" t="s">
        <v>84</v>
      </c>
    </row>
    <row r="798" spans="1:16">
      <c r="A798" t="s">
        <v>783</v>
      </c>
      <c r="B798" t="s">
        <v>77</v>
      </c>
      <c r="C798" t="s">
        <v>517</v>
      </c>
      <c r="D798" t="s">
        <v>517</v>
      </c>
      <c r="E798" t="s">
        <v>522</v>
      </c>
      <c r="F798" t="s">
        <v>522</v>
      </c>
      <c r="G798" t="s">
        <v>94</v>
      </c>
      <c r="H798" t="s">
        <v>81</v>
      </c>
      <c r="L798">
        <v>10</v>
      </c>
      <c r="M798" t="s">
        <v>83</v>
      </c>
      <c r="O798" t="s">
        <v>83</v>
      </c>
      <c r="P798" t="s">
        <v>84</v>
      </c>
    </row>
    <row r="799" spans="1:16">
      <c r="A799" t="s">
        <v>783</v>
      </c>
      <c r="B799" t="s">
        <v>77</v>
      </c>
      <c r="C799" t="s">
        <v>517</v>
      </c>
      <c r="D799" t="s">
        <v>517</v>
      </c>
      <c r="E799" t="s">
        <v>523</v>
      </c>
      <c r="F799" t="s">
        <v>523</v>
      </c>
      <c r="G799" t="s">
        <v>98</v>
      </c>
      <c r="H799" t="s">
        <v>81</v>
      </c>
      <c r="L799">
        <v>11</v>
      </c>
      <c r="M799" t="s">
        <v>83</v>
      </c>
      <c r="O799" t="s">
        <v>83</v>
      </c>
      <c r="P799" t="s">
        <v>84</v>
      </c>
    </row>
    <row r="800" spans="1:16">
      <c r="A800" t="s">
        <v>783</v>
      </c>
      <c r="B800" t="s">
        <v>77</v>
      </c>
      <c r="C800" t="s">
        <v>517</v>
      </c>
      <c r="D800" t="s">
        <v>517</v>
      </c>
      <c r="E800" t="s">
        <v>524</v>
      </c>
      <c r="F800" t="s">
        <v>524</v>
      </c>
      <c r="G800" t="s">
        <v>98</v>
      </c>
      <c r="H800" t="s">
        <v>81</v>
      </c>
      <c r="L800">
        <v>12</v>
      </c>
      <c r="M800" t="s">
        <v>83</v>
      </c>
      <c r="O800" t="s">
        <v>83</v>
      </c>
      <c r="P800" t="s">
        <v>84</v>
      </c>
    </row>
    <row r="801" spans="1:16">
      <c r="A801" t="s">
        <v>783</v>
      </c>
      <c r="B801" t="s">
        <v>77</v>
      </c>
      <c r="C801" t="s">
        <v>517</v>
      </c>
      <c r="D801" t="s">
        <v>517</v>
      </c>
      <c r="E801" t="s">
        <v>525</v>
      </c>
      <c r="F801" t="s">
        <v>525</v>
      </c>
      <c r="G801" t="s">
        <v>80</v>
      </c>
      <c r="H801" t="s">
        <v>81</v>
      </c>
      <c r="I801" t="s">
        <v>82</v>
      </c>
      <c r="L801">
        <v>13</v>
      </c>
      <c r="M801" t="s">
        <v>83</v>
      </c>
      <c r="O801" t="s">
        <v>83</v>
      </c>
      <c r="P801" t="s">
        <v>84</v>
      </c>
    </row>
    <row r="802" spans="1:16">
      <c r="A802" t="s">
        <v>783</v>
      </c>
      <c r="B802" t="s">
        <v>77</v>
      </c>
      <c r="C802" t="s">
        <v>517</v>
      </c>
      <c r="D802" t="s">
        <v>517</v>
      </c>
      <c r="E802" t="s">
        <v>526</v>
      </c>
      <c r="F802" t="s">
        <v>526</v>
      </c>
      <c r="G802" t="s">
        <v>90</v>
      </c>
      <c r="H802" t="s">
        <v>81</v>
      </c>
      <c r="L802">
        <v>14</v>
      </c>
      <c r="M802" t="s">
        <v>83</v>
      </c>
      <c r="O802" t="s">
        <v>83</v>
      </c>
      <c r="P802" t="s">
        <v>84</v>
      </c>
    </row>
    <row r="803" spans="1:16">
      <c r="A803" t="s">
        <v>783</v>
      </c>
      <c r="B803" t="s">
        <v>77</v>
      </c>
      <c r="C803" t="s">
        <v>517</v>
      </c>
      <c r="D803" t="s">
        <v>517</v>
      </c>
      <c r="E803" t="s">
        <v>527</v>
      </c>
      <c r="F803" t="s">
        <v>527</v>
      </c>
      <c r="G803" t="s">
        <v>98</v>
      </c>
      <c r="H803" t="s">
        <v>81</v>
      </c>
      <c r="L803">
        <v>15</v>
      </c>
      <c r="M803" t="s">
        <v>83</v>
      </c>
      <c r="O803" t="s">
        <v>83</v>
      </c>
      <c r="P803" t="s">
        <v>84</v>
      </c>
    </row>
    <row r="804" spans="1:16">
      <c r="A804" t="s">
        <v>783</v>
      </c>
      <c r="B804" t="s">
        <v>77</v>
      </c>
      <c r="C804" t="s">
        <v>517</v>
      </c>
      <c r="D804" t="s">
        <v>517</v>
      </c>
      <c r="E804" t="s">
        <v>112</v>
      </c>
      <c r="F804" t="s">
        <v>112</v>
      </c>
      <c r="G804" t="s">
        <v>113</v>
      </c>
      <c r="H804" t="s">
        <v>81</v>
      </c>
      <c r="I804" t="s">
        <v>114</v>
      </c>
      <c r="L804">
        <v>16</v>
      </c>
      <c r="M804" t="s">
        <v>83</v>
      </c>
      <c r="O804" t="s">
        <v>83</v>
      </c>
      <c r="P804" t="s">
        <v>84</v>
      </c>
    </row>
    <row r="805" spans="1:16">
      <c r="A805" t="s">
        <v>783</v>
      </c>
      <c r="B805" t="s">
        <v>77</v>
      </c>
      <c r="C805" t="s">
        <v>517</v>
      </c>
      <c r="D805" t="s">
        <v>517</v>
      </c>
      <c r="E805" t="s">
        <v>115</v>
      </c>
      <c r="F805" t="s">
        <v>115</v>
      </c>
      <c r="G805" t="s">
        <v>113</v>
      </c>
      <c r="H805" t="s">
        <v>81</v>
      </c>
      <c r="I805" t="s">
        <v>114</v>
      </c>
      <c r="L805">
        <v>17</v>
      </c>
      <c r="M805" t="s">
        <v>83</v>
      </c>
      <c r="O805" t="s">
        <v>83</v>
      </c>
      <c r="P805" t="s">
        <v>84</v>
      </c>
    </row>
    <row r="806" spans="1:16">
      <c r="A806" t="s">
        <v>783</v>
      </c>
      <c r="B806" t="s">
        <v>77</v>
      </c>
      <c r="C806" t="s">
        <v>517</v>
      </c>
      <c r="D806" t="s">
        <v>517</v>
      </c>
      <c r="E806" t="s">
        <v>117</v>
      </c>
      <c r="F806" t="s">
        <v>117</v>
      </c>
      <c r="G806" t="s">
        <v>90</v>
      </c>
      <c r="H806" t="s">
        <v>81</v>
      </c>
      <c r="L806">
        <v>24</v>
      </c>
      <c r="M806" t="s">
        <v>83</v>
      </c>
      <c r="O806" t="s">
        <v>83</v>
      </c>
      <c r="P806" t="s">
        <v>84</v>
      </c>
    </row>
    <row r="807" spans="1:16">
      <c r="A807" t="s">
        <v>783</v>
      </c>
      <c r="B807" t="s">
        <v>77</v>
      </c>
      <c r="C807" t="s">
        <v>517</v>
      </c>
      <c r="D807" t="s">
        <v>517</v>
      </c>
      <c r="E807" t="s">
        <v>327</v>
      </c>
      <c r="F807" t="s">
        <v>327</v>
      </c>
      <c r="G807" t="s">
        <v>90</v>
      </c>
      <c r="H807" t="s">
        <v>81</v>
      </c>
      <c r="L807">
        <v>25</v>
      </c>
      <c r="M807" t="s">
        <v>83</v>
      </c>
      <c r="O807" t="s">
        <v>83</v>
      </c>
      <c r="P807" t="s">
        <v>84</v>
      </c>
    </row>
    <row r="808" spans="1:16">
      <c r="A808" t="s">
        <v>783</v>
      </c>
      <c r="B808" t="s">
        <v>77</v>
      </c>
      <c r="C808" t="s">
        <v>517</v>
      </c>
      <c r="D808" t="s">
        <v>517</v>
      </c>
      <c r="E808" t="s">
        <v>328</v>
      </c>
      <c r="F808" t="s">
        <v>328</v>
      </c>
      <c r="G808" t="s">
        <v>90</v>
      </c>
      <c r="H808" t="s">
        <v>81</v>
      </c>
      <c r="L808">
        <v>26</v>
      </c>
      <c r="M808" t="s">
        <v>83</v>
      </c>
      <c r="O808" t="s">
        <v>83</v>
      </c>
      <c r="P808" t="s">
        <v>84</v>
      </c>
    </row>
    <row r="809" spans="1:16">
      <c r="A809" t="s">
        <v>783</v>
      </c>
      <c r="B809" t="s">
        <v>77</v>
      </c>
      <c r="C809" t="s">
        <v>517</v>
      </c>
      <c r="D809" t="s">
        <v>517</v>
      </c>
      <c r="E809" t="s">
        <v>118</v>
      </c>
      <c r="F809" t="s">
        <v>118</v>
      </c>
      <c r="G809" t="s">
        <v>92</v>
      </c>
      <c r="H809" t="s">
        <v>81</v>
      </c>
      <c r="L809">
        <v>27</v>
      </c>
      <c r="M809" t="s">
        <v>83</v>
      </c>
      <c r="O809" t="s">
        <v>83</v>
      </c>
      <c r="P809" t="s">
        <v>84</v>
      </c>
    </row>
    <row r="810" spans="1:16">
      <c r="A810" t="s">
        <v>783</v>
      </c>
      <c r="B810" t="s">
        <v>77</v>
      </c>
      <c r="C810" t="s">
        <v>517</v>
      </c>
      <c r="D810" t="s">
        <v>517</v>
      </c>
      <c r="E810" t="s">
        <v>784</v>
      </c>
      <c r="F810" t="s">
        <v>784</v>
      </c>
      <c r="G810" t="s">
        <v>80</v>
      </c>
      <c r="H810" t="s">
        <v>81</v>
      </c>
      <c r="I810" t="s">
        <v>82</v>
      </c>
      <c r="L810">
        <v>28</v>
      </c>
      <c r="M810" t="s">
        <v>83</v>
      </c>
      <c r="O810" t="s">
        <v>83</v>
      </c>
      <c r="P810" t="s">
        <v>84</v>
      </c>
    </row>
    <row r="811" spans="1:16">
      <c r="A811" t="s">
        <v>783</v>
      </c>
      <c r="B811" t="s">
        <v>77</v>
      </c>
      <c r="C811" t="s">
        <v>517</v>
      </c>
      <c r="D811" t="s">
        <v>517</v>
      </c>
      <c r="E811" t="s">
        <v>785</v>
      </c>
      <c r="F811" t="s">
        <v>785</v>
      </c>
      <c r="G811" t="s">
        <v>80</v>
      </c>
      <c r="H811" t="s">
        <v>81</v>
      </c>
      <c r="I811" t="s">
        <v>82</v>
      </c>
      <c r="L811">
        <v>29</v>
      </c>
      <c r="M811" t="s">
        <v>83</v>
      </c>
      <c r="O811" t="s">
        <v>83</v>
      </c>
      <c r="P811" t="s">
        <v>84</v>
      </c>
    </row>
    <row r="812" spans="1:16">
      <c r="A812" t="s">
        <v>783</v>
      </c>
      <c r="B812" t="s">
        <v>77</v>
      </c>
      <c r="C812" t="s">
        <v>517</v>
      </c>
      <c r="D812" t="s">
        <v>517</v>
      </c>
      <c r="E812" t="s">
        <v>786</v>
      </c>
      <c r="F812" t="s">
        <v>786</v>
      </c>
      <c r="G812" t="s">
        <v>787</v>
      </c>
      <c r="H812" t="s">
        <v>81</v>
      </c>
      <c r="L812">
        <v>30</v>
      </c>
      <c r="M812" t="s">
        <v>83</v>
      </c>
      <c r="O812" t="s">
        <v>83</v>
      </c>
      <c r="P812" t="s">
        <v>84</v>
      </c>
    </row>
    <row r="813" spans="1:16">
      <c r="A813" t="s">
        <v>783</v>
      </c>
      <c r="B813" t="s">
        <v>77</v>
      </c>
      <c r="C813" t="s">
        <v>528</v>
      </c>
      <c r="D813" t="s">
        <v>528</v>
      </c>
      <c r="E813" t="s">
        <v>79</v>
      </c>
      <c r="F813" t="s">
        <v>79</v>
      </c>
      <c r="G813" t="s">
        <v>80</v>
      </c>
      <c r="H813" t="s">
        <v>81</v>
      </c>
      <c r="I813" t="s">
        <v>82</v>
      </c>
      <c r="L813">
        <v>1</v>
      </c>
      <c r="M813" t="s">
        <v>83</v>
      </c>
      <c r="O813" t="s">
        <v>83</v>
      </c>
      <c r="P813" t="s">
        <v>84</v>
      </c>
    </row>
    <row r="814" spans="1:16">
      <c r="A814" t="s">
        <v>783</v>
      </c>
      <c r="B814" t="s">
        <v>77</v>
      </c>
      <c r="C814" t="s">
        <v>528</v>
      </c>
      <c r="D814" t="s">
        <v>528</v>
      </c>
      <c r="E814" t="s">
        <v>86</v>
      </c>
      <c r="F814" t="s">
        <v>86</v>
      </c>
      <c r="G814" t="s">
        <v>80</v>
      </c>
      <c r="H814" t="s">
        <v>81</v>
      </c>
      <c r="I814" t="s">
        <v>82</v>
      </c>
      <c r="L814">
        <v>2</v>
      </c>
      <c r="M814" t="s">
        <v>83</v>
      </c>
      <c r="O814" t="s">
        <v>83</v>
      </c>
      <c r="P814" t="s">
        <v>84</v>
      </c>
    </row>
    <row r="815" spans="1:16">
      <c r="A815" t="s">
        <v>783</v>
      </c>
      <c r="B815" t="s">
        <v>77</v>
      </c>
      <c r="C815" t="s">
        <v>528</v>
      </c>
      <c r="D815" t="s">
        <v>528</v>
      </c>
      <c r="E815" t="s">
        <v>87</v>
      </c>
      <c r="F815" t="s">
        <v>87</v>
      </c>
      <c r="G815" t="s">
        <v>88</v>
      </c>
      <c r="H815" t="s">
        <v>81</v>
      </c>
      <c r="J815" t="s">
        <v>83</v>
      </c>
      <c r="L815">
        <v>3</v>
      </c>
      <c r="M815" t="s">
        <v>83</v>
      </c>
      <c r="O815" t="s">
        <v>83</v>
      </c>
      <c r="P815" t="s">
        <v>84</v>
      </c>
    </row>
    <row r="816" spans="1:16">
      <c r="A816" t="s">
        <v>783</v>
      </c>
      <c r="B816" t="s">
        <v>77</v>
      </c>
      <c r="C816" t="s">
        <v>528</v>
      </c>
      <c r="D816" t="s">
        <v>528</v>
      </c>
      <c r="E816" t="s">
        <v>89</v>
      </c>
      <c r="F816" t="s">
        <v>89</v>
      </c>
      <c r="G816" t="s">
        <v>90</v>
      </c>
      <c r="H816" t="s">
        <v>81</v>
      </c>
      <c r="J816" t="s">
        <v>83</v>
      </c>
      <c r="K816" t="s">
        <v>83</v>
      </c>
      <c r="L816">
        <v>4</v>
      </c>
      <c r="M816" t="s">
        <v>83</v>
      </c>
      <c r="O816" t="s">
        <v>83</v>
      </c>
      <c r="P816" t="s">
        <v>84</v>
      </c>
    </row>
    <row r="817" spans="1:16">
      <c r="A817" t="s">
        <v>783</v>
      </c>
      <c r="B817" t="s">
        <v>77</v>
      </c>
      <c r="C817" t="s">
        <v>528</v>
      </c>
      <c r="D817" t="s">
        <v>528</v>
      </c>
      <c r="E817" t="s">
        <v>529</v>
      </c>
      <c r="F817" t="s">
        <v>529</v>
      </c>
      <c r="G817" t="s">
        <v>80</v>
      </c>
      <c r="H817" t="s">
        <v>81</v>
      </c>
      <c r="I817" t="s">
        <v>82</v>
      </c>
      <c r="L817">
        <v>5</v>
      </c>
      <c r="M817" t="s">
        <v>83</v>
      </c>
      <c r="O817" t="s">
        <v>83</v>
      </c>
      <c r="P817" t="s">
        <v>84</v>
      </c>
    </row>
    <row r="818" spans="1:16">
      <c r="A818" t="s">
        <v>783</v>
      </c>
      <c r="B818" t="s">
        <v>77</v>
      </c>
      <c r="C818" t="s">
        <v>528</v>
      </c>
      <c r="D818" t="s">
        <v>528</v>
      </c>
      <c r="E818" t="s">
        <v>530</v>
      </c>
      <c r="F818" t="s">
        <v>530</v>
      </c>
      <c r="G818" t="s">
        <v>90</v>
      </c>
      <c r="H818" t="s">
        <v>81</v>
      </c>
      <c r="L818">
        <v>6</v>
      </c>
      <c r="M818" t="s">
        <v>83</v>
      </c>
      <c r="O818" t="s">
        <v>83</v>
      </c>
      <c r="P818" t="s">
        <v>84</v>
      </c>
    </row>
    <row r="819" spans="1:16">
      <c r="A819" t="s">
        <v>783</v>
      </c>
      <c r="B819" t="s">
        <v>77</v>
      </c>
      <c r="C819" t="s">
        <v>528</v>
      </c>
      <c r="D819" t="s">
        <v>528</v>
      </c>
      <c r="E819" t="s">
        <v>91</v>
      </c>
      <c r="F819" t="s">
        <v>91</v>
      </c>
      <c r="G819" t="s">
        <v>92</v>
      </c>
      <c r="H819" t="s">
        <v>81</v>
      </c>
      <c r="J819" t="s">
        <v>83</v>
      </c>
      <c r="L819">
        <v>7</v>
      </c>
      <c r="M819" t="s">
        <v>83</v>
      </c>
      <c r="O819" t="s">
        <v>83</v>
      </c>
      <c r="P819" t="s">
        <v>84</v>
      </c>
    </row>
    <row r="820" spans="1:16">
      <c r="A820" t="s">
        <v>783</v>
      </c>
      <c r="B820" t="s">
        <v>77</v>
      </c>
      <c r="C820" t="s">
        <v>528</v>
      </c>
      <c r="D820" t="s">
        <v>528</v>
      </c>
      <c r="E820" t="s">
        <v>531</v>
      </c>
      <c r="F820" t="s">
        <v>531</v>
      </c>
      <c r="G820" t="s">
        <v>94</v>
      </c>
      <c r="H820" t="s">
        <v>81</v>
      </c>
      <c r="L820">
        <v>8</v>
      </c>
      <c r="M820" t="s">
        <v>83</v>
      </c>
      <c r="O820" t="s">
        <v>83</v>
      </c>
      <c r="P820" t="s">
        <v>84</v>
      </c>
    </row>
    <row r="821" spans="1:16">
      <c r="A821" t="s">
        <v>783</v>
      </c>
      <c r="B821" t="s">
        <v>77</v>
      </c>
      <c r="C821" t="s">
        <v>528</v>
      </c>
      <c r="D821" t="s">
        <v>528</v>
      </c>
      <c r="E821" t="s">
        <v>532</v>
      </c>
      <c r="F821" t="s">
        <v>532</v>
      </c>
      <c r="G821" t="s">
        <v>88</v>
      </c>
      <c r="H821" t="s">
        <v>81</v>
      </c>
      <c r="L821">
        <v>9</v>
      </c>
      <c r="M821" t="s">
        <v>83</v>
      </c>
      <c r="O821" t="s">
        <v>83</v>
      </c>
      <c r="P821" t="s">
        <v>84</v>
      </c>
    </row>
    <row r="822" spans="1:16">
      <c r="A822" t="s">
        <v>783</v>
      </c>
      <c r="B822" t="s">
        <v>77</v>
      </c>
      <c r="C822" t="s">
        <v>528</v>
      </c>
      <c r="D822" t="s">
        <v>528</v>
      </c>
      <c r="E822" t="s">
        <v>533</v>
      </c>
      <c r="F822" t="s">
        <v>533</v>
      </c>
      <c r="G822" t="s">
        <v>94</v>
      </c>
      <c r="H822" t="s">
        <v>81</v>
      </c>
      <c r="L822">
        <v>10</v>
      </c>
      <c r="M822" t="s">
        <v>83</v>
      </c>
      <c r="O822" t="s">
        <v>83</v>
      </c>
      <c r="P822" t="s">
        <v>84</v>
      </c>
    </row>
    <row r="823" spans="1:16">
      <c r="A823" t="s">
        <v>783</v>
      </c>
      <c r="B823" t="s">
        <v>77</v>
      </c>
      <c r="C823" t="s">
        <v>528</v>
      </c>
      <c r="D823" t="s">
        <v>528</v>
      </c>
      <c r="E823" t="s">
        <v>534</v>
      </c>
      <c r="F823" t="s">
        <v>534</v>
      </c>
      <c r="G823" t="s">
        <v>98</v>
      </c>
      <c r="H823" t="s">
        <v>81</v>
      </c>
      <c r="L823">
        <v>11</v>
      </c>
      <c r="M823" t="s">
        <v>83</v>
      </c>
      <c r="O823" t="s">
        <v>83</v>
      </c>
      <c r="P823" t="s">
        <v>84</v>
      </c>
    </row>
    <row r="824" spans="1:16">
      <c r="A824" t="s">
        <v>783</v>
      </c>
      <c r="B824" t="s">
        <v>77</v>
      </c>
      <c r="C824" t="s">
        <v>528</v>
      </c>
      <c r="D824" t="s">
        <v>528</v>
      </c>
      <c r="E824" t="s">
        <v>535</v>
      </c>
      <c r="F824" t="s">
        <v>535</v>
      </c>
      <c r="G824" t="s">
        <v>98</v>
      </c>
      <c r="H824" t="s">
        <v>81</v>
      </c>
      <c r="L824">
        <v>12</v>
      </c>
      <c r="M824" t="s">
        <v>83</v>
      </c>
      <c r="O824" t="s">
        <v>83</v>
      </c>
      <c r="P824" t="s">
        <v>84</v>
      </c>
    </row>
    <row r="825" spans="1:16">
      <c r="A825" t="s">
        <v>783</v>
      </c>
      <c r="B825" t="s">
        <v>77</v>
      </c>
      <c r="C825" t="s">
        <v>528</v>
      </c>
      <c r="D825" t="s">
        <v>528</v>
      </c>
      <c r="E825" t="s">
        <v>536</v>
      </c>
      <c r="F825" t="s">
        <v>536</v>
      </c>
      <c r="G825" t="s">
        <v>98</v>
      </c>
      <c r="H825" t="s">
        <v>81</v>
      </c>
      <c r="L825">
        <v>13</v>
      </c>
      <c r="M825" t="s">
        <v>83</v>
      </c>
      <c r="O825" t="s">
        <v>83</v>
      </c>
      <c r="P825" t="s">
        <v>84</v>
      </c>
    </row>
    <row r="826" spans="1:16">
      <c r="A826" t="s">
        <v>783</v>
      </c>
      <c r="B826" t="s">
        <v>77</v>
      </c>
      <c r="C826" t="s">
        <v>528</v>
      </c>
      <c r="D826" t="s">
        <v>528</v>
      </c>
      <c r="E826" t="s">
        <v>537</v>
      </c>
      <c r="F826" t="s">
        <v>537</v>
      </c>
      <c r="G826" t="s">
        <v>188</v>
      </c>
      <c r="H826" t="s">
        <v>81</v>
      </c>
      <c r="L826">
        <v>14</v>
      </c>
      <c r="M826" t="s">
        <v>83</v>
      </c>
      <c r="O826" t="s">
        <v>83</v>
      </c>
      <c r="P826" t="s">
        <v>84</v>
      </c>
    </row>
    <row r="827" spans="1:16">
      <c r="A827" t="s">
        <v>783</v>
      </c>
      <c r="B827" t="s">
        <v>77</v>
      </c>
      <c r="C827" t="s">
        <v>528</v>
      </c>
      <c r="D827" t="s">
        <v>528</v>
      </c>
      <c r="E827" t="s">
        <v>112</v>
      </c>
      <c r="F827" t="s">
        <v>112</v>
      </c>
      <c r="G827" t="s">
        <v>113</v>
      </c>
      <c r="H827" t="s">
        <v>81</v>
      </c>
      <c r="I827" t="s">
        <v>114</v>
      </c>
      <c r="L827">
        <v>15</v>
      </c>
      <c r="M827" t="s">
        <v>83</v>
      </c>
      <c r="O827" t="s">
        <v>83</v>
      </c>
      <c r="P827" t="s">
        <v>84</v>
      </c>
    </row>
    <row r="828" spans="1:16">
      <c r="A828" t="s">
        <v>783</v>
      </c>
      <c r="B828" t="s">
        <v>77</v>
      </c>
      <c r="C828" t="s">
        <v>528</v>
      </c>
      <c r="D828" t="s">
        <v>528</v>
      </c>
      <c r="E828" t="s">
        <v>115</v>
      </c>
      <c r="F828" t="s">
        <v>115</v>
      </c>
      <c r="G828" t="s">
        <v>113</v>
      </c>
      <c r="H828" t="s">
        <v>81</v>
      </c>
      <c r="I828" t="s">
        <v>114</v>
      </c>
      <c r="L828">
        <v>16</v>
      </c>
      <c r="M828" t="s">
        <v>83</v>
      </c>
      <c r="O828" t="s">
        <v>83</v>
      </c>
      <c r="P828" t="s">
        <v>84</v>
      </c>
    </row>
    <row r="829" spans="1:16">
      <c r="A829" t="s">
        <v>783</v>
      </c>
      <c r="B829" t="s">
        <v>77</v>
      </c>
      <c r="C829" t="s">
        <v>528</v>
      </c>
      <c r="D829" t="s">
        <v>528</v>
      </c>
      <c r="E829" t="s">
        <v>327</v>
      </c>
      <c r="F829" t="s">
        <v>327</v>
      </c>
      <c r="G829" t="s">
        <v>90</v>
      </c>
      <c r="H829" t="s">
        <v>81</v>
      </c>
      <c r="L829">
        <v>17</v>
      </c>
      <c r="M829" t="s">
        <v>83</v>
      </c>
      <c r="O829" t="s">
        <v>83</v>
      </c>
      <c r="P829" t="s">
        <v>84</v>
      </c>
    </row>
    <row r="830" spans="1:16">
      <c r="A830" t="s">
        <v>783</v>
      </c>
      <c r="B830" t="s">
        <v>77</v>
      </c>
      <c r="C830" t="s">
        <v>528</v>
      </c>
      <c r="D830" t="s">
        <v>528</v>
      </c>
      <c r="E830" t="s">
        <v>117</v>
      </c>
      <c r="F830" t="s">
        <v>117</v>
      </c>
      <c r="G830" t="s">
        <v>90</v>
      </c>
      <c r="H830" t="s">
        <v>81</v>
      </c>
      <c r="L830">
        <v>24</v>
      </c>
      <c r="M830" t="s">
        <v>83</v>
      </c>
      <c r="O830" t="s">
        <v>83</v>
      </c>
      <c r="P830" t="s">
        <v>84</v>
      </c>
    </row>
    <row r="831" spans="1:16">
      <c r="A831" t="s">
        <v>783</v>
      </c>
      <c r="B831" t="s">
        <v>77</v>
      </c>
      <c r="C831" t="s">
        <v>528</v>
      </c>
      <c r="D831" t="s">
        <v>528</v>
      </c>
      <c r="E831" t="s">
        <v>328</v>
      </c>
      <c r="F831" t="s">
        <v>328</v>
      </c>
      <c r="G831" t="s">
        <v>90</v>
      </c>
      <c r="H831" t="s">
        <v>81</v>
      </c>
      <c r="L831">
        <v>25</v>
      </c>
      <c r="M831" t="s">
        <v>83</v>
      </c>
      <c r="O831" t="s">
        <v>83</v>
      </c>
      <c r="P831" t="s">
        <v>84</v>
      </c>
    </row>
    <row r="832" spans="1:16">
      <c r="A832" t="s">
        <v>783</v>
      </c>
      <c r="B832" t="s">
        <v>77</v>
      </c>
      <c r="C832" t="s">
        <v>528</v>
      </c>
      <c r="D832" t="s">
        <v>528</v>
      </c>
      <c r="E832" t="s">
        <v>118</v>
      </c>
      <c r="F832" t="s">
        <v>118</v>
      </c>
      <c r="G832" t="s">
        <v>92</v>
      </c>
      <c r="H832" t="s">
        <v>81</v>
      </c>
      <c r="L832">
        <v>26</v>
      </c>
      <c r="M832" t="s">
        <v>83</v>
      </c>
      <c r="O832" t="s">
        <v>83</v>
      </c>
      <c r="P832" t="s">
        <v>84</v>
      </c>
    </row>
    <row r="833" spans="1:16">
      <c r="A833" t="s">
        <v>783</v>
      </c>
      <c r="B833" t="s">
        <v>77</v>
      </c>
      <c r="C833" t="s">
        <v>528</v>
      </c>
      <c r="D833" t="s">
        <v>528</v>
      </c>
      <c r="E833" t="s">
        <v>784</v>
      </c>
      <c r="F833" t="s">
        <v>784</v>
      </c>
      <c r="G833" t="s">
        <v>80</v>
      </c>
      <c r="H833" t="s">
        <v>81</v>
      </c>
      <c r="I833" t="s">
        <v>82</v>
      </c>
      <c r="L833">
        <v>27</v>
      </c>
      <c r="M833" t="s">
        <v>83</v>
      </c>
      <c r="O833" t="s">
        <v>83</v>
      </c>
      <c r="P833" t="s">
        <v>84</v>
      </c>
    </row>
    <row r="834" spans="1:16">
      <c r="A834" t="s">
        <v>783</v>
      </c>
      <c r="B834" t="s">
        <v>77</v>
      </c>
      <c r="C834" t="s">
        <v>528</v>
      </c>
      <c r="D834" t="s">
        <v>528</v>
      </c>
      <c r="E834" t="s">
        <v>785</v>
      </c>
      <c r="F834" t="s">
        <v>785</v>
      </c>
      <c r="G834" t="s">
        <v>80</v>
      </c>
      <c r="H834" t="s">
        <v>81</v>
      </c>
      <c r="I834" t="s">
        <v>82</v>
      </c>
      <c r="L834">
        <v>28</v>
      </c>
      <c r="M834" t="s">
        <v>83</v>
      </c>
      <c r="O834" t="s">
        <v>83</v>
      </c>
      <c r="P834" t="s">
        <v>84</v>
      </c>
    </row>
    <row r="835" spans="1:16">
      <c r="A835" t="s">
        <v>783</v>
      </c>
      <c r="B835" t="s">
        <v>77</v>
      </c>
      <c r="C835" t="s">
        <v>528</v>
      </c>
      <c r="D835" t="s">
        <v>528</v>
      </c>
      <c r="E835" t="s">
        <v>786</v>
      </c>
      <c r="F835" t="s">
        <v>786</v>
      </c>
      <c r="G835" t="s">
        <v>787</v>
      </c>
      <c r="H835" t="s">
        <v>81</v>
      </c>
      <c r="L835">
        <v>29</v>
      </c>
      <c r="M835" t="s">
        <v>83</v>
      </c>
      <c r="O835" t="s">
        <v>83</v>
      </c>
      <c r="P835" t="s">
        <v>84</v>
      </c>
    </row>
    <row r="836" spans="1:16">
      <c r="A836" t="s">
        <v>783</v>
      </c>
      <c r="B836" t="s">
        <v>77</v>
      </c>
      <c r="C836" t="s">
        <v>538</v>
      </c>
      <c r="D836" t="s">
        <v>538</v>
      </c>
      <c r="E836" t="s">
        <v>79</v>
      </c>
      <c r="F836" t="s">
        <v>79</v>
      </c>
      <c r="G836" t="s">
        <v>80</v>
      </c>
      <c r="H836" t="s">
        <v>81</v>
      </c>
      <c r="I836" t="s">
        <v>82</v>
      </c>
      <c r="L836">
        <v>1</v>
      </c>
      <c r="M836" t="s">
        <v>83</v>
      </c>
      <c r="O836" t="s">
        <v>83</v>
      </c>
      <c r="P836" t="s">
        <v>84</v>
      </c>
    </row>
    <row r="837" spans="1:16">
      <c r="A837" t="s">
        <v>783</v>
      </c>
      <c r="B837" t="s">
        <v>77</v>
      </c>
      <c r="C837" t="s">
        <v>538</v>
      </c>
      <c r="D837" t="s">
        <v>538</v>
      </c>
      <c r="E837" t="s">
        <v>86</v>
      </c>
      <c r="F837" t="s">
        <v>86</v>
      </c>
      <c r="G837" t="s">
        <v>80</v>
      </c>
      <c r="H837" t="s">
        <v>81</v>
      </c>
      <c r="I837" t="s">
        <v>82</v>
      </c>
      <c r="L837">
        <v>2</v>
      </c>
      <c r="M837" t="s">
        <v>83</v>
      </c>
      <c r="O837" t="s">
        <v>83</v>
      </c>
      <c r="P837" t="s">
        <v>84</v>
      </c>
    </row>
    <row r="838" spans="1:16">
      <c r="A838" t="s">
        <v>783</v>
      </c>
      <c r="B838" t="s">
        <v>77</v>
      </c>
      <c r="C838" t="s">
        <v>538</v>
      </c>
      <c r="D838" t="s">
        <v>538</v>
      </c>
      <c r="E838" t="s">
        <v>87</v>
      </c>
      <c r="F838" t="s">
        <v>87</v>
      </c>
      <c r="G838" t="s">
        <v>88</v>
      </c>
      <c r="H838" t="s">
        <v>81</v>
      </c>
      <c r="J838" t="s">
        <v>83</v>
      </c>
      <c r="L838">
        <v>3</v>
      </c>
      <c r="M838" t="s">
        <v>83</v>
      </c>
      <c r="O838" t="s">
        <v>83</v>
      </c>
      <c r="P838" t="s">
        <v>84</v>
      </c>
    </row>
    <row r="839" spans="1:16">
      <c r="A839" t="s">
        <v>783</v>
      </c>
      <c r="B839" t="s">
        <v>77</v>
      </c>
      <c r="C839" t="s">
        <v>538</v>
      </c>
      <c r="D839" t="s">
        <v>538</v>
      </c>
      <c r="E839" t="s">
        <v>89</v>
      </c>
      <c r="F839" t="s">
        <v>89</v>
      </c>
      <c r="G839" t="s">
        <v>90</v>
      </c>
      <c r="H839" t="s">
        <v>81</v>
      </c>
      <c r="J839" t="s">
        <v>83</v>
      </c>
      <c r="K839" t="s">
        <v>83</v>
      </c>
      <c r="L839">
        <v>4</v>
      </c>
      <c r="M839" t="s">
        <v>83</v>
      </c>
      <c r="O839" t="s">
        <v>83</v>
      </c>
      <c r="P839" t="s">
        <v>84</v>
      </c>
    </row>
    <row r="840" spans="1:16">
      <c r="A840" t="s">
        <v>783</v>
      </c>
      <c r="B840" t="s">
        <v>77</v>
      </c>
      <c r="C840" t="s">
        <v>538</v>
      </c>
      <c r="D840" t="s">
        <v>538</v>
      </c>
      <c r="E840" t="s">
        <v>539</v>
      </c>
      <c r="F840" t="s">
        <v>539</v>
      </c>
      <c r="G840" t="s">
        <v>80</v>
      </c>
      <c r="H840" t="s">
        <v>81</v>
      </c>
      <c r="I840" t="s">
        <v>82</v>
      </c>
      <c r="L840">
        <v>5</v>
      </c>
      <c r="M840" t="s">
        <v>83</v>
      </c>
      <c r="O840" t="s">
        <v>83</v>
      </c>
      <c r="P840" t="s">
        <v>84</v>
      </c>
    </row>
    <row r="841" spans="1:16">
      <c r="A841" t="s">
        <v>783</v>
      </c>
      <c r="B841" t="s">
        <v>77</v>
      </c>
      <c r="C841" t="s">
        <v>538</v>
      </c>
      <c r="D841" t="s">
        <v>538</v>
      </c>
      <c r="E841" t="s">
        <v>540</v>
      </c>
      <c r="F841" t="s">
        <v>540</v>
      </c>
      <c r="G841" t="s">
        <v>90</v>
      </c>
      <c r="H841" t="s">
        <v>81</v>
      </c>
      <c r="L841">
        <v>6</v>
      </c>
      <c r="M841" t="s">
        <v>83</v>
      </c>
      <c r="O841" t="s">
        <v>83</v>
      </c>
      <c r="P841" t="s">
        <v>84</v>
      </c>
    </row>
    <row r="842" spans="1:16">
      <c r="A842" t="s">
        <v>783</v>
      </c>
      <c r="B842" t="s">
        <v>77</v>
      </c>
      <c r="C842" t="s">
        <v>538</v>
      </c>
      <c r="D842" t="s">
        <v>538</v>
      </c>
      <c r="E842" t="s">
        <v>91</v>
      </c>
      <c r="F842" t="s">
        <v>91</v>
      </c>
      <c r="G842" t="s">
        <v>92</v>
      </c>
      <c r="H842" t="s">
        <v>81</v>
      </c>
      <c r="J842" t="s">
        <v>83</v>
      </c>
      <c r="L842">
        <v>7</v>
      </c>
      <c r="M842" t="s">
        <v>83</v>
      </c>
      <c r="O842" t="s">
        <v>83</v>
      </c>
      <c r="P842" t="s">
        <v>84</v>
      </c>
    </row>
    <row r="843" spans="1:16">
      <c r="A843" t="s">
        <v>783</v>
      </c>
      <c r="B843" t="s">
        <v>77</v>
      </c>
      <c r="C843" t="s">
        <v>538</v>
      </c>
      <c r="D843" t="s">
        <v>538</v>
      </c>
      <c r="E843" t="s">
        <v>541</v>
      </c>
      <c r="F843" t="s">
        <v>541</v>
      </c>
      <c r="G843" t="s">
        <v>94</v>
      </c>
      <c r="H843" t="s">
        <v>81</v>
      </c>
      <c r="L843">
        <v>8</v>
      </c>
      <c r="M843" t="s">
        <v>83</v>
      </c>
      <c r="O843" t="s">
        <v>83</v>
      </c>
      <c r="P843" t="s">
        <v>84</v>
      </c>
    </row>
    <row r="844" spans="1:16">
      <c r="A844" t="s">
        <v>783</v>
      </c>
      <c r="B844" t="s">
        <v>77</v>
      </c>
      <c r="C844" t="s">
        <v>538</v>
      </c>
      <c r="D844" t="s">
        <v>538</v>
      </c>
      <c r="E844" t="s">
        <v>542</v>
      </c>
      <c r="F844" t="s">
        <v>542</v>
      </c>
      <c r="G844" t="s">
        <v>88</v>
      </c>
      <c r="H844" t="s">
        <v>81</v>
      </c>
      <c r="L844">
        <v>9</v>
      </c>
      <c r="M844" t="s">
        <v>83</v>
      </c>
      <c r="O844" t="s">
        <v>83</v>
      </c>
      <c r="P844" t="s">
        <v>84</v>
      </c>
    </row>
    <row r="845" spans="1:16">
      <c r="A845" t="s">
        <v>783</v>
      </c>
      <c r="B845" t="s">
        <v>77</v>
      </c>
      <c r="C845" t="s">
        <v>538</v>
      </c>
      <c r="D845" t="s">
        <v>538</v>
      </c>
      <c r="E845" t="s">
        <v>543</v>
      </c>
      <c r="F845" t="s">
        <v>543</v>
      </c>
      <c r="G845" t="s">
        <v>94</v>
      </c>
      <c r="H845" t="s">
        <v>81</v>
      </c>
      <c r="L845">
        <v>10</v>
      </c>
      <c r="M845" t="s">
        <v>83</v>
      </c>
      <c r="O845" t="s">
        <v>83</v>
      </c>
      <c r="P845" t="s">
        <v>84</v>
      </c>
    </row>
    <row r="846" spans="1:16">
      <c r="A846" t="s">
        <v>783</v>
      </c>
      <c r="B846" t="s">
        <v>77</v>
      </c>
      <c r="C846" t="s">
        <v>538</v>
      </c>
      <c r="D846" t="s">
        <v>538</v>
      </c>
      <c r="E846" t="s">
        <v>544</v>
      </c>
      <c r="F846" t="s">
        <v>544</v>
      </c>
      <c r="G846" t="s">
        <v>98</v>
      </c>
      <c r="H846" t="s">
        <v>81</v>
      </c>
      <c r="L846">
        <v>11</v>
      </c>
      <c r="M846" t="s">
        <v>83</v>
      </c>
      <c r="O846" t="s">
        <v>83</v>
      </c>
      <c r="P846" t="s">
        <v>84</v>
      </c>
    </row>
    <row r="847" spans="1:16">
      <c r="A847" t="s">
        <v>783</v>
      </c>
      <c r="B847" t="s">
        <v>77</v>
      </c>
      <c r="C847" t="s">
        <v>538</v>
      </c>
      <c r="D847" t="s">
        <v>538</v>
      </c>
      <c r="E847" t="s">
        <v>545</v>
      </c>
      <c r="F847" t="s">
        <v>545</v>
      </c>
      <c r="G847" t="s">
        <v>98</v>
      </c>
      <c r="H847" t="s">
        <v>81</v>
      </c>
      <c r="L847">
        <v>12</v>
      </c>
      <c r="M847" t="s">
        <v>83</v>
      </c>
      <c r="O847" t="s">
        <v>83</v>
      </c>
      <c r="P847" t="s">
        <v>84</v>
      </c>
    </row>
    <row r="848" spans="1:16">
      <c r="A848" t="s">
        <v>783</v>
      </c>
      <c r="B848" t="s">
        <v>77</v>
      </c>
      <c r="C848" t="s">
        <v>538</v>
      </c>
      <c r="D848" t="s">
        <v>538</v>
      </c>
      <c r="E848" t="s">
        <v>546</v>
      </c>
      <c r="F848" t="s">
        <v>546</v>
      </c>
      <c r="G848" t="s">
        <v>98</v>
      </c>
      <c r="H848" t="s">
        <v>81</v>
      </c>
      <c r="L848">
        <v>13</v>
      </c>
      <c r="M848" t="s">
        <v>83</v>
      </c>
      <c r="O848" t="s">
        <v>83</v>
      </c>
      <c r="P848" t="s">
        <v>84</v>
      </c>
    </row>
    <row r="849" spans="1:16">
      <c r="A849" t="s">
        <v>783</v>
      </c>
      <c r="B849" t="s">
        <v>77</v>
      </c>
      <c r="C849" t="s">
        <v>538</v>
      </c>
      <c r="D849" t="s">
        <v>538</v>
      </c>
      <c r="E849" t="s">
        <v>118</v>
      </c>
      <c r="F849" t="s">
        <v>118</v>
      </c>
      <c r="G849" t="s">
        <v>92</v>
      </c>
      <c r="H849" t="s">
        <v>81</v>
      </c>
      <c r="L849">
        <v>14</v>
      </c>
      <c r="M849" t="s">
        <v>83</v>
      </c>
      <c r="O849" t="s">
        <v>83</v>
      </c>
      <c r="P849" t="s">
        <v>84</v>
      </c>
    </row>
    <row r="850" spans="1:16">
      <c r="A850" t="s">
        <v>783</v>
      </c>
      <c r="B850" t="s">
        <v>77</v>
      </c>
      <c r="C850" t="s">
        <v>538</v>
      </c>
      <c r="D850" t="s">
        <v>538</v>
      </c>
      <c r="E850" t="s">
        <v>117</v>
      </c>
      <c r="F850" t="s">
        <v>117</v>
      </c>
      <c r="G850" t="s">
        <v>90</v>
      </c>
      <c r="H850" t="s">
        <v>81</v>
      </c>
      <c r="L850">
        <v>19</v>
      </c>
      <c r="M850" t="s">
        <v>83</v>
      </c>
      <c r="O850" t="s">
        <v>83</v>
      </c>
      <c r="P850" t="s">
        <v>84</v>
      </c>
    </row>
    <row r="851" spans="1:16">
      <c r="A851" t="s">
        <v>783</v>
      </c>
      <c r="B851" t="s">
        <v>77</v>
      </c>
      <c r="C851" t="s">
        <v>538</v>
      </c>
      <c r="D851" t="s">
        <v>538</v>
      </c>
      <c r="E851" t="s">
        <v>327</v>
      </c>
      <c r="F851" t="s">
        <v>327</v>
      </c>
      <c r="G851" t="s">
        <v>90</v>
      </c>
      <c r="H851" t="s">
        <v>81</v>
      </c>
      <c r="L851">
        <v>20</v>
      </c>
      <c r="M851" t="s">
        <v>83</v>
      </c>
      <c r="O851" t="s">
        <v>83</v>
      </c>
      <c r="P851" t="s">
        <v>84</v>
      </c>
    </row>
    <row r="852" spans="1:16">
      <c r="A852" t="s">
        <v>783</v>
      </c>
      <c r="B852" t="s">
        <v>77</v>
      </c>
      <c r="C852" t="s">
        <v>538</v>
      </c>
      <c r="D852" t="s">
        <v>538</v>
      </c>
      <c r="E852" t="s">
        <v>328</v>
      </c>
      <c r="F852" t="s">
        <v>328</v>
      </c>
      <c r="G852" t="s">
        <v>90</v>
      </c>
      <c r="H852" t="s">
        <v>81</v>
      </c>
      <c r="L852">
        <v>21</v>
      </c>
      <c r="M852" t="s">
        <v>83</v>
      </c>
      <c r="O852" t="s">
        <v>83</v>
      </c>
      <c r="P852" t="s">
        <v>84</v>
      </c>
    </row>
    <row r="853" spans="1:16">
      <c r="A853" t="s">
        <v>783</v>
      </c>
      <c r="B853" t="s">
        <v>77</v>
      </c>
      <c r="C853" t="s">
        <v>538</v>
      </c>
      <c r="D853" t="s">
        <v>538</v>
      </c>
      <c r="E853" t="s">
        <v>112</v>
      </c>
      <c r="F853" t="s">
        <v>112</v>
      </c>
      <c r="G853" t="s">
        <v>113</v>
      </c>
      <c r="H853" t="s">
        <v>81</v>
      </c>
      <c r="I853" t="s">
        <v>114</v>
      </c>
      <c r="L853">
        <v>22</v>
      </c>
      <c r="M853" t="s">
        <v>83</v>
      </c>
      <c r="O853" t="s">
        <v>83</v>
      </c>
      <c r="P853" t="s">
        <v>84</v>
      </c>
    </row>
    <row r="854" spans="1:16">
      <c r="A854" t="s">
        <v>783</v>
      </c>
      <c r="B854" t="s">
        <v>77</v>
      </c>
      <c r="C854" t="s">
        <v>538</v>
      </c>
      <c r="D854" t="s">
        <v>538</v>
      </c>
      <c r="E854" t="s">
        <v>115</v>
      </c>
      <c r="F854" t="s">
        <v>115</v>
      </c>
      <c r="G854" t="s">
        <v>113</v>
      </c>
      <c r="H854" t="s">
        <v>81</v>
      </c>
      <c r="I854" t="s">
        <v>114</v>
      </c>
      <c r="L854">
        <v>23</v>
      </c>
      <c r="M854" t="s">
        <v>83</v>
      </c>
      <c r="O854" t="s">
        <v>83</v>
      </c>
      <c r="P854" t="s">
        <v>84</v>
      </c>
    </row>
    <row r="855" spans="1:16">
      <c r="A855" t="s">
        <v>783</v>
      </c>
      <c r="B855" t="s">
        <v>77</v>
      </c>
      <c r="C855" t="s">
        <v>538</v>
      </c>
      <c r="D855" t="s">
        <v>538</v>
      </c>
      <c r="E855" t="s">
        <v>784</v>
      </c>
      <c r="F855" t="s">
        <v>784</v>
      </c>
      <c r="G855" t="s">
        <v>80</v>
      </c>
      <c r="H855" t="s">
        <v>81</v>
      </c>
      <c r="I855" t="s">
        <v>82</v>
      </c>
      <c r="L855">
        <v>26</v>
      </c>
      <c r="M855" t="s">
        <v>83</v>
      </c>
      <c r="O855" t="s">
        <v>83</v>
      </c>
      <c r="P855" t="s">
        <v>84</v>
      </c>
    </row>
    <row r="856" spans="1:16">
      <c r="A856" t="s">
        <v>783</v>
      </c>
      <c r="B856" t="s">
        <v>77</v>
      </c>
      <c r="C856" t="s">
        <v>538</v>
      </c>
      <c r="D856" t="s">
        <v>538</v>
      </c>
      <c r="E856" t="s">
        <v>785</v>
      </c>
      <c r="F856" t="s">
        <v>785</v>
      </c>
      <c r="G856" t="s">
        <v>80</v>
      </c>
      <c r="H856" t="s">
        <v>81</v>
      </c>
      <c r="I856" t="s">
        <v>82</v>
      </c>
      <c r="L856">
        <v>27</v>
      </c>
      <c r="M856" t="s">
        <v>83</v>
      </c>
      <c r="O856" t="s">
        <v>83</v>
      </c>
      <c r="P856" t="s">
        <v>84</v>
      </c>
    </row>
    <row r="857" spans="1:16">
      <c r="A857" t="s">
        <v>783</v>
      </c>
      <c r="B857" t="s">
        <v>77</v>
      </c>
      <c r="C857" t="s">
        <v>538</v>
      </c>
      <c r="D857" t="s">
        <v>538</v>
      </c>
      <c r="E857" t="s">
        <v>786</v>
      </c>
      <c r="F857" t="s">
        <v>786</v>
      </c>
      <c r="G857" t="s">
        <v>787</v>
      </c>
      <c r="H857" t="s">
        <v>81</v>
      </c>
      <c r="L857">
        <v>28</v>
      </c>
      <c r="M857" t="s">
        <v>83</v>
      </c>
      <c r="O857" t="s">
        <v>83</v>
      </c>
      <c r="P857" t="s">
        <v>84</v>
      </c>
    </row>
    <row r="858" spans="1:16">
      <c r="A858" t="s">
        <v>783</v>
      </c>
      <c r="B858" t="s">
        <v>77</v>
      </c>
      <c r="C858" t="s">
        <v>547</v>
      </c>
      <c r="D858" t="s">
        <v>547</v>
      </c>
      <c r="E858" t="s">
        <v>79</v>
      </c>
      <c r="F858" t="s">
        <v>79</v>
      </c>
      <c r="G858" t="s">
        <v>80</v>
      </c>
      <c r="H858" t="s">
        <v>81</v>
      </c>
      <c r="I858" t="s">
        <v>82</v>
      </c>
      <c r="L858">
        <v>1</v>
      </c>
      <c r="M858" t="s">
        <v>83</v>
      </c>
      <c r="O858" t="s">
        <v>83</v>
      </c>
      <c r="P858" t="s">
        <v>84</v>
      </c>
    </row>
    <row r="859" spans="1:16">
      <c r="A859" t="s">
        <v>783</v>
      </c>
      <c r="B859" t="s">
        <v>77</v>
      </c>
      <c r="C859" t="s">
        <v>547</v>
      </c>
      <c r="D859" t="s">
        <v>547</v>
      </c>
      <c r="E859" t="s">
        <v>86</v>
      </c>
      <c r="F859" t="s">
        <v>86</v>
      </c>
      <c r="G859" t="s">
        <v>80</v>
      </c>
      <c r="H859" t="s">
        <v>81</v>
      </c>
      <c r="I859" t="s">
        <v>82</v>
      </c>
      <c r="L859">
        <v>2</v>
      </c>
      <c r="M859" t="s">
        <v>83</v>
      </c>
      <c r="O859" t="s">
        <v>83</v>
      </c>
      <c r="P859" t="s">
        <v>84</v>
      </c>
    </row>
    <row r="860" spans="1:16">
      <c r="A860" t="s">
        <v>783</v>
      </c>
      <c r="B860" t="s">
        <v>77</v>
      </c>
      <c r="C860" t="s">
        <v>547</v>
      </c>
      <c r="D860" t="s">
        <v>547</v>
      </c>
      <c r="E860" t="s">
        <v>87</v>
      </c>
      <c r="F860" t="s">
        <v>87</v>
      </c>
      <c r="G860" t="s">
        <v>88</v>
      </c>
      <c r="H860" t="s">
        <v>81</v>
      </c>
      <c r="J860" t="s">
        <v>83</v>
      </c>
      <c r="L860">
        <v>3</v>
      </c>
      <c r="M860" t="s">
        <v>83</v>
      </c>
      <c r="O860" t="s">
        <v>83</v>
      </c>
      <c r="P860" t="s">
        <v>84</v>
      </c>
    </row>
    <row r="861" spans="1:16">
      <c r="A861" t="s">
        <v>783</v>
      </c>
      <c r="B861" t="s">
        <v>77</v>
      </c>
      <c r="C861" t="s">
        <v>547</v>
      </c>
      <c r="D861" t="s">
        <v>547</v>
      </c>
      <c r="E861" t="s">
        <v>89</v>
      </c>
      <c r="F861" t="s">
        <v>89</v>
      </c>
      <c r="G861" t="s">
        <v>90</v>
      </c>
      <c r="H861" t="s">
        <v>81</v>
      </c>
      <c r="J861" t="s">
        <v>83</v>
      </c>
      <c r="K861" t="s">
        <v>83</v>
      </c>
      <c r="L861">
        <v>4</v>
      </c>
      <c r="M861" t="s">
        <v>83</v>
      </c>
      <c r="O861" t="s">
        <v>83</v>
      </c>
      <c r="P861" t="s">
        <v>84</v>
      </c>
    </row>
    <row r="862" spans="1:16">
      <c r="A862" t="s">
        <v>783</v>
      </c>
      <c r="B862" t="s">
        <v>77</v>
      </c>
      <c r="C862" t="s">
        <v>547</v>
      </c>
      <c r="D862" t="s">
        <v>547</v>
      </c>
      <c r="E862" t="s">
        <v>91</v>
      </c>
      <c r="F862" t="s">
        <v>91</v>
      </c>
      <c r="G862" t="s">
        <v>92</v>
      </c>
      <c r="H862" t="s">
        <v>81</v>
      </c>
      <c r="J862" t="s">
        <v>83</v>
      </c>
      <c r="L862">
        <v>5</v>
      </c>
      <c r="M862" t="s">
        <v>83</v>
      </c>
      <c r="O862" t="s">
        <v>83</v>
      </c>
      <c r="P862" t="s">
        <v>84</v>
      </c>
    </row>
    <row r="863" spans="1:16">
      <c r="A863" t="s">
        <v>783</v>
      </c>
      <c r="B863" t="s">
        <v>77</v>
      </c>
      <c r="C863" t="s">
        <v>547</v>
      </c>
      <c r="D863" t="s">
        <v>547</v>
      </c>
      <c r="E863" t="s">
        <v>548</v>
      </c>
      <c r="F863" t="s">
        <v>548</v>
      </c>
      <c r="G863" t="s">
        <v>94</v>
      </c>
      <c r="H863" t="s">
        <v>81</v>
      </c>
      <c r="L863">
        <v>6</v>
      </c>
      <c r="M863" t="s">
        <v>83</v>
      </c>
      <c r="O863" t="s">
        <v>83</v>
      </c>
      <c r="P863" t="s">
        <v>84</v>
      </c>
    </row>
    <row r="864" spans="1:16">
      <c r="A864" t="s">
        <v>783</v>
      </c>
      <c r="B864" t="s">
        <v>77</v>
      </c>
      <c r="C864" t="s">
        <v>547</v>
      </c>
      <c r="D864" t="s">
        <v>547</v>
      </c>
      <c r="E864" t="s">
        <v>549</v>
      </c>
      <c r="F864" t="s">
        <v>549</v>
      </c>
      <c r="G864" t="s">
        <v>88</v>
      </c>
      <c r="H864" t="s">
        <v>81</v>
      </c>
      <c r="L864">
        <v>7</v>
      </c>
      <c r="M864" t="s">
        <v>83</v>
      </c>
      <c r="O864" t="s">
        <v>83</v>
      </c>
      <c r="P864" t="s">
        <v>84</v>
      </c>
    </row>
    <row r="865" spans="1:16">
      <c r="A865" t="s">
        <v>783</v>
      </c>
      <c r="B865" t="s">
        <v>77</v>
      </c>
      <c r="C865" t="s">
        <v>547</v>
      </c>
      <c r="D865" t="s">
        <v>547</v>
      </c>
      <c r="E865" t="s">
        <v>550</v>
      </c>
      <c r="F865" t="s">
        <v>550</v>
      </c>
      <c r="G865" t="s">
        <v>94</v>
      </c>
      <c r="H865" t="s">
        <v>81</v>
      </c>
      <c r="L865">
        <v>8</v>
      </c>
      <c r="M865" t="s">
        <v>83</v>
      </c>
      <c r="O865" t="s">
        <v>83</v>
      </c>
      <c r="P865" t="s">
        <v>84</v>
      </c>
    </row>
    <row r="866" spans="1:16">
      <c r="A866" t="s">
        <v>783</v>
      </c>
      <c r="B866" t="s">
        <v>77</v>
      </c>
      <c r="C866" t="s">
        <v>547</v>
      </c>
      <c r="D866" t="s">
        <v>547</v>
      </c>
      <c r="E866" t="s">
        <v>551</v>
      </c>
      <c r="F866" t="s">
        <v>551</v>
      </c>
      <c r="G866" t="s">
        <v>80</v>
      </c>
      <c r="H866" t="s">
        <v>81</v>
      </c>
      <c r="I866" t="s">
        <v>82</v>
      </c>
      <c r="L866">
        <v>9</v>
      </c>
      <c r="M866" t="s">
        <v>83</v>
      </c>
      <c r="O866" t="s">
        <v>83</v>
      </c>
      <c r="P866" t="s">
        <v>84</v>
      </c>
    </row>
    <row r="867" spans="1:16">
      <c r="A867" t="s">
        <v>783</v>
      </c>
      <c r="B867" t="s">
        <v>77</v>
      </c>
      <c r="C867" t="s">
        <v>547</v>
      </c>
      <c r="D867" t="s">
        <v>547</v>
      </c>
      <c r="E867" t="s">
        <v>552</v>
      </c>
      <c r="F867" t="s">
        <v>552</v>
      </c>
      <c r="G867" t="s">
        <v>90</v>
      </c>
      <c r="H867" t="s">
        <v>81</v>
      </c>
      <c r="L867">
        <v>10</v>
      </c>
      <c r="M867" t="s">
        <v>83</v>
      </c>
      <c r="O867" t="s">
        <v>83</v>
      </c>
      <c r="P867" t="s">
        <v>84</v>
      </c>
    </row>
    <row r="868" spans="1:16">
      <c r="A868" t="s">
        <v>783</v>
      </c>
      <c r="B868" t="s">
        <v>77</v>
      </c>
      <c r="C868" t="s">
        <v>547</v>
      </c>
      <c r="D868" t="s">
        <v>547</v>
      </c>
      <c r="E868" t="s">
        <v>553</v>
      </c>
      <c r="F868" t="s">
        <v>553</v>
      </c>
      <c r="G868" t="s">
        <v>98</v>
      </c>
      <c r="H868" t="s">
        <v>81</v>
      </c>
      <c r="L868">
        <v>11</v>
      </c>
      <c r="M868" t="s">
        <v>83</v>
      </c>
      <c r="O868" t="s">
        <v>83</v>
      </c>
      <c r="P868" t="s">
        <v>84</v>
      </c>
    </row>
    <row r="869" spans="1:16">
      <c r="A869" t="s">
        <v>783</v>
      </c>
      <c r="B869" t="s">
        <v>77</v>
      </c>
      <c r="C869" t="s">
        <v>547</v>
      </c>
      <c r="D869" t="s">
        <v>547</v>
      </c>
      <c r="E869" t="s">
        <v>554</v>
      </c>
      <c r="F869" t="s">
        <v>554</v>
      </c>
      <c r="G869" t="s">
        <v>98</v>
      </c>
      <c r="H869" t="s">
        <v>81</v>
      </c>
      <c r="L869">
        <v>12</v>
      </c>
      <c r="M869" t="s">
        <v>83</v>
      </c>
      <c r="O869" t="s">
        <v>83</v>
      </c>
      <c r="P869" t="s">
        <v>84</v>
      </c>
    </row>
    <row r="870" spans="1:16">
      <c r="A870" t="s">
        <v>783</v>
      </c>
      <c r="B870" t="s">
        <v>77</v>
      </c>
      <c r="C870" t="s">
        <v>547</v>
      </c>
      <c r="D870" t="s">
        <v>547</v>
      </c>
      <c r="E870" t="s">
        <v>555</v>
      </c>
      <c r="F870" t="s">
        <v>555</v>
      </c>
      <c r="G870" t="s">
        <v>98</v>
      </c>
      <c r="H870" t="s">
        <v>81</v>
      </c>
      <c r="L870">
        <v>13</v>
      </c>
      <c r="M870" t="s">
        <v>83</v>
      </c>
      <c r="O870" t="s">
        <v>83</v>
      </c>
      <c r="P870" t="s">
        <v>84</v>
      </c>
    </row>
    <row r="871" spans="1:16">
      <c r="A871" t="s">
        <v>783</v>
      </c>
      <c r="B871" t="s">
        <v>77</v>
      </c>
      <c r="C871" t="s">
        <v>547</v>
      </c>
      <c r="D871" t="s">
        <v>547</v>
      </c>
      <c r="E871" t="s">
        <v>556</v>
      </c>
      <c r="F871" t="s">
        <v>556</v>
      </c>
      <c r="G871" t="s">
        <v>188</v>
      </c>
      <c r="H871" t="s">
        <v>81</v>
      </c>
      <c r="L871">
        <v>14</v>
      </c>
      <c r="M871" t="s">
        <v>83</v>
      </c>
      <c r="O871" t="s">
        <v>83</v>
      </c>
      <c r="P871" t="s">
        <v>84</v>
      </c>
    </row>
    <row r="872" spans="1:16">
      <c r="A872" t="s">
        <v>783</v>
      </c>
      <c r="B872" t="s">
        <v>77</v>
      </c>
      <c r="C872" t="s">
        <v>547</v>
      </c>
      <c r="D872" t="s">
        <v>547</v>
      </c>
      <c r="E872" t="s">
        <v>112</v>
      </c>
      <c r="F872" t="s">
        <v>112</v>
      </c>
      <c r="G872" t="s">
        <v>113</v>
      </c>
      <c r="H872" t="s">
        <v>81</v>
      </c>
      <c r="I872" t="s">
        <v>114</v>
      </c>
      <c r="L872">
        <v>15</v>
      </c>
      <c r="M872" t="s">
        <v>83</v>
      </c>
      <c r="O872" t="s">
        <v>83</v>
      </c>
      <c r="P872" t="s">
        <v>84</v>
      </c>
    </row>
    <row r="873" spans="1:16">
      <c r="A873" t="s">
        <v>783</v>
      </c>
      <c r="B873" t="s">
        <v>77</v>
      </c>
      <c r="C873" t="s">
        <v>547</v>
      </c>
      <c r="D873" t="s">
        <v>547</v>
      </c>
      <c r="E873" t="s">
        <v>115</v>
      </c>
      <c r="F873" t="s">
        <v>115</v>
      </c>
      <c r="G873" t="s">
        <v>113</v>
      </c>
      <c r="H873" t="s">
        <v>81</v>
      </c>
      <c r="I873" t="s">
        <v>114</v>
      </c>
      <c r="L873">
        <v>16</v>
      </c>
      <c r="M873" t="s">
        <v>83</v>
      </c>
      <c r="O873" t="s">
        <v>83</v>
      </c>
      <c r="P873" t="s">
        <v>84</v>
      </c>
    </row>
    <row r="874" spans="1:16">
      <c r="A874" t="s">
        <v>783</v>
      </c>
      <c r="B874" t="s">
        <v>77</v>
      </c>
      <c r="C874" t="s">
        <v>547</v>
      </c>
      <c r="D874" t="s">
        <v>547</v>
      </c>
      <c r="E874" t="s">
        <v>327</v>
      </c>
      <c r="F874" t="s">
        <v>327</v>
      </c>
      <c r="G874" t="s">
        <v>90</v>
      </c>
      <c r="H874" t="s">
        <v>81</v>
      </c>
      <c r="L874">
        <v>17</v>
      </c>
      <c r="M874" t="s">
        <v>83</v>
      </c>
      <c r="O874" t="s">
        <v>83</v>
      </c>
      <c r="P874" t="s">
        <v>84</v>
      </c>
    </row>
    <row r="875" spans="1:16">
      <c r="A875" t="s">
        <v>783</v>
      </c>
      <c r="B875" t="s">
        <v>77</v>
      </c>
      <c r="C875" t="s">
        <v>547</v>
      </c>
      <c r="D875" t="s">
        <v>547</v>
      </c>
      <c r="E875" t="s">
        <v>117</v>
      </c>
      <c r="F875" t="s">
        <v>117</v>
      </c>
      <c r="G875" t="s">
        <v>90</v>
      </c>
      <c r="H875" t="s">
        <v>81</v>
      </c>
      <c r="L875">
        <v>24</v>
      </c>
      <c r="M875" t="s">
        <v>83</v>
      </c>
      <c r="O875" t="s">
        <v>83</v>
      </c>
      <c r="P875" t="s">
        <v>84</v>
      </c>
    </row>
    <row r="876" spans="1:16">
      <c r="A876" t="s">
        <v>783</v>
      </c>
      <c r="B876" t="s">
        <v>77</v>
      </c>
      <c r="C876" t="s">
        <v>547</v>
      </c>
      <c r="D876" t="s">
        <v>547</v>
      </c>
      <c r="E876" t="s">
        <v>328</v>
      </c>
      <c r="F876" t="s">
        <v>328</v>
      </c>
      <c r="G876" t="s">
        <v>90</v>
      </c>
      <c r="H876" t="s">
        <v>81</v>
      </c>
      <c r="L876">
        <v>25</v>
      </c>
      <c r="M876" t="s">
        <v>83</v>
      </c>
      <c r="O876" t="s">
        <v>83</v>
      </c>
      <c r="P876" t="s">
        <v>84</v>
      </c>
    </row>
    <row r="877" spans="1:16">
      <c r="A877" t="s">
        <v>783</v>
      </c>
      <c r="B877" t="s">
        <v>77</v>
      </c>
      <c r="C877" t="s">
        <v>547</v>
      </c>
      <c r="D877" t="s">
        <v>547</v>
      </c>
      <c r="E877" t="s">
        <v>118</v>
      </c>
      <c r="F877" t="s">
        <v>118</v>
      </c>
      <c r="G877" t="s">
        <v>92</v>
      </c>
      <c r="H877" t="s">
        <v>81</v>
      </c>
      <c r="L877">
        <v>26</v>
      </c>
      <c r="M877" t="s">
        <v>83</v>
      </c>
      <c r="O877" t="s">
        <v>83</v>
      </c>
      <c r="P877" t="s">
        <v>84</v>
      </c>
    </row>
    <row r="878" spans="1:16">
      <c r="A878" t="s">
        <v>783</v>
      </c>
      <c r="B878" t="s">
        <v>77</v>
      </c>
      <c r="C878" t="s">
        <v>547</v>
      </c>
      <c r="D878" t="s">
        <v>547</v>
      </c>
      <c r="E878" t="s">
        <v>784</v>
      </c>
      <c r="F878" t="s">
        <v>784</v>
      </c>
      <c r="G878" t="s">
        <v>80</v>
      </c>
      <c r="H878" t="s">
        <v>81</v>
      </c>
      <c r="I878" t="s">
        <v>82</v>
      </c>
      <c r="L878">
        <v>27</v>
      </c>
      <c r="M878" t="s">
        <v>83</v>
      </c>
      <c r="O878" t="s">
        <v>83</v>
      </c>
      <c r="P878" t="s">
        <v>84</v>
      </c>
    </row>
    <row r="879" spans="1:16">
      <c r="A879" t="s">
        <v>783</v>
      </c>
      <c r="B879" t="s">
        <v>77</v>
      </c>
      <c r="C879" t="s">
        <v>547</v>
      </c>
      <c r="D879" t="s">
        <v>547</v>
      </c>
      <c r="E879" t="s">
        <v>785</v>
      </c>
      <c r="F879" t="s">
        <v>785</v>
      </c>
      <c r="G879" t="s">
        <v>80</v>
      </c>
      <c r="H879" t="s">
        <v>81</v>
      </c>
      <c r="I879" t="s">
        <v>82</v>
      </c>
      <c r="L879">
        <v>28</v>
      </c>
      <c r="M879" t="s">
        <v>83</v>
      </c>
      <c r="O879" t="s">
        <v>83</v>
      </c>
      <c r="P879" t="s">
        <v>84</v>
      </c>
    </row>
    <row r="880" spans="1:16">
      <c r="A880" t="s">
        <v>783</v>
      </c>
      <c r="B880" t="s">
        <v>77</v>
      </c>
      <c r="C880" t="s">
        <v>547</v>
      </c>
      <c r="D880" t="s">
        <v>547</v>
      </c>
      <c r="E880" t="s">
        <v>786</v>
      </c>
      <c r="F880" t="s">
        <v>786</v>
      </c>
      <c r="G880" t="s">
        <v>787</v>
      </c>
      <c r="H880" t="s">
        <v>81</v>
      </c>
      <c r="L880">
        <v>29</v>
      </c>
      <c r="M880" t="s">
        <v>83</v>
      </c>
      <c r="O880" t="s">
        <v>83</v>
      </c>
      <c r="P880" t="s">
        <v>84</v>
      </c>
    </row>
    <row r="881" spans="1:16">
      <c r="A881" t="s">
        <v>783</v>
      </c>
      <c r="B881" t="s">
        <v>77</v>
      </c>
      <c r="C881" t="s">
        <v>557</v>
      </c>
      <c r="D881" t="s">
        <v>557</v>
      </c>
      <c r="E881" t="s">
        <v>79</v>
      </c>
      <c r="F881" t="s">
        <v>79</v>
      </c>
      <c r="G881" t="s">
        <v>80</v>
      </c>
      <c r="H881" t="s">
        <v>81</v>
      </c>
      <c r="I881" t="s">
        <v>82</v>
      </c>
      <c r="L881">
        <v>1</v>
      </c>
      <c r="M881" t="s">
        <v>83</v>
      </c>
      <c r="O881" t="s">
        <v>83</v>
      </c>
      <c r="P881" t="s">
        <v>84</v>
      </c>
    </row>
    <row r="882" spans="1:16">
      <c r="A882" t="s">
        <v>783</v>
      </c>
      <c r="B882" t="s">
        <v>77</v>
      </c>
      <c r="C882" t="s">
        <v>557</v>
      </c>
      <c r="D882" t="s">
        <v>557</v>
      </c>
      <c r="E882" t="s">
        <v>86</v>
      </c>
      <c r="F882" t="s">
        <v>86</v>
      </c>
      <c r="G882" t="s">
        <v>80</v>
      </c>
      <c r="H882" t="s">
        <v>81</v>
      </c>
      <c r="I882" t="s">
        <v>82</v>
      </c>
      <c r="L882">
        <v>2</v>
      </c>
      <c r="M882" t="s">
        <v>83</v>
      </c>
      <c r="O882" t="s">
        <v>83</v>
      </c>
      <c r="P882" t="s">
        <v>84</v>
      </c>
    </row>
    <row r="883" spans="1:16">
      <c r="A883" t="s">
        <v>783</v>
      </c>
      <c r="B883" t="s">
        <v>77</v>
      </c>
      <c r="C883" t="s">
        <v>557</v>
      </c>
      <c r="D883" t="s">
        <v>557</v>
      </c>
      <c r="E883" t="s">
        <v>87</v>
      </c>
      <c r="F883" t="s">
        <v>87</v>
      </c>
      <c r="G883" t="s">
        <v>88</v>
      </c>
      <c r="H883" t="s">
        <v>81</v>
      </c>
      <c r="J883" t="s">
        <v>83</v>
      </c>
      <c r="L883">
        <v>3</v>
      </c>
      <c r="M883" t="s">
        <v>83</v>
      </c>
      <c r="O883" t="s">
        <v>83</v>
      </c>
      <c r="P883" t="s">
        <v>84</v>
      </c>
    </row>
    <row r="884" spans="1:16">
      <c r="A884" t="s">
        <v>783</v>
      </c>
      <c r="B884" t="s">
        <v>77</v>
      </c>
      <c r="C884" t="s">
        <v>557</v>
      </c>
      <c r="D884" t="s">
        <v>557</v>
      </c>
      <c r="E884" t="s">
        <v>89</v>
      </c>
      <c r="F884" t="s">
        <v>89</v>
      </c>
      <c r="G884" t="s">
        <v>90</v>
      </c>
      <c r="H884" t="s">
        <v>81</v>
      </c>
      <c r="J884" t="s">
        <v>83</v>
      </c>
      <c r="K884" t="s">
        <v>83</v>
      </c>
      <c r="L884">
        <v>4</v>
      </c>
      <c r="M884" t="s">
        <v>83</v>
      </c>
      <c r="O884" t="s">
        <v>83</v>
      </c>
      <c r="P884" t="s">
        <v>84</v>
      </c>
    </row>
    <row r="885" spans="1:16">
      <c r="A885" t="s">
        <v>783</v>
      </c>
      <c r="B885" t="s">
        <v>77</v>
      </c>
      <c r="C885" t="s">
        <v>557</v>
      </c>
      <c r="D885" t="s">
        <v>557</v>
      </c>
      <c r="E885" t="s">
        <v>558</v>
      </c>
      <c r="F885" t="s">
        <v>558</v>
      </c>
      <c r="G885" t="s">
        <v>80</v>
      </c>
      <c r="H885" t="s">
        <v>81</v>
      </c>
      <c r="I885" t="s">
        <v>82</v>
      </c>
      <c r="L885">
        <v>5</v>
      </c>
      <c r="M885" t="s">
        <v>83</v>
      </c>
      <c r="O885" t="s">
        <v>83</v>
      </c>
      <c r="P885" t="s">
        <v>84</v>
      </c>
    </row>
    <row r="886" spans="1:16">
      <c r="A886" t="s">
        <v>783</v>
      </c>
      <c r="B886" t="s">
        <v>77</v>
      </c>
      <c r="C886" t="s">
        <v>557</v>
      </c>
      <c r="D886" t="s">
        <v>557</v>
      </c>
      <c r="E886" t="s">
        <v>559</v>
      </c>
      <c r="F886" t="s">
        <v>559</v>
      </c>
      <c r="G886" t="s">
        <v>90</v>
      </c>
      <c r="H886" t="s">
        <v>81</v>
      </c>
      <c r="L886">
        <v>6</v>
      </c>
      <c r="M886" t="s">
        <v>83</v>
      </c>
      <c r="O886" t="s">
        <v>83</v>
      </c>
      <c r="P886" t="s">
        <v>84</v>
      </c>
    </row>
    <row r="887" spans="1:16">
      <c r="A887" t="s">
        <v>783</v>
      </c>
      <c r="B887" t="s">
        <v>77</v>
      </c>
      <c r="C887" t="s">
        <v>557</v>
      </c>
      <c r="D887" t="s">
        <v>557</v>
      </c>
      <c r="E887" t="s">
        <v>560</v>
      </c>
      <c r="F887" t="s">
        <v>560</v>
      </c>
      <c r="G887" t="s">
        <v>98</v>
      </c>
      <c r="H887" t="s">
        <v>81</v>
      </c>
      <c r="L887">
        <v>7</v>
      </c>
      <c r="M887" t="s">
        <v>83</v>
      </c>
      <c r="O887" t="s">
        <v>83</v>
      </c>
      <c r="P887" t="s">
        <v>84</v>
      </c>
    </row>
    <row r="888" spans="1:16">
      <c r="A888" t="s">
        <v>783</v>
      </c>
      <c r="B888" t="s">
        <v>77</v>
      </c>
      <c r="C888" t="s">
        <v>557</v>
      </c>
      <c r="D888" t="s">
        <v>557</v>
      </c>
      <c r="E888" t="s">
        <v>91</v>
      </c>
      <c r="F888" t="s">
        <v>91</v>
      </c>
      <c r="G888" t="s">
        <v>92</v>
      </c>
      <c r="H888" t="s">
        <v>81</v>
      </c>
      <c r="J888" t="s">
        <v>83</v>
      </c>
      <c r="L888">
        <v>8</v>
      </c>
      <c r="M888" t="s">
        <v>83</v>
      </c>
      <c r="O888" t="s">
        <v>83</v>
      </c>
      <c r="P888" t="s">
        <v>84</v>
      </c>
    </row>
    <row r="889" spans="1:16">
      <c r="A889" t="s">
        <v>783</v>
      </c>
      <c r="B889" t="s">
        <v>77</v>
      </c>
      <c r="C889" t="s">
        <v>557</v>
      </c>
      <c r="D889" t="s">
        <v>557</v>
      </c>
      <c r="E889" t="s">
        <v>561</v>
      </c>
      <c r="F889" t="s">
        <v>561</v>
      </c>
      <c r="G889" t="s">
        <v>94</v>
      </c>
      <c r="H889" t="s">
        <v>81</v>
      </c>
      <c r="L889">
        <v>9</v>
      </c>
      <c r="M889" t="s">
        <v>83</v>
      </c>
      <c r="O889" t="s">
        <v>83</v>
      </c>
      <c r="P889" t="s">
        <v>84</v>
      </c>
    </row>
    <row r="890" spans="1:16">
      <c r="A890" t="s">
        <v>783</v>
      </c>
      <c r="B890" t="s">
        <v>77</v>
      </c>
      <c r="C890" t="s">
        <v>557</v>
      </c>
      <c r="D890" t="s">
        <v>557</v>
      </c>
      <c r="E890" t="s">
        <v>562</v>
      </c>
      <c r="F890" t="s">
        <v>562</v>
      </c>
      <c r="G890" t="s">
        <v>88</v>
      </c>
      <c r="H890" t="s">
        <v>81</v>
      </c>
      <c r="L890">
        <v>10</v>
      </c>
      <c r="M890" t="s">
        <v>83</v>
      </c>
      <c r="O890" t="s">
        <v>83</v>
      </c>
      <c r="P890" t="s">
        <v>84</v>
      </c>
    </row>
    <row r="891" spans="1:16">
      <c r="A891" t="s">
        <v>783</v>
      </c>
      <c r="B891" t="s">
        <v>77</v>
      </c>
      <c r="C891" t="s">
        <v>557</v>
      </c>
      <c r="D891" t="s">
        <v>557</v>
      </c>
      <c r="E891" t="s">
        <v>563</v>
      </c>
      <c r="F891" t="s">
        <v>563</v>
      </c>
      <c r="G891" t="s">
        <v>94</v>
      </c>
      <c r="H891" t="s">
        <v>81</v>
      </c>
      <c r="L891">
        <v>11</v>
      </c>
      <c r="M891" t="s">
        <v>83</v>
      </c>
      <c r="O891" t="s">
        <v>83</v>
      </c>
      <c r="P891" t="s">
        <v>84</v>
      </c>
    </row>
    <row r="892" spans="1:16">
      <c r="A892" t="s">
        <v>783</v>
      </c>
      <c r="B892" t="s">
        <v>77</v>
      </c>
      <c r="C892" t="s">
        <v>557</v>
      </c>
      <c r="D892" t="s">
        <v>557</v>
      </c>
      <c r="E892" t="s">
        <v>564</v>
      </c>
      <c r="F892" t="s">
        <v>564</v>
      </c>
      <c r="G892" t="s">
        <v>98</v>
      </c>
      <c r="H892" t="s">
        <v>81</v>
      </c>
      <c r="L892">
        <v>12</v>
      </c>
      <c r="M892" t="s">
        <v>83</v>
      </c>
      <c r="O892" t="s">
        <v>83</v>
      </c>
      <c r="P892" t="s">
        <v>84</v>
      </c>
    </row>
    <row r="893" spans="1:16">
      <c r="A893" t="s">
        <v>783</v>
      </c>
      <c r="B893" t="s">
        <v>77</v>
      </c>
      <c r="C893" t="s">
        <v>557</v>
      </c>
      <c r="D893" t="s">
        <v>557</v>
      </c>
      <c r="E893" t="s">
        <v>565</v>
      </c>
      <c r="F893" t="s">
        <v>565</v>
      </c>
      <c r="G893" t="s">
        <v>98</v>
      </c>
      <c r="H893" t="s">
        <v>81</v>
      </c>
      <c r="L893">
        <v>13</v>
      </c>
      <c r="M893" t="s">
        <v>83</v>
      </c>
      <c r="O893" t="s">
        <v>83</v>
      </c>
      <c r="P893" t="s">
        <v>84</v>
      </c>
    </row>
    <row r="894" spans="1:16">
      <c r="A894" t="s">
        <v>783</v>
      </c>
      <c r="B894" t="s">
        <v>77</v>
      </c>
      <c r="C894" t="s">
        <v>557</v>
      </c>
      <c r="D894" t="s">
        <v>557</v>
      </c>
      <c r="E894" t="s">
        <v>118</v>
      </c>
      <c r="F894" t="s">
        <v>118</v>
      </c>
      <c r="G894" t="s">
        <v>92</v>
      </c>
      <c r="H894" t="s">
        <v>81</v>
      </c>
      <c r="L894">
        <v>14</v>
      </c>
      <c r="M894" t="s">
        <v>83</v>
      </c>
      <c r="O894" t="s">
        <v>83</v>
      </c>
      <c r="P894" t="s">
        <v>84</v>
      </c>
    </row>
    <row r="895" spans="1:16">
      <c r="A895" t="s">
        <v>783</v>
      </c>
      <c r="B895" t="s">
        <v>77</v>
      </c>
      <c r="C895" t="s">
        <v>557</v>
      </c>
      <c r="D895" t="s">
        <v>557</v>
      </c>
      <c r="E895" t="s">
        <v>112</v>
      </c>
      <c r="F895" t="s">
        <v>112</v>
      </c>
      <c r="G895" t="s">
        <v>113</v>
      </c>
      <c r="H895" t="s">
        <v>81</v>
      </c>
      <c r="I895" t="s">
        <v>114</v>
      </c>
      <c r="L895">
        <v>15</v>
      </c>
      <c r="M895" t="s">
        <v>83</v>
      </c>
      <c r="O895" t="s">
        <v>83</v>
      </c>
      <c r="P895" t="s">
        <v>84</v>
      </c>
    </row>
    <row r="896" spans="1:16">
      <c r="A896" t="s">
        <v>783</v>
      </c>
      <c r="B896" t="s">
        <v>77</v>
      </c>
      <c r="C896" t="s">
        <v>557</v>
      </c>
      <c r="D896" t="s">
        <v>557</v>
      </c>
      <c r="E896" t="s">
        <v>115</v>
      </c>
      <c r="F896" t="s">
        <v>115</v>
      </c>
      <c r="G896" t="s">
        <v>113</v>
      </c>
      <c r="H896" t="s">
        <v>81</v>
      </c>
      <c r="I896" t="s">
        <v>114</v>
      </c>
      <c r="L896">
        <v>16</v>
      </c>
      <c r="M896" t="s">
        <v>83</v>
      </c>
      <c r="O896" t="s">
        <v>83</v>
      </c>
      <c r="P896" t="s">
        <v>84</v>
      </c>
    </row>
    <row r="897" spans="1:16">
      <c r="A897" t="s">
        <v>783</v>
      </c>
      <c r="B897" t="s">
        <v>77</v>
      </c>
      <c r="C897" t="s">
        <v>557</v>
      </c>
      <c r="D897" t="s">
        <v>557</v>
      </c>
      <c r="E897" t="s">
        <v>117</v>
      </c>
      <c r="F897" t="s">
        <v>117</v>
      </c>
      <c r="G897" t="s">
        <v>90</v>
      </c>
      <c r="H897" t="s">
        <v>81</v>
      </c>
      <c r="L897">
        <v>23</v>
      </c>
      <c r="M897" t="s">
        <v>83</v>
      </c>
      <c r="O897" t="s">
        <v>83</v>
      </c>
      <c r="P897" t="s">
        <v>84</v>
      </c>
    </row>
    <row r="898" spans="1:16">
      <c r="A898" t="s">
        <v>783</v>
      </c>
      <c r="B898" t="s">
        <v>77</v>
      </c>
      <c r="C898" t="s">
        <v>557</v>
      </c>
      <c r="D898" t="s">
        <v>557</v>
      </c>
      <c r="E898" t="s">
        <v>327</v>
      </c>
      <c r="F898" t="s">
        <v>327</v>
      </c>
      <c r="G898" t="s">
        <v>90</v>
      </c>
      <c r="H898" t="s">
        <v>81</v>
      </c>
      <c r="L898">
        <v>24</v>
      </c>
      <c r="M898" t="s">
        <v>83</v>
      </c>
      <c r="O898" t="s">
        <v>83</v>
      </c>
      <c r="P898" t="s">
        <v>84</v>
      </c>
    </row>
    <row r="899" spans="1:16">
      <c r="A899" t="s">
        <v>783</v>
      </c>
      <c r="B899" t="s">
        <v>77</v>
      </c>
      <c r="C899" t="s">
        <v>557</v>
      </c>
      <c r="D899" t="s">
        <v>557</v>
      </c>
      <c r="E899" t="s">
        <v>328</v>
      </c>
      <c r="F899" t="s">
        <v>328</v>
      </c>
      <c r="G899" t="s">
        <v>90</v>
      </c>
      <c r="H899" t="s">
        <v>81</v>
      </c>
      <c r="L899">
        <v>25</v>
      </c>
      <c r="M899" t="s">
        <v>83</v>
      </c>
      <c r="O899" t="s">
        <v>83</v>
      </c>
      <c r="P899" t="s">
        <v>84</v>
      </c>
    </row>
    <row r="900" spans="1:16">
      <c r="A900" t="s">
        <v>783</v>
      </c>
      <c r="B900" t="s">
        <v>77</v>
      </c>
      <c r="C900" t="s">
        <v>557</v>
      </c>
      <c r="D900" t="s">
        <v>557</v>
      </c>
      <c r="E900" t="s">
        <v>784</v>
      </c>
      <c r="F900" t="s">
        <v>784</v>
      </c>
      <c r="G900" t="s">
        <v>80</v>
      </c>
      <c r="H900" t="s">
        <v>81</v>
      </c>
      <c r="I900" t="s">
        <v>82</v>
      </c>
      <c r="L900">
        <v>26</v>
      </c>
      <c r="M900" t="s">
        <v>83</v>
      </c>
      <c r="O900" t="s">
        <v>83</v>
      </c>
      <c r="P900" t="s">
        <v>84</v>
      </c>
    </row>
    <row r="901" spans="1:16">
      <c r="A901" t="s">
        <v>783</v>
      </c>
      <c r="B901" t="s">
        <v>77</v>
      </c>
      <c r="C901" t="s">
        <v>557</v>
      </c>
      <c r="D901" t="s">
        <v>557</v>
      </c>
      <c r="E901" t="s">
        <v>785</v>
      </c>
      <c r="F901" t="s">
        <v>785</v>
      </c>
      <c r="G901" t="s">
        <v>80</v>
      </c>
      <c r="H901" t="s">
        <v>81</v>
      </c>
      <c r="I901" t="s">
        <v>82</v>
      </c>
      <c r="L901">
        <v>27</v>
      </c>
      <c r="M901" t="s">
        <v>83</v>
      </c>
      <c r="O901" t="s">
        <v>83</v>
      </c>
      <c r="P901" t="s">
        <v>84</v>
      </c>
    </row>
    <row r="902" spans="1:16">
      <c r="A902" t="s">
        <v>783</v>
      </c>
      <c r="B902" t="s">
        <v>77</v>
      </c>
      <c r="C902" t="s">
        <v>557</v>
      </c>
      <c r="D902" t="s">
        <v>557</v>
      </c>
      <c r="E902" t="s">
        <v>786</v>
      </c>
      <c r="F902" t="s">
        <v>786</v>
      </c>
      <c r="G902" t="s">
        <v>787</v>
      </c>
      <c r="H902" t="s">
        <v>81</v>
      </c>
      <c r="L902">
        <v>28</v>
      </c>
      <c r="M902" t="s">
        <v>83</v>
      </c>
      <c r="O902" t="s">
        <v>83</v>
      </c>
      <c r="P902" t="s">
        <v>84</v>
      </c>
    </row>
    <row r="903" spans="1:16">
      <c r="A903" t="s">
        <v>783</v>
      </c>
      <c r="B903" t="s">
        <v>77</v>
      </c>
      <c r="C903" t="s">
        <v>566</v>
      </c>
      <c r="D903" t="s">
        <v>566</v>
      </c>
      <c r="E903" t="s">
        <v>79</v>
      </c>
      <c r="F903" t="s">
        <v>79</v>
      </c>
      <c r="G903" t="s">
        <v>80</v>
      </c>
      <c r="H903" t="s">
        <v>81</v>
      </c>
      <c r="I903" t="s">
        <v>82</v>
      </c>
      <c r="L903">
        <v>1</v>
      </c>
      <c r="M903" t="s">
        <v>83</v>
      </c>
      <c r="O903" t="s">
        <v>83</v>
      </c>
      <c r="P903" t="s">
        <v>84</v>
      </c>
    </row>
    <row r="904" spans="1:16">
      <c r="A904" t="s">
        <v>783</v>
      </c>
      <c r="B904" t="s">
        <v>77</v>
      </c>
      <c r="C904" t="s">
        <v>566</v>
      </c>
      <c r="D904" t="s">
        <v>566</v>
      </c>
      <c r="E904" t="s">
        <v>86</v>
      </c>
      <c r="F904" t="s">
        <v>86</v>
      </c>
      <c r="G904" t="s">
        <v>80</v>
      </c>
      <c r="H904" t="s">
        <v>81</v>
      </c>
      <c r="I904" t="s">
        <v>82</v>
      </c>
      <c r="L904">
        <v>2</v>
      </c>
      <c r="M904" t="s">
        <v>83</v>
      </c>
      <c r="O904" t="s">
        <v>83</v>
      </c>
      <c r="P904" t="s">
        <v>84</v>
      </c>
    </row>
    <row r="905" spans="1:16">
      <c r="A905" t="s">
        <v>783</v>
      </c>
      <c r="B905" t="s">
        <v>77</v>
      </c>
      <c r="C905" t="s">
        <v>566</v>
      </c>
      <c r="D905" t="s">
        <v>566</v>
      </c>
      <c r="E905" t="s">
        <v>87</v>
      </c>
      <c r="F905" t="s">
        <v>87</v>
      </c>
      <c r="G905" t="s">
        <v>88</v>
      </c>
      <c r="H905" t="s">
        <v>81</v>
      </c>
      <c r="J905" t="s">
        <v>83</v>
      </c>
      <c r="L905">
        <v>3</v>
      </c>
      <c r="M905" t="s">
        <v>83</v>
      </c>
      <c r="O905" t="s">
        <v>83</v>
      </c>
      <c r="P905" t="s">
        <v>84</v>
      </c>
    </row>
    <row r="906" spans="1:16">
      <c r="A906" t="s">
        <v>783</v>
      </c>
      <c r="B906" t="s">
        <v>77</v>
      </c>
      <c r="C906" t="s">
        <v>566</v>
      </c>
      <c r="D906" t="s">
        <v>566</v>
      </c>
      <c r="E906" t="s">
        <v>89</v>
      </c>
      <c r="F906" t="s">
        <v>89</v>
      </c>
      <c r="G906" t="s">
        <v>90</v>
      </c>
      <c r="H906" t="s">
        <v>81</v>
      </c>
      <c r="J906" t="s">
        <v>83</v>
      </c>
      <c r="K906" t="s">
        <v>83</v>
      </c>
      <c r="L906">
        <v>4</v>
      </c>
      <c r="M906" t="s">
        <v>83</v>
      </c>
      <c r="O906" t="s">
        <v>83</v>
      </c>
      <c r="P906" t="s">
        <v>84</v>
      </c>
    </row>
    <row r="907" spans="1:16">
      <c r="A907" t="s">
        <v>783</v>
      </c>
      <c r="B907" t="s">
        <v>77</v>
      </c>
      <c r="C907" t="s">
        <v>566</v>
      </c>
      <c r="D907" t="s">
        <v>566</v>
      </c>
      <c r="E907" t="s">
        <v>567</v>
      </c>
      <c r="F907" t="s">
        <v>567</v>
      </c>
      <c r="G907" t="s">
        <v>80</v>
      </c>
      <c r="H907" t="s">
        <v>81</v>
      </c>
      <c r="I907" t="s">
        <v>82</v>
      </c>
      <c r="L907">
        <v>5</v>
      </c>
      <c r="M907" t="s">
        <v>83</v>
      </c>
      <c r="O907" t="s">
        <v>83</v>
      </c>
      <c r="P907" t="s">
        <v>84</v>
      </c>
    </row>
    <row r="908" spans="1:16">
      <c r="A908" t="s">
        <v>783</v>
      </c>
      <c r="B908" t="s">
        <v>77</v>
      </c>
      <c r="C908" t="s">
        <v>566</v>
      </c>
      <c r="D908" t="s">
        <v>566</v>
      </c>
      <c r="E908" t="s">
        <v>568</v>
      </c>
      <c r="F908" t="s">
        <v>568</v>
      </c>
      <c r="G908" t="s">
        <v>90</v>
      </c>
      <c r="H908" t="s">
        <v>81</v>
      </c>
      <c r="L908">
        <v>6</v>
      </c>
      <c r="M908" t="s">
        <v>83</v>
      </c>
      <c r="O908" t="s">
        <v>83</v>
      </c>
      <c r="P908" t="s">
        <v>84</v>
      </c>
    </row>
    <row r="909" spans="1:16">
      <c r="A909" t="s">
        <v>783</v>
      </c>
      <c r="B909" t="s">
        <v>77</v>
      </c>
      <c r="C909" t="s">
        <v>566</v>
      </c>
      <c r="D909" t="s">
        <v>566</v>
      </c>
      <c r="E909" t="s">
        <v>91</v>
      </c>
      <c r="F909" t="s">
        <v>91</v>
      </c>
      <c r="G909" t="s">
        <v>92</v>
      </c>
      <c r="H909" t="s">
        <v>81</v>
      </c>
      <c r="J909" t="s">
        <v>83</v>
      </c>
      <c r="L909">
        <v>7</v>
      </c>
      <c r="M909" t="s">
        <v>83</v>
      </c>
      <c r="O909" t="s">
        <v>83</v>
      </c>
      <c r="P909" t="s">
        <v>84</v>
      </c>
    </row>
    <row r="910" spans="1:16">
      <c r="A910" t="s">
        <v>783</v>
      </c>
      <c r="B910" t="s">
        <v>77</v>
      </c>
      <c r="C910" t="s">
        <v>566</v>
      </c>
      <c r="D910" t="s">
        <v>566</v>
      </c>
      <c r="E910" t="s">
        <v>569</v>
      </c>
      <c r="F910" t="s">
        <v>569</v>
      </c>
      <c r="G910" t="s">
        <v>94</v>
      </c>
      <c r="H910" t="s">
        <v>81</v>
      </c>
      <c r="L910">
        <v>8</v>
      </c>
      <c r="M910" t="s">
        <v>83</v>
      </c>
      <c r="O910" t="s">
        <v>83</v>
      </c>
      <c r="P910" t="s">
        <v>84</v>
      </c>
    </row>
    <row r="911" spans="1:16">
      <c r="A911" t="s">
        <v>783</v>
      </c>
      <c r="B911" t="s">
        <v>77</v>
      </c>
      <c r="C911" t="s">
        <v>566</v>
      </c>
      <c r="D911" t="s">
        <v>566</v>
      </c>
      <c r="E911" t="s">
        <v>570</v>
      </c>
      <c r="F911" t="s">
        <v>570</v>
      </c>
      <c r="G911" t="s">
        <v>88</v>
      </c>
      <c r="H911" t="s">
        <v>81</v>
      </c>
      <c r="L911">
        <v>9</v>
      </c>
      <c r="M911" t="s">
        <v>83</v>
      </c>
      <c r="O911" t="s">
        <v>83</v>
      </c>
      <c r="P911" t="s">
        <v>84</v>
      </c>
    </row>
    <row r="912" spans="1:16">
      <c r="A912" t="s">
        <v>783</v>
      </c>
      <c r="B912" t="s">
        <v>77</v>
      </c>
      <c r="C912" t="s">
        <v>566</v>
      </c>
      <c r="D912" t="s">
        <v>566</v>
      </c>
      <c r="E912" t="s">
        <v>571</v>
      </c>
      <c r="F912" t="s">
        <v>571</v>
      </c>
      <c r="G912" t="s">
        <v>94</v>
      </c>
      <c r="H912" t="s">
        <v>81</v>
      </c>
      <c r="L912">
        <v>10</v>
      </c>
      <c r="M912" t="s">
        <v>83</v>
      </c>
      <c r="O912" t="s">
        <v>83</v>
      </c>
      <c r="P912" t="s">
        <v>84</v>
      </c>
    </row>
    <row r="913" spans="1:16">
      <c r="A913" t="s">
        <v>783</v>
      </c>
      <c r="B913" t="s">
        <v>77</v>
      </c>
      <c r="C913" t="s">
        <v>566</v>
      </c>
      <c r="D913" t="s">
        <v>566</v>
      </c>
      <c r="E913" t="s">
        <v>572</v>
      </c>
      <c r="F913" t="s">
        <v>572</v>
      </c>
      <c r="G913" t="s">
        <v>98</v>
      </c>
      <c r="H913" t="s">
        <v>81</v>
      </c>
      <c r="L913">
        <v>11</v>
      </c>
      <c r="M913" t="s">
        <v>83</v>
      </c>
      <c r="O913" t="s">
        <v>83</v>
      </c>
      <c r="P913" t="s">
        <v>84</v>
      </c>
    </row>
    <row r="914" spans="1:16">
      <c r="A914" t="s">
        <v>783</v>
      </c>
      <c r="B914" t="s">
        <v>77</v>
      </c>
      <c r="C914" t="s">
        <v>566</v>
      </c>
      <c r="D914" t="s">
        <v>566</v>
      </c>
      <c r="E914" t="s">
        <v>573</v>
      </c>
      <c r="F914" t="s">
        <v>573</v>
      </c>
      <c r="G914" t="s">
        <v>98</v>
      </c>
      <c r="H914" t="s">
        <v>81</v>
      </c>
      <c r="L914">
        <v>12</v>
      </c>
      <c r="M914" t="s">
        <v>83</v>
      </c>
      <c r="O914" t="s">
        <v>83</v>
      </c>
      <c r="P914" t="s">
        <v>84</v>
      </c>
    </row>
    <row r="915" spans="1:16">
      <c r="A915" t="s">
        <v>783</v>
      </c>
      <c r="B915" t="s">
        <v>77</v>
      </c>
      <c r="C915" t="s">
        <v>566</v>
      </c>
      <c r="D915" t="s">
        <v>566</v>
      </c>
      <c r="E915" t="s">
        <v>574</v>
      </c>
      <c r="F915" t="s">
        <v>574</v>
      </c>
      <c r="G915" t="s">
        <v>98</v>
      </c>
      <c r="H915" t="s">
        <v>81</v>
      </c>
      <c r="L915">
        <v>13</v>
      </c>
      <c r="M915" t="s">
        <v>83</v>
      </c>
      <c r="O915" t="s">
        <v>83</v>
      </c>
      <c r="P915" t="s">
        <v>84</v>
      </c>
    </row>
    <row r="916" spans="1:16">
      <c r="A916" t="s">
        <v>783</v>
      </c>
      <c r="B916" t="s">
        <v>77</v>
      </c>
      <c r="C916" t="s">
        <v>566</v>
      </c>
      <c r="D916" t="s">
        <v>566</v>
      </c>
      <c r="E916" t="s">
        <v>117</v>
      </c>
      <c r="F916" t="s">
        <v>117</v>
      </c>
      <c r="G916" t="s">
        <v>90</v>
      </c>
      <c r="H916" t="s">
        <v>81</v>
      </c>
      <c r="L916">
        <v>14</v>
      </c>
      <c r="M916" t="s">
        <v>83</v>
      </c>
      <c r="O916" t="s">
        <v>83</v>
      </c>
      <c r="P916" t="s">
        <v>84</v>
      </c>
    </row>
    <row r="917" spans="1:16">
      <c r="A917" t="s">
        <v>783</v>
      </c>
      <c r="B917" t="s">
        <v>77</v>
      </c>
      <c r="C917" t="s">
        <v>566</v>
      </c>
      <c r="D917" t="s">
        <v>566</v>
      </c>
      <c r="E917" t="s">
        <v>328</v>
      </c>
      <c r="F917" t="s">
        <v>328</v>
      </c>
      <c r="G917" t="s">
        <v>90</v>
      </c>
      <c r="H917" t="s">
        <v>81</v>
      </c>
      <c r="L917">
        <v>15</v>
      </c>
      <c r="M917" t="s">
        <v>83</v>
      </c>
      <c r="O917" t="s">
        <v>83</v>
      </c>
      <c r="P917" t="s">
        <v>84</v>
      </c>
    </row>
    <row r="918" spans="1:16">
      <c r="A918" t="s">
        <v>783</v>
      </c>
      <c r="B918" t="s">
        <v>77</v>
      </c>
      <c r="C918" t="s">
        <v>566</v>
      </c>
      <c r="D918" t="s">
        <v>566</v>
      </c>
      <c r="E918" t="s">
        <v>112</v>
      </c>
      <c r="F918" t="s">
        <v>112</v>
      </c>
      <c r="G918" t="s">
        <v>113</v>
      </c>
      <c r="H918" t="s">
        <v>81</v>
      </c>
      <c r="I918" t="s">
        <v>114</v>
      </c>
      <c r="L918">
        <v>16</v>
      </c>
      <c r="M918" t="s">
        <v>83</v>
      </c>
      <c r="O918" t="s">
        <v>83</v>
      </c>
      <c r="P918" t="s">
        <v>84</v>
      </c>
    </row>
    <row r="919" spans="1:16">
      <c r="A919" t="s">
        <v>783</v>
      </c>
      <c r="B919" t="s">
        <v>77</v>
      </c>
      <c r="C919" t="s">
        <v>566</v>
      </c>
      <c r="D919" t="s">
        <v>566</v>
      </c>
      <c r="E919" t="s">
        <v>115</v>
      </c>
      <c r="F919" t="s">
        <v>115</v>
      </c>
      <c r="G919" t="s">
        <v>113</v>
      </c>
      <c r="H919" t="s">
        <v>81</v>
      </c>
      <c r="I919" t="s">
        <v>114</v>
      </c>
      <c r="L919">
        <v>17</v>
      </c>
      <c r="M919" t="s">
        <v>83</v>
      </c>
      <c r="O919" t="s">
        <v>83</v>
      </c>
      <c r="P919" t="s">
        <v>84</v>
      </c>
    </row>
    <row r="920" spans="1:16">
      <c r="A920" t="s">
        <v>783</v>
      </c>
      <c r="B920" t="s">
        <v>77</v>
      </c>
      <c r="C920" t="s">
        <v>566</v>
      </c>
      <c r="D920" t="s">
        <v>566</v>
      </c>
      <c r="E920" t="s">
        <v>118</v>
      </c>
      <c r="F920" t="s">
        <v>118</v>
      </c>
      <c r="G920" t="s">
        <v>92</v>
      </c>
      <c r="H920" t="s">
        <v>81</v>
      </c>
      <c r="L920">
        <v>24</v>
      </c>
      <c r="M920" t="s">
        <v>83</v>
      </c>
      <c r="O920" t="s">
        <v>83</v>
      </c>
      <c r="P920" t="s">
        <v>84</v>
      </c>
    </row>
    <row r="921" spans="1:16">
      <c r="A921" t="s">
        <v>783</v>
      </c>
      <c r="B921" t="s">
        <v>77</v>
      </c>
      <c r="C921" t="s">
        <v>566</v>
      </c>
      <c r="D921" t="s">
        <v>566</v>
      </c>
      <c r="E921" t="s">
        <v>784</v>
      </c>
      <c r="F921" t="s">
        <v>784</v>
      </c>
      <c r="G921" t="s">
        <v>80</v>
      </c>
      <c r="H921" t="s">
        <v>81</v>
      </c>
      <c r="I921" t="s">
        <v>82</v>
      </c>
      <c r="L921">
        <v>25</v>
      </c>
      <c r="M921" t="s">
        <v>83</v>
      </c>
      <c r="O921" t="s">
        <v>83</v>
      </c>
      <c r="P921" t="s">
        <v>84</v>
      </c>
    </row>
    <row r="922" spans="1:16">
      <c r="A922" t="s">
        <v>783</v>
      </c>
      <c r="B922" t="s">
        <v>77</v>
      </c>
      <c r="C922" t="s">
        <v>566</v>
      </c>
      <c r="D922" t="s">
        <v>566</v>
      </c>
      <c r="E922" t="s">
        <v>785</v>
      </c>
      <c r="F922" t="s">
        <v>785</v>
      </c>
      <c r="G922" t="s">
        <v>80</v>
      </c>
      <c r="H922" t="s">
        <v>81</v>
      </c>
      <c r="I922" t="s">
        <v>82</v>
      </c>
      <c r="L922">
        <v>26</v>
      </c>
      <c r="M922" t="s">
        <v>83</v>
      </c>
      <c r="O922" t="s">
        <v>83</v>
      </c>
      <c r="P922" t="s">
        <v>84</v>
      </c>
    </row>
    <row r="923" spans="1:16">
      <c r="A923" t="s">
        <v>783</v>
      </c>
      <c r="B923" t="s">
        <v>77</v>
      </c>
      <c r="C923" t="s">
        <v>566</v>
      </c>
      <c r="D923" t="s">
        <v>566</v>
      </c>
      <c r="E923" t="s">
        <v>786</v>
      </c>
      <c r="F923" t="s">
        <v>786</v>
      </c>
      <c r="G923" t="s">
        <v>787</v>
      </c>
      <c r="H923" t="s">
        <v>81</v>
      </c>
      <c r="L923">
        <v>27</v>
      </c>
      <c r="M923" t="s">
        <v>83</v>
      </c>
      <c r="O923" t="s">
        <v>83</v>
      </c>
      <c r="P923" t="s">
        <v>84</v>
      </c>
    </row>
    <row r="924" spans="1:16">
      <c r="A924" t="s">
        <v>783</v>
      </c>
      <c r="B924" t="s">
        <v>77</v>
      </c>
      <c r="C924" t="s">
        <v>575</v>
      </c>
      <c r="D924" t="s">
        <v>575</v>
      </c>
      <c r="E924" t="s">
        <v>79</v>
      </c>
      <c r="F924" t="s">
        <v>79</v>
      </c>
      <c r="G924" t="s">
        <v>80</v>
      </c>
      <c r="H924" t="s">
        <v>81</v>
      </c>
      <c r="I924" t="s">
        <v>82</v>
      </c>
      <c r="L924">
        <v>1</v>
      </c>
      <c r="M924" t="s">
        <v>83</v>
      </c>
      <c r="O924" t="s">
        <v>83</v>
      </c>
      <c r="P924" t="s">
        <v>84</v>
      </c>
    </row>
    <row r="925" spans="1:16">
      <c r="A925" t="s">
        <v>783</v>
      </c>
      <c r="B925" t="s">
        <v>77</v>
      </c>
      <c r="C925" t="s">
        <v>575</v>
      </c>
      <c r="D925" t="s">
        <v>575</v>
      </c>
      <c r="E925" t="s">
        <v>86</v>
      </c>
      <c r="F925" t="s">
        <v>86</v>
      </c>
      <c r="G925" t="s">
        <v>80</v>
      </c>
      <c r="H925" t="s">
        <v>81</v>
      </c>
      <c r="I925" t="s">
        <v>82</v>
      </c>
      <c r="L925">
        <v>2</v>
      </c>
      <c r="M925" t="s">
        <v>83</v>
      </c>
      <c r="O925" t="s">
        <v>83</v>
      </c>
      <c r="P925" t="s">
        <v>84</v>
      </c>
    </row>
    <row r="926" spans="1:16">
      <c r="A926" t="s">
        <v>783</v>
      </c>
      <c r="B926" t="s">
        <v>77</v>
      </c>
      <c r="C926" t="s">
        <v>575</v>
      </c>
      <c r="D926" t="s">
        <v>575</v>
      </c>
      <c r="E926" t="s">
        <v>87</v>
      </c>
      <c r="F926" t="s">
        <v>87</v>
      </c>
      <c r="G926" t="s">
        <v>88</v>
      </c>
      <c r="H926" t="s">
        <v>81</v>
      </c>
      <c r="J926" t="s">
        <v>83</v>
      </c>
      <c r="L926">
        <v>3</v>
      </c>
      <c r="M926" t="s">
        <v>83</v>
      </c>
      <c r="O926" t="s">
        <v>83</v>
      </c>
      <c r="P926" t="s">
        <v>84</v>
      </c>
    </row>
    <row r="927" spans="1:16">
      <c r="A927" t="s">
        <v>783</v>
      </c>
      <c r="B927" t="s">
        <v>77</v>
      </c>
      <c r="C927" t="s">
        <v>575</v>
      </c>
      <c r="D927" t="s">
        <v>575</v>
      </c>
      <c r="E927" t="s">
        <v>89</v>
      </c>
      <c r="F927" t="s">
        <v>89</v>
      </c>
      <c r="G927" t="s">
        <v>90</v>
      </c>
      <c r="H927" t="s">
        <v>81</v>
      </c>
      <c r="J927" t="s">
        <v>83</v>
      </c>
      <c r="K927" t="s">
        <v>83</v>
      </c>
      <c r="L927">
        <v>4</v>
      </c>
      <c r="M927" t="s">
        <v>83</v>
      </c>
      <c r="O927" t="s">
        <v>83</v>
      </c>
      <c r="P927" t="s">
        <v>84</v>
      </c>
    </row>
    <row r="928" spans="1:16">
      <c r="A928" t="s">
        <v>783</v>
      </c>
      <c r="B928" t="s">
        <v>77</v>
      </c>
      <c r="C928" t="s">
        <v>575</v>
      </c>
      <c r="D928" t="s">
        <v>575</v>
      </c>
      <c r="E928" t="s">
        <v>576</v>
      </c>
      <c r="F928" t="s">
        <v>576</v>
      </c>
      <c r="G928" t="s">
        <v>80</v>
      </c>
      <c r="H928" t="s">
        <v>81</v>
      </c>
      <c r="I928" t="s">
        <v>82</v>
      </c>
      <c r="L928">
        <v>5</v>
      </c>
      <c r="M928" t="s">
        <v>83</v>
      </c>
      <c r="O928" t="s">
        <v>83</v>
      </c>
      <c r="P928" t="s">
        <v>84</v>
      </c>
    </row>
    <row r="929" spans="1:16">
      <c r="A929" t="s">
        <v>783</v>
      </c>
      <c r="B929" t="s">
        <v>77</v>
      </c>
      <c r="C929" t="s">
        <v>575</v>
      </c>
      <c r="D929" t="s">
        <v>575</v>
      </c>
      <c r="E929" t="s">
        <v>577</v>
      </c>
      <c r="F929" t="s">
        <v>577</v>
      </c>
      <c r="G929" t="s">
        <v>90</v>
      </c>
      <c r="H929" t="s">
        <v>81</v>
      </c>
      <c r="L929">
        <v>6</v>
      </c>
      <c r="M929" t="s">
        <v>83</v>
      </c>
      <c r="O929" t="s">
        <v>83</v>
      </c>
      <c r="P929" t="s">
        <v>84</v>
      </c>
    </row>
    <row r="930" spans="1:16">
      <c r="A930" t="s">
        <v>783</v>
      </c>
      <c r="B930" t="s">
        <v>77</v>
      </c>
      <c r="C930" t="s">
        <v>575</v>
      </c>
      <c r="D930" t="s">
        <v>575</v>
      </c>
      <c r="E930" t="s">
        <v>91</v>
      </c>
      <c r="F930" t="s">
        <v>91</v>
      </c>
      <c r="G930" t="s">
        <v>92</v>
      </c>
      <c r="H930" t="s">
        <v>81</v>
      </c>
      <c r="J930" t="s">
        <v>83</v>
      </c>
      <c r="L930">
        <v>7</v>
      </c>
      <c r="M930" t="s">
        <v>83</v>
      </c>
      <c r="O930" t="s">
        <v>83</v>
      </c>
      <c r="P930" t="s">
        <v>84</v>
      </c>
    </row>
    <row r="931" spans="1:16">
      <c r="A931" t="s">
        <v>783</v>
      </c>
      <c r="B931" t="s">
        <v>77</v>
      </c>
      <c r="C931" t="s">
        <v>575</v>
      </c>
      <c r="D931" t="s">
        <v>575</v>
      </c>
      <c r="E931" t="s">
        <v>578</v>
      </c>
      <c r="F931" t="s">
        <v>578</v>
      </c>
      <c r="G931" t="s">
        <v>94</v>
      </c>
      <c r="H931" t="s">
        <v>81</v>
      </c>
      <c r="L931">
        <v>8</v>
      </c>
      <c r="M931" t="s">
        <v>83</v>
      </c>
      <c r="O931" t="s">
        <v>83</v>
      </c>
      <c r="P931" t="s">
        <v>84</v>
      </c>
    </row>
    <row r="932" spans="1:16">
      <c r="A932" t="s">
        <v>783</v>
      </c>
      <c r="B932" t="s">
        <v>77</v>
      </c>
      <c r="C932" t="s">
        <v>575</v>
      </c>
      <c r="D932" t="s">
        <v>575</v>
      </c>
      <c r="E932" t="s">
        <v>579</v>
      </c>
      <c r="F932" t="s">
        <v>579</v>
      </c>
      <c r="G932" t="s">
        <v>88</v>
      </c>
      <c r="H932" t="s">
        <v>81</v>
      </c>
      <c r="L932">
        <v>9</v>
      </c>
      <c r="M932" t="s">
        <v>83</v>
      </c>
      <c r="O932" t="s">
        <v>83</v>
      </c>
      <c r="P932" t="s">
        <v>84</v>
      </c>
    </row>
    <row r="933" spans="1:16">
      <c r="A933" t="s">
        <v>783</v>
      </c>
      <c r="B933" t="s">
        <v>77</v>
      </c>
      <c r="C933" t="s">
        <v>575</v>
      </c>
      <c r="D933" t="s">
        <v>575</v>
      </c>
      <c r="E933" t="s">
        <v>580</v>
      </c>
      <c r="F933" t="s">
        <v>580</v>
      </c>
      <c r="G933" t="s">
        <v>94</v>
      </c>
      <c r="H933" t="s">
        <v>81</v>
      </c>
      <c r="L933">
        <v>10</v>
      </c>
      <c r="M933" t="s">
        <v>83</v>
      </c>
      <c r="O933" t="s">
        <v>83</v>
      </c>
      <c r="P933" t="s">
        <v>84</v>
      </c>
    </row>
    <row r="934" spans="1:16">
      <c r="A934" t="s">
        <v>783</v>
      </c>
      <c r="B934" t="s">
        <v>77</v>
      </c>
      <c r="C934" t="s">
        <v>575</v>
      </c>
      <c r="D934" t="s">
        <v>575</v>
      </c>
      <c r="E934" t="s">
        <v>581</v>
      </c>
      <c r="F934" t="s">
        <v>581</v>
      </c>
      <c r="G934" t="s">
        <v>98</v>
      </c>
      <c r="H934" t="s">
        <v>81</v>
      </c>
      <c r="L934">
        <v>11</v>
      </c>
      <c r="M934" t="s">
        <v>83</v>
      </c>
      <c r="O934" t="s">
        <v>83</v>
      </c>
      <c r="P934" t="s">
        <v>84</v>
      </c>
    </row>
    <row r="935" spans="1:16">
      <c r="A935" t="s">
        <v>783</v>
      </c>
      <c r="B935" t="s">
        <v>77</v>
      </c>
      <c r="C935" t="s">
        <v>575</v>
      </c>
      <c r="D935" t="s">
        <v>575</v>
      </c>
      <c r="E935" t="s">
        <v>582</v>
      </c>
      <c r="F935" t="s">
        <v>582</v>
      </c>
      <c r="G935" t="s">
        <v>98</v>
      </c>
      <c r="H935" t="s">
        <v>81</v>
      </c>
      <c r="L935">
        <v>12</v>
      </c>
      <c r="M935" t="s">
        <v>83</v>
      </c>
      <c r="O935" t="s">
        <v>83</v>
      </c>
      <c r="P935" t="s">
        <v>84</v>
      </c>
    </row>
    <row r="936" spans="1:16">
      <c r="A936" t="s">
        <v>783</v>
      </c>
      <c r="B936" t="s">
        <v>77</v>
      </c>
      <c r="C936" t="s">
        <v>575</v>
      </c>
      <c r="D936" t="s">
        <v>575</v>
      </c>
      <c r="E936" t="s">
        <v>583</v>
      </c>
      <c r="F936" t="s">
        <v>583</v>
      </c>
      <c r="G936" t="s">
        <v>98</v>
      </c>
      <c r="H936" t="s">
        <v>81</v>
      </c>
      <c r="L936">
        <v>13</v>
      </c>
      <c r="M936" t="s">
        <v>83</v>
      </c>
      <c r="O936" t="s">
        <v>83</v>
      </c>
      <c r="P936" t="s">
        <v>84</v>
      </c>
    </row>
    <row r="937" spans="1:16">
      <c r="A937" t="s">
        <v>783</v>
      </c>
      <c r="B937" t="s">
        <v>77</v>
      </c>
      <c r="C937" t="s">
        <v>575</v>
      </c>
      <c r="D937" t="s">
        <v>575</v>
      </c>
      <c r="E937" t="s">
        <v>584</v>
      </c>
      <c r="F937" t="s">
        <v>584</v>
      </c>
      <c r="G937" t="s">
        <v>188</v>
      </c>
      <c r="H937" t="s">
        <v>81</v>
      </c>
      <c r="L937">
        <v>14</v>
      </c>
      <c r="M937" t="s">
        <v>83</v>
      </c>
      <c r="O937" t="s">
        <v>83</v>
      </c>
      <c r="P937" t="s">
        <v>84</v>
      </c>
    </row>
    <row r="938" spans="1:16">
      <c r="A938" t="s">
        <v>783</v>
      </c>
      <c r="B938" t="s">
        <v>77</v>
      </c>
      <c r="C938" t="s">
        <v>575</v>
      </c>
      <c r="D938" t="s">
        <v>575</v>
      </c>
      <c r="E938" t="s">
        <v>112</v>
      </c>
      <c r="F938" t="s">
        <v>112</v>
      </c>
      <c r="G938" t="s">
        <v>113</v>
      </c>
      <c r="H938" t="s">
        <v>81</v>
      </c>
      <c r="I938" t="s">
        <v>114</v>
      </c>
      <c r="L938">
        <v>15</v>
      </c>
      <c r="M938" t="s">
        <v>83</v>
      </c>
      <c r="O938" t="s">
        <v>83</v>
      </c>
      <c r="P938" t="s">
        <v>84</v>
      </c>
    </row>
    <row r="939" spans="1:16">
      <c r="A939" t="s">
        <v>783</v>
      </c>
      <c r="B939" t="s">
        <v>77</v>
      </c>
      <c r="C939" t="s">
        <v>575</v>
      </c>
      <c r="D939" t="s">
        <v>575</v>
      </c>
      <c r="E939" t="s">
        <v>115</v>
      </c>
      <c r="F939" t="s">
        <v>115</v>
      </c>
      <c r="G939" t="s">
        <v>113</v>
      </c>
      <c r="H939" t="s">
        <v>81</v>
      </c>
      <c r="I939" t="s">
        <v>114</v>
      </c>
      <c r="L939">
        <v>16</v>
      </c>
      <c r="M939" t="s">
        <v>83</v>
      </c>
      <c r="O939" t="s">
        <v>83</v>
      </c>
      <c r="P939" t="s">
        <v>84</v>
      </c>
    </row>
    <row r="940" spans="1:16">
      <c r="A940" t="s">
        <v>783</v>
      </c>
      <c r="B940" t="s">
        <v>77</v>
      </c>
      <c r="C940" t="s">
        <v>575</v>
      </c>
      <c r="D940" t="s">
        <v>575</v>
      </c>
      <c r="E940" t="s">
        <v>327</v>
      </c>
      <c r="F940" t="s">
        <v>327</v>
      </c>
      <c r="G940" t="s">
        <v>90</v>
      </c>
      <c r="H940" t="s">
        <v>81</v>
      </c>
      <c r="L940">
        <v>17</v>
      </c>
      <c r="M940" t="s">
        <v>83</v>
      </c>
      <c r="O940" t="s">
        <v>83</v>
      </c>
      <c r="P940" t="s">
        <v>84</v>
      </c>
    </row>
    <row r="941" spans="1:16">
      <c r="A941" t="s">
        <v>783</v>
      </c>
      <c r="B941" t="s">
        <v>77</v>
      </c>
      <c r="C941" t="s">
        <v>575</v>
      </c>
      <c r="D941" t="s">
        <v>575</v>
      </c>
      <c r="E941" t="s">
        <v>117</v>
      </c>
      <c r="F941" t="s">
        <v>117</v>
      </c>
      <c r="G941" t="s">
        <v>90</v>
      </c>
      <c r="H941" t="s">
        <v>81</v>
      </c>
      <c r="L941">
        <v>24</v>
      </c>
      <c r="M941" t="s">
        <v>83</v>
      </c>
      <c r="O941" t="s">
        <v>83</v>
      </c>
      <c r="P941" t="s">
        <v>84</v>
      </c>
    </row>
    <row r="942" spans="1:16">
      <c r="A942" t="s">
        <v>783</v>
      </c>
      <c r="B942" t="s">
        <v>77</v>
      </c>
      <c r="C942" t="s">
        <v>575</v>
      </c>
      <c r="D942" t="s">
        <v>575</v>
      </c>
      <c r="E942" t="s">
        <v>328</v>
      </c>
      <c r="F942" t="s">
        <v>328</v>
      </c>
      <c r="G942" t="s">
        <v>90</v>
      </c>
      <c r="H942" t="s">
        <v>81</v>
      </c>
      <c r="L942">
        <v>25</v>
      </c>
      <c r="M942" t="s">
        <v>83</v>
      </c>
      <c r="O942" t="s">
        <v>83</v>
      </c>
      <c r="P942" t="s">
        <v>84</v>
      </c>
    </row>
    <row r="943" spans="1:16">
      <c r="A943" t="s">
        <v>783</v>
      </c>
      <c r="B943" t="s">
        <v>77</v>
      </c>
      <c r="C943" t="s">
        <v>575</v>
      </c>
      <c r="D943" t="s">
        <v>575</v>
      </c>
      <c r="E943" t="s">
        <v>118</v>
      </c>
      <c r="F943" t="s">
        <v>118</v>
      </c>
      <c r="G943" t="s">
        <v>92</v>
      </c>
      <c r="H943" t="s">
        <v>81</v>
      </c>
      <c r="L943">
        <v>26</v>
      </c>
      <c r="M943" t="s">
        <v>83</v>
      </c>
      <c r="O943" t="s">
        <v>83</v>
      </c>
      <c r="P943" t="s">
        <v>84</v>
      </c>
    </row>
    <row r="944" spans="1:16">
      <c r="A944" t="s">
        <v>783</v>
      </c>
      <c r="B944" t="s">
        <v>77</v>
      </c>
      <c r="C944" t="s">
        <v>575</v>
      </c>
      <c r="D944" t="s">
        <v>575</v>
      </c>
      <c r="E944" t="s">
        <v>784</v>
      </c>
      <c r="F944" t="s">
        <v>784</v>
      </c>
      <c r="G944" t="s">
        <v>80</v>
      </c>
      <c r="H944" t="s">
        <v>81</v>
      </c>
      <c r="I944" t="s">
        <v>82</v>
      </c>
      <c r="L944">
        <v>27</v>
      </c>
      <c r="M944" t="s">
        <v>83</v>
      </c>
      <c r="O944" t="s">
        <v>83</v>
      </c>
      <c r="P944" t="s">
        <v>84</v>
      </c>
    </row>
    <row r="945" spans="1:16">
      <c r="A945" t="s">
        <v>783</v>
      </c>
      <c r="B945" t="s">
        <v>77</v>
      </c>
      <c r="C945" t="s">
        <v>575</v>
      </c>
      <c r="D945" t="s">
        <v>575</v>
      </c>
      <c r="E945" t="s">
        <v>785</v>
      </c>
      <c r="F945" t="s">
        <v>785</v>
      </c>
      <c r="G945" t="s">
        <v>80</v>
      </c>
      <c r="H945" t="s">
        <v>81</v>
      </c>
      <c r="I945" t="s">
        <v>82</v>
      </c>
      <c r="L945">
        <v>28</v>
      </c>
      <c r="M945" t="s">
        <v>83</v>
      </c>
      <c r="O945" t="s">
        <v>83</v>
      </c>
      <c r="P945" t="s">
        <v>84</v>
      </c>
    </row>
    <row r="946" spans="1:16">
      <c r="A946" t="s">
        <v>783</v>
      </c>
      <c r="B946" t="s">
        <v>77</v>
      </c>
      <c r="C946" t="s">
        <v>575</v>
      </c>
      <c r="D946" t="s">
        <v>575</v>
      </c>
      <c r="E946" t="s">
        <v>786</v>
      </c>
      <c r="F946" t="s">
        <v>786</v>
      </c>
      <c r="G946" t="s">
        <v>787</v>
      </c>
      <c r="H946" t="s">
        <v>81</v>
      </c>
      <c r="L946">
        <v>29</v>
      </c>
      <c r="M946" t="s">
        <v>83</v>
      </c>
      <c r="O946" t="s">
        <v>83</v>
      </c>
      <c r="P946" t="s">
        <v>84</v>
      </c>
    </row>
    <row r="947" spans="1:16">
      <c r="A947" t="s">
        <v>783</v>
      </c>
      <c r="B947" t="s">
        <v>77</v>
      </c>
      <c r="C947" t="s">
        <v>585</v>
      </c>
      <c r="D947" t="s">
        <v>585</v>
      </c>
      <c r="E947" t="s">
        <v>79</v>
      </c>
      <c r="F947" t="s">
        <v>79</v>
      </c>
      <c r="G947" t="s">
        <v>80</v>
      </c>
      <c r="H947" t="s">
        <v>81</v>
      </c>
      <c r="I947" t="s">
        <v>82</v>
      </c>
      <c r="L947">
        <v>1</v>
      </c>
      <c r="M947" t="s">
        <v>83</v>
      </c>
      <c r="O947" t="s">
        <v>83</v>
      </c>
      <c r="P947" t="s">
        <v>84</v>
      </c>
    </row>
    <row r="948" spans="1:16">
      <c r="A948" t="s">
        <v>783</v>
      </c>
      <c r="B948" t="s">
        <v>77</v>
      </c>
      <c r="C948" t="s">
        <v>585</v>
      </c>
      <c r="D948" t="s">
        <v>585</v>
      </c>
      <c r="E948" t="s">
        <v>86</v>
      </c>
      <c r="F948" t="s">
        <v>86</v>
      </c>
      <c r="G948" t="s">
        <v>80</v>
      </c>
      <c r="H948" t="s">
        <v>81</v>
      </c>
      <c r="I948" t="s">
        <v>82</v>
      </c>
      <c r="L948">
        <v>2</v>
      </c>
      <c r="M948" t="s">
        <v>83</v>
      </c>
      <c r="O948" t="s">
        <v>83</v>
      </c>
      <c r="P948" t="s">
        <v>84</v>
      </c>
    </row>
    <row r="949" spans="1:16">
      <c r="A949" t="s">
        <v>783</v>
      </c>
      <c r="B949" t="s">
        <v>77</v>
      </c>
      <c r="C949" t="s">
        <v>585</v>
      </c>
      <c r="D949" t="s">
        <v>585</v>
      </c>
      <c r="E949" t="s">
        <v>87</v>
      </c>
      <c r="F949" t="s">
        <v>87</v>
      </c>
      <c r="G949" t="s">
        <v>88</v>
      </c>
      <c r="H949" t="s">
        <v>81</v>
      </c>
      <c r="J949" t="s">
        <v>83</v>
      </c>
      <c r="L949">
        <v>3</v>
      </c>
      <c r="M949" t="s">
        <v>83</v>
      </c>
      <c r="O949" t="s">
        <v>83</v>
      </c>
      <c r="P949" t="s">
        <v>84</v>
      </c>
    </row>
    <row r="950" spans="1:16">
      <c r="A950" t="s">
        <v>783</v>
      </c>
      <c r="B950" t="s">
        <v>77</v>
      </c>
      <c r="C950" t="s">
        <v>585</v>
      </c>
      <c r="D950" t="s">
        <v>585</v>
      </c>
      <c r="E950" t="s">
        <v>89</v>
      </c>
      <c r="F950" t="s">
        <v>89</v>
      </c>
      <c r="G950" t="s">
        <v>90</v>
      </c>
      <c r="H950" t="s">
        <v>81</v>
      </c>
      <c r="J950" t="s">
        <v>83</v>
      </c>
      <c r="K950" t="s">
        <v>83</v>
      </c>
      <c r="L950">
        <v>4</v>
      </c>
      <c r="M950" t="s">
        <v>83</v>
      </c>
      <c r="O950" t="s">
        <v>83</v>
      </c>
      <c r="P950" t="s">
        <v>84</v>
      </c>
    </row>
    <row r="951" spans="1:16">
      <c r="A951" t="s">
        <v>783</v>
      </c>
      <c r="B951" t="s">
        <v>77</v>
      </c>
      <c r="C951" t="s">
        <v>585</v>
      </c>
      <c r="D951" t="s">
        <v>585</v>
      </c>
      <c r="E951" t="s">
        <v>586</v>
      </c>
      <c r="F951" t="s">
        <v>586</v>
      </c>
      <c r="G951" t="s">
        <v>80</v>
      </c>
      <c r="H951" t="s">
        <v>81</v>
      </c>
      <c r="I951" t="s">
        <v>82</v>
      </c>
      <c r="L951">
        <v>5</v>
      </c>
      <c r="M951" t="s">
        <v>83</v>
      </c>
      <c r="O951" t="s">
        <v>83</v>
      </c>
      <c r="P951" t="s">
        <v>84</v>
      </c>
    </row>
    <row r="952" spans="1:16">
      <c r="A952" t="s">
        <v>783</v>
      </c>
      <c r="B952" t="s">
        <v>77</v>
      </c>
      <c r="C952" t="s">
        <v>585</v>
      </c>
      <c r="D952" t="s">
        <v>585</v>
      </c>
      <c r="E952" t="s">
        <v>587</v>
      </c>
      <c r="F952" t="s">
        <v>587</v>
      </c>
      <c r="G952" t="s">
        <v>90</v>
      </c>
      <c r="H952" t="s">
        <v>81</v>
      </c>
      <c r="L952">
        <v>6</v>
      </c>
      <c r="M952" t="s">
        <v>83</v>
      </c>
      <c r="O952" t="s">
        <v>83</v>
      </c>
      <c r="P952" t="s">
        <v>84</v>
      </c>
    </row>
    <row r="953" spans="1:16">
      <c r="A953" t="s">
        <v>783</v>
      </c>
      <c r="B953" t="s">
        <v>77</v>
      </c>
      <c r="C953" t="s">
        <v>585</v>
      </c>
      <c r="D953" t="s">
        <v>585</v>
      </c>
      <c r="E953" t="s">
        <v>91</v>
      </c>
      <c r="F953" t="s">
        <v>91</v>
      </c>
      <c r="G953" t="s">
        <v>92</v>
      </c>
      <c r="H953" t="s">
        <v>81</v>
      </c>
      <c r="J953" t="s">
        <v>83</v>
      </c>
      <c r="L953">
        <v>7</v>
      </c>
      <c r="M953" t="s">
        <v>83</v>
      </c>
      <c r="O953" t="s">
        <v>83</v>
      </c>
      <c r="P953" t="s">
        <v>84</v>
      </c>
    </row>
    <row r="954" spans="1:16">
      <c r="A954" t="s">
        <v>783</v>
      </c>
      <c r="B954" t="s">
        <v>77</v>
      </c>
      <c r="C954" t="s">
        <v>585</v>
      </c>
      <c r="D954" t="s">
        <v>585</v>
      </c>
      <c r="E954" t="s">
        <v>588</v>
      </c>
      <c r="F954" t="s">
        <v>588</v>
      </c>
      <c r="G954" t="s">
        <v>94</v>
      </c>
      <c r="H954" t="s">
        <v>81</v>
      </c>
      <c r="L954">
        <v>8</v>
      </c>
      <c r="M954" t="s">
        <v>83</v>
      </c>
      <c r="O954" t="s">
        <v>83</v>
      </c>
      <c r="P954" t="s">
        <v>84</v>
      </c>
    </row>
    <row r="955" spans="1:16">
      <c r="A955" t="s">
        <v>783</v>
      </c>
      <c r="B955" t="s">
        <v>77</v>
      </c>
      <c r="C955" t="s">
        <v>585</v>
      </c>
      <c r="D955" t="s">
        <v>585</v>
      </c>
      <c r="E955" t="s">
        <v>589</v>
      </c>
      <c r="F955" t="s">
        <v>589</v>
      </c>
      <c r="G955" t="s">
        <v>88</v>
      </c>
      <c r="H955" t="s">
        <v>81</v>
      </c>
      <c r="L955">
        <v>9</v>
      </c>
      <c r="M955" t="s">
        <v>83</v>
      </c>
      <c r="O955" t="s">
        <v>83</v>
      </c>
      <c r="P955" t="s">
        <v>84</v>
      </c>
    </row>
    <row r="956" spans="1:16">
      <c r="A956" t="s">
        <v>783</v>
      </c>
      <c r="B956" t="s">
        <v>77</v>
      </c>
      <c r="C956" t="s">
        <v>585</v>
      </c>
      <c r="D956" t="s">
        <v>585</v>
      </c>
      <c r="E956" t="s">
        <v>590</v>
      </c>
      <c r="F956" t="s">
        <v>590</v>
      </c>
      <c r="G956" t="s">
        <v>94</v>
      </c>
      <c r="H956" t="s">
        <v>81</v>
      </c>
      <c r="L956">
        <v>10</v>
      </c>
      <c r="M956" t="s">
        <v>83</v>
      </c>
      <c r="O956" t="s">
        <v>83</v>
      </c>
      <c r="P956" t="s">
        <v>84</v>
      </c>
    </row>
    <row r="957" spans="1:16">
      <c r="A957" t="s">
        <v>783</v>
      </c>
      <c r="B957" t="s">
        <v>77</v>
      </c>
      <c r="C957" t="s">
        <v>585</v>
      </c>
      <c r="D957" t="s">
        <v>585</v>
      </c>
      <c r="E957" t="s">
        <v>591</v>
      </c>
      <c r="F957" t="s">
        <v>591</v>
      </c>
      <c r="G957" t="s">
        <v>98</v>
      </c>
      <c r="H957" t="s">
        <v>81</v>
      </c>
      <c r="L957">
        <v>11</v>
      </c>
      <c r="M957" t="s">
        <v>83</v>
      </c>
      <c r="O957" t="s">
        <v>83</v>
      </c>
      <c r="P957" t="s">
        <v>84</v>
      </c>
    </row>
    <row r="958" spans="1:16">
      <c r="A958" t="s">
        <v>783</v>
      </c>
      <c r="B958" t="s">
        <v>77</v>
      </c>
      <c r="C958" t="s">
        <v>585</v>
      </c>
      <c r="D958" t="s">
        <v>585</v>
      </c>
      <c r="E958" t="s">
        <v>592</v>
      </c>
      <c r="F958" t="s">
        <v>592</v>
      </c>
      <c r="G958" t="s">
        <v>98</v>
      </c>
      <c r="H958" t="s">
        <v>81</v>
      </c>
      <c r="L958">
        <v>12</v>
      </c>
      <c r="M958" t="s">
        <v>83</v>
      </c>
      <c r="O958" t="s">
        <v>83</v>
      </c>
      <c r="P958" t="s">
        <v>84</v>
      </c>
    </row>
    <row r="959" spans="1:16">
      <c r="A959" t="s">
        <v>783</v>
      </c>
      <c r="B959" t="s">
        <v>77</v>
      </c>
      <c r="C959" t="s">
        <v>585</v>
      </c>
      <c r="D959" t="s">
        <v>585</v>
      </c>
      <c r="E959" t="s">
        <v>593</v>
      </c>
      <c r="F959" t="s">
        <v>593</v>
      </c>
      <c r="G959" t="s">
        <v>98</v>
      </c>
      <c r="H959" t="s">
        <v>81</v>
      </c>
      <c r="L959">
        <v>13</v>
      </c>
      <c r="M959" t="s">
        <v>83</v>
      </c>
      <c r="O959" t="s">
        <v>83</v>
      </c>
      <c r="P959" t="s">
        <v>84</v>
      </c>
    </row>
    <row r="960" spans="1:16">
      <c r="A960" t="s">
        <v>783</v>
      </c>
      <c r="B960" t="s">
        <v>77</v>
      </c>
      <c r="C960" t="s">
        <v>585</v>
      </c>
      <c r="D960" t="s">
        <v>585</v>
      </c>
      <c r="E960" t="s">
        <v>118</v>
      </c>
      <c r="F960" t="s">
        <v>118</v>
      </c>
      <c r="G960" t="s">
        <v>92</v>
      </c>
      <c r="H960" t="s">
        <v>81</v>
      </c>
      <c r="L960">
        <v>14</v>
      </c>
      <c r="M960" t="s">
        <v>83</v>
      </c>
      <c r="O960" t="s">
        <v>83</v>
      </c>
      <c r="P960" t="s">
        <v>84</v>
      </c>
    </row>
    <row r="961" spans="1:16">
      <c r="A961" t="s">
        <v>783</v>
      </c>
      <c r="B961" t="s">
        <v>77</v>
      </c>
      <c r="C961" t="s">
        <v>585</v>
      </c>
      <c r="D961" t="s">
        <v>585</v>
      </c>
      <c r="E961" t="s">
        <v>112</v>
      </c>
      <c r="F961" t="s">
        <v>112</v>
      </c>
      <c r="G961" t="s">
        <v>113</v>
      </c>
      <c r="H961" t="s">
        <v>81</v>
      </c>
      <c r="I961" t="s">
        <v>114</v>
      </c>
      <c r="L961">
        <v>15</v>
      </c>
      <c r="M961" t="s">
        <v>83</v>
      </c>
      <c r="O961" t="s">
        <v>83</v>
      </c>
      <c r="P961" t="s">
        <v>84</v>
      </c>
    </row>
    <row r="962" spans="1:16">
      <c r="A962" t="s">
        <v>783</v>
      </c>
      <c r="B962" t="s">
        <v>77</v>
      </c>
      <c r="C962" t="s">
        <v>585</v>
      </c>
      <c r="D962" t="s">
        <v>585</v>
      </c>
      <c r="E962" t="s">
        <v>115</v>
      </c>
      <c r="F962" t="s">
        <v>115</v>
      </c>
      <c r="G962" t="s">
        <v>113</v>
      </c>
      <c r="H962" t="s">
        <v>81</v>
      </c>
      <c r="I962" t="s">
        <v>114</v>
      </c>
      <c r="L962">
        <v>16</v>
      </c>
      <c r="M962" t="s">
        <v>83</v>
      </c>
      <c r="O962" t="s">
        <v>83</v>
      </c>
      <c r="P962" t="s">
        <v>84</v>
      </c>
    </row>
    <row r="963" spans="1:16">
      <c r="A963" t="s">
        <v>783</v>
      </c>
      <c r="B963" t="s">
        <v>77</v>
      </c>
      <c r="C963" t="s">
        <v>585</v>
      </c>
      <c r="D963" t="s">
        <v>585</v>
      </c>
      <c r="E963" t="s">
        <v>117</v>
      </c>
      <c r="F963" t="s">
        <v>117</v>
      </c>
      <c r="G963" t="s">
        <v>90</v>
      </c>
      <c r="H963" t="s">
        <v>81</v>
      </c>
      <c r="L963">
        <v>23</v>
      </c>
      <c r="M963" t="s">
        <v>83</v>
      </c>
      <c r="O963" t="s">
        <v>83</v>
      </c>
      <c r="P963" t="s">
        <v>84</v>
      </c>
    </row>
    <row r="964" spans="1:16">
      <c r="A964" t="s">
        <v>783</v>
      </c>
      <c r="B964" t="s">
        <v>77</v>
      </c>
      <c r="C964" t="s">
        <v>585</v>
      </c>
      <c r="D964" t="s">
        <v>585</v>
      </c>
      <c r="E964" t="s">
        <v>327</v>
      </c>
      <c r="F964" t="s">
        <v>327</v>
      </c>
      <c r="G964" t="s">
        <v>90</v>
      </c>
      <c r="H964" t="s">
        <v>81</v>
      </c>
      <c r="L964">
        <v>24</v>
      </c>
      <c r="M964" t="s">
        <v>83</v>
      </c>
      <c r="O964" t="s">
        <v>83</v>
      </c>
      <c r="P964" t="s">
        <v>84</v>
      </c>
    </row>
    <row r="965" spans="1:16">
      <c r="A965" t="s">
        <v>783</v>
      </c>
      <c r="B965" t="s">
        <v>77</v>
      </c>
      <c r="C965" t="s">
        <v>585</v>
      </c>
      <c r="D965" t="s">
        <v>585</v>
      </c>
      <c r="E965" t="s">
        <v>328</v>
      </c>
      <c r="F965" t="s">
        <v>328</v>
      </c>
      <c r="G965" t="s">
        <v>90</v>
      </c>
      <c r="H965" t="s">
        <v>81</v>
      </c>
      <c r="L965">
        <v>25</v>
      </c>
      <c r="M965" t="s">
        <v>83</v>
      </c>
      <c r="O965" t="s">
        <v>83</v>
      </c>
      <c r="P965" t="s">
        <v>84</v>
      </c>
    </row>
    <row r="966" spans="1:16">
      <c r="A966" t="s">
        <v>783</v>
      </c>
      <c r="B966" t="s">
        <v>77</v>
      </c>
      <c r="C966" t="s">
        <v>585</v>
      </c>
      <c r="D966" t="s">
        <v>585</v>
      </c>
      <c r="E966" t="s">
        <v>784</v>
      </c>
      <c r="F966" t="s">
        <v>784</v>
      </c>
      <c r="G966" t="s">
        <v>80</v>
      </c>
      <c r="H966" t="s">
        <v>81</v>
      </c>
      <c r="I966" t="s">
        <v>82</v>
      </c>
      <c r="L966">
        <v>26</v>
      </c>
      <c r="M966" t="s">
        <v>83</v>
      </c>
      <c r="O966" t="s">
        <v>83</v>
      </c>
      <c r="P966" t="s">
        <v>84</v>
      </c>
    </row>
    <row r="967" spans="1:16">
      <c r="A967" t="s">
        <v>783</v>
      </c>
      <c r="B967" t="s">
        <v>77</v>
      </c>
      <c r="C967" t="s">
        <v>585</v>
      </c>
      <c r="D967" t="s">
        <v>585</v>
      </c>
      <c r="E967" t="s">
        <v>785</v>
      </c>
      <c r="F967" t="s">
        <v>785</v>
      </c>
      <c r="G967" t="s">
        <v>80</v>
      </c>
      <c r="H967" t="s">
        <v>81</v>
      </c>
      <c r="I967" t="s">
        <v>82</v>
      </c>
      <c r="L967">
        <v>27</v>
      </c>
      <c r="M967" t="s">
        <v>83</v>
      </c>
      <c r="O967" t="s">
        <v>83</v>
      </c>
      <c r="P967" t="s">
        <v>84</v>
      </c>
    </row>
    <row r="968" spans="1:16">
      <c r="A968" t="s">
        <v>783</v>
      </c>
      <c r="B968" t="s">
        <v>77</v>
      </c>
      <c r="C968" t="s">
        <v>585</v>
      </c>
      <c r="D968" t="s">
        <v>585</v>
      </c>
      <c r="E968" t="s">
        <v>786</v>
      </c>
      <c r="F968" t="s">
        <v>786</v>
      </c>
      <c r="G968" t="s">
        <v>787</v>
      </c>
      <c r="H968" t="s">
        <v>81</v>
      </c>
      <c r="L968">
        <v>28</v>
      </c>
      <c r="M968" t="s">
        <v>83</v>
      </c>
      <c r="O968" t="s">
        <v>83</v>
      </c>
      <c r="P968" t="s">
        <v>84</v>
      </c>
    </row>
    <row r="969" spans="1:16">
      <c r="A969" t="s">
        <v>783</v>
      </c>
      <c r="B969" t="s">
        <v>77</v>
      </c>
      <c r="C969" t="s">
        <v>594</v>
      </c>
      <c r="D969" t="s">
        <v>594</v>
      </c>
      <c r="E969" t="s">
        <v>79</v>
      </c>
      <c r="F969" t="s">
        <v>79</v>
      </c>
      <c r="G969" t="s">
        <v>80</v>
      </c>
      <c r="H969" t="s">
        <v>81</v>
      </c>
      <c r="I969" t="s">
        <v>82</v>
      </c>
      <c r="L969">
        <v>1</v>
      </c>
      <c r="M969" t="s">
        <v>83</v>
      </c>
      <c r="O969" t="s">
        <v>83</v>
      </c>
      <c r="P969" t="s">
        <v>84</v>
      </c>
    </row>
    <row r="970" spans="1:16">
      <c r="A970" t="s">
        <v>783</v>
      </c>
      <c r="B970" t="s">
        <v>77</v>
      </c>
      <c r="C970" t="s">
        <v>594</v>
      </c>
      <c r="D970" t="s">
        <v>594</v>
      </c>
      <c r="E970" t="s">
        <v>86</v>
      </c>
      <c r="F970" t="s">
        <v>86</v>
      </c>
      <c r="G970" t="s">
        <v>80</v>
      </c>
      <c r="H970" t="s">
        <v>81</v>
      </c>
      <c r="I970" t="s">
        <v>82</v>
      </c>
      <c r="L970">
        <v>2</v>
      </c>
      <c r="M970" t="s">
        <v>83</v>
      </c>
      <c r="O970" t="s">
        <v>83</v>
      </c>
      <c r="P970" t="s">
        <v>84</v>
      </c>
    </row>
    <row r="971" spans="1:16">
      <c r="A971" t="s">
        <v>783</v>
      </c>
      <c r="B971" t="s">
        <v>77</v>
      </c>
      <c r="C971" t="s">
        <v>594</v>
      </c>
      <c r="D971" t="s">
        <v>594</v>
      </c>
      <c r="E971" t="s">
        <v>87</v>
      </c>
      <c r="F971" t="s">
        <v>87</v>
      </c>
      <c r="G971" t="s">
        <v>88</v>
      </c>
      <c r="H971" t="s">
        <v>81</v>
      </c>
      <c r="J971" t="s">
        <v>83</v>
      </c>
      <c r="L971">
        <v>3</v>
      </c>
      <c r="M971" t="s">
        <v>83</v>
      </c>
      <c r="O971" t="s">
        <v>83</v>
      </c>
      <c r="P971" t="s">
        <v>84</v>
      </c>
    </row>
    <row r="972" spans="1:16">
      <c r="A972" t="s">
        <v>783</v>
      </c>
      <c r="B972" t="s">
        <v>77</v>
      </c>
      <c r="C972" t="s">
        <v>594</v>
      </c>
      <c r="D972" t="s">
        <v>594</v>
      </c>
      <c r="E972" t="s">
        <v>89</v>
      </c>
      <c r="F972" t="s">
        <v>89</v>
      </c>
      <c r="G972" t="s">
        <v>90</v>
      </c>
      <c r="H972" t="s">
        <v>81</v>
      </c>
      <c r="J972" t="s">
        <v>83</v>
      </c>
      <c r="K972" t="s">
        <v>83</v>
      </c>
      <c r="L972">
        <v>4</v>
      </c>
      <c r="M972" t="s">
        <v>83</v>
      </c>
      <c r="O972" t="s">
        <v>83</v>
      </c>
      <c r="P972" t="s">
        <v>84</v>
      </c>
    </row>
    <row r="973" spans="1:16">
      <c r="A973" t="s">
        <v>783</v>
      </c>
      <c r="B973" t="s">
        <v>77</v>
      </c>
      <c r="C973" t="s">
        <v>594</v>
      </c>
      <c r="D973" t="s">
        <v>594</v>
      </c>
      <c r="E973" t="s">
        <v>595</v>
      </c>
      <c r="F973" t="s">
        <v>595</v>
      </c>
      <c r="G973" t="s">
        <v>80</v>
      </c>
      <c r="H973" t="s">
        <v>81</v>
      </c>
      <c r="I973" t="s">
        <v>82</v>
      </c>
      <c r="L973">
        <v>5</v>
      </c>
      <c r="M973" t="s">
        <v>83</v>
      </c>
      <c r="O973" t="s">
        <v>83</v>
      </c>
      <c r="P973" t="s">
        <v>84</v>
      </c>
    </row>
    <row r="974" spans="1:16">
      <c r="A974" t="s">
        <v>783</v>
      </c>
      <c r="B974" t="s">
        <v>77</v>
      </c>
      <c r="C974" t="s">
        <v>594</v>
      </c>
      <c r="D974" t="s">
        <v>594</v>
      </c>
      <c r="E974" t="s">
        <v>596</v>
      </c>
      <c r="F974" t="s">
        <v>596</v>
      </c>
      <c r="G974" t="s">
        <v>90</v>
      </c>
      <c r="H974" t="s">
        <v>81</v>
      </c>
      <c r="L974">
        <v>6</v>
      </c>
      <c r="M974" t="s">
        <v>83</v>
      </c>
      <c r="O974" t="s">
        <v>83</v>
      </c>
      <c r="P974" t="s">
        <v>84</v>
      </c>
    </row>
    <row r="975" spans="1:16">
      <c r="A975" t="s">
        <v>783</v>
      </c>
      <c r="B975" t="s">
        <v>77</v>
      </c>
      <c r="C975" t="s">
        <v>594</v>
      </c>
      <c r="D975" t="s">
        <v>594</v>
      </c>
      <c r="E975" t="s">
        <v>91</v>
      </c>
      <c r="F975" t="s">
        <v>91</v>
      </c>
      <c r="G975" t="s">
        <v>92</v>
      </c>
      <c r="H975" t="s">
        <v>81</v>
      </c>
      <c r="J975" t="s">
        <v>83</v>
      </c>
      <c r="L975">
        <v>7</v>
      </c>
      <c r="M975" t="s">
        <v>83</v>
      </c>
      <c r="O975" t="s">
        <v>83</v>
      </c>
      <c r="P975" t="s">
        <v>84</v>
      </c>
    </row>
    <row r="976" spans="1:16">
      <c r="A976" t="s">
        <v>783</v>
      </c>
      <c r="B976" t="s">
        <v>77</v>
      </c>
      <c r="C976" t="s">
        <v>594</v>
      </c>
      <c r="D976" t="s">
        <v>594</v>
      </c>
      <c r="E976" t="s">
        <v>597</v>
      </c>
      <c r="F976" t="s">
        <v>597</v>
      </c>
      <c r="G976" t="s">
        <v>94</v>
      </c>
      <c r="H976" t="s">
        <v>81</v>
      </c>
      <c r="L976">
        <v>8</v>
      </c>
      <c r="M976" t="s">
        <v>83</v>
      </c>
      <c r="O976" t="s">
        <v>83</v>
      </c>
      <c r="P976" t="s">
        <v>84</v>
      </c>
    </row>
    <row r="977" spans="1:16">
      <c r="A977" t="s">
        <v>783</v>
      </c>
      <c r="B977" t="s">
        <v>77</v>
      </c>
      <c r="C977" t="s">
        <v>594</v>
      </c>
      <c r="D977" t="s">
        <v>594</v>
      </c>
      <c r="E977" t="s">
        <v>598</v>
      </c>
      <c r="F977" t="s">
        <v>598</v>
      </c>
      <c r="G977" t="s">
        <v>88</v>
      </c>
      <c r="H977" t="s">
        <v>81</v>
      </c>
      <c r="L977">
        <v>9</v>
      </c>
      <c r="M977" t="s">
        <v>83</v>
      </c>
      <c r="O977" t="s">
        <v>83</v>
      </c>
      <c r="P977" t="s">
        <v>84</v>
      </c>
    </row>
    <row r="978" spans="1:16">
      <c r="A978" t="s">
        <v>783</v>
      </c>
      <c r="B978" t="s">
        <v>77</v>
      </c>
      <c r="C978" t="s">
        <v>594</v>
      </c>
      <c r="D978" t="s">
        <v>594</v>
      </c>
      <c r="E978" t="s">
        <v>599</v>
      </c>
      <c r="F978" t="s">
        <v>599</v>
      </c>
      <c r="G978" t="s">
        <v>94</v>
      </c>
      <c r="H978" t="s">
        <v>81</v>
      </c>
      <c r="L978">
        <v>10</v>
      </c>
      <c r="M978" t="s">
        <v>83</v>
      </c>
      <c r="O978" t="s">
        <v>83</v>
      </c>
      <c r="P978" t="s">
        <v>84</v>
      </c>
    </row>
    <row r="979" spans="1:16">
      <c r="A979" t="s">
        <v>783</v>
      </c>
      <c r="B979" t="s">
        <v>77</v>
      </c>
      <c r="C979" t="s">
        <v>594</v>
      </c>
      <c r="D979" t="s">
        <v>594</v>
      </c>
      <c r="E979" t="s">
        <v>600</v>
      </c>
      <c r="F979" t="s">
        <v>600</v>
      </c>
      <c r="G979" t="s">
        <v>98</v>
      </c>
      <c r="H979" t="s">
        <v>81</v>
      </c>
      <c r="L979">
        <v>11</v>
      </c>
      <c r="M979" t="s">
        <v>83</v>
      </c>
      <c r="O979" t="s">
        <v>83</v>
      </c>
      <c r="P979" t="s">
        <v>84</v>
      </c>
    </row>
    <row r="980" spans="1:16">
      <c r="A980" t="s">
        <v>783</v>
      </c>
      <c r="B980" t="s">
        <v>77</v>
      </c>
      <c r="C980" t="s">
        <v>594</v>
      </c>
      <c r="D980" t="s">
        <v>594</v>
      </c>
      <c r="E980" t="s">
        <v>601</v>
      </c>
      <c r="F980" t="s">
        <v>601</v>
      </c>
      <c r="G980" t="s">
        <v>98</v>
      </c>
      <c r="H980" t="s">
        <v>81</v>
      </c>
      <c r="L980">
        <v>12</v>
      </c>
      <c r="M980" t="s">
        <v>83</v>
      </c>
      <c r="O980" t="s">
        <v>83</v>
      </c>
      <c r="P980" t="s">
        <v>84</v>
      </c>
    </row>
    <row r="981" spans="1:16">
      <c r="A981" t="s">
        <v>783</v>
      </c>
      <c r="B981" t="s">
        <v>77</v>
      </c>
      <c r="C981" t="s">
        <v>594</v>
      </c>
      <c r="D981" t="s">
        <v>594</v>
      </c>
      <c r="E981" t="s">
        <v>602</v>
      </c>
      <c r="F981" t="s">
        <v>602</v>
      </c>
      <c r="G981" t="s">
        <v>98</v>
      </c>
      <c r="H981" t="s">
        <v>81</v>
      </c>
      <c r="L981">
        <v>13</v>
      </c>
      <c r="M981" t="s">
        <v>83</v>
      </c>
      <c r="O981" t="s">
        <v>83</v>
      </c>
      <c r="P981" t="s">
        <v>84</v>
      </c>
    </row>
    <row r="982" spans="1:16">
      <c r="A982" t="s">
        <v>783</v>
      </c>
      <c r="B982" t="s">
        <v>77</v>
      </c>
      <c r="C982" t="s">
        <v>594</v>
      </c>
      <c r="D982" t="s">
        <v>594</v>
      </c>
      <c r="E982" t="s">
        <v>603</v>
      </c>
      <c r="F982" t="s">
        <v>603</v>
      </c>
      <c r="G982" t="s">
        <v>188</v>
      </c>
      <c r="H982" t="s">
        <v>81</v>
      </c>
      <c r="L982">
        <v>14</v>
      </c>
      <c r="M982" t="s">
        <v>83</v>
      </c>
      <c r="O982" t="s">
        <v>83</v>
      </c>
      <c r="P982" t="s">
        <v>84</v>
      </c>
    </row>
    <row r="983" spans="1:16">
      <c r="A983" t="s">
        <v>783</v>
      </c>
      <c r="B983" t="s">
        <v>77</v>
      </c>
      <c r="C983" t="s">
        <v>594</v>
      </c>
      <c r="D983" t="s">
        <v>594</v>
      </c>
      <c r="E983" t="s">
        <v>112</v>
      </c>
      <c r="F983" t="s">
        <v>112</v>
      </c>
      <c r="G983" t="s">
        <v>113</v>
      </c>
      <c r="H983" t="s">
        <v>81</v>
      </c>
      <c r="I983" t="s">
        <v>114</v>
      </c>
      <c r="L983">
        <v>15</v>
      </c>
      <c r="M983" t="s">
        <v>83</v>
      </c>
      <c r="O983" t="s">
        <v>83</v>
      </c>
      <c r="P983" t="s">
        <v>84</v>
      </c>
    </row>
    <row r="984" spans="1:16">
      <c r="A984" t="s">
        <v>783</v>
      </c>
      <c r="B984" t="s">
        <v>77</v>
      </c>
      <c r="C984" t="s">
        <v>594</v>
      </c>
      <c r="D984" t="s">
        <v>594</v>
      </c>
      <c r="E984" t="s">
        <v>115</v>
      </c>
      <c r="F984" t="s">
        <v>115</v>
      </c>
      <c r="G984" t="s">
        <v>113</v>
      </c>
      <c r="H984" t="s">
        <v>81</v>
      </c>
      <c r="I984" t="s">
        <v>114</v>
      </c>
      <c r="L984">
        <v>16</v>
      </c>
      <c r="M984" t="s">
        <v>83</v>
      </c>
      <c r="O984" t="s">
        <v>83</v>
      </c>
      <c r="P984" t="s">
        <v>84</v>
      </c>
    </row>
    <row r="985" spans="1:16">
      <c r="A985" t="s">
        <v>783</v>
      </c>
      <c r="B985" t="s">
        <v>77</v>
      </c>
      <c r="C985" t="s">
        <v>594</v>
      </c>
      <c r="D985" t="s">
        <v>594</v>
      </c>
      <c r="E985" t="s">
        <v>327</v>
      </c>
      <c r="F985" t="s">
        <v>327</v>
      </c>
      <c r="G985" t="s">
        <v>90</v>
      </c>
      <c r="H985" t="s">
        <v>81</v>
      </c>
      <c r="L985">
        <v>17</v>
      </c>
      <c r="M985" t="s">
        <v>83</v>
      </c>
      <c r="O985" t="s">
        <v>83</v>
      </c>
      <c r="P985" t="s">
        <v>84</v>
      </c>
    </row>
    <row r="986" spans="1:16">
      <c r="A986" t="s">
        <v>783</v>
      </c>
      <c r="B986" t="s">
        <v>77</v>
      </c>
      <c r="C986" t="s">
        <v>594</v>
      </c>
      <c r="D986" t="s">
        <v>594</v>
      </c>
      <c r="E986" t="s">
        <v>117</v>
      </c>
      <c r="F986" t="s">
        <v>117</v>
      </c>
      <c r="G986" t="s">
        <v>90</v>
      </c>
      <c r="H986" t="s">
        <v>81</v>
      </c>
      <c r="L986">
        <v>24</v>
      </c>
      <c r="M986" t="s">
        <v>83</v>
      </c>
      <c r="O986" t="s">
        <v>83</v>
      </c>
      <c r="P986" t="s">
        <v>84</v>
      </c>
    </row>
    <row r="987" spans="1:16">
      <c r="A987" t="s">
        <v>783</v>
      </c>
      <c r="B987" t="s">
        <v>77</v>
      </c>
      <c r="C987" t="s">
        <v>594</v>
      </c>
      <c r="D987" t="s">
        <v>594</v>
      </c>
      <c r="E987" t="s">
        <v>328</v>
      </c>
      <c r="F987" t="s">
        <v>328</v>
      </c>
      <c r="G987" t="s">
        <v>90</v>
      </c>
      <c r="H987" t="s">
        <v>81</v>
      </c>
      <c r="L987">
        <v>25</v>
      </c>
      <c r="M987" t="s">
        <v>83</v>
      </c>
      <c r="O987" t="s">
        <v>83</v>
      </c>
      <c r="P987" t="s">
        <v>84</v>
      </c>
    </row>
    <row r="988" spans="1:16">
      <c r="A988" t="s">
        <v>783</v>
      </c>
      <c r="B988" t="s">
        <v>77</v>
      </c>
      <c r="C988" t="s">
        <v>594</v>
      </c>
      <c r="D988" t="s">
        <v>594</v>
      </c>
      <c r="E988" t="s">
        <v>118</v>
      </c>
      <c r="F988" t="s">
        <v>118</v>
      </c>
      <c r="G988" t="s">
        <v>92</v>
      </c>
      <c r="H988" t="s">
        <v>81</v>
      </c>
      <c r="L988">
        <v>26</v>
      </c>
      <c r="M988" t="s">
        <v>83</v>
      </c>
      <c r="O988" t="s">
        <v>83</v>
      </c>
      <c r="P988" t="s">
        <v>84</v>
      </c>
    </row>
    <row r="989" spans="1:16">
      <c r="A989" t="s">
        <v>783</v>
      </c>
      <c r="B989" t="s">
        <v>77</v>
      </c>
      <c r="C989" t="s">
        <v>594</v>
      </c>
      <c r="D989" t="s">
        <v>594</v>
      </c>
      <c r="E989" t="s">
        <v>784</v>
      </c>
      <c r="F989" t="s">
        <v>784</v>
      </c>
      <c r="G989" t="s">
        <v>80</v>
      </c>
      <c r="H989" t="s">
        <v>81</v>
      </c>
      <c r="I989" t="s">
        <v>82</v>
      </c>
      <c r="L989">
        <v>27</v>
      </c>
      <c r="M989" t="s">
        <v>83</v>
      </c>
      <c r="O989" t="s">
        <v>83</v>
      </c>
      <c r="P989" t="s">
        <v>84</v>
      </c>
    </row>
    <row r="990" spans="1:16">
      <c r="A990" t="s">
        <v>783</v>
      </c>
      <c r="B990" t="s">
        <v>77</v>
      </c>
      <c r="C990" t="s">
        <v>594</v>
      </c>
      <c r="D990" t="s">
        <v>594</v>
      </c>
      <c r="E990" t="s">
        <v>785</v>
      </c>
      <c r="F990" t="s">
        <v>785</v>
      </c>
      <c r="G990" t="s">
        <v>80</v>
      </c>
      <c r="H990" t="s">
        <v>81</v>
      </c>
      <c r="I990" t="s">
        <v>82</v>
      </c>
      <c r="L990">
        <v>28</v>
      </c>
      <c r="M990" t="s">
        <v>83</v>
      </c>
      <c r="O990" t="s">
        <v>83</v>
      </c>
      <c r="P990" t="s">
        <v>84</v>
      </c>
    </row>
    <row r="991" spans="1:16">
      <c r="A991" t="s">
        <v>783</v>
      </c>
      <c r="B991" t="s">
        <v>77</v>
      </c>
      <c r="C991" t="s">
        <v>594</v>
      </c>
      <c r="D991" t="s">
        <v>594</v>
      </c>
      <c r="E991" t="s">
        <v>786</v>
      </c>
      <c r="F991" t="s">
        <v>786</v>
      </c>
      <c r="G991" t="s">
        <v>787</v>
      </c>
      <c r="H991" t="s">
        <v>81</v>
      </c>
      <c r="L991">
        <v>29</v>
      </c>
      <c r="M991" t="s">
        <v>83</v>
      </c>
      <c r="O991" t="s">
        <v>83</v>
      </c>
      <c r="P991" t="s">
        <v>84</v>
      </c>
    </row>
    <row r="992" spans="1:16">
      <c r="A992" t="s">
        <v>783</v>
      </c>
      <c r="B992" t="s">
        <v>77</v>
      </c>
      <c r="C992" t="s">
        <v>604</v>
      </c>
      <c r="D992" t="s">
        <v>604</v>
      </c>
      <c r="E992" t="s">
        <v>79</v>
      </c>
      <c r="F992" t="s">
        <v>79</v>
      </c>
      <c r="G992" t="s">
        <v>80</v>
      </c>
      <c r="H992" t="s">
        <v>81</v>
      </c>
      <c r="I992" t="s">
        <v>82</v>
      </c>
      <c r="L992">
        <v>1</v>
      </c>
      <c r="M992" t="s">
        <v>83</v>
      </c>
      <c r="O992" t="s">
        <v>83</v>
      </c>
      <c r="P992" t="s">
        <v>84</v>
      </c>
    </row>
    <row r="993" spans="1:16">
      <c r="A993" t="s">
        <v>783</v>
      </c>
      <c r="B993" t="s">
        <v>77</v>
      </c>
      <c r="C993" t="s">
        <v>604</v>
      </c>
      <c r="D993" t="s">
        <v>604</v>
      </c>
      <c r="E993" t="s">
        <v>86</v>
      </c>
      <c r="F993" t="s">
        <v>86</v>
      </c>
      <c r="G993" t="s">
        <v>80</v>
      </c>
      <c r="H993" t="s">
        <v>81</v>
      </c>
      <c r="I993" t="s">
        <v>82</v>
      </c>
      <c r="L993">
        <v>2</v>
      </c>
      <c r="M993" t="s">
        <v>83</v>
      </c>
      <c r="O993" t="s">
        <v>83</v>
      </c>
      <c r="P993" t="s">
        <v>84</v>
      </c>
    </row>
    <row r="994" spans="1:16">
      <c r="A994" t="s">
        <v>783</v>
      </c>
      <c r="B994" t="s">
        <v>77</v>
      </c>
      <c r="C994" t="s">
        <v>604</v>
      </c>
      <c r="D994" t="s">
        <v>604</v>
      </c>
      <c r="E994" t="s">
        <v>87</v>
      </c>
      <c r="F994" t="s">
        <v>87</v>
      </c>
      <c r="G994" t="s">
        <v>88</v>
      </c>
      <c r="H994" t="s">
        <v>81</v>
      </c>
      <c r="J994" t="s">
        <v>83</v>
      </c>
      <c r="L994">
        <v>3</v>
      </c>
      <c r="M994" t="s">
        <v>83</v>
      </c>
      <c r="O994" t="s">
        <v>83</v>
      </c>
      <c r="P994" t="s">
        <v>84</v>
      </c>
    </row>
    <row r="995" spans="1:16">
      <c r="A995" t="s">
        <v>783</v>
      </c>
      <c r="B995" t="s">
        <v>77</v>
      </c>
      <c r="C995" t="s">
        <v>604</v>
      </c>
      <c r="D995" t="s">
        <v>604</v>
      </c>
      <c r="E995" t="s">
        <v>89</v>
      </c>
      <c r="F995" t="s">
        <v>89</v>
      </c>
      <c r="G995" t="s">
        <v>90</v>
      </c>
      <c r="H995" t="s">
        <v>81</v>
      </c>
      <c r="J995" t="s">
        <v>83</v>
      </c>
      <c r="K995" t="s">
        <v>83</v>
      </c>
      <c r="L995">
        <v>4</v>
      </c>
      <c r="M995" t="s">
        <v>83</v>
      </c>
      <c r="O995" t="s">
        <v>83</v>
      </c>
      <c r="P995" t="s">
        <v>84</v>
      </c>
    </row>
    <row r="996" spans="1:16">
      <c r="A996" t="s">
        <v>783</v>
      </c>
      <c r="B996" t="s">
        <v>77</v>
      </c>
      <c r="C996" t="s">
        <v>604</v>
      </c>
      <c r="D996" t="s">
        <v>604</v>
      </c>
      <c r="E996" t="s">
        <v>605</v>
      </c>
      <c r="F996" t="s">
        <v>605</v>
      </c>
      <c r="G996" t="s">
        <v>80</v>
      </c>
      <c r="H996" t="s">
        <v>81</v>
      </c>
      <c r="I996" t="s">
        <v>82</v>
      </c>
      <c r="L996">
        <v>5</v>
      </c>
      <c r="M996" t="s">
        <v>83</v>
      </c>
      <c r="O996" t="s">
        <v>83</v>
      </c>
      <c r="P996" t="s">
        <v>84</v>
      </c>
    </row>
    <row r="997" spans="1:16">
      <c r="A997" t="s">
        <v>783</v>
      </c>
      <c r="B997" t="s">
        <v>77</v>
      </c>
      <c r="C997" t="s">
        <v>604</v>
      </c>
      <c r="D997" t="s">
        <v>604</v>
      </c>
      <c r="E997" t="s">
        <v>606</v>
      </c>
      <c r="F997" t="s">
        <v>606</v>
      </c>
      <c r="G997" t="s">
        <v>90</v>
      </c>
      <c r="H997" t="s">
        <v>81</v>
      </c>
      <c r="L997">
        <v>6</v>
      </c>
      <c r="M997" t="s">
        <v>83</v>
      </c>
      <c r="O997" t="s">
        <v>83</v>
      </c>
      <c r="P997" t="s">
        <v>84</v>
      </c>
    </row>
    <row r="998" spans="1:16">
      <c r="A998" t="s">
        <v>783</v>
      </c>
      <c r="B998" t="s">
        <v>77</v>
      </c>
      <c r="C998" t="s">
        <v>604</v>
      </c>
      <c r="D998" t="s">
        <v>604</v>
      </c>
      <c r="E998" t="s">
        <v>91</v>
      </c>
      <c r="F998" t="s">
        <v>91</v>
      </c>
      <c r="G998" t="s">
        <v>92</v>
      </c>
      <c r="H998" t="s">
        <v>81</v>
      </c>
      <c r="J998" t="s">
        <v>83</v>
      </c>
      <c r="L998">
        <v>7</v>
      </c>
      <c r="M998" t="s">
        <v>83</v>
      </c>
      <c r="O998" t="s">
        <v>83</v>
      </c>
      <c r="P998" t="s">
        <v>84</v>
      </c>
    </row>
    <row r="999" spans="1:16">
      <c r="A999" t="s">
        <v>783</v>
      </c>
      <c r="B999" t="s">
        <v>77</v>
      </c>
      <c r="C999" t="s">
        <v>604</v>
      </c>
      <c r="D999" t="s">
        <v>604</v>
      </c>
      <c r="E999" t="s">
        <v>607</v>
      </c>
      <c r="F999" t="s">
        <v>607</v>
      </c>
      <c r="G999" t="s">
        <v>94</v>
      </c>
      <c r="H999" t="s">
        <v>81</v>
      </c>
      <c r="L999">
        <v>8</v>
      </c>
      <c r="M999" t="s">
        <v>83</v>
      </c>
      <c r="O999" t="s">
        <v>83</v>
      </c>
      <c r="P999" t="s">
        <v>84</v>
      </c>
    </row>
    <row r="1000" spans="1:16">
      <c r="A1000" t="s">
        <v>783</v>
      </c>
      <c r="B1000" t="s">
        <v>77</v>
      </c>
      <c r="C1000" t="s">
        <v>604</v>
      </c>
      <c r="D1000" t="s">
        <v>604</v>
      </c>
      <c r="E1000" t="s">
        <v>608</v>
      </c>
      <c r="F1000" t="s">
        <v>608</v>
      </c>
      <c r="G1000" t="s">
        <v>88</v>
      </c>
      <c r="H1000" t="s">
        <v>81</v>
      </c>
      <c r="L1000">
        <v>9</v>
      </c>
      <c r="M1000" t="s">
        <v>83</v>
      </c>
      <c r="O1000" t="s">
        <v>83</v>
      </c>
      <c r="P1000" t="s">
        <v>84</v>
      </c>
    </row>
    <row r="1001" spans="1:16">
      <c r="A1001" t="s">
        <v>783</v>
      </c>
      <c r="B1001" t="s">
        <v>77</v>
      </c>
      <c r="C1001" t="s">
        <v>604</v>
      </c>
      <c r="D1001" t="s">
        <v>604</v>
      </c>
      <c r="E1001" t="s">
        <v>609</v>
      </c>
      <c r="F1001" t="s">
        <v>609</v>
      </c>
      <c r="G1001" t="s">
        <v>94</v>
      </c>
      <c r="H1001" t="s">
        <v>81</v>
      </c>
      <c r="L1001">
        <v>10</v>
      </c>
      <c r="M1001" t="s">
        <v>83</v>
      </c>
      <c r="O1001" t="s">
        <v>83</v>
      </c>
      <c r="P1001" t="s">
        <v>84</v>
      </c>
    </row>
    <row r="1002" spans="1:16">
      <c r="A1002" t="s">
        <v>783</v>
      </c>
      <c r="B1002" t="s">
        <v>77</v>
      </c>
      <c r="C1002" t="s">
        <v>604</v>
      </c>
      <c r="D1002" t="s">
        <v>604</v>
      </c>
      <c r="E1002" t="s">
        <v>610</v>
      </c>
      <c r="F1002" t="s">
        <v>610</v>
      </c>
      <c r="G1002" t="s">
        <v>98</v>
      </c>
      <c r="H1002" t="s">
        <v>81</v>
      </c>
      <c r="L1002">
        <v>11</v>
      </c>
      <c r="M1002" t="s">
        <v>83</v>
      </c>
      <c r="O1002" t="s">
        <v>83</v>
      </c>
      <c r="P1002" t="s">
        <v>84</v>
      </c>
    </row>
    <row r="1003" spans="1:16">
      <c r="A1003" t="s">
        <v>783</v>
      </c>
      <c r="B1003" t="s">
        <v>77</v>
      </c>
      <c r="C1003" t="s">
        <v>604</v>
      </c>
      <c r="D1003" t="s">
        <v>604</v>
      </c>
      <c r="E1003" t="s">
        <v>611</v>
      </c>
      <c r="F1003" t="s">
        <v>611</v>
      </c>
      <c r="G1003" t="s">
        <v>98</v>
      </c>
      <c r="H1003" t="s">
        <v>81</v>
      </c>
      <c r="L1003">
        <v>12</v>
      </c>
      <c r="M1003" t="s">
        <v>83</v>
      </c>
      <c r="O1003" t="s">
        <v>83</v>
      </c>
      <c r="P1003" t="s">
        <v>84</v>
      </c>
    </row>
    <row r="1004" spans="1:16">
      <c r="A1004" t="s">
        <v>783</v>
      </c>
      <c r="B1004" t="s">
        <v>77</v>
      </c>
      <c r="C1004" t="s">
        <v>604</v>
      </c>
      <c r="D1004" t="s">
        <v>604</v>
      </c>
      <c r="E1004" t="s">
        <v>612</v>
      </c>
      <c r="F1004" t="s">
        <v>612</v>
      </c>
      <c r="G1004" t="s">
        <v>98</v>
      </c>
      <c r="H1004" t="s">
        <v>81</v>
      </c>
      <c r="L1004">
        <v>13</v>
      </c>
      <c r="M1004" t="s">
        <v>83</v>
      </c>
      <c r="O1004" t="s">
        <v>83</v>
      </c>
      <c r="P1004" t="s">
        <v>84</v>
      </c>
    </row>
    <row r="1005" spans="1:16">
      <c r="A1005" t="s">
        <v>783</v>
      </c>
      <c r="B1005" t="s">
        <v>77</v>
      </c>
      <c r="C1005" t="s">
        <v>604</v>
      </c>
      <c r="D1005" t="s">
        <v>604</v>
      </c>
      <c r="E1005" t="s">
        <v>613</v>
      </c>
      <c r="F1005" t="s">
        <v>613</v>
      </c>
      <c r="G1005" t="s">
        <v>188</v>
      </c>
      <c r="H1005" t="s">
        <v>81</v>
      </c>
      <c r="L1005">
        <v>14</v>
      </c>
      <c r="M1005" t="s">
        <v>83</v>
      </c>
      <c r="O1005" t="s">
        <v>83</v>
      </c>
      <c r="P1005" t="s">
        <v>84</v>
      </c>
    </row>
    <row r="1006" spans="1:16">
      <c r="A1006" t="s">
        <v>783</v>
      </c>
      <c r="B1006" t="s">
        <v>77</v>
      </c>
      <c r="C1006" t="s">
        <v>604</v>
      </c>
      <c r="D1006" t="s">
        <v>604</v>
      </c>
      <c r="E1006" t="s">
        <v>112</v>
      </c>
      <c r="F1006" t="s">
        <v>112</v>
      </c>
      <c r="G1006" t="s">
        <v>113</v>
      </c>
      <c r="H1006" t="s">
        <v>81</v>
      </c>
      <c r="I1006" t="s">
        <v>114</v>
      </c>
      <c r="L1006">
        <v>15</v>
      </c>
      <c r="M1006" t="s">
        <v>83</v>
      </c>
      <c r="O1006" t="s">
        <v>83</v>
      </c>
      <c r="P1006" t="s">
        <v>84</v>
      </c>
    </row>
    <row r="1007" spans="1:16">
      <c r="A1007" t="s">
        <v>783</v>
      </c>
      <c r="B1007" t="s">
        <v>77</v>
      </c>
      <c r="C1007" t="s">
        <v>604</v>
      </c>
      <c r="D1007" t="s">
        <v>604</v>
      </c>
      <c r="E1007" t="s">
        <v>115</v>
      </c>
      <c r="F1007" t="s">
        <v>115</v>
      </c>
      <c r="G1007" t="s">
        <v>113</v>
      </c>
      <c r="H1007" t="s">
        <v>81</v>
      </c>
      <c r="I1007" t="s">
        <v>114</v>
      </c>
      <c r="L1007">
        <v>16</v>
      </c>
      <c r="M1007" t="s">
        <v>83</v>
      </c>
      <c r="O1007" t="s">
        <v>83</v>
      </c>
      <c r="P1007" t="s">
        <v>84</v>
      </c>
    </row>
    <row r="1008" spans="1:16">
      <c r="A1008" t="s">
        <v>783</v>
      </c>
      <c r="B1008" t="s">
        <v>77</v>
      </c>
      <c r="C1008" t="s">
        <v>604</v>
      </c>
      <c r="D1008" t="s">
        <v>604</v>
      </c>
      <c r="E1008" t="s">
        <v>327</v>
      </c>
      <c r="F1008" t="s">
        <v>327</v>
      </c>
      <c r="G1008" t="s">
        <v>90</v>
      </c>
      <c r="H1008" t="s">
        <v>81</v>
      </c>
      <c r="L1008">
        <v>17</v>
      </c>
      <c r="M1008" t="s">
        <v>83</v>
      </c>
      <c r="O1008" t="s">
        <v>83</v>
      </c>
      <c r="P1008" t="s">
        <v>84</v>
      </c>
    </row>
    <row r="1009" spans="1:16">
      <c r="A1009" t="s">
        <v>783</v>
      </c>
      <c r="B1009" t="s">
        <v>77</v>
      </c>
      <c r="C1009" t="s">
        <v>604</v>
      </c>
      <c r="D1009" t="s">
        <v>604</v>
      </c>
      <c r="E1009" t="s">
        <v>117</v>
      </c>
      <c r="F1009" t="s">
        <v>117</v>
      </c>
      <c r="G1009" t="s">
        <v>90</v>
      </c>
      <c r="H1009" t="s">
        <v>81</v>
      </c>
      <c r="L1009">
        <v>24</v>
      </c>
      <c r="M1009" t="s">
        <v>83</v>
      </c>
      <c r="O1009" t="s">
        <v>83</v>
      </c>
      <c r="P1009" t="s">
        <v>84</v>
      </c>
    </row>
    <row r="1010" spans="1:16">
      <c r="A1010" t="s">
        <v>783</v>
      </c>
      <c r="B1010" t="s">
        <v>77</v>
      </c>
      <c r="C1010" t="s">
        <v>604</v>
      </c>
      <c r="D1010" t="s">
        <v>604</v>
      </c>
      <c r="E1010" t="s">
        <v>328</v>
      </c>
      <c r="F1010" t="s">
        <v>328</v>
      </c>
      <c r="G1010" t="s">
        <v>90</v>
      </c>
      <c r="H1010" t="s">
        <v>81</v>
      </c>
      <c r="L1010">
        <v>25</v>
      </c>
      <c r="M1010" t="s">
        <v>83</v>
      </c>
      <c r="O1010" t="s">
        <v>83</v>
      </c>
      <c r="P1010" t="s">
        <v>84</v>
      </c>
    </row>
    <row r="1011" spans="1:16">
      <c r="A1011" t="s">
        <v>783</v>
      </c>
      <c r="B1011" t="s">
        <v>77</v>
      </c>
      <c r="C1011" t="s">
        <v>604</v>
      </c>
      <c r="D1011" t="s">
        <v>604</v>
      </c>
      <c r="E1011" t="s">
        <v>118</v>
      </c>
      <c r="F1011" t="s">
        <v>118</v>
      </c>
      <c r="G1011" t="s">
        <v>92</v>
      </c>
      <c r="H1011" t="s">
        <v>81</v>
      </c>
      <c r="L1011">
        <v>26</v>
      </c>
      <c r="M1011" t="s">
        <v>83</v>
      </c>
      <c r="O1011" t="s">
        <v>83</v>
      </c>
      <c r="P1011" t="s">
        <v>84</v>
      </c>
    </row>
    <row r="1012" spans="1:16">
      <c r="A1012" t="s">
        <v>783</v>
      </c>
      <c r="B1012" t="s">
        <v>77</v>
      </c>
      <c r="C1012" t="s">
        <v>604</v>
      </c>
      <c r="D1012" t="s">
        <v>604</v>
      </c>
      <c r="E1012" t="s">
        <v>784</v>
      </c>
      <c r="F1012" t="s">
        <v>784</v>
      </c>
      <c r="G1012" t="s">
        <v>80</v>
      </c>
      <c r="H1012" t="s">
        <v>81</v>
      </c>
      <c r="I1012" t="s">
        <v>82</v>
      </c>
      <c r="L1012">
        <v>27</v>
      </c>
      <c r="M1012" t="s">
        <v>83</v>
      </c>
      <c r="O1012" t="s">
        <v>83</v>
      </c>
      <c r="P1012" t="s">
        <v>84</v>
      </c>
    </row>
    <row r="1013" spans="1:16">
      <c r="A1013" t="s">
        <v>783</v>
      </c>
      <c r="B1013" t="s">
        <v>77</v>
      </c>
      <c r="C1013" t="s">
        <v>604</v>
      </c>
      <c r="D1013" t="s">
        <v>604</v>
      </c>
      <c r="E1013" t="s">
        <v>785</v>
      </c>
      <c r="F1013" t="s">
        <v>785</v>
      </c>
      <c r="G1013" t="s">
        <v>80</v>
      </c>
      <c r="H1013" t="s">
        <v>81</v>
      </c>
      <c r="I1013" t="s">
        <v>82</v>
      </c>
      <c r="L1013">
        <v>28</v>
      </c>
      <c r="M1013" t="s">
        <v>83</v>
      </c>
      <c r="O1013" t="s">
        <v>83</v>
      </c>
      <c r="P1013" t="s">
        <v>84</v>
      </c>
    </row>
    <row r="1014" spans="1:16">
      <c r="A1014" t="s">
        <v>783</v>
      </c>
      <c r="B1014" t="s">
        <v>77</v>
      </c>
      <c r="C1014" t="s">
        <v>604</v>
      </c>
      <c r="D1014" t="s">
        <v>604</v>
      </c>
      <c r="E1014" t="s">
        <v>786</v>
      </c>
      <c r="F1014" t="s">
        <v>786</v>
      </c>
      <c r="G1014" t="s">
        <v>787</v>
      </c>
      <c r="H1014" t="s">
        <v>81</v>
      </c>
      <c r="L1014">
        <v>29</v>
      </c>
      <c r="M1014" t="s">
        <v>83</v>
      </c>
      <c r="O1014" t="s">
        <v>83</v>
      </c>
      <c r="P1014" t="s">
        <v>84</v>
      </c>
    </row>
    <row r="1015" spans="1:16">
      <c r="A1015" t="s">
        <v>783</v>
      </c>
      <c r="B1015" t="s">
        <v>77</v>
      </c>
      <c r="C1015" t="s">
        <v>614</v>
      </c>
      <c r="D1015" t="s">
        <v>614</v>
      </c>
      <c r="E1015" t="s">
        <v>79</v>
      </c>
      <c r="F1015" t="s">
        <v>79</v>
      </c>
      <c r="G1015" t="s">
        <v>80</v>
      </c>
      <c r="H1015" t="s">
        <v>81</v>
      </c>
      <c r="I1015" t="s">
        <v>82</v>
      </c>
      <c r="L1015">
        <v>1</v>
      </c>
      <c r="M1015" t="s">
        <v>83</v>
      </c>
      <c r="O1015" t="s">
        <v>83</v>
      </c>
      <c r="P1015" t="s">
        <v>84</v>
      </c>
    </row>
    <row r="1016" spans="1:16">
      <c r="A1016" t="s">
        <v>783</v>
      </c>
      <c r="B1016" t="s">
        <v>77</v>
      </c>
      <c r="C1016" t="s">
        <v>614</v>
      </c>
      <c r="D1016" t="s">
        <v>614</v>
      </c>
      <c r="E1016" t="s">
        <v>86</v>
      </c>
      <c r="F1016" t="s">
        <v>86</v>
      </c>
      <c r="G1016" t="s">
        <v>80</v>
      </c>
      <c r="H1016" t="s">
        <v>81</v>
      </c>
      <c r="I1016" t="s">
        <v>82</v>
      </c>
      <c r="L1016">
        <v>2</v>
      </c>
      <c r="M1016" t="s">
        <v>83</v>
      </c>
      <c r="O1016" t="s">
        <v>83</v>
      </c>
      <c r="P1016" t="s">
        <v>84</v>
      </c>
    </row>
    <row r="1017" spans="1:16">
      <c r="A1017" t="s">
        <v>783</v>
      </c>
      <c r="B1017" t="s">
        <v>77</v>
      </c>
      <c r="C1017" t="s">
        <v>614</v>
      </c>
      <c r="D1017" t="s">
        <v>614</v>
      </c>
      <c r="E1017" t="s">
        <v>87</v>
      </c>
      <c r="F1017" t="s">
        <v>87</v>
      </c>
      <c r="G1017" t="s">
        <v>88</v>
      </c>
      <c r="H1017" t="s">
        <v>81</v>
      </c>
      <c r="J1017" t="s">
        <v>83</v>
      </c>
      <c r="L1017">
        <v>3</v>
      </c>
      <c r="M1017" t="s">
        <v>83</v>
      </c>
      <c r="O1017" t="s">
        <v>83</v>
      </c>
      <c r="P1017" t="s">
        <v>84</v>
      </c>
    </row>
    <row r="1018" spans="1:16">
      <c r="A1018" t="s">
        <v>783</v>
      </c>
      <c r="B1018" t="s">
        <v>77</v>
      </c>
      <c r="C1018" t="s">
        <v>614</v>
      </c>
      <c r="D1018" t="s">
        <v>614</v>
      </c>
      <c r="E1018" t="s">
        <v>89</v>
      </c>
      <c r="F1018" t="s">
        <v>89</v>
      </c>
      <c r="G1018" t="s">
        <v>90</v>
      </c>
      <c r="H1018" t="s">
        <v>81</v>
      </c>
      <c r="J1018" t="s">
        <v>83</v>
      </c>
      <c r="K1018" t="s">
        <v>83</v>
      </c>
      <c r="L1018">
        <v>4</v>
      </c>
      <c r="M1018" t="s">
        <v>83</v>
      </c>
      <c r="O1018" t="s">
        <v>83</v>
      </c>
      <c r="P1018" t="s">
        <v>84</v>
      </c>
    </row>
    <row r="1019" spans="1:16">
      <c r="A1019" t="s">
        <v>783</v>
      </c>
      <c r="B1019" t="s">
        <v>77</v>
      </c>
      <c r="C1019" t="s">
        <v>614</v>
      </c>
      <c r="D1019" t="s">
        <v>614</v>
      </c>
      <c r="E1019" t="s">
        <v>615</v>
      </c>
      <c r="F1019" t="s">
        <v>615</v>
      </c>
      <c r="G1019" t="s">
        <v>80</v>
      </c>
      <c r="H1019" t="s">
        <v>81</v>
      </c>
      <c r="I1019" t="s">
        <v>82</v>
      </c>
      <c r="L1019">
        <v>5</v>
      </c>
      <c r="M1019" t="s">
        <v>83</v>
      </c>
      <c r="O1019" t="s">
        <v>83</v>
      </c>
      <c r="P1019" t="s">
        <v>84</v>
      </c>
    </row>
    <row r="1020" spans="1:16">
      <c r="A1020" t="s">
        <v>783</v>
      </c>
      <c r="B1020" t="s">
        <v>77</v>
      </c>
      <c r="C1020" t="s">
        <v>614</v>
      </c>
      <c r="D1020" t="s">
        <v>614</v>
      </c>
      <c r="E1020" t="s">
        <v>616</v>
      </c>
      <c r="F1020" t="s">
        <v>616</v>
      </c>
      <c r="G1020" t="s">
        <v>90</v>
      </c>
      <c r="H1020" t="s">
        <v>81</v>
      </c>
      <c r="L1020">
        <v>6</v>
      </c>
      <c r="M1020" t="s">
        <v>83</v>
      </c>
      <c r="O1020" t="s">
        <v>83</v>
      </c>
      <c r="P1020" t="s">
        <v>84</v>
      </c>
    </row>
    <row r="1021" spans="1:16">
      <c r="A1021" t="s">
        <v>783</v>
      </c>
      <c r="B1021" t="s">
        <v>77</v>
      </c>
      <c r="C1021" t="s">
        <v>614</v>
      </c>
      <c r="D1021" t="s">
        <v>614</v>
      </c>
      <c r="E1021" t="s">
        <v>91</v>
      </c>
      <c r="F1021" t="s">
        <v>91</v>
      </c>
      <c r="G1021" t="s">
        <v>92</v>
      </c>
      <c r="H1021" t="s">
        <v>81</v>
      </c>
      <c r="J1021" t="s">
        <v>83</v>
      </c>
      <c r="L1021">
        <v>7</v>
      </c>
      <c r="M1021" t="s">
        <v>83</v>
      </c>
      <c r="O1021" t="s">
        <v>83</v>
      </c>
      <c r="P1021" t="s">
        <v>84</v>
      </c>
    </row>
    <row r="1022" spans="1:16">
      <c r="A1022" t="s">
        <v>783</v>
      </c>
      <c r="B1022" t="s">
        <v>77</v>
      </c>
      <c r="C1022" t="s">
        <v>614</v>
      </c>
      <c r="D1022" t="s">
        <v>614</v>
      </c>
      <c r="E1022" t="s">
        <v>617</v>
      </c>
      <c r="F1022" t="s">
        <v>617</v>
      </c>
      <c r="G1022" t="s">
        <v>94</v>
      </c>
      <c r="H1022" t="s">
        <v>81</v>
      </c>
      <c r="L1022">
        <v>8</v>
      </c>
      <c r="M1022" t="s">
        <v>83</v>
      </c>
      <c r="O1022" t="s">
        <v>83</v>
      </c>
      <c r="P1022" t="s">
        <v>84</v>
      </c>
    </row>
    <row r="1023" spans="1:16">
      <c r="A1023" t="s">
        <v>783</v>
      </c>
      <c r="B1023" t="s">
        <v>77</v>
      </c>
      <c r="C1023" t="s">
        <v>614</v>
      </c>
      <c r="D1023" t="s">
        <v>614</v>
      </c>
      <c r="E1023" t="s">
        <v>618</v>
      </c>
      <c r="F1023" t="s">
        <v>618</v>
      </c>
      <c r="G1023" t="s">
        <v>88</v>
      </c>
      <c r="H1023" t="s">
        <v>81</v>
      </c>
      <c r="L1023">
        <v>9</v>
      </c>
      <c r="M1023" t="s">
        <v>83</v>
      </c>
      <c r="O1023" t="s">
        <v>83</v>
      </c>
      <c r="P1023" t="s">
        <v>84</v>
      </c>
    </row>
    <row r="1024" spans="1:16">
      <c r="A1024" t="s">
        <v>783</v>
      </c>
      <c r="B1024" t="s">
        <v>77</v>
      </c>
      <c r="C1024" t="s">
        <v>614</v>
      </c>
      <c r="D1024" t="s">
        <v>614</v>
      </c>
      <c r="E1024" t="s">
        <v>619</v>
      </c>
      <c r="F1024" t="s">
        <v>619</v>
      </c>
      <c r="G1024" t="s">
        <v>94</v>
      </c>
      <c r="H1024" t="s">
        <v>81</v>
      </c>
      <c r="L1024">
        <v>10</v>
      </c>
      <c r="M1024" t="s">
        <v>83</v>
      </c>
      <c r="O1024" t="s">
        <v>83</v>
      </c>
      <c r="P1024" t="s">
        <v>84</v>
      </c>
    </row>
    <row r="1025" spans="1:16">
      <c r="A1025" t="s">
        <v>783</v>
      </c>
      <c r="B1025" t="s">
        <v>77</v>
      </c>
      <c r="C1025" t="s">
        <v>614</v>
      </c>
      <c r="D1025" t="s">
        <v>614</v>
      </c>
      <c r="E1025" t="s">
        <v>620</v>
      </c>
      <c r="F1025" t="s">
        <v>620</v>
      </c>
      <c r="G1025" t="s">
        <v>98</v>
      </c>
      <c r="H1025" t="s">
        <v>81</v>
      </c>
      <c r="L1025">
        <v>11</v>
      </c>
      <c r="M1025" t="s">
        <v>83</v>
      </c>
      <c r="O1025" t="s">
        <v>83</v>
      </c>
      <c r="P1025" t="s">
        <v>84</v>
      </c>
    </row>
    <row r="1026" spans="1:16">
      <c r="A1026" t="s">
        <v>783</v>
      </c>
      <c r="B1026" t="s">
        <v>77</v>
      </c>
      <c r="C1026" t="s">
        <v>614</v>
      </c>
      <c r="D1026" t="s">
        <v>614</v>
      </c>
      <c r="E1026" t="s">
        <v>621</v>
      </c>
      <c r="F1026" t="s">
        <v>621</v>
      </c>
      <c r="G1026" t="s">
        <v>98</v>
      </c>
      <c r="H1026" t="s">
        <v>81</v>
      </c>
      <c r="L1026">
        <v>12</v>
      </c>
      <c r="M1026" t="s">
        <v>83</v>
      </c>
      <c r="O1026" t="s">
        <v>83</v>
      </c>
      <c r="P1026" t="s">
        <v>84</v>
      </c>
    </row>
    <row r="1027" spans="1:16">
      <c r="A1027" t="s">
        <v>783</v>
      </c>
      <c r="B1027" t="s">
        <v>77</v>
      </c>
      <c r="C1027" t="s">
        <v>614</v>
      </c>
      <c r="D1027" t="s">
        <v>614</v>
      </c>
      <c r="E1027" t="s">
        <v>622</v>
      </c>
      <c r="F1027" t="s">
        <v>622</v>
      </c>
      <c r="G1027" t="s">
        <v>98</v>
      </c>
      <c r="H1027" t="s">
        <v>81</v>
      </c>
      <c r="L1027">
        <v>13</v>
      </c>
      <c r="M1027" t="s">
        <v>83</v>
      </c>
      <c r="O1027" t="s">
        <v>83</v>
      </c>
      <c r="P1027" t="s">
        <v>84</v>
      </c>
    </row>
    <row r="1028" spans="1:16">
      <c r="A1028" t="s">
        <v>783</v>
      </c>
      <c r="B1028" t="s">
        <v>77</v>
      </c>
      <c r="C1028" t="s">
        <v>614</v>
      </c>
      <c r="D1028" t="s">
        <v>614</v>
      </c>
      <c r="E1028" t="s">
        <v>623</v>
      </c>
      <c r="F1028" t="s">
        <v>623</v>
      </c>
      <c r="G1028" t="s">
        <v>188</v>
      </c>
      <c r="H1028" t="s">
        <v>81</v>
      </c>
      <c r="L1028">
        <v>14</v>
      </c>
      <c r="M1028" t="s">
        <v>83</v>
      </c>
      <c r="O1028" t="s">
        <v>83</v>
      </c>
      <c r="P1028" t="s">
        <v>84</v>
      </c>
    </row>
    <row r="1029" spans="1:16">
      <c r="A1029" t="s">
        <v>783</v>
      </c>
      <c r="B1029" t="s">
        <v>77</v>
      </c>
      <c r="C1029" t="s">
        <v>614</v>
      </c>
      <c r="D1029" t="s">
        <v>614</v>
      </c>
      <c r="E1029" t="s">
        <v>112</v>
      </c>
      <c r="F1029" t="s">
        <v>112</v>
      </c>
      <c r="G1029" t="s">
        <v>113</v>
      </c>
      <c r="H1029" t="s">
        <v>81</v>
      </c>
      <c r="I1029" t="s">
        <v>114</v>
      </c>
      <c r="L1029">
        <v>15</v>
      </c>
      <c r="M1029" t="s">
        <v>83</v>
      </c>
      <c r="O1029" t="s">
        <v>83</v>
      </c>
      <c r="P1029" t="s">
        <v>84</v>
      </c>
    </row>
    <row r="1030" spans="1:16">
      <c r="A1030" t="s">
        <v>783</v>
      </c>
      <c r="B1030" t="s">
        <v>77</v>
      </c>
      <c r="C1030" t="s">
        <v>614</v>
      </c>
      <c r="D1030" t="s">
        <v>614</v>
      </c>
      <c r="E1030" t="s">
        <v>115</v>
      </c>
      <c r="F1030" t="s">
        <v>115</v>
      </c>
      <c r="G1030" t="s">
        <v>113</v>
      </c>
      <c r="H1030" t="s">
        <v>81</v>
      </c>
      <c r="I1030" t="s">
        <v>114</v>
      </c>
      <c r="L1030">
        <v>16</v>
      </c>
      <c r="M1030" t="s">
        <v>83</v>
      </c>
      <c r="O1030" t="s">
        <v>83</v>
      </c>
      <c r="P1030" t="s">
        <v>84</v>
      </c>
    </row>
    <row r="1031" spans="1:16">
      <c r="A1031" t="s">
        <v>783</v>
      </c>
      <c r="B1031" t="s">
        <v>77</v>
      </c>
      <c r="C1031" t="s">
        <v>614</v>
      </c>
      <c r="D1031" t="s">
        <v>614</v>
      </c>
      <c r="E1031" t="s">
        <v>327</v>
      </c>
      <c r="F1031" t="s">
        <v>327</v>
      </c>
      <c r="G1031" t="s">
        <v>90</v>
      </c>
      <c r="H1031" t="s">
        <v>81</v>
      </c>
      <c r="L1031">
        <v>17</v>
      </c>
      <c r="M1031" t="s">
        <v>83</v>
      </c>
      <c r="O1031" t="s">
        <v>83</v>
      </c>
      <c r="P1031" t="s">
        <v>84</v>
      </c>
    </row>
    <row r="1032" spans="1:16">
      <c r="A1032" t="s">
        <v>783</v>
      </c>
      <c r="B1032" t="s">
        <v>77</v>
      </c>
      <c r="C1032" t="s">
        <v>614</v>
      </c>
      <c r="D1032" t="s">
        <v>614</v>
      </c>
      <c r="E1032" t="s">
        <v>117</v>
      </c>
      <c r="F1032" t="s">
        <v>117</v>
      </c>
      <c r="G1032" t="s">
        <v>90</v>
      </c>
      <c r="H1032" t="s">
        <v>81</v>
      </c>
      <c r="L1032">
        <v>24</v>
      </c>
      <c r="M1032" t="s">
        <v>83</v>
      </c>
      <c r="O1032" t="s">
        <v>83</v>
      </c>
      <c r="P1032" t="s">
        <v>84</v>
      </c>
    </row>
    <row r="1033" spans="1:16">
      <c r="A1033" t="s">
        <v>783</v>
      </c>
      <c r="B1033" t="s">
        <v>77</v>
      </c>
      <c r="C1033" t="s">
        <v>614</v>
      </c>
      <c r="D1033" t="s">
        <v>614</v>
      </c>
      <c r="E1033" t="s">
        <v>328</v>
      </c>
      <c r="F1033" t="s">
        <v>328</v>
      </c>
      <c r="G1033" t="s">
        <v>90</v>
      </c>
      <c r="H1033" t="s">
        <v>81</v>
      </c>
      <c r="L1033">
        <v>25</v>
      </c>
      <c r="M1033" t="s">
        <v>83</v>
      </c>
      <c r="O1033" t="s">
        <v>83</v>
      </c>
      <c r="P1033" t="s">
        <v>84</v>
      </c>
    </row>
    <row r="1034" spans="1:16">
      <c r="A1034" t="s">
        <v>783</v>
      </c>
      <c r="B1034" t="s">
        <v>77</v>
      </c>
      <c r="C1034" t="s">
        <v>614</v>
      </c>
      <c r="D1034" t="s">
        <v>614</v>
      </c>
      <c r="E1034" t="s">
        <v>118</v>
      </c>
      <c r="F1034" t="s">
        <v>118</v>
      </c>
      <c r="G1034" t="s">
        <v>92</v>
      </c>
      <c r="H1034" t="s">
        <v>81</v>
      </c>
      <c r="L1034">
        <v>26</v>
      </c>
      <c r="M1034" t="s">
        <v>83</v>
      </c>
      <c r="O1034" t="s">
        <v>83</v>
      </c>
      <c r="P1034" t="s">
        <v>84</v>
      </c>
    </row>
    <row r="1035" spans="1:16">
      <c r="A1035" t="s">
        <v>783</v>
      </c>
      <c r="B1035" t="s">
        <v>77</v>
      </c>
      <c r="C1035" t="s">
        <v>614</v>
      </c>
      <c r="D1035" t="s">
        <v>614</v>
      </c>
      <c r="E1035" t="s">
        <v>784</v>
      </c>
      <c r="F1035" t="s">
        <v>784</v>
      </c>
      <c r="G1035" t="s">
        <v>80</v>
      </c>
      <c r="H1035" t="s">
        <v>81</v>
      </c>
      <c r="I1035" t="s">
        <v>82</v>
      </c>
      <c r="L1035">
        <v>27</v>
      </c>
      <c r="M1035" t="s">
        <v>83</v>
      </c>
      <c r="O1035" t="s">
        <v>83</v>
      </c>
      <c r="P1035" t="s">
        <v>84</v>
      </c>
    </row>
    <row r="1036" spans="1:16">
      <c r="A1036" t="s">
        <v>783</v>
      </c>
      <c r="B1036" t="s">
        <v>77</v>
      </c>
      <c r="C1036" t="s">
        <v>614</v>
      </c>
      <c r="D1036" t="s">
        <v>614</v>
      </c>
      <c r="E1036" t="s">
        <v>785</v>
      </c>
      <c r="F1036" t="s">
        <v>785</v>
      </c>
      <c r="G1036" t="s">
        <v>80</v>
      </c>
      <c r="H1036" t="s">
        <v>81</v>
      </c>
      <c r="I1036" t="s">
        <v>82</v>
      </c>
      <c r="L1036">
        <v>28</v>
      </c>
      <c r="M1036" t="s">
        <v>83</v>
      </c>
      <c r="O1036" t="s">
        <v>83</v>
      </c>
      <c r="P1036" t="s">
        <v>84</v>
      </c>
    </row>
    <row r="1037" spans="1:16">
      <c r="A1037" t="s">
        <v>783</v>
      </c>
      <c r="B1037" t="s">
        <v>77</v>
      </c>
      <c r="C1037" t="s">
        <v>614</v>
      </c>
      <c r="D1037" t="s">
        <v>614</v>
      </c>
      <c r="E1037" t="s">
        <v>786</v>
      </c>
      <c r="F1037" t="s">
        <v>786</v>
      </c>
      <c r="G1037" t="s">
        <v>787</v>
      </c>
      <c r="H1037" t="s">
        <v>81</v>
      </c>
      <c r="L1037">
        <v>29</v>
      </c>
      <c r="M1037" t="s">
        <v>83</v>
      </c>
      <c r="O1037" t="s">
        <v>83</v>
      </c>
      <c r="P1037" t="s">
        <v>84</v>
      </c>
    </row>
    <row r="1038" spans="1:16">
      <c r="A1038" t="s">
        <v>783</v>
      </c>
      <c r="B1038" t="s">
        <v>77</v>
      </c>
      <c r="C1038" t="s">
        <v>624</v>
      </c>
      <c r="D1038" t="s">
        <v>624</v>
      </c>
      <c r="E1038" t="s">
        <v>79</v>
      </c>
      <c r="F1038" t="s">
        <v>79</v>
      </c>
      <c r="G1038" t="s">
        <v>80</v>
      </c>
      <c r="H1038" t="s">
        <v>81</v>
      </c>
      <c r="I1038" t="s">
        <v>82</v>
      </c>
      <c r="L1038">
        <v>1</v>
      </c>
      <c r="M1038" t="s">
        <v>83</v>
      </c>
      <c r="O1038" t="s">
        <v>83</v>
      </c>
      <c r="P1038" t="s">
        <v>84</v>
      </c>
    </row>
    <row r="1039" spans="1:16">
      <c r="A1039" t="s">
        <v>783</v>
      </c>
      <c r="B1039" t="s">
        <v>77</v>
      </c>
      <c r="C1039" t="s">
        <v>624</v>
      </c>
      <c r="D1039" t="s">
        <v>624</v>
      </c>
      <c r="E1039" t="s">
        <v>86</v>
      </c>
      <c r="F1039" t="s">
        <v>86</v>
      </c>
      <c r="G1039" t="s">
        <v>80</v>
      </c>
      <c r="H1039" t="s">
        <v>81</v>
      </c>
      <c r="I1039" t="s">
        <v>82</v>
      </c>
      <c r="L1039">
        <v>2</v>
      </c>
      <c r="M1039" t="s">
        <v>83</v>
      </c>
      <c r="O1039" t="s">
        <v>83</v>
      </c>
      <c r="P1039" t="s">
        <v>84</v>
      </c>
    </row>
    <row r="1040" spans="1:16">
      <c r="A1040" t="s">
        <v>783</v>
      </c>
      <c r="B1040" t="s">
        <v>77</v>
      </c>
      <c r="C1040" t="s">
        <v>624</v>
      </c>
      <c r="D1040" t="s">
        <v>624</v>
      </c>
      <c r="E1040" t="s">
        <v>87</v>
      </c>
      <c r="F1040" t="s">
        <v>87</v>
      </c>
      <c r="G1040" t="s">
        <v>88</v>
      </c>
      <c r="H1040" t="s">
        <v>81</v>
      </c>
      <c r="J1040" t="s">
        <v>83</v>
      </c>
      <c r="L1040">
        <v>3</v>
      </c>
      <c r="M1040" t="s">
        <v>83</v>
      </c>
      <c r="O1040" t="s">
        <v>83</v>
      </c>
      <c r="P1040" t="s">
        <v>84</v>
      </c>
    </row>
    <row r="1041" spans="1:16">
      <c r="A1041" t="s">
        <v>783</v>
      </c>
      <c r="B1041" t="s">
        <v>77</v>
      </c>
      <c r="C1041" t="s">
        <v>624</v>
      </c>
      <c r="D1041" t="s">
        <v>624</v>
      </c>
      <c r="E1041" t="s">
        <v>89</v>
      </c>
      <c r="F1041" t="s">
        <v>89</v>
      </c>
      <c r="G1041" t="s">
        <v>90</v>
      </c>
      <c r="H1041" t="s">
        <v>81</v>
      </c>
      <c r="J1041" t="s">
        <v>83</v>
      </c>
      <c r="K1041" t="s">
        <v>83</v>
      </c>
      <c r="L1041">
        <v>4</v>
      </c>
      <c r="M1041" t="s">
        <v>83</v>
      </c>
      <c r="O1041" t="s">
        <v>83</v>
      </c>
      <c r="P1041" t="s">
        <v>84</v>
      </c>
    </row>
    <row r="1042" spans="1:16">
      <c r="A1042" t="s">
        <v>783</v>
      </c>
      <c r="B1042" t="s">
        <v>77</v>
      </c>
      <c r="C1042" t="s">
        <v>624</v>
      </c>
      <c r="D1042" t="s">
        <v>624</v>
      </c>
      <c r="E1042" t="s">
        <v>625</v>
      </c>
      <c r="F1042" t="s">
        <v>625</v>
      </c>
      <c r="G1042" t="s">
        <v>80</v>
      </c>
      <c r="H1042" t="s">
        <v>81</v>
      </c>
      <c r="I1042" t="s">
        <v>82</v>
      </c>
      <c r="L1042">
        <v>5</v>
      </c>
      <c r="M1042" t="s">
        <v>83</v>
      </c>
      <c r="O1042" t="s">
        <v>83</v>
      </c>
      <c r="P1042" t="s">
        <v>84</v>
      </c>
    </row>
    <row r="1043" spans="1:16">
      <c r="A1043" t="s">
        <v>783</v>
      </c>
      <c r="B1043" t="s">
        <v>77</v>
      </c>
      <c r="C1043" t="s">
        <v>624</v>
      </c>
      <c r="D1043" t="s">
        <v>624</v>
      </c>
      <c r="E1043" t="s">
        <v>626</v>
      </c>
      <c r="F1043" t="s">
        <v>626</v>
      </c>
      <c r="G1043" t="s">
        <v>90</v>
      </c>
      <c r="H1043" t="s">
        <v>81</v>
      </c>
      <c r="L1043">
        <v>6</v>
      </c>
      <c r="M1043" t="s">
        <v>83</v>
      </c>
      <c r="O1043" t="s">
        <v>83</v>
      </c>
      <c r="P1043" t="s">
        <v>84</v>
      </c>
    </row>
    <row r="1044" spans="1:16">
      <c r="A1044" t="s">
        <v>783</v>
      </c>
      <c r="B1044" t="s">
        <v>77</v>
      </c>
      <c r="C1044" t="s">
        <v>624</v>
      </c>
      <c r="D1044" t="s">
        <v>624</v>
      </c>
      <c r="E1044" t="s">
        <v>91</v>
      </c>
      <c r="F1044" t="s">
        <v>91</v>
      </c>
      <c r="G1044" t="s">
        <v>92</v>
      </c>
      <c r="H1044" t="s">
        <v>81</v>
      </c>
      <c r="J1044" t="s">
        <v>83</v>
      </c>
      <c r="L1044">
        <v>7</v>
      </c>
      <c r="M1044" t="s">
        <v>83</v>
      </c>
      <c r="O1044" t="s">
        <v>83</v>
      </c>
      <c r="P1044" t="s">
        <v>84</v>
      </c>
    </row>
    <row r="1045" spans="1:16">
      <c r="A1045" t="s">
        <v>783</v>
      </c>
      <c r="B1045" t="s">
        <v>77</v>
      </c>
      <c r="C1045" t="s">
        <v>624</v>
      </c>
      <c r="D1045" t="s">
        <v>624</v>
      </c>
      <c r="E1045" t="s">
        <v>627</v>
      </c>
      <c r="F1045" t="s">
        <v>627</v>
      </c>
      <c r="G1045" t="s">
        <v>94</v>
      </c>
      <c r="H1045" t="s">
        <v>81</v>
      </c>
      <c r="L1045">
        <v>8</v>
      </c>
      <c r="M1045" t="s">
        <v>83</v>
      </c>
      <c r="O1045" t="s">
        <v>83</v>
      </c>
      <c r="P1045" t="s">
        <v>84</v>
      </c>
    </row>
    <row r="1046" spans="1:16">
      <c r="A1046" t="s">
        <v>783</v>
      </c>
      <c r="B1046" t="s">
        <v>77</v>
      </c>
      <c r="C1046" t="s">
        <v>624</v>
      </c>
      <c r="D1046" t="s">
        <v>624</v>
      </c>
      <c r="E1046" t="s">
        <v>628</v>
      </c>
      <c r="F1046" t="s">
        <v>628</v>
      </c>
      <c r="G1046" t="s">
        <v>88</v>
      </c>
      <c r="H1046" t="s">
        <v>81</v>
      </c>
      <c r="L1046">
        <v>9</v>
      </c>
      <c r="M1046" t="s">
        <v>83</v>
      </c>
      <c r="O1046" t="s">
        <v>83</v>
      </c>
      <c r="P1046" t="s">
        <v>84</v>
      </c>
    </row>
    <row r="1047" spans="1:16">
      <c r="A1047" t="s">
        <v>783</v>
      </c>
      <c r="B1047" t="s">
        <v>77</v>
      </c>
      <c r="C1047" t="s">
        <v>624</v>
      </c>
      <c r="D1047" t="s">
        <v>624</v>
      </c>
      <c r="E1047" t="s">
        <v>629</v>
      </c>
      <c r="F1047" t="s">
        <v>629</v>
      </c>
      <c r="G1047" t="s">
        <v>94</v>
      </c>
      <c r="H1047" t="s">
        <v>81</v>
      </c>
      <c r="L1047">
        <v>10</v>
      </c>
      <c r="M1047" t="s">
        <v>83</v>
      </c>
      <c r="O1047" t="s">
        <v>83</v>
      </c>
      <c r="P1047" t="s">
        <v>84</v>
      </c>
    </row>
    <row r="1048" spans="1:16">
      <c r="A1048" t="s">
        <v>783</v>
      </c>
      <c r="B1048" t="s">
        <v>77</v>
      </c>
      <c r="C1048" t="s">
        <v>624</v>
      </c>
      <c r="D1048" t="s">
        <v>624</v>
      </c>
      <c r="E1048" t="s">
        <v>630</v>
      </c>
      <c r="F1048" t="s">
        <v>630</v>
      </c>
      <c r="G1048" t="s">
        <v>98</v>
      </c>
      <c r="H1048" t="s">
        <v>81</v>
      </c>
      <c r="L1048">
        <v>11</v>
      </c>
      <c r="M1048" t="s">
        <v>83</v>
      </c>
      <c r="O1048" t="s">
        <v>83</v>
      </c>
      <c r="P1048" t="s">
        <v>84</v>
      </c>
    </row>
    <row r="1049" spans="1:16">
      <c r="A1049" t="s">
        <v>783</v>
      </c>
      <c r="B1049" t="s">
        <v>77</v>
      </c>
      <c r="C1049" t="s">
        <v>624</v>
      </c>
      <c r="D1049" t="s">
        <v>624</v>
      </c>
      <c r="E1049" t="s">
        <v>631</v>
      </c>
      <c r="F1049" t="s">
        <v>631</v>
      </c>
      <c r="G1049" t="s">
        <v>98</v>
      </c>
      <c r="H1049" t="s">
        <v>81</v>
      </c>
      <c r="L1049">
        <v>12</v>
      </c>
      <c r="M1049" t="s">
        <v>83</v>
      </c>
      <c r="O1049" t="s">
        <v>83</v>
      </c>
      <c r="P1049" t="s">
        <v>84</v>
      </c>
    </row>
    <row r="1050" spans="1:16">
      <c r="A1050" t="s">
        <v>783</v>
      </c>
      <c r="B1050" t="s">
        <v>77</v>
      </c>
      <c r="C1050" t="s">
        <v>624</v>
      </c>
      <c r="D1050" t="s">
        <v>624</v>
      </c>
      <c r="E1050" t="s">
        <v>632</v>
      </c>
      <c r="F1050" t="s">
        <v>632</v>
      </c>
      <c r="G1050" t="s">
        <v>98</v>
      </c>
      <c r="H1050" t="s">
        <v>81</v>
      </c>
      <c r="L1050">
        <v>13</v>
      </c>
      <c r="M1050" t="s">
        <v>83</v>
      </c>
      <c r="O1050" t="s">
        <v>83</v>
      </c>
      <c r="P1050" t="s">
        <v>84</v>
      </c>
    </row>
    <row r="1051" spans="1:16">
      <c r="A1051" t="s">
        <v>783</v>
      </c>
      <c r="B1051" t="s">
        <v>77</v>
      </c>
      <c r="C1051" t="s">
        <v>624</v>
      </c>
      <c r="D1051" t="s">
        <v>624</v>
      </c>
      <c r="E1051" t="s">
        <v>633</v>
      </c>
      <c r="F1051" t="s">
        <v>633</v>
      </c>
      <c r="G1051" t="s">
        <v>188</v>
      </c>
      <c r="H1051" t="s">
        <v>81</v>
      </c>
      <c r="L1051">
        <v>14</v>
      </c>
      <c r="M1051" t="s">
        <v>83</v>
      </c>
      <c r="O1051" t="s">
        <v>83</v>
      </c>
      <c r="P1051" t="s">
        <v>84</v>
      </c>
    </row>
    <row r="1052" spans="1:16">
      <c r="A1052" t="s">
        <v>783</v>
      </c>
      <c r="B1052" t="s">
        <v>77</v>
      </c>
      <c r="C1052" t="s">
        <v>624</v>
      </c>
      <c r="D1052" t="s">
        <v>624</v>
      </c>
      <c r="E1052" t="s">
        <v>112</v>
      </c>
      <c r="F1052" t="s">
        <v>112</v>
      </c>
      <c r="G1052" t="s">
        <v>113</v>
      </c>
      <c r="H1052" t="s">
        <v>81</v>
      </c>
      <c r="I1052" t="s">
        <v>114</v>
      </c>
      <c r="L1052">
        <v>15</v>
      </c>
      <c r="M1052" t="s">
        <v>83</v>
      </c>
      <c r="O1052" t="s">
        <v>83</v>
      </c>
      <c r="P1052" t="s">
        <v>84</v>
      </c>
    </row>
    <row r="1053" spans="1:16">
      <c r="A1053" t="s">
        <v>783</v>
      </c>
      <c r="B1053" t="s">
        <v>77</v>
      </c>
      <c r="C1053" t="s">
        <v>624</v>
      </c>
      <c r="D1053" t="s">
        <v>624</v>
      </c>
      <c r="E1053" t="s">
        <v>115</v>
      </c>
      <c r="F1053" t="s">
        <v>115</v>
      </c>
      <c r="G1053" t="s">
        <v>113</v>
      </c>
      <c r="H1053" t="s">
        <v>81</v>
      </c>
      <c r="I1053" t="s">
        <v>114</v>
      </c>
      <c r="L1053">
        <v>16</v>
      </c>
      <c r="M1053" t="s">
        <v>83</v>
      </c>
      <c r="O1053" t="s">
        <v>83</v>
      </c>
      <c r="P1053" t="s">
        <v>84</v>
      </c>
    </row>
    <row r="1054" spans="1:16">
      <c r="A1054" t="s">
        <v>783</v>
      </c>
      <c r="B1054" t="s">
        <v>77</v>
      </c>
      <c r="C1054" t="s">
        <v>624</v>
      </c>
      <c r="D1054" t="s">
        <v>624</v>
      </c>
      <c r="E1054" t="s">
        <v>117</v>
      </c>
      <c r="F1054" t="s">
        <v>117</v>
      </c>
      <c r="G1054" t="s">
        <v>90</v>
      </c>
      <c r="H1054" t="s">
        <v>81</v>
      </c>
      <c r="L1054">
        <v>23</v>
      </c>
      <c r="M1054" t="s">
        <v>83</v>
      </c>
      <c r="O1054" t="s">
        <v>83</v>
      </c>
      <c r="P1054" t="s">
        <v>84</v>
      </c>
    </row>
    <row r="1055" spans="1:16">
      <c r="A1055" t="s">
        <v>783</v>
      </c>
      <c r="B1055" t="s">
        <v>77</v>
      </c>
      <c r="C1055" t="s">
        <v>624</v>
      </c>
      <c r="D1055" t="s">
        <v>624</v>
      </c>
      <c r="E1055" t="s">
        <v>328</v>
      </c>
      <c r="F1055" t="s">
        <v>328</v>
      </c>
      <c r="G1055" t="s">
        <v>90</v>
      </c>
      <c r="H1055" t="s">
        <v>81</v>
      </c>
      <c r="L1055">
        <v>24</v>
      </c>
      <c r="M1055" t="s">
        <v>83</v>
      </c>
      <c r="O1055" t="s">
        <v>83</v>
      </c>
      <c r="P1055" t="s">
        <v>84</v>
      </c>
    </row>
    <row r="1056" spans="1:16">
      <c r="A1056" t="s">
        <v>783</v>
      </c>
      <c r="B1056" t="s">
        <v>77</v>
      </c>
      <c r="C1056" t="s">
        <v>624</v>
      </c>
      <c r="D1056" t="s">
        <v>624</v>
      </c>
      <c r="E1056" t="s">
        <v>118</v>
      </c>
      <c r="F1056" t="s">
        <v>118</v>
      </c>
      <c r="G1056" t="s">
        <v>92</v>
      </c>
      <c r="H1056" t="s">
        <v>81</v>
      </c>
      <c r="L1056">
        <v>25</v>
      </c>
      <c r="M1056" t="s">
        <v>83</v>
      </c>
      <c r="O1056" t="s">
        <v>83</v>
      </c>
      <c r="P1056" t="s">
        <v>84</v>
      </c>
    </row>
    <row r="1057" spans="1:16">
      <c r="A1057" t="s">
        <v>783</v>
      </c>
      <c r="B1057" t="s">
        <v>77</v>
      </c>
      <c r="C1057" t="s">
        <v>624</v>
      </c>
      <c r="D1057" t="s">
        <v>624</v>
      </c>
      <c r="E1057" t="s">
        <v>784</v>
      </c>
      <c r="F1057" t="s">
        <v>784</v>
      </c>
      <c r="G1057" t="s">
        <v>80</v>
      </c>
      <c r="H1057" t="s">
        <v>81</v>
      </c>
      <c r="I1057" t="s">
        <v>82</v>
      </c>
      <c r="L1057">
        <v>26</v>
      </c>
      <c r="M1057" t="s">
        <v>83</v>
      </c>
      <c r="O1057" t="s">
        <v>83</v>
      </c>
      <c r="P1057" t="s">
        <v>84</v>
      </c>
    </row>
    <row r="1058" spans="1:16">
      <c r="A1058" t="s">
        <v>783</v>
      </c>
      <c r="B1058" t="s">
        <v>77</v>
      </c>
      <c r="C1058" t="s">
        <v>624</v>
      </c>
      <c r="D1058" t="s">
        <v>624</v>
      </c>
      <c r="E1058" t="s">
        <v>785</v>
      </c>
      <c r="F1058" t="s">
        <v>785</v>
      </c>
      <c r="G1058" t="s">
        <v>80</v>
      </c>
      <c r="H1058" t="s">
        <v>81</v>
      </c>
      <c r="I1058" t="s">
        <v>82</v>
      </c>
      <c r="L1058">
        <v>27</v>
      </c>
      <c r="M1058" t="s">
        <v>83</v>
      </c>
      <c r="O1058" t="s">
        <v>83</v>
      </c>
      <c r="P1058" t="s">
        <v>84</v>
      </c>
    </row>
    <row r="1059" spans="1:16">
      <c r="A1059" t="s">
        <v>783</v>
      </c>
      <c r="B1059" t="s">
        <v>77</v>
      </c>
      <c r="C1059" t="s">
        <v>624</v>
      </c>
      <c r="D1059" t="s">
        <v>624</v>
      </c>
      <c r="E1059" t="s">
        <v>786</v>
      </c>
      <c r="F1059" t="s">
        <v>786</v>
      </c>
      <c r="G1059" t="s">
        <v>787</v>
      </c>
      <c r="H1059" t="s">
        <v>81</v>
      </c>
      <c r="L1059">
        <v>28</v>
      </c>
      <c r="M1059" t="s">
        <v>83</v>
      </c>
      <c r="O1059" t="s">
        <v>83</v>
      </c>
      <c r="P1059" t="s">
        <v>84</v>
      </c>
    </row>
    <row r="1060" spans="1:16">
      <c r="A1060" t="s">
        <v>783</v>
      </c>
      <c r="B1060" t="s">
        <v>77</v>
      </c>
      <c r="C1060" t="s">
        <v>634</v>
      </c>
      <c r="D1060" t="s">
        <v>634</v>
      </c>
      <c r="E1060" t="s">
        <v>79</v>
      </c>
      <c r="F1060" t="s">
        <v>79</v>
      </c>
      <c r="G1060" t="s">
        <v>80</v>
      </c>
      <c r="H1060" t="s">
        <v>81</v>
      </c>
      <c r="I1060" t="s">
        <v>82</v>
      </c>
      <c r="L1060">
        <v>1</v>
      </c>
      <c r="M1060" t="s">
        <v>83</v>
      </c>
      <c r="O1060" t="s">
        <v>83</v>
      </c>
      <c r="P1060" t="s">
        <v>84</v>
      </c>
    </row>
    <row r="1061" spans="1:16">
      <c r="A1061" t="s">
        <v>783</v>
      </c>
      <c r="B1061" t="s">
        <v>77</v>
      </c>
      <c r="C1061" t="s">
        <v>634</v>
      </c>
      <c r="D1061" t="s">
        <v>634</v>
      </c>
      <c r="E1061" t="s">
        <v>86</v>
      </c>
      <c r="F1061" t="s">
        <v>86</v>
      </c>
      <c r="G1061" t="s">
        <v>80</v>
      </c>
      <c r="H1061" t="s">
        <v>81</v>
      </c>
      <c r="I1061" t="s">
        <v>82</v>
      </c>
      <c r="L1061">
        <v>2</v>
      </c>
      <c r="M1061" t="s">
        <v>83</v>
      </c>
      <c r="O1061" t="s">
        <v>83</v>
      </c>
      <c r="P1061" t="s">
        <v>84</v>
      </c>
    </row>
    <row r="1062" spans="1:16">
      <c r="A1062" t="s">
        <v>783</v>
      </c>
      <c r="B1062" t="s">
        <v>77</v>
      </c>
      <c r="C1062" t="s">
        <v>634</v>
      </c>
      <c r="D1062" t="s">
        <v>634</v>
      </c>
      <c r="E1062" t="s">
        <v>87</v>
      </c>
      <c r="F1062" t="s">
        <v>87</v>
      </c>
      <c r="G1062" t="s">
        <v>88</v>
      </c>
      <c r="H1062" t="s">
        <v>81</v>
      </c>
      <c r="J1062" t="s">
        <v>83</v>
      </c>
      <c r="L1062">
        <v>3</v>
      </c>
      <c r="M1062" t="s">
        <v>83</v>
      </c>
      <c r="O1062" t="s">
        <v>83</v>
      </c>
      <c r="P1062" t="s">
        <v>84</v>
      </c>
    </row>
    <row r="1063" spans="1:16">
      <c r="A1063" t="s">
        <v>783</v>
      </c>
      <c r="B1063" t="s">
        <v>77</v>
      </c>
      <c r="C1063" t="s">
        <v>634</v>
      </c>
      <c r="D1063" t="s">
        <v>634</v>
      </c>
      <c r="E1063" t="s">
        <v>89</v>
      </c>
      <c r="F1063" t="s">
        <v>89</v>
      </c>
      <c r="G1063" t="s">
        <v>90</v>
      </c>
      <c r="H1063" t="s">
        <v>81</v>
      </c>
      <c r="J1063" t="s">
        <v>83</v>
      </c>
      <c r="K1063" t="s">
        <v>83</v>
      </c>
      <c r="L1063">
        <v>4</v>
      </c>
      <c r="M1063" t="s">
        <v>83</v>
      </c>
      <c r="O1063" t="s">
        <v>83</v>
      </c>
      <c r="P1063" t="s">
        <v>84</v>
      </c>
    </row>
    <row r="1064" spans="1:16">
      <c r="A1064" t="s">
        <v>783</v>
      </c>
      <c r="B1064" t="s">
        <v>77</v>
      </c>
      <c r="C1064" t="s">
        <v>634</v>
      </c>
      <c r="D1064" t="s">
        <v>634</v>
      </c>
      <c r="E1064" t="s">
        <v>635</v>
      </c>
      <c r="F1064" t="s">
        <v>635</v>
      </c>
      <c r="G1064" t="s">
        <v>80</v>
      </c>
      <c r="H1064" t="s">
        <v>81</v>
      </c>
      <c r="I1064" t="s">
        <v>82</v>
      </c>
      <c r="L1064">
        <v>5</v>
      </c>
      <c r="M1064" t="s">
        <v>83</v>
      </c>
      <c r="O1064" t="s">
        <v>83</v>
      </c>
      <c r="P1064" t="s">
        <v>84</v>
      </c>
    </row>
    <row r="1065" spans="1:16">
      <c r="A1065" t="s">
        <v>783</v>
      </c>
      <c r="B1065" t="s">
        <v>77</v>
      </c>
      <c r="C1065" t="s">
        <v>634</v>
      </c>
      <c r="D1065" t="s">
        <v>634</v>
      </c>
      <c r="E1065" t="s">
        <v>636</v>
      </c>
      <c r="F1065" t="s">
        <v>636</v>
      </c>
      <c r="G1065" t="s">
        <v>90</v>
      </c>
      <c r="H1065" t="s">
        <v>81</v>
      </c>
      <c r="L1065">
        <v>6</v>
      </c>
      <c r="M1065" t="s">
        <v>83</v>
      </c>
      <c r="O1065" t="s">
        <v>83</v>
      </c>
      <c r="P1065" t="s">
        <v>84</v>
      </c>
    </row>
    <row r="1066" spans="1:16">
      <c r="A1066" t="s">
        <v>783</v>
      </c>
      <c r="B1066" t="s">
        <v>77</v>
      </c>
      <c r="C1066" t="s">
        <v>634</v>
      </c>
      <c r="D1066" t="s">
        <v>634</v>
      </c>
      <c r="E1066" t="s">
        <v>637</v>
      </c>
      <c r="F1066" t="s">
        <v>637</v>
      </c>
      <c r="G1066" t="s">
        <v>98</v>
      </c>
      <c r="H1066" t="s">
        <v>81</v>
      </c>
      <c r="L1066">
        <v>7</v>
      </c>
      <c r="M1066" t="s">
        <v>83</v>
      </c>
      <c r="O1066" t="s">
        <v>83</v>
      </c>
      <c r="P1066" t="s">
        <v>84</v>
      </c>
    </row>
    <row r="1067" spans="1:16">
      <c r="A1067" t="s">
        <v>783</v>
      </c>
      <c r="B1067" t="s">
        <v>77</v>
      </c>
      <c r="C1067" t="s">
        <v>634</v>
      </c>
      <c r="D1067" t="s">
        <v>634</v>
      </c>
      <c r="E1067" t="s">
        <v>91</v>
      </c>
      <c r="F1067" t="s">
        <v>91</v>
      </c>
      <c r="G1067" t="s">
        <v>92</v>
      </c>
      <c r="H1067" t="s">
        <v>81</v>
      </c>
      <c r="J1067" t="s">
        <v>83</v>
      </c>
      <c r="L1067">
        <v>8</v>
      </c>
      <c r="M1067" t="s">
        <v>83</v>
      </c>
      <c r="O1067" t="s">
        <v>83</v>
      </c>
      <c r="P1067" t="s">
        <v>84</v>
      </c>
    </row>
    <row r="1068" spans="1:16">
      <c r="A1068" t="s">
        <v>783</v>
      </c>
      <c r="B1068" t="s">
        <v>77</v>
      </c>
      <c r="C1068" t="s">
        <v>634</v>
      </c>
      <c r="D1068" t="s">
        <v>634</v>
      </c>
      <c r="E1068" t="s">
        <v>638</v>
      </c>
      <c r="F1068" t="s">
        <v>638</v>
      </c>
      <c r="G1068" t="s">
        <v>94</v>
      </c>
      <c r="H1068" t="s">
        <v>81</v>
      </c>
      <c r="L1068">
        <v>9</v>
      </c>
      <c r="M1068" t="s">
        <v>83</v>
      </c>
      <c r="O1068" t="s">
        <v>83</v>
      </c>
      <c r="P1068" t="s">
        <v>84</v>
      </c>
    </row>
    <row r="1069" spans="1:16">
      <c r="A1069" t="s">
        <v>783</v>
      </c>
      <c r="B1069" t="s">
        <v>77</v>
      </c>
      <c r="C1069" t="s">
        <v>634</v>
      </c>
      <c r="D1069" t="s">
        <v>634</v>
      </c>
      <c r="E1069" t="s">
        <v>639</v>
      </c>
      <c r="F1069" t="s">
        <v>639</v>
      </c>
      <c r="G1069" t="s">
        <v>88</v>
      </c>
      <c r="H1069" t="s">
        <v>81</v>
      </c>
      <c r="L1069">
        <v>10</v>
      </c>
      <c r="M1069" t="s">
        <v>83</v>
      </c>
      <c r="O1069" t="s">
        <v>83</v>
      </c>
      <c r="P1069" t="s">
        <v>84</v>
      </c>
    </row>
    <row r="1070" spans="1:16">
      <c r="A1070" t="s">
        <v>783</v>
      </c>
      <c r="B1070" t="s">
        <v>77</v>
      </c>
      <c r="C1070" t="s">
        <v>634</v>
      </c>
      <c r="D1070" t="s">
        <v>634</v>
      </c>
      <c r="E1070" t="s">
        <v>640</v>
      </c>
      <c r="F1070" t="s">
        <v>640</v>
      </c>
      <c r="G1070" t="s">
        <v>94</v>
      </c>
      <c r="H1070" t="s">
        <v>81</v>
      </c>
      <c r="L1070">
        <v>11</v>
      </c>
      <c r="M1070" t="s">
        <v>83</v>
      </c>
      <c r="O1070" t="s">
        <v>83</v>
      </c>
      <c r="P1070" t="s">
        <v>84</v>
      </c>
    </row>
    <row r="1071" spans="1:16">
      <c r="A1071" t="s">
        <v>783</v>
      </c>
      <c r="B1071" t="s">
        <v>77</v>
      </c>
      <c r="C1071" t="s">
        <v>634</v>
      </c>
      <c r="D1071" t="s">
        <v>634</v>
      </c>
      <c r="E1071" t="s">
        <v>641</v>
      </c>
      <c r="F1071" t="s">
        <v>641</v>
      </c>
      <c r="G1071" t="s">
        <v>98</v>
      </c>
      <c r="H1071" t="s">
        <v>81</v>
      </c>
      <c r="L1071">
        <v>12</v>
      </c>
      <c r="M1071" t="s">
        <v>83</v>
      </c>
      <c r="O1071" t="s">
        <v>83</v>
      </c>
      <c r="P1071" t="s">
        <v>84</v>
      </c>
    </row>
    <row r="1072" spans="1:16">
      <c r="A1072" t="s">
        <v>783</v>
      </c>
      <c r="B1072" t="s">
        <v>77</v>
      </c>
      <c r="C1072" t="s">
        <v>634</v>
      </c>
      <c r="D1072" t="s">
        <v>634</v>
      </c>
      <c r="E1072" t="s">
        <v>642</v>
      </c>
      <c r="F1072" t="s">
        <v>642</v>
      </c>
      <c r="G1072" t="s">
        <v>98</v>
      </c>
      <c r="H1072" t="s">
        <v>81</v>
      </c>
      <c r="L1072">
        <v>13</v>
      </c>
      <c r="M1072" t="s">
        <v>83</v>
      </c>
      <c r="O1072" t="s">
        <v>83</v>
      </c>
      <c r="P1072" t="s">
        <v>84</v>
      </c>
    </row>
    <row r="1073" spans="1:16">
      <c r="A1073" t="s">
        <v>783</v>
      </c>
      <c r="B1073" t="s">
        <v>77</v>
      </c>
      <c r="C1073" t="s">
        <v>634</v>
      </c>
      <c r="D1073" t="s">
        <v>634</v>
      </c>
      <c r="E1073" t="s">
        <v>643</v>
      </c>
      <c r="F1073" t="s">
        <v>643</v>
      </c>
      <c r="G1073" t="s">
        <v>188</v>
      </c>
      <c r="H1073" t="s">
        <v>81</v>
      </c>
      <c r="L1073">
        <v>14</v>
      </c>
      <c r="M1073" t="s">
        <v>83</v>
      </c>
      <c r="O1073" t="s">
        <v>83</v>
      </c>
      <c r="P1073" t="s">
        <v>84</v>
      </c>
    </row>
    <row r="1074" spans="1:16">
      <c r="A1074" t="s">
        <v>783</v>
      </c>
      <c r="B1074" t="s">
        <v>77</v>
      </c>
      <c r="C1074" t="s">
        <v>634</v>
      </c>
      <c r="D1074" t="s">
        <v>634</v>
      </c>
      <c r="E1074" t="s">
        <v>112</v>
      </c>
      <c r="F1074" t="s">
        <v>112</v>
      </c>
      <c r="G1074" t="s">
        <v>113</v>
      </c>
      <c r="H1074" t="s">
        <v>81</v>
      </c>
      <c r="I1074" t="s">
        <v>114</v>
      </c>
      <c r="L1074">
        <v>15</v>
      </c>
      <c r="M1074" t="s">
        <v>83</v>
      </c>
      <c r="O1074" t="s">
        <v>83</v>
      </c>
      <c r="P1074" t="s">
        <v>84</v>
      </c>
    </row>
    <row r="1075" spans="1:16">
      <c r="A1075" t="s">
        <v>783</v>
      </c>
      <c r="B1075" t="s">
        <v>77</v>
      </c>
      <c r="C1075" t="s">
        <v>634</v>
      </c>
      <c r="D1075" t="s">
        <v>634</v>
      </c>
      <c r="E1075" t="s">
        <v>115</v>
      </c>
      <c r="F1075" t="s">
        <v>115</v>
      </c>
      <c r="G1075" t="s">
        <v>113</v>
      </c>
      <c r="H1075" t="s">
        <v>81</v>
      </c>
      <c r="I1075" t="s">
        <v>114</v>
      </c>
      <c r="L1075">
        <v>16</v>
      </c>
      <c r="M1075" t="s">
        <v>83</v>
      </c>
      <c r="O1075" t="s">
        <v>83</v>
      </c>
      <c r="P1075" t="s">
        <v>84</v>
      </c>
    </row>
    <row r="1076" spans="1:16">
      <c r="A1076" t="s">
        <v>783</v>
      </c>
      <c r="B1076" t="s">
        <v>77</v>
      </c>
      <c r="C1076" t="s">
        <v>634</v>
      </c>
      <c r="D1076" t="s">
        <v>634</v>
      </c>
      <c r="E1076" t="s">
        <v>327</v>
      </c>
      <c r="F1076" t="s">
        <v>327</v>
      </c>
      <c r="G1076" t="s">
        <v>90</v>
      </c>
      <c r="H1076" t="s">
        <v>81</v>
      </c>
      <c r="L1076">
        <v>17</v>
      </c>
      <c r="M1076" t="s">
        <v>83</v>
      </c>
      <c r="O1076" t="s">
        <v>83</v>
      </c>
      <c r="P1076" t="s">
        <v>84</v>
      </c>
    </row>
    <row r="1077" spans="1:16">
      <c r="A1077" t="s">
        <v>783</v>
      </c>
      <c r="B1077" t="s">
        <v>77</v>
      </c>
      <c r="C1077" t="s">
        <v>634</v>
      </c>
      <c r="D1077" t="s">
        <v>634</v>
      </c>
      <c r="E1077" t="s">
        <v>117</v>
      </c>
      <c r="F1077" t="s">
        <v>117</v>
      </c>
      <c r="G1077" t="s">
        <v>90</v>
      </c>
      <c r="H1077" t="s">
        <v>81</v>
      </c>
      <c r="L1077">
        <v>24</v>
      </c>
      <c r="M1077" t="s">
        <v>83</v>
      </c>
      <c r="O1077" t="s">
        <v>83</v>
      </c>
      <c r="P1077" t="s">
        <v>84</v>
      </c>
    </row>
    <row r="1078" spans="1:16">
      <c r="A1078" t="s">
        <v>783</v>
      </c>
      <c r="B1078" t="s">
        <v>77</v>
      </c>
      <c r="C1078" t="s">
        <v>634</v>
      </c>
      <c r="D1078" t="s">
        <v>634</v>
      </c>
      <c r="E1078" t="s">
        <v>328</v>
      </c>
      <c r="F1078" t="s">
        <v>328</v>
      </c>
      <c r="G1078" t="s">
        <v>90</v>
      </c>
      <c r="H1078" t="s">
        <v>81</v>
      </c>
      <c r="L1078">
        <v>25</v>
      </c>
      <c r="M1078" t="s">
        <v>83</v>
      </c>
      <c r="O1078" t="s">
        <v>83</v>
      </c>
      <c r="P1078" t="s">
        <v>84</v>
      </c>
    </row>
    <row r="1079" spans="1:16">
      <c r="A1079" t="s">
        <v>783</v>
      </c>
      <c r="B1079" t="s">
        <v>77</v>
      </c>
      <c r="C1079" t="s">
        <v>634</v>
      </c>
      <c r="D1079" t="s">
        <v>634</v>
      </c>
      <c r="E1079" t="s">
        <v>118</v>
      </c>
      <c r="F1079" t="s">
        <v>118</v>
      </c>
      <c r="G1079" t="s">
        <v>92</v>
      </c>
      <c r="H1079" t="s">
        <v>81</v>
      </c>
      <c r="L1079">
        <v>26</v>
      </c>
      <c r="M1079" t="s">
        <v>83</v>
      </c>
      <c r="O1079" t="s">
        <v>83</v>
      </c>
      <c r="P1079" t="s">
        <v>84</v>
      </c>
    </row>
    <row r="1080" spans="1:16">
      <c r="A1080" t="s">
        <v>783</v>
      </c>
      <c r="B1080" t="s">
        <v>77</v>
      </c>
      <c r="C1080" t="s">
        <v>634</v>
      </c>
      <c r="D1080" t="s">
        <v>634</v>
      </c>
      <c r="E1080" t="s">
        <v>784</v>
      </c>
      <c r="F1080" t="s">
        <v>784</v>
      </c>
      <c r="G1080" t="s">
        <v>80</v>
      </c>
      <c r="H1080" t="s">
        <v>81</v>
      </c>
      <c r="I1080" t="s">
        <v>82</v>
      </c>
      <c r="L1080">
        <v>27</v>
      </c>
      <c r="M1080" t="s">
        <v>83</v>
      </c>
      <c r="O1080" t="s">
        <v>83</v>
      </c>
      <c r="P1080" t="s">
        <v>84</v>
      </c>
    </row>
    <row r="1081" spans="1:16">
      <c r="A1081" t="s">
        <v>783</v>
      </c>
      <c r="B1081" t="s">
        <v>77</v>
      </c>
      <c r="C1081" t="s">
        <v>634</v>
      </c>
      <c r="D1081" t="s">
        <v>634</v>
      </c>
      <c r="E1081" t="s">
        <v>785</v>
      </c>
      <c r="F1081" t="s">
        <v>785</v>
      </c>
      <c r="G1081" t="s">
        <v>80</v>
      </c>
      <c r="H1081" t="s">
        <v>81</v>
      </c>
      <c r="I1081" t="s">
        <v>82</v>
      </c>
      <c r="L1081">
        <v>28</v>
      </c>
      <c r="M1081" t="s">
        <v>83</v>
      </c>
      <c r="O1081" t="s">
        <v>83</v>
      </c>
      <c r="P1081" t="s">
        <v>84</v>
      </c>
    </row>
    <row r="1082" spans="1:16">
      <c r="A1082" t="s">
        <v>783</v>
      </c>
      <c r="B1082" t="s">
        <v>77</v>
      </c>
      <c r="C1082" t="s">
        <v>634</v>
      </c>
      <c r="D1082" t="s">
        <v>634</v>
      </c>
      <c r="E1082" t="s">
        <v>786</v>
      </c>
      <c r="F1082" t="s">
        <v>786</v>
      </c>
      <c r="G1082" t="s">
        <v>787</v>
      </c>
      <c r="H1082" t="s">
        <v>81</v>
      </c>
      <c r="L1082">
        <v>29</v>
      </c>
      <c r="M1082" t="s">
        <v>83</v>
      </c>
      <c r="O1082" t="s">
        <v>83</v>
      </c>
      <c r="P1082" t="s">
        <v>84</v>
      </c>
    </row>
    <row r="1083" spans="1:16">
      <c r="A1083" t="s">
        <v>783</v>
      </c>
      <c r="B1083" t="s">
        <v>77</v>
      </c>
      <c r="C1083" t="s">
        <v>644</v>
      </c>
      <c r="D1083" t="s">
        <v>644</v>
      </c>
      <c r="E1083" t="s">
        <v>79</v>
      </c>
      <c r="F1083" t="s">
        <v>79</v>
      </c>
      <c r="G1083" t="s">
        <v>80</v>
      </c>
      <c r="H1083" t="s">
        <v>81</v>
      </c>
      <c r="I1083" t="s">
        <v>82</v>
      </c>
      <c r="L1083">
        <v>1</v>
      </c>
      <c r="M1083" t="s">
        <v>83</v>
      </c>
      <c r="O1083" t="s">
        <v>83</v>
      </c>
      <c r="P1083" t="s">
        <v>84</v>
      </c>
    </row>
    <row r="1084" spans="1:16">
      <c r="A1084" t="s">
        <v>783</v>
      </c>
      <c r="B1084" t="s">
        <v>77</v>
      </c>
      <c r="C1084" t="s">
        <v>644</v>
      </c>
      <c r="D1084" t="s">
        <v>644</v>
      </c>
      <c r="E1084" t="s">
        <v>86</v>
      </c>
      <c r="F1084" t="s">
        <v>86</v>
      </c>
      <c r="G1084" t="s">
        <v>80</v>
      </c>
      <c r="H1084" t="s">
        <v>81</v>
      </c>
      <c r="I1084" t="s">
        <v>82</v>
      </c>
      <c r="L1084">
        <v>2</v>
      </c>
      <c r="M1084" t="s">
        <v>83</v>
      </c>
      <c r="O1084" t="s">
        <v>83</v>
      </c>
      <c r="P1084" t="s">
        <v>84</v>
      </c>
    </row>
    <row r="1085" spans="1:16">
      <c r="A1085" t="s">
        <v>783</v>
      </c>
      <c r="B1085" t="s">
        <v>77</v>
      </c>
      <c r="C1085" t="s">
        <v>644</v>
      </c>
      <c r="D1085" t="s">
        <v>644</v>
      </c>
      <c r="E1085" t="s">
        <v>87</v>
      </c>
      <c r="F1085" t="s">
        <v>87</v>
      </c>
      <c r="G1085" t="s">
        <v>88</v>
      </c>
      <c r="H1085" t="s">
        <v>81</v>
      </c>
      <c r="J1085" t="s">
        <v>83</v>
      </c>
      <c r="L1085">
        <v>3</v>
      </c>
      <c r="M1085" t="s">
        <v>83</v>
      </c>
      <c r="O1085" t="s">
        <v>83</v>
      </c>
      <c r="P1085" t="s">
        <v>84</v>
      </c>
    </row>
    <row r="1086" spans="1:16">
      <c r="A1086" t="s">
        <v>783</v>
      </c>
      <c r="B1086" t="s">
        <v>77</v>
      </c>
      <c r="C1086" t="s">
        <v>644</v>
      </c>
      <c r="D1086" t="s">
        <v>644</v>
      </c>
      <c r="E1086" t="s">
        <v>89</v>
      </c>
      <c r="F1086" t="s">
        <v>89</v>
      </c>
      <c r="G1086" t="s">
        <v>90</v>
      </c>
      <c r="H1086" t="s">
        <v>81</v>
      </c>
      <c r="J1086" t="s">
        <v>83</v>
      </c>
      <c r="K1086" t="s">
        <v>83</v>
      </c>
      <c r="L1086">
        <v>4</v>
      </c>
      <c r="M1086" t="s">
        <v>83</v>
      </c>
      <c r="O1086" t="s">
        <v>83</v>
      </c>
      <c r="P1086" t="s">
        <v>84</v>
      </c>
    </row>
    <row r="1087" spans="1:16">
      <c r="A1087" t="s">
        <v>783</v>
      </c>
      <c r="B1087" t="s">
        <v>77</v>
      </c>
      <c r="C1087" t="s">
        <v>644</v>
      </c>
      <c r="D1087" t="s">
        <v>644</v>
      </c>
      <c r="E1087" t="s">
        <v>645</v>
      </c>
      <c r="F1087" t="s">
        <v>645</v>
      </c>
      <c r="G1087" t="s">
        <v>80</v>
      </c>
      <c r="H1087" t="s">
        <v>81</v>
      </c>
      <c r="I1087" t="s">
        <v>82</v>
      </c>
      <c r="L1087">
        <v>5</v>
      </c>
      <c r="M1087" t="s">
        <v>83</v>
      </c>
      <c r="O1087" t="s">
        <v>83</v>
      </c>
      <c r="P1087" t="s">
        <v>84</v>
      </c>
    </row>
    <row r="1088" spans="1:16">
      <c r="A1088" t="s">
        <v>783</v>
      </c>
      <c r="B1088" t="s">
        <v>77</v>
      </c>
      <c r="C1088" t="s">
        <v>644</v>
      </c>
      <c r="D1088" t="s">
        <v>644</v>
      </c>
      <c r="E1088" t="s">
        <v>646</v>
      </c>
      <c r="F1088" t="s">
        <v>646</v>
      </c>
      <c r="G1088" t="s">
        <v>90</v>
      </c>
      <c r="H1088" t="s">
        <v>81</v>
      </c>
      <c r="L1088">
        <v>6</v>
      </c>
      <c r="M1088" t="s">
        <v>83</v>
      </c>
      <c r="O1088" t="s">
        <v>83</v>
      </c>
      <c r="P1088" t="s">
        <v>84</v>
      </c>
    </row>
    <row r="1089" spans="1:16">
      <c r="A1089" t="s">
        <v>783</v>
      </c>
      <c r="B1089" t="s">
        <v>77</v>
      </c>
      <c r="C1089" t="s">
        <v>644</v>
      </c>
      <c r="D1089" t="s">
        <v>644</v>
      </c>
      <c r="E1089" t="s">
        <v>91</v>
      </c>
      <c r="F1089" t="s">
        <v>91</v>
      </c>
      <c r="G1089" t="s">
        <v>92</v>
      </c>
      <c r="H1089" t="s">
        <v>81</v>
      </c>
      <c r="J1089" t="s">
        <v>83</v>
      </c>
      <c r="L1089">
        <v>7</v>
      </c>
      <c r="M1089" t="s">
        <v>83</v>
      </c>
      <c r="O1089" t="s">
        <v>83</v>
      </c>
      <c r="P1089" t="s">
        <v>84</v>
      </c>
    </row>
    <row r="1090" spans="1:16">
      <c r="A1090" t="s">
        <v>783</v>
      </c>
      <c r="B1090" t="s">
        <v>77</v>
      </c>
      <c r="C1090" t="s">
        <v>644</v>
      </c>
      <c r="D1090" t="s">
        <v>644</v>
      </c>
      <c r="E1090" t="s">
        <v>647</v>
      </c>
      <c r="F1090" t="s">
        <v>647</v>
      </c>
      <c r="G1090" t="s">
        <v>94</v>
      </c>
      <c r="H1090" t="s">
        <v>81</v>
      </c>
      <c r="L1090">
        <v>8</v>
      </c>
      <c r="M1090" t="s">
        <v>83</v>
      </c>
      <c r="O1090" t="s">
        <v>83</v>
      </c>
      <c r="P1090" t="s">
        <v>84</v>
      </c>
    </row>
    <row r="1091" spans="1:16">
      <c r="A1091" t="s">
        <v>783</v>
      </c>
      <c r="B1091" t="s">
        <v>77</v>
      </c>
      <c r="C1091" t="s">
        <v>644</v>
      </c>
      <c r="D1091" t="s">
        <v>644</v>
      </c>
      <c r="E1091" t="s">
        <v>648</v>
      </c>
      <c r="F1091" t="s">
        <v>648</v>
      </c>
      <c r="G1091" t="s">
        <v>88</v>
      </c>
      <c r="H1091" t="s">
        <v>81</v>
      </c>
      <c r="L1091">
        <v>9</v>
      </c>
      <c r="M1091" t="s">
        <v>83</v>
      </c>
      <c r="O1091" t="s">
        <v>83</v>
      </c>
      <c r="P1091" t="s">
        <v>84</v>
      </c>
    </row>
    <row r="1092" spans="1:16">
      <c r="A1092" t="s">
        <v>783</v>
      </c>
      <c r="B1092" t="s">
        <v>77</v>
      </c>
      <c r="C1092" t="s">
        <v>644</v>
      </c>
      <c r="D1092" t="s">
        <v>644</v>
      </c>
      <c r="E1092" t="s">
        <v>649</v>
      </c>
      <c r="F1092" t="s">
        <v>649</v>
      </c>
      <c r="G1092" t="s">
        <v>94</v>
      </c>
      <c r="H1092" t="s">
        <v>81</v>
      </c>
      <c r="L1092">
        <v>10</v>
      </c>
      <c r="M1092" t="s">
        <v>83</v>
      </c>
      <c r="O1092" t="s">
        <v>83</v>
      </c>
      <c r="P1092" t="s">
        <v>84</v>
      </c>
    </row>
    <row r="1093" spans="1:16">
      <c r="A1093" t="s">
        <v>783</v>
      </c>
      <c r="B1093" t="s">
        <v>77</v>
      </c>
      <c r="C1093" t="s">
        <v>644</v>
      </c>
      <c r="D1093" t="s">
        <v>644</v>
      </c>
      <c r="E1093" t="s">
        <v>650</v>
      </c>
      <c r="F1093" t="s">
        <v>650</v>
      </c>
      <c r="G1093" t="s">
        <v>98</v>
      </c>
      <c r="H1093" t="s">
        <v>81</v>
      </c>
      <c r="L1093">
        <v>11</v>
      </c>
      <c r="M1093" t="s">
        <v>83</v>
      </c>
      <c r="O1093" t="s">
        <v>83</v>
      </c>
      <c r="P1093" t="s">
        <v>84</v>
      </c>
    </row>
    <row r="1094" spans="1:16">
      <c r="A1094" t="s">
        <v>783</v>
      </c>
      <c r="B1094" t="s">
        <v>77</v>
      </c>
      <c r="C1094" t="s">
        <v>644</v>
      </c>
      <c r="D1094" t="s">
        <v>644</v>
      </c>
      <c r="E1094" t="s">
        <v>651</v>
      </c>
      <c r="F1094" t="s">
        <v>651</v>
      </c>
      <c r="G1094" t="s">
        <v>98</v>
      </c>
      <c r="H1094" t="s">
        <v>81</v>
      </c>
      <c r="L1094">
        <v>12</v>
      </c>
      <c r="M1094" t="s">
        <v>83</v>
      </c>
      <c r="O1094" t="s">
        <v>83</v>
      </c>
      <c r="P1094" t="s">
        <v>84</v>
      </c>
    </row>
    <row r="1095" spans="1:16">
      <c r="A1095" t="s">
        <v>783</v>
      </c>
      <c r="B1095" t="s">
        <v>77</v>
      </c>
      <c r="C1095" t="s">
        <v>644</v>
      </c>
      <c r="D1095" t="s">
        <v>644</v>
      </c>
      <c r="E1095" t="s">
        <v>652</v>
      </c>
      <c r="F1095" t="s">
        <v>652</v>
      </c>
      <c r="G1095" t="s">
        <v>98</v>
      </c>
      <c r="H1095" t="s">
        <v>81</v>
      </c>
      <c r="L1095">
        <v>13</v>
      </c>
      <c r="M1095" t="s">
        <v>83</v>
      </c>
      <c r="O1095" t="s">
        <v>83</v>
      </c>
      <c r="P1095" t="s">
        <v>84</v>
      </c>
    </row>
    <row r="1096" spans="1:16">
      <c r="A1096" t="s">
        <v>783</v>
      </c>
      <c r="B1096" t="s">
        <v>77</v>
      </c>
      <c r="C1096" t="s">
        <v>644</v>
      </c>
      <c r="D1096" t="s">
        <v>644</v>
      </c>
      <c r="E1096" t="s">
        <v>653</v>
      </c>
      <c r="F1096" t="s">
        <v>653</v>
      </c>
      <c r="G1096" t="s">
        <v>188</v>
      </c>
      <c r="H1096" t="s">
        <v>81</v>
      </c>
      <c r="L1096">
        <v>14</v>
      </c>
      <c r="M1096" t="s">
        <v>83</v>
      </c>
      <c r="O1096" t="s">
        <v>83</v>
      </c>
      <c r="P1096" t="s">
        <v>84</v>
      </c>
    </row>
    <row r="1097" spans="1:16">
      <c r="A1097" t="s">
        <v>783</v>
      </c>
      <c r="B1097" t="s">
        <v>77</v>
      </c>
      <c r="C1097" t="s">
        <v>644</v>
      </c>
      <c r="D1097" t="s">
        <v>644</v>
      </c>
      <c r="E1097" t="s">
        <v>112</v>
      </c>
      <c r="F1097" t="s">
        <v>112</v>
      </c>
      <c r="G1097" t="s">
        <v>113</v>
      </c>
      <c r="H1097" t="s">
        <v>81</v>
      </c>
      <c r="I1097" t="s">
        <v>114</v>
      </c>
      <c r="L1097">
        <v>15</v>
      </c>
      <c r="M1097" t="s">
        <v>83</v>
      </c>
      <c r="O1097" t="s">
        <v>83</v>
      </c>
      <c r="P1097" t="s">
        <v>84</v>
      </c>
    </row>
    <row r="1098" spans="1:16">
      <c r="A1098" t="s">
        <v>783</v>
      </c>
      <c r="B1098" t="s">
        <v>77</v>
      </c>
      <c r="C1098" t="s">
        <v>644</v>
      </c>
      <c r="D1098" t="s">
        <v>644</v>
      </c>
      <c r="E1098" t="s">
        <v>115</v>
      </c>
      <c r="F1098" t="s">
        <v>115</v>
      </c>
      <c r="G1098" t="s">
        <v>113</v>
      </c>
      <c r="H1098" t="s">
        <v>81</v>
      </c>
      <c r="I1098" t="s">
        <v>114</v>
      </c>
      <c r="L1098">
        <v>16</v>
      </c>
      <c r="M1098" t="s">
        <v>83</v>
      </c>
      <c r="O1098" t="s">
        <v>83</v>
      </c>
      <c r="P1098" t="s">
        <v>84</v>
      </c>
    </row>
    <row r="1099" spans="1:16">
      <c r="A1099" t="s">
        <v>783</v>
      </c>
      <c r="B1099" t="s">
        <v>77</v>
      </c>
      <c r="C1099" t="s">
        <v>644</v>
      </c>
      <c r="D1099" t="s">
        <v>644</v>
      </c>
      <c r="E1099" t="s">
        <v>117</v>
      </c>
      <c r="F1099" t="s">
        <v>117</v>
      </c>
      <c r="G1099" t="s">
        <v>90</v>
      </c>
      <c r="H1099" t="s">
        <v>81</v>
      </c>
      <c r="L1099">
        <v>23</v>
      </c>
      <c r="M1099" t="s">
        <v>83</v>
      </c>
      <c r="O1099" t="s">
        <v>83</v>
      </c>
      <c r="P1099" t="s">
        <v>84</v>
      </c>
    </row>
    <row r="1100" spans="1:16">
      <c r="A1100" t="s">
        <v>783</v>
      </c>
      <c r="B1100" t="s">
        <v>77</v>
      </c>
      <c r="C1100" t="s">
        <v>644</v>
      </c>
      <c r="D1100" t="s">
        <v>644</v>
      </c>
      <c r="E1100" t="s">
        <v>328</v>
      </c>
      <c r="F1100" t="s">
        <v>328</v>
      </c>
      <c r="G1100" t="s">
        <v>90</v>
      </c>
      <c r="H1100" t="s">
        <v>81</v>
      </c>
      <c r="L1100">
        <v>24</v>
      </c>
      <c r="M1100" t="s">
        <v>83</v>
      </c>
      <c r="O1100" t="s">
        <v>83</v>
      </c>
      <c r="P1100" t="s">
        <v>84</v>
      </c>
    </row>
    <row r="1101" spans="1:16">
      <c r="A1101" t="s">
        <v>783</v>
      </c>
      <c r="B1101" t="s">
        <v>77</v>
      </c>
      <c r="C1101" t="s">
        <v>644</v>
      </c>
      <c r="D1101" t="s">
        <v>644</v>
      </c>
      <c r="E1101" t="s">
        <v>118</v>
      </c>
      <c r="F1101" t="s">
        <v>118</v>
      </c>
      <c r="G1101" t="s">
        <v>92</v>
      </c>
      <c r="H1101" t="s">
        <v>81</v>
      </c>
      <c r="L1101">
        <v>25</v>
      </c>
      <c r="M1101" t="s">
        <v>83</v>
      </c>
      <c r="O1101" t="s">
        <v>83</v>
      </c>
      <c r="P1101" t="s">
        <v>84</v>
      </c>
    </row>
    <row r="1102" spans="1:16">
      <c r="A1102" t="s">
        <v>783</v>
      </c>
      <c r="B1102" t="s">
        <v>77</v>
      </c>
      <c r="C1102" t="s">
        <v>644</v>
      </c>
      <c r="D1102" t="s">
        <v>644</v>
      </c>
      <c r="E1102" t="s">
        <v>784</v>
      </c>
      <c r="F1102" t="s">
        <v>784</v>
      </c>
      <c r="G1102" t="s">
        <v>80</v>
      </c>
      <c r="H1102" t="s">
        <v>81</v>
      </c>
      <c r="I1102" t="s">
        <v>82</v>
      </c>
      <c r="L1102">
        <v>26</v>
      </c>
      <c r="M1102" t="s">
        <v>83</v>
      </c>
      <c r="O1102" t="s">
        <v>83</v>
      </c>
      <c r="P1102" t="s">
        <v>84</v>
      </c>
    </row>
    <row r="1103" spans="1:16">
      <c r="A1103" t="s">
        <v>783</v>
      </c>
      <c r="B1103" t="s">
        <v>77</v>
      </c>
      <c r="C1103" t="s">
        <v>644</v>
      </c>
      <c r="D1103" t="s">
        <v>644</v>
      </c>
      <c r="E1103" t="s">
        <v>785</v>
      </c>
      <c r="F1103" t="s">
        <v>785</v>
      </c>
      <c r="G1103" t="s">
        <v>80</v>
      </c>
      <c r="H1103" t="s">
        <v>81</v>
      </c>
      <c r="I1103" t="s">
        <v>82</v>
      </c>
      <c r="L1103">
        <v>27</v>
      </c>
      <c r="M1103" t="s">
        <v>83</v>
      </c>
      <c r="O1103" t="s">
        <v>83</v>
      </c>
      <c r="P1103" t="s">
        <v>84</v>
      </c>
    </row>
    <row r="1104" spans="1:16">
      <c r="A1104" t="s">
        <v>783</v>
      </c>
      <c r="B1104" t="s">
        <v>77</v>
      </c>
      <c r="C1104" t="s">
        <v>644</v>
      </c>
      <c r="D1104" t="s">
        <v>644</v>
      </c>
      <c r="E1104" t="s">
        <v>786</v>
      </c>
      <c r="F1104" t="s">
        <v>786</v>
      </c>
      <c r="G1104" t="s">
        <v>787</v>
      </c>
      <c r="H1104" t="s">
        <v>81</v>
      </c>
      <c r="L1104">
        <v>28</v>
      </c>
      <c r="M1104" t="s">
        <v>83</v>
      </c>
      <c r="O1104" t="s">
        <v>83</v>
      </c>
      <c r="P1104" t="s">
        <v>84</v>
      </c>
    </row>
    <row r="1105" spans="1:16">
      <c r="A1105" t="s">
        <v>783</v>
      </c>
      <c r="B1105" t="s">
        <v>77</v>
      </c>
      <c r="C1105" t="s">
        <v>654</v>
      </c>
      <c r="D1105" t="s">
        <v>654</v>
      </c>
      <c r="E1105" t="s">
        <v>79</v>
      </c>
      <c r="F1105" t="s">
        <v>79</v>
      </c>
      <c r="G1105" t="s">
        <v>80</v>
      </c>
      <c r="H1105" t="s">
        <v>81</v>
      </c>
      <c r="I1105" t="s">
        <v>82</v>
      </c>
      <c r="L1105">
        <v>1</v>
      </c>
      <c r="M1105" t="s">
        <v>83</v>
      </c>
      <c r="O1105" t="s">
        <v>83</v>
      </c>
      <c r="P1105" t="s">
        <v>84</v>
      </c>
    </row>
    <row r="1106" spans="1:16">
      <c r="A1106" t="s">
        <v>783</v>
      </c>
      <c r="B1106" t="s">
        <v>77</v>
      </c>
      <c r="C1106" t="s">
        <v>654</v>
      </c>
      <c r="D1106" t="s">
        <v>654</v>
      </c>
      <c r="E1106" t="s">
        <v>86</v>
      </c>
      <c r="F1106" t="s">
        <v>86</v>
      </c>
      <c r="G1106" t="s">
        <v>80</v>
      </c>
      <c r="H1106" t="s">
        <v>81</v>
      </c>
      <c r="I1106" t="s">
        <v>82</v>
      </c>
      <c r="L1106">
        <v>2</v>
      </c>
      <c r="M1106" t="s">
        <v>83</v>
      </c>
      <c r="O1106" t="s">
        <v>83</v>
      </c>
      <c r="P1106" t="s">
        <v>84</v>
      </c>
    </row>
    <row r="1107" spans="1:16">
      <c r="A1107" t="s">
        <v>783</v>
      </c>
      <c r="B1107" t="s">
        <v>77</v>
      </c>
      <c r="C1107" t="s">
        <v>654</v>
      </c>
      <c r="D1107" t="s">
        <v>654</v>
      </c>
      <c r="E1107" t="s">
        <v>87</v>
      </c>
      <c r="F1107" t="s">
        <v>87</v>
      </c>
      <c r="G1107" t="s">
        <v>88</v>
      </c>
      <c r="H1107" t="s">
        <v>81</v>
      </c>
      <c r="J1107" t="s">
        <v>83</v>
      </c>
      <c r="L1107">
        <v>3</v>
      </c>
      <c r="M1107" t="s">
        <v>83</v>
      </c>
      <c r="O1107" t="s">
        <v>83</v>
      </c>
      <c r="P1107" t="s">
        <v>84</v>
      </c>
    </row>
    <row r="1108" spans="1:16">
      <c r="A1108" t="s">
        <v>783</v>
      </c>
      <c r="B1108" t="s">
        <v>77</v>
      </c>
      <c r="C1108" t="s">
        <v>654</v>
      </c>
      <c r="D1108" t="s">
        <v>654</v>
      </c>
      <c r="E1108" t="s">
        <v>89</v>
      </c>
      <c r="F1108" t="s">
        <v>89</v>
      </c>
      <c r="G1108" t="s">
        <v>90</v>
      </c>
      <c r="H1108" t="s">
        <v>81</v>
      </c>
      <c r="J1108" t="s">
        <v>83</v>
      </c>
      <c r="K1108" t="s">
        <v>83</v>
      </c>
      <c r="L1108">
        <v>4</v>
      </c>
      <c r="M1108" t="s">
        <v>83</v>
      </c>
      <c r="O1108" t="s">
        <v>83</v>
      </c>
      <c r="P1108" t="s">
        <v>84</v>
      </c>
    </row>
    <row r="1109" spans="1:16">
      <c r="A1109" t="s">
        <v>783</v>
      </c>
      <c r="B1109" t="s">
        <v>77</v>
      </c>
      <c r="C1109" t="s">
        <v>654</v>
      </c>
      <c r="D1109" t="s">
        <v>654</v>
      </c>
      <c r="E1109" t="s">
        <v>655</v>
      </c>
      <c r="F1109" t="s">
        <v>655</v>
      </c>
      <c r="G1109" t="s">
        <v>80</v>
      </c>
      <c r="H1109" t="s">
        <v>81</v>
      </c>
      <c r="I1109" t="s">
        <v>82</v>
      </c>
      <c r="L1109">
        <v>5</v>
      </c>
      <c r="M1109" t="s">
        <v>83</v>
      </c>
      <c r="O1109" t="s">
        <v>83</v>
      </c>
      <c r="P1109" t="s">
        <v>84</v>
      </c>
    </row>
    <row r="1110" spans="1:16">
      <c r="A1110" t="s">
        <v>783</v>
      </c>
      <c r="B1110" t="s">
        <v>77</v>
      </c>
      <c r="C1110" t="s">
        <v>654</v>
      </c>
      <c r="D1110" t="s">
        <v>654</v>
      </c>
      <c r="E1110" t="s">
        <v>656</v>
      </c>
      <c r="F1110" t="s">
        <v>656</v>
      </c>
      <c r="G1110" t="s">
        <v>90</v>
      </c>
      <c r="H1110" t="s">
        <v>81</v>
      </c>
      <c r="L1110">
        <v>6</v>
      </c>
      <c r="M1110" t="s">
        <v>83</v>
      </c>
      <c r="O1110" t="s">
        <v>83</v>
      </c>
      <c r="P1110" t="s">
        <v>84</v>
      </c>
    </row>
    <row r="1111" spans="1:16">
      <c r="A1111" t="s">
        <v>783</v>
      </c>
      <c r="B1111" t="s">
        <v>77</v>
      </c>
      <c r="C1111" t="s">
        <v>654</v>
      </c>
      <c r="D1111" t="s">
        <v>654</v>
      </c>
      <c r="E1111" t="s">
        <v>91</v>
      </c>
      <c r="F1111" t="s">
        <v>91</v>
      </c>
      <c r="G1111" t="s">
        <v>92</v>
      </c>
      <c r="H1111" t="s">
        <v>81</v>
      </c>
      <c r="J1111" t="s">
        <v>83</v>
      </c>
      <c r="L1111">
        <v>7</v>
      </c>
      <c r="M1111" t="s">
        <v>83</v>
      </c>
      <c r="O1111" t="s">
        <v>83</v>
      </c>
      <c r="P1111" t="s">
        <v>84</v>
      </c>
    </row>
    <row r="1112" spans="1:16">
      <c r="A1112" t="s">
        <v>783</v>
      </c>
      <c r="B1112" t="s">
        <v>77</v>
      </c>
      <c r="C1112" t="s">
        <v>654</v>
      </c>
      <c r="D1112" t="s">
        <v>654</v>
      </c>
      <c r="E1112" t="s">
        <v>657</v>
      </c>
      <c r="F1112" t="s">
        <v>657</v>
      </c>
      <c r="G1112" t="s">
        <v>94</v>
      </c>
      <c r="H1112" t="s">
        <v>81</v>
      </c>
      <c r="L1112">
        <v>8</v>
      </c>
      <c r="M1112" t="s">
        <v>83</v>
      </c>
      <c r="O1112" t="s">
        <v>83</v>
      </c>
      <c r="P1112" t="s">
        <v>84</v>
      </c>
    </row>
    <row r="1113" spans="1:16">
      <c r="A1113" t="s">
        <v>783</v>
      </c>
      <c r="B1113" t="s">
        <v>77</v>
      </c>
      <c r="C1113" t="s">
        <v>654</v>
      </c>
      <c r="D1113" t="s">
        <v>654</v>
      </c>
      <c r="E1113" t="s">
        <v>658</v>
      </c>
      <c r="F1113" t="s">
        <v>658</v>
      </c>
      <c r="G1113" t="s">
        <v>88</v>
      </c>
      <c r="H1113" t="s">
        <v>81</v>
      </c>
      <c r="L1113">
        <v>9</v>
      </c>
      <c r="M1113" t="s">
        <v>83</v>
      </c>
      <c r="O1113" t="s">
        <v>83</v>
      </c>
      <c r="P1113" t="s">
        <v>84</v>
      </c>
    </row>
    <row r="1114" spans="1:16">
      <c r="A1114" t="s">
        <v>783</v>
      </c>
      <c r="B1114" t="s">
        <v>77</v>
      </c>
      <c r="C1114" t="s">
        <v>654</v>
      </c>
      <c r="D1114" t="s">
        <v>654</v>
      </c>
      <c r="E1114" t="s">
        <v>659</v>
      </c>
      <c r="F1114" t="s">
        <v>659</v>
      </c>
      <c r="G1114" t="s">
        <v>94</v>
      </c>
      <c r="H1114" t="s">
        <v>81</v>
      </c>
      <c r="L1114">
        <v>10</v>
      </c>
      <c r="M1114" t="s">
        <v>83</v>
      </c>
      <c r="O1114" t="s">
        <v>83</v>
      </c>
      <c r="P1114" t="s">
        <v>84</v>
      </c>
    </row>
    <row r="1115" spans="1:16">
      <c r="A1115" t="s">
        <v>783</v>
      </c>
      <c r="B1115" t="s">
        <v>77</v>
      </c>
      <c r="C1115" t="s">
        <v>654</v>
      </c>
      <c r="D1115" t="s">
        <v>654</v>
      </c>
      <c r="E1115" t="s">
        <v>660</v>
      </c>
      <c r="F1115" t="s">
        <v>660</v>
      </c>
      <c r="G1115" t="s">
        <v>98</v>
      </c>
      <c r="H1115" t="s">
        <v>81</v>
      </c>
      <c r="L1115">
        <v>11</v>
      </c>
      <c r="M1115" t="s">
        <v>83</v>
      </c>
      <c r="O1115" t="s">
        <v>83</v>
      </c>
      <c r="P1115" t="s">
        <v>84</v>
      </c>
    </row>
    <row r="1116" spans="1:16">
      <c r="A1116" t="s">
        <v>783</v>
      </c>
      <c r="B1116" t="s">
        <v>77</v>
      </c>
      <c r="C1116" t="s">
        <v>654</v>
      </c>
      <c r="D1116" t="s">
        <v>654</v>
      </c>
      <c r="E1116" t="s">
        <v>661</v>
      </c>
      <c r="F1116" t="s">
        <v>661</v>
      </c>
      <c r="G1116" t="s">
        <v>98</v>
      </c>
      <c r="H1116" t="s">
        <v>81</v>
      </c>
      <c r="L1116">
        <v>12</v>
      </c>
      <c r="M1116" t="s">
        <v>83</v>
      </c>
      <c r="O1116" t="s">
        <v>83</v>
      </c>
      <c r="P1116" t="s">
        <v>84</v>
      </c>
    </row>
    <row r="1117" spans="1:16">
      <c r="A1117" t="s">
        <v>783</v>
      </c>
      <c r="B1117" t="s">
        <v>77</v>
      </c>
      <c r="C1117" t="s">
        <v>654</v>
      </c>
      <c r="D1117" t="s">
        <v>654</v>
      </c>
      <c r="E1117" t="s">
        <v>662</v>
      </c>
      <c r="F1117" t="s">
        <v>662</v>
      </c>
      <c r="G1117" t="s">
        <v>98</v>
      </c>
      <c r="H1117" t="s">
        <v>81</v>
      </c>
      <c r="L1117">
        <v>13</v>
      </c>
      <c r="M1117" t="s">
        <v>83</v>
      </c>
      <c r="O1117" t="s">
        <v>83</v>
      </c>
      <c r="P1117" t="s">
        <v>84</v>
      </c>
    </row>
    <row r="1118" spans="1:16">
      <c r="A1118" t="s">
        <v>783</v>
      </c>
      <c r="B1118" t="s">
        <v>77</v>
      </c>
      <c r="C1118" t="s">
        <v>654</v>
      </c>
      <c r="D1118" t="s">
        <v>654</v>
      </c>
      <c r="E1118" t="s">
        <v>663</v>
      </c>
      <c r="F1118" t="s">
        <v>663</v>
      </c>
      <c r="G1118" t="s">
        <v>188</v>
      </c>
      <c r="H1118" t="s">
        <v>81</v>
      </c>
      <c r="L1118">
        <v>14</v>
      </c>
      <c r="M1118" t="s">
        <v>83</v>
      </c>
      <c r="O1118" t="s">
        <v>83</v>
      </c>
      <c r="P1118" t="s">
        <v>84</v>
      </c>
    </row>
    <row r="1119" spans="1:16">
      <c r="A1119" t="s">
        <v>783</v>
      </c>
      <c r="B1119" t="s">
        <v>77</v>
      </c>
      <c r="C1119" t="s">
        <v>654</v>
      </c>
      <c r="D1119" t="s">
        <v>654</v>
      </c>
      <c r="E1119" t="s">
        <v>112</v>
      </c>
      <c r="F1119" t="s">
        <v>112</v>
      </c>
      <c r="G1119" t="s">
        <v>113</v>
      </c>
      <c r="H1119" t="s">
        <v>81</v>
      </c>
      <c r="I1119" t="s">
        <v>114</v>
      </c>
      <c r="L1119">
        <v>15</v>
      </c>
      <c r="M1119" t="s">
        <v>83</v>
      </c>
      <c r="O1119" t="s">
        <v>83</v>
      </c>
      <c r="P1119" t="s">
        <v>84</v>
      </c>
    </row>
    <row r="1120" spans="1:16">
      <c r="A1120" t="s">
        <v>783</v>
      </c>
      <c r="B1120" t="s">
        <v>77</v>
      </c>
      <c r="C1120" t="s">
        <v>654</v>
      </c>
      <c r="D1120" t="s">
        <v>654</v>
      </c>
      <c r="E1120" t="s">
        <v>115</v>
      </c>
      <c r="F1120" t="s">
        <v>115</v>
      </c>
      <c r="G1120" t="s">
        <v>113</v>
      </c>
      <c r="H1120" t="s">
        <v>81</v>
      </c>
      <c r="I1120" t="s">
        <v>114</v>
      </c>
      <c r="L1120">
        <v>16</v>
      </c>
      <c r="M1120" t="s">
        <v>83</v>
      </c>
      <c r="O1120" t="s">
        <v>83</v>
      </c>
      <c r="P1120" t="s">
        <v>84</v>
      </c>
    </row>
    <row r="1121" spans="1:16">
      <c r="A1121" t="s">
        <v>783</v>
      </c>
      <c r="B1121" t="s">
        <v>77</v>
      </c>
      <c r="C1121" t="s">
        <v>654</v>
      </c>
      <c r="D1121" t="s">
        <v>654</v>
      </c>
      <c r="E1121" t="s">
        <v>327</v>
      </c>
      <c r="F1121" t="s">
        <v>327</v>
      </c>
      <c r="G1121" t="s">
        <v>90</v>
      </c>
      <c r="H1121" t="s">
        <v>81</v>
      </c>
      <c r="L1121">
        <v>17</v>
      </c>
      <c r="M1121" t="s">
        <v>83</v>
      </c>
      <c r="O1121" t="s">
        <v>83</v>
      </c>
      <c r="P1121" t="s">
        <v>84</v>
      </c>
    </row>
    <row r="1122" spans="1:16">
      <c r="A1122" t="s">
        <v>783</v>
      </c>
      <c r="B1122" t="s">
        <v>77</v>
      </c>
      <c r="C1122" t="s">
        <v>654</v>
      </c>
      <c r="D1122" t="s">
        <v>654</v>
      </c>
      <c r="E1122" t="s">
        <v>117</v>
      </c>
      <c r="F1122" t="s">
        <v>117</v>
      </c>
      <c r="G1122" t="s">
        <v>90</v>
      </c>
      <c r="H1122" t="s">
        <v>81</v>
      </c>
      <c r="L1122">
        <v>24</v>
      </c>
      <c r="M1122" t="s">
        <v>83</v>
      </c>
      <c r="O1122" t="s">
        <v>83</v>
      </c>
      <c r="P1122" t="s">
        <v>84</v>
      </c>
    </row>
    <row r="1123" spans="1:16">
      <c r="A1123" t="s">
        <v>783</v>
      </c>
      <c r="B1123" t="s">
        <v>77</v>
      </c>
      <c r="C1123" t="s">
        <v>654</v>
      </c>
      <c r="D1123" t="s">
        <v>654</v>
      </c>
      <c r="E1123" t="s">
        <v>328</v>
      </c>
      <c r="F1123" t="s">
        <v>328</v>
      </c>
      <c r="G1123" t="s">
        <v>90</v>
      </c>
      <c r="H1123" t="s">
        <v>81</v>
      </c>
      <c r="L1123">
        <v>25</v>
      </c>
      <c r="M1123" t="s">
        <v>83</v>
      </c>
      <c r="O1123" t="s">
        <v>83</v>
      </c>
      <c r="P1123" t="s">
        <v>84</v>
      </c>
    </row>
    <row r="1124" spans="1:16">
      <c r="A1124" t="s">
        <v>783</v>
      </c>
      <c r="B1124" t="s">
        <v>77</v>
      </c>
      <c r="C1124" t="s">
        <v>654</v>
      </c>
      <c r="D1124" t="s">
        <v>654</v>
      </c>
      <c r="E1124" t="s">
        <v>118</v>
      </c>
      <c r="F1124" t="s">
        <v>118</v>
      </c>
      <c r="G1124" t="s">
        <v>92</v>
      </c>
      <c r="H1124" t="s">
        <v>81</v>
      </c>
      <c r="L1124">
        <v>26</v>
      </c>
      <c r="M1124" t="s">
        <v>83</v>
      </c>
      <c r="O1124" t="s">
        <v>83</v>
      </c>
      <c r="P1124" t="s">
        <v>84</v>
      </c>
    </row>
    <row r="1125" spans="1:16">
      <c r="A1125" t="s">
        <v>783</v>
      </c>
      <c r="B1125" t="s">
        <v>77</v>
      </c>
      <c r="C1125" t="s">
        <v>654</v>
      </c>
      <c r="D1125" t="s">
        <v>654</v>
      </c>
      <c r="E1125" t="s">
        <v>784</v>
      </c>
      <c r="F1125" t="s">
        <v>784</v>
      </c>
      <c r="G1125" t="s">
        <v>80</v>
      </c>
      <c r="H1125" t="s">
        <v>81</v>
      </c>
      <c r="I1125" t="s">
        <v>82</v>
      </c>
      <c r="L1125">
        <v>27</v>
      </c>
      <c r="M1125" t="s">
        <v>83</v>
      </c>
      <c r="O1125" t="s">
        <v>83</v>
      </c>
      <c r="P1125" t="s">
        <v>84</v>
      </c>
    </row>
    <row r="1126" spans="1:16">
      <c r="A1126" t="s">
        <v>783</v>
      </c>
      <c r="B1126" t="s">
        <v>77</v>
      </c>
      <c r="C1126" t="s">
        <v>654</v>
      </c>
      <c r="D1126" t="s">
        <v>654</v>
      </c>
      <c r="E1126" t="s">
        <v>785</v>
      </c>
      <c r="F1126" t="s">
        <v>785</v>
      </c>
      <c r="G1126" t="s">
        <v>80</v>
      </c>
      <c r="H1126" t="s">
        <v>81</v>
      </c>
      <c r="I1126" t="s">
        <v>82</v>
      </c>
      <c r="L1126">
        <v>28</v>
      </c>
      <c r="M1126" t="s">
        <v>83</v>
      </c>
      <c r="O1126" t="s">
        <v>83</v>
      </c>
      <c r="P1126" t="s">
        <v>84</v>
      </c>
    </row>
    <row r="1127" spans="1:16">
      <c r="A1127" t="s">
        <v>783</v>
      </c>
      <c r="B1127" t="s">
        <v>77</v>
      </c>
      <c r="C1127" t="s">
        <v>654</v>
      </c>
      <c r="D1127" t="s">
        <v>654</v>
      </c>
      <c r="E1127" t="s">
        <v>786</v>
      </c>
      <c r="F1127" t="s">
        <v>786</v>
      </c>
      <c r="G1127" t="s">
        <v>787</v>
      </c>
      <c r="H1127" t="s">
        <v>81</v>
      </c>
      <c r="L1127">
        <v>29</v>
      </c>
      <c r="M1127" t="s">
        <v>83</v>
      </c>
      <c r="O1127" t="s">
        <v>83</v>
      </c>
      <c r="P1127" t="s">
        <v>84</v>
      </c>
    </row>
    <row r="1128" spans="1:16">
      <c r="A1128" t="s">
        <v>783</v>
      </c>
      <c r="B1128" t="s">
        <v>77</v>
      </c>
      <c r="C1128" t="s">
        <v>664</v>
      </c>
      <c r="D1128" t="s">
        <v>664</v>
      </c>
      <c r="E1128" t="s">
        <v>79</v>
      </c>
      <c r="F1128" t="s">
        <v>79</v>
      </c>
      <c r="G1128" t="s">
        <v>80</v>
      </c>
      <c r="H1128" t="s">
        <v>81</v>
      </c>
      <c r="I1128" t="s">
        <v>82</v>
      </c>
      <c r="L1128">
        <v>1</v>
      </c>
      <c r="M1128" t="s">
        <v>83</v>
      </c>
      <c r="O1128" t="s">
        <v>83</v>
      </c>
      <c r="P1128" t="s">
        <v>84</v>
      </c>
    </row>
    <row r="1129" spans="1:16">
      <c r="A1129" t="s">
        <v>783</v>
      </c>
      <c r="B1129" t="s">
        <v>77</v>
      </c>
      <c r="C1129" t="s">
        <v>664</v>
      </c>
      <c r="D1129" t="s">
        <v>664</v>
      </c>
      <c r="E1129" t="s">
        <v>86</v>
      </c>
      <c r="F1129" t="s">
        <v>86</v>
      </c>
      <c r="G1129" t="s">
        <v>80</v>
      </c>
      <c r="H1129" t="s">
        <v>81</v>
      </c>
      <c r="I1129" t="s">
        <v>82</v>
      </c>
      <c r="L1129">
        <v>2</v>
      </c>
      <c r="M1129" t="s">
        <v>83</v>
      </c>
      <c r="O1129" t="s">
        <v>83</v>
      </c>
      <c r="P1129" t="s">
        <v>84</v>
      </c>
    </row>
    <row r="1130" spans="1:16">
      <c r="A1130" t="s">
        <v>783</v>
      </c>
      <c r="B1130" t="s">
        <v>77</v>
      </c>
      <c r="C1130" t="s">
        <v>664</v>
      </c>
      <c r="D1130" t="s">
        <v>664</v>
      </c>
      <c r="E1130" t="s">
        <v>87</v>
      </c>
      <c r="F1130" t="s">
        <v>87</v>
      </c>
      <c r="G1130" t="s">
        <v>88</v>
      </c>
      <c r="H1130" t="s">
        <v>81</v>
      </c>
      <c r="J1130" t="s">
        <v>83</v>
      </c>
      <c r="L1130">
        <v>3</v>
      </c>
      <c r="M1130" t="s">
        <v>83</v>
      </c>
      <c r="O1130" t="s">
        <v>83</v>
      </c>
      <c r="P1130" t="s">
        <v>84</v>
      </c>
    </row>
    <row r="1131" spans="1:16">
      <c r="A1131" t="s">
        <v>783</v>
      </c>
      <c r="B1131" t="s">
        <v>77</v>
      </c>
      <c r="C1131" t="s">
        <v>664</v>
      </c>
      <c r="D1131" t="s">
        <v>664</v>
      </c>
      <c r="E1131" t="s">
        <v>89</v>
      </c>
      <c r="F1131" t="s">
        <v>89</v>
      </c>
      <c r="G1131" t="s">
        <v>90</v>
      </c>
      <c r="H1131" t="s">
        <v>81</v>
      </c>
      <c r="J1131" t="s">
        <v>83</v>
      </c>
      <c r="K1131" t="s">
        <v>83</v>
      </c>
      <c r="L1131">
        <v>4</v>
      </c>
      <c r="M1131" t="s">
        <v>83</v>
      </c>
      <c r="O1131" t="s">
        <v>83</v>
      </c>
      <c r="P1131" t="s">
        <v>84</v>
      </c>
    </row>
    <row r="1132" spans="1:16">
      <c r="A1132" t="s">
        <v>783</v>
      </c>
      <c r="B1132" t="s">
        <v>77</v>
      </c>
      <c r="C1132" t="s">
        <v>664</v>
      </c>
      <c r="D1132" t="s">
        <v>664</v>
      </c>
      <c r="E1132" t="s">
        <v>665</v>
      </c>
      <c r="F1132" t="s">
        <v>665</v>
      </c>
      <c r="G1132" t="s">
        <v>80</v>
      </c>
      <c r="H1132" t="s">
        <v>81</v>
      </c>
      <c r="I1132" t="s">
        <v>82</v>
      </c>
      <c r="L1132">
        <v>5</v>
      </c>
      <c r="M1132" t="s">
        <v>83</v>
      </c>
      <c r="O1132" t="s">
        <v>83</v>
      </c>
      <c r="P1132" t="s">
        <v>84</v>
      </c>
    </row>
    <row r="1133" spans="1:16">
      <c r="A1133" t="s">
        <v>783</v>
      </c>
      <c r="B1133" t="s">
        <v>77</v>
      </c>
      <c r="C1133" t="s">
        <v>664</v>
      </c>
      <c r="D1133" t="s">
        <v>664</v>
      </c>
      <c r="E1133" t="s">
        <v>666</v>
      </c>
      <c r="F1133" t="s">
        <v>666</v>
      </c>
      <c r="G1133" t="s">
        <v>90</v>
      </c>
      <c r="H1133" t="s">
        <v>81</v>
      </c>
      <c r="L1133">
        <v>6</v>
      </c>
      <c r="M1133" t="s">
        <v>83</v>
      </c>
      <c r="O1133" t="s">
        <v>83</v>
      </c>
      <c r="P1133" t="s">
        <v>84</v>
      </c>
    </row>
    <row r="1134" spans="1:16">
      <c r="A1134" t="s">
        <v>783</v>
      </c>
      <c r="B1134" t="s">
        <v>77</v>
      </c>
      <c r="C1134" t="s">
        <v>664</v>
      </c>
      <c r="D1134" t="s">
        <v>664</v>
      </c>
      <c r="E1134" t="s">
        <v>91</v>
      </c>
      <c r="F1134" t="s">
        <v>91</v>
      </c>
      <c r="G1134" t="s">
        <v>92</v>
      </c>
      <c r="H1134" t="s">
        <v>81</v>
      </c>
      <c r="J1134" t="s">
        <v>83</v>
      </c>
      <c r="L1134">
        <v>7</v>
      </c>
      <c r="M1134" t="s">
        <v>83</v>
      </c>
      <c r="O1134" t="s">
        <v>83</v>
      </c>
      <c r="P1134" t="s">
        <v>84</v>
      </c>
    </row>
    <row r="1135" spans="1:16">
      <c r="A1135" t="s">
        <v>783</v>
      </c>
      <c r="B1135" t="s">
        <v>77</v>
      </c>
      <c r="C1135" t="s">
        <v>664</v>
      </c>
      <c r="D1135" t="s">
        <v>664</v>
      </c>
      <c r="E1135" t="s">
        <v>667</v>
      </c>
      <c r="F1135" t="s">
        <v>667</v>
      </c>
      <c r="G1135" t="s">
        <v>94</v>
      </c>
      <c r="H1135" t="s">
        <v>81</v>
      </c>
      <c r="L1135">
        <v>8</v>
      </c>
      <c r="M1135" t="s">
        <v>83</v>
      </c>
      <c r="O1135" t="s">
        <v>83</v>
      </c>
      <c r="P1135" t="s">
        <v>84</v>
      </c>
    </row>
    <row r="1136" spans="1:16">
      <c r="A1136" t="s">
        <v>783</v>
      </c>
      <c r="B1136" t="s">
        <v>77</v>
      </c>
      <c r="C1136" t="s">
        <v>664</v>
      </c>
      <c r="D1136" t="s">
        <v>664</v>
      </c>
      <c r="E1136" t="s">
        <v>668</v>
      </c>
      <c r="F1136" t="s">
        <v>668</v>
      </c>
      <c r="G1136" t="s">
        <v>88</v>
      </c>
      <c r="H1136" t="s">
        <v>81</v>
      </c>
      <c r="L1136">
        <v>9</v>
      </c>
      <c r="M1136" t="s">
        <v>83</v>
      </c>
      <c r="O1136" t="s">
        <v>83</v>
      </c>
      <c r="P1136" t="s">
        <v>84</v>
      </c>
    </row>
    <row r="1137" spans="1:16">
      <c r="A1137" t="s">
        <v>783</v>
      </c>
      <c r="B1137" t="s">
        <v>77</v>
      </c>
      <c r="C1137" t="s">
        <v>664</v>
      </c>
      <c r="D1137" t="s">
        <v>664</v>
      </c>
      <c r="E1137" t="s">
        <v>669</v>
      </c>
      <c r="F1137" t="s">
        <v>669</v>
      </c>
      <c r="G1137" t="s">
        <v>94</v>
      </c>
      <c r="H1137" t="s">
        <v>81</v>
      </c>
      <c r="L1137">
        <v>10</v>
      </c>
      <c r="M1137" t="s">
        <v>83</v>
      </c>
      <c r="O1137" t="s">
        <v>83</v>
      </c>
      <c r="P1137" t="s">
        <v>84</v>
      </c>
    </row>
    <row r="1138" spans="1:16">
      <c r="A1138" t="s">
        <v>783</v>
      </c>
      <c r="B1138" t="s">
        <v>77</v>
      </c>
      <c r="C1138" t="s">
        <v>664</v>
      </c>
      <c r="D1138" t="s">
        <v>664</v>
      </c>
      <c r="E1138" t="s">
        <v>670</v>
      </c>
      <c r="F1138" t="s">
        <v>670</v>
      </c>
      <c r="G1138" t="s">
        <v>98</v>
      </c>
      <c r="H1138" t="s">
        <v>81</v>
      </c>
      <c r="L1138">
        <v>11</v>
      </c>
      <c r="M1138" t="s">
        <v>83</v>
      </c>
      <c r="O1138" t="s">
        <v>83</v>
      </c>
      <c r="P1138" t="s">
        <v>84</v>
      </c>
    </row>
    <row r="1139" spans="1:16">
      <c r="A1139" t="s">
        <v>783</v>
      </c>
      <c r="B1139" t="s">
        <v>77</v>
      </c>
      <c r="C1139" t="s">
        <v>664</v>
      </c>
      <c r="D1139" t="s">
        <v>664</v>
      </c>
      <c r="E1139" t="s">
        <v>671</v>
      </c>
      <c r="F1139" t="s">
        <v>671</v>
      </c>
      <c r="G1139" t="s">
        <v>98</v>
      </c>
      <c r="H1139" t="s">
        <v>81</v>
      </c>
      <c r="L1139">
        <v>12</v>
      </c>
      <c r="M1139" t="s">
        <v>83</v>
      </c>
      <c r="O1139" t="s">
        <v>83</v>
      </c>
      <c r="P1139" t="s">
        <v>84</v>
      </c>
    </row>
    <row r="1140" spans="1:16">
      <c r="A1140" t="s">
        <v>783</v>
      </c>
      <c r="B1140" t="s">
        <v>77</v>
      </c>
      <c r="C1140" t="s">
        <v>664</v>
      </c>
      <c r="D1140" t="s">
        <v>664</v>
      </c>
      <c r="E1140" t="s">
        <v>672</v>
      </c>
      <c r="F1140" t="s">
        <v>672</v>
      </c>
      <c r="G1140" t="s">
        <v>98</v>
      </c>
      <c r="H1140" t="s">
        <v>81</v>
      </c>
      <c r="L1140">
        <v>13</v>
      </c>
      <c r="M1140" t="s">
        <v>83</v>
      </c>
      <c r="O1140" t="s">
        <v>83</v>
      </c>
      <c r="P1140" t="s">
        <v>84</v>
      </c>
    </row>
    <row r="1141" spans="1:16">
      <c r="A1141" t="s">
        <v>783</v>
      </c>
      <c r="B1141" t="s">
        <v>77</v>
      </c>
      <c r="C1141" t="s">
        <v>664</v>
      </c>
      <c r="D1141" t="s">
        <v>664</v>
      </c>
      <c r="E1141" t="s">
        <v>673</v>
      </c>
      <c r="F1141" t="s">
        <v>673</v>
      </c>
      <c r="G1141" t="s">
        <v>188</v>
      </c>
      <c r="H1141" t="s">
        <v>81</v>
      </c>
      <c r="L1141">
        <v>14</v>
      </c>
      <c r="M1141" t="s">
        <v>83</v>
      </c>
      <c r="O1141" t="s">
        <v>83</v>
      </c>
      <c r="P1141" t="s">
        <v>84</v>
      </c>
    </row>
    <row r="1142" spans="1:16">
      <c r="A1142" t="s">
        <v>783</v>
      </c>
      <c r="B1142" t="s">
        <v>77</v>
      </c>
      <c r="C1142" t="s">
        <v>664</v>
      </c>
      <c r="D1142" t="s">
        <v>664</v>
      </c>
      <c r="E1142" t="s">
        <v>112</v>
      </c>
      <c r="F1142" t="s">
        <v>112</v>
      </c>
      <c r="G1142" t="s">
        <v>113</v>
      </c>
      <c r="H1142" t="s">
        <v>81</v>
      </c>
      <c r="I1142" t="s">
        <v>114</v>
      </c>
      <c r="L1142">
        <v>15</v>
      </c>
      <c r="M1142" t="s">
        <v>83</v>
      </c>
      <c r="O1142" t="s">
        <v>83</v>
      </c>
      <c r="P1142" t="s">
        <v>84</v>
      </c>
    </row>
    <row r="1143" spans="1:16">
      <c r="A1143" t="s">
        <v>783</v>
      </c>
      <c r="B1143" t="s">
        <v>77</v>
      </c>
      <c r="C1143" t="s">
        <v>664</v>
      </c>
      <c r="D1143" t="s">
        <v>664</v>
      </c>
      <c r="E1143" t="s">
        <v>115</v>
      </c>
      <c r="F1143" t="s">
        <v>115</v>
      </c>
      <c r="G1143" t="s">
        <v>113</v>
      </c>
      <c r="H1143" t="s">
        <v>81</v>
      </c>
      <c r="I1143" t="s">
        <v>114</v>
      </c>
      <c r="L1143">
        <v>16</v>
      </c>
      <c r="M1143" t="s">
        <v>83</v>
      </c>
      <c r="O1143" t="s">
        <v>83</v>
      </c>
      <c r="P1143" t="s">
        <v>84</v>
      </c>
    </row>
    <row r="1144" spans="1:16">
      <c r="A1144" t="s">
        <v>783</v>
      </c>
      <c r="B1144" t="s">
        <v>77</v>
      </c>
      <c r="C1144" t="s">
        <v>664</v>
      </c>
      <c r="D1144" t="s">
        <v>664</v>
      </c>
      <c r="E1144" t="s">
        <v>327</v>
      </c>
      <c r="F1144" t="s">
        <v>327</v>
      </c>
      <c r="G1144" t="s">
        <v>90</v>
      </c>
      <c r="H1144" t="s">
        <v>81</v>
      </c>
      <c r="L1144">
        <v>17</v>
      </c>
      <c r="M1144" t="s">
        <v>83</v>
      </c>
      <c r="O1144" t="s">
        <v>83</v>
      </c>
      <c r="P1144" t="s">
        <v>84</v>
      </c>
    </row>
    <row r="1145" spans="1:16">
      <c r="A1145" t="s">
        <v>783</v>
      </c>
      <c r="B1145" t="s">
        <v>77</v>
      </c>
      <c r="C1145" t="s">
        <v>664</v>
      </c>
      <c r="D1145" t="s">
        <v>664</v>
      </c>
      <c r="E1145" t="s">
        <v>117</v>
      </c>
      <c r="F1145" t="s">
        <v>117</v>
      </c>
      <c r="G1145" t="s">
        <v>90</v>
      </c>
      <c r="H1145" t="s">
        <v>81</v>
      </c>
      <c r="L1145">
        <v>24</v>
      </c>
      <c r="M1145" t="s">
        <v>83</v>
      </c>
      <c r="O1145" t="s">
        <v>83</v>
      </c>
      <c r="P1145" t="s">
        <v>84</v>
      </c>
    </row>
    <row r="1146" spans="1:16">
      <c r="A1146" t="s">
        <v>783</v>
      </c>
      <c r="B1146" t="s">
        <v>77</v>
      </c>
      <c r="C1146" t="s">
        <v>664</v>
      </c>
      <c r="D1146" t="s">
        <v>664</v>
      </c>
      <c r="E1146" t="s">
        <v>328</v>
      </c>
      <c r="F1146" t="s">
        <v>328</v>
      </c>
      <c r="G1146" t="s">
        <v>90</v>
      </c>
      <c r="H1146" t="s">
        <v>81</v>
      </c>
      <c r="L1146">
        <v>25</v>
      </c>
      <c r="M1146" t="s">
        <v>83</v>
      </c>
      <c r="O1146" t="s">
        <v>83</v>
      </c>
      <c r="P1146" t="s">
        <v>84</v>
      </c>
    </row>
    <row r="1147" spans="1:16">
      <c r="A1147" t="s">
        <v>783</v>
      </c>
      <c r="B1147" t="s">
        <v>77</v>
      </c>
      <c r="C1147" t="s">
        <v>664</v>
      </c>
      <c r="D1147" t="s">
        <v>664</v>
      </c>
      <c r="E1147" t="s">
        <v>118</v>
      </c>
      <c r="F1147" t="s">
        <v>118</v>
      </c>
      <c r="G1147" t="s">
        <v>92</v>
      </c>
      <c r="H1147" t="s">
        <v>81</v>
      </c>
      <c r="L1147">
        <v>26</v>
      </c>
      <c r="M1147" t="s">
        <v>83</v>
      </c>
      <c r="O1147" t="s">
        <v>83</v>
      </c>
      <c r="P1147" t="s">
        <v>84</v>
      </c>
    </row>
    <row r="1148" spans="1:16">
      <c r="A1148" t="s">
        <v>783</v>
      </c>
      <c r="B1148" t="s">
        <v>77</v>
      </c>
      <c r="C1148" t="s">
        <v>664</v>
      </c>
      <c r="D1148" t="s">
        <v>664</v>
      </c>
      <c r="E1148" t="s">
        <v>784</v>
      </c>
      <c r="F1148" t="s">
        <v>784</v>
      </c>
      <c r="G1148" t="s">
        <v>80</v>
      </c>
      <c r="H1148" t="s">
        <v>81</v>
      </c>
      <c r="I1148" t="s">
        <v>82</v>
      </c>
      <c r="L1148">
        <v>27</v>
      </c>
      <c r="M1148" t="s">
        <v>83</v>
      </c>
      <c r="O1148" t="s">
        <v>83</v>
      </c>
      <c r="P1148" t="s">
        <v>84</v>
      </c>
    </row>
    <row r="1149" spans="1:16">
      <c r="A1149" t="s">
        <v>783</v>
      </c>
      <c r="B1149" t="s">
        <v>77</v>
      </c>
      <c r="C1149" t="s">
        <v>664</v>
      </c>
      <c r="D1149" t="s">
        <v>664</v>
      </c>
      <c r="E1149" t="s">
        <v>785</v>
      </c>
      <c r="F1149" t="s">
        <v>785</v>
      </c>
      <c r="G1149" t="s">
        <v>80</v>
      </c>
      <c r="H1149" t="s">
        <v>81</v>
      </c>
      <c r="I1149" t="s">
        <v>82</v>
      </c>
      <c r="L1149">
        <v>28</v>
      </c>
      <c r="M1149" t="s">
        <v>83</v>
      </c>
      <c r="O1149" t="s">
        <v>83</v>
      </c>
      <c r="P1149" t="s">
        <v>84</v>
      </c>
    </row>
    <row r="1150" spans="1:16">
      <c r="A1150" t="s">
        <v>783</v>
      </c>
      <c r="B1150" t="s">
        <v>77</v>
      </c>
      <c r="C1150" t="s">
        <v>664</v>
      </c>
      <c r="D1150" t="s">
        <v>664</v>
      </c>
      <c r="E1150" t="s">
        <v>786</v>
      </c>
      <c r="F1150" t="s">
        <v>786</v>
      </c>
      <c r="G1150" t="s">
        <v>787</v>
      </c>
      <c r="H1150" t="s">
        <v>81</v>
      </c>
      <c r="L1150">
        <v>29</v>
      </c>
      <c r="M1150" t="s">
        <v>83</v>
      </c>
      <c r="O1150" t="s">
        <v>83</v>
      </c>
      <c r="P1150" t="s">
        <v>84</v>
      </c>
    </row>
    <row r="1151" spans="1:16">
      <c r="A1151" t="s">
        <v>783</v>
      </c>
      <c r="B1151" t="s">
        <v>77</v>
      </c>
      <c r="C1151" t="s">
        <v>674</v>
      </c>
      <c r="D1151" t="s">
        <v>674</v>
      </c>
      <c r="E1151" t="s">
        <v>79</v>
      </c>
      <c r="F1151" t="s">
        <v>79</v>
      </c>
      <c r="G1151" t="s">
        <v>80</v>
      </c>
      <c r="H1151" t="s">
        <v>81</v>
      </c>
      <c r="I1151" t="s">
        <v>82</v>
      </c>
      <c r="L1151">
        <v>1</v>
      </c>
      <c r="M1151" t="s">
        <v>83</v>
      </c>
      <c r="O1151" t="s">
        <v>83</v>
      </c>
      <c r="P1151" t="s">
        <v>84</v>
      </c>
    </row>
    <row r="1152" spans="1:16">
      <c r="A1152" t="s">
        <v>783</v>
      </c>
      <c r="B1152" t="s">
        <v>77</v>
      </c>
      <c r="C1152" t="s">
        <v>674</v>
      </c>
      <c r="D1152" t="s">
        <v>674</v>
      </c>
      <c r="E1152" t="s">
        <v>86</v>
      </c>
      <c r="F1152" t="s">
        <v>86</v>
      </c>
      <c r="G1152" t="s">
        <v>80</v>
      </c>
      <c r="H1152" t="s">
        <v>81</v>
      </c>
      <c r="I1152" t="s">
        <v>82</v>
      </c>
      <c r="L1152">
        <v>2</v>
      </c>
      <c r="M1152" t="s">
        <v>83</v>
      </c>
      <c r="O1152" t="s">
        <v>83</v>
      </c>
      <c r="P1152" t="s">
        <v>84</v>
      </c>
    </row>
    <row r="1153" spans="1:16">
      <c r="A1153" t="s">
        <v>783</v>
      </c>
      <c r="B1153" t="s">
        <v>77</v>
      </c>
      <c r="C1153" t="s">
        <v>674</v>
      </c>
      <c r="D1153" t="s">
        <v>674</v>
      </c>
      <c r="E1153" t="s">
        <v>87</v>
      </c>
      <c r="F1153" t="s">
        <v>87</v>
      </c>
      <c r="G1153" t="s">
        <v>88</v>
      </c>
      <c r="H1153" t="s">
        <v>81</v>
      </c>
      <c r="J1153" t="s">
        <v>83</v>
      </c>
      <c r="L1153">
        <v>3</v>
      </c>
      <c r="M1153" t="s">
        <v>83</v>
      </c>
      <c r="O1153" t="s">
        <v>83</v>
      </c>
      <c r="P1153" t="s">
        <v>84</v>
      </c>
    </row>
    <row r="1154" spans="1:16">
      <c r="A1154" t="s">
        <v>783</v>
      </c>
      <c r="B1154" t="s">
        <v>77</v>
      </c>
      <c r="C1154" t="s">
        <v>674</v>
      </c>
      <c r="D1154" t="s">
        <v>674</v>
      </c>
      <c r="E1154" t="s">
        <v>89</v>
      </c>
      <c r="F1154" t="s">
        <v>89</v>
      </c>
      <c r="G1154" t="s">
        <v>90</v>
      </c>
      <c r="H1154" t="s">
        <v>81</v>
      </c>
      <c r="J1154" t="s">
        <v>83</v>
      </c>
      <c r="K1154" t="s">
        <v>83</v>
      </c>
      <c r="L1154">
        <v>4</v>
      </c>
      <c r="M1154" t="s">
        <v>83</v>
      </c>
      <c r="O1154" t="s">
        <v>83</v>
      </c>
      <c r="P1154" t="s">
        <v>84</v>
      </c>
    </row>
    <row r="1155" spans="1:16">
      <c r="A1155" t="s">
        <v>783</v>
      </c>
      <c r="B1155" t="s">
        <v>77</v>
      </c>
      <c r="C1155" t="s">
        <v>674</v>
      </c>
      <c r="D1155" t="s">
        <v>674</v>
      </c>
      <c r="E1155" t="s">
        <v>675</v>
      </c>
      <c r="F1155" t="s">
        <v>675</v>
      </c>
      <c r="G1155" t="s">
        <v>80</v>
      </c>
      <c r="H1155" t="s">
        <v>81</v>
      </c>
      <c r="I1155" t="s">
        <v>82</v>
      </c>
      <c r="L1155">
        <v>5</v>
      </c>
      <c r="M1155" t="s">
        <v>83</v>
      </c>
      <c r="O1155" t="s">
        <v>83</v>
      </c>
      <c r="P1155" t="s">
        <v>84</v>
      </c>
    </row>
    <row r="1156" spans="1:16">
      <c r="A1156" t="s">
        <v>783</v>
      </c>
      <c r="B1156" t="s">
        <v>77</v>
      </c>
      <c r="C1156" t="s">
        <v>674</v>
      </c>
      <c r="D1156" t="s">
        <v>674</v>
      </c>
      <c r="E1156" t="s">
        <v>676</v>
      </c>
      <c r="F1156" t="s">
        <v>676</v>
      </c>
      <c r="G1156" t="s">
        <v>90</v>
      </c>
      <c r="H1156" t="s">
        <v>81</v>
      </c>
      <c r="L1156">
        <v>6</v>
      </c>
      <c r="M1156" t="s">
        <v>83</v>
      </c>
      <c r="O1156" t="s">
        <v>83</v>
      </c>
      <c r="P1156" t="s">
        <v>84</v>
      </c>
    </row>
    <row r="1157" spans="1:16">
      <c r="A1157" t="s">
        <v>783</v>
      </c>
      <c r="B1157" t="s">
        <v>77</v>
      </c>
      <c r="C1157" t="s">
        <v>674</v>
      </c>
      <c r="D1157" t="s">
        <v>674</v>
      </c>
      <c r="E1157" t="s">
        <v>91</v>
      </c>
      <c r="F1157" t="s">
        <v>91</v>
      </c>
      <c r="G1157" t="s">
        <v>92</v>
      </c>
      <c r="H1157" t="s">
        <v>81</v>
      </c>
      <c r="J1157" t="s">
        <v>83</v>
      </c>
      <c r="L1157">
        <v>7</v>
      </c>
      <c r="M1157" t="s">
        <v>83</v>
      </c>
      <c r="O1157" t="s">
        <v>83</v>
      </c>
      <c r="P1157" t="s">
        <v>84</v>
      </c>
    </row>
    <row r="1158" spans="1:16">
      <c r="A1158" t="s">
        <v>783</v>
      </c>
      <c r="B1158" t="s">
        <v>77</v>
      </c>
      <c r="C1158" t="s">
        <v>674</v>
      </c>
      <c r="D1158" t="s">
        <v>674</v>
      </c>
      <c r="E1158" t="s">
        <v>677</v>
      </c>
      <c r="F1158" t="s">
        <v>677</v>
      </c>
      <c r="G1158" t="s">
        <v>94</v>
      </c>
      <c r="H1158" t="s">
        <v>81</v>
      </c>
      <c r="L1158">
        <v>8</v>
      </c>
      <c r="M1158" t="s">
        <v>83</v>
      </c>
      <c r="O1158" t="s">
        <v>83</v>
      </c>
      <c r="P1158" t="s">
        <v>84</v>
      </c>
    </row>
    <row r="1159" spans="1:16">
      <c r="A1159" t="s">
        <v>783</v>
      </c>
      <c r="B1159" t="s">
        <v>77</v>
      </c>
      <c r="C1159" t="s">
        <v>674</v>
      </c>
      <c r="D1159" t="s">
        <v>674</v>
      </c>
      <c r="E1159" t="s">
        <v>678</v>
      </c>
      <c r="F1159" t="s">
        <v>678</v>
      </c>
      <c r="G1159" t="s">
        <v>88</v>
      </c>
      <c r="H1159" t="s">
        <v>81</v>
      </c>
      <c r="L1159">
        <v>9</v>
      </c>
      <c r="M1159" t="s">
        <v>83</v>
      </c>
      <c r="O1159" t="s">
        <v>83</v>
      </c>
      <c r="P1159" t="s">
        <v>84</v>
      </c>
    </row>
    <row r="1160" spans="1:16">
      <c r="A1160" t="s">
        <v>783</v>
      </c>
      <c r="B1160" t="s">
        <v>77</v>
      </c>
      <c r="C1160" t="s">
        <v>674</v>
      </c>
      <c r="D1160" t="s">
        <v>674</v>
      </c>
      <c r="E1160" t="s">
        <v>679</v>
      </c>
      <c r="F1160" t="s">
        <v>679</v>
      </c>
      <c r="G1160" t="s">
        <v>94</v>
      </c>
      <c r="H1160" t="s">
        <v>81</v>
      </c>
      <c r="L1160">
        <v>10</v>
      </c>
      <c r="M1160" t="s">
        <v>83</v>
      </c>
      <c r="O1160" t="s">
        <v>83</v>
      </c>
      <c r="P1160" t="s">
        <v>84</v>
      </c>
    </row>
    <row r="1161" spans="1:16">
      <c r="A1161" t="s">
        <v>783</v>
      </c>
      <c r="B1161" t="s">
        <v>77</v>
      </c>
      <c r="C1161" t="s">
        <v>674</v>
      </c>
      <c r="D1161" t="s">
        <v>674</v>
      </c>
      <c r="E1161" t="s">
        <v>680</v>
      </c>
      <c r="F1161" t="s">
        <v>680</v>
      </c>
      <c r="G1161" t="s">
        <v>98</v>
      </c>
      <c r="H1161" t="s">
        <v>81</v>
      </c>
      <c r="L1161">
        <v>11</v>
      </c>
      <c r="M1161" t="s">
        <v>83</v>
      </c>
      <c r="O1161" t="s">
        <v>83</v>
      </c>
      <c r="P1161" t="s">
        <v>84</v>
      </c>
    </row>
    <row r="1162" spans="1:16">
      <c r="A1162" t="s">
        <v>783</v>
      </c>
      <c r="B1162" t="s">
        <v>77</v>
      </c>
      <c r="C1162" t="s">
        <v>674</v>
      </c>
      <c r="D1162" t="s">
        <v>674</v>
      </c>
      <c r="E1162" t="s">
        <v>681</v>
      </c>
      <c r="F1162" t="s">
        <v>681</v>
      </c>
      <c r="G1162" t="s">
        <v>80</v>
      </c>
      <c r="H1162" t="s">
        <v>81</v>
      </c>
      <c r="I1162" t="s">
        <v>82</v>
      </c>
      <c r="L1162">
        <v>12</v>
      </c>
      <c r="M1162" t="s">
        <v>83</v>
      </c>
      <c r="O1162" t="s">
        <v>83</v>
      </c>
      <c r="P1162" t="s">
        <v>84</v>
      </c>
    </row>
    <row r="1163" spans="1:16">
      <c r="A1163" t="s">
        <v>783</v>
      </c>
      <c r="B1163" t="s">
        <v>77</v>
      </c>
      <c r="C1163" t="s">
        <v>674</v>
      </c>
      <c r="D1163" t="s">
        <v>674</v>
      </c>
      <c r="E1163" t="s">
        <v>682</v>
      </c>
      <c r="F1163" t="s">
        <v>682</v>
      </c>
      <c r="G1163" t="s">
        <v>90</v>
      </c>
      <c r="H1163" t="s">
        <v>81</v>
      </c>
      <c r="L1163">
        <v>13</v>
      </c>
      <c r="M1163" t="s">
        <v>83</v>
      </c>
      <c r="O1163" t="s">
        <v>83</v>
      </c>
      <c r="P1163" t="s">
        <v>84</v>
      </c>
    </row>
    <row r="1164" spans="1:16">
      <c r="A1164" t="s">
        <v>783</v>
      </c>
      <c r="B1164" t="s">
        <v>77</v>
      </c>
      <c r="C1164" t="s">
        <v>674</v>
      </c>
      <c r="D1164" t="s">
        <v>674</v>
      </c>
      <c r="E1164" t="s">
        <v>683</v>
      </c>
      <c r="F1164" t="s">
        <v>683</v>
      </c>
      <c r="G1164" t="s">
        <v>98</v>
      </c>
      <c r="H1164" t="s">
        <v>81</v>
      </c>
      <c r="L1164">
        <v>14</v>
      </c>
      <c r="M1164" t="s">
        <v>83</v>
      </c>
      <c r="O1164" t="s">
        <v>83</v>
      </c>
      <c r="P1164" t="s">
        <v>84</v>
      </c>
    </row>
    <row r="1165" spans="1:16">
      <c r="A1165" t="s">
        <v>783</v>
      </c>
      <c r="B1165" t="s">
        <v>77</v>
      </c>
      <c r="C1165" t="s">
        <v>674</v>
      </c>
      <c r="D1165" t="s">
        <v>674</v>
      </c>
      <c r="E1165" t="s">
        <v>684</v>
      </c>
      <c r="F1165" t="s">
        <v>684</v>
      </c>
      <c r="G1165" t="s">
        <v>98</v>
      </c>
      <c r="H1165" t="s">
        <v>81</v>
      </c>
      <c r="L1165">
        <v>15</v>
      </c>
      <c r="M1165" t="s">
        <v>83</v>
      </c>
      <c r="O1165" t="s">
        <v>83</v>
      </c>
      <c r="P1165" t="s">
        <v>84</v>
      </c>
    </row>
    <row r="1166" spans="1:16">
      <c r="A1166" t="s">
        <v>783</v>
      </c>
      <c r="B1166" t="s">
        <v>77</v>
      </c>
      <c r="C1166" t="s">
        <v>674</v>
      </c>
      <c r="D1166" t="s">
        <v>674</v>
      </c>
      <c r="E1166" t="s">
        <v>112</v>
      </c>
      <c r="F1166" t="s">
        <v>112</v>
      </c>
      <c r="G1166" t="s">
        <v>113</v>
      </c>
      <c r="H1166" t="s">
        <v>81</v>
      </c>
      <c r="I1166" t="s">
        <v>114</v>
      </c>
      <c r="L1166">
        <v>16</v>
      </c>
      <c r="M1166" t="s">
        <v>83</v>
      </c>
      <c r="O1166" t="s">
        <v>83</v>
      </c>
      <c r="P1166" t="s">
        <v>84</v>
      </c>
    </row>
    <row r="1167" spans="1:16">
      <c r="A1167" t="s">
        <v>783</v>
      </c>
      <c r="B1167" t="s">
        <v>77</v>
      </c>
      <c r="C1167" t="s">
        <v>674</v>
      </c>
      <c r="D1167" t="s">
        <v>674</v>
      </c>
      <c r="E1167" t="s">
        <v>115</v>
      </c>
      <c r="F1167" t="s">
        <v>115</v>
      </c>
      <c r="G1167" t="s">
        <v>113</v>
      </c>
      <c r="H1167" t="s">
        <v>81</v>
      </c>
      <c r="I1167" t="s">
        <v>114</v>
      </c>
      <c r="L1167">
        <v>17</v>
      </c>
      <c r="M1167" t="s">
        <v>83</v>
      </c>
      <c r="O1167" t="s">
        <v>83</v>
      </c>
      <c r="P1167" t="s">
        <v>84</v>
      </c>
    </row>
    <row r="1168" spans="1:16">
      <c r="A1168" t="s">
        <v>783</v>
      </c>
      <c r="B1168" t="s">
        <v>77</v>
      </c>
      <c r="C1168" t="s">
        <v>674</v>
      </c>
      <c r="D1168" t="s">
        <v>674</v>
      </c>
      <c r="E1168" t="s">
        <v>117</v>
      </c>
      <c r="F1168" t="s">
        <v>117</v>
      </c>
      <c r="G1168" t="s">
        <v>90</v>
      </c>
      <c r="H1168" t="s">
        <v>81</v>
      </c>
      <c r="L1168">
        <v>24</v>
      </c>
      <c r="M1168" t="s">
        <v>83</v>
      </c>
      <c r="O1168" t="s">
        <v>83</v>
      </c>
      <c r="P1168" t="s">
        <v>84</v>
      </c>
    </row>
    <row r="1169" spans="1:16">
      <c r="A1169" t="s">
        <v>783</v>
      </c>
      <c r="B1169" t="s">
        <v>77</v>
      </c>
      <c r="C1169" t="s">
        <v>674</v>
      </c>
      <c r="D1169" t="s">
        <v>674</v>
      </c>
      <c r="E1169" t="s">
        <v>327</v>
      </c>
      <c r="F1169" t="s">
        <v>327</v>
      </c>
      <c r="G1169" t="s">
        <v>90</v>
      </c>
      <c r="H1169" t="s">
        <v>81</v>
      </c>
      <c r="L1169">
        <v>25</v>
      </c>
      <c r="M1169" t="s">
        <v>83</v>
      </c>
      <c r="O1169" t="s">
        <v>83</v>
      </c>
      <c r="P1169" t="s">
        <v>84</v>
      </c>
    </row>
    <row r="1170" spans="1:16">
      <c r="A1170" t="s">
        <v>783</v>
      </c>
      <c r="B1170" t="s">
        <v>77</v>
      </c>
      <c r="C1170" t="s">
        <v>674</v>
      </c>
      <c r="D1170" t="s">
        <v>674</v>
      </c>
      <c r="E1170" t="s">
        <v>328</v>
      </c>
      <c r="F1170" t="s">
        <v>328</v>
      </c>
      <c r="G1170" t="s">
        <v>90</v>
      </c>
      <c r="H1170" t="s">
        <v>81</v>
      </c>
      <c r="L1170">
        <v>26</v>
      </c>
      <c r="M1170" t="s">
        <v>83</v>
      </c>
      <c r="O1170" t="s">
        <v>83</v>
      </c>
      <c r="P1170" t="s">
        <v>84</v>
      </c>
    </row>
    <row r="1171" spans="1:16">
      <c r="A1171" t="s">
        <v>783</v>
      </c>
      <c r="B1171" t="s">
        <v>77</v>
      </c>
      <c r="C1171" t="s">
        <v>674</v>
      </c>
      <c r="D1171" t="s">
        <v>674</v>
      </c>
      <c r="E1171" t="s">
        <v>118</v>
      </c>
      <c r="F1171" t="s">
        <v>118</v>
      </c>
      <c r="G1171" t="s">
        <v>92</v>
      </c>
      <c r="H1171" t="s">
        <v>81</v>
      </c>
      <c r="L1171">
        <v>27</v>
      </c>
      <c r="M1171" t="s">
        <v>83</v>
      </c>
      <c r="O1171" t="s">
        <v>83</v>
      </c>
      <c r="P1171" t="s">
        <v>84</v>
      </c>
    </row>
    <row r="1172" spans="1:16">
      <c r="A1172" t="s">
        <v>783</v>
      </c>
      <c r="B1172" t="s">
        <v>77</v>
      </c>
      <c r="C1172" t="s">
        <v>674</v>
      </c>
      <c r="D1172" t="s">
        <v>674</v>
      </c>
      <c r="E1172" t="s">
        <v>784</v>
      </c>
      <c r="F1172" t="s">
        <v>784</v>
      </c>
      <c r="G1172" t="s">
        <v>80</v>
      </c>
      <c r="H1172" t="s">
        <v>81</v>
      </c>
      <c r="I1172" t="s">
        <v>82</v>
      </c>
      <c r="L1172">
        <v>28</v>
      </c>
      <c r="M1172" t="s">
        <v>83</v>
      </c>
      <c r="O1172" t="s">
        <v>83</v>
      </c>
      <c r="P1172" t="s">
        <v>84</v>
      </c>
    </row>
    <row r="1173" spans="1:16">
      <c r="A1173" t="s">
        <v>783</v>
      </c>
      <c r="B1173" t="s">
        <v>77</v>
      </c>
      <c r="C1173" t="s">
        <v>674</v>
      </c>
      <c r="D1173" t="s">
        <v>674</v>
      </c>
      <c r="E1173" t="s">
        <v>785</v>
      </c>
      <c r="F1173" t="s">
        <v>785</v>
      </c>
      <c r="G1173" t="s">
        <v>80</v>
      </c>
      <c r="H1173" t="s">
        <v>81</v>
      </c>
      <c r="I1173" t="s">
        <v>82</v>
      </c>
      <c r="L1173">
        <v>29</v>
      </c>
      <c r="M1173" t="s">
        <v>83</v>
      </c>
      <c r="O1173" t="s">
        <v>83</v>
      </c>
      <c r="P1173" t="s">
        <v>84</v>
      </c>
    </row>
    <row r="1174" spans="1:16">
      <c r="A1174" t="s">
        <v>783</v>
      </c>
      <c r="B1174" t="s">
        <v>77</v>
      </c>
      <c r="C1174" t="s">
        <v>674</v>
      </c>
      <c r="D1174" t="s">
        <v>674</v>
      </c>
      <c r="E1174" t="s">
        <v>786</v>
      </c>
      <c r="F1174" t="s">
        <v>786</v>
      </c>
      <c r="G1174" t="s">
        <v>787</v>
      </c>
      <c r="H1174" t="s">
        <v>81</v>
      </c>
      <c r="L1174">
        <v>30</v>
      </c>
      <c r="M1174" t="s">
        <v>83</v>
      </c>
      <c r="O1174" t="s">
        <v>83</v>
      </c>
      <c r="P1174" t="s">
        <v>84</v>
      </c>
    </row>
    <row r="1175" spans="1:16">
      <c r="A1175" t="s">
        <v>783</v>
      </c>
      <c r="B1175" t="s">
        <v>77</v>
      </c>
      <c r="C1175" t="s">
        <v>685</v>
      </c>
      <c r="D1175" t="s">
        <v>685</v>
      </c>
      <c r="E1175" t="s">
        <v>79</v>
      </c>
      <c r="F1175" t="s">
        <v>79</v>
      </c>
      <c r="G1175" t="s">
        <v>80</v>
      </c>
      <c r="H1175" t="s">
        <v>81</v>
      </c>
      <c r="I1175" t="s">
        <v>82</v>
      </c>
      <c r="L1175">
        <v>1</v>
      </c>
      <c r="M1175" t="s">
        <v>83</v>
      </c>
      <c r="O1175" t="s">
        <v>83</v>
      </c>
      <c r="P1175" t="s">
        <v>84</v>
      </c>
    </row>
    <row r="1176" spans="1:16">
      <c r="A1176" t="s">
        <v>783</v>
      </c>
      <c r="B1176" t="s">
        <v>77</v>
      </c>
      <c r="C1176" t="s">
        <v>685</v>
      </c>
      <c r="D1176" t="s">
        <v>685</v>
      </c>
      <c r="E1176" t="s">
        <v>86</v>
      </c>
      <c r="F1176" t="s">
        <v>86</v>
      </c>
      <c r="G1176" t="s">
        <v>80</v>
      </c>
      <c r="H1176" t="s">
        <v>81</v>
      </c>
      <c r="I1176" t="s">
        <v>82</v>
      </c>
      <c r="L1176">
        <v>2</v>
      </c>
      <c r="M1176" t="s">
        <v>83</v>
      </c>
      <c r="O1176" t="s">
        <v>83</v>
      </c>
      <c r="P1176" t="s">
        <v>84</v>
      </c>
    </row>
    <row r="1177" spans="1:16">
      <c r="A1177" t="s">
        <v>783</v>
      </c>
      <c r="B1177" t="s">
        <v>77</v>
      </c>
      <c r="C1177" t="s">
        <v>685</v>
      </c>
      <c r="D1177" t="s">
        <v>685</v>
      </c>
      <c r="E1177" t="s">
        <v>87</v>
      </c>
      <c r="F1177" t="s">
        <v>87</v>
      </c>
      <c r="G1177" t="s">
        <v>88</v>
      </c>
      <c r="H1177" t="s">
        <v>81</v>
      </c>
      <c r="J1177" t="s">
        <v>83</v>
      </c>
      <c r="L1177">
        <v>3</v>
      </c>
      <c r="M1177" t="s">
        <v>83</v>
      </c>
      <c r="O1177" t="s">
        <v>83</v>
      </c>
      <c r="P1177" t="s">
        <v>84</v>
      </c>
    </row>
    <row r="1178" spans="1:16">
      <c r="A1178" t="s">
        <v>783</v>
      </c>
      <c r="B1178" t="s">
        <v>77</v>
      </c>
      <c r="C1178" t="s">
        <v>685</v>
      </c>
      <c r="D1178" t="s">
        <v>685</v>
      </c>
      <c r="E1178" t="s">
        <v>89</v>
      </c>
      <c r="F1178" t="s">
        <v>89</v>
      </c>
      <c r="G1178" t="s">
        <v>90</v>
      </c>
      <c r="H1178" t="s">
        <v>81</v>
      </c>
      <c r="J1178" t="s">
        <v>83</v>
      </c>
      <c r="K1178" t="s">
        <v>83</v>
      </c>
      <c r="L1178">
        <v>4</v>
      </c>
      <c r="M1178" t="s">
        <v>83</v>
      </c>
      <c r="O1178" t="s">
        <v>83</v>
      </c>
      <c r="P1178" t="s">
        <v>84</v>
      </c>
    </row>
    <row r="1179" spans="1:16">
      <c r="A1179" t="s">
        <v>783</v>
      </c>
      <c r="B1179" t="s">
        <v>77</v>
      </c>
      <c r="C1179" t="s">
        <v>685</v>
      </c>
      <c r="D1179" t="s">
        <v>685</v>
      </c>
      <c r="E1179" t="s">
        <v>686</v>
      </c>
      <c r="F1179" t="s">
        <v>686</v>
      </c>
      <c r="G1179" t="s">
        <v>80</v>
      </c>
      <c r="H1179" t="s">
        <v>81</v>
      </c>
      <c r="I1179" t="s">
        <v>82</v>
      </c>
      <c r="L1179">
        <v>5</v>
      </c>
      <c r="M1179" t="s">
        <v>83</v>
      </c>
      <c r="O1179" t="s">
        <v>83</v>
      </c>
      <c r="P1179" t="s">
        <v>84</v>
      </c>
    </row>
    <row r="1180" spans="1:16">
      <c r="A1180" t="s">
        <v>783</v>
      </c>
      <c r="B1180" t="s">
        <v>77</v>
      </c>
      <c r="C1180" t="s">
        <v>685</v>
      </c>
      <c r="D1180" t="s">
        <v>685</v>
      </c>
      <c r="E1180" t="s">
        <v>687</v>
      </c>
      <c r="F1180" t="s">
        <v>687</v>
      </c>
      <c r="G1180" t="s">
        <v>90</v>
      </c>
      <c r="H1180" t="s">
        <v>81</v>
      </c>
      <c r="L1180">
        <v>6</v>
      </c>
      <c r="M1180" t="s">
        <v>83</v>
      </c>
      <c r="O1180" t="s">
        <v>83</v>
      </c>
      <c r="P1180" t="s">
        <v>84</v>
      </c>
    </row>
    <row r="1181" spans="1:16">
      <c r="A1181" t="s">
        <v>783</v>
      </c>
      <c r="B1181" t="s">
        <v>77</v>
      </c>
      <c r="C1181" t="s">
        <v>685</v>
      </c>
      <c r="D1181" t="s">
        <v>685</v>
      </c>
      <c r="E1181" t="s">
        <v>91</v>
      </c>
      <c r="F1181" t="s">
        <v>91</v>
      </c>
      <c r="G1181" t="s">
        <v>92</v>
      </c>
      <c r="H1181" t="s">
        <v>81</v>
      </c>
      <c r="J1181" t="s">
        <v>83</v>
      </c>
      <c r="L1181">
        <v>7</v>
      </c>
      <c r="M1181" t="s">
        <v>83</v>
      </c>
      <c r="O1181" t="s">
        <v>83</v>
      </c>
      <c r="P1181" t="s">
        <v>84</v>
      </c>
    </row>
    <row r="1182" spans="1:16">
      <c r="A1182" t="s">
        <v>783</v>
      </c>
      <c r="B1182" t="s">
        <v>77</v>
      </c>
      <c r="C1182" t="s">
        <v>685</v>
      </c>
      <c r="D1182" t="s">
        <v>685</v>
      </c>
      <c r="E1182" t="s">
        <v>688</v>
      </c>
      <c r="F1182" t="s">
        <v>688</v>
      </c>
      <c r="G1182" t="s">
        <v>94</v>
      </c>
      <c r="H1182" t="s">
        <v>81</v>
      </c>
      <c r="L1182">
        <v>8</v>
      </c>
      <c r="M1182" t="s">
        <v>83</v>
      </c>
      <c r="O1182" t="s">
        <v>83</v>
      </c>
      <c r="P1182" t="s">
        <v>84</v>
      </c>
    </row>
    <row r="1183" spans="1:16">
      <c r="A1183" t="s">
        <v>783</v>
      </c>
      <c r="B1183" t="s">
        <v>77</v>
      </c>
      <c r="C1183" t="s">
        <v>685</v>
      </c>
      <c r="D1183" t="s">
        <v>685</v>
      </c>
      <c r="E1183" t="s">
        <v>689</v>
      </c>
      <c r="F1183" t="s">
        <v>689</v>
      </c>
      <c r="G1183" t="s">
        <v>88</v>
      </c>
      <c r="H1183" t="s">
        <v>81</v>
      </c>
      <c r="L1183">
        <v>9</v>
      </c>
      <c r="M1183" t="s">
        <v>83</v>
      </c>
      <c r="O1183" t="s">
        <v>83</v>
      </c>
      <c r="P1183" t="s">
        <v>84</v>
      </c>
    </row>
    <row r="1184" spans="1:16">
      <c r="A1184" t="s">
        <v>783</v>
      </c>
      <c r="B1184" t="s">
        <v>77</v>
      </c>
      <c r="C1184" t="s">
        <v>685</v>
      </c>
      <c r="D1184" t="s">
        <v>685</v>
      </c>
      <c r="E1184" t="s">
        <v>690</v>
      </c>
      <c r="F1184" t="s">
        <v>690</v>
      </c>
      <c r="G1184" t="s">
        <v>94</v>
      </c>
      <c r="H1184" t="s">
        <v>81</v>
      </c>
      <c r="L1184">
        <v>10</v>
      </c>
      <c r="M1184" t="s">
        <v>83</v>
      </c>
      <c r="O1184" t="s">
        <v>83</v>
      </c>
      <c r="P1184" t="s">
        <v>84</v>
      </c>
    </row>
    <row r="1185" spans="1:16">
      <c r="A1185" t="s">
        <v>783</v>
      </c>
      <c r="B1185" t="s">
        <v>77</v>
      </c>
      <c r="C1185" t="s">
        <v>685</v>
      </c>
      <c r="D1185" t="s">
        <v>685</v>
      </c>
      <c r="E1185" t="s">
        <v>691</v>
      </c>
      <c r="F1185" t="s">
        <v>691</v>
      </c>
      <c r="G1185" t="s">
        <v>98</v>
      </c>
      <c r="H1185" t="s">
        <v>81</v>
      </c>
      <c r="L1185">
        <v>11</v>
      </c>
      <c r="M1185" t="s">
        <v>83</v>
      </c>
      <c r="O1185" t="s">
        <v>83</v>
      </c>
      <c r="P1185" t="s">
        <v>84</v>
      </c>
    </row>
    <row r="1186" spans="1:16">
      <c r="A1186" t="s">
        <v>783</v>
      </c>
      <c r="B1186" t="s">
        <v>77</v>
      </c>
      <c r="C1186" t="s">
        <v>685</v>
      </c>
      <c r="D1186" t="s">
        <v>685</v>
      </c>
      <c r="E1186" t="s">
        <v>692</v>
      </c>
      <c r="F1186" t="s">
        <v>692</v>
      </c>
      <c r="G1186" t="s">
        <v>98</v>
      </c>
      <c r="H1186" t="s">
        <v>81</v>
      </c>
      <c r="L1186">
        <v>12</v>
      </c>
      <c r="M1186" t="s">
        <v>83</v>
      </c>
      <c r="O1186" t="s">
        <v>83</v>
      </c>
      <c r="P1186" t="s">
        <v>84</v>
      </c>
    </row>
    <row r="1187" spans="1:16">
      <c r="A1187" t="s">
        <v>783</v>
      </c>
      <c r="B1187" t="s">
        <v>77</v>
      </c>
      <c r="C1187" t="s">
        <v>685</v>
      </c>
      <c r="D1187" t="s">
        <v>685</v>
      </c>
      <c r="E1187" t="s">
        <v>693</v>
      </c>
      <c r="F1187" t="s">
        <v>693</v>
      </c>
      <c r="G1187" t="s">
        <v>98</v>
      </c>
      <c r="H1187" t="s">
        <v>81</v>
      </c>
      <c r="L1187">
        <v>13</v>
      </c>
      <c r="M1187" t="s">
        <v>83</v>
      </c>
      <c r="O1187" t="s">
        <v>83</v>
      </c>
      <c r="P1187" t="s">
        <v>84</v>
      </c>
    </row>
    <row r="1188" spans="1:16">
      <c r="A1188" t="s">
        <v>783</v>
      </c>
      <c r="B1188" t="s">
        <v>77</v>
      </c>
      <c r="C1188" t="s">
        <v>685</v>
      </c>
      <c r="D1188" t="s">
        <v>685</v>
      </c>
      <c r="E1188" t="s">
        <v>694</v>
      </c>
      <c r="F1188" t="s">
        <v>694</v>
      </c>
      <c r="G1188" t="s">
        <v>188</v>
      </c>
      <c r="H1188" t="s">
        <v>81</v>
      </c>
      <c r="L1188">
        <v>14</v>
      </c>
      <c r="M1188" t="s">
        <v>83</v>
      </c>
      <c r="O1188" t="s">
        <v>83</v>
      </c>
      <c r="P1188" t="s">
        <v>84</v>
      </c>
    </row>
    <row r="1189" spans="1:16">
      <c r="A1189" t="s">
        <v>783</v>
      </c>
      <c r="B1189" t="s">
        <v>77</v>
      </c>
      <c r="C1189" t="s">
        <v>685</v>
      </c>
      <c r="D1189" t="s">
        <v>685</v>
      </c>
      <c r="E1189" t="s">
        <v>112</v>
      </c>
      <c r="F1189" t="s">
        <v>112</v>
      </c>
      <c r="G1189" t="s">
        <v>113</v>
      </c>
      <c r="H1189" t="s">
        <v>81</v>
      </c>
      <c r="I1189" t="s">
        <v>114</v>
      </c>
      <c r="L1189">
        <v>15</v>
      </c>
      <c r="M1189" t="s">
        <v>83</v>
      </c>
      <c r="O1189" t="s">
        <v>83</v>
      </c>
      <c r="P1189" t="s">
        <v>84</v>
      </c>
    </row>
    <row r="1190" spans="1:16">
      <c r="A1190" t="s">
        <v>783</v>
      </c>
      <c r="B1190" t="s">
        <v>77</v>
      </c>
      <c r="C1190" t="s">
        <v>685</v>
      </c>
      <c r="D1190" t="s">
        <v>685</v>
      </c>
      <c r="E1190" t="s">
        <v>115</v>
      </c>
      <c r="F1190" t="s">
        <v>115</v>
      </c>
      <c r="G1190" t="s">
        <v>113</v>
      </c>
      <c r="H1190" t="s">
        <v>81</v>
      </c>
      <c r="I1190" t="s">
        <v>114</v>
      </c>
      <c r="L1190">
        <v>16</v>
      </c>
      <c r="M1190" t="s">
        <v>83</v>
      </c>
      <c r="O1190" t="s">
        <v>83</v>
      </c>
      <c r="P1190" t="s">
        <v>84</v>
      </c>
    </row>
    <row r="1191" spans="1:16">
      <c r="A1191" t="s">
        <v>783</v>
      </c>
      <c r="B1191" t="s">
        <v>77</v>
      </c>
      <c r="C1191" t="s">
        <v>685</v>
      </c>
      <c r="D1191" t="s">
        <v>685</v>
      </c>
      <c r="E1191" t="s">
        <v>327</v>
      </c>
      <c r="F1191" t="s">
        <v>327</v>
      </c>
      <c r="G1191" t="s">
        <v>90</v>
      </c>
      <c r="H1191" t="s">
        <v>81</v>
      </c>
      <c r="L1191">
        <v>17</v>
      </c>
      <c r="M1191" t="s">
        <v>83</v>
      </c>
      <c r="O1191" t="s">
        <v>83</v>
      </c>
      <c r="P1191" t="s">
        <v>84</v>
      </c>
    </row>
    <row r="1192" spans="1:16">
      <c r="A1192" t="s">
        <v>783</v>
      </c>
      <c r="B1192" t="s">
        <v>77</v>
      </c>
      <c r="C1192" t="s">
        <v>685</v>
      </c>
      <c r="D1192" t="s">
        <v>685</v>
      </c>
      <c r="E1192" t="s">
        <v>117</v>
      </c>
      <c r="F1192" t="s">
        <v>117</v>
      </c>
      <c r="G1192" t="s">
        <v>90</v>
      </c>
      <c r="H1192" t="s">
        <v>81</v>
      </c>
      <c r="L1192">
        <v>24</v>
      </c>
      <c r="M1192" t="s">
        <v>83</v>
      </c>
      <c r="O1192" t="s">
        <v>83</v>
      </c>
      <c r="P1192" t="s">
        <v>84</v>
      </c>
    </row>
    <row r="1193" spans="1:16">
      <c r="A1193" t="s">
        <v>783</v>
      </c>
      <c r="B1193" t="s">
        <v>77</v>
      </c>
      <c r="C1193" t="s">
        <v>685</v>
      </c>
      <c r="D1193" t="s">
        <v>685</v>
      </c>
      <c r="E1193" t="s">
        <v>328</v>
      </c>
      <c r="F1193" t="s">
        <v>328</v>
      </c>
      <c r="G1193" t="s">
        <v>90</v>
      </c>
      <c r="H1193" t="s">
        <v>81</v>
      </c>
      <c r="L1193">
        <v>25</v>
      </c>
      <c r="M1193" t="s">
        <v>83</v>
      </c>
      <c r="O1193" t="s">
        <v>83</v>
      </c>
      <c r="P1193" t="s">
        <v>84</v>
      </c>
    </row>
    <row r="1194" spans="1:16">
      <c r="A1194" t="s">
        <v>783</v>
      </c>
      <c r="B1194" t="s">
        <v>77</v>
      </c>
      <c r="C1194" t="s">
        <v>685</v>
      </c>
      <c r="D1194" t="s">
        <v>685</v>
      </c>
      <c r="E1194" t="s">
        <v>118</v>
      </c>
      <c r="F1194" t="s">
        <v>118</v>
      </c>
      <c r="G1194" t="s">
        <v>92</v>
      </c>
      <c r="H1194" t="s">
        <v>81</v>
      </c>
      <c r="L1194">
        <v>26</v>
      </c>
      <c r="M1194" t="s">
        <v>83</v>
      </c>
      <c r="O1194" t="s">
        <v>83</v>
      </c>
      <c r="P1194" t="s">
        <v>84</v>
      </c>
    </row>
    <row r="1195" spans="1:16">
      <c r="A1195" t="s">
        <v>783</v>
      </c>
      <c r="B1195" t="s">
        <v>77</v>
      </c>
      <c r="C1195" t="s">
        <v>685</v>
      </c>
      <c r="D1195" t="s">
        <v>685</v>
      </c>
      <c r="E1195" t="s">
        <v>784</v>
      </c>
      <c r="F1195" t="s">
        <v>784</v>
      </c>
      <c r="G1195" t="s">
        <v>80</v>
      </c>
      <c r="H1195" t="s">
        <v>81</v>
      </c>
      <c r="I1195" t="s">
        <v>82</v>
      </c>
      <c r="L1195">
        <v>27</v>
      </c>
      <c r="M1195" t="s">
        <v>83</v>
      </c>
      <c r="O1195" t="s">
        <v>83</v>
      </c>
      <c r="P1195" t="s">
        <v>84</v>
      </c>
    </row>
    <row r="1196" spans="1:16">
      <c r="A1196" t="s">
        <v>783</v>
      </c>
      <c r="B1196" t="s">
        <v>77</v>
      </c>
      <c r="C1196" t="s">
        <v>685</v>
      </c>
      <c r="D1196" t="s">
        <v>685</v>
      </c>
      <c r="E1196" t="s">
        <v>785</v>
      </c>
      <c r="F1196" t="s">
        <v>785</v>
      </c>
      <c r="G1196" t="s">
        <v>80</v>
      </c>
      <c r="H1196" t="s">
        <v>81</v>
      </c>
      <c r="I1196" t="s">
        <v>82</v>
      </c>
      <c r="L1196">
        <v>28</v>
      </c>
      <c r="M1196" t="s">
        <v>83</v>
      </c>
      <c r="O1196" t="s">
        <v>83</v>
      </c>
      <c r="P1196" t="s">
        <v>84</v>
      </c>
    </row>
    <row r="1197" spans="1:16">
      <c r="A1197" t="s">
        <v>783</v>
      </c>
      <c r="B1197" t="s">
        <v>77</v>
      </c>
      <c r="C1197" t="s">
        <v>685</v>
      </c>
      <c r="D1197" t="s">
        <v>685</v>
      </c>
      <c r="E1197" t="s">
        <v>786</v>
      </c>
      <c r="F1197" t="s">
        <v>786</v>
      </c>
      <c r="G1197" t="s">
        <v>787</v>
      </c>
      <c r="H1197" t="s">
        <v>81</v>
      </c>
      <c r="L1197">
        <v>29</v>
      </c>
      <c r="M1197" t="s">
        <v>83</v>
      </c>
      <c r="O1197" t="s">
        <v>83</v>
      </c>
      <c r="P1197" t="s">
        <v>84</v>
      </c>
    </row>
    <row r="1198" spans="1:16">
      <c r="A1198" t="s">
        <v>783</v>
      </c>
      <c r="B1198" t="s">
        <v>77</v>
      </c>
      <c r="C1198" t="s">
        <v>695</v>
      </c>
      <c r="D1198" t="s">
        <v>695</v>
      </c>
      <c r="E1198" t="s">
        <v>79</v>
      </c>
      <c r="F1198" t="s">
        <v>79</v>
      </c>
      <c r="G1198" t="s">
        <v>80</v>
      </c>
      <c r="H1198" t="s">
        <v>81</v>
      </c>
      <c r="I1198" t="s">
        <v>82</v>
      </c>
      <c r="L1198">
        <v>1</v>
      </c>
      <c r="M1198" t="s">
        <v>83</v>
      </c>
      <c r="O1198" t="s">
        <v>83</v>
      </c>
      <c r="P1198" t="s">
        <v>84</v>
      </c>
    </row>
    <row r="1199" spans="1:16">
      <c r="A1199" t="s">
        <v>783</v>
      </c>
      <c r="B1199" t="s">
        <v>77</v>
      </c>
      <c r="C1199" t="s">
        <v>695</v>
      </c>
      <c r="D1199" t="s">
        <v>695</v>
      </c>
      <c r="E1199" t="s">
        <v>86</v>
      </c>
      <c r="F1199" t="s">
        <v>86</v>
      </c>
      <c r="G1199" t="s">
        <v>80</v>
      </c>
      <c r="H1199" t="s">
        <v>81</v>
      </c>
      <c r="I1199" t="s">
        <v>82</v>
      </c>
      <c r="L1199">
        <v>2</v>
      </c>
      <c r="M1199" t="s">
        <v>83</v>
      </c>
      <c r="O1199" t="s">
        <v>83</v>
      </c>
      <c r="P1199" t="s">
        <v>84</v>
      </c>
    </row>
    <row r="1200" spans="1:16">
      <c r="A1200" t="s">
        <v>783</v>
      </c>
      <c r="B1200" t="s">
        <v>77</v>
      </c>
      <c r="C1200" t="s">
        <v>695</v>
      </c>
      <c r="D1200" t="s">
        <v>695</v>
      </c>
      <c r="E1200" t="s">
        <v>87</v>
      </c>
      <c r="F1200" t="s">
        <v>87</v>
      </c>
      <c r="G1200" t="s">
        <v>88</v>
      </c>
      <c r="H1200" t="s">
        <v>81</v>
      </c>
      <c r="J1200" t="s">
        <v>83</v>
      </c>
      <c r="L1200">
        <v>3</v>
      </c>
      <c r="M1200" t="s">
        <v>83</v>
      </c>
      <c r="O1200" t="s">
        <v>83</v>
      </c>
      <c r="P1200" t="s">
        <v>84</v>
      </c>
    </row>
    <row r="1201" spans="1:16">
      <c r="A1201" t="s">
        <v>783</v>
      </c>
      <c r="B1201" t="s">
        <v>77</v>
      </c>
      <c r="C1201" t="s">
        <v>695</v>
      </c>
      <c r="D1201" t="s">
        <v>695</v>
      </c>
      <c r="E1201" t="s">
        <v>89</v>
      </c>
      <c r="F1201" t="s">
        <v>89</v>
      </c>
      <c r="G1201" t="s">
        <v>90</v>
      </c>
      <c r="H1201" t="s">
        <v>81</v>
      </c>
      <c r="J1201" t="s">
        <v>83</v>
      </c>
      <c r="K1201" t="s">
        <v>83</v>
      </c>
      <c r="L1201">
        <v>4</v>
      </c>
      <c r="M1201" t="s">
        <v>83</v>
      </c>
      <c r="O1201" t="s">
        <v>83</v>
      </c>
      <c r="P1201" t="s">
        <v>84</v>
      </c>
    </row>
    <row r="1202" spans="1:16">
      <c r="A1202" t="s">
        <v>783</v>
      </c>
      <c r="B1202" t="s">
        <v>77</v>
      </c>
      <c r="C1202" t="s">
        <v>695</v>
      </c>
      <c r="D1202" t="s">
        <v>695</v>
      </c>
      <c r="E1202" t="s">
        <v>696</v>
      </c>
      <c r="F1202" t="s">
        <v>696</v>
      </c>
      <c r="G1202" t="s">
        <v>80</v>
      </c>
      <c r="H1202" t="s">
        <v>81</v>
      </c>
      <c r="I1202" t="s">
        <v>82</v>
      </c>
      <c r="L1202">
        <v>5</v>
      </c>
      <c r="M1202" t="s">
        <v>83</v>
      </c>
      <c r="O1202" t="s">
        <v>83</v>
      </c>
      <c r="P1202" t="s">
        <v>84</v>
      </c>
    </row>
    <row r="1203" spans="1:16">
      <c r="A1203" t="s">
        <v>783</v>
      </c>
      <c r="B1203" t="s">
        <v>77</v>
      </c>
      <c r="C1203" t="s">
        <v>695</v>
      </c>
      <c r="D1203" t="s">
        <v>695</v>
      </c>
      <c r="E1203" t="s">
        <v>697</v>
      </c>
      <c r="F1203" t="s">
        <v>697</v>
      </c>
      <c r="G1203" t="s">
        <v>90</v>
      </c>
      <c r="H1203" t="s">
        <v>81</v>
      </c>
      <c r="L1203">
        <v>6</v>
      </c>
      <c r="M1203" t="s">
        <v>83</v>
      </c>
      <c r="O1203" t="s">
        <v>83</v>
      </c>
      <c r="P1203" t="s">
        <v>84</v>
      </c>
    </row>
    <row r="1204" spans="1:16">
      <c r="A1204" t="s">
        <v>783</v>
      </c>
      <c r="B1204" t="s">
        <v>77</v>
      </c>
      <c r="C1204" t="s">
        <v>695</v>
      </c>
      <c r="D1204" t="s">
        <v>695</v>
      </c>
      <c r="E1204" t="s">
        <v>91</v>
      </c>
      <c r="F1204" t="s">
        <v>91</v>
      </c>
      <c r="G1204" t="s">
        <v>92</v>
      </c>
      <c r="H1204" t="s">
        <v>81</v>
      </c>
      <c r="J1204" t="s">
        <v>83</v>
      </c>
      <c r="L1204">
        <v>7</v>
      </c>
      <c r="M1204" t="s">
        <v>83</v>
      </c>
      <c r="O1204" t="s">
        <v>83</v>
      </c>
      <c r="P1204" t="s">
        <v>84</v>
      </c>
    </row>
    <row r="1205" spans="1:16">
      <c r="A1205" t="s">
        <v>783</v>
      </c>
      <c r="B1205" t="s">
        <v>77</v>
      </c>
      <c r="C1205" t="s">
        <v>695</v>
      </c>
      <c r="D1205" t="s">
        <v>695</v>
      </c>
      <c r="E1205" t="s">
        <v>698</v>
      </c>
      <c r="F1205" t="s">
        <v>698</v>
      </c>
      <c r="G1205" t="s">
        <v>94</v>
      </c>
      <c r="H1205" t="s">
        <v>81</v>
      </c>
      <c r="L1205">
        <v>8</v>
      </c>
      <c r="M1205" t="s">
        <v>83</v>
      </c>
      <c r="O1205" t="s">
        <v>83</v>
      </c>
      <c r="P1205" t="s">
        <v>84</v>
      </c>
    </row>
    <row r="1206" spans="1:16">
      <c r="A1206" t="s">
        <v>783</v>
      </c>
      <c r="B1206" t="s">
        <v>77</v>
      </c>
      <c r="C1206" t="s">
        <v>695</v>
      </c>
      <c r="D1206" t="s">
        <v>695</v>
      </c>
      <c r="E1206" t="s">
        <v>699</v>
      </c>
      <c r="F1206" t="s">
        <v>699</v>
      </c>
      <c r="G1206" t="s">
        <v>88</v>
      </c>
      <c r="H1206" t="s">
        <v>81</v>
      </c>
      <c r="L1206">
        <v>9</v>
      </c>
      <c r="M1206" t="s">
        <v>83</v>
      </c>
      <c r="O1206" t="s">
        <v>83</v>
      </c>
      <c r="P1206" t="s">
        <v>84</v>
      </c>
    </row>
    <row r="1207" spans="1:16">
      <c r="A1207" t="s">
        <v>783</v>
      </c>
      <c r="B1207" t="s">
        <v>77</v>
      </c>
      <c r="C1207" t="s">
        <v>695</v>
      </c>
      <c r="D1207" t="s">
        <v>695</v>
      </c>
      <c r="E1207" t="s">
        <v>700</v>
      </c>
      <c r="F1207" t="s">
        <v>700</v>
      </c>
      <c r="G1207" t="s">
        <v>94</v>
      </c>
      <c r="H1207" t="s">
        <v>81</v>
      </c>
      <c r="L1207">
        <v>10</v>
      </c>
      <c r="M1207" t="s">
        <v>83</v>
      </c>
      <c r="O1207" t="s">
        <v>83</v>
      </c>
      <c r="P1207" t="s">
        <v>84</v>
      </c>
    </row>
    <row r="1208" spans="1:16">
      <c r="A1208" t="s">
        <v>783</v>
      </c>
      <c r="B1208" t="s">
        <v>77</v>
      </c>
      <c r="C1208" t="s">
        <v>695</v>
      </c>
      <c r="D1208" t="s">
        <v>695</v>
      </c>
      <c r="E1208" t="s">
        <v>701</v>
      </c>
      <c r="F1208" t="s">
        <v>701</v>
      </c>
      <c r="G1208" t="s">
        <v>98</v>
      </c>
      <c r="H1208" t="s">
        <v>81</v>
      </c>
      <c r="L1208">
        <v>11</v>
      </c>
      <c r="M1208" t="s">
        <v>83</v>
      </c>
      <c r="O1208" t="s">
        <v>83</v>
      </c>
      <c r="P1208" t="s">
        <v>84</v>
      </c>
    </row>
    <row r="1209" spans="1:16">
      <c r="A1209" t="s">
        <v>783</v>
      </c>
      <c r="B1209" t="s">
        <v>77</v>
      </c>
      <c r="C1209" t="s">
        <v>695</v>
      </c>
      <c r="D1209" t="s">
        <v>695</v>
      </c>
      <c r="E1209" t="s">
        <v>702</v>
      </c>
      <c r="F1209" t="s">
        <v>702</v>
      </c>
      <c r="G1209" t="s">
        <v>98</v>
      </c>
      <c r="H1209" t="s">
        <v>81</v>
      </c>
      <c r="L1209">
        <v>12</v>
      </c>
      <c r="M1209" t="s">
        <v>83</v>
      </c>
      <c r="O1209" t="s">
        <v>83</v>
      </c>
      <c r="P1209" t="s">
        <v>84</v>
      </c>
    </row>
    <row r="1210" spans="1:16">
      <c r="A1210" t="s">
        <v>783</v>
      </c>
      <c r="B1210" t="s">
        <v>77</v>
      </c>
      <c r="C1210" t="s">
        <v>695</v>
      </c>
      <c r="D1210" t="s">
        <v>695</v>
      </c>
      <c r="E1210" t="s">
        <v>703</v>
      </c>
      <c r="F1210" t="s">
        <v>703</v>
      </c>
      <c r="G1210" t="s">
        <v>98</v>
      </c>
      <c r="H1210" t="s">
        <v>81</v>
      </c>
      <c r="L1210">
        <v>13</v>
      </c>
      <c r="M1210" t="s">
        <v>83</v>
      </c>
      <c r="O1210" t="s">
        <v>83</v>
      </c>
      <c r="P1210" t="s">
        <v>84</v>
      </c>
    </row>
    <row r="1211" spans="1:16">
      <c r="A1211" t="s">
        <v>783</v>
      </c>
      <c r="B1211" t="s">
        <v>77</v>
      </c>
      <c r="C1211" t="s">
        <v>695</v>
      </c>
      <c r="D1211" t="s">
        <v>695</v>
      </c>
      <c r="E1211" t="s">
        <v>704</v>
      </c>
      <c r="F1211" t="s">
        <v>704</v>
      </c>
      <c r="G1211" t="s">
        <v>188</v>
      </c>
      <c r="H1211" t="s">
        <v>81</v>
      </c>
      <c r="L1211">
        <v>14</v>
      </c>
      <c r="M1211" t="s">
        <v>83</v>
      </c>
      <c r="O1211" t="s">
        <v>83</v>
      </c>
      <c r="P1211" t="s">
        <v>84</v>
      </c>
    </row>
    <row r="1212" spans="1:16">
      <c r="A1212" t="s">
        <v>783</v>
      </c>
      <c r="B1212" t="s">
        <v>77</v>
      </c>
      <c r="C1212" t="s">
        <v>695</v>
      </c>
      <c r="D1212" t="s">
        <v>695</v>
      </c>
      <c r="E1212" t="s">
        <v>112</v>
      </c>
      <c r="F1212" t="s">
        <v>112</v>
      </c>
      <c r="G1212" t="s">
        <v>113</v>
      </c>
      <c r="H1212" t="s">
        <v>81</v>
      </c>
      <c r="I1212" t="s">
        <v>114</v>
      </c>
      <c r="L1212">
        <v>15</v>
      </c>
      <c r="M1212" t="s">
        <v>83</v>
      </c>
      <c r="O1212" t="s">
        <v>83</v>
      </c>
      <c r="P1212" t="s">
        <v>84</v>
      </c>
    </row>
    <row r="1213" spans="1:16">
      <c r="A1213" t="s">
        <v>783</v>
      </c>
      <c r="B1213" t="s">
        <v>77</v>
      </c>
      <c r="C1213" t="s">
        <v>695</v>
      </c>
      <c r="D1213" t="s">
        <v>695</v>
      </c>
      <c r="E1213" t="s">
        <v>115</v>
      </c>
      <c r="F1213" t="s">
        <v>115</v>
      </c>
      <c r="G1213" t="s">
        <v>113</v>
      </c>
      <c r="H1213" t="s">
        <v>81</v>
      </c>
      <c r="I1213" t="s">
        <v>114</v>
      </c>
      <c r="L1213">
        <v>16</v>
      </c>
      <c r="M1213" t="s">
        <v>83</v>
      </c>
      <c r="O1213" t="s">
        <v>83</v>
      </c>
      <c r="P1213" t="s">
        <v>84</v>
      </c>
    </row>
    <row r="1214" spans="1:16">
      <c r="A1214" t="s">
        <v>783</v>
      </c>
      <c r="B1214" t="s">
        <v>77</v>
      </c>
      <c r="C1214" t="s">
        <v>695</v>
      </c>
      <c r="D1214" t="s">
        <v>695</v>
      </c>
      <c r="E1214" t="s">
        <v>327</v>
      </c>
      <c r="F1214" t="s">
        <v>327</v>
      </c>
      <c r="G1214" t="s">
        <v>90</v>
      </c>
      <c r="H1214" t="s">
        <v>81</v>
      </c>
      <c r="L1214">
        <v>17</v>
      </c>
      <c r="M1214" t="s">
        <v>83</v>
      </c>
      <c r="O1214" t="s">
        <v>83</v>
      </c>
      <c r="P1214" t="s">
        <v>84</v>
      </c>
    </row>
    <row r="1215" spans="1:16">
      <c r="A1215" t="s">
        <v>783</v>
      </c>
      <c r="B1215" t="s">
        <v>77</v>
      </c>
      <c r="C1215" t="s">
        <v>695</v>
      </c>
      <c r="D1215" t="s">
        <v>695</v>
      </c>
      <c r="E1215" t="s">
        <v>117</v>
      </c>
      <c r="F1215" t="s">
        <v>117</v>
      </c>
      <c r="G1215" t="s">
        <v>90</v>
      </c>
      <c r="H1215" t="s">
        <v>81</v>
      </c>
      <c r="L1215">
        <v>24</v>
      </c>
      <c r="M1215" t="s">
        <v>83</v>
      </c>
      <c r="O1215" t="s">
        <v>83</v>
      </c>
      <c r="P1215" t="s">
        <v>84</v>
      </c>
    </row>
    <row r="1216" spans="1:16">
      <c r="A1216" t="s">
        <v>783</v>
      </c>
      <c r="B1216" t="s">
        <v>77</v>
      </c>
      <c r="C1216" t="s">
        <v>695</v>
      </c>
      <c r="D1216" t="s">
        <v>695</v>
      </c>
      <c r="E1216" t="s">
        <v>328</v>
      </c>
      <c r="F1216" t="s">
        <v>328</v>
      </c>
      <c r="G1216" t="s">
        <v>90</v>
      </c>
      <c r="H1216" t="s">
        <v>81</v>
      </c>
      <c r="L1216">
        <v>25</v>
      </c>
      <c r="M1216" t="s">
        <v>83</v>
      </c>
      <c r="O1216" t="s">
        <v>83</v>
      </c>
      <c r="P1216" t="s">
        <v>84</v>
      </c>
    </row>
    <row r="1217" spans="1:16">
      <c r="A1217" t="s">
        <v>783</v>
      </c>
      <c r="B1217" t="s">
        <v>77</v>
      </c>
      <c r="C1217" t="s">
        <v>695</v>
      </c>
      <c r="D1217" t="s">
        <v>695</v>
      </c>
      <c r="E1217" t="s">
        <v>118</v>
      </c>
      <c r="F1217" t="s">
        <v>118</v>
      </c>
      <c r="G1217" t="s">
        <v>92</v>
      </c>
      <c r="H1217" t="s">
        <v>81</v>
      </c>
      <c r="L1217">
        <v>26</v>
      </c>
      <c r="M1217" t="s">
        <v>83</v>
      </c>
      <c r="O1217" t="s">
        <v>83</v>
      </c>
      <c r="P1217" t="s">
        <v>84</v>
      </c>
    </row>
    <row r="1218" spans="1:16">
      <c r="A1218" t="s">
        <v>783</v>
      </c>
      <c r="B1218" t="s">
        <v>77</v>
      </c>
      <c r="C1218" t="s">
        <v>695</v>
      </c>
      <c r="D1218" t="s">
        <v>695</v>
      </c>
      <c r="E1218" t="s">
        <v>784</v>
      </c>
      <c r="F1218" t="s">
        <v>784</v>
      </c>
      <c r="G1218" t="s">
        <v>80</v>
      </c>
      <c r="H1218" t="s">
        <v>81</v>
      </c>
      <c r="I1218" t="s">
        <v>82</v>
      </c>
      <c r="L1218">
        <v>27</v>
      </c>
      <c r="M1218" t="s">
        <v>83</v>
      </c>
      <c r="O1218" t="s">
        <v>83</v>
      </c>
      <c r="P1218" t="s">
        <v>84</v>
      </c>
    </row>
    <row r="1219" spans="1:16">
      <c r="A1219" t="s">
        <v>783</v>
      </c>
      <c r="B1219" t="s">
        <v>77</v>
      </c>
      <c r="C1219" t="s">
        <v>695</v>
      </c>
      <c r="D1219" t="s">
        <v>695</v>
      </c>
      <c r="E1219" t="s">
        <v>785</v>
      </c>
      <c r="F1219" t="s">
        <v>785</v>
      </c>
      <c r="G1219" t="s">
        <v>80</v>
      </c>
      <c r="H1219" t="s">
        <v>81</v>
      </c>
      <c r="I1219" t="s">
        <v>82</v>
      </c>
      <c r="L1219">
        <v>28</v>
      </c>
      <c r="M1219" t="s">
        <v>83</v>
      </c>
      <c r="O1219" t="s">
        <v>83</v>
      </c>
      <c r="P1219" t="s">
        <v>84</v>
      </c>
    </row>
    <row r="1220" spans="1:16">
      <c r="A1220" t="s">
        <v>783</v>
      </c>
      <c r="B1220" t="s">
        <v>77</v>
      </c>
      <c r="C1220" t="s">
        <v>695</v>
      </c>
      <c r="D1220" t="s">
        <v>695</v>
      </c>
      <c r="E1220" t="s">
        <v>786</v>
      </c>
      <c r="F1220" t="s">
        <v>786</v>
      </c>
      <c r="G1220" t="s">
        <v>787</v>
      </c>
      <c r="H1220" t="s">
        <v>81</v>
      </c>
      <c r="L1220">
        <v>29</v>
      </c>
      <c r="M1220" t="s">
        <v>83</v>
      </c>
      <c r="O1220" t="s">
        <v>83</v>
      </c>
      <c r="P1220" t="s">
        <v>84</v>
      </c>
    </row>
    <row r="1221" spans="1:16">
      <c r="A1221" t="s">
        <v>783</v>
      </c>
      <c r="B1221" t="s">
        <v>77</v>
      </c>
      <c r="C1221" t="s">
        <v>705</v>
      </c>
      <c r="D1221" t="s">
        <v>705</v>
      </c>
      <c r="E1221" t="s">
        <v>79</v>
      </c>
      <c r="F1221" t="s">
        <v>79</v>
      </c>
      <c r="G1221" t="s">
        <v>80</v>
      </c>
      <c r="H1221" t="s">
        <v>81</v>
      </c>
      <c r="I1221" t="s">
        <v>82</v>
      </c>
      <c r="L1221">
        <v>1</v>
      </c>
      <c r="M1221" t="s">
        <v>83</v>
      </c>
      <c r="O1221" t="s">
        <v>83</v>
      </c>
      <c r="P1221" t="s">
        <v>84</v>
      </c>
    </row>
    <row r="1222" spans="1:16">
      <c r="A1222" t="s">
        <v>783</v>
      </c>
      <c r="B1222" t="s">
        <v>77</v>
      </c>
      <c r="C1222" t="s">
        <v>705</v>
      </c>
      <c r="D1222" t="s">
        <v>705</v>
      </c>
      <c r="E1222" t="s">
        <v>86</v>
      </c>
      <c r="F1222" t="s">
        <v>86</v>
      </c>
      <c r="G1222" t="s">
        <v>80</v>
      </c>
      <c r="H1222" t="s">
        <v>81</v>
      </c>
      <c r="I1222" t="s">
        <v>82</v>
      </c>
      <c r="L1222">
        <v>2</v>
      </c>
      <c r="M1222" t="s">
        <v>83</v>
      </c>
      <c r="O1222" t="s">
        <v>83</v>
      </c>
      <c r="P1222" t="s">
        <v>84</v>
      </c>
    </row>
    <row r="1223" spans="1:16">
      <c r="A1223" t="s">
        <v>783</v>
      </c>
      <c r="B1223" t="s">
        <v>77</v>
      </c>
      <c r="C1223" t="s">
        <v>705</v>
      </c>
      <c r="D1223" t="s">
        <v>705</v>
      </c>
      <c r="E1223" t="s">
        <v>87</v>
      </c>
      <c r="F1223" t="s">
        <v>87</v>
      </c>
      <c r="G1223" t="s">
        <v>88</v>
      </c>
      <c r="H1223" t="s">
        <v>81</v>
      </c>
      <c r="J1223" t="s">
        <v>83</v>
      </c>
      <c r="L1223">
        <v>3</v>
      </c>
      <c r="M1223" t="s">
        <v>83</v>
      </c>
      <c r="O1223" t="s">
        <v>83</v>
      </c>
      <c r="P1223" t="s">
        <v>84</v>
      </c>
    </row>
    <row r="1224" spans="1:16">
      <c r="A1224" t="s">
        <v>783</v>
      </c>
      <c r="B1224" t="s">
        <v>77</v>
      </c>
      <c r="C1224" t="s">
        <v>705</v>
      </c>
      <c r="D1224" t="s">
        <v>705</v>
      </c>
      <c r="E1224" t="s">
        <v>89</v>
      </c>
      <c r="F1224" t="s">
        <v>89</v>
      </c>
      <c r="G1224" t="s">
        <v>90</v>
      </c>
      <c r="H1224" t="s">
        <v>81</v>
      </c>
      <c r="J1224" t="s">
        <v>83</v>
      </c>
      <c r="K1224" t="s">
        <v>83</v>
      </c>
      <c r="L1224">
        <v>4</v>
      </c>
      <c r="M1224" t="s">
        <v>83</v>
      </c>
      <c r="O1224" t="s">
        <v>83</v>
      </c>
      <c r="P1224" t="s">
        <v>84</v>
      </c>
    </row>
    <row r="1225" spans="1:16">
      <c r="A1225" t="s">
        <v>783</v>
      </c>
      <c r="B1225" t="s">
        <v>77</v>
      </c>
      <c r="C1225" t="s">
        <v>705</v>
      </c>
      <c r="D1225" t="s">
        <v>705</v>
      </c>
      <c r="E1225" t="s">
        <v>706</v>
      </c>
      <c r="F1225" t="s">
        <v>706</v>
      </c>
      <c r="G1225" t="s">
        <v>80</v>
      </c>
      <c r="H1225" t="s">
        <v>81</v>
      </c>
      <c r="I1225" t="s">
        <v>82</v>
      </c>
      <c r="L1225">
        <v>5</v>
      </c>
      <c r="M1225" t="s">
        <v>83</v>
      </c>
      <c r="O1225" t="s">
        <v>83</v>
      </c>
      <c r="P1225" t="s">
        <v>84</v>
      </c>
    </row>
    <row r="1226" spans="1:16">
      <c r="A1226" t="s">
        <v>783</v>
      </c>
      <c r="B1226" t="s">
        <v>77</v>
      </c>
      <c r="C1226" t="s">
        <v>705</v>
      </c>
      <c r="D1226" t="s">
        <v>705</v>
      </c>
      <c r="E1226" t="s">
        <v>707</v>
      </c>
      <c r="F1226" t="s">
        <v>707</v>
      </c>
      <c r="G1226" t="s">
        <v>90</v>
      </c>
      <c r="H1226" t="s">
        <v>81</v>
      </c>
      <c r="L1226">
        <v>6</v>
      </c>
      <c r="M1226" t="s">
        <v>83</v>
      </c>
      <c r="O1226" t="s">
        <v>83</v>
      </c>
      <c r="P1226" t="s">
        <v>84</v>
      </c>
    </row>
    <row r="1227" spans="1:16">
      <c r="A1227" t="s">
        <v>783</v>
      </c>
      <c r="B1227" t="s">
        <v>77</v>
      </c>
      <c r="C1227" t="s">
        <v>705</v>
      </c>
      <c r="D1227" t="s">
        <v>705</v>
      </c>
      <c r="E1227" t="s">
        <v>91</v>
      </c>
      <c r="F1227" t="s">
        <v>91</v>
      </c>
      <c r="G1227" t="s">
        <v>92</v>
      </c>
      <c r="H1227" t="s">
        <v>81</v>
      </c>
      <c r="J1227" t="s">
        <v>83</v>
      </c>
      <c r="L1227">
        <v>7</v>
      </c>
      <c r="M1227" t="s">
        <v>83</v>
      </c>
      <c r="O1227" t="s">
        <v>83</v>
      </c>
      <c r="P1227" t="s">
        <v>84</v>
      </c>
    </row>
    <row r="1228" spans="1:16">
      <c r="A1228" t="s">
        <v>783</v>
      </c>
      <c r="B1228" t="s">
        <v>77</v>
      </c>
      <c r="C1228" t="s">
        <v>705</v>
      </c>
      <c r="D1228" t="s">
        <v>705</v>
      </c>
      <c r="E1228" t="s">
        <v>708</v>
      </c>
      <c r="F1228" t="s">
        <v>708</v>
      </c>
      <c r="G1228" t="s">
        <v>94</v>
      </c>
      <c r="H1228" t="s">
        <v>81</v>
      </c>
      <c r="L1228">
        <v>8</v>
      </c>
      <c r="M1228" t="s">
        <v>83</v>
      </c>
      <c r="O1228" t="s">
        <v>83</v>
      </c>
      <c r="P1228" t="s">
        <v>84</v>
      </c>
    </row>
    <row r="1229" spans="1:16">
      <c r="A1229" t="s">
        <v>783</v>
      </c>
      <c r="B1229" t="s">
        <v>77</v>
      </c>
      <c r="C1229" t="s">
        <v>705</v>
      </c>
      <c r="D1229" t="s">
        <v>705</v>
      </c>
      <c r="E1229" t="s">
        <v>709</v>
      </c>
      <c r="F1229" t="s">
        <v>709</v>
      </c>
      <c r="G1229" t="s">
        <v>88</v>
      </c>
      <c r="H1229" t="s">
        <v>81</v>
      </c>
      <c r="L1229">
        <v>9</v>
      </c>
      <c r="M1229" t="s">
        <v>83</v>
      </c>
      <c r="O1229" t="s">
        <v>83</v>
      </c>
      <c r="P1229" t="s">
        <v>84</v>
      </c>
    </row>
    <row r="1230" spans="1:16">
      <c r="A1230" t="s">
        <v>783</v>
      </c>
      <c r="B1230" t="s">
        <v>77</v>
      </c>
      <c r="C1230" t="s">
        <v>705</v>
      </c>
      <c r="D1230" t="s">
        <v>705</v>
      </c>
      <c r="E1230" t="s">
        <v>710</v>
      </c>
      <c r="F1230" t="s">
        <v>710</v>
      </c>
      <c r="G1230" t="s">
        <v>94</v>
      </c>
      <c r="H1230" t="s">
        <v>81</v>
      </c>
      <c r="L1230">
        <v>10</v>
      </c>
      <c r="M1230" t="s">
        <v>83</v>
      </c>
      <c r="O1230" t="s">
        <v>83</v>
      </c>
      <c r="P1230" t="s">
        <v>84</v>
      </c>
    </row>
    <row r="1231" spans="1:16">
      <c r="A1231" t="s">
        <v>783</v>
      </c>
      <c r="B1231" t="s">
        <v>77</v>
      </c>
      <c r="C1231" t="s">
        <v>705</v>
      </c>
      <c r="D1231" t="s">
        <v>705</v>
      </c>
      <c r="E1231" t="s">
        <v>711</v>
      </c>
      <c r="F1231" t="s">
        <v>711</v>
      </c>
      <c r="G1231" t="s">
        <v>98</v>
      </c>
      <c r="H1231" t="s">
        <v>81</v>
      </c>
      <c r="L1231">
        <v>11</v>
      </c>
      <c r="M1231" t="s">
        <v>83</v>
      </c>
      <c r="O1231" t="s">
        <v>83</v>
      </c>
      <c r="P1231" t="s">
        <v>84</v>
      </c>
    </row>
    <row r="1232" spans="1:16">
      <c r="A1232" t="s">
        <v>783</v>
      </c>
      <c r="B1232" t="s">
        <v>77</v>
      </c>
      <c r="C1232" t="s">
        <v>705</v>
      </c>
      <c r="D1232" t="s">
        <v>705</v>
      </c>
      <c r="E1232" t="s">
        <v>712</v>
      </c>
      <c r="F1232" t="s">
        <v>712</v>
      </c>
      <c r="G1232" t="s">
        <v>98</v>
      </c>
      <c r="H1232" t="s">
        <v>81</v>
      </c>
      <c r="L1232">
        <v>12</v>
      </c>
      <c r="M1232" t="s">
        <v>83</v>
      </c>
      <c r="O1232" t="s">
        <v>83</v>
      </c>
      <c r="P1232" t="s">
        <v>84</v>
      </c>
    </row>
    <row r="1233" spans="1:16">
      <c r="A1233" t="s">
        <v>783</v>
      </c>
      <c r="B1233" t="s">
        <v>77</v>
      </c>
      <c r="C1233" t="s">
        <v>705</v>
      </c>
      <c r="D1233" t="s">
        <v>705</v>
      </c>
      <c r="E1233" t="s">
        <v>713</v>
      </c>
      <c r="F1233" t="s">
        <v>713</v>
      </c>
      <c r="G1233" t="s">
        <v>98</v>
      </c>
      <c r="H1233" t="s">
        <v>81</v>
      </c>
      <c r="L1233">
        <v>13</v>
      </c>
      <c r="M1233" t="s">
        <v>83</v>
      </c>
      <c r="O1233" t="s">
        <v>83</v>
      </c>
      <c r="P1233" t="s">
        <v>84</v>
      </c>
    </row>
    <row r="1234" spans="1:16">
      <c r="A1234" t="s">
        <v>783</v>
      </c>
      <c r="B1234" t="s">
        <v>77</v>
      </c>
      <c r="C1234" t="s">
        <v>705</v>
      </c>
      <c r="D1234" t="s">
        <v>705</v>
      </c>
      <c r="E1234" t="s">
        <v>112</v>
      </c>
      <c r="F1234" t="s">
        <v>112</v>
      </c>
      <c r="G1234" t="s">
        <v>113</v>
      </c>
      <c r="H1234" t="s">
        <v>81</v>
      </c>
      <c r="I1234" t="s">
        <v>114</v>
      </c>
      <c r="L1234">
        <v>14</v>
      </c>
      <c r="M1234" t="s">
        <v>83</v>
      </c>
      <c r="O1234" t="s">
        <v>83</v>
      </c>
      <c r="P1234" t="s">
        <v>84</v>
      </c>
    </row>
    <row r="1235" spans="1:16">
      <c r="A1235" t="s">
        <v>783</v>
      </c>
      <c r="B1235" t="s">
        <v>77</v>
      </c>
      <c r="C1235" t="s">
        <v>705</v>
      </c>
      <c r="D1235" t="s">
        <v>705</v>
      </c>
      <c r="E1235" t="s">
        <v>115</v>
      </c>
      <c r="F1235" t="s">
        <v>115</v>
      </c>
      <c r="G1235" t="s">
        <v>113</v>
      </c>
      <c r="H1235" t="s">
        <v>81</v>
      </c>
      <c r="I1235" t="s">
        <v>114</v>
      </c>
      <c r="L1235">
        <v>15</v>
      </c>
      <c r="M1235" t="s">
        <v>83</v>
      </c>
      <c r="O1235" t="s">
        <v>83</v>
      </c>
      <c r="P1235" t="s">
        <v>84</v>
      </c>
    </row>
    <row r="1236" spans="1:16">
      <c r="A1236" t="s">
        <v>783</v>
      </c>
      <c r="B1236" t="s">
        <v>77</v>
      </c>
      <c r="C1236" t="s">
        <v>705</v>
      </c>
      <c r="D1236" t="s">
        <v>705</v>
      </c>
      <c r="E1236" t="s">
        <v>117</v>
      </c>
      <c r="F1236" t="s">
        <v>117</v>
      </c>
      <c r="G1236" t="s">
        <v>90</v>
      </c>
      <c r="H1236" t="s">
        <v>81</v>
      </c>
      <c r="L1236">
        <v>22</v>
      </c>
      <c r="M1236" t="s">
        <v>83</v>
      </c>
      <c r="O1236" t="s">
        <v>83</v>
      </c>
      <c r="P1236" t="s">
        <v>84</v>
      </c>
    </row>
    <row r="1237" spans="1:16">
      <c r="A1237" t="s">
        <v>783</v>
      </c>
      <c r="B1237" t="s">
        <v>77</v>
      </c>
      <c r="C1237" t="s">
        <v>705</v>
      </c>
      <c r="D1237" t="s">
        <v>705</v>
      </c>
      <c r="E1237" t="s">
        <v>328</v>
      </c>
      <c r="F1237" t="s">
        <v>328</v>
      </c>
      <c r="G1237" t="s">
        <v>90</v>
      </c>
      <c r="H1237" t="s">
        <v>81</v>
      </c>
      <c r="L1237">
        <v>23</v>
      </c>
      <c r="M1237" t="s">
        <v>83</v>
      </c>
      <c r="O1237" t="s">
        <v>83</v>
      </c>
      <c r="P1237" t="s">
        <v>84</v>
      </c>
    </row>
    <row r="1238" spans="1:16">
      <c r="A1238" t="s">
        <v>783</v>
      </c>
      <c r="B1238" t="s">
        <v>77</v>
      </c>
      <c r="C1238" t="s">
        <v>705</v>
      </c>
      <c r="D1238" t="s">
        <v>705</v>
      </c>
      <c r="E1238" t="s">
        <v>118</v>
      </c>
      <c r="F1238" t="s">
        <v>118</v>
      </c>
      <c r="G1238" t="s">
        <v>92</v>
      </c>
      <c r="H1238" t="s">
        <v>81</v>
      </c>
      <c r="L1238">
        <v>24</v>
      </c>
      <c r="M1238" t="s">
        <v>83</v>
      </c>
      <c r="O1238" t="s">
        <v>83</v>
      </c>
      <c r="P1238" t="s">
        <v>84</v>
      </c>
    </row>
    <row r="1239" spans="1:16">
      <c r="A1239" t="s">
        <v>783</v>
      </c>
      <c r="B1239" t="s">
        <v>77</v>
      </c>
      <c r="C1239" t="s">
        <v>705</v>
      </c>
      <c r="D1239" t="s">
        <v>705</v>
      </c>
      <c r="E1239" t="s">
        <v>784</v>
      </c>
      <c r="F1239" t="s">
        <v>784</v>
      </c>
      <c r="G1239" t="s">
        <v>80</v>
      </c>
      <c r="H1239" t="s">
        <v>81</v>
      </c>
      <c r="I1239" t="s">
        <v>82</v>
      </c>
      <c r="L1239">
        <v>25</v>
      </c>
      <c r="M1239" t="s">
        <v>83</v>
      </c>
      <c r="O1239" t="s">
        <v>83</v>
      </c>
      <c r="P1239" t="s">
        <v>84</v>
      </c>
    </row>
    <row r="1240" spans="1:16">
      <c r="A1240" t="s">
        <v>783</v>
      </c>
      <c r="B1240" t="s">
        <v>77</v>
      </c>
      <c r="C1240" t="s">
        <v>705</v>
      </c>
      <c r="D1240" t="s">
        <v>705</v>
      </c>
      <c r="E1240" t="s">
        <v>785</v>
      </c>
      <c r="F1240" t="s">
        <v>785</v>
      </c>
      <c r="G1240" t="s">
        <v>80</v>
      </c>
      <c r="H1240" t="s">
        <v>81</v>
      </c>
      <c r="I1240" t="s">
        <v>82</v>
      </c>
      <c r="L1240">
        <v>26</v>
      </c>
      <c r="M1240" t="s">
        <v>83</v>
      </c>
      <c r="O1240" t="s">
        <v>83</v>
      </c>
      <c r="P1240" t="s">
        <v>84</v>
      </c>
    </row>
    <row r="1241" spans="1:16">
      <c r="A1241" t="s">
        <v>783</v>
      </c>
      <c r="B1241" t="s">
        <v>77</v>
      </c>
      <c r="C1241" t="s">
        <v>705</v>
      </c>
      <c r="D1241" t="s">
        <v>705</v>
      </c>
      <c r="E1241" t="s">
        <v>786</v>
      </c>
      <c r="F1241" t="s">
        <v>786</v>
      </c>
      <c r="G1241" t="s">
        <v>787</v>
      </c>
      <c r="H1241" t="s">
        <v>81</v>
      </c>
      <c r="L1241">
        <v>27</v>
      </c>
      <c r="M1241" t="s">
        <v>83</v>
      </c>
      <c r="O1241" t="s">
        <v>83</v>
      </c>
      <c r="P1241" t="s">
        <v>84</v>
      </c>
    </row>
    <row r="1242" spans="1:16">
      <c r="A1242" t="s">
        <v>783</v>
      </c>
      <c r="B1242" t="s">
        <v>77</v>
      </c>
      <c r="C1242" t="s">
        <v>714</v>
      </c>
      <c r="D1242" t="s">
        <v>714</v>
      </c>
      <c r="E1242" t="s">
        <v>79</v>
      </c>
      <c r="F1242" t="s">
        <v>79</v>
      </c>
      <c r="G1242" t="s">
        <v>80</v>
      </c>
      <c r="H1242" t="s">
        <v>81</v>
      </c>
      <c r="I1242" t="s">
        <v>82</v>
      </c>
      <c r="L1242">
        <v>1</v>
      </c>
      <c r="M1242" t="s">
        <v>83</v>
      </c>
      <c r="O1242" t="s">
        <v>83</v>
      </c>
      <c r="P1242" t="s">
        <v>84</v>
      </c>
    </row>
    <row r="1243" spans="1:16">
      <c r="A1243" t="s">
        <v>783</v>
      </c>
      <c r="B1243" t="s">
        <v>77</v>
      </c>
      <c r="C1243" t="s">
        <v>714</v>
      </c>
      <c r="D1243" t="s">
        <v>714</v>
      </c>
      <c r="E1243" t="s">
        <v>86</v>
      </c>
      <c r="F1243" t="s">
        <v>86</v>
      </c>
      <c r="G1243" t="s">
        <v>80</v>
      </c>
      <c r="H1243" t="s">
        <v>81</v>
      </c>
      <c r="I1243" t="s">
        <v>82</v>
      </c>
      <c r="L1243">
        <v>2</v>
      </c>
      <c r="M1243" t="s">
        <v>83</v>
      </c>
      <c r="O1243" t="s">
        <v>83</v>
      </c>
      <c r="P1243" t="s">
        <v>84</v>
      </c>
    </row>
    <row r="1244" spans="1:16">
      <c r="A1244" t="s">
        <v>783</v>
      </c>
      <c r="B1244" t="s">
        <v>77</v>
      </c>
      <c r="C1244" t="s">
        <v>714</v>
      </c>
      <c r="D1244" t="s">
        <v>714</v>
      </c>
      <c r="E1244" t="s">
        <v>87</v>
      </c>
      <c r="F1244" t="s">
        <v>87</v>
      </c>
      <c r="G1244" t="s">
        <v>88</v>
      </c>
      <c r="H1244" t="s">
        <v>81</v>
      </c>
      <c r="J1244" t="s">
        <v>83</v>
      </c>
      <c r="L1244">
        <v>3</v>
      </c>
      <c r="M1244" t="s">
        <v>83</v>
      </c>
      <c r="O1244" t="s">
        <v>83</v>
      </c>
      <c r="P1244" t="s">
        <v>84</v>
      </c>
    </row>
    <row r="1245" spans="1:16">
      <c r="A1245" t="s">
        <v>783</v>
      </c>
      <c r="B1245" t="s">
        <v>77</v>
      </c>
      <c r="C1245" t="s">
        <v>714</v>
      </c>
      <c r="D1245" t="s">
        <v>714</v>
      </c>
      <c r="E1245" t="s">
        <v>89</v>
      </c>
      <c r="F1245" t="s">
        <v>89</v>
      </c>
      <c r="G1245" t="s">
        <v>90</v>
      </c>
      <c r="H1245" t="s">
        <v>81</v>
      </c>
      <c r="J1245" t="s">
        <v>83</v>
      </c>
      <c r="K1245" t="s">
        <v>83</v>
      </c>
      <c r="L1245">
        <v>4</v>
      </c>
      <c r="M1245" t="s">
        <v>83</v>
      </c>
      <c r="O1245" t="s">
        <v>83</v>
      </c>
      <c r="P1245" t="s">
        <v>84</v>
      </c>
    </row>
    <row r="1246" spans="1:16">
      <c r="A1246" t="s">
        <v>783</v>
      </c>
      <c r="B1246" t="s">
        <v>77</v>
      </c>
      <c r="C1246" t="s">
        <v>714</v>
      </c>
      <c r="D1246" t="s">
        <v>714</v>
      </c>
      <c r="E1246" t="s">
        <v>715</v>
      </c>
      <c r="F1246" t="s">
        <v>715</v>
      </c>
      <c r="G1246" t="s">
        <v>94</v>
      </c>
      <c r="H1246" t="s">
        <v>81</v>
      </c>
      <c r="L1246">
        <v>5</v>
      </c>
      <c r="M1246" t="s">
        <v>83</v>
      </c>
      <c r="O1246" t="s">
        <v>83</v>
      </c>
      <c r="P1246" t="s">
        <v>84</v>
      </c>
    </row>
    <row r="1247" spans="1:16">
      <c r="A1247" t="s">
        <v>783</v>
      </c>
      <c r="B1247" t="s">
        <v>77</v>
      </c>
      <c r="C1247" t="s">
        <v>714</v>
      </c>
      <c r="D1247" t="s">
        <v>714</v>
      </c>
      <c r="E1247" t="s">
        <v>716</v>
      </c>
      <c r="F1247" t="s">
        <v>716</v>
      </c>
      <c r="G1247" t="s">
        <v>88</v>
      </c>
      <c r="H1247" t="s">
        <v>81</v>
      </c>
      <c r="L1247">
        <v>6</v>
      </c>
      <c r="M1247" t="s">
        <v>83</v>
      </c>
      <c r="O1247" t="s">
        <v>83</v>
      </c>
      <c r="P1247" t="s">
        <v>84</v>
      </c>
    </row>
    <row r="1248" spans="1:16">
      <c r="A1248" t="s">
        <v>783</v>
      </c>
      <c r="B1248" t="s">
        <v>77</v>
      </c>
      <c r="C1248" t="s">
        <v>714</v>
      </c>
      <c r="D1248" t="s">
        <v>714</v>
      </c>
      <c r="E1248" t="s">
        <v>717</v>
      </c>
      <c r="F1248" t="s">
        <v>717</v>
      </c>
      <c r="G1248" t="s">
        <v>94</v>
      </c>
      <c r="H1248" t="s">
        <v>81</v>
      </c>
      <c r="L1248">
        <v>7</v>
      </c>
      <c r="M1248" t="s">
        <v>83</v>
      </c>
      <c r="O1248" t="s">
        <v>83</v>
      </c>
      <c r="P1248" t="s">
        <v>84</v>
      </c>
    </row>
    <row r="1249" spans="1:16">
      <c r="A1249" t="s">
        <v>783</v>
      </c>
      <c r="B1249" t="s">
        <v>77</v>
      </c>
      <c r="C1249" t="s">
        <v>714</v>
      </c>
      <c r="D1249" t="s">
        <v>714</v>
      </c>
      <c r="E1249" t="s">
        <v>718</v>
      </c>
      <c r="F1249" t="s">
        <v>718</v>
      </c>
      <c r="G1249" t="s">
        <v>80</v>
      </c>
      <c r="H1249" t="s">
        <v>81</v>
      </c>
      <c r="I1249" t="s">
        <v>82</v>
      </c>
      <c r="L1249">
        <v>8</v>
      </c>
      <c r="M1249" t="s">
        <v>83</v>
      </c>
      <c r="O1249" t="s">
        <v>83</v>
      </c>
      <c r="P1249" t="s">
        <v>84</v>
      </c>
    </row>
    <row r="1250" spans="1:16">
      <c r="A1250" t="s">
        <v>783</v>
      </c>
      <c r="B1250" t="s">
        <v>77</v>
      </c>
      <c r="C1250" t="s">
        <v>714</v>
      </c>
      <c r="D1250" t="s">
        <v>714</v>
      </c>
      <c r="E1250" t="s">
        <v>719</v>
      </c>
      <c r="F1250" t="s">
        <v>719</v>
      </c>
      <c r="G1250" t="s">
        <v>90</v>
      </c>
      <c r="H1250" t="s">
        <v>81</v>
      </c>
      <c r="L1250">
        <v>9</v>
      </c>
      <c r="M1250" t="s">
        <v>83</v>
      </c>
      <c r="O1250" t="s">
        <v>83</v>
      </c>
      <c r="P1250" t="s">
        <v>84</v>
      </c>
    </row>
    <row r="1251" spans="1:16">
      <c r="A1251" t="s">
        <v>783</v>
      </c>
      <c r="B1251" t="s">
        <v>77</v>
      </c>
      <c r="C1251" t="s">
        <v>714</v>
      </c>
      <c r="D1251" t="s">
        <v>714</v>
      </c>
      <c r="E1251" t="s">
        <v>91</v>
      </c>
      <c r="F1251" t="s">
        <v>91</v>
      </c>
      <c r="G1251" t="s">
        <v>92</v>
      </c>
      <c r="H1251" t="s">
        <v>81</v>
      </c>
      <c r="J1251" t="s">
        <v>83</v>
      </c>
      <c r="L1251">
        <v>10</v>
      </c>
      <c r="M1251" t="s">
        <v>83</v>
      </c>
      <c r="O1251" t="s">
        <v>83</v>
      </c>
      <c r="P1251" t="s">
        <v>84</v>
      </c>
    </row>
    <row r="1252" spans="1:16">
      <c r="A1252" t="s">
        <v>783</v>
      </c>
      <c r="B1252" t="s">
        <v>77</v>
      </c>
      <c r="C1252" t="s">
        <v>714</v>
      </c>
      <c r="D1252" t="s">
        <v>714</v>
      </c>
      <c r="E1252" t="s">
        <v>720</v>
      </c>
      <c r="F1252" t="s">
        <v>720</v>
      </c>
      <c r="G1252" t="s">
        <v>98</v>
      </c>
      <c r="H1252" t="s">
        <v>81</v>
      </c>
      <c r="L1252">
        <v>11</v>
      </c>
      <c r="M1252" t="s">
        <v>83</v>
      </c>
      <c r="O1252" t="s">
        <v>83</v>
      </c>
      <c r="P1252" t="s">
        <v>84</v>
      </c>
    </row>
    <row r="1253" spans="1:16">
      <c r="A1253" t="s">
        <v>783</v>
      </c>
      <c r="B1253" t="s">
        <v>77</v>
      </c>
      <c r="C1253" t="s">
        <v>714</v>
      </c>
      <c r="D1253" t="s">
        <v>714</v>
      </c>
      <c r="E1253" t="s">
        <v>721</v>
      </c>
      <c r="F1253" t="s">
        <v>721</v>
      </c>
      <c r="G1253" t="s">
        <v>98</v>
      </c>
      <c r="H1253" t="s">
        <v>81</v>
      </c>
      <c r="L1253">
        <v>12</v>
      </c>
      <c r="M1253" t="s">
        <v>83</v>
      </c>
      <c r="O1253" t="s">
        <v>83</v>
      </c>
      <c r="P1253" t="s">
        <v>84</v>
      </c>
    </row>
    <row r="1254" spans="1:16">
      <c r="A1254" t="s">
        <v>783</v>
      </c>
      <c r="B1254" t="s">
        <v>77</v>
      </c>
      <c r="C1254" t="s">
        <v>714</v>
      </c>
      <c r="D1254" t="s">
        <v>714</v>
      </c>
      <c r="E1254" t="s">
        <v>722</v>
      </c>
      <c r="F1254" t="s">
        <v>722</v>
      </c>
      <c r="G1254" t="s">
        <v>98</v>
      </c>
      <c r="H1254" t="s">
        <v>81</v>
      </c>
      <c r="L1254">
        <v>13</v>
      </c>
      <c r="M1254" t="s">
        <v>83</v>
      </c>
      <c r="O1254" t="s">
        <v>83</v>
      </c>
      <c r="P1254" t="s">
        <v>84</v>
      </c>
    </row>
    <row r="1255" spans="1:16">
      <c r="A1255" t="s">
        <v>783</v>
      </c>
      <c r="B1255" t="s">
        <v>77</v>
      </c>
      <c r="C1255" t="s">
        <v>714</v>
      </c>
      <c r="D1255" t="s">
        <v>714</v>
      </c>
      <c r="E1255" t="s">
        <v>112</v>
      </c>
      <c r="F1255" t="s">
        <v>112</v>
      </c>
      <c r="G1255" t="s">
        <v>113</v>
      </c>
      <c r="H1255" t="s">
        <v>81</v>
      </c>
      <c r="I1255" t="s">
        <v>114</v>
      </c>
      <c r="L1255">
        <v>14</v>
      </c>
      <c r="M1255" t="s">
        <v>83</v>
      </c>
      <c r="O1255" t="s">
        <v>83</v>
      </c>
      <c r="P1255" t="s">
        <v>84</v>
      </c>
    </row>
    <row r="1256" spans="1:16">
      <c r="A1256" t="s">
        <v>783</v>
      </c>
      <c r="B1256" t="s">
        <v>77</v>
      </c>
      <c r="C1256" t="s">
        <v>714</v>
      </c>
      <c r="D1256" t="s">
        <v>714</v>
      </c>
      <c r="E1256" t="s">
        <v>115</v>
      </c>
      <c r="F1256" t="s">
        <v>115</v>
      </c>
      <c r="G1256" t="s">
        <v>113</v>
      </c>
      <c r="H1256" t="s">
        <v>81</v>
      </c>
      <c r="I1256" t="s">
        <v>114</v>
      </c>
      <c r="L1256">
        <v>15</v>
      </c>
      <c r="M1256" t="s">
        <v>83</v>
      </c>
      <c r="O1256" t="s">
        <v>83</v>
      </c>
      <c r="P1256" t="s">
        <v>84</v>
      </c>
    </row>
    <row r="1257" spans="1:16">
      <c r="A1257" t="s">
        <v>783</v>
      </c>
      <c r="B1257" t="s">
        <v>77</v>
      </c>
      <c r="C1257" t="s">
        <v>714</v>
      </c>
      <c r="D1257" t="s">
        <v>714</v>
      </c>
      <c r="E1257" t="s">
        <v>117</v>
      </c>
      <c r="F1257" t="s">
        <v>117</v>
      </c>
      <c r="G1257" t="s">
        <v>90</v>
      </c>
      <c r="H1257" t="s">
        <v>81</v>
      </c>
      <c r="L1257">
        <v>19</v>
      </c>
      <c r="M1257" t="s">
        <v>83</v>
      </c>
      <c r="O1257" t="s">
        <v>83</v>
      </c>
      <c r="P1257" t="s">
        <v>84</v>
      </c>
    </row>
    <row r="1258" spans="1:16">
      <c r="A1258" t="s">
        <v>783</v>
      </c>
      <c r="B1258" t="s">
        <v>77</v>
      </c>
      <c r="C1258" t="s">
        <v>714</v>
      </c>
      <c r="D1258" t="s">
        <v>714</v>
      </c>
      <c r="E1258" t="s">
        <v>327</v>
      </c>
      <c r="F1258" t="s">
        <v>327</v>
      </c>
      <c r="G1258" t="s">
        <v>90</v>
      </c>
      <c r="H1258" t="s">
        <v>81</v>
      </c>
      <c r="L1258">
        <v>20</v>
      </c>
      <c r="M1258" t="s">
        <v>83</v>
      </c>
      <c r="O1258" t="s">
        <v>83</v>
      </c>
      <c r="P1258" t="s">
        <v>84</v>
      </c>
    </row>
    <row r="1259" spans="1:16">
      <c r="A1259" t="s">
        <v>783</v>
      </c>
      <c r="B1259" t="s">
        <v>77</v>
      </c>
      <c r="C1259" t="s">
        <v>714</v>
      </c>
      <c r="D1259" t="s">
        <v>714</v>
      </c>
      <c r="E1259" t="s">
        <v>328</v>
      </c>
      <c r="F1259" t="s">
        <v>328</v>
      </c>
      <c r="G1259" t="s">
        <v>90</v>
      </c>
      <c r="H1259" t="s">
        <v>81</v>
      </c>
      <c r="L1259">
        <v>21</v>
      </c>
      <c r="M1259" t="s">
        <v>83</v>
      </c>
      <c r="O1259" t="s">
        <v>83</v>
      </c>
      <c r="P1259" t="s">
        <v>84</v>
      </c>
    </row>
    <row r="1260" spans="1:16">
      <c r="A1260" t="s">
        <v>783</v>
      </c>
      <c r="B1260" t="s">
        <v>77</v>
      </c>
      <c r="C1260" t="s">
        <v>714</v>
      </c>
      <c r="D1260" t="s">
        <v>714</v>
      </c>
      <c r="E1260" t="s">
        <v>118</v>
      </c>
      <c r="F1260" t="s">
        <v>118</v>
      </c>
      <c r="G1260" t="s">
        <v>92</v>
      </c>
      <c r="H1260" t="s">
        <v>81</v>
      </c>
      <c r="L1260">
        <v>25</v>
      </c>
      <c r="M1260" t="s">
        <v>83</v>
      </c>
      <c r="O1260" t="s">
        <v>83</v>
      </c>
      <c r="P1260" t="s">
        <v>84</v>
      </c>
    </row>
    <row r="1261" spans="1:16">
      <c r="A1261" t="s">
        <v>783</v>
      </c>
      <c r="B1261" t="s">
        <v>77</v>
      </c>
      <c r="C1261" t="s">
        <v>714</v>
      </c>
      <c r="D1261" t="s">
        <v>714</v>
      </c>
      <c r="E1261" t="s">
        <v>784</v>
      </c>
      <c r="F1261" t="s">
        <v>784</v>
      </c>
      <c r="G1261" t="s">
        <v>80</v>
      </c>
      <c r="H1261" t="s">
        <v>81</v>
      </c>
      <c r="I1261" t="s">
        <v>82</v>
      </c>
      <c r="L1261">
        <v>26</v>
      </c>
      <c r="M1261" t="s">
        <v>83</v>
      </c>
      <c r="O1261" t="s">
        <v>83</v>
      </c>
      <c r="P1261" t="s">
        <v>84</v>
      </c>
    </row>
    <row r="1262" spans="1:16">
      <c r="A1262" t="s">
        <v>783</v>
      </c>
      <c r="B1262" t="s">
        <v>77</v>
      </c>
      <c r="C1262" t="s">
        <v>714</v>
      </c>
      <c r="D1262" t="s">
        <v>714</v>
      </c>
      <c r="E1262" t="s">
        <v>785</v>
      </c>
      <c r="F1262" t="s">
        <v>785</v>
      </c>
      <c r="G1262" t="s">
        <v>80</v>
      </c>
      <c r="H1262" t="s">
        <v>81</v>
      </c>
      <c r="I1262" t="s">
        <v>82</v>
      </c>
      <c r="L1262">
        <v>27</v>
      </c>
      <c r="M1262" t="s">
        <v>83</v>
      </c>
      <c r="O1262" t="s">
        <v>83</v>
      </c>
      <c r="P1262" t="s">
        <v>84</v>
      </c>
    </row>
    <row r="1263" spans="1:16">
      <c r="A1263" t="s">
        <v>783</v>
      </c>
      <c r="B1263" t="s">
        <v>77</v>
      </c>
      <c r="C1263" t="s">
        <v>714</v>
      </c>
      <c r="D1263" t="s">
        <v>714</v>
      </c>
      <c r="E1263" t="s">
        <v>786</v>
      </c>
      <c r="F1263" t="s">
        <v>786</v>
      </c>
      <c r="G1263" t="s">
        <v>787</v>
      </c>
      <c r="H1263" t="s">
        <v>81</v>
      </c>
      <c r="L1263">
        <v>28</v>
      </c>
      <c r="M1263" t="s">
        <v>83</v>
      </c>
      <c r="O1263" t="s">
        <v>83</v>
      </c>
      <c r="P1263" t="s">
        <v>84</v>
      </c>
    </row>
    <row r="1264" spans="1:16">
      <c r="A1264" t="s">
        <v>783</v>
      </c>
      <c r="B1264" t="s">
        <v>77</v>
      </c>
      <c r="C1264" t="s">
        <v>723</v>
      </c>
      <c r="D1264" t="s">
        <v>723</v>
      </c>
      <c r="E1264" t="s">
        <v>79</v>
      </c>
      <c r="F1264" t="s">
        <v>79</v>
      </c>
      <c r="G1264" t="s">
        <v>80</v>
      </c>
      <c r="H1264" t="s">
        <v>81</v>
      </c>
      <c r="I1264" t="s">
        <v>82</v>
      </c>
      <c r="L1264">
        <v>1</v>
      </c>
      <c r="M1264" t="s">
        <v>83</v>
      </c>
      <c r="O1264" t="s">
        <v>83</v>
      </c>
      <c r="P1264" t="s">
        <v>84</v>
      </c>
    </row>
    <row r="1265" spans="1:16">
      <c r="A1265" t="s">
        <v>783</v>
      </c>
      <c r="B1265" t="s">
        <v>77</v>
      </c>
      <c r="C1265" t="s">
        <v>723</v>
      </c>
      <c r="D1265" t="s">
        <v>723</v>
      </c>
      <c r="E1265" t="s">
        <v>86</v>
      </c>
      <c r="F1265" t="s">
        <v>86</v>
      </c>
      <c r="G1265" t="s">
        <v>80</v>
      </c>
      <c r="H1265" t="s">
        <v>81</v>
      </c>
      <c r="I1265" t="s">
        <v>82</v>
      </c>
      <c r="L1265">
        <v>2</v>
      </c>
      <c r="M1265" t="s">
        <v>83</v>
      </c>
      <c r="O1265" t="s">
        <v>83</v>
      </c>
      <c r="P1265" t="s">
        <v>84</v>
      </c>
    </row>
    <row r="1266" spans="1:16">
      <c r="A1266" t="s">
        <v>783</v>
      </c>
      <c r="B1266" t="s">
        <v>77</v>
      </c>
      <c r="C1266" t="s">
        <v>723</v>
      </c>
      <c r="D1266" t="s">
        <v>723</v>
      </c>
      <c r="E1266" t="s">
        <v>87</v>
      </c>
      <c r="F1266" t="s">
        <v>87</v>
      </c>
      <c r="G1266" t="s">
        <v>88</v>
      </c>
      <c r="H1266" t="s">
        <v>81</v>
      </c>
      <c r="J1266" t="s">
        <v>83</v>
      </c>
      <c r="L1266">
        <v>3</v>
      </c>
      <c r="M1266" t="s">
        <v>83</v>
      </c>
      <c r="O1266" t="s">
        <v>83</v>
      </c>
      <c r="P1266" t="s">
        <v>84</v>
      </c>
    </row>
    <row r="1267" spans="1:16">
      <c r="A1267" t="s">
        <v>783</v>
      </c>
      <c r="B1267" t="s">
        <v>77</v>
      </c>
      <c r="C1267" t="s">
        <v>723</v>
      </c>
      <c r="D1267" t="s">
        <v>723</v>
      </c>
      <c r="E1267" t="s">
        <v>89</v>
      </c>
      <c r="F1267" t="s">
        <v>89</v>
      </c>
      <c r="G1267" t="s">
        <v>90</v>
      </c>
      <c r="H1267" t="s">
        <v>81</v>
      </c>
      <c r="J1267" t="s">
        <v>83</v>
      </c>
      <c r="K1267" t="s">
        <v>83</v>
      </c>
      <c r="L1267">
        <v>4</v>
      </c>
      <c r="M1267" t="s">
        <v>83</v>
      </c>
      <c r="O1267" t="s">
        <v>83</v>
      </c>
      <c r="P1267" t="s">
        <v>84</v>
      </c>
    </row>
    <row r="1268" spans="1:16">
      <c r="A1268" t="s">
        <v>783</v>
      </c>
      <c r="B1268" t="s">
        <v>77</v>
      </c>
      <c r="C1268" t="s">
        <v>723</v>
      </c>
      <c r="D1268" t="s">
        <v>723</v>
      </c>
      <c r="E1268" t="s">
        <v>724</v>
      </c>
      <c r="F1268" t="s">
        <v>724</v>
      </c>
      <c r="G1268" t="s">
        <v>80</v>
      </c>
      <c r="H1268" t="s">
        <v>81</v>
      </c>
      <c r="I1268" t="s">
        <v>82</v>
      </c>
      <c r="L1268">
        <v>5</v>
      </c>
      <c r="M1268" t="s">
        <v>83</v>
      </c>
      <c r="O1268" t="s">
        <v>83</v>
      </c>
      <c r="P1268" t="s">
        <v>84</v>
      </c>
    </row>
    <row r="1269" spans="1:16">
      <c r="A1269" t="s">
        <v>783</v>
      </c>
      <c r="B1269" t="s">
        <v>77</v>
      </c>
      <c r="C1269" t="s">
        <v>723</v>
      </c>
      <c r="D1269" t="s">
        <v>723</v>
      </c>
      <c r="E1269" t="s">
        <v>725</v>
      </c>
      <c r="F1269" t="s">
        <v>725</v>
      </c>
      <c r="G1269" t="s">
        <v>90</v>
      </c>
      <c r="H1269" t="s">
        <v>81</v>
      </c>
      <c r="L1269">
        <v>6</v>
      </c>
      <c r="M1269" t="s">
        <v>83</v>
      </c>
      <c r="O1269" t="s">
        <v>83</v>
      </c>
      <c r="P1269" t="s">
        <v>84</v>
      </c>
    </row>
    <row r="1270" spans="1:16">
      <c r="A1270" t="s">
        <v>783</v>
      </c>
      <c r="B1270" t="s">
        <v>77</v>
      </c>
      <c r="C1270" t="s">
        <v>723</v>
      </c>
      <c r="D1270" t="s">
        <v>723</v>
      </c>
      <c r="E1270" t="s">
        <v>91</v>
      </c>
      <c r="F1270" t="s">
        <v>91</v>
      </c>
      <c r="G1270" t="s">
        <v>92</v>
      </c>
      <c r="H1270" t="s">
        <v>81</v>
      </c>
      <c r="J1270" t="s">
        <v>83</v>
      </c>
      <c r="L1270">
        <v>7</v>
      </c>
      <c r="M1270" t="s">
        <v>83</v>
      </c>
      <c r="O1270" t="s">
        <v>83</v>
      </c>
      <c r="P1270" t="s">
        <v>84</v>
      </c>
    </row>
    <row r="1271" spans="1:16">
      <c r="A1271" t="s">
        <v>783</v>
      </c>
      <c r="B1271" t="s">
        <v>77</v>
      </c>
      <c r="C1271" t="s">
        <v>723</v>
      </c>
      <c r="D1271" t="s">
        <v>723</v>
      </c>
      <c r="E1271" t="s">
        <v>726</v>
      </c>
      <c r="F1271" t="s">
        <v>726</v>
      </c>
      <c r="G1271" t="s">
        <v>94</v>
      </c>
      <c r="H1271" t="s">
        <v>81</v>
      </c>
      <c r="L1271">
        <v>8</v>
      </c>
      <c r="M1271" t="s">
        <v>83</v>
      </c>
      <c r="O1271" t="s">
        <v>83</v>
      </c>
      <c r="P1271" t="s">
        <v>84</v>
      </c>
    </row>
    <row r="1272" spans="1:16">
      <c r="A1272" t="s">
        <v>783</v>
      </c>
      <c r="B1272" t="s">
        <v>77</v>
      </c>
      <c r="C1272" t="s">
        <v>723</v>
      </c>
      <c r="D1272" t="s">
        <v>723</v>
      </c>
      <c r="E1272" t="s">
        <v>727</v>
      </c>
      <c r="F1272" t="s">
        <v>727</v>
      </c>
      <c r="G1272" t="s">
        <v>88</v>
      </c>
      <c r="H1272" t="s">
        <v>81</v>
      </c>
      <c r="L1272">
        <v>9</v>
      </c>
      <c r="M1272" t="s">
        <v>83</v>
      </c>
      <c r="O1272" t="s">
        <v>83</v>
      </c>
      <c r="P1272" t="s">
        <v>84</v>
      </c>
    </row>
    <row r="1273" spans="1:16">
      <c r="A1273" t="s">
        <v>783</v>
      </c>
      <c r="B1273" t="s">
        <v>77</v>
      </c>
      <c r="C1273" t="s">
        <v>723</v>
      </c>
      <c r="D1273" t="s">
        <v>723</v>
      </c>
      <c r="E1273" t="s">
        <v>728</v>
      </c>
      <c r="F1273" t="s">
        <v>728</v>
      </c>
      <c r="G1273" t="s">
        <v>94</v>
      </c>
      <c r="H1273" t="s">
        <v>81</v>
      </c>
      <c r="L1273">
        <v>10</v>
      </c>
      <c r="M1273" t="s">
        <v>83</v>
      </c>
      <c r="O1273" t="s">
        <v>83</v>
      </c>
      <c r="P1273" t="s">
        <v>84</v>
      </c>
    </row>
    <row r="1274" spans="1:16">
      <c r="A1274" t="s">
        <v>783</v>
      </c>
      <c r="B1274" t="s">
        <v>77</v>
      </c>
      <c r="C1274" t="s">
        <v>723</v>
      </c>
      <c r="D1274" t="s">
        <v>723</v>
      </c>
      <c r="E1274" t="s">
        <v>729</v>
      </c>
      <c r="F1274" t="s">
        <v>729</v>
      </c>
      <c r="G1274" t="s">
        <v>98</v>
      </c>
      <c r="H1274" t="s">
        <v>81</v>
      </c>
      <c r="L1274">
        <v>11</v>
      </c>
      <c r="M1274" t="s">
        <v>83</v>
      </c>
      <c r="O1274" t="s">
        <v>83</v>
      </c>
      <c r="P1274" t="s">
        <v>84</v>
      </c>
    </row>
    <row r="1275" spans="1:16">
      <c r="A1275" t="s">
        <v>783</v>
      </c>
      <c r="B1275" t="s">
        <v>77</v>
      </c>
      <c r="C1275" t="s">
        <v>723</v>
      </c>
      <c r="D1275" t="s">
        <v>723</v>
      </c>
      <c r="E1275" t="s">
        <v>730</v>
      </c>
      <c r="F1275" t="s">
        <v>730</v>
      </c>
      <c r="G1275" t="s">
        <v>98</v>
      </c>
      <c r="H1275" t="s">
        <v>81</v>
      </c>
      <c r="L1275">
        <v>12</v>
      </c>
      <c r="M1275" t="s">
        <v>83</v>
      </c>
      <c r="O1275" t="s">
        <v>83</v>
      </c>
      <c r="P1275" t="s">
        <v>84</v>
      </c>
    </row>
    <row r="1276" spans="1:16">
      <c r="A1276" t="s">
        <v>783</v>
      </c>
      <c r="B1276" t="s">
        <v>77</v>
      </c>
      <c r="C1276" t="s">
        <v>723</v>
      </c>
      <c r="D1276" t="s">
        <v>723</v>
      </c>
      <c r="E1276" t="s">
        <v>731</v>
      </c>
      <c r="F1276" t="s">
        <v>731</v>
      </c>
      <c r="G1276" t="s">
        <v>98</v>
      </c>
      <c r="H1276" t="s">
        <v>81</v>
      </c>
      <c r="L1276">
        <v>13</v>
      </c>
      <c r="M1276" t="s">
        <v>83</v>
      </c>
      <c r="O1276" t="s">
        <v>83</v>
      </c>
      <c r="P1276" t="s">
        <v>84</v>
      </c>
    </row>
    <row r="1277" spans="1:16">
      <c r="A1277" t="s">
        <v>783</v>
      </c>
      <c r="B1277" t="s">
        <v>77</v>
      </c>
      <c r="C1277" t="s">
        <v>723</v>
      </c>
      <c r="D1277" t="s">
        <v>723</v>
      </c>
      <c r="E1277" t="s">
        <v>112</v>
      </c>
      <c r="F1277" t="s">
        <v>112</v>
      </c>
      <c r="G1277" t="s">
        <v>113</v>
      </c>
      <c r="H1277" t="s">
        <v>81</v>
      </c>
      <c r="I1277" t="s">
        <v>114</v>
      </c>
      <c r="L1277">
        <v>14</v>
      </c>
      <c r="M1277" t="s">
        <v>83</v>
      </c>
      <c r="O1277" t="s">
        <v>83</v>
      </c>
      <c r="P1277" t="s">
        <v>84</v>
      </c>
    </row>
    <row r="1278" spans="1:16">
      <c r="A1278" t="s">
        <v>783</v>
      </c>
      <c r="B1278" t="s">
        <v>77</v>
      </c>
      <c r="C1278" t="s">
        <v>723</v>
      </c>
      <c r="D1278" t="s">
        <v>723</v>
      </c>
      <c r="E1278" t="s">
        <v>115</v>
      </c>
      <c r="F1278" t="s">
        <v>115</v>
      </c>
      <c r="G1278" t="s">
        <v>113</v>
      </c>
      <c r="H1278" t="s">
        <v>81</v>
      </c>
      <c r="I1278" t="s">
        <v>114</v>
      </c>
      <c r="L1278">
        <v>15</v>
      </c>
      <c r="M1278" t="s">
        <v>83</v>
      </c>
      <c r="O1278" t="s">
        <v>83</v>
      </c>
      <c r="P1278" t="s">
        <v>84</v>
      </c>
    </row>
    <row r="1279" spans="1:16">
      <c r="A1279" t="s">
        <v>783</v>
      </c>
      <c r="B1279" t="s">
        <v>77</v>
      </c>
      <c r="C1279" t="s">
        <v>723</v>
      </c>
      <c r="D1279" t="s">
        <v>723</v>
      </c>
      <c r="E1279" t="s">
        <v>117</v>
      </c>
      <c r="F1279" t="s">
        <v>117</v>
      </c>
      <c r="G1279" t="s">
        <v>90</v>
      </c>
      <c r="H1279" t="s">
        <v>81</v>
      </c>
      <c r="L1279">
        <v>22</v>
      </c>
      <c r="M1279" t="s">
        <v>83</v>
      </c>
      <c r="O1279" t="s">
        <v>83</v>
      </c>
      <c r="P1279" t="s">
        <v>84</v>
      </c>
    </row>
    <row r="1280" spans="1:16">
      <c r="A1280" t="s">
        <v>783</v>
      </c>
      <c r="B1280" t="s">
        <v>77</v>
      </c>
      <c r="C1280" t="s">
        <v>723</v>
      </c>
      <c r="D1280" t="s">
        <v>723</v>
      </c>
      <c r="E1280" t="s">
        <v>327</v>
      </c>
      <c r="F1280" t="s">
        <v>327</v>
      </c>
      <c r="G1280" t="s">
        <v>90</v>
      </c>
      <c r="H1280" t="s">
        <v>81</v>
      </c>
      <c r="L1280">
        <v>23</v>
      </c>
      <c r="M1280" t="s">
        <v>83</v>
      </c>
      <c r="O1280" t="s">
        <v>83</v>
      </c>
      <c r="P1280" t="s">
        <v>84</v>
      </c>
    </row>
    <row r="1281" spans="1:16">
      <c r="A1281" t="s">
        <v>783</v>
      </c>
      <c r="B1281" t="s">
        <v>77</v>
      </c>
      <c r="C1281" t="s">
        <v>723</v>
      </c>
      <c r="D1281" t="s">
        <v>723</v>
      </c>
      <c r="E1281" t="s">
        <v>328</v>
      </c>
      <c r="F1281" t="s">
        <v>328</v>
      </c>
      <c r="G1281" t="s">
        <v>90</v>
      </c>
      <c r="H1281" t="s">
        <v>81</v>
      </c>
      <c r="L1281">
        <v>24</v>
      </c>
      <c r="M1281" t="s">
        <v>83</v>
      </c>
      <c r="O1281" t="s">
        <v>83</v>
      </c>
      <c r="P1281" t="s">
        <v>84</v>
      </c>
    </row>
    <row r="1282" spans="1:16">
      <c r="A1282" t="s">
        <v>783</v>
      </c>
      <c r="B1282" t="s">
        <v>77</v>
      </c>
      <c r="C1282" t="s">
        <v>723</v>
      </c>
      <c r="D1282" t="s">
        <v>723</v>
      </c>
      <c r="E1282" t="s">
        <v>118</v>
      </c>
      <c r="F1282" t="s">
        <v>118</v>
      </c>
      <c r="G1282" t="s">
        <v>92</v>
      </c>
      <c r="H1282" t="s">
        <v>81</v>
      </c>
      <c r="L1282">
        <v>25</v>
      </c>
      <c r="M1282" t="s">
        <v>83</v>
      </c>
      <c r="O1282" t="s">
        <v>83</v>
      </c>
      <c r="P1282" t="s">
        <v>84</v>
      </c>
    </row>
    <row r="1283" spans="1:16">
      <c r="A1283" t="s">
        <v>783</v>
      </c>
      <c r="B1283" t="s">
        <v>77</v>
      </c>
      <c r="C1283" t="s">
        <v>723</v>
      </c>
      <c r="D1283" t="s">
        <v>723</v>
      </c>
      <c r="E1283" t="s">
        <v>784</v>
      </c>
      <c r="F1283" t="s">
        <v>784</v>
      </c>
      <c r="G1283" t="s">
        <v>80</v>
      </c>
      <c r="H1283" t="s">
        <v>81</v>
      </c>
      <c r="I1283" t="s">
        <v>82</v>
      </c>
      <c r="L1283">
        <v>26</v>
      </c>
      <c r="M1283" t="s">
        <v>83</v>
      </c>
      <c r="O1283" t="s">
        <v>83</v>
      </c>
      <c r="P1283" t="s">
        <v>84</v>
      </c>
    </row>
    <row r="1284" spans="1:16">
      <c r="A1284" t="s">
        <v>783</v>
      </c>
      <c r="B1284" t="s">
        <v>77</v>
      </c>
      <c r="C1284" t="s">
        <v>723</v>
      </c>
      <c r="D1284" t="s">
        <v>723</v>
      </c>
      <c r="E1284" t="s">
        <v>785</v>
      </c>
      <c r="F1284" t="s">
        <v>785</v>
      </c>
      <c r="G1284" t="s">
        <v>80</v>
      </c>
      <c r="H1284" t="s">
        <v>81</v>
      </c>
      <c r="I1284" t="s">
        <v>82</v>
      </c>
      <c r="L1284">
        <v>27</v>
      </c>
      <c r="M1284" t="s">
        <v>83</v>
      </c>
      <c r="O1284" t="s">
        <v>83</v>
      </c>
      <c r="P1284" t="s">
        <v>84</v>
      </c>
    </row>
    <row r="1285" spans="1:16">
      <c r="A1285" t="s">
        <v>783</v>
      </c>
      <c r="B1285" t="s">
        <v>77</v>
      </c>
      <c r="C1285" t="s">
        <v>723</v>
      </c>
      <c r="D1285" t="s">
        <v>723</v>
      </c>
      <c r="E1285" t="s">
        <v>786</v>
      </c>
      <c r="F1285" t="s">
        <v>786</v>
      </c>
      <c r="G1285" t="s">
        <v>787</v>
      </c>
      <c r="H1285" t="s">
        <v>81</v>
      </c>
      <c r="L1285">
        <v>28</v>
      </c>
      <c r="M1285" t="s">
        <v>83</v>
      </c>
      <c r="O1285" t="s">
        <v>83</v>
      </c>
      <c r="P1285" t="s">
        <v>84</v>
      </c>
    </row>
    <row r="1286" spans="1:16">
      <c r="A1286" t="s">
        <v>783</v>
      </c>
      <c r="B1286" t="s">
        <v>77</v>
      </c>
      <c r="C1286" t="s">
        <v>732</v>
      </c>
      <c r="D1286" t="s">
        <v>732</v>
      </c>
      <c r="E1286" t="s">
        <v>79</v>
      </c>
      <c r="F1286" t="s">
        <v>79</v>
      </c>
      <c r="G1286" t="s">
        <v>80</v>
      </c>
      <c r="H1286" t="s">
        <v>81</v>
      </c>
      <c r="I1286" t="s">
        <v>82</v>
      </c>
      <c r="L1286">
        <v>1</v>
      </c>
      <c r="M1286" t="s">
        <v>83</v>
      </c>
      <c r="O1286" t="s">
        <v>83</v>
      </c>
      <c r="P1286" t="s">
        <v>84</v>
      </c>
    </row>
    <row r="1287" spans="1:16">
      <c r="A1287" t="s">
        <v>783</v>
      </c>
      <c r="B1287" t="s">
        <v>77</v>
      </c>
      <c r="C1287" t="s">
        <v>732</v>
      </c>
      <c r="D1287" t="s">
        <v>732</v>
      </c>
      <c r="E1287" t="s">
        <v>86</v>
      </c>
      <c r="F1287" t="s">
        <v>86</v>
      </c>
      <c r="G1287" t="s">
        <v>80</v>
      </c>
      <c r="H1287" t="s">
        <v>81</v>
      </c>
      <c r="I1287" t="s">
        <v>82</v>
      </c>
      <c r="L1287">
        <v>2</v>
      </c>
      <c r="M1287" t="s">
        <v>83</v>
      </c>
      <c r="O1287" t="s">
        <v>83</v>
      </c>
      <c r="P1287" t="s">
        <v>84</v>
      </c>
    </row>
    <row r="1288" spans="1:16">
      <c r="A1288" t="s">
        <v>783</v>
      </c>
      <c r="B1288" t="s">
        <v>77</v>
      </c>
      <c r="C1288" t="s">
        <v>732</v>
      </c>
      <c r="D1288" t="s">
        <v>732</v>
      </c>
      <c r="E1288" t="s">
        <v>87</v>
      </c>
      <c r="F1288" t="s">
        <v>87</v>
      </c>
      <c r="G1288" t="s">
        <v>88</v>
      </c>
      <c r="H1288" t="s">
        <v>81</v>
      </c>
      <c r="J1288" t="s">
        <v>83</v>
      </c>
      <c r="L1288">
        <v>3</v>
      </c>
      <c r="M1288" t="s">
        <v>83</v>
      </c>
      <c r="O1288" t="s">
        <v>83</v>
      </c>
      <c r="P1288" t="s">
        <v>84</v>
      </c>
    </row>
    <row r="1289" spans="1:16">
      <c r="A1289" t="s">
        <v>783</v>
      </c>
      <c r="B1289" t="s">
        <v>77</v>
      </c>
      <c r="C1289" t="s">
        <v>732</v>
      </c>
      <c r="D1289" t="s">
        <v>732</v>
      </c>
      <c r="E1289" t="s">
        <v>89</v>
      </c>
      <c r="F1289" t="s">
        <v>89</v>
      </c>
      <c r="G1289" t="s">
        <v>90</v>
      </c>
      <c r="H1289" t="s">
        <v>81</v>
      </c>
      <c r="J1289" t="s">
        <v>83</v>
      </c>
      <c r="K1289" t="s">
        <v>83</v>
      </c>
      <c r="L1289">
        <v>4</v>
      </c>
      <c r="M1289" t="s">
        <v>83</v>
      </c>
      <c r="O1289" t="s">
        <v>83</v>
      </c>
      <c r="P1289" t="s">
        <v>84</v>
      </c>
    </row>
    <row r="1290" spans="1:16">
      <c r="A1290" t="s">
        <v>783</v>
      </c>
      <c r="B1290" t="s">
        <v>77</v>
      </c>
      <c r="C1290" t="s">
        <v>732</v>
      </c>
      <c r="D1290" t="s">
        <v>732</v>
      </c>
      <c r="E1290" t="s">
        <v>733</v>
      </c>
      <c r="F1290" t="s">
        <v>733</v>
      </c>
      <c r="G1290" t="s">
        <v>80</v>
      </c>
      <c r="H1290" t="s">
        <v>81</v>
      </c>
      <c r="I1290" t="s">
        <v>82</v>
      </c>
      <c r="L1290">
        <v>5</v>
      </c>
      <c r="M1290" t="s">
        <v>83</v>
      </c>
      <c r="O1290" t="s">
        <v>83</v>
      </c>
      <c r="P1290" t="s">
        <v>84</v>
      </c>
    </row>
    <row r="1291" spans="1:16">
      <c r="A1291" t="s">
        <v>783</v>
      </c>
      <c r="B1291" t="s">
        <v>77</v>
      </c>
      <c r="C1291" t="s">
        <v>732</v>
      </c>
      <c r="D1291" t="s">
        <v>732</v>
      </c>
      <c r="E1291" t="s">
        <v>734</v>
      </c>
      <c r="F1291" t="s">
        <v>734</v>
      </c>
      <c r="G1291" t="s">
        <v>90</v>
      </c>
      <c r="H1291" t="s">
        <v>81</v>
      </c>
      <c r="L1291">
        <v>6</v>
      </c>
      <c r="M1291" t="s">
        <v>83</v>
      </c>
      <c r="O1291" t="s">
        <v>83</v>
      </c>
      <c r="P1291" t="s">
        <v>84</v>
      </c>
    </row>
    <row r="1292" spans="1:16">
      <c r="A1292" t="s">
        <v>783</v>
      </c>
      <c r="B1292" t="s">
        <v>77</v>
      </c>
      <c r="C1292" t="s">
        <v>732</v>
      </c>
      <c r="D1292" t="s">
        <v>732</v>
      </c>
      <c r="E1292" t="s">
        <v>91</v>
      </c>
      <c r="F1292" t="s">
        <v>91</v>
      </c>
      <c r="G1292" t="s">
        <v>92</v>
      </c>
      <c r="H1292" t="s">
        <v>81</v>
      </c>
      <c r="J1292" t="s">
        <v>83</v>
      </c>
      <c r="L1292">
        <v>7</v>
      </c>
      <c r="M1292" t="s">
        <v>83</v>
      </c>
      <c r="O1292" t="s">
        <v>83</v>
      </c>
      <c r="P1292" t="s">
        <v>84</v>
      </c>
    </row>
    <row r="1293" spans="1:16">
      <c r="A1293" t="s">
        <v>783</v>
      </c>
      <c r="B1293" t="s">
        <v>77</v>
      </c>
      <c r="C1293" t="s">
        <v>732</v>
      </c>
      <c r="D1293" t="s">
        <v>732</v>
      </c>
      <c r="E1293" t="s">
        <v>735</v>
      </c>
      <c r="F1293" t="s">
        <v>735</v>
      </c>
      <c r="G1293" t="s">
        <v>94</v>
      </c>
      <c r="H1293" t="s">
        <v>81</v>
      </c>
      <c r="L1293">
        <v>8</v>
      </c>
      <c r="M1293" t="s">
        <v>83</v>
      </c>
      <c r="O1293" t="s">
        <v>83</v>
      </c>
      <c r="P1293" t="s">
        <v>84</v>
      </c>
    </row>
    <row r="1294" spans="1:16">
      <c r="A1294" t="s">
        <v>783</v>
      </c>
      <c r="B1294" t="s">
        <v>77</v>
      </c>
      <c r="C1294" t="s">
        <v>732</v>
      </c>
      <c r="D1294" t="s">
        <v>732</v>
      </c>
      <c r="E1294" t="s">
        <v>736</v>
      </c>
      <c r="F1294" t="s">
        <v>736</v>
      </c>
      <c r="G1294" t="s">
        <v>88</v>
      </c>
      <c r="H1294" t="s">
        <v>81</v>
      </c>
      <c r="L1294">
        <v>9</v>
      </c>
      <c r="M1294" t="s">
        <v>83</v>
      </c>
      <c r="O1294" t="s">
        <v>83</v>
      </c>
      <c r="P1294" t="s">
        <v>84</v>
      </c>
    </row>
    <row r="1295" spans="1:16">
      <c r="A1295" t="s">
        <v>783</v>
      </c>
      <c r="B1295" t="s">
        <v>77</v>
      </c>
      <c r="C1295" t="s">
        <v>732</v>
      </c>
      <c r="D1295" t="s">
        <v>732</v>
      </c>
      <c r="E1295" t="s">
        <v>737</v>
      </c>
      <c r="F1295" t="s">
        <v>737</v>
      </c>
      <c r="G1295" t="s">
        <v>94</v>
      </c>
      <c r="H1295" t="s">
        <v>81</v>
      </c>
      <c r="L1295">
        <v>10</v>
      </c>
      <c r="M1295" t="s">
        <v>83</v>
      </c>
      <c r="O1295" t="s">
        <v>83</v>
      </c>
      <c r="P1295" t="s">
        <v>84</v>
      </c>
    </row>
    <row r="1296" spans="1:16">
      <c r="A1296" t="s">
        <v>783</v>
      </c>
      <c r="B1296" t="s">
        <v>77</v>
      </c>
      <c r="C1296" t="s">
        <v>732</v>
      </c>
      <c r="D1296" t="s">
        <v>732</v>
      </c>
      <c r="E1296" t="s">
        <v>738</v>
      </c>
      <c r="F1296" t="s">
        <v>738</v>
      </c>
      <c r="G1296" t="s">
        <v>98</v>
      </c>
      <c r="H1296" t="s">
        <v>81</v>
      </c>
      <c r="L1296">
        <v>11</v>
      </c>
      <c r="M1296" t="s">
        <v>83</v>
      </c>
      <c r="O1296" t="s">
        <v>83</v>
      </c>
      <c r="P1296" t="s">
        <v>84</v>
      </c>
    </row>
    <row r="1297" spans="1:16">
      <c r="A1297" t="s">
        <v>783</v>
      </c>
      <c r="B1297" t="s">
        <v>77</v>
      </c>
      <c r="C1297" t="s">
        <v>732</v>
      </c>
      <c r="D1297" t="s">
        <v>732</v>
      </c>
      <c r="E1297" t="s">
        <v>739</v>
      </c>
      <c r="F1297" t="s">
        <v>739</v>
      </c>
      <c r="G1297" t="s">
        <v>98</v>
      </c>
      <c r="H1297" t="s">
        <v>81</v>
      </c>
      <c r="L1297">
        <v>12</v>
      </c>
      <c r="M1297" t="s">
        <v>83</v>
      </c>
      <c r="O1297" t="s">
        <v>83</v>
      </c>
      <c r="P1297" t="s">
        <v>84</v>
      </c>
    </row>
    <row r="1298" spans="1:16">
      <c r="A1298" t="s">
        <v>783</v>
      </c>
      <c r="B1298" t="s">
        <v>77</v>
      </c>
      <c r="C1298" t="s">
        <v>732</v>
      </c>
      <c r="D1298" t="s">
        <v>732</v>
      </c>
      <c r="E1298" t="s">
        <v>740</v>
      </c>
      <c r="F1298" t="s">
        <v>740</v>
      </c>
      <c r="G1298" t="s">
        <v>98</v>
      </c>
      <c r="H1298" t="s">
        <v>81</v>
      </c>
      <c r="L1298">
        <v>13</v>
      </c>
      <c r="M1298" t="s">
        <v>83</v>
      </c>
      <c r="O1298" t="s">
        <v>83</v>
      </c>
      <c r="P1298" t="s">
        <v>84</v>
      </c>
    </row>
    <row r="1299" spans="1:16">
      <c r="A1299" t="s">
        <v>783</v>
      </c>
      <c r="B1299" t="s">
        <v>77</v>
      </c>
      <c r="C1299" t="s">
        <v>732</v>
      </c>
      <c r="D1299" t="s">
        <v>732</v>
      </c>
      <c r="E1299" t="s">
        <v>112</v>
      </c>
      <c r="F1299" t="s">
        <v>112</v>
      </c>
      <c r="G1299" t="s">
        <v>113</v>
      </c>
      <c r="H1299" t="s">
        <v>81</v>
      </c>
      <c r="I1299" t="s">
        <v>114</v>
      </c>
      <c r="L1299">
        <v>14</v>
      </c>
      <c r="M1299" t="s">
        <v>83</v>
      </c>
      <c r="O1299" t="s">
        <v>83</v>
      </c>
      <c r="P1299" t="s">
        <v>84</v>
      </c>
    </row>
    <row r="1300" spans="1:16">
      <c r="A1300" t="s">
        <v>783</v>
      </c>
      <c r="B1300" t="s">
        <v>77</v>
      </c>
      <c r="C1300" t="s">
        <v>732</v>
      </c>
      <c r="D1300" t="s">
        <v>732</v>
      </c>
      <c r="E1300" t="s">
        <v>115</v>
      </c>
      <c r="F1300" t="s">
        <v>115</v>
      </c>
      <c r="G1300" t="s">
        <v>113</v>
      </c>
      <c r="H1300" t="s">
        <v>81</v>
      </c>
      <c r="I1300" t="s">
        <v>114</v>
      </c>
      <c r="L1300">
        <v>15</v>
      </c>
      <c r="M1300" t="s">
        <v>83</v>
      </c>
      <c r="O1300" t="s">
        <v>83</v>
      </c>
      <c r="P1300" t="s">
        <v>84</v>
      </c>
    </row>
    <row r="1301" spans="1:16">
      <c r="A1301" t="s">
        <v>783</v>
      </c>
      <c r="B1301" t="s">
        <v>77</v>
      </c>
      <c r="C1301" t="s">
        <v>732</v>
      </c>
      <c r="D1301" t="s">
        <v>732</v>
      </c>
      <c r="E1301" t="s">
        <v>117</v>
      </c>
      <c r="F1301" t="s">
        <v>117</v>
      </c>
      <c r="G1301" t="s">
        <v>90</v>
      </c>
      <c r="H1301" t="s">
        <v>81</v>
      </c>
      <c r="L1301">
        <v>22</v>
      </c>
      <c r="M1301" t="s">
        <v>83</v>
      </c>
      <c r="O1301" t="s">
        <v>83</v>
      </c>
      <c r="P1301" t="s">
        <v>84</v>
      </c>
    </row>
    <row r="1302" spans="1:16">
      <c r="A1302" t="s">
        <v>783</v>
      </c>
      <c r="B1302" t="s">
        <v>77</v>
      </c>
      <c r="C1302" t="s">
        <v>732</v>
      </c>
      <c r="D1302" t="s">
        <v>732</v>
      </c>
      <c r="E1302" t="s">
        <v>327</v>
      </c>
      <c r="F1302" t="s">
        <v>327</v>
      </c>
      <c r="G1302" t="s">
        <v>90</v>
      </c>
      <c r="H1302" t="s">
        <v>81</v>
      </c>
      <c r="L1302">
        <v>23</v>
      </c>
      <c r="M1302" t="s">
        <v>83</v>
      </c>
      <c r="O1302" t="s">
        <v>83</v>
      </c>
      <c r="P1302" t="s">
        <v>84</v>
      </c>
    </row>
    <row r="1303" spans="1:16">
      <c r="A1303" t="s">
        <v>783</v>
      </c>
      <c r="B1303" t="s">
        <v>77</v>
      </c>
      <c r="C1303" t="s">
        <v>732</v>
      </c>
      <c r="D1303" t="s">
        <v>732</v>
      </c>
      <c r="E1303" t="s">
        <v>328</v>
      </c>
      <c r="F1303" t="s">
        <v>328</v>
      </c>
      <c r="G1303" t="s">
        <v>90</v>
      </c>
      <c r="H1303" t="s">
        <v>81</v>
      </c>
      <c r="L1303">
        <v>24</v>
      </c>
      <c r="M1303" t="s">
        <v>83</v>
      </c>
      <c r="O1303" t="s">
        <v>83</v>
      </c>
      <c r="P1303" t="s">
        <v>84</v>
      </c>
    </row>
    <row r="1304" spans="1:16">
      <c r="A1304" t="s">
        <v>783</v>
      </c>
      <c r="B1304" t="s">
        <v>77</v>
      </c>
      <c r="C1304" t="s">
        <v>732</v>
      </c>
      <c r="D1304" t="s">
        <v>732</v>
      </c>
      <c r="E1304" t="s">
        <v>118</v>
      </c>
      <c r="F1304" t="s">
        <v>118</v>
      </c>
      <c r="G1304" t="s">
        <v>92</v>
      </c>
      <c r="H1304" t="s">
        <v>81</v>
      </c>
      <c r="L1304">
        <v>25</v>
      </c>
      <c r="M1304" t="s">
        <v>83</v>
      </c>
      <c r="O1304" t="s">
        <v>83</v>
      </c>
      <c r="P1304" t="s">
        <v>84</v>
      </c>
    </row>
    <row r="1305" spans="1:16">
      <c r="A1305" t="s">
        <v>783</v>
      </c>
      <c r="B1305" t="s">
        <v>77</v>
      </c>
      <c r="C1305" t="s">
        <v>732</v>
      </c>
      <c r="D1305" t="s">
        <v>732</v>
      </c>
      <c r="E1305" t="s">
        <v>784</v>
      </c>
      <c r="F1305" t="s">
        <v>784</v>
      </c>
      <c r="G1305" t="s">
        <v>80</v>
      </c>
      <c r="H1305" t="s">
        <v>81</v>
      </c>
      <c r="I1305" t="s">
        <v>82</v>
      </c>
      <c r="L1305">
        <v>26</v>
      </c>
      <c r="M1305" t="s">
        <v>83</v>
      </c>
      <c r="O1305" t="s">
        <v>83</v>
      </c>
      <c r="P1305" t="s">
        <v>84</v>
      </c>
    </row>
    <row r="1306" spans="1:16">
      <c r="A1306" t="s">
        <v>783</v>
      </c>
      <c r="B1306" t="s">
        <v>77</v>
      </c>
      <c r="C1306" t="s">
        <v>732</v>
      </c>
      <c r="D1306" t="s">
        <v>732</v>
      </c>
      <c r="E1306" t="s">
        <v>785</v>
      </c>
      <c r="F1306" t="s">
        <v>785</v>
      </c>
      <c r="G1306" t="s">
        <v>80</v>
      </c>
      <c r="H1306" t="s">
        <v>81</v>
      </c>
      <c r="I1306" t="s">
        <v>82</v>
      </c>
      <c r="L1306">
        <v>27</v>
      </c>
      <c r="M1306" t="s">
        <v>83</v>
      </c>
      <c r="O1306" t="s">
        <v>83</v>
      </c>
      <c r="P1306" t="s">
        <v>84</v>
      </c>
    </row>
    <row r="1307" spans="1:16">
      <c r="A1307" t="s">
        <v>783</v>
      </c>
      <c r="B1307" t="s">
        <v>77</v>
      </c>
      <c r="C1307" t="s">
        <v>732</v>
      </c>
      <c r="D1307" t="s">
        <v>732</v>
      </c>
      <c r="E1307" t="s">
        <v>786</v>
      </c>
      <c r="F1307" t="s">
        <v>786</v>
      </c>
      <c r="G1307" t="s">
        <v>787</v>
      </c>
      <c r="H1307" t="s">
        <v>81</v>
      </c>
      <c r="L1307">
        <v>28</v>
      </c>
      <c r="M1307" t="s">
        <v>83</v>
      </c>
      <c r="O1307" t="s">
        <v>83</v>
      </c>
      <c r="P1307" t="s">
        <v>84</v>
      </c>
    </row>
    <row r="1308" spans="1:16">
      <c r="A1308" t="s">
        <v>783</v>
      </c>
      <c r="B1308" t="s">
        <v>77</v>
      </c>
      <c r="C1308" t="s">
        <v>741</v>
      </c>
      <c r="D1308" t="s">
        <v>741</v>
      </c>
      <c r="E1308" t="s">
        <v>79</v>
      </c>
      <c r="F1308" t="s">
        <v>79</v>
      </c>
      <c r="G1308" t="s">
        <v>80</v>
      </c>
      <c r="H1308" t="s">
        <v>81</v>
      </c>
      <c r="I1308" t="s">
        <v>82</v>
      </c>
      <c r="L1308">
        <v>1</v>
      </c>
      <c r="M1308" t="s">
        <v>83</v>
      </c>
      <c r="O1308" t="s">
        <v>83</v>
      </c>
      <c r="P1308" t="s">
        <v>84</v>
      </c>
    </row>
    <row r="1309" spans="1:16">
      <c r="A1309" t="s">
        <v>783</v>
      </c>
      <c r="B1309" t="s">
        <v>77</v>
      </c>
      <c r="C1309" t="s">
        <v>741</v>
      </c>
      <c r="D1309" t="s">
        <v>741</v>
      </c>
      <c r="E1309" t="s">
        <v>86</v>
      </c>
      <c r="F1309" t="s">
        <v>86</v>
      </c>
      <c r="G1309" t="s">
        <v>80</v>
      </c>
      <c r="H1309" t="s">
        <v>81</v>
      </c>
      <c r="I1309" t="s">
        <v>82</v>
      </c>
      <c r="L1309">
        <v>2</v>
      </c>
      <c r="M1309" t="s">
        <v>83</v>
      </c>
      <c r="O1309" t="s">
        <v>83</v>
      </c>
      <c r="P1309" t="s">
        <v>84</v>
      </c>
    </row>
    <row r="1310" spans="1:16">
      <c r="A1310" t="s">
        <v>783</v>
      </c>
      <c r="B1310" t="s">
        <v>77</v>
      </c>
      <c r="C1310" t="s">
        <v>741</v>
      </c>
      <c r="D1310" t="s">
        <v>741</v>
      </c>
      <c r="E1310" t="s">
        <v>87</v>
      </c>
      <c r="F1310" t="s">
        <v>87</v>
      </c>
      <c r="G1310" t="s">
        <v>88</v>
      </c>
      <c r="H1310" t="s">
        <v>81</v>
      </c>
      <c r="J1310" t="s">
        <v>83</v>
      </c>
      <c r="L1310">
        <v>3</v>
      </c>
      <c r="M1310" t="s">
        <v>83</v>
      </c>
      <c r="O1310" t="s">
        <v>83</v>
      </c>
      <c r="P1310" t="s">
        <v>84</v>
      </c>
    </row>
    <row r="1311" spans="1:16">
      <c r="A1311" t="s">
        <v>783</v>
      </c>
      <c r="B1311" t="s">
        <v>77</v>
      </c>
      <c r="C1311" t="s">
        <v>741</v>
      </c>
      <c r="D1311" t="s">
        <v>741</v>
      </c>
      <c r="E1311" t="s">
        <v>89</v>
      </c>
      <c r="F1311" t="s">
        <v>89</v>
      </c>
      <c r="G1311" t="s">
        <v>90</v>
      </c>
      <c r="H1311" t="s">
        <v>81</v>
      </c>
      <c r="J1311" t="s">
        <v>83</v>
      </c>
      <c r="K1311" t="s">
        <v>83</v>
      </c>
      <c r="L1311">
        <v>4</v>
      </c>
      <c r="M1311" t="s">
        <v>83</v>
      </c>
      <c r="O1311" t="s">
        <v>83</v>
      </c>
      <c r="P1311" t="s">
        <v>84</v>
      </c>
    </row>
    <row r="1312" spans="1:16">
      <c r="A1312" t="s">
        <v>783</v>
      </c>
      <c r="B1312" t="s">
        <v>77</v>
      </c>
      <c r="C1312" t="s">
        <v>741</v>
      </c>
      <c r="D1312" t="s">
        <v>741</v>
      </c>
      <c r="E1312" t="s">
        <v>742</v>
      </c>
      <c r="F1312" t="s">
        <v>742</v>
      </c>
      <c r="G1312" t="s">
        <v>80</v>
      </c>
      <c r="H1312" t="s">
        <v>81</v>
      </c>
      <c r="I1312" t="s">
        <v>82</v>
      </c>
      <c r="L1312">
        <v>5</v>
      </c>
      <c r="M1312" t="s">
        <v>83</v>
      </c>
      <c r="O1312" t="s">
        <v>83</v>
      </c>
      <c r="P1312" t="s">
        <v>84</v>
      </c>
    </row>
    <row r="1313" spans="1:16">
      <c r="A1313" t="s">
        <v>783</v>
      </c>
      <c r="B1313" t="s">
        <v>77</v>
      </c>
      <c r="C1313" t="s">
        <v>741</v>
      </c>
      <c r="D1313" t="s">
        <v>741</v>
      </c>
      <c r="E1313" t="s">
        <v>743</v>
      </c>
      <c r="F1313" t="s">
        <v>743</v>
      </c>
      <c r="G1313" t="s">
        <v>90</v>
      </c>
      <c r="H1313" t="s">
        <v>81</v>
      </c>
      <c r="L1313">
        <v>6</v>
      </c>
      <c r="M1313" t="s">
        <v>83</v>
      </c>
      <c r="O1313" t="s">
        <v>83</v>
      </c>
      <c r="P1313" t="s">
        <v>84</v>
      </c>
    </row>
    <row r="1314" spans="1:16">
      <c r="A1314" t="s">
        <v>783</v>
      </c>
      <c r="B1314" t="s">
        <v>77</v>
      </c>
      <c r="C1314" t="s">
        <v>741</v>
      </c>
      <c r="D1314" t="s">
        <v>741</v>
      </c>
      <c r="E1314" t="s">
        <v>91</v>
      </c>
      <c r="F1314" t="s">
        <v>91</v>
      </c>
      <c r="G1314" t="s">
        <v>92</v>
      </c>
      <c r="H1314" t="s">
        <v>81</v>
      </c>
      <c r="J1314" t="s">
        <v>83</v>
      </c>
      <c r="L1314">
        <v>7</v>
      </c>
      <c r="M1314" t="s">
        <v>83</v>
      </c>
      <c r="O1314" t="s">
        <v>83</v>
      </c>
      <c r="P1314" t="s">
        <v>84</v>
      </c>
    </row>
    <row r="1315" spans="1:16">
      <c r="A1315" t="s">
        <v>783</v>
      </c>
      <c r="B1315" t="s">
        <v>77</v>
      </c>
      <c r="C1315" t="s">
        <v>741</v>
      </c>
      <c r="D1315" t="s">
        <v>741</v>
      </c>
      <c r="E1315" t="s">
        <v>744</v>
      </c>
      <c r="F1315" t="s">
        <v>744</v>
      </c>
      <c r="G1315" t="s">
        <v>94</v>
      </c>
      <c r="H1315" t="s">
        <v>81</v>
      </c>
      <c r="L1315">
        <v>8</v>
      </c>
      <c r="M1315" t="s">
        <v>83</v>
      </c>
      <c r="O1315" t="s">
        <v>83</v>
      </c>
      <c r="P1315" t="s">
        <v>84</v>
      </c>
    </row>
    <row r="1316" spans="1:16">
      <c r="A1316" t="s">
        <v>783</v>
      </c>
      <c r="B1316" t="s">
        <v>77</v>
      </c>
      <c r="C1316" t="s">
        <v>741</v>
      </c>
      <c r="D1316" t="s">
        <v>741</v>
      </c>
      <c r="E1316" t="s">
        <v>745</v>
      </c>
      <c r="F1316" t="s">
        <v>745</v>
      </c>
      <c r="G1316" t="s">
        <v>88</v>
      </c>
      <c r="H1316" t="s">
        <v>81</v>
      </c>
      <c r="L1316">
        <v>9</v>
      </c>
      <c r="M1316" t="s">
        <v>83</v>
      </c>
      <c r="O1316" t="s">
        <v>83</v>
      </c>
      <c r="P1316" t="s">
        <v>84</v>
      </c>
    </row>
    <row r="1317" spans="1:16">
      <c r="A1317" t="s">
        <v>783</v>
      </c>
      <c r="B1317" t="s">
        <v>77</v>
      </c>
      <c r="C1317" t="s">
        <v>741</v>
      </c>
      <c r="D1317" t="s">
        <v>741</v>
      </c>
      <c r="E1317" t="s">
        <v>746</v>
      </c>
      <c r="F1317" t="s">
        <v>746</v>
      </c>
      <c r="G1317" t="s">
        <v>94</v>
      </c>
      <c r="H1317" t="s">
        <v>81</v>
      </c>
      <c r="L1317">
        <v>10</v>
      </c>
      <c r="M1317" t="s">
        <v>83</v>
      </c>
      <c r="O1317" t="s">
        <v>83</v>
      </c>
      <c r="P1317" t="s">
        <v>84</v>
      </c>
    </row>
    <row r="1318" spans="1:16">
      <c r="A1318" t="s">
        <v>783</v>
      </c>
      <c r="B1318" t="s">
        <v>77</v>
      </c>
      <c r="C1318" t="s">
        <v>741</v>
      </c>
      <c r="D1318" t="s">
        <v>741</v>
      </c>
      <c r="E1318" t="s">
        <v>747</v>
      </c>
      <c r="F1318" t="s">
        <v>747</v>
      </c>
      <c r="G1318" t="s">
        <v>98</v>
      </c>
      <c r="H1318" t="s">
        <v>81</v>
      </c>
      <c r="L1318">
        <v>11</v>
      </c>
      <c r="M1318" t="s">
        <v>83</v>
      </c>
      <c r="O1318" t="s">
        <v>83</v>
      </c>
      <c r="P1318" t="s">
        <v>84</v>
      </c>
    </row>
    <row r="1319" spans="1:16">
      <c r="A1319" t="s">
        <v>783</v>
      </c>
      <c r="B1319" t="s">
        <v>77</v>
      </c>
      <c r="C1319" t="s">
        <v>741</v>
      </c>
      <c r="D1319" t="s">
        <v>741</v>
      </c>
      <c r="E1319" t="s">
        <v>748</v>
      </c>
      <c r="F1319" t="s">
        <v>748</v>
      </c>
      <c r="G1319" t="s">
        <v>98</v>
      </c>
      <c r="H1319" t="s">
        <v>81</v>
      </c>
      <c r="L1319">
        <v>12</v>
      </c>
      <c r="M1319" t="s">
        <v>83</v>
      </c>
      <c r="O1319" t="s">
        <v>83</v>
      </c>
      <c r="P1319" t="s">
        <v>84</v>
      </c>
    </row>
    <row r="1320" spans="1:16">
      <c r="A1320" t="s">
        <v>783</v>
      </c>
      <c r="B1320" t="s">
        <v>77</v>
      </c>
      <c r="C1320" t="s">
        <v>741</v>
      </c>
      <c r="D1320" t="s">
        <v>741</v>
      </c>
      <c r="E1320" t="s">
        <v>749</v>
      </c>
      <c r="F1320" t="s">
        <v>749</v>
      </c>
      <c r="G1320" t="s">
        <v>98</v>
      </c>
      <c r="H1320" t="s">
        <v>81</v>
      </c>
      <c r="L1320">
        <v>13</v>
      </c>
      <c r="M1320" t="s">
        <v>83</v>
      </c>
      <c r="O1320" t="s">
        <v>83</v>
      </c>
      <c r="P1320" t="s">
        <v>84</v>
      </c>
    </row>
    <row r="1321" spans="1:16">
      <c r="A1321" t="s">
        <v>783</v>
      </c>
      <c r="B1321" t="s">
        <v>77</v>
      </c>
      <c r="C1321" t="s">
        <v>741</v>
      </c>
      <c r="D1321" t="s">
        <v>741</v>
      </c>
      <c r="E1321" t="s">
        <v>112</v>
      </c>
      <c r="F1321" t="s">
        <v>112</v>
      </c>
      <c r="G1321" t="s">
        <v>113</v>
      </c>
      <c r="H1321" t="s">
        <v>81</v>
      </c>
      <c r="I1321" t="s">
        <v>114</v>
      </c>
      <c r="L1321">
        <v>14</v>
      </c>
      <c r="M1321" t="s">
        <v>83</v>
      </c>
      <c r="O1321" t="s">
        <v>83</v>
      </c>
      <c r="P1321" t="s">
        <v>84</v>
      </c>
    </row>
    <row r="1322" spans="1:16">
      <c r="A1322" t="s">
        <v>783</v>
      </c>
      <c r="B1322" t="s">
        <v>77</v>
      </c>
      <c r="C1322" t="s">
        <v>741</v>
      </c>
      <c r="D1322" t="s">
        <v>741</v>
      </c>
      <c r="E1322" t="s">
        <v>115</v>
      </c>
      <c r="F1322" t="s">
        <v>115</v>
      </c>
      <c r="G1322" t="s">
        <v>113</v>
      </c>
      <c r="H1322" t="s">
        <v>81</v>
      </c>
      <c r="I1322" t="s">
        <v>114</v>
      </c>
      <c r="L1322">
        <v>15</v>
      </c>
      <c r="M1322" t="s">
        <v>83</v>
      </c>
      <c r="O1322" t="s">
        <v>83</v>
      </c>
      <c r="P1322" t="s">
        <v>84</v>
      </c>
    </row>
    <row r="1323" spans="1:16">
      <c r="A1323" t="s">
        <v>783</v>
      </c>
      <c r="B1323" t="s">
        <v>77</v>
      </c>
      <c r="C1323" t="s">
        <v>741</v>
      </c>
      <c r="D1323" t="s">
        <v>741</v>
      </c>
      <c r="E1323" t="s">
        <v>117</v>
      </c>
      <c r="F1323" t="s">
        <v>117</v>
      </c>
      <c r="G1323" t="s">
        <v>90</v>
      </c>
      <c r="H1323" t="s">
        <v>81</v>
      </c>
      <c r="L1323">
        <v>22</v>
      </c>
      <c r="M1323" t="s">
        <v>83</v>
      </c>
      <c r="O1323" t="s">
        <v>83</v>
      </c>
      <c r="P1323" t="s">
        <v>84</v>
      </c>
    </row>
    <row r="1324" spans="1:16">
      <c r="A1324" t="s">
        <v>783</v>
      </c>
      <c r="B1324" t="s">
        <v>77</v>
      </c>
      <c r="C1324" t="s">
        <v>741</v>
      </c>
      <c r="D1324" t="s">
        <v>741</v>
      </c>
      <c r="E1324" t="s">
        <v>327</v>
      </c>
      <c r="F1324" t="s">
        <v>327</v>
      </c>
      <c r="G1324" t="s">
        <v>90</v>
      </c>
      <c r="H1324" t="s">
        <v>81</v>
      </c>
      <c r="L1324">
        <v>23</v>
      </c>
      <c r="M1324" t="s">
        <v>83</v>
      </c>
      <c r="O1324" t="s">
        <v>83</v>
      </c>
      <c r="P1324" t="s">
        <v>84</v>
      </c>
    </row>
    <row r="1325" spans="1:16">
      <c r="A1325" t="s">
        <v>783</v>
      </c>
      <c r="B1325" t="s">
        <v>77</v>
      </c>
      <c r="C1325" t="s">
        <v>741</v>
      </c>
      <c r="D1325" t="s">
        <v>741</v>
      </c>
      <c r="E1325" t="s">
        <v>328</v>
      </c>
      <c r="F1325" t="s">
        <v>328</v>
      </c>
      <c r="G1325" t="s">
        <v>90</v>
      </c>
      <c r="H1325" t="s">
        <v>81</v>
      </c>
      <c r="L1325">
        <v>24</v>
      </c>
      <c r="M1325" t="s">
        <v>83</v>
      </c>
      <c r="O1325" t="s">
        <v>83</v>
      </c>
      <c r="P1325" t="s">
        <v>84</v>
      </c>
    </row>
    <row r="1326" spans="1:16">
      <c r="A1326" t="s">
        <v>783</v>
      </c>
      <c r="B1326" t="s">
        <v>77</v>
      </c>
      <c r="C1326" t="s">
        <v>741</v>
      </c>
      <c r="D1326" t="s">
        <v>741</v>
      </c>
      <c r="E1326" t="s">
        <v>118</v>
      </c>
      <c r="F1326" t="s">
        <v>118</v>
      </c>
      <c r="G1326" t="s">
        <v>92</v>
      </c>
      <c r="H1326" t="s">
        <v>81</v>
      </c>
      <c r="L1326">
        <v>25</v>
      </c>
      <c r="M1326" t="s">
        <v>83</v>
      </c>
      <c r="O1326" t="s">
        <v>83</v>
      </c>
      <c r="P1326" t="s">
        <v>84</v>
      </c>
    </row>
    <row r="1327" spans="1:16">
      <c r="A1327" t="s">
        <v>783</v>
      </c>
      <c r="B1327" t="s">
        <v>77</v>
      </c>
      <c r="C1327" t="s">
        <v>741</v>
      </c>
      <c r="D1327" t="s">
        <v>741</v>
      </c>
      <c r="E1327" t="s">
        <v>784</v>
      </c>
      <c r="F1327" t="s">
        <v>784</v>
      </c>
      <c r="G1327" t="s">
        <v>80</v>
      </c>
      <c r="H1327" t="s">
        <v>81</v>
      </c>
      <c r="I1327" t="s">
        <v>82</v>
      </c>
      <c r="L1327">
        <v>26</v>
      </c>
      <c r="M1327" t="s">
        <v>83</v>
      </c>
      <c r="O1327" t="s">
        <v>83</v>
      </c>
      <c r="P1327" t="s">
        <v>84</v>
      </c>
    </row>
    <row r="1328" spans="1:16">
      <c r="A1328" t="s">
        <v>783</v>
      </c>
      <c r="B1328" t="s">
        <v>77</v>
      </c>
      <c r="C1328" t="s">
        <v>741</v>
      </c>
      <c r="D1328" t="s">
        <v>741</v>
      </c>
      <c r="E1328" t="s">
        <v>785</v>
      </c>
      <c r="F1328" t="s">
        <v>785</v>
      </c>
      <c r="G1328" t="s">
        <v>80</v>
      </c>
      <c r="H1328" t="s">
        <v>81</v>
      </c>
      <c r="I1328" t="s">
        <v>82</v>
      </c>
      <c r="L1328">
        <v>27</v>
      </c>
      <c r="M1328" t="s">
        <v>83</v>
      </c>
      <c r="O1328" t="s">
        <v>83</v>
      </c>
      <c r="P1328" t="s">
        <v>84</v>
      </c>
    </row>
    <row r="1329" spans="1:16">
      <c r="A1329" t="s">
        <v>783</v>
      </c>
      <c r="B1329" t="s">
        <v>77</v>
      </c>
      <c r="C1329" t="s">
        <v>741</v>
      </c>
      <c r="D1329" t="s">
        <v>741</v>
      </c>
      <c r="E1329" t="s">
        <v>786</v>
      </c>
      <c r="F1329" t="s">
        <v>786</v>
      </c>
      <c r="G1329" t="s">
        <v>787</v>
      </c>
      <c r="H1329" t="s">
        <v>81</v>
      </c>
      <c r="L1329">
        <v>28</v>
      </c>
      <c r="M1329" t="s">
        <v>83</v>
      </c>
      <c r="O1329" t="s">
        <v>83</v>
      </c>
      <c r="P1329" t="s">
        <v>84</v>
      </c>
    </row>
    <row r="1330" spans="1:16">
      <c r="A1330" t="s">
        <v>783</v>
      </c>
      <c r="B1330" t="s">
        <v>77</v>
      </c>
      <c r="C1330" t="s">
        <v>750</v>
      </c>
      <c r="D1330" t="s">
        <v>750</v>
      </c>
      <c r="E1330" t="s">
        <v>79</v>
      </c>
      <c r="F1330" t="s">
        <v>79</v>
      </c>
      <c r="G1330" t="s">
        <v>80</v>
      </c>
      <c r="H1330" t="s">
        <v>81</v>
      </c>
      <c r="I1330" t="s">
        <v>82</v>
      </c>
      <c r="L1330">
        <v>1</v>
      </c>
      <c r="M1330" t="s">
        <v>83</v>
      </c>
      <c r="O1330" t="s">
        <v>83</v>
      </c>
      <c r="P1330" t="s">
        <v>84</v>
      </c>
    </row>
    <row r="1331" spans="1:16">
      <c r="A1331" t="s">
        <v>783</v>
      </c>
      <c r="B1331" t="s">
        <v>77</v>
      </c>
      <c r="C1331" t="s">
        <v>750</v>
      </c>
      <c r="D1331" t="s">
        <v>750</v>
      </c>
      <c r="E1331" t="s">
        <v>86</v>
      </c>
      <c r="F1331" t="s">
        <v>86</v>
      </c>
      <c r="G1331" t="s">
        <v>80</v>
      </c>
      <c r="H1331" t="s">
        <v>81</v>
      </c>
      <c r="I1331" t="s">
        <v>82</v>
      </c>
      <c r="L1331">
        <v>2</v>
      </c>
      <c r="M1331" t="s">
        <v>83</v>
      </c>
      <c r="O1331" t="s">
        <v>83</v>
      </c>
      <c r="P1331" t="s">
        <v>84</v>
      </c>
    </row>
    <row r="1332" spans="1:16">
      <c r="A1332" t="s">
        <v>783</v>
      </c>
      <c r="B1332" t="s">
        <v>77</v>
      </c>
      <c r="C1332" t="s">
        <v>750</v>
      </c>
      <c r="D1332" t="s">
        <v>750</v>
      </c>
      <c r="E1332" t="s">
        <v>87</v>
      </c>
      <c r="F1332" t="s">
        <v>87</v>
      </c>
      <c r="G1332" t="s">
        <v>88</v>
      </c>
      <c r="H1332" t="s">
        <v>81</v>
      </c>
      <c r="J1332" t="s">
        <v>83</v>
      </c>
      <c r="L1332">
        <v>3</v>
      </c>
      <c r="M1332" t="s">
        <v>83</v>
      </c>
      <c r="O1332" t="s">
        <v>83</v>
      </c>
      <c r="P1332" t="s">
        <v>84</v>
      </c>
    </row>
    <row r="1333" spans="1:16">
      <c r="A1333" t="s">
        <v>783</v>
      </c>
      <c r="B1333" t="s">
        <v>77</v>
      </c>
      <c r="C1333" t="s">
        <v>750</v>
      </c>
      <c r="D1333" t="s">
        <v>750</v>
      </c>
      <c r="E1333" t="s">
        <v>89</v>
      </c>
      <c r="F1333" t="s">
        <v>89</v>
      </c>
      <c r="G1333" t="s">
        <v>90</v>
      </c>
      <c r="H1333" t="s">
        <v>81</v>
      </c>
      <c r="J1333" t="s">
        <v>83</v>
      </c>
      <c r="K1333" t="s">
        <v>83</v>
      </c>
      <c r="L1333">
        <v>4</v>
      </c>
      <c r="M1333" t="s">
        <v>83</v>
      </c>
      <c r="O1333" t="s">
        <v>83</v>
      </c>
      <c r="P1333" t="s">
        <v>84</v>
      </c>
    </row>
    <row r="1334" spans="1:16">
      <c r="A1334" t="s">
        <v>783</v>
      </c>
      <c r="B1334" t="s">
        <v>77</v>
      </c>
      <c r="C1334" t="s">
        <v>750</v>
      </c>
      <c r="D1334" t="s">
        <v>750</v>
      </c>
      <c r="E1334" t="s">
        <v>751</v>
      </c>
      <c r="F1334" t="s">
        <v>751</v>
      </c>
      <c r="G1334" t="s">
        <v>90</v>
      </c>
      <c r="H1334" t="s">
        <v>81</v>
      </c>
      <c r="J1334" t="s">
        <v>83</v>
      </c>
      <c r="L1334">
        <v>5</v>
      </c>
      <c r="M1334" t="s">
        <v>83</v>
      </c>
      <c r="O1334" t="s">
        <v>83</v>
      </c>
      <c r="P1334" t="s">
        <v>84</v>
      </c>
    </row>
    <row r="1335" spans="1:16">
      <c r="A1335" t="s">
        <v>783</v>
      </c>
      <c r="B1335" t="s">
        <v>77</v>
      </c>
      <c r="C1335" t="s">
        <v>750</v>
      </c>
      <c r="D1335" t="s">
        <v>750</v>
      </c>
      <c r="E1335" t="s">
        <v>91</v>
      </c>
      <c r="F1335" t="s">
        <v>91</v>
      </c>
      <c r="G1335" t="s">
        <v>92</v>
      </c>
      <c r="H1335" t="s">
        <v>81</v>
      </c>
      <c r="J1335" t="s">
        <v>83</v>
      </c>
      <c r="L1335">
        <v>6</v>
      </c>
      <c r="M1335" t="s">
        <v>83</v>
      </c>
      <c r="O1335" t="s">
        <v>83</v>
      </c>
      <c r="P1335" t="s">
        <v>84</v>
      </c>
    </row>
    <row r="1336" spans="1:16">
      <c r="A1336" t="s">
        <v>783</v>
      </c>
      <c r="B1336" t="s">
        <v>77</v>
      </c>
      <c r="C1336" t="s">
        <v>750</v>
      </c>
      <c r="D1336" t="s">
        <v>750</v>
      </c>
      <c r="E1336" t="s">
        <v>112</v>
      </c>
      <c r="F1336" t="s">
        <v>112</v>
      </c>
      <c r="G1336" t="s">
        <v>113</v>
      </c>
      <c r="H1336" t="s">
        <v>81</v>
      </c>
      <c r="I1336" t="s">
        <v>114</v>
      </c>
      <c r="L1336">
        <v>7</v>
      </c>
      <c r="M1336" t="s">
        <v>83</v>
      </c>
      <c r="O1336" t="s">
        <v>83</v>
      </c>
      <c r="P1336" t="s">
        <v>84</v>
      </c>
    </row>
    <row r="1337" spans="1:16">
      <c r="A1337" t="s">
        <v>783</v>
      </c>
      <c r="B1337" t="s">
        <v>77</v>
      </c>
      <c r="C1337" t="s">
        <v>750</v>
      </c>
      <c r="D1337" t="s">
        <v>750</v>
      </c>
      <c r="E1337" t="s">
        <v>115</v>
      </c>
      <c r="F1337" t="s">
        <v>115</v>
      </c>
      <c r="G1337" t="s">
        <v>113</v>
      </c>
      <c r="H1337" t="s">
        <v>81</v>
      </c>
      <c r="I1337" t="s">
        <v>114</v>
      </c>
      <c r="L1337">
        <v>8</v>
      </c>
      <c r="M1337" t="s">
        <v>83</v>
      </c>
      <c r="O1337" t="s">
        <v>83</v>
      </c>
      <c r="P1337" t="s">
        <v>84</v>
      </c>
    </row>
    <row r="1338" spans="1:16">
      <c r="A1338" t="s">
        <v>783</v>
      </c>
      <c r="B1338" t="s">
        <v>77</v>
      </c>
      <c r="C1338" t="s">
        <v>750</v>
      </c>
      <c r="D1338" t="s">
        <v>750</v>
      </c>
      <c r="E1338" t="s">
        <v>117</v>
      </c>
      <c r="F1338" t="s">
        <v>117</v>
      </c>
      <c r="G1338" t="s">
        <v>90</v>
      </c>
      <c r="H1338" t="s">
        <v>81</v>
      </c>
      <c r="L1338">
        <v>15</v>
      </c>
      <c r="M1338" t="s">
        <v>83</v>
      </c>
      <c r="O1338" t="s">
        <v>83</v>
      </c>
      <c r="P1338" t="s">
        <v>84</v>
      </c>
    </row>
    <row r="1339" spans="1:16">
      <c r="A1339" t="s">
        <v>783</v>
      </c>
      <c r="B1339" t="s">
        <v>77</v>
      </c>
      <c r="C1339" t="s">
        <v>750</v>
      </c>
      <c r="D1339" t="s">
        <v>750</v>
      </c>
      <c r="E1339" t="s">
        <v>752</v>
      </c>
      <c r="F1339" t="s">
        <v>752</v>
      </c>
      <c r="G1339" t="s">
        <v>90</v>
      </c>
      <c r="H1339" t="s">
        <v>81</v>
      </c>
      <c r="L1339">
        <v>16</v>
      </c>
      <c r="M1339" t="s">
        <v>83</v>
      </c>
      <c r="O1339" t="s">
        <v>83</v>
      </c>
      <c r="P1339" t="s">
        <v>84</v>
      </c>
    </row>
    <row r="1340" spans="1:16">
      <c r="A1340" t="s">
        <v>783</v>
      </c>
      <c r="B1340" t="s">
        <v>77</v>
      </c>
      <c r="C1340" t="s">
        <v>750</v>
      </c>
      <c r="D1340" t="s">
        <v>750</v>
      </c>
      <c r="E1340" t="s">
        <v>118</v>
      </c>
      <c r="F1340" t="s">
        <v>118</v>
      </c>
      <c r="G1340" t="s">
        <v>92</v>
      </c>
      <c r="H1340" t="s">
        <v>81</v>
      </c>
      <c r="L1340">
        <v>17</v>
      </c>
      <c r="M1340" t="s">
        <v>83</v>
      </c>
      <c r="O1340" t="s">
        <v>83</v>
      </c>
      <c r="P1340" t="s">
        <v>84</v>
      </c>
    </row>
    <row r="1341" spans="1:16">
      <c r="A1341" t="s">
        <v>783</v>
      </c>
      <c r="B1341" t="s">
        <v>77</v>
      </c>
      <c r="C1341" t="s">
        <v>750</v>
      </c>
      <c r="D1341" t="s">
        <v>750</v>
      </c>
      <c r="E1341" t="s">
        <v>753</v>
      </c>
      <c r="F1341" t="s">
        <v>753</v>
      </c>
      <c r="G1341" t="s">
        <v>88</v>
      </c>
      <c r="H1341" t="s">
        <v>81</v>
      </c>
      <c r="L1341">
        <v>18</v>
      </c>
      <c r="M1341" t="s">
        <v>83</v>
      </c>
      <c r="O1341" t="s">
        <v>83</v>
      </c>
      <c r="P1341" t="s">
        <v>84</v>
      </c>
    </row>
    <row r="1342" spans="1:16">
      <c r="A1342" t="s">
        <v>783</v>
      </c>
      <c r="B1342" t="s">
        <v>77</v>
      </c>
      <c r="C1342" t="s">
        <v>750</v>
      </c>
      <c r="D1342" t="s">
        <v>750</v>
      </c>
      <c r="E1342" t="s">
        <v>784</v>
      </c>
      <c r="F1342" t="s">
        <v>784</v>
      </c>
      <c r="G1342" t="s">
        <v>80</v>
      </c>
      <c r="H1342" t="s">
        <v>81</v>
      </c>
      <c r="I1342" t="s">
        <v>82</v>
      </c>
      <c r="L1342">
        <v>19</v>
      </c>
      <c r="M1342" t="s">
        <v>83</v>
      </c>
      <c r="O1342" t="s">
        <v>83</v>
      </c>
      <c r="P1342" t="s">
        <v>84</v>
      </c>
    </row>
    <row r="1343" spans="1:16">
      <c r="A1343" t="s">
        <v>783</v>
      </c>
      <c r="B1343" t="s">
        <v>77</v>
      </c>
      <c r="C1343" t="s">
        <v>750</v>
      </c>
      <c r="D1343" t="s">
        <v>750</v>
      </c>
      <c r="E1343" t="s">
        <v>785</v>
      </c>
      <c r="F1343" t="s">
        <v>785</v>
      </c>
      <c r="G1343" t="s">
        <v>80</v>
      </c>
      <c r="H1343" t="s">
        <v>81</v>
      </c>
      <c r="I1343" t="s">
        <v>82</v>
      </c>
      <c r="L1343">
        <v>20</v>
      </c>
      <c r="M1343" t="s">
        <v>83</v>
      </c>
      <c r="O1343" t="s">
        <v>83</v>
      </c>
      <c r="P1343" t="s">
        <v>84</v>
      </c>
    </row>
    <row r="1344" spans="1:16">
      <c r="A1344" t="s">
        <v>783</v>
      </c>
      <c r="B1344" t="s">
        <v>77</v>
      </c>
      <c r="C1344" t="s">
        <v>750</v>
      </c>
      <c r="D1344" t="s">
        <v>750</v>
      </c>
      <c r="E1344" t="s">
        <v>786</v>
      </c>
      <c r="F1344" t="s">
        <v>786</v>
      </c>
      <c r="G1344" t="s">
        <v>787</v>
      </c>
      <c r="H1344" t="s">
        <v>81</v>
      </c>
      <c r="L1344">
        <v>21</v>
      </c>
      <c r="M1344" t="s">
        <v>83</v>
      </c>
      <c r="O1344" t="s">
        <v>83</v>
      </c>
      <c r="P1344" t="s">
        <v>84</v>
      </c>
    </row>
    <row r="1345" spans="1:16">
      <c r="A1345" t="s">
        <v>783</v>
      </c>
      <c r="B1345" t="s">
        <v>77</v>
      </c>
      <c r="C1345" t="s">
        <v>754</v>
      </c>
      <c r="D1345" t="s">
        <v>754</v>
      </c>
      <c r="E1345" t="s">
        <v>79</v>
      </c>
      <c r="F1345" t="s">
        <v>79</v>
      </c>
      <c r="G1345" t="s">
        <v>80</v>
      </c>
      <c r="H1345" t="s">
        <v>81</v>
      </c>
      <c r="I1345" t="s">
        <v>82</v>
      </c>
      <c r="L1345">
        <v>1</v>
      </c>
      <c r="M1345" t="s">
        <v>83</v>
      </c>
      <c r="O1345" t="s">
        <v>83</v>
      </c>
      <c r="P1345" t="s">
        <v>84</v>
      </c>
    </row>
    <row r="1346" spans="1:16">
      <c r="A1346" t="s">
        <v>783</v>
      </c>
      <c r="B1346" t="s">
        <v>77</v>
      </c>
      <c r="C1346" t="s">
        <v>754</v>
      </c>
      <c r="D1346" t="s">
        <v>754</v>
      </c>
      <c r="E1346" t="s">
        <v>86</v>
      </c>
      <c r="F1346" t="s">
        <v>86</v>
      </c>
      <c r="G1346" t="s">
        <v>80</v>
      </c>
      <c r="H1346" t="s">
        <v>81</v>
      </c>
      <c r="I1346" t="s">
        <v>82</v>
      </c>
      <c r="L1346">
        <v>2</v>
      </c>
      <c r="M1346" t="s">
        <v>83</v>
      </c>
      <c r="O1346" t="s">
        <v>83</v>
      </c>
      <c r="P1346" t="s">
        <v>84</v>
      </c>
    </row>
    <row r="1347" spans="1:16">
      <c r="A1347" t="s">
        <v>783</v>
      </c>
      <c r="B1347" t="s">
        <v>77</v>
      </c>
      <c r="C1347" t="s">
        <v>754</v>
      </c>
      <c r="D1347" t="s">
        <v>754</v>
      </c>
      <c r="E1347" t="s">
        <v>87</v>
      </c>
      <c r="F1347" t="s">
        <v>87</v>
      </c>
      <c r="G1347" t="s">
        <v>88</v>
      </c>
      <c r="H1347" t="s">
        <v>81</v>
      </c>
      <c r="J1347" t="s">
        <v>83</v>
      </c>
      <c r="L1347">
        <v>3</v>
      </c>
      <c r="M1347" t="s">
        <v>83</v>
      </c>
      <c r="O1347" t="s">
        <v>83</v>
      </c>
      <c r="P1347" t="s">
        <v>84</v>
      </c>
    </row>
    <row r="1348" spans="1:16">
      <c r="A1348" t="s">
        <v>783</v>
      </c>
      <c r="B1348" t="s">
        <v>77</v>
      </c>
      <c r="C1348" t="s">
        <v>754</v>
      </c>
      <c r="D1348" t="s">
        <v>754</v>
      </c>
      <c r="E1348" t="s">
        <v>89</v>
      </c>
      <c r="F1348" t="s">
        <v>89</v>
      </c>
      <c r="G1348" t="s">
        <v>90</v>
      </c>
      <c r="H1348" t="s">
        <v>81</v>
      </c>
      <c r="J1348" t="s">
        <v>83</v>
      </c>
      <c r="K1348" t="s">
        <v>83</v>
      </c>
      <c r="L1348">
        <v>4</v>
      </c>
      <c r="M1348" t="s">
        <v>83</v>
      </c>
      <c r="O1348" t="s">
        <v>83</v>
      </c>
      <c r="P1348" t="s">
        <v>84</v>
      </c>
    </row>
    <row r="1349" spans="1:16">
      <c r="A1349" t="s">
        <v>783</v>
      </c>
      <c r="B1349" t="s">
        <v>77</v>
      </c>
      <c r="C1349" t="s">
        <v>754</v>
      </c>
      <c r="D1349" t="s">
        <v>754</v>
      </c>
      <c r="E1349" t="s">
        <v>751</v>
      </c>
      <c r="F1349" t="s">
        <v>751</v>
      </c>
      <c r="G1349" t="s">
        <v>90</v>
      </c>
      <c r="H1349" t="s">
        <v>81</v>
      </c>
      <c r="J1349" t="s">
        <v>83</v>
      </c>
      <c r="L1349">
        <v>5</v>
      </c>
      <c r="M1349" t="s">
        <v>83</v>
      </c>
      <c r="O1349" t="s">
        <v>83</v>
      </c>
      <c r="P1349" t="s">
        <v>84</v>
      </c>
    </row>
    <row r="1350" spans="1:16">
      <c r="A1350" t="s">
        <v>783</v>
      </c>
      <c r="B1350" t="s">
        <v>77</v>
      </c>
      <c r="C1350" t="s">
        <v>754</v>
      </c>
      <c r="D1350" t="s">
        <v>754</v>
      </c>
      <c r="E1350" t="s">
        <v>755</v>
      </c>
      <c r="F1350" t="s">
        <v>755</v>
      </c>
      <c r="G1350" t="s">
        <v>80</v>
      </c>
      <c r="H1350" t="s">
        <v>81</v>
      </c>
      <c r="I1350" t="s">
        <v>82</v>
      </c>
      <c r="L1350">
        <v>6</v>
      </c>
      <c r="M1350" t="s">
        <v>83</v>
      </c>
      <c r="O1350" t="s">
        <v>83</v>
      </c>
      <c r="P1350" t="s">
        <v>84</v>
      </c>
    </row>
    <row r="1351" spans="1:16">
      <c r="A1351" t="s">
        <v>783</v>
      </c>
      <c r="B1351" t="s">
        <v>77</v>
      </c>
      <c r="C1351" t="s">
        <v>754</v>
      </c>
      <c r="D1351" t="s">
        <v>754</v>
      </c>
      <c r="E1351" t="s">
        <v>756</v>
      </c>
      <c r="F1351" t="s">
        <v>756</v>
      </c>
      <c r="G1351" t="s">
        <v>90</v>
      </c>
      <c r="H1351" t="s">
        <v>81</v>
      </c>
      <c r="L1351">
        <v>7</v>
      </c>
      <c r="M1351" t="s">
        <v>83</v>
      </c>
      <c r="O1351" t="s">
        <v>83</v>
      </c>
      <c r="P1351" t="s">
        <v>84</v>
      </c>
    </row>
    <row r="1352" spans="1:16">
      <c r="A1352" t="s">
        <v>783</v>
      </c>
      <c r="B1352" t="s">
        <v>77</v>
      </c>
      <c r="C1352" t="s">
        <v>754</v>
      </c>
      <c r="D1352" t="s">
        <v>754</v>
      </c>
      <c r="E1352" t="s">
        <v>91</v>
      </c>
      <c r="F1352" t="s">
        <v>91</v>
      </c>
      <c r="G1352" t="s">
        <v>92</v>
      </c>
      <c r="H1352" t="s">
        <v>81</v>
      </c>
      <c r="J1352" t="s">
        <v>83</v>
      </c>
      <c r="L1352">
        <v>8</v>
      </c>
      <c r="M1352" t="s">
        <v>83</v>
      </c>
      <c r="O1352" t="s">
        <v>83</v>
      </c>
      <c r="P1352" t="s">
        <v>84</v>
      </c>
    </row>
    <row r="1353" spans="1:16">
      <c r="A1353" t="s">
        <v>783</v>
      </c>
      <c r="B1353" t="s">
        <v>77</v>
      </c>
      <c r="C1353" t="s">
        <v>754</v>
      </c>
      <c r="D1353" t="s">
        <v>754</v>
      </c>
      <c r="E1353" t="s">
        <v>757</v>
      </c>
      <c r="F1353" t="s">
        <v>757</v>
      </c>
      <c r="G1353" t="s">
        <v>94</v>
      </c>
      <c r="H1353" t="s">
        <v>81</v>
      </c>
      <c r="L1353">
        <v>9</v>
      </c>
      <c r="M1353" t="s">
        <v>83</v>
      </c>
      <c r="O1353" t="s">
        <v>83</v>
      </c>
      <c r="P1353" t="s">
        <v>84</v>
      </c>
    </row>
    <row r="1354" spans="1:16">
      <c r="A1354" t="s">
        <v>783</v>
      </c>
      <c r="B1354" t="s">
        <v>77</v>
      </c>
      <c r="C1354" t="s">
        <v>754</v>
      </c>
      <c r="D1354" t="s">
        <v>754</v>
      </c>
      <c r="E1354" t="s">
        <v>758</v>
      </c>
      <c r="F1354" t="s">
        <v>758</v>
      </c>
      <c r="G1354" t="s">
        <v>88</v>
      </c>
      <c r="H1354" t="s">
        <v>81</v>
      </c>
      <c r="L1354">
        <v>10</v>
      </c>
      <c r="M1354" t="s">
        <v>83</v>
      </c>
      <c r="O1354" t="s">
        <v>83</v>
      </c>
      <c r="P1354" t="s">
        <v>84</v>
      </c>
    </row>
    <row r="1355" spans="1:16">
      <c r="A1355" t="s">
        <v>783</v>
      </c>
      <c r="B1355" t="s">
        <v>77</v>
      </c>
      <c r="C1355" t="s">
        <v>754</v>
      </c>
      <c r="D1355" t="s">
        <v>754</v>
      </c>
      <c r="E1355" t="s">
        <v>759</v>
      </c>
      <c r="F1355" t="s">
        <v>759</v>
      </c>
      <c r="G1355" t="s">
        <v>94</v>
      </c>
      <c r="H1355" t="s">
        <v>81</v>
      </c>
      <c r="L1355">
        <v>11</v>
      </c>
      <c r="M1355" t="s">
        <v>83</v>
      </c>
      <c r="O1355" t="s">
        <v>83</v>
      </c>
      <c r="P1355" t="s">
        <v>84</v>
      </c>
    </row>
    <row r="1356" spans="1:16">
      <c r="A1356" t="s">
        <v>783</v>
      </c>
      <c r="B1356" t="s">
        <v>77</v>
      </c>
      <c r="C1356" t="s">
        <v>754</v>
      </c>
      <c r="D1356" t="s">
        <v>754</v>
      </c>
      <c r="E1356" t="s">
        <v>760</v>
      </c>
      <c r="F1356" t="s">
        <v>760</v>
      </c>
      <c r="G1356" t="s">
        <v>98</v>
      </c>
      <c r="H1356" t="s">
        <v>81</v>
      </c>
      <c r="L1356">
        <v>12</v>
      </c>
      <c r="M1356" t="s">
        <v>83</v>
      </c>
      <c r="O1356" t="s">
        <v>83</v>
      </c>
      <c r="P1356" t="s">
        <v>84</v>
      </c>
    </row>
    <row r="1357" spans="1:16">
      <c r="A1357" t="s">
        <v>783</v>
      </c>
      <c r="B1357" t="s">
        <v>77</v>
      </c>
      <c r="C1357" t="s">
        <v>754</v>
      </c>
      <c r="D1357" t="s">
        <v>754</v>
      </c>
      <c r="E1357" t="s">
        <v>761</v>
      </c>
      <c r="F1357" t="s">
        <v>761</v>
      </c>
      <c r="G1357" t="s">
        <v>88</v>
      </c>
      <c r="H1357" t="s">
        <v>81</v>
      </c>
      <c r="L1357">
        <v>13</v>
      </c>
      <c r="M1357" t="s">
        <v>83</v>
      </c>
      <c r="O1357" t="s">
        <v>83</v>
      </c>
      <c r="P1357" t="s">
        <v>84</v>
      </c>
    </row>
    <row r="1358" spans="1:16">
      <c r="A1358" t="s">
        <v>783</v>
      </c>
      <c r="B1358" t="s">
        <v>77</v>
      </c>
      <c r="C1358" t="s">
        <v>754</v>
      </c>
      <c r="D1358" t="s">
        <v>754</v>
      </c>
      <c r="E1358" t="s">
        <v>762</v>
      </c>
      <c r="F1358" t="s">
        <v>762</v>
      </c>
      <c r="G1358" t="s">
        <v>88</v>
      </c>
      <c r="H1358" t="s">
        <v>81</v>
      </c>
      <c r="L1358">
        <v>14</v>
      </c>
      <c r="M1358" t="s">
        <v>83</v>
      </c>
      <c r="O1358" t="s">
        <v>83</v>
      </c>
      <c r="P1358" t="s">
        <v>84</v>
      </c>
    </row>
    <row r="1359" spans="1:16">
      <c r="A1359" t="s">
        <v>783</v>
      </c>
      <c r="B1359" t="s">
        <v>77</v>
      </c>
      <c r="C1359" t="s">
        <v>754</v>
      </c>
      <c r="D1359" t="s">
        <v>754</v>
      </c>
      <c r="E1359" t="s">
        <v>763</v>
      </c>
      <c r="F1359" t="s">
        <v>763</v>
      </c>
      <c r="G1359" t="s">
        <v>188</v>
      </c>
      <c r="H1359" t="s">
        <v>81</v>
      </c>
      <c r="L1359">
        <v>15</v>
      </c>
      <c r="M1359" t="s">
        <v>83</v>
      </c>
      <c r="O1359" t="s">
        <v>83</v>
      </c>
      <c r="P1359" t="s">
        <v>84</v>
      </c>
    </row>
    <row r="1360" spans="1:16">
      <c r="A1360" t="s">
        <v>783</v>
      </c>
      <c r="B1360" t="s">
        <v>77</v>
      </c>
      <c r="C1360" t="s">
        <v>754</v>
      </c>
      <c r="D1360" t="s">
        <v>754</v>
      </c>
      <c r="E1360" t="s">
        <v>112</v>
      </c>
      <c r="F1360" t="s">
        <v>112</v>
      </c>
      <c r="G1360" t="s">
        <v>113</v>
      </c>
      <c r="H1360" t="s">
        <v>81</v>
      </c>
      <c r="I1360" t="s">
        <v>114</v>
      </c>
      <c r="L1360">
        <v>16</v>
      </c>
      <c r="M1360" t="s">
        <v>83</v>
      </c>
      <c r="O1360" t="s">
        <v>83</v>
      </c>
      <c r="P1360" t="s">
        <v>84</v>
      </c>
    </row>
    <row r="1361" spans="1:16">
      <c r="A1361" t="s">
        <v>783</v>
      </c>
      <c r="B1361" t="s">
        <v>77</v>
      </c>
      <c r="C1361" t="s">
        <v>754</v>
      </c>
      <c r="D1361" t="s">
        <v>754</v>
      </c>
      <c r="E1361" t="s">
        <v>115</v>
      </c>
      <c r="F1361" t="s">
        <v>115</v>
      </c>
      <c r="G1361" t="s">
        <v>113</v>
      </c>
      <c r="H1361" t="s">
        <v>81</v>
      </c>
      <c r="I1361" t="s">
        <v>114</v>
      </c>
      <c r="L1361">
        <v>17</v>
      </c>
      <c r="M1361" t="s">
        <v>83</v>
      </c>
      <c r="O1361" t="s">
        <v>83</v>
      </c>
      <c r="P1361" t="s">
        <v>84</v>
      </c>
    </row>
    <row r="1362" spans="1:16">
      <c r="A1362" t="s">
        <v>783</v>
      </c>
      <c r="B1362" t="s">
        <v>77</v>
      </c>
      <c r="C1362" t="s">
        <v>754</v>
      </c>
      <c r="D1362" t="s">
        <v>754</v>
      </c>
      <c r="E1362" t="s">
        <v>752</v>
      </c>
      <c r="F1362" t="s">
        <v>752</v>
      </c>
      <c r="G1362" t="s">
        <v>90</v>
      </c>
      <c r="H1362" t="s">
        <v>81</v>
      </c>
      <c r="L1362">
        <v>18</v>
      </c>
      <c r="M1362" t="s">
        <v>83</v>
      </c>
      <c r="O1362" t="s">
        <v>83</v>
      </c>
      <c r="P1362" t="s">
        <v>84</v>
      </c>
    </row>
    <row r="1363" spans="1:16">
      <c r="A1363" t="s">
        <v>783</v>
      </c>
      <c r="B1363" t="s">
        <v>77</v>
      </c>
      <c r="C1363" t="s">
        <v>754</v>
      </c>
      <c r="D1363" t="s">
        <v>754</v>
      </c>
      <c r="E1363" t="s">
        <v>117</v>
      </c>
      <c r="F1363" t="s">
        <v>117</v>
      </c>
      <c r="G1363" t="s">
        <v>90</v>
      </c>
      <c r="H1363" t="s">
        <v>81</v>
      </c>
      <c r="L1363">
        <v>25</v>
      </c>
      <c r="M1363" t="s">
        <v>83</v>
      </c>
      <c r="O1363" t="s">
        <v>83</v>
      </c>
      <c r="P1363" t="s">
        <v>84</v>
      </c>
    </row>
    <row r="1364" spans="1:16">
      <c r="A1364" t="s">
        <v>783</v>
      </c>
      <c r="B1364" t="s">
        <v>77</v>
      </c>
      <c r="C1364" t="s">
        <v>754</v>
      </c>
      <c r="D1364" t="s">
        <v>754</v>
      </c>
      <c r="E1364" t="s">
        <v>174</v>
      </c>
      <c r="F1364" t="s">
        <v>174</v>
      </c>
      <c r="G1364" t="s">
        <v>90</v>
      </c>
      <c r="H1364" t="s">
        <v>81</v>
      </c>
      <c r="L1364">
        <v>26</v>
      </c>
      <c r="M1364" t="s">
        <v>83</v>
      </c>
      <c r="O1364" t="s">
        <v>83</v>
      </c>
      <c r="P1364" t="s">
        <v>84</v>
      </c>
    </row>
    <row r="1365" spans="1:16">
      <c r="A1365" t="s">
        <v>783</v>
      </c>
      <c r="B1365" t="s">
        <v>77</v>
      </c>
      <c r="C1365" t="s">
        <v>754</v>
      </c>
      <c r="D1365" t="s">
        <v>754</v>
      </c>
      <c r="E1365" t="s">
        <v>118</v>
      </c>
      <c r="F1365" t="s">
        <v>118</v>
      </c>
      <c r="G1365" t="s">
        <v>92</v>
      </c>
      <c r="H1365" t="s">
        <v>81</v>
      </c>
      <c r="L1365">
        <v>27</v>
      </c>
      <c r="M1365" t="s">
        <v>83</v>
      </c>
      <c r="O1365" t="s">
        <v>83</v>
      </c>
      <c r="P1365" t="s">
        <v>84</v>
      </c>
    </row>
    <row r="1366" spans="1:16">
      <c r="A1366" t="s">
        <v>783</v>
      </c>
      <c r="B1366" t="s">
        <v>77</v>
      </c>
      <c r="C1366" t="s">
        <v>754</v>
      </c>
      <c r="D1366" t="s">
        <v>754</v>
      </c>
      <c r="E1366" t="s">
        <v>784</v>
      </c>
      <c r="F1366" t="s">
        <v>784</v>
      </c>
      <c r="G1366" t="s">
        <v>80</v>
      </c>
      <c r="H1366" t="s">
        <v>81</v>
      </c>
      <c r="I1366" t="s">
        <v>82</v>
      </c>
      <c r="L1366">
        <v>28</v>
      </c>
      <c r="M1366" t="s">
        <v>83</v>
      </c>
      <c r="O1366" t="s">
        <v>83</v>
      </c>
      <c r="P1366" t="s">
        <v>84</v>
      </c>
    </row>
    <row r="1367" spans="1:16">
      <c r="A1367" t="s">
        <v>783</v>
      </c>
      <c r="B1367" t="s">
        <v>77</v>
      </c>
      <c r="C1367" t="s">
        <v>754</v>
      </c>
      <c r="D1367" t="s">
        <v>754</v>
      </c>
      <c r="E1367" t="s">
        <v>785</v>
      </c>
      <c r="F1367" t="s">
        <v>785</v>
      </c>
      <c r="G1367" t="s">
        <v>80</v>
      </c>
      <c r="H1367" t="s">
        <v>81</v>
      </c>
      <c r="I1367" t="s">
        <v>82</v>
      </c>
      <c r="L1367">
        <v>29</v>
      </c>
      <c r="M1367" t="s">
        <v>83</v>
      </c>
      <c r="O1367" t="s">
        <v>83</v>
      </c>
      <c r="P1367" t="s">
        <v>84</v>
      </c>
    </row>
    <row r="1368" spans="1:16">
      <c r="A1368" t="s">
        <v>783</v>
      </c>
      <c r="B1368" t="s">
        <v>77</v>
      </c>
      <c r="C1368" t="s">
        <v>754</v>
      </c>
      <c r="D1368" t="s">
        <v>754</v>
      </c>
      <c r="E1368" t="s">
        <v>786</v>
      </c>
      <c r="F1368" t="s">
        <v>786</v>
      </c>
      <c r="G1368" t="s">
        <v>787</v>
      </c>
      <c r="H1368" t="s">
        <v>81</v>
      </c>
      <c r="L1368">
        <v>30</v>
      </c>
      <c r="M1368" t="s">
        <v>83</v>
      </c>
      <c r="O1368" t="s">
        <v>83</v>
      </c>
      <c r="P1368" t="s">
        <v>84</v>
      </c>
    </row>
    <row r="1369" spans="1:16">
      <c r="A1369" t="s">
        <v>783</v>
      </c>
      <c r="B1369" t="s">
        <v>77</v>
      </c>
      <c r="C1369" t="s">
        <v>764</v>
      </c>
      <c r="D1369" t="s">
        <v>764</v>
      </c>
      <c r="E1369" t="s">
        <v>79</v>
      </c>
      <c r="F1369" t="s">
        <v>79</v>
      </c>
      <c r="G1369" t="s">
        <v>80</v>
      </c>
      <c r="H1369" t="s">
        <v>81</v>
      </c>
      <c r="I1369" t="s">
        <v>82</v>
      </c>
      <c r="L1369">
        <v>1</v>
      </c>
      <c r="M1369" t="s">
        <v>83</v>
      </c>
      <c r="O1369" t="s">
        <v>83</v>
      </c>
      <c r="P1369" t="s">
        <v>84</v>
      </c>
    </row>
    <row r="1370" spans="1:16">
      <c r="A1370" t="s">
        <v>783</v>
      </c>
      <c r="B1370" t="s">
        <v>77</v>
      </c>
      <c r="C1370" t="s">
        <v>764</v>
      </c>
      <c r="D1370" t="s">
        <v>764</v>
      </c>
      <c r="E1370" t="s">
        <v>86</v>
      </c>
      <c r="F1370" t="s">
        <v>86</v>
      </c>
      <c r="G1370" t="s">
        <v>80</v>
      </c>
      <c r="H1370" t="s">
        <v>81</v>
      </c>
      <c r="I1370" t="s">
        <v>82</v>
      </c>
      <c r="L1370">
        <v>2</v>
      </c>
      <c r="M1370" t="s">
        <v>83</v>
      </c>
      <c r="O1370" t="s">
        <v>83</v>
      </c>
      <c r="P1370" t="s">
        <v>84</v>
      </c>
    </row>
    <row r="1371" spans="1:16">
      <c r="A1371" t="s">
        <v>783</v>
      </c>
      <c r="B1371" t="s">
        <v>77</v>
      </c>
      <c r="C1371" t="s">
        <v>764</v>
      </c>
      <c r="D1371" t="s">
        <v>764</v>
      </c>
      <c r="E1371" t="s">
        <v>87</v>
      </c>
      <c r="F1371" t="s">
        <v>87</v>
      </c>
      <c r="G1371" t="s">
        <v>88</v>
      </c>
      <c r="H1371" t="s">
        <v>81</v>
      </c>
      <c r="J1371" t="s">
        <v>83</v>
      </c>
      <c r="L1371">
        <v>3</v>
      </c>
      <c r="M1371" t="s">
        <v>83</v>
      </c>
      <c r="O1371" t="s">
        <v>83</v>
      </c>
      <c r="P1371" t="s">
        <v>84</v>
      </c>
    </row>
    <row r="1372" spans="1:16">
      <c r="A1372" t="s">
        <v>783</v>
      </c>
      <c r="B1372" t="s">
        <v>77</v>
      </c>
      <c r="C1372" t="s">
        <v>764</v>
      </c>
      <c r="D1372" t="s">
        <v>764</v>
      </c>
      <c r="E1372" t="s">
        <v>89</v>
      </c>
      <c r="F1372" t="s">
        <v>89</v>
      </c>
      <c r="G1372" t="s">
        <v>90</v>
      </c>
      <c r="H1372" t="s">
        <v>81</v>
      </c>
      <c r="J1372" t="s">
        <v>83</v>
      </c>
      <c r="K1372" t="s">
        <v>83</v>
      </c>
      <c r="L1372">
        <v>4</v>
      </c>
      <c r="M1372" t="s">
        <v>83</v>
      </c>
      <c r="O1372" t="s">
        <v>83</v>
      </c>
      <c r="P1372" t="s">
        <v>84</v>
      </c>
    </row>
    <row r="1373" spans="1:16">
      <c r="A1373" t="s">
        <v>783</v>
      </c>
      <c r="B1373" t="s">
        <v>77</v>
      </c>
      <c r="C1373" t="s">
        <v>764</v>
      </c>
      <c r="D1373" t="s">
        <v>764</v>
      </c>
      <c r="E1373" t="s">
        <v>751</v>
      </c>
      <c r="F1373" t="s">
        <v>751</v>
      </c>
      <c r="G1373" t="s">
        <v>90</v>
      </c>
      <c r="H1373" t="s">
        <v>81</v>
      </c>
      <c r="J1373" t="s">
        <v>83</v>
      </c>
      <c r="L1373">
        <v>5</v>
      </c>
      <c r="M1373" t="s">
        <v>83</v>
      </c>
      <c r="O1373" t="s">
        <v>83</v>
      </c>
      <c r="P1373" t="s">
        <v>84</v>
      </c>
    </row>
    <row r="1374" spans="1:16">
      <c r="A1374" t="s">
        <v>783</v>
      </c>
      <c r="B1374" t="s">
        <v>77</v>
      </c>
      <c r="C1374" t="s">
        <v>764</v>
      </c>
      <c r="D1374" t="s">
        <v>764</v>
      </c>
      <c r="E1374" t="s">
        <v>765</v>
      </c>
      <c r="F1374" t="s">
        <v>765</v>
      </c>
      <c r="G1374" t="s">
        <v>80</v>
      </c>
      <c r="H1374" t="s">
        <v>81</v>
      </c>
      <c r="I1374" t="s">
        <v>82</v>
      </c>
      <c r="L1374">
        <v>6</v>
      </c>
      <c r="M1374" t="s">
        <v>83</v>
      </c>
      <c r="O1374" t="s">
        <v>83</v>
      </c>
      <c r="P1374" t="s">
        <v>84</v>
      </c>
    </row>
    <row r="1375" spans="1:16">
      <c r="A1375" t="s">
        <v>783</v>
      </c>
      <c r="B1375" t="s">
        <v>77</v>
      </c>
      <c r="C1375" t="s">
        <v>764</v>
      </c>
      <c r="D1375" t="s">
        <v>764</v>
      </c>
      <c r="E1375" t="s">
        <v>766</v>
      </c>
      <c r="F1375" t="s">
        <v>766</v>
      </c>
      <c r="G1375" t="s">
        <v>90</v>
      </c>
      <c r="H1375" t="s">
        <v>81</v>
      </c>
      <c r="L1375">
        <v>7</v>
      </c>
      <c r="M1375" t="s">
        <v>83</v>
      </c>
      <c r="O1375" t="s">
        <v>83</v>
      </c>
      <c r="P1375" t="s">
        <v>84</v>
      </c>
    </row>
    <row r="1376" spans="1:16">
      <c r="A1376" t="s">
        <v>783</v>
      </c>
      <c r="B1376" t="s">
        <v>77</v>
      </c>
      <c r="C1376" t="s">
        <v>764</v>
      </c>
      <c r="D1376" t="s">
        <v>764</v>
      </c>
      <c r="E1376" t="s">
        <v>91</v>
      </c>
      <c r="F1376" t="s">
        <v>91</v>
      </c>
      <c r="G1376" t="s">
        <v>92</v>
      </c>
      <c r="H1376" t="s">
        <v>81</v>
      </c>
      <c r="J1376" t="s">
        <v>83</v>
      </c>
      <c r="L1376">
        <v>8</v>
      </c>
      <c r="M1376" t="s">
        <v>83</v>
      </c>
      <c r="O1376" t="s">
        <v>83</v>
      </c>
      <c r="P1376" t="s">
        <v>84</v>
      </c>
    </row>
    <row r="1377" spans="1:16">
      <c r="A1377" t="s">
        <v>783</v>
      </c>
      <c r="B1377" t="s">
        <v>77</v>
      </c>
      <c r="C1377" t="s">
        <v>764</v>
      </c>
      <c r="D1377" t="s">
        <v>764</v>
      </c>
      <c r="E1377" t="s">
        <v>767</v>
      </c>
      <c r="F1377" t="s">
        <v>767</v>
      </c>
      <c r="G1377" t="s">
        <v>94</v>
      </c>
      <c r="H1377" t="s">
        <v>81</v>
      </c>
      <c r="L1377">
        <v>9</v>
      </c>
      <c r="M1377" t="s">
        <v>83</v>
      </c>
      <c r="O1377" t="s">
        <v>83</v>
      </c>
      <c r="P1377" t="s">
        <v>84</v>
      </c>
    </row>
    <row r="1378" spans="1:16">
      <c r="A1378" t="s">
        <v>783</v>
      </c>
      <c r="B1378" t="s">
        <v>77</v>
      </c>
      <c r="C1378" t="s">
        <v>764</v>
      </c>
      <c r="D1378" t="s">
        <v>764</v>
      </c>
      <c r="E1378" t="s">
        <v>768</v>
      </c>
      <c r="F1378" t="s">
        <v>768</v>
      </c>
      <c r="G1378" t="s">
        <v>88</v>
      </c>
      <c r="H1378" t="s">
        <v>81</v>
      </c>
      <c r="L1378">
        <v>10</v>
      </c>
      <c r="M1378" t="s">
        <v>83</v>
      </c>
      <c r="O1378" t="s">
        <v>83</v>
      </c>
      <c r="P1378" t="s">
        <v>84</v>
      </c>
    </row>
    <row r="1379" spans="1:16">
      <c r="A1379" t="s">
        <v>783</v>
      </c>
      <c r="B1379" t="s">
        <v>77</v>
      </c>
      <c r="C1379" t="s">
        <v>764</v>
      </c>
      <c r="D1379" t="s">
        <v>764</v>
      </c>
      <c r="E1379" t="s">
        <v>769</v>
      </c>
      <c r="F1379" t="s">
        <v>769</v>
      </c>
      <c r="G1379" t="s">
        <v>94</v>
      </c>
      <c r="H1379" t="s">
        <v>81</v>
      </c>
      <c r="L1379">
        <v>11</v>
      </c>
      <c r="M1379" t="s">
        <v>83</v>
      </c>
      <c r="O1379" t="s">
        <v>83</v>
      </c>
      <c r="P1379" t="s">
        <v>84</v>
      </c>
    </row>
    <row r="1380" spans="1:16">
      <c r="A1380" t="s">
        <v>783</v>
      </c>
      <c r="B1380" t="s">
        <v>77</v>
      </c>
      <c r="C1380" t="s">
        <v>764</v>
      </c>
      <c r="D1380" t="s">
        <v>764</v>
      </c>
      <c r="E1380" t="s">
        <v>770</v>
      </c>
      <c r="F1380" t="s">
        <v>770</v>
      </c>
      <c r="G1380" t="s">
        <v>88</v>
      </c>
      <c r="H1380" t="s">
        <v>81</v>
      </c>
      <c r="L1380">
        <v>12</v>
      </c>
      <c r="M1380" t="s">
        <v>83</v>
      </c>
      <c r="O1380" t="s">
        <v>83</v>
      </c>
      <c r="P1380" t="s">
        <v>84</v>
      </c>
    </row>
    <row r="1381" spans="1:16">
      <c r="A1381" t="s">
        <v>783</v>
      </c>
      <c r="B1381" t="s">
        <v>77</v>
      </c>
      <c r="C1381" t="s">
        <v>764</v>
      </c>
      <c r="D1381" t="s">
        <v>764</v>
      </c>
      <c r="E1381" t="s">
        <v>771</v>
      </c>
      <c r="F1381" t="s">
        <v>771</v>
      </c>
      <c r="G1381" t="s">
        <v>98</v>
      </c>
      <c r="H1381" t="s">
        <v>81</v>
      </c>
      <c r="L1381">
        <v>13</v>
      </c>
      <c r="M1381" t="s">
        <v>83</v>
      </c>
      <c r="O1381" t="s">
        <v>83</v>
      </c>
      <c r="P1381" t="s">
        <v>84</v>
      </c>
    </row>
    <row r="1382" spans="1:16">
      <c r="A1382" t="s">
        <v>783</v>
      </c>
      <c r="B1382" t="s">
        <v>77</v>
      </c>
      <c r="C1382" t="s">
        <v>764</v>
      </c>
      <c r="D1382" t="s">
        <v>764</v>
      </c>
      <c r="E1382" t="s">
        <v>174</v>
      </c>
      <c r="F1382" t="s">
        <v>174</v>
      </c>
      <c r="G1382" t="s">
        <v>90</v>
      </c>
      <c r="H1382" t="s">
        <v>81</v>
      </c>
      <c r="L1382">
        <v>14</v>
      </c>
      <c r="M1382" t="s">
        <v>83</v>
      </c>
      <c r="O1382" t="s">
        <v>83</v>
      </c>
      <c r="P1382" t="s">
        <v>84</v>
      </c>
    </row>
    <row r="1383" spans="1:16">
      <c r="A1383" t="s">
        <v>783</v>
      </c>
      <c r="B1383" t="s">
        <v>77</v>
      </c>
      <c r="C1383" t="s">
        <v>764</v>
      </c>
      <c r="D1383" t="s">
        <v>764</v>
      </c>
      <c r="E1383" t="s">
        <v>117</v>
      </c>
      <c r="F1383" t="s">
        <v>117</v>
      </c>
      <c r="G1383" t="s">
        <v>90</v>
      </c>
      <c r="H1383" t="s">
        <v>81</v>
      </c>
      <c r="L1383">
        <v>15</v>
      </c>
      <c r="M1383" t="s">
        <v>83</v>
      </c>
      <c r="O1383" t="s">
        <v>83</v>
      </c>
      <c r="P1383" t="s">
        <v>84</v>
      </c>
    </row>
    <row r="1384" spans="1:16">
      <c r="A1384" t="s">
        <v>783</v>
      </c>
      <c r="B1384" t="s">
        <v>77</v>
      </c>
      <c r="C1384" t="s">
        <v>764</v>
      </c>
      <c r="D1384" t="s">
        <v>764</v>
      </c>
      <c r="E1384" t="s">
        <v>112</v>
      </c>
      <c r="F1384" t="s">
        <v>112</v>
      </c>
      <c r="G1384" t="s">
        <v>113</v>
      </c>
      <c r="H1384" t="s">
        <v>81</v>
      </c>
      <c r="I1384" t="s">
        <v>114</v>
      </c>
      <c r="L1384">
        <v>16</v>
      </c>
      <c r="M1384" t="s">
        <v>83</v>
      </c>
      <c r="O1384" t="s">
        <v>83</v>
      </c>
      <c r="P1384" t="s">
        <v>84</v>
      </c>
    </row>
    <row r="1385" spans="1:16">
      <c r="A1385" t="s">
        <v>783</v>
      </c>
      <c r="B1385" t="s">
        <v>77</v>
      </c>
      <c r="C1385" t="s">
        <v>764</v>
      </c>
      <c r="D1385" t="s">
        <v>764</v>
      </c>
      <c r="E1385" t="s">
        <v>115</v>
      </c>
      <c r="F1385" t="s">
        <v>115</v>
      </c>
      <c r="G1385" t="s">
        <v>113</v>
      </c>
      <c r="H1385" t="s">
        <v>81</v>
      </c>
      <c r="I1385" t="s">
        <v>114</v>
      </c>
      <c r="L1385">
        <v>17</v>
      </c>
      <c r="M1385" t="s">
        <v>83</v>
      </c>
      <c r="O1385" t="s">
        <v>83</v>
      </c>
      <c r="P1385" t="s">
        <v>84</v>
      </c>
    </row>
    <row r="1386" spans="1:16">
      <c r="A1386" t="s">
        <v>783</v>
      </c>
      <c r="B1386" t="s">
        <v>77</v>
      </c>
      <c r="C1386" t="s">
        <v>764</v>
      </c>
      <c r="D1386" t="s">
        <v>764</v>
      </c>
      <c r="E1386" t="s">
        <v>118</v>
      </c>
      <c r="F1386" t="s">
        <v>118</v>
      </c>
      <c r="G1386" t="s">
        <v>92</v>
      </c>
      <c r="H1386" t="s">
        <v>81</v>
      </c>
      <c r="L1386">
        <v>24</v>
      </c>
      <c r="M1386" t="s">
        <v>83</v>
      </c>
      <c r="O1386" t="s">
        <v>83</v>
      </c>
      <c r="P1386" t="s">
        <v>84</v>
      </c>
    </row>
    <row r="1387" spans="1:16">
      <c r="A1387" t="s">
        <v>783</v>
      </c>
      <c r="B1387" t="s">
        <v>77</v>
      </c>
      <c r="C1387" t="s">
        <v>764</v>
      </c>
      <c r="D1387" t="s">
        <v>764</v>
      </c>
      <c r="E1387" t="s">
        <v>784</v>
      </c>
      <c r="F1387" t="s">
        <v>784</v>
      </c>
      <c r="G1387" t="s">
        <v>80</v>
      </c>
      <c r="H1387" t="s">
        <v>81</v>
      </c>
      <c r="I1387" t="s">
        <v>82</v>
      </c>
      <c r="L1387">
        <v>25</v>
      </c>
      <c r="M1387" t="s">
        <v>83</v>
      </c>
      <c r="O1387" t="s">
        <v>83</v>
      </c>
      <c r="P1387" t="s">
        <v>84</v>
      </c>
    </row>
    <row r="1388" spans="1:16">
      <c r="A1388" t="s">
        <v>783</v>
      </c>
      <c r="B1388" t="s">
        <v>77</v>
      </c>
      <c r="C1388" t="s">
        <v>764</v>
      </c>
      <c r="D1388" t="s">
        <v>764</v>
      </c>
      <c r="E1388" t="s">
        <v>785</v>
      </c>
      <c r="F1388" t="s">
        <v>785</v>
      </c>
      <c r="G1388" t="s">
        <v>80</v>
      </c>
      <c r="H1388" t="s">
        <v>81</v>
      </c>
      <c r="I1388" t="s">
        <v>82</v>
      </c>
      <c r="L1388">
        <v>26</v>
      </c>
      <c r="M1388" t="s">
        <v>83</v>
      </c>
      <c r="O1388" t="s">
        <v>83</v>
      </c>
      <c r="P1388" t="s">
        <v>84</v>
      </c>
    </row>
    <row r="1389" spans="1:16">
      <c r="A1389" t="s">
        <v>783</v>
      </c>
      <c r="B1389" t="s">
        <v>77</v>
      </c>
      <c r="C1389" t="s">
        <v>764</v>
      </c>
      <c r="D1389" t="s">
        <v>764</v>
      </c>
      <c r="E1389" t="s">
        <v>786</v>
      </c>
      <c r="F1389" t="s">
        <v>786</v>
      </c>
      <c r="G1389" t="s">
        <v>787</v>
      </c>
      <c r="H1389" t="s">
        <v>81</v>
      </c>
      <c r="L1389">
        <v>27</v>
      </c>
      <c r="M1389" t="s">
        <v>83</v>
      </c>
      <c r="O1389" t="s">
        <v>83</v>
      </c>
      <c r="P1389" t="s">
        <v>84</v>
      </c>
    </row>
    <row r="1390" spans="1:16">
      <c r="A1390" t="s">
        <v>783</v>
      </c>
      <c r="B1390" t="s">
        <v>77</v>
      </c>
      <c r="C1390" t="s">
        <v>772</v>
      </c>
      <c r="D1390" t="s">
        <v>772</v>
      </c>
      <c r="E1390" t="s">
        <v>79</v>
      </c>
      <c r="F1390" t="s">
        <v>79</v>
      </c>
      <c r="G1390" t="s">
        <v>80</v>
      </c>
      <c r="H1390" t="s">
        <v>81</v>
      </c>
      <c r="I1390" t="s">
        <v>82</v>
      </c>
      <c r="L1390">
        <v>1</v>
      </c>
      <c r="M1390" t="s">
        <v>83</v>
      </c>
      <c r="O1390" t="s">
        <v>83</v>
      </c>
      <c r="P1390" t="s">
        <v>84</v>
      </c>
    </row>
    <row r="1391" spans="1:16">
      <c r="A1391" t="s">
        <v>783</v>
      </c>
      <c r="B1391" t="s">
        <v>77</v>
      </c>
      <c r="C1391" t="s">
        <v>772</v>
      </c>
      <c r="D1391" t="s">
        <v>772</v>
      </c>
      <c r="E1391" t="s">
        <v>86</v>
      </c>
      <c r="F1391" t="s">
        <v>86</v>
      </c>
      <c r="G1391" t="s">
        <v>80</v>
      </c>
      <c r="H1391" t="s">
        <v>81</v>
      </c>
      <c r="I1391" t="s">
        <v>82</v>
      </c>
      <c r="L1391">
        <v>2</v>
      </c>
      <c r="M1391" t="s">
        <v>83</v>
      </c>
      <c r="O1391" t="s">
        <v>83</v>
      </c>
      <c r="P1391" t="s">
        <v>84</v>
      </c>
    </row>
    <row r="1392" spans="1:16">
      <c r="A1392" t="s">
        <v>783</v>
      </c>
      <c r="B1392" t="s">
        <v>77</v>
      </c>
      <c r="C1392" t="s">
        <v>772</v>
      </c>
      <c r="D1392" t="s">
        <v>772</v>
      </c>
      <c r="E1392" t="s">
        <v>87</v>
      </c>
      <c r="F1392" t="s">
        <v>87</v>
      </c>
      <c r="G1392" t="s">
        <v>88</v>
      </c>
      <c r="H1392" t="s">
        <v>81</v>
      </c>
      <c r="J1392" t="s">
        <v>83</v>
      </c>
      <c r="K1392" t="s">
        <v>83</v>
      </c>
      <c r="L1392">
        <v>3</v>
      </c>
      <c r="M1392" t="s">
        <v>83</v>
      </c>
      <c r="O1392" t="s">
        <v>83</v>
      </c>
      <c r="P1392" t="s">
        <v>84</v>
      </c>
    </row>
    <row r="1393" spans="1:16">
      <c r="A1393" t="s">
        <v>783</v>
      </c>
      <c r="B1393" t="s">
        <v>77</v>
      </c>
      <c r="C1393" t="s">
        <v>772</v>
      </c>
      <c r="D1393" t="s">
        <v>772</v>
      </c>
      <c r="E1393" t="s">
        <v>154</v>
      </c>
      <c r="F1393" t="s">
        <v>154</v>
      </c>
      <c r="G1393" t="s">
        <v>90</v>
      </c>
      <c r="H1393" t="s">
        <v>81</v>
      </c>
      <c r="J1393" t="s">
        <v>83</v>
      </c>
      <c r="K1393" t="s">
        <v>83</v>
      </c>
      <c r="L1393">
        <v>4</v>
      </c>
      <c r="M1393" t="s">
        <v>83</v>
      </c>
      <c r="O1393" t="s">
        <v>83</v>
      </c>
      <c r="P1393" t="s">
        <v>84</v>
      </c>
    </row>
    <row r="1394" spans="1:16">
      <c r="A1394" t="s">
        <v>783</v>
      </c>
      <c r="B1394" t="s">
        <v>77</v>
      </c>
      <c r="C1394" t="s">
        <v>772</v>
      </c>
      <c r="D1394" t="s">
        <v>772</v>
      </c>
      <c r="E1394" t="s">
        <v>773</v>
      </c>
      <c r="F1394" t="s">
        <v>773</v>
      </c>
      <c r="G1394" t="s">
        <v>90</v>
      </c>
      <c r="H1394" t="s">
        <v>81</v>
      </c>
      <c r="J1394" t="s">
        <v>83</v>
      </c>
      <c r="K1394" t="s">
        <v>83</v>
      </c>
      <c r="L1394">
        <v>5</v>
      </c>
      <c r="M1394" t="s">
        <v>83</v>
      </c>
      <c r="O1394" t="s">
        <v>83</v>
      </c>
      <c r="P1394" t="s">
        <v>84</v>
      </c>
    </row>
    <row r="1395" spans="1:16">
      <c r="A1395" t="s">
        <v>783</v>
      </c>
      <c r="B1395" t="s">
        <v>77</v>
      </c>
      <c r="C1395" t="s">
        <v>772</v>
      </c>
      <c r="D1395" t="s">
        <v>772</v>
      </c>
      <c r="E1395" t="s">
        <v>774</v>
      </c>
      <c r="F1395" t="s">
        <v>774</v>
      </c>
      <c r="G1395" t="s">
        <v>98</v>
      </c>
      <c r="H1395" t="s">
        <v>81</v>
      </c>
      <c r="J1395" t="s">
        <v>83</v>
      </c>
      <c r="K1395" t="s">
        <v>83</v>
      </c>
      <c r="L1395">
        <v>6</v>
      </c>
      <c r="M1395" t="s">
        <v>83</v>
      </c>
      <c r="O1395" t="s">
        <v>83</v>
      </c>
      <c r="P1395" t="s">
        <v>84</v>
      </c>
    </row>
    <row r="1396" spans="1:16">
      <c r="A1396" t="s">
        <v>783</v>
      </c>
      <c r="B1396" t="s">
        <v>77</v>
      </c>
      <c r="C1396" t="s">
        <v>772</v>
      </c>
      <c r="D1396" t="s">
        <v>772</v>
      </c>
      <c r="E1396" t="s">
        <v>775</v>
      </c>
      <c r="F1396" t="s">
        <v>775</v>
      </c>
      <c r="G1396" t="s">
        <v>98</v>
      </c>
      <c r="H1396" t="s">
        <v>81</v>
      </c>
      <c r="J1396" t="s">
        <v>83</v>
      </c>
      <c r="K1396" t="s">
        <v>83</v>
      </c>
      <c r="L1396">
        <v>7</v>
      </c>
      <c r="M1396" t="s">
        <v>83</v>
      </c>
      <c r="O1396" t="s">
        <v>83</v>
      </c>
      <c r="P1396" t="s">
        <v>84</v>
      </c>
    </row>
    <row r="1397" spans="1:16">
      <c r="A1397" t="s">
        <v>783</v>
      </c>
      <c r="B1397" t="s">
        <v>77</v>
      </c>
      <c r="C1397" t="s">
        <v>772</v>
      </c>
      <c r="D1397" t="s">
        <v>772</v>
      </c>
      <c r="E1397" t="s">
        <v>776</v>
      </c>
      <c r="F1397" t="s">
        <v>776</v>
      </c>
      <c r="G1397" t="s">
        <v>98</v>
      </c>
      <c r="H1397" t="s">
        <v>81</v>
      </c>
      <c r="J1397" t="s">
        <v>83</v>
      </c>
      <c r="K1397" t="s">
        <v>83</v>
      </c>
      <c r="L1397">
        <v>8</v>
      </c>
      <c r="M1397" t="s">
        <v>83</v>
      </c>
      <c r="O1397" t="s">
        <v>83</v>
      </c>
      <c r="P1397" t="s">
        <v>84</v>
      </c>
    </row>
    <row r="1398" spans="1:16">
      <c r="A1398" t="s">
        <v>783</v>
      </c>
      <c r="B1398" t="s">
        <v>77</v>
      </c>
      <c r="C1398" t="s">
        <v>772</v>
      </c>
      <c r="D1398" t="s">
        <v>772</v>
      </c>
      <c r="E1398" t="s">
        <v>777</v>
      </c>
      <c r="F1398" t="s">
        <v>777</v>
      </c>
      <c r="G1398" t="s">
        <v>80</v>
      </c>
      <c r="H1398" t="s">
        <v>81</v>
      </c>
      <c r="I1398" t="s">
        <v>82</v>
      </c>
      <c r="L1398">
        <v>9</v>
      </c>
      <c r="M1398" t="s">
        <v>83</v>
      </c>
      <c r="O1398" t="s">
        <v>83</v>
      </c>
      <c r="P1398" t="s">
        <v>84</v>
      </c>
    </row>
    <row r="1399" spans="1:16">
      <c r="A1399" t="s">
        <v>783</v>
      </c>
      <c r="B1399" t="s">
        <v>77</v>
      </c>
      <c r="C1399" t="s">
        <v>772</v>
      </c>
      <c r="D1399" t="s">
        <v>772</v>
      </c>
      <c r="E1399" t="s">
        <v>778</v>
      </c>
      <c r="F1399" t="s">
        <v>778</v>
      </c>
      <c r="G1399" t="s">
        <v>90</v>
      </c>
      <c r="H1399" t="s">
        <v>81</v>
      </c>
      <c r="J1399" t="s">
        <v>83</v>
      </c>
      <c r="K1399" t="s">
        <v>83</v>
      </c>
      <c r="L1399">
        <v>10</v>
      </c>
      <c r="M1399" t="s">
        <v>83</v>
      </c>
      <c r="O1399" t="s">
        <v>83</v>
      </c>
      <c r="P1399" t="s">
        <v>84</v>
      </c>
    </row>
    <row r="1400" spans="1:16">
      <c r="A1400" t="s">
        <v>783</v>
      </c>
      <c r="B1400" t="s">
        <v>77</v>
      </c>
      <c r="C1400" t="s">
        <v>772</v>
      </c>
      <c r="D1400" t="s">
        <v>772</v>
      </c>
      <c r="E1400" t="s">
        <v>91</v>
      </c>
      <c r="F1400" t="s">
        <v>91</v>
      </c>
      <c r="G1400" t="s">
        <v>92</v>
      </c>
      <c r="H1400" t="s">
        <v>81</v>
      </c>
      <c r="J1400" t="s">
        <v>83</v>
      </c>
      <c r="K1400" t="s">
        <v>83</v>
      </c>
      <c r="L1400">
        <v>11</v>
      </c>
      <c r="M1400" t="s">
        <v>83</v>
      </c>
      <c r="O1400" t="s">
        <v>83</v>
      </c>
      <c r="P1400" t="s">
        <v>84</v>
      </c>
    </row>
    <row r="1401" spans="1:16">
      <c r="A1401" t="s">
        <v>783</v>
      </c>
      <c r="B1401" t="s">
        <v>77</v>
      </c>
      <c r="C1401" t="s">
        <v>772</v>
      </c>
      <c r="D1401" t="s">
        <v>772</v>
      </c>
      <c r="E1401" t="s">
        <v>779</v>
      </c>
      <c r="F1401" t="s">
        <v>779</v>
      </c>
      <c r="G1401" t="s">
        <v>94</v>
      </c>
      <c r="H1401" t="s">
        <v>81</v>
      </c>
      <c r="J1401" t="s">
        <v>83</v>
      </c>
      <c r="K1401" t="s">
        <v>83</v>
      </c>
      <c r="L1401">
        <v>12</v>
      </c>
      <c r="M1401" t="s">
        <v>83</v>
      </c>
      <c r="O1401" t="s">
        <v>83</v>
      </c>
      <c r="P1401" t="s">
        <v>84</v>
      </c>
    </row>
    <row r="1402" spans="1:16">
      <c r="A1402" t="s">
        <v>783</v>
      </c>
      <c r="B1402" t="s">
        <v>77</v>
      </c>
      <c r="C1402" t="s">
        <v>772</v>
      </c>
      <c r="D1402" t="s">
        <v>772</v>
      </c>
      <c r="E1402" t="s">
        <v>780</v>
      </c>
      <c r="F1402" t="s">
        <v>780</v>
      </c>
      <c r="G1402" t="s">
        <v>88</v>
      </c>
      <c r="H1402" t="s">
        <v>81</v>
      </c>
      <c r="L1402">
        <v>13</v>
      </c>
      <c r="M1402" t="s">
        <v>83</v>
      </c>
      <c r="O1402" t="s">
        <v>83</v>
      </c>
      <c r="P1402" t="s">
        <v>84</v>
      </c>
    </row>
    <row r="1403" spans="1:16">
      <c r="A1403" t="s">
        <v>783</v>
      </c>
      <c r="B1403" t="s">
        <v>77</v>
      </c>
      <c r="C1403" t="s">
        <v>772</v>
      </c>
      <c r="D1403" t="s">
        <v>772</v>
      </c>
      <c r="E1403" t="s">
        <v>781</v>
      </c>
      <c r="F1403" t="s">
        <v>781</v>
      </c>
      <c r="G1403" t="s">
        <v>94</v>
      </c>
      <c r="H1403" t="s">
        <v>81</v>
      </c>
      <c r="L1403">
        <v>14</v>
      </c>
      <c r="M1403" t="s">
        <v>83</v>
      </c>
      <c r="O1403" t="s">
        <v>83</v>
      </c>
      <c r="P1403" t="s">
        <v>84</v>
      </c>
    </row>
    <row r="1404" spans="1:16">
      <c r="A1404" t="s">
        <v>783</v>
      </c>
      <c r="B1404" t="s">
        <v>77</v>
      </c>
      <c r="C1404" t="s">
        <v>772</v>
      </c>
      <c r="D1404" t="s">
        <v>772</v>
      </c>
      <c r="E1404" t="s">
        <v>782</v>
      </c>
      <c r="F1404" t="s">
        <v>782</v>
      </c>
      <c r="G1404" t="s">
        <v>98</v>
      </c>
      <c r="H1404" t="s">
        <v>81</v>
      </c>
      <c r="L1404">
        <v>15</v>
      </c>
      <c r="M1404" t="s">
        <v>83</v>
      </c>
      <c r="O1404" t="s">
        <v>83</v>
      </c>
      <c r="P1404" t="s">
        <v>84</v>
      </c>
    </row>
    <row r="1405" spans="1:16">
      <c r="A1405" t="s">
        <v>783</v>
      </c>
      <c r="B1405" t="s">
        <v>77</v>
      </c>
      <c r="C1405" t="s">
        <v>772</v>
      </c>
      <c r="D1405" t="s">
        <v>772</v>
      </c>
      <c r="E1405" t="s">
        <v>112</v>
      </c>
      <c r="F1405" t="s">
        <v>112</v>
      </c>
      <c r="G1405" t="s">
        <v>113</v>
      </c>
      <c r="H1405" t="s">
        <v>81</v>
      </c>
      <c r="I1405" t="s">
        <v>114</v>
      </c>
      <c r="L1405">
        <v>16</v>
      </c>
      <c r="M1405" t="s">
        <v>83</v>
      </c>
      <c r="O1405" t="s">
        <v>83</v>
      </c>
      <c r="P1405" t="s">
        <v>84</v>
      </c>
    </row>
    <row r="1406" spans="1:16">
      <c r="A1406" t="s">
        <v>783</v>
      </c>
      <c r="B1406" t="s">
        <v>77</v>
      </c>
      <c r="C1406" t="s">
        <v>772</v>
      </c>
      <c r="D1406" t="s">
        <v>772</v>
      </c>
      <c r="E1406" t="s">
        <v>115</v>
      </c>
      <c r="F1406" t="s">
        <v>115</v>
      </c>
      <c r="G1406" t="s">
        <v>113</v>
      </c>
      <c r="H1406" t="s">
        <v>81</v>
      </c>
      <c r="I1406" t="s">
        <v>114</v>
      </c>
      <c r="L1406">
        <v>17</v>
      </c>
      <c r="M1406" t="s">
        <v>83</v>
      </c>
      <c r="O1406" t="s">
        <v>83</v>
      </c>
      <c r="P1406" t="s">
        <v>84</v>
      </c>
    </row>
    <row r="1407" spans="1:16">
      <c r="A1407" t="s">
        <v>783</v>
      </c>
      <c r="B1407" t="s">
        <v>77</v>
      </c>
      <c r="C1407" t="s">
        <v>772</v>
      </c>
      <c r="D1407" t="s">
        <v>772</v>
      </c>
      <c r="E1407" t="s">
        <v>117</v>
      </c>
      <c r="F1407" t="s">
        <v>117</v>
      </c>
      <c r="G1407" t="s">
        <v>90</v>
      </c>
      <c r="H1407" t="s">
        <v>81</v>
      </c>
      <c r="L1407">
        <v>24</v>
      </c>
      <c r="M1407" t="s">
        <v>83</v>
      </c>
      <c r="O1407" t="s">
        <v>83</v>
      </c>
      <c r="P1407" t="s">
        <v>84</v>
      </c>
    </row>
    <row r="1408" spans="1:16">
      <c r="A1408" t="s">
        <v>783</v>
      </c>
      <c r="B1408" t="s">
        <v>77</v>
      </c>
      <c r="C1408" t="s">
        <v>772</v>
      </c>
      <c r="D1408" t="s">
        <v>772</v>
      </c>
      <c r="E1408" t="s">
        <v>174</v>
      </c>
      <c r="F1408" t="s">
        <v>174</v>
      </c>
      <c r="G1408" t="s">
        <v>90</v>
      </c>
      <c r="H1408" t="s">
        <v>81</v>
      </c>
      <c r="L1408">
        <v>25</v>
      </c>
      <c r="M1408" t="s">
        <v>83</v>
      </c>
      <c r="O1408" t="s">
        <v>83</v>
      </c>
      <c r="P1408" t="s">
        <v>84</v>
      </c>
    </row>
    <row r="1409" spans="1:16">
      <c r="A1409" t="s">
        <v>783</v>
      </c>
      <c r="B1409" t="s">
        <v>77</v>
      </c>
      <c r="C1409" t="s">
        <v>772</v>
      </c>
      <c r="D1409" t="s">
        <v>772</v>
      </c>
      <c r="E1409" t="s">
        <v>118</v>
      </c>
      <c r="F1409" t="s">
        <v>118</v>
      </c>
      <c r="G1409" t="s">
        <v>92</v>
      </c>
      <c r="H1409" t="s">
        <v>81</v>
      </c>
      <c r="L1409">
        <v>26</v>
      </c>
      <c r="M1409" t="s">
        <v>83</v>
      </c>
      <c r="O1409" t="s">
        <v>83</v>
      </c>
      <c r="P1409" t="s">
        <v>84</v>
      </c>
    </row>
    <row r="1410" spans="1:16">
      <c r="A1410" t="s">
        <v>783</v>
      </c>
      <c r="B1410" t="s">
        <v>77</v>
      </c>
      <c r="C1410" t="s">
        <v>772</v>
      </c>
      <c r="D1410" t="s">
        <v>772</v>
      </c>
      <c r="E1410" t="s">
        <v>784</v>
      </c>
      <c r="F1410" t="s">
        <v>784</v>
      </c>
      <c r="G1410" t="s">
        <v>80</v>
      </c>
      <c r="H1410" t="s">
        <v>81</v>
      </c>
      <c r="I1410" t="s">
        <v>82</v>
      </c>
      <c r="L1410">
        <v>27</v>
      </c>
      <c r="M1410" t="s">
        <v>83</v>
      </c>
      <c r="O1410" t="s">
        <v>83</v>
      </c>
      <c r="P1410" t="s">
        <v>84</v>
      </c>
    </row>
    <row r="1411" spans="1:16">
      <c r="A1411" t="s">
        <v>783</v>
      </c>
      <c r="B1411" t="s">
        <v>77</v>
      </c>
      <c r="C1411" t="s">
        <v>772</v>
      </c>
      <c r="D1411" t="s">
        <v>772</v>
      </c>
      <c r="E1411" t="s">
        <v>785</v>
      </c>
      <c r="F1411" t="s">
        <v>785</v>
      </c>
      <c r="G1411" t="s">
        <v>80</v>
      </c>
      <c r="H1411" t="s">
        <v>81</v>
      </c>
      <c r="I1411" t="s">
        <v>82</v>
      </c>
      <c r="L1411">
        <v>28</v>
      </c>
      <c r="M1411" t="s">
        <v>83</v>
      </c>
      <c r="O1411" t="s">
        <v>83</v>
      </c>
      <c r="P1411" t="s">
        <v>84</v>
      </c>
    </row>
    <row r="1412" spans="1:16">
      <c r="A1412" t="s">
        <v>783</v>
      </c>
      <c r="B1412" t="s">
        <v>77</v>
      </c>
      <c r="C1412" t="s">
        <v>772</v>
      </c>
      <c r="D1412" t="s">
        <v>772</v>
      </c>
      <c r="E1412" t="s">
        <v>786</v>
      </c>
      <c r="F1412" t="s">
        <v>786</v>
      </c>
      <c r="G1412" t="s">
        <v>787</v>
      </c>
      <c r="H1412" t="s">
        <v>81</v>
      </c>
      <c r="L1412">
        <v>29</v>
      </c>
      <c r="M1412" t="s">
        <v>83</v>
      </c>
      <c r="O1412" t="s">
        <v>83</v>
      </c>
      <c r="P1412" t="s">
        <v>84</v>
      </c>
    </row>
  </sheetData>
  <autoFilter ref="A1:P1412" xr:uid="{779BCB71-9B26-4709-9B08-9B8CB2CE23C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3A442-8247-44A2-97BE-05210C28B931}">
  <dimension ref="A1:L1412"/>
  <sheetViews>
    <sheetView topLeftCell="F1" zoomScaleNormal="100" workbookViewId="0">
      <pane ySplit="1" topLeftCell="A66" activePane="bottomLeft" state="frozen"/>
      <selection pane="bottomLeft" activeCell="L2" sqref="L2"/>
      <selection activeCell="B1" sqref="B1"/>
    </sheetView>
  </sheetViews>
  <sheetFormatPr defaultColWidth="20.85546875" defaultRowHeight="15" customHeight="1"/>
  <cols>
    <col min="1" max="1" width="22.28515625" bestFit="1" customWidth="1"/>
    <col min="2" max="2" width="32.28515625" bestFit="1" customWidth="1"/>
    <col min="3" max="3" width="17.5703125" bestFit="1" customWidth="1"/>
    <col min="4" max="4" width="18.5703125" bestFit="1" customWidth="1"/>
    <col min="5" max="5" width="15" bestFit="1" customWidth="1"/>
    <col min="6" max="6" width="27.28515625" bestFit="1" customWidth="1"/>
    <col min="7" max="7" width="33.5703125" bestFit="1" customWidth="1"/>
    <col min="8" max="8" width="13.42578125" bestFit="1" customWidth="1"/>
    <col min="9" max="9" width="30.140625" bestFit="1" customWidth="1"/>
    <col min="10" max="10" width="12" bestFit="1" customWidth="1"/>
    <col min="11" max="11" width="11.140625" bestFit="1" customWidth="1"/>
    <col min="12" max="12" width="214.42578125" bestFit="1" customWidth="1"/>
  </cols>
  <sheetData>
    <row r="1" spans="1:12" s="2" customFormat="1">
      <c r="A1" s="10" t="s">
        <v>62</v>
      </c>
      <c r="B1" s="10" t="s">
        <v>64</v>
      </c>
      <c r="C1" s="10" t="s">
        <v>69</v>
      </c>
      <c r="D1" s="10" t="s">
        <v>66</v>
      </c>
      <c r="E1" s="10" t="s">
        <v>790</v>
      </c>
      <c r="F1" s="10"/>
      <c r="G1" s="10" t="s">
        <v>791</v>
      </c>
      <c r="H1" s="10" t="s">
        <v>792</v>
      </c>
      <c r="I1" s="10" t="s">
        <v>793</v>
      </c>
      <c r="J1" s="10" t="s">
        <v>794</v>
      </c>
      <c r="K1" s="10" t="s">
        <v>795</v>
      </c>
      <c r="L1" s="10" t="s">
        <v>796</v>
      </c>
    </row>
    <row r="2" spans="1:12" s="2" customFormat="1">
      <c r="A2" s="11" t="str">
        <f>ETLMetadata!$C2</f>
        <v>CIRC_PORT_PODT</v>
      </c>
      <c r="B2" s="11" t="str">
        <f>ETLMetadata!$E2</f>
        <v>EXTRACT_DATE</v>
      </c>
      <c r="C2" s="11" t="str">
        <f>IF(ISBLANK(ETLMetadata!$J2), "", ETLMetadata!$J2)</f>
        <v/>
      </c>
      <c r="D2" s="11" t="str">
        <f>ETLMetadata!$G2</f>
        <v>DATE</v>
      </c>
      <c r="E2" s="12"/>
      <c r="F2" s="12"/>
      <c r="G2" s="12" t="str">
        <f>UPPER($F2)</f>
        <v/>
      </c>
      <c r="H2" s="12"/>
      <c r="I2" s="12"/>
      <c r="J2" s="13">
        <v>45952</v>
      </c>
      <c r="K2" s="13">
        <v>2958465</v>
      </c>
      <c r="L2" s="11" t="str">
        <f>CONCATENATE("INSERT INTO metadata_reference.file_schema VALUES('",TRIM(A2),"','",TRIM(B2),"',",IF(TRIM(C2)="","NULL","'"&amp;TRIM(C2)&amp;"'"),",'",TRIM(D2),"',",IF(TRIM(E2)="","NULL","'"&amp;TRIM(E2)&amp;"'"),",",IF(TRIM(G2)="","NULL","'"&amp;TRIM(G2)&amp;"'"),",",IF(TRIM(H2)="","NULL","'"&amp;TRIM(H2)&amp;"'"),",",
IF(TRIM(I2)="","NULL",TRIM(I2)),",",IF(TRIM(J2)="","NULL","'"&amp;TEXT(J2,"yyyy-mm-dd")&amp;"'"),",",IF(TRIM(K2)="","NULL","'"&amp;TEXT(K2,"yyyy-mm-dd")&amp;"'"),",","USER, CURRENT_TIMESTAMP(0));")</f>
        <v>INSERT INTO metadata_reference.file_schema VALUES('CIRC_PORT_PODT','EXTRACT_DATE',NULL,'DATE',NULL,NULL,NULL,NULL,'2025-10-22','9999-12-31',USER, CURRENT_TIMESTAMP(0));</v>
      </c>
    </row>
    <row r="3" spans="1:12" ht="15" customHeight="1">
      <c r="A3" s="11" t="str">
        <f>ETLMetadata!$C3</f>
        <v>CIRC_PORT_PODT</v>
      </c>
      <c r="B3" s="11" t="str">
        <f>ETLMetadata!$E3</f>
        <v>LOGICAL_DELETE_DATE</v>
      </c>
      <c r="C3" s="11" t="str">
        <f>IF(ISBLANK(ETLMetadata!$J3), "", ETLMetadata!$J3)</f>
        <v/>
      </c>
      <c r="D3" s="11" t="str">
        <f>ETLMetadata!$G3</f>
        <v>DATE</v>
      </c>
      <c r="E3" s="12"/>
      <c r="F3" s="12"/>
      <c r="G3" s="12" t="str">
        <f t="shared" ref="G3:G66" si="0">UPPER($F3)</f>
        <v/>
      </c>
      <c r="H3" s="12"/>
      <c r="I3" s="12"/>
      <c r="J3" s="13">
        <v>45952</v>
      </c>
      <c r="K3" s="13">
        <v>2958465</v>
      </c>
      <c r="L3" s="11" t="str">
        <f t="shared" ref="L3:L66" si="1">CONCATENATE("INSERT INTO metadata_reference.file_schema VALUES('",TRIM(A3),"','",TRIM(B3),"',",IF(TRIM(C3)="","NULL","'"&amp;TRIM(C3)&amp;"'"),",'",TRIM(D3),"',",IF(TRIM(E3)="","NULL","'"&amp;TRIM(E3)&amp;"'"),",",IF(TRIM(G3)="","NULL","'"&amp;TRIM(G3)&amp;"'"),",",IF(TRIM(H3)="","NULL","'"&amp;TRIM(H3)&amp;"'"),",",
IF(TRIM(I3)="","NULL",TRIM(I3)),",",IF(TRIM(J3)="","NULL","'"&amp;TEXT(J3,"yyyy-mm-dd")&amp;"'"),",",IF(TRIM(K3)="","NULL","'"&amp;TEXT(K3,"yyyy-mm-dd")&amp;"'"),",","USER, CURRENT_TIMESTAMP(0));")</f>
        <v>INSERT INTO metadata_reference.file_schema VALUES('CIRC_PORT_PODT','LOGICAL_DELETE_DATE',NULL,'DATE',NULL,NULL,NULL,NULL,'2025-10-22','9999-12-31',USER, CURRENT_TIMESTAMP(0));</v>
      </c>
    </row>
    <row r="4" spans="1:12" ht="15" customHeight="1">
      <c r="A4" s="11" t="str">
        <f>ETLMetadata!$C4</f>
        <v>CIRC_PORT_PODT</v>
      </c>
      <c r="B4" s="11" t="str">
        <f>ETLMetadata!$E4</f>
        <v>ENVIRONMENT_ID</v>
      </c>
      <c r="C4" s="11" t="str">
        <f>IF(ISBLANK(ETLMetadata!$J4), "", ETLMetadata!$J4)</f>
        <v>Y</v>
      </c>
      <c r="D4" s="11" t="str">
        <f>ETLMetadata!$G4</f>
        <v>CHAR(1)</v>
      </c>
      <c r="E4" s="12"/>
      <c r="F4" s="12"/>
      <c r="G4" s="12" t="str">
        <f t="shared" si="0"/>
        <v/>
      </c>
      <c r="H4" s="12"/>
      <c r="I4" s="12"/>
      <c r="J4" s="13">
        <v>45952</v>
      </c>
      <c r="K4" s="13">
        <v>2958465</v>
      </c>
      <c r="L4" s="11" t="str">
        <f t="shared" si="1"/>
        <v>INSERT INTO metadata_reference.file_schema VALUES('CIRC_PORT_PODT','ENVIRONMENT_ID','Y','CHAR(1)',NULL,NULL,NULL,NULL,'2025-10-22','9999-12-31',USER, CURRENT_TIMESTAMP(0));</v>
      </c>
    </row>
    <row r="5" spans="1:12" ht="15" customHeight="1">
      <c r="A5" s="11" t="str">
        <f>ETLMetadata!$C5</f>
        <v>CIRC_PORT_PODT</v>
      </c>
      <c r="B5" s="11" t="str">
        <f>ETLMetadata!$E5</f>
        <v>PERSON_ID</v>
      </c>
      <c r="C5" s="11" t="str">
        <f>IF(ISBLANK(ETLMetadata!$J5), "", ETLMetadata!$J5)</f>
        <v>Y</v>
      </c>
      <c r="D5" s="11" t="str">
        <f>ETLMetadata!$G5</f>
        <v>INTEGER</v>
      </c>
      <c r="E5" s="12"/>
      <c r="F5" s="12" t="s">
        <v>797</v>
      </c>
      <c r="G5" s="12" t="str">
        <f t="shared" si="0"/>
        <v xml:space="preserve">PERSONAL_IDENTITYINFODIRECT	</v>
      </c>
      <c r="H5" s="12"/>
      <c r="I5" s="12"/>
      <c r="J5" s="13">
        <v>45952</v>
      </c>
      <c r="K5" s="13">
        <v>2958465</v>
      </c>
      <c r="L5" s="11" t="str">
        <f t="shared" si="1"/>
        <v>INSERT INTO metadata_reference.file_schema VALUES('CIRC_PORT_PODT','PERSON_ID','Y','INTEGER',NULL,'PERSONAL_IDENTITYINFODIRECT	',NULL,NULL,'2025-10-22','9999-12-31',USER, CURRENT_TIMESTAMP(0));</v>
      </c>
    </row>
    <row r="6" spans="1:12" ht="15" customHeight="1">
      <c r="A6" s="11" t="str">
        <f>ETLMetadata!$C6</f>
        <v>CIRC_PORT_PODT</v>
      </c>
      <c r="B6" s="11" t="str">
        <f>ETLMetadata!$E6</f>
        <v>PROCESSING_SEQUENCE</v>
      </c>
      <c r="C6" s="11" t="str">
        <f>IF(ISBLANK(ETLMetadata!$J6), "", ETLMetadata!$J6)</f>
        <v>Y</v>
      </c>
      <c r="D6" s="11" t="str">
        <f>ETLMetadata!$G6</f>
        <v>SMALLINT</v>
      </c>
      <c r="E6" s="12"/>
      <c r="F6" s="12"/>
      <c r="G6" s="12" t="str">
        <f t="shared" si="0"/>
        <v/>
      </c>
      <c r="H6" s="12"/>
      <c r="I6" s="12"/>
      <c r="J6" s="13">
        <v>45952</v>
      </c>
      <c r="K6" s="13">
        <v>2958465</v>
      </c>
      <c r="L6" s="11" t="str">
        <f t="shared" si="1"/>
        <v>INSERT INTO metadata_reference.file_schema VALUES('CIRC_PORT_PODT','PROCESSING_SEQUENCE','Y','SMALLINT',NULL,NULL,NULL,NULL,'2025-10-22','9999-12-31',USER, CURRENT_TIMESTAMP(0));</v>
      </c>
    </row>
    <row r="7" spans="1:12" ht="15" customHeight="1">
      <c r="A7" s="11" t="str">
        <f>ETLMetadata!$C7</f>
        <v>CIRC_PORT_PODT</v>
      </c>
      <c r="B7" s="11" t="str">
        <f>ETLMetadata!$E7</f>
        <v>PODT_AMR_1</v>
      </c>
      <c r="C7" s="11" t="str">
        <f>IF(ISBLANK(ETLMetadata!$J7), "", ETLMetadata!$J7)</f>
        <v/>
      </c>
      <c r="D7" s="11" t="str">
        <f>ETLMetadata!$G7</f>
        <v>CHAR(4)</v>
      </c>
      <c r="E7" s="12"/>
      <c r="F7" s="12"/>
      <c r="G7" s="12" t="str">
        <f t="shared" si="0"/>
        <v/>
      </c>
      <c r="H7" s="12"/>
      <c r="I7" s="12"/>
      <c r="J7" s="13">
        <v>45952</v>
      </c>
      <c r="K7" s="13">
        <v>2958465</v>
      </c>
      <c r="L7" s="11" t="str">
        <f t="shared" si="1"/>
        <v>INSERT INTO metadata_reference.file_schema VALUES('CIRC_PORT_PODT','PODT_AMR_1',NULL,'CHAR(4)',NULL,NULL,NULL,NULL,'2025-10-22','9999-12-31',USER, CURRENT_TIMESTAMP(0));</v>
      </c>
    </row>
    <row r="8" spans="1:12" ht="15" customHeight="1">
      <c r="A8" s="11" t="str">
        <f>ETLMetadata!$C8</f>
        <v>CIRC_PORT_PODT</v>
      </c>
      <c r="B8" s="11" t="str">
        <f>ETLMetadata!$E8</f>
        <v>PODT_AMR_2</v>
      </c>
      <c r="C8" s="11" t="str">
        <f>IF(ISBLANK(ETLMetadata!$J8), "", ETLMetadata!$J8)</f>
        <v/>
      </c>
      <c r="D8" s="11" t="str">
        <f>ETLMetadata!$G8</f>
        <v>CHAR(1)</v>
      </c>
      <c r="E8" s="12"/>
      <c r="F8" s="12"/>
      <c r="G8" s="12" t="str">
        <f t="shared" si="0"/>
        <v/>
      </c>
      <c r="H8" s="12"/>
      <c r="I8" s="12"/>
      <c r="J8" s="13">
        <v>45952</v>
      </c>
      <c r="K8" s="13">
        <v>2958465</v>
      </c>
      <c r="L8" s="11" t="str">
        <f t="shared" si="1"/>
        <v>INSERT INTO metadata_reference.file_schema VALUES('CIRC_PORT_PODT','PODT_AMR_2',NULL,'CHAR(1)',NULL,NULL,NULL,NULL,'2025-10-22','9999-12-31',USER, CURRENT_TIMESTAMP(0));</v>
      </c>
    </row>
    <row r="9" spans="1:12" ht="15" customHeight="1">
      <c r="A9" s="11" t="str">
        <f>ETLMetadata!$C9</f>
        <v>CIRC_PORT_PODT</v>
      </c>
      <c r="B9" s="11" t="str">
        <f>ETLMetadata!$E9</f>
        <v>PODT_AMR_3</v>
      </c>
      <c r="C9" s="11" t="str">
        <f>IF(ISBLANK(ETLMetadata!$J9), "", ETLMetadata!$J9)</f>
        <v/>
      </c>
      <c r="D9" s="11" t="str">
        <f>ETLMetadata!$G9</f>
        <v>CHAR(4)</v>
      </c>
      <c r="E9" s="12"/>
      <c r="F9" s="12"/>
      <c r="G9" s="12" t="str">
        <f t="shared" si="0"/>
        <v/>
      </c>
      <c r="H9" s="12"/>
      <c r="I9" s="12"/>
      <c r="J9" s="13">
        <v>45952</v>
      </c>
      <c r="K9" s="13">
        <v>2958465</v>
      </c>
      <c r="L9" s="11" t="str">
        <f t="shared" si="1"/>
        <v>INSERT INTO metadata_reference.file_schema VALUES('CIRC_PORT_PODT','PODT_AMR_3',NULL,'CHAR(4)',NULL,NULL,NULL,NULL,'2025-10-22','9999-12-31',USER, CURRENT_TIMESTAMP(0));</v>
      </c>
    </row>
    <row r="10" spans="1:12" ht="15" customHeight="1">
      <c r="A10" s="11" t="str">
        <f>ETLMetadata!$C10</f>
        <v>CIRC_PORT_PODT</v>
      </c>
      <c r="B10" s="11" t="str">
        <f>ETLMetadata!$E10</f>
        <v>PODT_EXPCT_STAY_LEN_CODE</v>
      </c>
      <c r="C10" s="11" t="str">
        <f>IF(ISBLANK(ETLMetadata!$J10), "", ETLMetadata!$J10)</f>
        <v/>
      </c>
      <c r="D10" s="11" t="str">
        <f>ETLMetadata!$G10</f>
        <v>CHAR(3)</v>
      </c>
      <c r="E10" s="12"/>
      <c r="F10" s="12"/>
      <c r="G10" s="12" t="str">
        <f t="shared" si="0"/>
        <v/>
      </c>
      <c r="H10" s="12"/>
      <c r="I10" s="12"/>
      <c r="J10" s="13">
        <v>45952</v>
      </c>
      <c r="K10" s="13">
        <v>2958465</v>
      </c>
      <c r="L10" s="11" t="str">
        <f t="shared" si="1"/>
        <v>INSERT INTO metadata_reference.file_schema VALUES('CIRC_PORT_PODT','PODT_EXPCT_STAY_LEN_CODE',NULL,'CHAR(3)',NULL,NULL,NULL,NULL,'2025-10-22','9999-12-31',USER, CURRENT_TIMESTAMP(0));</v>
      </c>
    </row>
    <row r="11" spans="1:12" ht="15" customHeight="1">
      <c r="A11" s="11" t="str">
        <f>ETLMetadata!$C11</f>
        <v>CIRC_PORT_PODT</v>
      </c>
      <c r="B11" s="11" t="str">
        <f>ETLMetadata!$E11</f>
        <v>PODT_AUS_DPRT_DATE</v>
      </c>
      <c r="C11" s="11" t="str">
        <f>IF(ISBLANK(ETLMetadata!$J11), "", ETLMetadata!$J11)</f>
        <v/>
      </c>
      <c r="D11" s="11" t="str">
        <f>ETLMetadata!$G11</f>
        <v>DATE</v>
      </c>
      <c r="E11" s="12"/>
      <c r="F11" s="12"/>
      <c r="G11" s="12" t="str">
        <f t="shared" si="0"/>
        <v/>
      </c>
      <c r="H11" s="12"/>
      <c r="I11" s="12"/>
      <c r="J11" s="13">
        <v>45952</v>
      </c>
      <c r="K11" s="13">
        <v>2958465</v>
      </c>
      <c r="L11" s="11" t="str">
        <f t="shared" si="1"/>
        <v>INSERT INTO metadata_reference.file_schema VALUES('CIRC_PORT_PODT','PODT_AUS_DPRT_DATE',NULL,'DATE',NULL,NULL,NULL,NULL,'2025-10-22','9999-12-31',USER, CURRENT_TIMESTAMP(0));</v>
      </c>
    </row>
    <row r="12" spans="1:12" ht="15" customHeight="1">
      <c r="A12" s="11" t="str">
        <f>ETLMetadata!$C12</f>
        <v>CIRC_PORT_PODT</v>
      </c>
      <c r="B12" s="11" t="str">
        <f>ETLMetadata!$E12</f>
        <v>PODT_AUS_DPRT_DATE_ORIG</v>
      </c>
      <c r="C12" s="11" t="str">
        <f>IF(ISBLANK(ETLMetadata!$J12), "", ETLMetadata!$J12)</f>
        <v/>
      </c>
      <c r="D12" s="11" t="str">
        <f>ETLMetadata!$G12</f>
        <v>INTEGER</v>
      </c>
      <c r="E12" s="12"/>
      <c r="F12" s="12"/>
      <c r="G12" s="12" t="str">
        <f t="shared" si="0"/>
        <v/>
      </c>
      <c r="H12" s="12"/>
      <c r="I12" s="12"/>
      <c r="J12" s="13">
        <v>45952</v>
      </c>
      <c r="K12" s="13">
        <v>2958465</v>
      </c>
      <c r="L12" s="11" t="str">
        <f t="shared" si="1"/>
        <v>INSERT INTO metadata_reference.file_schema VALUES('CIRC_PORT_PODT','PODT_AUS_DPRT_DATE_ORIG',NULL,'INTEGER',NULL,NULL,NULL,NULL,'2025-10-22','9999-12-31',USER, CURRENT_TIMESTAMP(0));</v>
      </c>
    </row>
    <row r="13" spans="1:12" ht="15" customHeight="1">
      <c r="A13" s="11" t="str">
        <f>ETLMetadata!$C13</f>
        <v>CIRC_PORT_PODT</v>
      </c>
      <c r="B13" s="11" t="str">
        <f>ETLMetadata!$E13</f>
        <v>PODT_AUS_RTN_DATE</v>
      </c>
      <c r="C13" s="11" t="str">
        <f>IF(ISBLANK(ETLMetadata!$J13), "", ETLMetadata!$J13)</f>
        <v/>
      </c>
      <c r="D13" s="11" t="str">
        <f>ETLMetadata!$G13</f>
        <v>DATE</v>
      </c>
      <c r="E13" s="12"/>
      <c r="F13" s="12"/>
      <c r="G13" s="12" t="str">
        <f t="shared" si="0"/>
        <v/>
      </c>
      <c r="H13" s="12"/>
      <c r="I13" s="12"/>
      <c r="J13" s="13">
        <v>45952</v>
      </c>
      <c r="K13" s="13">
        <v>2958465</v>
      </c>
      <c r="L13" s="11" t="str">
        <f t="shared" si="1"/>
        <v>INSERT INTO metadata_reference.file_schema VALUES('CIRC_PORT_PODT','PODT_AUS_RTN_DATE',NULL,'DATE',NULL,NULL,NULL,NULL,'2025-10-22','9999-12-31',USER, CURRENT_TIMESTAMP(0));</v>
      </c>
    </row>
    <row r="14" spans="1:12" ht="15" customHeight="1">
      <c r="A14" s="11" t="str">
        <f>ETLMetadata!$C14</f>
        <v>CIRC_PORT_PODT</v>
      </c>
      <c r="B14" s="11" t="str">
        <f>ETLMetadata!$E14</f>
        <v>PODT_AUS_RTN_DATE_ORIG</v>
      </c>
      <c r="C14" s="11" t="str">
        <f>IF(ISBLANK(ETLMetadata!$J14), "", ETLMetadata!$J14)</f>
        <v/>
      </c>
      <c r="D14" s="11" t="str">
        <f>ETLMetadata!$G14</f>
        <v>INTEGER</v>
      </c>
      <c r="E14" s="12"/>
      <c r="F14" s="12"/>
      <c r="G14" s="12" t="str">
        <f t="shared" si="0"/>
        <v/>
      </c>
      <c r="H14" s="12"/>
      <c r="I14" s="12"/>
      <c r="J14" s="13">
        <v>45952</v>
      </c>
      <c r="K14" s="13">
        <v>2958465</v>
      </c>
      <c r="L14" s="11" t="str">
        <f t="shared" si="1"/>
        <v>INSERT INTO metadata_reference.file_schema VALUES('CIRC_PORT_PODT','PODT_AUS_RTN_DATE_ORIG',NULL,'INTEGER',NULL,NULL,NULL,NULL,'2025-10-22','9999-12-31',USER, CURRENT_TIMESTAMP(0));</v>
      </c>
    </row>
    <row r="15" spans="1:12" ht="15" customHeight="1">
      <c r="A15" s="11" t="str">
        <f>ETLMetadata!$C15</f>
        <v>CIRC_PORT_PODT</v>
      </c>
      <c r="B15" s="11" t="str">
        <f>ETLMetadata!$E15</f>
        <v>PODT_DPRT_CERT_CODE</v>
      </c>
      <c r="C15" s="11" t="str">
        <f>IF(ISBLANK(ETLMetadata!$J15), "", ETLMetadata!$J15)</f>
        <v/>
      </c>
      <c r="D15" s="11" t="str">
        <f>ETLMetadata!$G15</f>
        <v>CHAR(3)</v>
      </c>
      <c r="E15" s="12"/>
      <c r="F15" s="12"/>
      <c r="G15" s="12" t="str">
        <f t="shared" si="0"/>
        <v/>
      </c>
      <c r="H15" s="12"/>
      <c r="I15" s="12"/>
      <c r="J15" s="13">
        <v>45952</v>
      </c>
      <c r="K15" s="13">
        <v>2958465</v>
      </c>
      <c r="L15" s="11" t="str">
        <f t="shared" si="1"/>
        <v>INSERT INTO metadata_reference.file_schema VALUES('CIRC_PORT_PODT','PODT_DPRT_CERT_CODE',NULL,'CHAR(3)',NULL,NULL,NULL,NULL,'2025-10-22','9999-12-31',USER, CURRENT_TIMESTAMP(0));</v>
      </c>
    </row>
    <row r="16" spans="1:12" ht="15" customHeight="1">
      <c r="A16" s="11" t="str">
        <f>ETLMetadata!$C16</f>
        <v>CIRC_PORT_PODT</v>
      </c>
      <c r="B16" s="11" t="str">
        <f>ETLMetadata!$E16</f>
        <v>PODT_DOV</v>
      </c>
      <c r="C16" s="11" t="str">
        <f>IF(ISBLANK(ETLMetadata!$J16), "", ETLMetadata!$J16)</f>
        <v/>
      </c>
      <c r="D16" s="11" t="str">
        <f>ETLMetadata!$G16</f>
        <v>DATE</v>
      </c>
      <c r="E16" s="12"/>
      <c r="F16" s="12"/>
      <c r="G16" s="12" t="str">
        <f t="shared" si="0"/>
        <v/>
      </c>
      <c r="H16" s="12"/>
      <c r="I16" s="12"/>
      <c r="J16" s="13">
        <v>45952</v>
      </c>
      <c r="K16" s="13">
        <v>2958465</v>
      </c>
      <c r="L16" s="11" t="str">
        <f t="shared" si="1"/>
        <v>INSERT INTO metadata_reference.file_schema VALUES('CIRC_PORT_PODT','PODT_DOV',NULL,'DATE',NULL,NULL,NULL,NULL,'2025-10-22','9999-12-31',USER, CURRENT_TIMESTAMP(0));</v>
      </c>
    </row>
    <row r="17" spans="1:12" ht="15" customHeight="1">
      <c r="A17" s="11" t="str">
        <f>ETLMetadata!$C17</f>
        <v>CIRC_PORT_PODT</v>
      </c>
      <c r="B17" s="11" t="str">
        <f>ETLMetadata!$E17</f>
        <v>PODT_DOV_ORIG</v>
      </c>
      <c r="C17" s="11" t="str">
        <f>IF(ISBLANK(ETLMetadata!$J17), "", ETLMetadata!$J17)</f>
        <v/>
      </c>
      <c r="D17" s="11" t="str">
        <f>ETLMetadata!$G17</f>
        <v>INTEGER</v>
      </c>
      <c r="E17" s="12"/>
      <c r="F17" s="12"/>
      <c r="G17" s="12" t="str">
        <f t="shared" si="0"/>
        <v/>
      </c>
      <c r="H17" s="12"/>
      <c r="I17" s="12"/>
      <c r="J17" s="13">
        <v>45952</v>
      </c>
      <c r="K17" s="13">
        <v>2958465</v>
      </c>
      <c r="L17" s="11" t="str">
        <f t="shared" si="1"/>
        <v>INSERT INTO metadata_reference.file_schema VALUES('CIRC_PORT_PODT','PODT_DOV_ORIG',NULL,'INTEGER',NULL,NULL,NULL,NULL,'2025-10-22','9999-12-31',USER, CURRENT_TIMESTAMP(0));</v>
      </c>
    </row>
    <row r="18" spans="1:12" ht="15" customHeight="1">
      <c r="A18" s="11" t="str">
        <f>ETLMetadata!$C18</f>
        <v>CIRC_PORT_PODT</v>
      </c>
      <c r="B18" s="11" t="str">
        <f>ETLMetadata!$E18</f>
        <v>PODT_LOCN_CTRY_CODE</v>
      </c>
      <c r="C18" s="11" t="str">
        <f>IF(ISBLANK(ETLMetadata!$J18), "", ETLMetadata!$J18)</f>
        <v/>
      </c>
      <c r="D18" s="11" t="str">
        <f>ETLMetadata!$G18</f>
        <v>CHAR(3)</v>
      </c>
      <c r="E18" s="12"/>
      <c r="F18" s="12"/>
      <c r="G18" s="12" t="str">
        <f t="shared" si="0"/>
        <v/>
      </c>
      <c r="H18" s="12"/>
      <c r="I18" s="12"/>
      <c r="J18" s="13">
        <v>45952</v>
      </c>
      <c r="K18" s="13">
        <v>2958465</v>
      </c>
      <c r="L18" s="11" t="str">
        <f t="shared" si="1"/>
        <v>INSERT INTO metadata_reference.file_schema VALUES('CIRC_PORT_PODT','PODT_LOCN_CTRY_CODE',NULL,'CHAR(3)',NULL,NULL,NULL,NULL,'2025-10-22','9999-12-31',USER, CURRENT_TIMESTAMP(0));</v>
      </c>
    </row>
    <row r="19" spans="1:12" ht="15" customHeight="1">
      <c r="A19" s="11" t="str">
        <f>ETLMetadata!$C19</f>
        <v>CIRC_PORT_PODT</v>
      </c>
      <c r="B19" s="11" t="str">
        <f>ETLMetadata!$E19</f>
        <v>PODT_NZ_CLM_REJ_IND</v>
      </c>
      <c r="C19" s="11" t="str">
        <f>IF(ISBLANK(ETLMetadata!$J19), "", ETLMetadata!$J19)</f>
        <v/>
      </c>
      <c r="D19" s="11" t="str">
        <f>ETLMetadata!$G19</f>
        <v>CHAR(1)</v>
      </c>
      <c r="E19" s="12"/>
      <c r="F19" s="12"/>
      <c r="G19" s="12" t="str">
        <f t="shared" si="0"/>
        <v/>
      </c>
      <c r="H19" s="12"/>
      <c r="I19" s="12"/>
      <c r="J19" s="13">
        <v>45952</v>
      </c>
      <c r="K19" s="13">
        <v>2958465</v>
      </c>
      <c r="L19" s="11" t="str">
        <f t="shared" si="1"/>
        <v>INSERT INTO metadata_reference.file_schema VALUES('CIRC_PORT_PODT','PODT_NZ_CLM_REJ_IND',NULL,'CHAR(1)',NULL,NULL,NULL,NULL,'2025-10-22','9999-12-31',USER, CURRENT_TIMESTAMP(0));</v>
      </c>
    </row>
    <row r="20" spans="1:12" ht="15" customHeight="1">
      <c r="A20" s="11" t="str">
        <f>ETLMetadata!$C20</f>
        <v>CIRC_PORT_PODT</v>
      </c>
      <c r="B20" s="11" t="str">
        <f>ETLMetadata!$E20</f>
        <v>PODT_OSEAS_CAN_EXEMPT_CODE</v>
      </c>
      <c r="C20" s="11" t="str">
        <f>IF(ISBLANK(ETLMetadata!$J20), "", ETLMetadata!$J20)</f>
        <v/>
      </c>
      <c r="D20" s="11" t="str">
        <f>ETLMetadata!$G20</f>
        <v>CHAR(3)</v>
      </c>
      <c r="E20" s="12"/>
      <c r="F20" s="12"/>
      <c r="G20" s="12" t="str">
        <f t="shared" si="0"/>
        <v/>
      </c>
      <c r="H20" s="12"/>
      <c r="I20" s="12"/>
      <c r="J20" s="13">
        <v>45952</v>
      </c>
      <c r="K20" s="13">
        <v>2958465</v>
      </c>
      <c r="L20" s="11" t="str">
        <f t="shared" si="1"/>
        <v>INSERT INTO metadata_reference.file_schema VALUES('CIRC_PORT_PODT','PODT_OSEAS_CAN_EXEMPT_CODE',NULL,'CHAR(3)',NULL,NULL,NULL,NULL,'2025-10-22','9999-12-31',USER, CURRENT_TIMESTAMP(0));</v>
      </c>
    </row>
    <row r="21" spans="1:12" ht="15" customHeight="1">
      <c r="A21" s="11" t="str">
        <f>ETLMetadata!$C21</f>
        <v>CIRC_PORT_PODT</v>
      </c>
      <c r="B21" s="11" t="str">
        <f>ETLMetadata!$E21</f>
        <v>PODT_PRE_PP_SAVE_IND</v>
      </c>
      <c r="C21" s="11" t="str">
        <f>IF(ISBLANK(ETLMetadata!$J21), "", ETLMetadata!$J21)</f>
        <v/>
      </c>
      <c r="D21" s="11" t="str">
        <f>ETLMetadata!$G21</f>
        <v>CHAR(1)</v>
      </c>
      <c r="E21" s="12"/>
      <c r="F21" s="12"/>
      <c r="G21" s="12" t="str">
        <f t="shared" si="0"/>
        <v/>
      </c>
      <c r="H21" s="12"/>
      <c r="I21" s="12"/>
      <c r="J21" s="13">
        <v>45952</v>
      </c>
      <c r="K21" s="13">
        <v>2958465</v>
      </c>
      <c r="L21" s="11" t="str">
        <f t="shared" si="1"/>
        <v>INSERT INTO metadata_reference.file_schema VALUES('CIRC_PORT_PODT','PODT_PRE_PP_SAVE_IND',NULL,'CHAR(1)',NULL,NULL,NULL,NULL,'2025-10-22','9999-12-31',USER, CURRENT_TIMESTAMP(0));</v>
      </c>
    </row>
    <row r="22" spans="1:12" ht="15" customHeight="1">
      <c r="A22" s="11" t="str">
        <f>ETLMetadata!$C22</f>
        <v>CIRC_PORT_PODT</v>
      </c>
      <c r="B22" s="11" t="str">
        <f>ETLMetadata!$E22</f>
        <v>PODT_SPCL_ACT_OF_GRACE_CODE</v>
      </c>
      <c r="C22" s="11" t="str">
        <f>IF(ISBLANK(ETLMetadata!$J22), "", ETLMetadata!$J22)</f>
        <v/>
      </c>
      <c r="D22" s="11" t="str">
        <f>ETLMetadata!$G22</f>
        <v>CHAR(3)</v>
      </c>
      <c r="E22" s="12"/>
      <c r="F22" s="12"/>
      <c r="G22" s="12" t="str">
        <f t="shared" si="0"/>
        <v/>
      </c>
      <c r="H22" s="12"/>
      <c r="I22" s="12"/>
      <c r="J22" s="13">
        <v>45952</v>
      </c>
      <c r="K22" s="13">
        <v>2958465</v>
      </c>
      <c r="L22" s="11" t="str">
        <f t="shared" si="1"/>
        <v>INSERT INTO metadata_reference.file_schema VALUES('CIRC_PORT_PODT','PODT_SPCL_ACT_OF_GRACE_CODE',NULL,'CHAR(3)',NULL,NULL,NULL,NULL,'2025-10-22','9999-12-31',USER, CURRENT_TIMESTAMP(0));</v>
      </c>
    </row>
    <row r="23" spans="1:12" ht="15" customHeight="1">
      <c r="A23" s="11" t="str">
        <f>ETLMetadata!$C23</f>
        <v>CIRC_PORT_PODT</v>
      </c>
      <c r="B23" s="11" t="str">
        <f>ETLMetadata!$E23</f>
        <v>AMR1_RISL_DTS</v>
      </c>
      <c r="C23" s="11" t="str">
        <f>IF(ISBLANK(ETLMetadata!$J23), "", ETLMetadata!$J23)</f>
        <v/>
      </c>
      <c r="D23" s="11" t="str">
        <f>ETLMetadata!$G23</f>
        <v>TIMESTAMP(6)</v>
      </c>
      <c r="E23" s="12"/>
      <c r="F23" s="12"/>
      <c r="G23" s="12" t="str">
        <f t="shared" si="0"/>
        <v/>
      </c>
      <c r="H23" s="12"/>
      <c r="I23" s="12"/>
      <c r="J23" s="13">
        <v>45952</v>
      </c>
      <c r="K23" s="13">
        <v>2958465</v>
      </c>
      <c r="L23" s="11" t="str">
        <f t="shared" si="1"/>
        <v>INSERT INTO metadata_reference.file_schema VALUES('CIRC_PORT_PODT','AMR1_RISL_DTS',NULL,'TIMESTAMP(6)',NULL,NULL,NULL,NULL,'2025-10-22','9999-12-31',USER, CURRENT_TIMESTAMP(0));</v>
      </c>
    </row>
    <row r="24" spans="1:12" ht="15" customHeight="1">
      <c r="A24" s="11" t="str">
        <f>ETLMetadata!$C24</f>
        <v>CIRC_PORT_PODT</v>
      </c>
      <c r="B24" s="11" t="str">
        <f>ETLMetadata!$E24</f>
        <v>AMR3_RISL_DTS</v>
      </c>
      <c r="C24" s="11" t="str">
        <f>IF(ISBLANK(ETLMetadata!$J24), "", ETLMetadata!$J24)</f>
        <v/>
      </c>
      <c r="D24" s="11" t="str">
        <f>ETLMetadata!$G24</f>
        <v>TIMESTAMP(6)</v>
      </c>
      <c r="E24" s="12"/>
      <c r="F24" s="12"/>
      <c r="G24" s="12" t="str">
        <f t="shared" si="0"/>
        <v/>
      </c>
      <c r="H24" s="12"/>
      <c r="I24" s="12"/>
      <c r="J24" s="13">
        <v>45952</v>
      </c>
      <c r="K24" s="13">
        <v>2958465</v>
      </c>
      <c r="L24" s="11" t="str">
        <f t="shared" si="1"/>
        <v>INSERT INTO metadata_reference.file_schema VALUES('CIRC_PORT_PODT','AMR3_RISL_DTS',NULL,'TIMESTAMP(6)',NULL,NULL,NULL,NULL,'2025-10-22','9999-12-31',USER, CURRENT_TIMESTAMP(0));</v>
      </c>
    </row>
    <row r="25" spans="1:12" ht="15" customHeight="1">
      <c r="A25" s="11" t="str">
        <f>ETLMetadata!$C25</f>
        <v>CIRC_PORT_PODT</v>
      </c>
      <c r="B25" s="11" t="str">
        <f>ETLMetadata!$E25</f>
        <v>PARTY_ID</v>
      </c>
      <c r="C25" s="11" t="str">
        <f>IF(ISBLANK(ETLMetadata!$J25), "", ETLMetadata!$J25)</f>
        <v/>
      </c>
      <c r="D25" s="11" t="str">
        <f>ETLMetadata!$G25</f>
        <v>INTEGER</v>
      </c>
      <c r="E25" s="12"/>
      <c r="F25" s="12"/>
      <c r="G25" s="12" t="str">
        <f t="shared" si="0"/>
        <v/>
      </c>
      <c r="H25" s="12"/>
      <c r="I25" s="12"/>
      <c r="J25" s="13">
        <v>45952</v>
      </c>
      <c r="K25" s="13">
        <v>2958465</v>
      </c>
      <c r="L25" s="11" t="str">
        <f t="shared" si="1"/>
        <v>INSERT INTO metadata_reference.file_schema VALUES('CIRC_PORT_PODT','PARTY_ID',NULL,'INTEGER',NULL,NULL,NULL,NULL,'2025-10-22','9999-12-31',USER, CURRENT_TIMESTAMP(0));</v>
      </c>
    </row>
    <row r="26" spans="1:12" ht="15" customHeight="1">
      <c r="A26" s="11" t="str">
        <f>ETLMetadata!$C26</f>
        <v>CIRC_PORT_PODT</v>
      </c>
      <c r="B26" s="11" t="str">
        <f>ETLMetadata!$E26</f>
        <v>PARTY_ROLE_ID</v>
      </c>
      <c r="C26" s="11" t="str">
        <f>IF(ISBLANK(ETLMetadata!$J26), "", ETLMetadata!$J26)</f>
        <v/>
      </c>
      <c r="D26" s="11" t="str">
        <f>ETLMetadata!$G26</f>
        <v>INTEGER</v>
      </c>
      <c r="E26" s="12"/>
      <c r="F26" s="12"/>
      <c r="G26" s="12" t="str">
        <f t="shared" si="0"/>
        <v/>
      </c>
      <c r="H26" s="12"/>
      <c r="I26" s="12"/>
      <c r="J26" s="13">
        <v>45952</v>
      </c>
      <c r="K26" s="13">
        <v>2958465</v>
      </c>
      <c r="L26" s="11" t="str">
        <f t="shared" si="1"/>
        <v>INSERT INTO metadata_reference.file_schema VALUES('CIRC_PORT_PODT','PARTY_ROLE_ID',NULL,'INTEGER',NULL,NULL,NULL,NULL,'2025-10-22','9999-12-31',USER, CURRENT_TIMESTAMP(0));</v>
      </c>
    </row>
    <row r="27" spans="1:12" ht="15" customHeight="1">
      <c r="A27" s="11" t="str">
        <f>ETLMetadata!$C27</f>
        <v>CIRC_PORT_PODT</v>
      </c>
      <c r="B27" s="11" t="str">
        <f>ETLMetadata!$E27</f>
        <v>ERROR_COUNT</v>
      </c>
      <c r="C27" s="11" t="str">
        <f>IF(ISBLANK(ETLMetadata!$J27), "", ETLMetadata!$J27)</f>
        <v/>
      </c>
      <c r="D27" s="11" t="str">
        <f>ETLMetadata!$G27</f>
        <v>SMALLINT</v>
      </c>
      <c r="E27" s="12"/>
      <c r="F27" s="12"/>
      <c r="G27" s="12" t="str">
        <f t="shared" si="0"/>
        <v/>
      </c>
      <c r="H27" s="12"/>
      <c r="I27" s="12"/>
      <c r="J27" s="13">
        <v>45952</v>
      </c>
      <c r="K27" s="13">
        <v>2958465</v>
      </c>
      <c r="L27" s="11" t="str">
        <f t="shared" si="1"/>
        <v>INSERT INTO metadata_reference.file_schema VALUES('CIRC_PORT_PODT','ERROR_COUNT',NULL,'SMALLINT',NULL,NULL,NULL,NULL,'2025-10-22','9999-12-31',USER, CURRENT_TIMESTAMP(0));</v>
      </c>
    </row>
    <row r="28" spans="1:12" ht="15" customHeight="1">
      <c r="A28" s="11" t="str">
        <f>ETLMetadata!$C28</f>
        <v>CIRC_PORT_PODT</v>
      </c>
      <c r="B28" s="11" t="str">
        <f>ETLMetadata!$E28</f>
        <v>Start_Date</v>
      </c>
      <c r="C28" s="11" t="str">
        <f>IF(ISBLANK(ETLMetadata!$J28), "", ETLMetadata!$J28)</f>
        <v/>
      </c>
      <c r="D28" s="11" t="str">
        <f>ETLMetadata!$G28</f>
        <v>DATE</v>
      </c>
      <c r="E28" s="12"/>
      <c r="F28" s="12"/>
      <c r="G28" s="12" t="str">
        <f t="shared" si="0"/>
        <v/>
      </c>
      <c r="H28" s="12"/>
      <c r="I28" s="12"/>
      <c r="J28" s="13">
        <v>45952</v>
      </c>
      <c r="K28" s="13">
        <v>2958465</v>
      </c>
      <c r="L28" s="11" t="str">
        <f t="shared" si="1"/>
        <v>INSERT INTO metadata_reference.file_schema VALUES('CIRC_PORT_PODT','Start_Date',NULL,'DATE',NULL,NULL,NULL,NULL,'2025-10-22','9999-12-31',USER, CURRENT_TIMESTAMP(0));</v>
      </c>
    </row>
    <row r="29" spans="1:12" ht="15" customHeight="1">
      <c r="A29" s="11" t="str">
        <f>ETLMetadata!$C29</f>
        <v>CIRC_PORT_PODT</v>
      </c>
      <c r="B29" s="11" t="str">
        <f>ETLMetadata!$E29</f>
        <v>End_Date</v>
      </c>
      <c r="C29" s="11" t="str">
        <f>IF(ISBLANK(ETLMetadata!$J29), "", ETLMetadata!$J29)</f>
        <v/>
      </c>
      <c r="D29" s="11" t="str">
        <f>ETLMetadata!$G29</f>
        <v>DATE</v>
      </c>
      <c r="E29" s="12"/>
      <c r="F29" s="12"/>
      <c r="G29" s="12" t="str">
        <f t="shared" si="0"/>
        <v/>
      </c>
      <c r="H29" s="12"/>
      <c r="I29" s="12"/>
      <c r="J29" s="13">
        <v>45952</v>
      </c>
      <c r="K29" s="13">
        <v>2958465</v>
      </c>
      <c r="L29" s="11" t="str">
        <f t="shared" si="1"/>
        <v>INSERT INTO metadata_reference.file_schema VALUES('CIRC_PORT_PODT','End_Date',NULL,'DATE',NULL,NULL,NULL,NULL,'2025-10-22','9999-12-31',USER, CURRENT_TIMESTAMP(0));</v>
      </c>
    </row>
    <row r="30" spans="1:12" ht="15" customHeight="1">
      <c r="A30" s="11" t="str">
        <f>ETLMetadata!$C30</f>
        <v>CIRC_PORT_PODT</v>
      </c>
      <c r="B30" s="11" t="str">
        <f>ETLMetadata!$E30</f>
        <v>Record_Deleted_Flag</v>
      </c>
      <c r="C30" s="11" t="str">
        <f>IF(ISBLANK(ETLMetadata!$J30), "", ETLMetadata!$J30)</f>
        <v/>
      </c>
      <c r="D30" s="11" t="str">
        <f>ETLMetadata!$G30</f>
        <v>BYTEINT</v>
      </c>
      <c r="E30" s="12"/>
      <c r="F30" s="12"/>
      <c r="G30" s="12" t="str">
        <f t="shared" si="0"/>
        <v/>
      </c>
      <c r="H30" s="12"/>
      <c r="I30" s="12"/>
      <c r="J30" s="13">
        <v>45952</v>
      </c>
      <c r="K30" s="13">
        <v>2958465</v>
      </c>
      <c r="L30" s="11" t="str">
        <f t="shared" si="1"/>
        <v>INSERT INTO metadata_reference.file_schema VALUES('CIRC_PORT_PODT','Record_Deleted_Flag',NULL,'BYTEINT',NULL,NULL,NULL,NULL,'2025-10-22','9999-12-31',USER, CURRENT_TIMESTAMP(0));</v>
      </c>
    </row>
    <row r="31" spans="1:12" ht="15" customHeight="1">
      <c r="A31" s="11" t="str">
        <f>ETLMetadata!$C31</f>
        <v>CIRC_RES_RSCB</v>
      </c>
      <c r="B31" s="11" t="str">
        <f>ETLMetadata!$E31</f>
        <v>EXTRACT_DATE</v>
      </c>
      <c r="C31" s="11" t="str">
        <f>IF(ISBLANK(ETLMetadata!$J31), "", ETLMetadata!$J31)</f>
        <v/>
      </c>
      <c r="D31" s="11" t="str">
        <f>ETLMetadata!$G31</f>
        <v>DATE</v>
      </c>
      <c r="E31" s="12"/>
      <c r="F31" s="12"/>
      <c r="G31" s="12" t="str">
        <f t="shared" si="0"/>
        <v/>
      </c>
      <c r="H31" s="12"/>
      <c r="I31" s="12"/>
      <c r="J31" s="13">
        <v>45952</v>
      </c>
      <c r="K31" s="13">
        <v>2958465</v>
      </c>
      <c r="L31" s="11" t="str">
        <f t="shared" si="1"/>
        <v>INSERT INTO metadata_reference.file_schema VALUES('CIRC_RES_RSCB','EXTRACT_DATE',NULL,'DATE',NULL,NULL,NULL,NULL,'2025-10-22','9999-12-31',USER, CURRENT_TIMESTAMP(0));</v>
      </c>
    </row>
    <row r="32" spans="1:12" ht="15" customHeight="1">
      <c r="A32" s="11" t="str">
        <f>ETLMetadata!$C32</f>
        <v>CIRC_RES_RSCB</v>
      </c>
      <c r="B32" s="11" t="str">
        <f>ETLMetadata!$E32</f>
        <v>LOGICAL_DELETE_DATE</v>
      </c>
      <c r="C32" s="11" t="str">
        <f>IF(ISBLANK(ETLMetadata!$J32), "", ETLMetadata!$J32)</f>
        <v/>
      </c>
      <c r="D32" s="11" t="str">
        <f>ETLMetadata!$G32</f>
        <v>DATE</v>
      </c>
      <c r="E32" s="12"/>
      <c r="F32" s="12"/>
      <c r="G32" s="12" t="str">
        <f t="shared" si="0"/>
        <v/>
      </c>
      <c r="H32" s="12"/>
      <c r="I32" s="12"/>
      <c r="J32" s="13">
        <v>45952</v>
      </c>
      <c r="K32" s="13">
        <v>2958465</v>
      </c>
      <c r="L32" s="11" t="str">
        <f t="shared" si="1"/>
        <v>INSERT INTO metadata_reference.file_schema VALUES('CIRC_RES_RSCB','LOGICAL_DELETE_DATE',NULL,'DATE',NULL,NULL,NULL,NULL,'2025-10-22','9999-12-31',USER, CURRENT_TIMESTAMP(0));</v>
      </c>
    </row>
    <row r="33" spans="1:12" ht="15" customHeight="1">
      <c r="A33" s="11" t="str">
        <f>ETLMetadata!$C33</f>
        <v>CIRC_RES_RSCB</v>
      </c>
      <c r="B33" s="11" t="str">
        <f>ETLMetadata!$E33</f>
        <v>ENVIRONMENT_ID</v>
      </c>
      <c r="C33" s="11" t="str">
        <f>IF(ISBLANK(ETLMetadata!$J33), "", ETLMetadata!$J33)</f>
        <v>Y</v>
      </c>
      <c r="D33" s="11" t="str">
        <f>ETLMetadata!$G33</f>
        <v>CHAR(1)</v>
      </c>
      <c r="E33" s="12"/>
      <c r="F33" s="12"/>
      <c r="G33" s="12" t="str">
        <f t="shared" si="0"/>
        <v/>
      </c>
      <c r="H33" s="12"/>
      <c r="I33" s="12"/>
      <c r="J33" s="13">
        <v>45952</v>
      </c>
      <c r="K33" s="13">
        <v>2958465</v>
      </c>
      <c r="L33" s="11" t="str">
        <f t="shared" si="1"/>
        <v>INSERT INTO metadata_reference.file_schema VALUES('CIRC_RES_RSCB','ENVIRONMENT_ID','Y','CHAR(1)',NULL,NULL,NULL,NULL,'2025-10-22','9999-12-31',USER, CURRENT_TIMESTAMP(0));</v>
      </c>
    </row>
    <row r="34" spans="1:12" ht="15" customHeight="1">
      <c r="A34" s="11" t="str">
        <f>ETLMetadata!$C34</f>
        <v>CIRC_RES_RSCB</v>
      </c>
      <c r="B34" s="11" t="str">
        <f>ETLMetadata!$E34</f>
        <v>PERSON_ID</v>
      </c>
      <c r="C34" s="11" t="str">
        <f>IF(ISBLANK(ETLMetadata!$J34), "", ETLMetadata!$J34)</f>
        <v>Y</v>
      </c>
      <c r="D34" s="11" t="str">
        <f>ETLMetadata!$G34</f>
        <v>INTEGER</v>
      </c>
      <c r="E34" s="12"/>
      <c r="F34" s="12" t="s">
        <v>798</v>
      </c>
      <c r="G34" s="12" t="str">
        <f t="shared" si="0"/>
        <v xml:space="preserve">PERSONAL_IDENTITYINFOINDIRECT	</v>
      </c>
      <c r="H34" s="12"/>
      <c r="I34" s="12"/>
      <c r="J34" s="13">
        <v>45952</v>
      </c>
      <c r="K34" s="13">
        <v>2958465</v>
      </c>
      <c r="L34" s="11" t="str">
        <f t="shared" si="1"/>
        <v>INSERT INTO metadata_reference.file_schema VALUES('CIRC_RES_RSCB','PERSON_ID','Y','INTEGER',NULL,'PERSONAL_IDENTITYINFOINDIRECT	',NULL,NULL,'2025-10-22','9999-12-31',USER, CURRENT_TIMESTAMP(0));</v>
      </c>
    </row>
    <row r="35" spans="1:12" ht="15" customHeight="1">
      <c r="A35" s="11" t="str">
        <f>ETLMetadata!$C35</f>
        <v>CIRC_RES_RSCB</v>
      </c>
      <c r="B35" s="11" t="str">
        <f>ETLMetadata!$E35</f>
        <v>RSCB_DOR</v>
      </c>
      <c r="C35" s="11" t="str">
        <f>IF(ISBLANK(ETLMetadata!$J35), "", ETLMetadata!$J35)</f>
        <v/>
      </c>
      <c r="D35" s="11" t="str">
        <f>ETLMetadata!$G35</f>
        <v>DATE</v>
      </c>
      <c r="E35" s="12"/>
      <c r="F35" s="12"/>
      <c r="G35" s="12" t="str">
        <f t="shared" si="0"/>
        <v/>
      </c>
      <c r="H35" s="12"/>
      <c r="I35" s="12"/>
      <c r="J35" s="13">
        <v>45952</v>
      </c>
      <c r="K35" s="13">
        <v>2958465</v>
      </c>
      <c r="L35" s="11" t="str">
        <f t="shared" si="1"/>
        <v>INSERT INTO metadata_reference.file_schema VALUES('CIRC_RES_RSCB','RSCB_DOR',NULL,'DATE',NULL,NULL,NULL,NULL,'2025-10-22','9999-12-31',USER, CURRENT_TIMESTAMP(0));</v>
      </c>
    </row>
    <row r="36" spans="1:12" ht="15" customHeight="1">
      <c r="A36" s="11" t="str">
        <f>ETLMetadata!$C36</f>
        <v>CIRC_RES_RSCB</v>
      </c>
      <c r="B36" s="11" t="str">
        <f>ETLMetadata!$E36</f>
        <v>RSCB_DOR_ORIG</v>
      </c>
      <c r="C36" s="11" t="str">
        <f>IF(ISBLANK(ETLMetadata!$J36), "", ETLMetadata!$J36)</f>
        <v/>
      </c>
      <c r="D36" s="11" t="str">
        <f>ETLMetadata!$G36</f>
        <v>INTEGER</v>
      </c>
      <c r="E36" s="12"/>
      <c r="F36" s="12"/>
      <c r="G36" s="12" t="str">
        <f t="shared" si="0"/>
        <v/>
      </c>
      <c r="H36" s="12"/>
      <c r="I36" s="12"/>
      <c r="J36" s="13">
        <v>45952</v>
      </c>
      <c r="K36" s="13">
        <v>2958465</v>
      </c>
      <c r="L36" s="11" t="str">
        <f t="shared" si="1"/>
        <v>INSERT INTO metadata_reference.file_schema VALUES('CIRC_RES_RSCB','RSCB_DOR_ORIG',NULL,'INTEGER',NULL,NULL,NULL,NULL,'2025-10-22','9999-12-31',USER, CURRENT_TIMESTAMP(0));</v>
      </c>
    </row>
    <row r="37" spans="1:12" ht="15" customHeight="1">
      <c r="A37" s="11" t="str">
        <f>ETLMetadata!$C37</f>
        <v>CIRC_RES_RSCB</v>
      </c>
      <c r="B37" s="11" t="str">
        <f>ETLMetadata!$E37</f>
        <v>PROCESSING_SEQUENCE</v>
      </c>
      <c r="C37" s="11" t="str">
        <f>IF(ISBLANK(ETLMetadata!$J37), "", ETLMetadata!$J37)</f>
        <v>Y</v>
      </c>
      <c r="D37" s="11" t="str">
        <f>ETLMetadata!$G37</f>
        <v>SMALLINT</v>
      </c>
      <c r="E37" s="12"/>
      <c r="F37" s="12"/>
      <c r="G37" s="12" t="str">
        <f t="shared" si="0"/>
        <v/>
      </c>
      <c r="H37" s="12"/>
      <c r="I37" s="12"/>
      <c r="J37" s="13">
        <v>45952</v>
      </c>
      <c r="K37" s="13">
        <v>2958465</v>
      </c>
      <c r="L37" s="11" t="str">
        <f t="shared" si="1"/>
        <v>INSERT INTO metadata_reference.file_schema VALUES('CIRC_RES_RSCB','PROCESSING_SEQUENCE','Y','SMALLINT',NULL,NULL,NULL,NULL,'2025-10-22','9999-12-31',USER, CURRENT_TIMESTAMP(0));</v>
      </c>
    </row>
    <row r="38" spans="1:12" ht="15" customHeight="1">
      <c r="A38" s="11" t="str">
        <f>ETLMetadata!$C38</f>
        <v>CIRC_RES_RSCB</v>
      </c>
      <c r="B38" s="11" t="str">
        <f>ETLMetadata!$E38</f>
        <v>RSCB_AMR_1</v>
      </c>
      <c r="C38" s="11" t="str">
        <f>IF(ISBLANK(ETLMetadata!$J38), "", ETLMetadata!$J38)</f>
        <v/>
      </c>
      <c r="D38" s="11" t="str">
        <f>ETLMetadata!$G38</f>
        <v>CHAR(4)</v>
      </c>
      <c r="E38" s="12"/>
      <c r="F38" s="12"/>
      <c r="G38" s="12" t="str">
        <f t="shared" si="0"/>
        <v/>
      </c>
      <c r="H38" s="12"/>
      <c r="I38" s="12"/>
      <c r="J38" s="13">
        <v>45952</v>
      </c>
      <c r="K38" s="13">
        <v>2958465</v>
      </c>
      <c r="L38" s="11" t="str">
        <f t="shared" si="1"/>
        <v>INSERT INTO metadata_reference.file_schema VALUES('CIRC_RES_RSCB','RSCB_AMR_1',NULL,'CHAR(4)',NULL,NULL,NULL,NULL,'2025-10-22','9999-12-31',USER, CURRENT_TIMESTAMP(0));</v>
      </c>
    </row>
    <row r="39" spans="1:12" ht="15" customHeight="1">
      <c r="A39" s="11" t="str">
        <f>ETLMetadata!$C39</f>
        <v>CIRC_RES_RSCB</v>
      </c>
      <c r="B39" s="11" t="str">
        <f>ETLMetadata!$E39</f>
        <v>RSCB_AMR_2</v>
      </c>
      <c r="C39" s="11" t="str">
        <f>IF(ISBLANK(ETLMetadata!$J39), "", ETLMetadata!$J39)</f>
        <v/>
      </c>
      <c r="D39" s="11" t="str">
        <f>ETLMetadata!$G39</f>
        <v>CHAR(1)</v>
      </c>
      <c r="E39" s="12"/>
      <c r="F39" s="12"/>
      <c r="G39" s="12" t="str">
        <f t="shared" si="0"/>
        <v/>
      </c>
      <c r="H39" s="12"/>
      <c r="I39" s="12"/>
      <c r="J39" s="13">
        <v>45952</v>
      </c>
      <c r="K39" s="13">
        <v>2958465</v>
      </c>
      <c r="L39" s="11" t="str">
        <f t="shared" si="1"/>
        <v>INSERT INTO metadata_reference.file_schema VALUES('CIRC_RES_RSCB','RSCB_AMR_2',NULL,'CHAR(1)',NULL,NULL,NULL,NULL,'2025-10-22','9999-12-31',USER, CURRENT_TIMESTAMP(0));</v>
      </c>
    </row>
    <row r="40" spans="1:12" ht="15" customHeight="1">
      <c r="A40" s="11" t="str">
        <f>ETLMetadata!$C40</f>
        <v>CIRC_RES_RSCB</v>
      </c>
      <c r="B40" s="11" t="str">
        <f>ETLMetadata!$E40</f>
        <v>RSCB_AMR_3</v>
      </c>
      <c r="C40" s="11" t="str">
        <f>IF(ISBLANK(ETLMetadata!$J40), "", ETLMetadata!$J40)</f>
        <v/>
      </c>
      <c r="D40" s="11" t="str">
        <f>ETLMetadata!$G40</f>
        <v>CHAR(4)</v>
      </c>
      <c r="E40" s="12"/>
      <c r="F40" s="12"/>
      <c r="G40" s="12" t="str">
        <f t="shared" si="0"/>
        <v/>
      </c>
      <c r="H40" s="12"/>
      <c r="I40" s="12"/>
      <c r="J40" s="13">
        <v>45952</v>
      </c>
      <c r="K40" s="13">
        <v>2958465</v>
      </c>
      <c r="L40" s="11" t="str">
        <f t="shared" si="1"/>
        <v>INSERT INTO metadata_reference.file_schema VALUES('CIRC_RES_RSCB','RSCB_AMR_3',NULL,'CHAR(4)',NULL,NULL,NULL,NULL,'2025-10-22','9999-12-31',USER, CURRENT_TIMESTAMP(0));</v>
      </c>
    </row>
    <row r="41" spans="1:12" ht="15" customHeight="1">
      <c r="A41" s="11" t="str">
        <f>ETLMetadata!$C41</f>
        <v>CIRC_RES_RSCB</v>
      </c>
      <c r="B41" s="11" t="str">
        <f>ETLMetadata!$E41</f>
        <v>RSCB_BIRTH_CTRY_CODE</v>
      </c>
      <c r="C41" s="11" t="str">
        <f>IF(ISBLANK(ETLMetadata!$J41), "", ETLMetadata!$J41)</f>
        <v/>
      </c>
      <c r="D41" s="11" t="str">
        <f>ETLMetadata!$G41</f>
        <v>CHAR(2)</v>
      </c>
      <c r="E41" s="12"/>
      <c r="F41" s="12"/>
      <c r="G41" s="12" t="str">
        <f t="shared" si="0"/>
        <v/>
      </c>
      <c r="H41" s="12"/>
      <c r="I41" s="12"/>
      <c r="J41" s="13">
        <v>45952</v>
      </c>
      <c r="K41" s="13">
        <v>2958465</v>
      </c>
      <c r="L41" s="11" t="str">
        <f t="shared" si="1"/>
        <v>INSERT INTO metadata_reference.file_schema VALUES('CIRC_RES_RSCB','RSCB_BIRTH_CTRY_CODE',NULL,'CHAR(2)',NULL,NULL,NULL,NULL,'2025-10-22','9999-12-31',USER, CURRENT_TIMESTAMP(0));</v>
      </c>
    </row>
    <row r="42" spans="1:12" ht="15" customHeight="1">
      <c r="A42" s="11" t="str">
        <f>ETLMetadata!$C42</f>
        <v>CIRC_RES_RSCB</v>
      </c>
      <c r="B42" s="11" t="str">
        <f>ETLMetadata!$E42</f>
        <v>RSCB_CHNL_CODE</v>
      </c>
      <c r="C42" s="11" t="str">
        <f>IF(ISBLANK(ETLMetadata!$J42), "", ETLMetadata!$J42)</f>
        <v/>
      </c>
      <c r="D42" s="11" t="str">
        <f>ETLMetadata!$G42</f>
        <v>CHAR(3)</v>
      </c>
      <c r="E42" s="12"/>
      <c r="F42" s="12"/>
      <c r="G42" s="12" t="str">
        <f t="shared" si="0"/>
        <v/>
      </c>
      <c r="H42" s="12"/>
      <c r="I42" s="12"/>
      <c r="J42" s="13">
        <v>45952</v>
      </c>
      <c r="K42" s="13">
        <v>2958465</v>
      </c>
      <c r="L42" s="11" t="str">
        <f t="shared" si="1"/>
        <v>INSERT INTO metadata_reference.file_schema VALUES('CIRC_RES_RSCB','RSCB_CHNL_CODE',NULL,'CHAR(3)',NULL,NULL,NULL,NULL,'2025-10-22','9999-12-31',USER, CURRENT_TIMESTAMP(0));</v>
      </c>
    </row>
    <row r="43" spans="1:12" ht="15" customHeight="1">
      <c r="A43" s="11" t="str">
        <f>ETLMetadata!$C43</f>
        <v>CIRC_RES_RSCB</v>
      </c>
      <c r="B43" s="11" t="str">
        <f>ETLMetadata!$E43</f>
        <v>AMR1_RISL_DTS</v>
      </c>
      <c r="C43" s="11" t="str">
        <f>IF(ISBLANK(ETLMetadata!$J43), "", ETLMetadata!$J43)</f>
        <v/>
      </c>
      <c r="D43" s="11" t="str">
        <f>ETLMetadata!$G43</f>
        <v>TIMESTAMP(6)</v>
      </c>
      <c r="E43" s="12"/>
      <c r="F43" s="12"/>
      <c r="G43" s="12" t="str">
        <f t="shared" si="0"/>
        <v/>
      </c>
      <c r="H43" s="12"/>
      <c r="I43" s="12"/>
      <c r="J43" s="13">
        <v>45952</v>
      </c>
      <c r="K43" s="13">
        <v>2958465</v>
      </c>
      <c r="L43" s="11" t="str">
        <f t="shared" si="1"/>
        <v>INSERT INTO metadata_reference.file_schema VALUES('CIRC_RES_RSCB','AMR1_RISL_DTS',NULL,'TIMESTAMP(6)',NULL,NULL,NULL,NULL,'2025-10-22','9999-12-31',USER, CURRENT_TIMESTAMP(0));</v>
      </c>
    </row>
    <row r="44" spans="1:12" ht="15" customHeight="1">
      <c r="A44" s="11" t="str">
        <f>ETLMetadata!$C44</f>
        <v>CIRC_RES_RSCB</v>
      </c>
      <c r="B44" s="11" t="str">
        <f>ETLMetadata!$E44</f>
        <v>AMR3_RISL_DTS</v>
      </c>
      <c r="C44" s="11" t="str">
        <f>IF(ISBLANK(ETLMetadata!$J44), "", ETLMetadata!$J44)</f>
        <v/>
      </c>
      <c r="D44" s="11" t="str">
        <f>ETLMetadata!$G44</f>
        <v>TIMESTAMP(6)</v>
      </c>
      <c r="E44" s="12"/>
      <c r="F44" s="12"/>
      <c r="G44" s="12" t="str">
        <f t="shared" si="0"/>
        <v/>
      </c>
      <c r="H44" s="12"/>
      <c r="I44" s="12"/>
      <c r="J44" s="13">
        <v>45952</v>
      </c>
      <c r="K44" s="13">
        <v>2958465</v>
      </c>
      <c r="L44" s="11" t="str">
        <f t="shared" si="1"/>
        <v>INSERT INTO metadata_reference.file_schema VALUES('CIRC_RES_RSCB','AMR3_RISL_DTS',NULL,'TIMESTAMP(6)',NULL,NULL,NULL,NULL,'2025-10-22','9999-12-31',USER, CURRENT_TIMESTAMP(0));</v>
      </c>
    </row>
    <row r="45" spans="1:12" ht="15" customHeight="1">
      <c r="A45" s="11" t="str">
        <f>ETLMetadata!$C45</f>
        <v>CIRC_RES_RSCB</v>
      </c>
      <c r="B45" s="11" t="str">
        <f>ETLMetadata!$E45</f>
        <v>PARTY_ROLE_ID</v>
      </c>
      <c r="C45" s="11" t="str">
        <f>IF(ISBLANK(ETLMetadata!$J45), "", ETLMetadata!$J45)</f>
        <v/>
      </c>
      <c r="D45" s="11" t="str">
        <f>ETLMetadata!$G45</f>
        <v>INTEGER</v>
      </c>
      <c r="E45" s="12"/>
      <c r="F45" s="12"/>
      <c r="G45" s="12" t="str">
        <f t="shared" si="0"/>
        <v/>
      </c>
      <c r="H45" s="12"/>
      <c r="I45" s="12"/>
      <c r="J45" s="13">
        <v>45952</v>
      </c>
      <c r="K45" s="13">
        <v>2958465</v>
      </c>
      <c r="L45" s="11" t="str">
        <f t="shared" si="1"/>
        <v>INSERT INTO metadata_reference.file_schema VALUES('CIRC_RES_RSCB','PARTY_ROLE_ID',NULL,'INTEGER',NULL,NULL,NULL,NULL,'2025-10-22','9999-12-31',USER, CURRENT_TIMESTAMP(0));</v>
      </c>
    </row>
    <row r="46" spans="1:12" ht="15" customHeight="1">
      <c r="A46" s="11" t="str">
        <f>ETLMetadata!$C46</f>
        <v>CIRC_RES_RSCB</v>
      </c>
      <c r="B46" s="11" t="str">
        <f>ETLMetadata!$E46</f>
        <v>ERROR_COUNT</v>
      </c>
      <c r="C46" s="11" t="str">
        <f>IF(ISBLANK(ETLMetadata!$J46), "", ETLMetadata!$J46)</f>
        <v/>
      </c>
      <c r="D46" s="11" t="str">
        <f>ETLMetadata!$G46</f>
        <v>SMALLINT</v>
      </c>
      <c r="E46" s="12"/>
      <c r="F46" s="12"/>
      <c r="G46" s="12" t="str">
        <f t="shared" si="0"/>
        <v/>
      </c>
      <c r="H46" s="12"/>
      <c r="I46" s="12"/>
      <c r="J46" s="13">
        <v>45952</v>
      </c>
      <c r="K46" s="13">
        <v>2958465</v>
      </c>
      <c r="L46" s="11" t="str">
        <f t="shared" si="1"/>
        <v>INSERT INTO metadata_reference.file_schema VALUES('CIRC_RES_RSCB','ERROR_COUNT',NULL,'SMALLINT',NULL,NULL,NULL,NULL,'2025-10-22','9999-12-31',USER, CURRENT_TIMESTAMP(0));</v>
      </c>
    </row>
    <row r="47" spans="1:12" ht="15" customHeight="1">
      <c r="A47" s="11" t="str">
        <f>ETLMetadata!$C47</f>
        <v>CIRC_RES_RSCB</v>
      </c>
      <c r="B47" s="11" t="str">
        <f>ETLMetadata!$E47</f>
        <v>Start_Date</v>
      </c>
      <c r="C47" s="11" t="str">
        <f>IF(ISBLANK(ETLMetadata!$J47), "", ETLMetadata!$J47)</f>
        <v/>
      </c>
      <c r="D47" s="11" t="str">
        <f>ETLMetadata!$G47</f>
        <v>DATE</v>
      </c>
      <c r="E47" s="12"/>
      <c r="F47" s="12"/>
      <c r="G47" s="12" t="str">
        <f t="shared" si="0"/>
        <v/>
      </c>
      <c r="H47" s="12"/>
      <c r="I47" s="12"/>
      <c r="J47" s="13">
        <v>45952</v>
      </c>
      <c r="K47" s="13">
        <v>2958465</v>
      </c>
      <c r="L47" s="11" t="str">
        <f t="shared" si="1"/>
        <v>INSERT INTO metadata_reference.file_schema VALUES('CIRC_RES_RSCB','Start_Date',NULL,'DATE',NULL,NULL,NULL,NULL,'2025-10-22','9999-12-31',USER, CURRENT_TIMESTAMP(0));</v>
      </c>
    </row>
    <row r="48" spans="1:12" ht="15" customHeight="1">
      <c r="A48" s="11" t="str">
        <f>ETLMetadata!$C48</f>
        <v>CIRC_RES_RSCB</v>
      </c>
      <c r="B48" s="11" t="str">
        <f>ETLMetadata!$E48</f>
        <v>End_Date</v>
      </c>
      <c r="C48" s="11" t="str">
        <f>IF(ISBLANK(ETLMetadata!$J48), "", ETLMetadata!$J48)</f>
        <v/>
      </c>
      <c r="D48" s="11" t="str">
        <f>ETLMetadata!$G48</f>
        <v>DATE</v>
      </c>
      <c r="E48" s="12"/>
      <c r="F48" s="12"/>
      <c r="G48" s="12" t="str">
        <f t="shared" si="0"/>
        <v/>
      </c>
      <c r="H48" s="12"/>
      <c r="I48" s="12"/>
      <c r="J48" s="13">
        <v>45952</v>
      </c>
      <c r="K48" s="13">
        <v>2958465</v>
      </c>
      <c r="L48" s="11" t="str">
        <f t="shared" si="1"/>
        <v>INSERT INTO metadata_reference.file_schema VALUES('CIRC_RES_RSCB','End_Date',NULL,'DATE',NULL,NULL,NULL,NULL,'2025-10-22','9999-12-31',USER, CURRENT_TIMESTAMP(0));</v>
      </c>
    </row>
    <row r="49" spans="1:12" ht="15" customHeight="1">
      <c r="A49" s="11" t="str">
        <f>ETLMetadata!$C49</f>
        <v>CIRC_RES_RSCB</v>
      </c>
      <c r="B49" s="11" t="str">
        <f>ETLMetadata!$E49</f>
        <v>Record_Deleted_Flag</v>
      </c>
      <c r="C49" s="11" t="str">
        <f>IF(ISBLANK(ETLMetadata!$J49), "", ETLMetadata!$J49)</f>
        <v/>
      </c>
      <c r="D49" s="11" t="str">
        <f>ETLMetadata!$G49</f>
        <v>BYTEINT</v>
      </c>
      <c r="E49" s="12"/>
      <c r="F49" s="12"/>
      <c r="G49" s="12" t="str">
        <f t="shared" si="0"/>
        <v/>
      </c>
      <c r="H49" s="12"/>
      <c r="I49" s="12"/>
      <c r="J49" s="13">
        <v>45952</v>
      </c>
      <c r="K49" s="13">
        <v>2958465</v>
      </c>
      <c r="L49" s="11" t="str">
        <f t="shared" si="1"/>
        <v>INSERT INTO metadata_reference.file_schema VALUES('CIRC_RES_RSCB','Record_Deleted_Flag',NULL,'BYTEINT',NULL,NULL,NULL,NULL,'2025-10-22','9999-12-31',USER, CURRENT_TIMESTAMP(0));</v>
      </c>
    </row>
    <row r="50" spans="1:12" ht="15" customHeight="1">
      <c r="A50" s="11" t="str">
        <f>ETLMetadata!$C50</f>
        <v>CIRC_RES_RSCV</v>
      </c>
      <c r="B50" s="11" t="str">
        <f>ETLMetadata!$E50</f>
        <v>EXTRACT_DATE</v>
      </c>
      <c r="C50" s="11" t="str">
        <f>IF(ISBLANK(ETLMetadata!$J50), "", ETLMetadata!$J50)</f>
        <v/>
      </c>
      <c r="D50" s="11" t="str">
        <f>ETLMetadata!$G50</f>
        <v>DATE</v>
      </c>
      <c r="E50" s="12"/>
      <c r="F50" s="12"/>
      <c r="G50" s="12" t="str">
        <f t="shared" si="0"/>
        <v/>
      </c>
      <c r="H50" s="12"/>
      <c r="I50" s="12"/>
      <c r="J50" s="13">
        <v>45952</v>
      </c>
      <c r="K50" s="13">
        <v>2958465</v>
      </c>
      <c r="L50" s="11" t="str">
        <f t="shared" si="1"/>
        <v>INSERT INTO metadata_reference.file_schema VALUES('CIRC_RES_RSCV','EXTRACT_DATE',NULL,'DATE',NULL,NULL,NULL,NULL,'2025-10-22','9999-12-31',USER, CURRENT_TIMESTAMP(0));</v>
      </c>
    </row>
    <row r="51" spans="1:12" ht="15" customHeight="1">
      <c r="A51" s="11" t="str">
        <f>ETLMetadata!$C51</f>
        <v>CIRC_RES_RSCV</v>
      </c>
      <c r="B51" s="11" t="str">
        <f>ETLMetadata!$E51</f>
        <v>LOGICAL_DELETE_DATE</v>
      </c>
      <c r="C51" s="11" t="str">
        <f>IF(ISBLANK(ETLMetadata!$J51), "", ETLMetadata!$J51)</f>
        <v/>
      </c>
      <c r="D51" s="11" t="str">
        <f>ETLMetadata!$G51</f>
        <v>DATE</v>
      </c>
      <c r="E51" s="12"/>
      <c r="F51" s="12"/>
      <c r="G51" s="12" t="str">
        <f t="shared" si="0"/>
        <v/>
      </c>
      <c r="H51" s="12"/>
      <c r="I51" s="12"/>
      <c r="J51" s="13">
        <v>45952</v>
      </c>
      <c r="K51" s="13">
        <v>2958465</v>
      </c>
      <c r="L51" s="11" t="str">
        <f t="shared" si="1"/>
        <v>INSERT INTO metadata_reference.file_schema VALUES('CIRC_RES_RSCV','LOGICAL_DELETE_DATE',NULL,'DATE',NULL,NULL,NULL,NULL,'2025-10-22','9999-12-31',USER, CURRENT_TIMESTAMP(0));</v>
      </c>
    </row>
    <row r="52" spans="1:12" ht="15" customHeight="1">
      <c r="A52" s="11" t="str">
        <f>ETLMetadata!$C52</f>
        <v>CIRC_RES_RSCV</v>
      </c>
      <c r="B52" s="11" t="str">
        <f>ETLMetadata!$E52</f>
        <v>ENVIRONMENT_ID</v>
      </c>
      <c r="C52" s="11" t="str">
        <f>IF(ISBLANK(ETLMetadata!$J52), "", ETLMetadata!$J52)</f>
        <v>Y</v>
      </c>
      <c r="D52" s="11" t="str">
        <f>ETLMetadata!$G52</f>
        <v>CHAR(1)</v>
      </c>
      <c r="E52" s="12"/>
      <c r="F52" s="12"/>
      <c r="G52" s="12" t="str">
        <f t="shared" si="0"/>
        <v/>
      </c>
      <c r="H52" s="12"/>
      <c r="I52" s="12"/>
      <c r="J52" s="13">
        <v>45952</v>
      </c>
      <c r="K52" s="13">
        <v>2958465</v>
      </c>
      <c r="L52" s="11" t="str">
        <f t="shared" si="1"/>
        <v>INSERT INTO metadata_reference.file_schema VALUES('CIRC_RES_RSCV','ENVIRONMENT_ID','Y','CHAR(1)',NULL,NULL,NULL,NULL,'2025-10-22','9999-12-31',USER, CURRENT_TIMESTAMP(0));</v>
      </c>
    </row>
    <row r="53" spans="1:12" ht="15" customHeight="1">
      <c r="A53" s="11" t="str">
        <f>ETLMetadata!$C53</f>
        <v>CIRC_RES_RSCV</v>
      </c>
      <c r="B53" s="11" t="str">
        <f>ETLMetadata!$E53</f>
        <v>PERSON_ID</v>
      </c>
      <c r="C53" s="11" t="str">
        <f>IF(ISBLANK(ETLMetadata!$J53), "", ETLMetadata!$J53)</f>
        <v>Y</v>
      </c>
      <c r="D53" s="11" t="str">
        <f>ETLMetadata!$G53</f>
        <v>INTEGER</v>
      </c>
      <c r="E53" s="12"/>
      <c r="F53" s="12" t="s">
        <v>799</v>
      </c>
      <c r="G53" s="12" t="str">
        <f t="shared" si="0"/>
        <v>PERSONAL_IDENTITYINFOINDIRECT</v>
      </c>
      <c r="H53" s="12"/>
      <c r="I53" s="12"/>
      <c r="J53" s="13">
        <v>45952</v>
      </c>
      <c r="K53" s="13">
        <v>2958465</v>
      </c>
      <c r="L53" s="11" t="str">
        <f t="shared" si="1"/>
        <v>INSERT INTO metadata_reference.file_schema VALUES('CIRC_RES_RSCV','PERSON_ID','Y','INTEGER',NULL,'PERSONAL_IDENTITYINFOINDIRECT',NULL,NULL,'2025-10-22','9999-12-31',USER, CURRENT_TIMESTAMP(0));</v>
      </c>
    </row>
    <row r="54" spans="1:12" ht="15" customHeight="1">
      <c r="A54" s="11" t="str">
        <f>ETLMetadata!$C54</f>
        <v>CIRC_RES_RSCV</v>
      </c>
      <c r="B54" s="11" t="str">
        <f>ETLMetadata!$E54</f>
        <v>RSCV_DOV</v>
      </c>
      <c r="C54" s="11" t="str">
        <f>IF(ISBLANK(ETLMetadata!$J54), "", ETLMetadata!$J54)</f>
        <v/>
      </c>
      <c r="D54" s="11" t="str">
        <f>ETLMetadata!$G54</f>
        <v>DATE</v>
      </c>
      <c r="E54" s="12"/>
      <c r="F54" s="12"/>
      <c r="G54" s="12" t="str">
        <f t="shared" si="0"/>
        <v/>
      </c>
      <c r="H54" s="12"/>
      <c r="I54" s="12"/>
      <c r="J54" s="13">
        <v>45952</v>
      </c>
      <c r="K54" s="13">
        <v>2958465</v>
      </c>
      <c r="L54" s="11" t="str">
        <f t="shared" si="1"/>
        <v>INSERT INTO metadata_reference.file_schema VALUES('CIRC_RES_RSCV','RSCV_DOV',NULL,'DATE',NULL,NULL,NULL,NULL,'2025-10-22','9999-12-31',USER, CURRENT_TIMESTAMP(0));</v>
      </c>
    </row>
    <row r="55" spans="1:12" ht="15" customHeight="1">
      <c r="A55" s="11" t="str">
        <f>ETLMetadata!$C55</f>
        <v>CIRC_RES_RSCV</v>
      </c>
      <c r="B55" s="11" t="str">
        <f>ETLMetadata!$E55</f>
        <v>RSCV_DOV_ORIG</v>
      </c>
      <c r="C55" s="11" t="str">
        <f>IF(ISBLANK(ETLMetadata!$J55), "", ETLMetadata!$J55)</f>
        <v/>
      </c>
      <c r="D55" s="11" t="str">
        <f>ETLMetadata!$G55</f>
        <v>INTEGER</v>
      </c>
      <c r="E55" s="12"/>
      <c r="F55" s="12"/>
      <c r="G55" s="12" t="str">
        <f t="shared" si="0"/>
        <v/>
      </c>
      <c r="H55" s="12"/>
      <c r="I55" s="12"/>
      <c r="J55" s="13">
        <v>45952</v>
      </c>
      <c r="K55" s="13">
        <v>2958465</v>
      </c>
      <c r="L55" s="11" t="str">
        <f t="shared" si="1"/>
        <v>INSERT INTO metadata_reference.file_schema VALUES('CIRC_RES_RSCV','RSCV_DOV_ORIG',NULL,'INTEGER',NULL,NULL,NULL,NULL,'2025-10-22','9999-12-31',USER, CURRENT_TIMESTAMP(0));</v>
      </c>
    </row>
    <row r="56" spans="1:12" ht="15" customHeight="1">
      <c r="A56" s="11" t="str">
        <f>ETLMetadata!$C56</f>
        <v>CIRC_RES_RSCV</v>
      </c>
      <c r="B56" s="11" t="str">
        <f>ETLMetadata!$E56</f>
        <v>PROCESSING_SEQUENCE</v>
      </c>
      <c r="C56" s="11" t="str">
        <f>IF(ISBLANK(ETLMetadata!$J56), "", ETLMetadata!$J56)</f>
        <v>Y</v>
      </c>
      <c r="D56" s="11" t="str">
        <f>ETLMetadata!$G56</f>
        <v>SMALLINT</v>
      </c>
      <c r="E56" s="12"/>
      <c r="F56" s="12"/>
      <c r="G56" s="12" t="str">
        <f t="shared" si="0"/>
        <v/>
      </c>
      <c r="H56" s="12"/>
      <c r="I56" s="12"/>
      <c r="J56" s="13">
        <v>45952</v>
      </c>
      <c r="K56" s="13">
        <v>2958465</v>
      </c>
      <c r="L56" s="11" t="str">
        <f t="shared" si="1"/>
        <v>INSERT INTO metadata_reference.file_schema VALUES('CIRC_RES_RSCV','PROCESSING_SEQUENCE','Y','SMALLINT',NULL,NULL,NULL,NULL,'2025-10-22','9999-12-31',USER, CURRENT_TIMESTAMP(0));</v>
      </c>
    </row>
    <row r="57" spans="1:12" ht="15" customHeight="1">
      <c r="A57" s="11" t="str">
        <f>ETLMetadata!$C57</f>
        <v>CIRC_RES_RSCV</v>
      </c>
      <c r="B57" s="11" t="str">
        <f>ETLMetadata!$E57</f>
        <v>RSCV_AMR_1</v>
      </c>
      <c r="C57" s="11" t="str">
        <f>IF(ISBLANK(ETLMetadata!$J57), "", ETLMetadata!$J57)</f>
        <v/>
      </c>
      <c r="D57" s="11" t="str">
        <f>ETLMetadata!$G57</f>
        <v>CHAR(4)</v>
      </c>
      <c r="E57" s="12"/>
      <c r="F57" s="12"/>
      <c r="G57" s="12" t="str">
        <f t="shared" si="0"/>
        <v/>
      </c>
      <c r="H57" s="12"/>
      <c r="I57" s="12"/>
      <c r="J57" s="13">
        <v>45952</v>
      </c>
      <c r="K57" s="13">
        <v>2958465</v>
      </c>
      <c r="L57" s="11" t="str">
        <f t="shared" si="1"/>
        <v>INSERT INTO metadata_reference.file_schema VALUES('CIRC_RES_RSCV','RSCV_AMR_1',NULL,'CHAR(4)',NULL,NULL,NULL,NULL,'2025-10-22','9999-12-31',USER, CURRENT_TIMESTAMP(0));</v>
      </c>
    </row>
    <row r="58" spans="1:12" ht="15" customHeight="1">
      <c r="A58" s="11" t="str">
        <f>ETLMetadata!$C58</f>
        <v>CIRC_RES_RSCV</v>
      </c>
      <c r="B58" s="11" t="str">
        <f>ETLMetadata!$E58</f>
        <v>RSCV_AMR_2</v>
      </c>
      <c r="C58" s="11" t="str">
        <f>IF(ISBLANK(ETLMetadata!$J58), "", ETLMetadata!$J58)</f>
        <v/>
      </c>
      <c r="D58" s="11" t="str">
        <f>ETLMetadata!$G58</f>
        <v>CHAR(1)</v>
      </c>
      <c r="E58" s="12"/>
      <c r="F58" s="12"/>
      <c r="G58" s="12" t="str">
        <f t="shared" si="0"/>
        <v/>
      </c>
      <c r="H58" s="12"/>
      <c r="I58" s="12"/>
      <c r="J58" s="13">
        <v>45952</v>
      </c>
      <c r="K58" s="13">
        <v>2958465</v>
      </c>
      <c r="L58" s="11" t="str">
        <f t="shared" si="1"/>
        <v>INSERT INTO metadata_reference.file_schema VALUES('CIRC_RES_RSCV','RSCV_AMR_2',NULL,'CHAR(1)',NULL,NULL,NULL,NULL,'2025-10-22','9999-12-31',USER, CURRENT_TIMESTAMP(0));</v>
      </c>
    </row>
    <row r="59" spans="1:12" ht="15" customHeight="1">
      <c r="A59" s="11" t="str">
        <f>ETLMetadata!$C59</f>
        <v>CIRC_RES_RSCV</v>
      </c>
      <c r="B59" s="11" t="str">
        <f>ETLMetadata!$E59</f>
        <v>RSCV_AMR_3</v>
      </c>
      <c r="C59" s="11" t="str">
        <f>IF(ISBLANK(ETLMetadata!$J59), "", ETLMetadata!$J59)</f>
        <v/>
      </c>
      <c r="D59" s="11" t="str">
        <f>ETLMetadata!$G59</f>
        <v>CHAR(4)</v>
      </c>
      <c r="E59" s="12"/>
      <c r="F59" s="12"/>
      <c r="G59" s="12" t="str">
        <f t="shared" si="0"/>
        <v/>
      </c>
      <c r="H59" s="12"/>
      <c r="I59" s="12"/>
      <c r="J59" s="13">
        <v>45952</v>
      </c>
      <c r="K59" s="13">
        <v>2958465</v>
      </c>
      <c r="L59" s="11" t="str">
        <f t="shared" si="1"/>
        <v>INSERT INTO metadata_reference.file_schema VALUES('CIRC_RES_RSCV','RSCV_AMR_3',NULL,'CHAR(4)',NULL,NULL,NULL,NULL,'2025-10-22','9999-12-31',USER, CURRENT_TIMESTAMP(0));</v>
      </c>
    </row>
    <row r="60" spans="1:12" ht="15" customHeight="1">
      <c r="A60" s="11" t="str">
        <f>ETLMetadata!$C60</f>
        <v>CIRC_RES_RSCV</v>
      </c>
      <c r="B60" s="11" t="str">
        <f>ETLMetadata!$E60</f>
        <v>RSCV_AUST_CTZN_VLD_IND</v>
      </c>
      <c r="C60" s="11" t="str">
        <f>IF(ISBLANK(ETLMetadata!$J60), "", ETLMetadata!$J60)</f>
        <v/>
      </c>
      <c r="D60" s="11" t="str">
        <f>ETLMetadata!$G60</f>
        <v>CHAR(1)</v>
      </c>
      <c r="E60" s="12"/>
      <c r="F60" s="12"/>
      <c r="G60" s="12" t="str">
        <f t="shared" si="0"/>
        <v/>
      </c>
      <c r="H60" s="12"/>
      <c r="I60" s="12"/>
      <c r="J60" s="13">
        <v>45952</v>
      </c>
      <c r="K60" s="13">
        <v>2958465</v>
      </c>
      <c r="L60" s="11" t="str">
        <f t="shared" si="1"/>
        <v>INSERT INTO metadata_reference.file_schema VALUES('CIRC_RES_RSCV','RSCV_AUST_CTZN_VLD_IND',NULL,'CHAR(1)',NULL,NULL,NULL,NULL,'2025-10-22','9999-12-31',USER, CURRENT_TIMESTAMP(0));</v>
      </c>
    </row>
    <row r="61" spans="1:12" ht="15" customHeight="1">
      <c r="A61" s="11" t="str">
        <f>ETLMetadata!$C61</f>
        <v>CIRC_RES_RSCV</v>
      </c>
      <c r="B61" s="11" t="str">
        <f>ETLMetadata!$E61</f>
        <v>PARTY_ROLE_ID</v>
      </c>
      <c r="C61" s="11" t="str">
        <f>IF(ISBLANK(ETLMetadata!$J61), "", ETLMetadata!$J61)</f>
        <v/>
      </c>
      <c r="D61" s="11" t="str">
        <f>ETLMetadata!$G61</f>
        <v>INTEGER</v>
      </c>
      <c r="E61" s="12"/>
      <c r="F61" s="12"/>
      <c r="G61" s="12" t="str">
        <f t="shared" si="0"/>
        <v/>
      </c>
      <c r="H61" s="12"/>
      <c r="I61" s="12"/>
      <c r="J61" s="13">
        <v>45952</v>
      </c>
      <c r="K61" s="13">
        <v>2958465</v>
      </c>
      <c r="L61" s="11" t="str">
        <f t="shared" si="1"/>
        <v>INSERT INTO metadata_reference.file_schema VALUES('CIRC_RES_RSCV','PARTY_ROLE_ID',NULL,'INTEGER',NULL,NULL,NULL,NULL,'2025-10-22','9999-12-31',USER, CURRENT_TIMESTAMP(0));</v>
      </c>
    </row>
    <row r="62" spans="1:12" ht="15" customHeight="1">
      <c r="A62" s="11" t="str">
        <f>ETLMetadata!$C62</f>
        <v>CIRC_RES_RSCV</v>
      </c>
      <c r="B62" s="11" t="str">
        <f>ETLMetadata!$E62</f>
        <v>AMR1_RISL_DTS</v>
      </c>
      <c r="C62" s="11" t="str">
        <f>IF(ISBLANK(ETLMetadata!$J62), "", ETLMetadata!$J62)</f>
        <v/>
      </c>
      <c r="D62" s="11" t="str">
        <f>ETLMetadata!$G62</f>
        <v>TIMESTAMP(6)</v>
      </c>
      <c r="E62" s="12"/>
      <c r="F62" s="12"/>
      <c r="G62" s="12" t="str">
        <f t="shared" si="0"/>
        <v/>
      </c>
      <c r="H62" s="12"/>
      <c r="I62" s="12"/>
      <c r="J62" s="13">
        <v>45952</v>
      </c>
      <c r="K62" s="13">
        <v>2958465</v>
      </c>
      <c r="L62" s="11" t="str">
        <f t="shared" si="1"/>
        <v>INSERT INTO metadata_reference.file_schema VALUES('CIRC_RES_RSCV','AMR1_RISL_DTS',NULL,'TIMESTAMP(6)',NULL,NULL,NULL,NULL,'2025-10-22','9999-12-31',USER, CURRENT_TIMESTAMP(0));</v>
      </c>
    </row>
    <row r="63" spans="1:12" ht="15" customHeight="1">
      <c r="A63" s="11" t="str">
        <f>ETLMetadata!$C63</f>
        <v>CIRC_RES_RSCV</v>
      </c>
      <c r="B63" s="11" t="str">
        <f>ETLMetadata!$E63</f>
        <v>AMR3_RISL_DTS</v>
      </c>
      <c r="C63" s="11" t="str">
        <f>IF(ISBLANK(ETLMetadata!$J63), "", ETLMetadata!$J63)</f>
        <v/>
      </c>
      <c r="D63" s="11" t="str">
        <f>ETLMetadata!$G63</f>
        <v>TIMESTAMP(6)</v>
      </c>
      <c r="E63" s="12"/>
      <c r="F63" s="12"/>
      <c r="G63" s="12" t="str">
        <f t="shared" si="0"/>
        <v/>
      </c>
      <c r="H63" s="12"/>
      <c r="I63" s="12"/>
      <c r="J63" s="13">
        <v>45952</v>
      </c>
      <c r="K63" s="13">
        <v>2958465</v>
      </c>
      <c r="L63" s="11" t="str">
        <f t="shared" si="1"/>
        <v>INSERT INTO metadata_reference.file_schema VALUES('CIRC_RES_RSCV','AMR3_RISL_DTS',NULL,'TIMESTAMP(6)',NULL,NULL,NULL,NULL,'2025-10-22','9999-12-31',USER, CURRENT_TIMESTAMP(0));</v>
      </c>
    </row>
    <row r="64" spans="1:12" ht="15" customHeight="1">
      <c r="A64" s="11" t="str">
        <f>ETLMetadata!$C64</f>
        <v>CIRC_RES_RSCV</v>
      </c>
      <c r="B64" s="11" t="str">
        <f>ETLMetadata!$E64</f>
        <v>ERROR_COUNT</v>
      </c>
      <c r="C64" s="11" t="str">
        <f>IF(ISBLANK(ETLMetadata!$J64), "", ETLMetadata!$J64)</f>
        <v/>
      </c>
      <c r="D64" s="11" t="str">
        <f>ETLMetadata!$G64</f>
        <v>SMALLINT</v>
      </c>
      <c r="E64" s="12"/>
      <c r="F64" s="12"/>
      <c r="G64" s="12" t="str">
        <f t="shared" si="0"/>
        <v/>
      </c>
      <c r="H64" s="12"/>
      <c r="I64" s="12"/>
      <c r="J64" s="13">
        <v>45952</v>
      </c>
      <c r="K64" s="13">
        <v>2958465</v>
      </c>
      <c r="L64" s="11" t="str">
        <f t="shared" si="1"/>
        <v>INSERT INTO metadata_reference.file_schema VALUES('CIRC_RES_RSCV','ERROR_COUNT',NULL,'SMALLINT',NULL,NULL,NULL,NULL,'2025-10-22','9999-12-31',USER, CURRENT_TIMESTAMP(0));</v>
      </c>
    </row>
    <row r="65" spans="1:12" ht="15" customHeight="1">
      <c r="A65" s="11" t="str">
        <f>ETLMetadata!$C65</f>
        <v>CIRC_RES_RSCV</v>
      </c>
      <c r="B65" s="11" t="str">
        <f>ETLMetadata!$E65</f>
        <v>Start_Date</v>
      </c>
      <c r="C65" s="11" t="str">
        <f>IF(ISBLANK(ETLMetadata!$J65), "", ETLMetadata!$J65)</f>
        <v/>
      </c>
      <c r="D65" s="11" t="str">
        <f>ETLMetadata!$G65</f>
        <v>DATE</v>
      </c>
      <c r="E65" s="12"/>
      <c r="F65" s="12"/>
      <c r="G65" s="12" t="str">
        <f t="shared" si="0"/>
        <v/>
      </c>
      <c r="H65" s="12"/>
      <c r="I65" s="12"/>
      <c r="J65" s="13">
        <v>45952</v>
      </c>
      <c r="K65" s="13">
        <v>2958465</v>
      </c>
      <c r="L65" s="11" t="str">
        <f t="shared" si="1"/>
        <v>INSERT INTO metadata_reference.file_schema VALUES('CIRC_RES_RSCV','Start_Date',NULL,'DATE',NULL,NULL,NULL,NULL,'2025-10-22','9999-12-31',USER, CURRENT_TIMESTAMP(0));</v>
      </c>
    </row>
    <row r="66" spans="1:12" ht="15" customHeight="1">
      <c r="A66" s="11" t="str">
        <f>ETLMetadata!$C66</f>
        <v>CIRC_RES_RSCV</v>
      </c>
      <c r="B66" s="11" t="str">
        <f>ETLMetadata!$E66</f>
        <v>End_Date</v>
      </c>
      <c r="C66" s="11" t="str">
        <f>IF(ISBLANK(ETLMetadata!$J66), "", ETLMetadata!$J66)</f>
        <v/>
      </c>
      <c r="D66" s="11" t="str">
        <f>ETLMetadata!$G66</f>
        <v>DATE</v>
      </c>
      <c r="E66" s="12"/>
      <c r="F66" s="12"/>
      <c r="G66" s="12" t="str">
        <f t="shared" si="0"/>
        <v/>
      </c>
      <c r="H66" s="12"/>
      <c r="I66" s="12"/>
      <c r="J66" s="13">
        <v>45952</v>
      </c>
      <c r="K66" s="13">
        <v>2958465</v>
      </c>
      <c r="L66" s="11" t="str">
        <f t="shared" si="1"/>
        <v>INSERT INTO metadata_reference.file_schema VALUES('CIRC_RES_RSCV','End_Date',NULL,'DATE',NULL,NULL,NULL,NULL,'2025-10-22','9999-12-31',USER, CURRENT_TIMESTAMP(0));</v>
      </c>
    </row>
    <row r="67" spans="1:12" ht="15" customHeight="1">
      <c r="A67" s="11" t="str">
        <f>ETLMetadata!$C67</f>
        <v>CIRC_RES_RSCV</v>
      </c>
      <c r="B67" s="11" t="str">
        <f>ETLMetadata!$E67</f>
        <v>Record_Deleted_Flag</v>
      </c>
      <c r="C67" s="11" t="str">
        <f>IF(ISBLANK(ETLMetadata!$J67), "", ETLMetadata!$J67)</f>
        <v/>
      </c>
      <c r="D67" s="11" t="str">
        <f>ETLMetadata!$G67</f>
        <v>BYTEINT</v>
      </c>
      <c r="E67" s="12"/>
      <c r="F67" s="12"/>
      <c r="G67" s="12" t="str">
        <f t="shared" ref="G67:G130" si="2">UPPER($F67)</f>
        <v/>
      </c>
      <c r="H67" s="12"/>
      <c r="I67" s="12"/>
      <c r="J67" s="13">
        <v>45952</v>
      </c>
      <c r="K67" s="13">
        <v>2958465</v>
      </c>
      <c r="L67" s="11" t="str">
        <f t="shared" ref="L67:L130" si="3">CONCATENATE("INSERT INTO metadata_reference.file_schema VALUES('",TRIM(A67),"','",TRIM(B67),"',",IF(TRIM(C67)="","NULL","'"&amp;TRIM(C67)&amp;"'"),",'",TRIM(D67),"',",IF(TRIM(E67)="","NULL","'"&amp;TRIM(E67)&amp;"'"),",",IF(TRIM(G67)="","NULL","'"&amp;TRIM(G67)&amp;"'"),",",IF(TRIM(H67)="","NULL","'"&amp;TRIM(H67)&amp;"'"),",",
IF(TRIM(I67)="","NULL",TRIM(I67)),",",IF(TRIM(J67)="","NULL","'"&amp;TEXT(J67,"yyyy-mm-dd")&amp;"'"),",",IF(TRIM(K67)="","NULL","'"&amp;TEXT(K67,"yyyy-mm-dd")&amp;"'"),",","USER, CURRENT_TIMESTAMP(0));")</f>
        <v>INSERT INTO metadata_reference.file_schema VALUES('CIRC_RES_RSCV','Record_Deleted_Flag',NULL,'BYTEINT',NULL,NULL,NULL,NULL,'2025-10-22','9999-12-31',USER, CURRENT_TIMESTAMP(0));</v>
      </c>
    </row>
    <row r="68" spans="1:12" ht="15" customHeight="1">
      <c r="A68" s="11" t="str">
        <f>ETLMetadata!$C68</f>
        <v>CIRC_RES_RSEV</v>
      </c>
      <c r="B68" s="11" t="str">
        <f>ETLMetadata!$E68</f>
        <v>EXTRACT_DATE</v>
      </c>
      <c r="C68" s="11" t="str">
        <f>IF(ISBLANK(ETLMetadata!$J68), "", ETLMetadata!$J68)</f>
        <v/>
      </c>
      <c r="D68" s="11" t="str">
        <f>ETLMetadata!$G68</f>
        <v>DATE</v>
      </c>
      <c r="E68" s="12"/>
      <c r="F68" s="12"/>
      <c r="G68" s="12" t="str">
        <f t="shared" si="2"/>
        <v/>
      </c>
      <c r="H68" s="12"/>
      <c r="I68" s="12"/>
      <c r="J68" s="13">
        <v>45952</v>
      </c>
      <c r="K68" s="13">
        <v>2958465</v>
      </c>
      <c r="L68" s="11" t="str">
        <f t="shared" si="3"/>
        <v>INSERT INTO metadata_reference.file_schema VALUES('CIRC_RES_RSEV','EXTRACT_DATE',NULL,'DATE',NULL,NULL,NULL,NULL,'2025-10-22','9999-12-31',USER, CURRENT_TIMESTAMP(0));</v>
      </c>
    </row>
    <row r="69" spans="1:12" ht="15" customHeight="1">
      <c r="A69" s="11" t="str">
        <f>ETLMetadata!$C69</f>
        <v>CIRC_RES_RSEV</v>
      </c>
      <c r="B69" s="11" t="str">
        <f>ETLMetadata!$E69</f>
        <v>LOGICAL_DELETE_DATE</v>
      </c>
      <c r="C69" s="11" t="str">
        <f>IF(ISBLANK(ETLMetadata!$J69), "", ETLMetadata!$J69)</f>
        <v/>
      </c>
      <c r="D69" s="11" t="str">
        <f>ETLMetadata!$G69</f>
        <v>DATE</v>
      </c>
      <c r="E69" s="12"/>
      <c r="F69" s="12"/>
      <c r="G69" s="12" t="str">
        <f t="shared" si="2"/>
        <v/>
      </c>
      <c r="H69" s="12"/>
      <c r="I69" s="12"/>
      <c r="J69" s="13">
        <v>45952</v>
      </c>
      <c r="K69" s="13">
        <v>2958465</v>
      </c>
      <c r="L69" s="11" t="str">
        <f t="shared" si="3"/>
        <v>INSERT INTO metadata_reference.file_schema VALUES('CIRC_RES_RSEV','LOGICAL_DELETE_DATE',NULL,'DATE',NULL,NULL,NULL,NULL,'2025-10-22','9999-12-31',USER, CURRENT_TIMESTAMP(0));</v>
      </c>
    </row>
    <row r="70" spans="1:12" ht="15" customHeight="1">
      <c r="A70" s="11" t="str">
        <f>ETLMetadata!$C70</f>
        <v>CIRC_RES_RSEV</v>
      </c>
      <c r="B70" s="11" t="str">
        <f>ETLMetadata!$E70</f>
        <v>ENVIRONMENT_ID</v>
      </c>
      <c r="C70" s="11" t="str">
        <f>IF(ISBLANK(ETLMetadata!$J70), "", ETLMetadata!$J70)</f>
        <v>Y</v>
      </c>
      <c r="D70" s="11" t="str">
        <f>ETLMetadata!$G70</f>
        <v>CHAR(1)</v>
      </c>
      <c r="E70" s="12"/>
      <c r="F70" s="12"/>
      <c r="G70" s="12" t="str">
        <f t="shared" si="2"/>
        <v/>
      </c>
      <c r="H70" s="12"/>
      <c r="I70" s="12"/>
      <c r="J70" s="13">
        <v>45952</v>
      </c>
      <c r="K70" s="13">
        <v>2958465</v>
      </c>
      <c r="L70" s="11" t="str">
        <f t="shared" si="3"/>
        <v>INSERT INTO metadata_reference.file_schema VALUES('CIRC_RES_RSEV','ENVIRONMENT_ID','Y','CHAR(1)',NULL,NULL,NULL,NULL,'2025-10-22','9999-12-31',USER, CURRENT_TIMESTAMP(0));</v>
      </c>
    </row>
    <row r="71" spans="1:12" ht="15" customHeight="1">
      <c r="A71" s="11" t="str">
        <f>ETLMetadata!$C71</f>
        <v>CIRC_RES_RSEV</v>
      </c>
      <c r="B71" s="11" t="str">
        <f>ETLMetadata!$E71</f>
        <v>PERSON_ID</v>
      </c>
      <c r="C71" s="11" t="str">
        <f>IF(ISBLANK(ETLMetadata!$J71), "", ETLMetadata!$J71)</f>
        <v>Y</v>
      </c>
      <c r="D71" s="11" t="str">
        <f>ETLMetadata!$G71</f>
        <v>INTEGER</v>
      </c>
      <c r="E71" s="12"/>
      <c r="F71" s="12" t="s">
        <v>797</v>
      </c>
      <c r="G71" s="12" t="str">
        <f t="shared" si="2"/>
        <v xml:space="preserve">PERSONAL_IDENTITYINFODIRECT	</v>
      </c>
      <c r="H71" s="12"/>
      <c r="I71" s="12"/>
      <c r="J71" s="13">
        <v>45952</v>
      </c>
      <c r="K71" s="13">
        <v>2958465</v>
      </c>
      <c r="L71" s="11" t="str">
        <f t="shared" si="3"/>
        <v>INSERT INTO metadata_reference.file_schema VALUES('CIRC_RES_RSEV','PERSON_ID','Y','INTEGER',NULL,'PERSONAL_IDENTITYINFODIRECT	',NULL,NULL,'2025-10-22','9999-12-31',USER, CURRENT_TIMESTAMP(0));</v>
      </c>
    </row>
    <row r="72" spans="1:12" ht="15" customHeight="1">
      <c r="A72" s="11" t="str">
        <f>ETLMetadata!$C72</f>
        <v>CIRC_RES_RSEV</v>
      </c>
      <c r="B72" s="11" t="str">
        <f>ETLMetadata!$E72</f>
        <v>RSEV_VISA_GRANT_DATE</v>
      </c>
      <c r="C72" s="11" t="str">
        <f>IF(ISBLANK(ETLMetadata!$J72), "", ETLMetadata!$J72)</f>
        <v/>
      </c>
      <c r="D72" s="11" t="str">
        <f>ETLMetadata!$G72</f>
        <v>DATE</v>
      </c>
      <c r="E72" s="12"/>
      <c r="F72" s="12"/>
      <c r="G72" s="12" t="str">
        <f t="shared" si="2"/>
        <v/>
      </c>
      <c r="H72" s="12"/>
      <c r="I72" s="12"/>
      <c r="J72" s="13">
        <v>45952</v>
      </c>
      <c r="K72" s="13">
        <v>2958465</v>
      </c>
      <c r="L72" s="11" t="str">
        <f t="shared" si="3"/>
        <v>INSERT INTO metadata_reference.file_schema VALUES('CIRC_RES_RSEV','RSEV_VISA_GRANT_DATE',NULL,'DATE',NULL,NULL,NULL,NULL,'2025-10-22','9999-12-31',USER, CURRENT_TIMESTAMP(0));</v>
      </c>
    </row>
    <row r="73" spans="1:12" ht="15" customHeight="1">
      <c r="A73" s="11" t="str">
        <f>ETLMetadata!$C73</f>
        <v>CIRC_RES_RSEV</v>
      </c>
      <c r="B73" s="11" t="str">
        <f>ETLMetadata!$E73</f>
        <v>RSEV_VISA_GRANT_DATE_ORIG</v>
      </c>
      <c r="C73" s="11" t="str">
        <f>IF(ISBLANK(ETLMetadata!$J73), "", ETLMetadata!$J73)</f>
        <v/>
      </c>
      <c r="D73" s="11" t="str">
        <f>ETLMetadata!$G73</f>
        <v>INTEGER</v>
      </c>
      <c r="E73" s="12"/>
      <c r="F73" s="12"/>
      <c r="G73" s="12" t="str">
        <f t="shared" si="2"/>
        <v/>
      </c>
      <c r="H73" s="12"/>
      <c r="I73" s="12"/>
      <c r="J73" s="13">
        <v>45952</v>
      </c>
      <c r="K73" s="13">
        <v>2958465</v>
      </c>
      <c r="L73" s="11" t="str">
        <f t="shared" si="3"/>
        <v>INSERT INTO metadata_reference.file_schema VALUES('CIRC_RES_RSEV','RSEV_VISA_GRANT_DATE_ORIG',NULL,'INTEGER',NULL,NULL,NULL,NULL,'2025-10-22','9999-12-31',USER, CURRENT_TIMESTAMP(0));</v>
      </c>
    </row>
    <row r="74" spans="1:12" ht="15" customHeight="1">
      <c r="A74" s="11" t="str">
        <f>ETLMetadata!$C74</f>
        <v>CIRC_RES_RSEV</v>
      </c>
      <c r="B74" s="11" t="str">
        <f>ETLMetadata!$E74</f>
        <v>RSEV_VISA_SUB_CLASS_CODE</v>
      </c>
      <c r="C74" s="11" t="str">
        <f>IF(ISBLANK(ETLMetadata!$J74), "", ETLMetadata!$J74)</f>
        <v/>
      </c>
      <c r="D74" s="11" t="str">
        <f>ETLMetadata!$G74</f>
        <v>CHAR(5)</v>
      </c>
      <c r="E74" s="12"/>
      <c r="F74" s="12"/>
      <c r="G74" s="12" t="str">
        <f t="shared" si="2"/>
        <v/>
      </c>
      <c r="H74" s="12"/>
      <c r="I74" s="12"/>
      <c r="J74" s="13">
        <v>45952</v>
      </c>
      <c r="K74" s="13">
        <v>2958465</v>
      </c>
      <c r="L74" s="11" t="str">
        <f t="shared" si="3"/>
        <v>INSERT INTO metadata_reference.file_schema VALUES('CIRC_RES_RSEV','RSEV_VISA_SUB_CLASS_CODE',NULL,'CHAR(5)',NULL,NULL,NULL,NULL,'2025-10-22','9999-12-31',USER, CURRENT_TIMESTAMP(0));</v>
      </c>
    </row>
    <row r="75" spans="1:12" ht="15" customHeight="1">
      <c r="A75" s="11" t="str">
        <f>ETLMetadata!$C75</f>
        <v>CIRC_RES_RSEV</v>
      </c>
      <c r="B75" s="11" t="str">
        <f>ETLMetadata!$E75</f>
        <v>PROCESSING_SEQUENCE</v>
      </c>
      <c r="C75" s="11" t="str">
        <f>IF(ISBLANK(ETLMetadata!$J75), "", ETLMetadata!$J75)</f>
        <v>Y</v>
      </c>
      <c r="D75" s="11" t="str">
        <f>ETLMetadata!$G75</f>
        <v>SMALLINT</v>
      </c>
      <c r="E75" s="12"/>
      <c r="F75" s="12"/>
      <c r="G75" s="12" t="str">
        <f t="shared" si="2"/>
        <v/>
      </c>
      <c r="H75" s="12"/>
      <c r="I75" s="12"/>
      <c r="J75" s="13">
        <v>45952</v>
      </c>
      <c r="K75" s="13">
        <v>2958465</v>
      </c>
      <c r="L75" s="11" t="str">
        <f t="shared" si="3"/>
        <v>INSERT INTO metadata_reference.file_schema VALUES('CIRC_RES_RSEV','PROCESSING_SEQUENCE','Y','SMALLINT',NULL,NULL,NULL,NULL,'2025-10-22','9999-12-31',USER, CURRENT_TIMESTAMP(0));</v>
      </c>
    </row>
    <row r="76" spans="1:12" ht="15" customHeight="1">
      <c r="A76" s="11" t="str">
        <f>ETLMetadata!$C76</f>
        <v>CIRC_RES_RSEV</v>
      </c>
      <c r="B76" s="11" t="str">
        <f>ETLMetadata!$E76</f>
        <v>RSEV_AMR_1</v>
      </c>
      <c r="C76" s="11" t="str">
        <f>IF(ISBLANK(ETLMetadata!$J76), "", ETLMetadata!$J76)</f>
        <v/>
      </c>
      <c r="D76" s="11" t="str">
        <f>ETLMetadata!$G76</f>
        <v>CHAR(4)</v>
      </c>
      <c r="E76" s="12"/>
      <c r="F76" s="12"/>
      <c r="G76" s="12" t="str">
        <f t="shared" si="2"/>
        <v/>
      </c>
      <c r="H76" s="12"/>
      <c r="I76" s="12"/>
      <c r="J76" s="13">
        <v>45952</v>
      </c>
      <c r="K76" s="13">
        <v>2958465</v>
      </c>
      <c r="L76" s="11" t="str">
        <f t="shared" si="3"/>
        <v>INSERT INTO metadata_reference.file_schema VALUES('CIRC_RES_RSEV','RSEV_AMR_1',NULL,'CHAR(4)',NULL,NULL,NULL,NULL,'2025-10-22','9999-12-31',USER, CURRENT_TIMESTAMP(0));</v>
      </c>
    </row>
    <row r="77" spans="1:12" ht="15" customHeight="1">
      <c r="A77" s="11" t="str">
        <f>ETLMetadata!$C77</f>
        <v>CIRC_RES_RSEV</v>
      </c>
      <c r="B77" s="11" t="str">
        <f>ETLMetadata!$E77</f>
        <v>RSEV_AMR_2</v>
      </c>
      <c r="C77" s="11" t="str">
        <f>IF(ISBLANK(ETLMetadata!$J77), "", ETLMetadata!$J77)</f>
        <v/>
      </c>
      <c r="D77" s="11" t="str">
        <f>ETLMetadata!$G77</f>
        <v>CHAR(1)</v>
      </c>
      <c r="E77" s="12"/>
      <c r="F77" s="12"/>
      <c r="G77" s="12" t="str">
        <f t="shared" si="2"/>
        <v/>
      </c>
      <c r="H77" s="12"/>
      <c r="I77" s="12"/>
      <c r="J77" s="13">
        <v>45952</v>
      </c>
      <c r="K77" s="13">
        <v>2958465</v>
      </c>
      <c r="L77" s="11" t="str">
        <f t="shared" si="3"/>
        <v>INSERT INTO metadata_reference.file_schema VALUES('CIRC_RES_RSEV','RSEV_AMR_2',NULL,'CHAR(1)',NULL,NULL,NULL,NULL,'2025-10-22','9999-12-31',USER, CURRENT_TIMESTAMP(0));</v>
      </c>
    </row>
    <row r="78" spans="1:12" ht="15" customHeight="1">
      <c r="A78" s="11" t="str">
        <f>ETLMetadata!$C78</f>
        <v>CIRC_RES_RSEV</v>
      </c>
      <c r="B78" s="11" t="str">
        <f>ETLMetadata!$E78</f>
        <v>RSEV_AMR_3</v>
      </c>
      <c r="C78" s="11" t="str">
        <f>IF(ISBLANK(ETLMetadata!$J78), "", ETLMetadata!$J78)</f>
        <v/>
      </c>
      <c r="D78" s="11" t="str">
        <f>ETLMetadata!$G78</f>
        <v>CHAR(4)</v>
      </c>
      <c r="E78" s="12"/>
      <c r="F78" s="12"/>
      <c r="G78" s="12" t="str">
        <f t="shared" si="2"/>
        <v/>
      </c>
      <c r="H78" s="12"/>
      <c r="I78" s="12"/>
      <c r="J78" s="13">
        <v>45952</v>
      </c>
      <c r="K78" s="13">
        <v>2958465</v>
      </c>
      <c r="L78" s="11" t="str">
        <f t="shared" si="3"/>
        <v>INSERT INTO metadata_reference.file_schema VALUES('CIRC_RES_RSEV','RSEV_AMR_3',NULL,'CHAR(4)',NULL,NULL,NULL,NULL,'2025-10-22','9999-12-31',USER, CURRENT_TIMESTAMP(0));</v>
      </c>
    </row>
    <row r="79" spans="1:12" ht="15" customHeight="1">
      <c r="A79" s="11" t="str">
        <f>ETLMetadata!$C79</f>
        <v>CIRC_RES_RSEV</v>
      </c>
      <c r="B79" s="11" t="str">
        <f>ETLMetadata!$E79</f>
        <v>RSEV_CHNL_CODE</v>
      </c>
      <c r="C79" s="11" t="str">
        <f>IF(ISBLANK(ETLMetadata!$J79), "", ETLMetadata!$J79)</f>
        <v/>
      </c>
      <c r="D79" s="11" t="str">
        <f>ETLMetadata!$G79</f>
        <v>CHAR(3)</v>
      </c>
      <c r="E79" s="12"/>
      <c r="F79" s="12"/>
      <c r="G79" s="12" t="str">
        <f t="shared" si="2"/>
        <v/>
      </c>
      <c r="H79" s="12"/>
      <c r="I79" s="12"/>
      <c r="J79" s="13">
        <v>45952</v>
      </c>
      <c r="K79" s="13">
        <v>2958465</v>
      </c>
      <c r="L79" s="11" t="str">
        <f t="shared" si="3"/>
        <v>INSERT INTO metadata_reference.file_schema VALUES('CIRC_RES_RSEV','RSEV_CHNL_CODE',NULL,'CHAR(3)',NULL,NULL,NULL,NULL,'2025-10-22','9999-12-31',USER, CURRENT_TIMESTAMP(0));</v>
      </c>
    </row>
    <row r="80" spans="1:12" ht="15" customHeight="1">
      <c r="A80" s="11" t="str">
        <f>ETLMetadata!$C80</f>
        <v>CIRC_RES_RSEV</v>
      </c>
      <c r="B80" s="11" t="str">
        <f>ETLMetadata!$E80</f>
        <v>RSEV_VISA_AOS_IND</v>
      </c>
      <c r="C80" s="11" t="str">
        <f>IF(ISBLANK(ETLMetadata!$J80), "", ETLMetadata!$J80)</f>
        <v/>
      </c>
      <c r="D80" s="11" t="str">
        <f>ETLMetadata!$G80</f>
        <v>CHAR(1)</v>
      </c>
      <c r="E80" s="12"/>
      <c r="F80" s="12"/>
      <c r="G80" s="12" t="str">
        <f t="shared" si="2"/>
        <v/>
      </c>
      <c r="H80" s="12"/>
      <c r="I80" s="12"/>
      <c r="J80" s="13">
        <v>45952</v>
      </c>
      <c r="K80" s="13">
        <v>2958465</v>
      </c>
      <c r="L80" s="11" t="str">
        <f t="shared" si="3"/>
        <v>INSERT INTO metadata_reference.file_schema VALUES('CIRC_RES_RSEV','RSEV_VISA_AOS_IND',NULL,'CHAR(1)',NULL,NULL,NULL,NULL,'2025-10-22','9999-12-31',USER, CURRENT_TIMESTAMP(0));</v>
      </c>
    </row>
    <row r="81" spans="1:12" ht="15" customHeight="1">
      <c r="A81" s="11" t="str">
        <f>ETLMetadata!$C81</f>
        <v>CIRC_RES_RSEV</v>
      </c>
      <c r="B81" s="11" t="str">
        <f>ETLMetadata!$E81</f>
        <v>RSEV_VISA_APPLN_DATE</v>
      </c>
      <c r="C81" s="11" t="str">
        <f>IF(ISBLANK(ETLMetadata!$J81), "", ETLMetadata!$J81)</f>
        <v/>
      </c>
      <c r="D81" s="11" t="str">
        <f>ETLMetadata!$G81</f>
        <v>DATE</v>
      </c>
      <c r="E81" s="12"/>
      <c r="F81" s="12"/>
      <c r="G81" s="12" t="str">
        <f t="shared" si="2"/>
        <v/>
      </c>
      <c r="H81" s="12"/>
      <c r="I81" s="12"/>
      <c r="J81" s="13">
        <v>45952</v>
      </c>
      <c r="K81" s="13">
        <v>2958465</v>
      </c>
      <c r="L81" s="11" t="str">
        <f t="shared" si="3"/>
        <v>INSERT INTO metadata_reference.file_schema VALUES('CIRC_RES_RSEV','RSEV_VISA_APPLN_DATE',NULL,'DATE',NULL,NULL,NULL,NULL,'2025-10-22','9999-12-31',USER, CURRENT_TIMESTAMP(0));</v>
      </c>
    </row>
    <row r="82" spans="1:12" ht="15" customHeight="1">
      <c r="A82" s="11" t="str">
        <f>ETLMetadata!$C82</f>
        <v>CIRC_RES_RSEV</v>
      </c>
      <c r="B82" s="11" t="str">
        <f>ETLMetadata!$E82</f>
        <v>RSEV_VISA_APPLN_DATE_ORIG</v>
      </c>
      <c r="C82" s="11" t="str">
        <f>IF(ISBLANK(ETLMetadata!$J82), "", ETLMetadata!$J82)</f>
        <v/>
      </c>
      <c r="D82" s="11" t="str">
        <f>ETLMetadata!$G82</f>
        <v>INTEGER</v>
      </c>
      <c r="E82" s="12"/>
      <c r="F82" s="12"/>
      <c r="G82" s="12" t="str">
        <f t="shared" si="2"/>
        <v/>
      </c>
      <c r="H82" s="12"/>
      <c r="I82" s="12"/>
      <c r="J82" s="13">
        <v>45952</v>
      </c>
      <c r="K82" s="13">
        <v>2958465</v>
      </c>
      <c r="L82" s="11" t="str">
        <f t="shared" si="3"/>
        <v>INSERT INTO metadata_reference.file_schema VALUES('CIRC_RES_RSEV','RSEV_VISA_APPLN_DATE_ORIG',NULL,'INTEGER',NULL,NULL,NULL,NULL,'2025-10-22','9999-12-31',USER, CURRENT_TIMESTAMP(0));</v>
      </c>
    </row>
    <row r="83" spans="1:12" ht="15" customHeight="1">
      <c r="A83" s="11" t="str">
        <f>ETLMetadata!$C83</f>
        <v>CIRC_RES_RSEV</v>
      </c>
      <c r="B83" s="11" t="str">
        <f>ETLMetadata!$E83</f>
        <v>RSEV_VISA_END_DATE</v>
      </c>
      <c r="C83" s="11" t="str">
        <f>IF(ISBLANK(ETLMetadata!$J83), "", ETLMetadata!$J83)</f>
        <v/>
      </c>
      <c r="D83" s="11" t="str">
        <f>ETLMetadata!$G83</f>
        <v>DATE</v>
      </c>
      <c r="E83" s="12"/>
      <c r="F83" s="12"/>
      <c r="G83" s="12" t="str">
        <f t="shared" si="2"/>
        <v/>
      </c>
      <c r="H83" s="12"/>
      <c r="I83" s="12"/>
      <c r="J83" s="13">
        <v>45952</v>
      </c>
      <c r="K83" s="13">
        <v>2958465</v>
      </c>
      <c r="L83" s="11" t="str">
        <f t="shared" si="3"/>
        <v>INSERT INTO metadata_reference.file_schema VALUES('CIRC_RES_RSEV','RSEV_VISA_END_DATE',NULL,'DATE',NULL,NULL,NULL,NULL,'2025-10-22','9999-12-31',USER, CURRENT_TIMESTAMP(0));</v>
      </c>
    </row>
    <row r="84" spans="1:12" ht="15" customHeight="1">
      <c r="A84" s="11" t="str">
        <f>ETLMetadata!$C84</f>
        <v>CIRC_RES_RSEV</v>
      </c>
      <c r="B84" s="11" t="str">
        <f>ETLMetadata!$E84</f>
        <v>RSEV_VISA_END_DATE_ORIG</v>
      </c>
      <c r="C84" s="11" t="str">
        <f>IF(ISBLANK(ETLMetadata!$J84), "", ETLMetadata!$J84)</f>
        <v/>
      </c>
      <c r="D84" s="11" t="str">
        <f>ETLMetadata!$G84</f>
        <v>INTEGER</v>
      </c>
      <c r="E84" s="12"/>
      <c r="F84" s="12"/>
      <c r="G84" s="12" t="str">
        <f t="shared" si="2"/>
        <v/>
      </c>
      <c r="H84" s="12"/>
      <c r="I84" s="12"/>
      <c r="J84" s="13">
        <v>45952</v>
      </c>
      <c r="K84" s="13">
        <v>2958465</v>
      </c>
      <c r="L84" s="11" t="str">
        <f t="shared" si="3"/>
        <v>INSERT INTO metadata_reference.file_schema VALUES('CIRC_RES_RSEV','RSEV_VISA_END_DATE_ORIG',NULL,'INTEGER',NULL,NULL,NULL,NULL,'2025-10-22','9999-12-31',USER, CURRENT_TIMESTAMP(0));</v>
      </c>
    </row>
    <row r="85" spans="1:12" ht="15" customHeight="1">
      <c r="A85" s="11" t="str">
        <f>ETLMetadata!$C85</f>
        <v>CIRC_RES_RSEV</v>
      </c>
      <c r="B85" s="11" t="str">
        <f>ETLMetadata!$E85</f>
        <v>RSEV_VISA_GRANT_NUM</v>
      </c>
      <c r="C85" s="11" t="str">
        <f>IF(ISBLANK(ETLMetadata!$J85), "", ETLMetadata!$J85)</f>
        <v/>
      </c>
      <c r="D85" s="11" t="str">
        <f>ETLMetadata!$G85</f>
        <v>VARCHAR(13)</v>
      </c>
      <c r="E85" s="12"/>
      <c r="F85" s="12" t="s">
        <v>800</v>
      </c>
      <c r="G85" s="12" t="str">
        <f t="shared" si="2"/>
        <v>PERSONAL_IDENTITYINFODIRECT</v>
      </c>
      <c r="H85" s="12"/>
      <c r="I85" s="12"/>
      <c r="J85" s="13">
        <v>45952</v>
      </c>
      <c r="K85" s="13">
        <v>2958465</v>
      </c>
      <c r="L85" s="11" t="str">
        <f t="shared" si="3"/>
        <v>INSERT INTO metadata_reference.file_schema VALUES('CIRC_RES_RSEV','RSEV_VISA_GRANT_NUM',NULL,'VARCHAR(13)',NULL,'PERSONAL_IDENTITYINFODIRECT',NULL,NULL,'2025-10-22','9999-12-31',USER, CURRENT_TIMESTAMP(0));</v>
      </c>
    </row>
    <row r="86" spans="1:12" ht="15" customHeight="1">
      <c r="A86" s="11" t="str">
        <f>ETLMetadata!$C86</f>
        <v>CIRC_RES_RSEV</v>
      </c>
      <c r="B86" s="11" t="str">
        <f>ETLMetadata!$E86</f>
        <v>RSEV_VISA_NUM</v>
      </c>
      <c r="C86" s="11" t="str">
        <f>IF(ISBLANK(ETLMetadata!$J86), "", ETLMetadata!$J86)</f>
        <v/>
      </c>
      <c r="D86" s="11" t="str">
        <f>ETLMetadata!$G86</f>
        <v>VARCHAR(11)</v>
      </c>
      <c r="E86" s="12"/>
      <c r="F86" s="12" t="s">
        <v>800</v>
      </c>
      <c r="G86" s="12" t="str">
        <f t="shared" si="2"/>
        <v>PERSONAL_IDENTITYINFODIRECT</v>
      </c>
      <c r="H86" s="12"/>
      <c r="I86" s="12"/>
      <c r="J86" s="13">
        <v>45952</v>
      </c>
      <c r="K86" s="13">
        <v>2958465</v>
      </c>
      <c r="L86" s="11" t="str">
        <f t="shared" si="3"/>
        <v>INSERT INTO metadata_reference.file_schema VALUES('CIRC_RES_RSEV','RSEV_VISA_NUM',NULL,'VARCHAR(11)',NULL,'PERSONAL_IDENTITYINFODIRECT',NULL,NULL,'2025-10-22','9999-12-31',USER, CURRENT_TIMESTAMP(0));</v>
      </c>
    </row>
    <row r="87" spans="1:12" ht="15" customHeight="1">
      <c r="A87" s="11" t="str">
        <f>ETLMetadata!$C87</f>
        <v>CIRC_RES_RSEV</v>
      </c>
      <c r="B87" s="11" t="str">
        <f>ETLMetadata!$E87</f>
        <v>AMR1_RISL_DTS</v>
      </c>
      <c r="C87" s="11" t="str">
        <f>IF(ISBLANK(ETLMetadata!$J87), "", ETLMetadata!$J87)</f>
        <v/>
      </c>
      <c r="D87" s="11" t="str">
        <f>ETLMetadata!$G87</f>
        <v>TIMESTAMP(6)</v>
      </c>
      <c r="E87" s="12"/>
      <c r="F87" s="12"/>
      <c r="G87" s="12" t="str">
        <f t="shared" si="2"/>
        <v/>
      </c>
      <c r="H87" s="12"/>
      <c r="I87" s="12"/>
      <c r="J87" s="13">
        <v>45952</v>
      </c>
      <c r="K87" s="13">
        <v>2958465</v>
      </c>
      <c r="L87" s="11" t="str">
        <f t="shared" si="3"/>
        <v>INSERT INTO metadata_reference.file_schema VALUES('CIRC_RES_RSEV','AMR1_RISL_DTS',NULL,'TIMESTAMP(6)',NULL,NULL,NULL,NULL,'2025-10-22','9999-12-31',USER, CURRENT_TIMESTAMP(0));</v>
      </c>
    </row>
    <row r="88" spans="1:12" ht="15" customHeight="1">
      <c r="A88" s="11" t="str">
        <f>ETLMetadata!$C88</f>
        <v>CIRC_RES_RSEV</v>
      </c>
      <c r="B88" s="11" t="str">
        <f>ETLMetadata!$E88</f>
        <v>AMR3_RISL_DTS</v>
      </c>
      <c r="C88" s="11" t="str">
        <f>IF(ISBLANK(ETLMetadata!$J88), "", ETLMetadata!$J88)</f>
        <v/>
      </c>
      <c r="D88" s="11" t="str">
        <f>ETLMetadata!$G88</f>
        <v>TIMESTAMP(6)</v>
      </c>
      <c r="E88" s="12"/>
      <c r="F88" s="12"/>
      <c r="G88" s="12" t="str">
        <f t="shared" si="2"/>
        <v/>
      </c>
      <c r="H88" s="12"/>
      <c r="I88" s="12"/>
      <c r="J88" s="13">
        <v>45952</v>
      </c>
      <c r="K88" s="13">
        <v>2958465</v>
      </c>
      <c r="L88" s="11" t="str">
        <f t="shared" si="3"/>
        <v>INSERT INTO metadata_reference.file_schema VALUES('CIRC_RES_RSEV','AMR3_RISL_DTS',NULL,'TIMESTAMP(6)',NULL,NULL,NULL,NULL,'2025-10-22','9999-12-31',USER, CURRENT_TIMESTAMP(0));</v>
      </c>
    </row>
    <row r="89" spans="1:12" ht="15" customHeight="1">
      <c r="A89" s="11" t="str">
        <f>ETLMetadata!$C89</f>
        <v>CIRC_RES_RSEV</v>
      </c>
      <c r="B89" s="11" t="str">
        <f>ETLMetadata!$E89</f>
        <v>PARTY_ID</v>
      </c>
      <c r="C89" s="11" t="str">
        <f>IF(ISBLANK(ETLMetadata!$J89), "", ETLMetadata!$J89)</f>
        <v/>
      </c>
      <c r="D89" s="11" t="str">
        <f>ETLMetadata!$G89</f>
        <v>INTEGER</v>
      </c>
      <c r="E89" s="12"/>
      <c r="F89" s="12"/>
      <c r="G89" s="12" t="str">
        <f t="shared" si="2"/>
        <v/>
      </c>
      <c r="H89" s="12"/>
      <c r="I89" s="12"/>
      <c r="J89" s="13">
        <v>45952</v>
      </c>
      <c r="K89" s="13">
        <v>2958465</v>
      </c>
      <c r="L89" s="11" t="str">
        <f t="shared" si="3"/>
        <v>INSERT INTO metadata_reference.file_schema VALUES('CIRC_RES_RSEV','PARTY_ID',NULL,'INTEGER',NULL,NULL,NULL,NULL,'2025-10-22','9999-12-31',USER, CURRENT_TIMESTAMP(0));</v>
      </c>
    </row>
    <row r="90" spans="1:12" ht="15" customHeight="1">
      <c r="A90" s="11" t="str">
        <f>ETLMetadata!$C90</f>
        <v>CIRC_RES_RSEV</v>
      </c>
      <c r="B90" s="11" t="str">
        <f>ETLMetadata!$E90</f>
        <v>PARTY_ROLE_ID</v>
      </c>
      <c r="C90" s="11" t="str">
        <f>IF(ISBLANK(ETLMetadata!$J90), "", ETLMetadata!$J90)</f>
        <v/>
      </c>
      <c r="D90" s="11" t="str">
        <f>ETLMetadata!$G90</f>
        <v>INTEGER</v>
      </c>
      <c r="E90" s="12"/>
      <c r="F90" s="12"/>
      <c r="G90" s="12" t="str">
        <f t="shared" si="2"/>
        <v/>
      </c>
      <c r="H90" s="12"/>
      <c r="I90" s="12"/>
      <c r="J90" s="13">
        <v>45952</v>
      </c>
      <c r="K90" s="13">
        <v>2958465</v>
      </c>
      <c r="L90" s="11" t="str">
        <f t="shared" si="3"/>
        <v>INSERT INTO metadata_reference.file_schema VALUES('CIRC_RES_RSEV','PARTY_ROLE_ID',NULL,'INTEGER',NULL,NULL,NULL,NULL,'2025-10-22','9999-12-31',USER, CURRENT_TIMESTAMP(0));</v>
      </c>
    </row>
    <row r="91" spans="1:12" ht="15" customHeight="1">
      <c r="A91" s="11" t="str">
        <f>ETLMetadata!$C91</f>
        <v>CIRC_RES_RSEV</v>
      </c>
      <c r="B91" s="11" t="str">
        <f>ETLMetadata!$E91</f>
        <v>ERROR_COUNT</v>
      </c>
      <c r="C91" s="11" t="str">
        <f>IF(ISBLANK(ETLMetadata!$J91), "", ETLMetadata!$J91)</f>
        <v/>
      </c>
      <c r="D91" s="11" t="str">
        <f>ETLMetadata!$G91</f>
        <v>SMALLINT</v>
      </c>
      <c r="E91" s="12"/>
      <c r="F91" s="12"/>
      <c r="G91" s="12" t="str">
        <f t="shared" si="2"/>
        <v/>
      </c>
      <c r="H91" s="12"/>
      <c r="I91" s="12"/>
      <c r="J91" s="13">
        <v>45952</v>
      </c>
      <c r="K91" s="13">
        <v>2958465</v>
      </c>
      <c r="L91" s="11" t="str">
        <f t="shared" si="3"/>
        <v>INSERT INTO metadata_reference.file_schema VALUES('CIRC_RES_RSEV','ERROR_COUNT',NULL,'SMALLINT',NULL,NULL,NULL,NULL,'2025-10-22','9999-12-31',USER, CURRENT_TIMESTAMP(0));</v>
      </c>
    </row>
    <row r="92" spans="1:12" ht="15" customHeight="1">
      <c r="A92" s="11" t="str">
        <f>ETLMetadata!$C92</f>
        <v>CIRC_RES_RSEV</v>
      </c>
      <c r="B92" s="11" t="str">
        <f>ETLMetadata!$E92</f>
        <v>Start_Date</v>
      </c>
      <c r="C92" s="11" t="str">
        <f>IF(ISBLANK(ETLMetadata!$J92), "", ETLMetadata!$J92)</f>
        <v/>
      </c>
      <c r="D92" s="11" t="str">
        <f>ETLMetadata!$G92</f>
        <v>DATE</v>
      </c>
      <c r="E92" s="12"/>
      <c r="F92" s="12"/>
      <c r="G92" s="12" t="str">
        <f t="shared" si="2"/>
        <v/>
      </c>
      <c r="H92" s="12"/>
      <c r="I92" s="12"/>
      <c r="J92" s="13">
        <v>45952</v>
      </c>
      <c r="K92" s="13">
        <v>2958465</v>
      </c>
      <c r="L92" s="11" t="str">
        <f t="shared" si="3"/>
        <v>INSERT INTO metadata_reference.file_schema VALUES('CIRC_RES_RSEV','Start_Date',NULL,'DATE',NULL,NULL,NULL,NULL,'2025-10-22','9999-12-31',USER, CURRENT_TIMESTAMP(0));</v>
      </c>
    </row>
    <row r="93" spans="1:12" ht="15" customHeight="1">
      <c r="A93" s="11" t="str">
        <f>ETLMetadata!$C93</f>
        <v>CIRC_RES_RSEV</v>
      </c>
      <c r="B93" s="11" t="str">
        <f>ETLMetadata!$E93</f>
        <v>End_Date</v>
      </c>
      <c r="C93" s="11" t="str">
        <f>IF(ISBLANK(ETLMetadata!$J93), "", ETLMetadata!$J93)</f>
        <v/>
      </c>
      <c r="D93" s="11" t="str">
        <f>ETLMetadata!$G93</f>
        <v>DATE</v>
      </c>
      <c r="E93" s="12"/>
      <c r="F93" s="12"/>
      <c r="G93" s="12" t="str">
        <f t="shared" si="2"/>
        <v/>
      </c>
      <c r="H93" s="12"/>
      <c r="I93" s="12"/>
      <c r="J93" s="13">
        <v>45952</v>
      </c>
      <c r="K93" s="13">
        <v>2958465</v>
      </c>
      <c r="L93" s="11" t="str">
        <f t="shared" si="3"/>
        <v>INSERT INTO metadata_reference.file_schema VALUES('CIRC_RES_RSEV','End_Date',NULL,'DATE',NULL,NULL,NULL,NULL,'2025-10-22','9999-12-31',USER, CURRENT_TIMESTAMP(0));</v>
      </c>
    </row>
    <row r="94" spans="1:12" ht="15" customHeight="1">
      <c r="A94" s="11" t="str">
        <f>ETLMetadata!$C94</f>
        <v>CIRC_RES_RSEV</v>
      </c>
      <c r="B94" s="11" t="str">
        <f>ETLMetadata!$E94</f>
        <v>Record_Deleted_Flag</v>
      </c>
      <c r="C94" s="11" t="str">
        <f>IF(ISBLANK(ETLMetadata!$J94), "", ETLMetadata!$J94)</f>
        <v/>
      </c>
      <c r="D94" s="11" t="str">
        <f>ETLMetadata!$G94</f>
        <v>BYTEINT</v>
      </c>
      <c r="E94" s="12"/>
      <c r="F94" s="12"/>
      <c r="G94" s="12" t="str">
        <f t="shared" si="2"/>
        <v/>
      </c>
      <c r="H94" s="12"/>
      <c r="I94" s="12"/>
      <c r="J94" s="13">
        <v>45952</v>
      </c>
      <c r="K94" s="13">
        <v>2958465</v>
      </c>
      <c r="L94" s="11" t="str">
        <f t="shared" si="3"/>
        <v>INSERT INTO metadata_reference.file_schema VALUES('CIRC_RES_RSEV','Record_Deleted_Flag',NULL,'BYTEINT',NULL,NULL,NULL,NULL,'2025-10-22','9999-12-31',USER, CURRENT_TIMESTAMP(0));</v>
      </c>
    </row>
    <row r="95" spans="1:12" ht="15" customHeight="1">
      <c r="A95" s="11" t="str">
        <f>ETLMetadata!$C95</f>
        <v>CIRD_NREL_NONO</v>
      </c>
      <c r="B95" s="11" t="str">
        <f>ETLMetadata!$E95</f>
        <v>EXTRACT_DATE</v>
      </c>
      <c r="C95" s="11" t="str">
        <f>IF(ISBLANK(ETLMetadata!$J95), "", ETLMetadata!$J95)</f>
        <v/>
      </c>
      <c r="D95" s="11" t="str">
        <f>ETLMetadata!$G95</f>
        <v>DATE</v>
      </c>
      <c r="E95" s="12"/>
      <c r="F95" s="12"/>
      <c r="G95" s="12" t="str">
        <f t="shared" si="2"/>
        <v/>
      </c>
      <c r="H95" s="12"/>
      <c r="I95" s="12"/>
      <c r="J95" s="13">
        <v>45952</v>
      </c>
      <c r="K95" s="13">
        <v>2958465</v>
      </c>
      <c r="L95" s="11" t="str">
        <f t="shared" si="3"/>
        <v>INSERT INTO metadata_reference.file_schema VALUES('CIRD_NREL_NONO','EXTRACT_DATE',NULL,'DATE',NULL,NULL,NULL,NULL,'2025-10-22','9999-12-31',USER, CURRENT_TIMESTAMP(0));</v>
      </c>
    </row>
    <row r="96" spans="1:12" ht="15" customHeight="1">
      <c r="A96" s="11" t="str">
        <f>ETLMetadata!$C96</f>
        <v>CIRD_NREL_NONO</v>
      </c>
      <c r="B96" s="11" t="str">
        <f>ETLMetadata!$E96</f>
        <v>LOGICAL_DELETE_DATE</v>
      </c>
      <c r="C96" s="11" t="str">
        <f>IF(ISBLANK(ETLMetadata!$J96), "", ETLMetadata!$J96)</f>
        <v/>
      </c>
      <c r="D96" s="11" t="str">
        <f>ETLMetadata!$G96</f>
        <v>DATE</v>
      </c>
      <c r="E96" s="12"/>
      <c r="F96" s="12"/>
      <c r="G96" s="12" t="str">
        <f t="shared" si="2"/>
        <v/>
      </c>
      <c r="H96" s="12"/>
      <c r="I96" s="12"/>
      <c r="J96" s="13">
        <v>45952</v>
      </c>
      <c r="K96" s="13">
        <v>2958465</v>
      </c>
      <c r="L96" s="11" t="str">
        <f t="shared" si="3"/>
        <v>INSERT INTO metadata_reference.file_schema VALUES('CIRD_NREL_NONO','LOGICAL_DELETE_DATE',NULL,'DATE',NULL,NULL,NULL,NULL,'2025-10-22','9999-12-31',USER, CURRENT_TIMESTAMP(0));</v>
      </c>
    </row>
    <row r="97" spans="1:12" ht="15" customHeight="1">
      <c r="A97" s="11" t="str">
        <f>ETLMetadata!$C97</f>
        <v>CIRD_NREL_NONO</v>
      </c>
      <c r="B97" s="11" t="str">
        <f>ETLMetadata!$E97</f>
        <v>ENVIRONMENT_ID</v>
      </c>
      <c r="C97" s="11" t="str">
        <f>IF(ISBLANK(ETLMetadata!$J97), "", ETLMetadata!$J97)</f>
        <v>Y</v>
      </c>
      <c r="D97" s="11" t="str">
        <f>ETLMetadata!$G97</f>
        <v>CHAR(1)</v>
      </c>
      <c r="E97" s="12"/>
      <c r="F97" s="12"/>
      <c r="G97" s="12" t="str">
        <f t="shared" si="2"/>
        <v/>
      </c>
      <c r="H97" s="12"/>
      <c r="I97" s="12"/>
      <c r="J97" s="13">
        <v>45952</v>
      </c>
      <c r="K97" s="13">
        <v>2958465</v>
      </c>
      <c r="L97" s="11" t="str">
        <f t="shared" si="3"/>
        <v>INSERT INTO metadata_reference.file_schema VALUES('CIRD_NREL_NONO','ENVIRONMENT_ID','Y','CHAR(1)',NULL,NULL,NULL,NULL,'2025-10-22','9999-12-31',USER, CURRENT_TIMESTAMP(0));</v>
      </c>
    </row>
    <row r="98" spans="1:12" ht="15" customHeight="1">
      <c r="A98" s="11" t="str">
        <f>ETLMetadata!$C98</f>
        <v>CIRD_NREL_NONO</v>
      </c>
      <c r="B98" s="11" t="str">
        <f>ETLMetadata!$E98</f>
        <v>PERSON_ID</v>
      </c>
      <c r="C98" s="11" t="str">
        <f>IF(ISBLANK(ETLMetadata!$J98), "", ETLMetadata!$J98)</f>
        <v>Y</v>
      </c>
      <c r="D98" s="11" t="str">
        <f>ETLMetadata!$G98</f>
        <v>INTEGER</v>
      </c>
      <c r="E98" s="12"/>
      <c r="F98" s="12" t="s">
        <v>799</v>
      </c>
      <c r="G98" s="12" t="str">
        <f t="shared" si="2"/>
        <v>PERSONAL_IDENTITYINFOINDIRECT</v>
      </c>
      <c r="H98" s="12"/>
      <c r="I98" s="12"/>
      <c r="J98" s="13">
        <v>45952</v>
      </c>
      <c r="K98" s="13">
        <v>2958465</v>
      </c>
      <c r="L98" s="11" t="str">
        <f t="shared" si="3"/>
        <v>INSERT INTO metadata_reference.file_schema VALUES('CIRD_NREL_NONO','PERSON_ID','Y','INTEGER',NULL,'PERSONAL_IDENTITYINFOINDIRECT',NULL,NULL,'2025-10-22','9999-12-31',USER, CURRENT_TIMESTAMP(0));</v>
      </c>
    </row>
    <row r="99" spans="1:12" ht="15" customHeight="1">
      <c r="A99" s="11" t="str">
        <f>ETLMetadata!$C99</f>
        <v>CIRD_NREL_NONO</v>
      </c>
      <c r="B99" s="11" t="str">
        <f>ETLMetadata!$E99</f>
        <v>SRC_PERSON_ID</v>
      </c>
      <c r="C99" s="11" t="str">
        <f>IF(ISBLANK(ETLMetadata!$J99), "", ETLMetadata!$J99)</f>
        <v>Y</v>
      </c>
      <c r="D99" s="11" t="str">
        <f>ETLMetadata!$G99</f>
        <v>INTEGER</v>
      </c>
      <c r="E99" s="12"/>
      <c r="F99" s="12" t="s">
        <v>799</v>
      </c>
      <c r="G99" s="12" t="str">
        <f t="shared" si="2"/>
        <v>PERSONAL_IDENTITYINFOINDIRECT</v>
      </c>
      <c r="H99" s="12"/>
      <c r="I99" s="12"/>
      <c r="J99" s="13">
        <v>45952</v>
      </c>
      <c r="K99" s="13">
        <v>2958465</v>
      </c>
      <c r="L99" s="11" t="str">
        <f t="shared" si="3"/>
        <v>INSERT INTO metadata_reference.file_schema VALUES('CIRD_NREL_NONO','SRC_PERSON_ID','Y','INTEGER',NULL,'PERSONAL_IDENTITYINFOINDIRECT',NULL,NULL,'2025-10-22','9999-12-31',USER, CURRENT_TIMESTAMP(0));</v>
      </c>
    </row>
    <row r="100" spans="1:12" ht="15" customHeight="1">
      <c r="A100" s="11" t="str">
        <f>ETLMetadata!$C100</f>
        <v>CIRD_NREL_NONO</v>
      </c>
      <c r="B100" s="11" t="str">
        <f>ETLMetadata!$E100</f>
        <v>NONO_DOE</v>
      </c>
      <c r="C100" s="11" t="str">
        <f>IF(ISBLANK(ETLMetadata!$J100), "", ETLMetadata!$J100)</f>
        <v/>
      </c>
      <c r="D100" s="11" t="str">
        <f>ETLMetadata!$G100</f>
        <v>DATE</v>
      </c>
      <c r="E100" s="12"/>
      <c r="F100" s="12"/>
      <c r="G100" s="12" t="str">
        <f t="shared" si="2"/>
        <v/>
      </c>
      <c r="H100" s="12"/>
      <c r="I100" s="12"/>
      <c r="J100" s="13">
        <v>45952</v>
      </c>
      <c r="K100" s="13">
        <v>2958465</v>
      </c>
      <c r="L100" s="11" t="str">
        <f t="shared" si="3"/>
        <v>INSERT INTO metadata_reference.file_schema VALUES('CIRD_NREL_NONO','NONO_DOE',NULL,'DATE',NULL,NULL,NULL,NULL,'2025-10-22','9999-12-31',USER, CURRENT_TIMESTAMP(0));</v>
      </c>
    </row>
    <row r="101" spans="1:12" ht="15" customHeight="1">
      <c r="A101" s="11" t="str">
        <f>ETLMetadata!$C101</f>
        <v>CIRD_NREL_NONO</v>
      </c>
      <c r="B101" s="11" t="str">
        <f>ETLMetadata!$E101</f>
        <v>NONO_DOE_ORIG_ORIG</v>
      </c>
      <c r="C101" s="11" t="str">
        <f>IF(ISBLANK(ETLMetadata!$J101), "", ETLMetadata!$J101)</f>
        <v>Y</v>
      </c>
      <c r="D101" s="11" t="str">
        <f>ETLMetadata!$G101</f>
        <v>INTEGER</v>
      </c>
      <c r="E101" s="12"/>
      <c r="F101" s="12"/>
      <c r="G101" s="12" t="str">
        <f t="shared" si="2"/>
        <v/>
      </c>
      <c r="H101" s="12"/>
      <c r="I101" s="12"/>
      <c r="J101" s="13">
        <v>45952</v>
      </c>
      <c r="K101" s="13">
        <v>2958465</v>
      </c>
      <c r="L101" s="11" t="str">
        <f t="shared" si="3"/>
        <v>INSERT INTO metadata_reference.file_schema VALUES('CIRD_NREL_NONO','NONO_DOE_ORIG_ORIG','Y','INTEGER',NULL,NULL,NULL,NULL,'2025-10-22','9999-12-31',USER, CURRENT_TIMESTAMP(0));</v>
      </c>
    </row>
    <row r="102" spans="1:12" ht="15" customHeight="1">
      <c r="A102" s="11" t="str">
        <f>ETLMetadata!$C102</f>
        <v>CIRD_NREL_NONO</v>
      </c>
      <c r="B102" s="11" t="str">
        <f>ETLMetadata!$E102</f>
        <v>NONO_NOM_TYPE_CODE</v>
      </c>
      <c r="C102" s="11" t="str">
        <f>IF(ISBLANK(ETLMetadata!$J102), "", ETLMetadata!$J102)</f>
        <v>Y</v>
      </c>
      <c r="D102" s="11" t="str">
        <f>ETLMetadata!$G102</f>
        <v>CHAR(3)</v>
      </c>
      <c r="E102" s="12"/>
      <c r="F102" s="12"/>
      <c r="G102" s="12" t="str">
        <f t="shared" si="2"/>
        <v/>
      </c>
      <c r="H102" s="12"/>
      <c r="I102" s="12"/>
      <c r="J102" s="13">
        <v>45952</v>
      </c>
      <c r="K102" s="13">
        <v>2958465</v>
      </c>
      <c r="L102" s="11" t="str">
        <f t="shared" si="3"/>
        <v>INSERT INTO metadata_reference.file_schema VALUES('CIRD_NREL_NONO','NONO_NOM_TYPE_CODE','Y','CHAR(3)',NULL,NULL,NULL,NULL,'2025-10-22','9999-12-31',USER, CURRENT_TIMESTAMP(0));</v>
      </c>
    </row>
    <row r="103" spans="1:12" ht="15" customHeight="1">
      <c r="A103" s="11" t="str">
        <f>ETLMetadata!$C103</f>
        <v>CIRD_NREL_NONO</v>
      </c>
      <c r="B103" s="11" t="str">
        <f>ETLMetadata!$E103</f>
        <v>PROCESSING_SEQUENCE</v>
      </c>
      <c r="C103" s="11" t="str">
        <f>IF(ISBLANK(ETLMetadata!$J103), "", ETLMetadata!$J103)</f>
        <v>Y</v>
      </c>
      <c r="D103" s="11" t="str">
        <f>ETLMetadata!$G103</f>
        <v>SMALLINT</v>
      </c>
      <c r="E103" s="12"/>
      <c r="F103" s="12"/>
      <c r="G103" s="12" t="str">
        <f t="shared" si="2"/>
        <v/>
      </c>
      <c r="H103" s="12"/>
      <c r="I103" s="12"/>
      <c r="J103" s="13">
        <v>45952</v>
      </c>
      <c r="K103" s="13">
        <v>2958465</v>
      </c>
      <c r="L103" s="11" t="str">
        <f t="shared" si="3"/>
        <v>INSERT INTO metadata_reference.file_schema VALUES('CIRD_NREL_NONO','PROCESSING_SEQUENCE','Y','SMALLINT',NULL,NULL,NULL,NULL,'2025-10-22','9999-12-31',USER, CURRENT_TIMESTAMP(0));</v>
      </c>
    </row>
    <row r="104" spans="1:12" ht="15" customHeight="1">
      <c r="A104" s="11" t="str">
        <f>ETLMetadata!$C104</f>
        <v>CIRD_NREL_NONO</v>
      </c>
      <c r="B104" s="11" t="str">
        <f>ETLMetadata!$E104</f>
        <v>NONO_AMR_1</v>
      </c>
      <c r="C104" s="11" t="str">
        <f>IF(ISBLANK(ETLMetadata!$J104), "", ETLMetadata!$J104)</f>
        <v/>
      </c>
      <c r="D104" s="11" t="str">
        <f>ETLMetadata!$G104</f>
        <v>CHAR(4)</v>
      </c>
      <c r="E104" s="12"/>
      <c r="F104" s="12"/>
      <c r="G104" s="12" t="str">
        <f t="shared" si="2"/>
        <v/>
      </c>
      <c r="H104" s="12"/>
      <c r="I104" s="12"/>
      <c r="J104" s="13">
        <v>45952</v>
      </c>
      <c r="K104" s="13">
        <v>2958465</v>
      </c>
      <c r="L104" s="11" t="str">
        <f t="shared" si="3"/>
        <v>INSERT INTO metadata_reference.file_schema VALUES('CIRD_NREL_NONO','NONO_AMR_1',NULL,'CHAR(4)',NULL,NULL,NULL,NULL,'2025-10-22','9999-12-31',USER, CURRENT_TIMESTAMP(0));</v>
      </c>
    </row>
    <row r="105" spans="1:12" ht="15" customHeight="1">
      <c r="A105" s="11" t="str">
        <f>ETLMetadata!$C105</f>
        <v>CIRD_NREL_NONO</v>
      </c>
      <c r="B105" s="11" t="str">
        <f>ETLMetadata!$E105</f>
        <v>NONO_AMR_2</v>
      </c>
      <c r="C105" s="11" t="str">
        <f>IF(ISBLANK(ETLMetadata!$J105), "", ETLMetadata!$J105)</f>
        <v>Y</v>
      </c>
      <c r="D105" s="11" t="str">
        <f>ETLMetadata!$G105</f>
        <v>CHAR(1)</v>
      </c>
      <c r="E105" s="12"/>
      <c r="F105" s="12"/>
      <c r="G105" s="12" t="str">
        <f t="shared" si="2"/>
        <v/>
      </c>
      <c r="H105" s="12"/>
      <c r="I105" s="12"/>
      <c r="J105" s="13">
        <v>45952</v>
      </c>
      <c r="K105" s="13">
        <v>2958465</v>
      </c>
      <c r="L105" s="11" t="str">
        <f t="shared" si="3"/>
        <v>INSERT INTO metadata_reference.file_schema VALUES('CIRD_NREL_NONO','NONO_AMR_2','Y','CHAR(1)',NULL,NULL,NULL,NULL,'2025-10-22','9999-12-31',USER, CURRENT_TIMESTAMP(0));</v>
      </c>
    </row>
    <row r="106" spans="1:12" ht="15" customHeight="1">
      <c r="A106" s="11" t="str">
        <f>ETLMetadata!$C106</f>
        <v>CIRD_NREL_NONO</v>
      </c>
      <c r="B106" s="11" t="str">
        <f>ETLMetadata!$E106</f>
        <v>NONO_AMR_3</v>
      </c>
      <c r="C106" s="11" t="str">
        <f>IF(ISBLANK(ETLMetadata!$J106), "", ETLMetadata!$J106)</f>
        <v/>
      </c>
      <c r="D106" s="11" t="str">
        <f>ETLMetadata!$G106</f>
        <v>CHAR(4)</v>
      </c>
      <c r="E106" s="12"/>
      <c r="F106" s="12"/>
      <c r="G106" s="12" t="str">
        <f t="shared" si="2"/>
        <v/>
      </c>
      <c r="H106" s="12"/>
      <c r="I106" s="12"/>
      <c r="J106" s="13">
        <v>45952</v>
      </c>
      <c r="K106" s="13">
        <v>2958465</v>
      </c>
      <c r="L106" s="11" t="str">
        <f t="shared" si="3"/>
        <v>INSERT INTO metadata_reference.file_schema VALUES('CIRD_NREL_NONO','NONO_AMR_3',NULL,'CHAR(4)',NULL,NULL,NULL,NULL,'2025-10-22','9999-12-31',USER, CURRENT_TIMESTAMP(0));</v>
      </c>
    </row>
    <row r="107" spans="1:12" ht="15" customHeight="1">
      <c r="A107" s="11" t="str">
        <f>ETLMetadata!$C107</f>
        <v>CIRD_NREL_NONO</v>
      </c>
      <c r="B107" s="11" t="str">
        <f>ETLMetadata!$E107</f>
        <v>NONO_ARNGMT_RSN_CODE</v>
      </c>
      <c r="C107" s="11" t="str">
        <f>IF(ISBLANK(ETLMetadata!$J107), "", ETLMetadata!$J107)</f>
        <v/>
      </c>
      <c r="D107" s="11" t="str">
        <f>ETLMetadata!$G107</f>
        <v>CHAR(3)</v>
      </c>
      <c r="E107" s="12"/>
      <c r="F107" s="12"/>
      <c r="G107" s="12" t="str">
        <f t="shared" si="2"/>
        <v/>
      </c>
      <c r="H107" s="12"/>
      <c r="I107" s="12"/>
      <c r="J107" s="13">
        <v>45952</v>
      </c>
      <c r="K107" s="13">
        <v>2958465</v>
      </c>
      <c r="L107" s="11" t="str">
        <f t="shared" si="3"/>
        <v>INSERT INTO metadata_reference.file_schema VALUES('CIRD_NREL_NONO','NONO_ARNGMT_RSN_CODE',NULL,'CHAR(3)',NULL,NULL,NULL,NULL,'2025-10-22','9999-12-31',USER, CURRENT_TIMESTAMP(0));</v>
      </c>
    </row>
    <row r="108" spans="1:12" ht="15" customHeight="1">
      <c r="A108" s="11" t="str">
        <f>ETLMetadata!$C108</f>
        <v>CIRD_NREL_NONO</v>
      </c>
      <c r="B108" s="11" t="str">
        <f>ETLMetadata!$E108</f>
        <v>NONO_DOCU_TEXT</v>
      </c>
      <c r="C108" s="11" t="str">
        <f>IF(ISBLANK(ETLMetadata!$J108), "", ETLMetadata!$J108)</f>
        <v/>
      </c>
      <c r="D108" s="11" t="str">
        <f>ETLMetadata!$G108</f>
        <v>VARCHAR(40)</v>
      </c>
      <c r="E108" s="12"/>
      <c r="F108" s="12"/>
      <c r="G108" s="12" t="str">
        <f t="shared" si="2"/>
        <v/>
      </c>
      <c r="H108" s="12"/>
      <c r="I108" s="12"/>
      <c r="J108" s="13">
        <v>45952</v>
      </c>
      <c r="K108" s="13">
        <v>2958465</v>
      </c>
      <c r="L108" s="11" t="str">
        <f t="shared" si="3"/>
        <v>INSERT INTO metadata_reference.file_schema VALUES('CIRD_NREL_NONO','NONO_DOCU_TEXT',NULL,'VARCHAR(40)',NULL,NULL,NULL,NULL,'2025-10-22','9999-12-31',USER, CURRENT_TIMESTAMP(0));</v>
      </c>
    </row>
    <row r="109" spans="1:12" ht="15" customHeight="1">
      <c r="A109" s="11" t="str">
        <f>ETLMetadata!$C109</f>
        <v>CIRD_NREL_NONO</v>
      </c>
      <c r="B109" s="11" t="str">
        <f>ETLMetadata!$E109</f>
        <v>NONO_END_RSN_CODE</v>
      </c>
      <c r="C109" s="11" t="str">
        <f>IF(ISBLANK(ETLMetadata!$J109), "", ETLMetadata!$J109)</f>
        <v/>
      </c>
      <c r="D109" s="11" t="str">
        <f>ETLMetadata!$G109</f>
        <v>CHAR(3)</v>
      </c>
      <c r="E109" s="12"/>
      <c r="F109" s="12"/>
      <c r="G109" s="12" t="str">
        <f t="shared" si="2"/>
        <v/>
      </c>
      <c r="H109" s="12"/>
      <c r="I109" s="12"/>
      <c r="J109" s="13">
        <v>45952</v>
      </c>
      <c r="K109" s="13">
        <v>2958465</v>
      </c>
      <c r="L109" s="11" t="str">
        <f t="shared" si="3"/>
        <v>INSERT INTO metadata_reference.file_schema VALUES('CIRD_NREL_NONO','NONO_END_RSN_CODE',NULL,'CHAR(3)',NULL,NULL,NULL,NULL,'2025-10-22','9999-12-31',USER, CURRENT_TIMESTAMP(0));</v>
      </c>
    </row>
    <row r="110" spans="1:12" ht="15" customHeight="1">
      <c r="A110" s="11" t="str">
        <f>ETLMetadata!$C110</f>
        <v>CIRD_NREL_NONO</v>
      </c>
      <c r="B110" s="11" t="str">
        <f>ETLMetadata!$E110</f>
        <v>NONO_INDEF_ARNGMT_IND</v>
      </c>
      <c r="C110" s="11" t="str">
        <f>IF(ISBLANK(ETLMetadata!$J110), "", ETLMetadata!$J110)</f>
        <v/>
      </c>
      <c r="D110" s="11" t="str">
        <f>ETLMetadata!$G110</f>
        <v>CHAR(1)</v>
      </c>
      <c r="E110" s="12"/>
      <c r="F110" s="12"/>
      <c r="G110" s="12" t="str">
        <f t="shared" si="2"/>
        <v/>
      </c>
      <c r="H110" s="12"/>
      <c r="I110" s="12"/>
      <c r="J110" s="13">
        <v>45952</v>
      </c>
      <c r="K110" s="13">
        <v>2958465</v>
      </c>
      <c r="L110" s="11" t="str">
        <f t="shared" si="3"/>
        <v>INSERT INTO metadata_reference.file_schema VALUES('CIRD_NREL_NONO','NONO_INDEF_ARNGMT_IND',NULL,'CHAR(1)',NULL,NULL,NULL,NULL,'2025-10-22','9999-12-31',USER, CURRENT_TIMESTAMP(0));</v>
      </c>
    </row>
    <row r="111" spans="1:12" ht="15" customHeight="1">
      <c r="A111" s="11" t="str">
        <f>ETLMetadata!$C111</f>
        <v>CIRD_NREL_NONO</v>
      </c>
      <c r="B111" s="11" t="str">
        <f>ETLMetadata!$E111</f>
        <v>NONO_ON_IND</v>
      </c>
      <c r="C111" s="11" t="str">
        <f>IF(ISBLANK(ETLMetadata!$J111), "", ETLMetadata!$J111)</f>
        <v/>
      </c>
      <c r="D111" s="11" t="str">
        <f>ETLMetadata!$G111</f>
        <v>CHAR(1)</v>
      </c>
      <c r="E111" s="12"/>
      <c r="F111" s="12"/>
      <c r="G111" s="12" t="str">
        <f t="shared" si="2"/>
        <v/>
      </c>
      <c r="H111" s="12"/>
      <c r="I111" s="12"/>
      <c r="J111" s="13">
        <v>45952</v>
      </c>
      <c r="K111" s="13">
        <v>2958465</v>
      </c>
      <c r="L111" s="11" t="str">
        <f t="shared" si="3"/>
        <v>INSERT INTO metadata_reference.file_schema VALUES('CIRD_NREL_NONO','NONO_ON_IND',NULL,'CHAR(1)',NULL,NULL,NULL,NULL,'2025-10-22','9999-12-31',USER, CURRENT_TIMESTAMP(0));</v>
      </c>
    </row>
    <row r="112" spans="1:12" ht="15" customHeight="1">
      <c r="A112" s="11" t="str">
        <f>ETLMetadata!$C112</f>
        <v>CIRD_NREL_NONO</v>
      </c>
      <c r="B112" s="11" t="str">
        <f>ETLMetadata!$E112</f>
        <v>NONO_PASSWORD_TEXT</v>
      </c>
      <c r="C112" s="11" t="str">
        <f>IF(ISBLANK(ETLMetadata!$J112), "", ETLMetadata!$J112)</f>
        <v/>
      </c>
      <c r="D112" s="11" t="str">
        <f>ETLMetadata!$G112</f>
        <v>VARCHAR(20)</v>
      </c>
      <c r="E112" s="12"/>
      <c r="F112" s="12"/>
      <c r="G112" s="12" t="str">
        <f t="shared" si="2"/>
        <v/>
      </c>
      <c r="H112" s="12"/>
      <c r="I112" s="12"/>
      <c r="J112" s="13">
        <v>45952</v>
      </c>
      <c r="K112" s="13">
        <v>2958465</v>
      </c>
      <c r="L112" s="11" t="str">
        <f t="shared" si="3"/>
        <v>INSERT INTO metadata_reference.file_schema VALUES('CIRD_NREL_NONO','NONO_PASSWORD_TEXT',NULL,'VARCHAR(20)',NULL,NULL,NULL,NULL,'2025-10-22','9999-12-31',USER, CURRENT_TIMESTAMP(0));</v>
      </c>
    </row>
    <row r="113" spans="1:12" ht="15" customHeight="1">
      <c r="A113" s="11" t="str">
        <f>ETLMetadata!$C113</f>
        <v>CIRD_NREL_NONO</v>
      </c>
      <c r="B113" s="11" t="str">
        <f>ETLMetadata!$E113</f>
        <v>NONO_REL_TYPE_CODE</v>
      </c>
      <c r="C113" s="11" t="str">
        <f>IF(ISBLANK(ETLMetadata!$J113), "", ETLMetadata!$J113)</f>
        <v/>
      </c>
      <c r="D113" s="11" t="str">
        <f>ETLMetadata!$G113</f>
        <v>CHAR(3)</v>
      </c>
      <c r="E113" s="12"/>
      <c r="F113" s="12"/>
      <c r="G113" s="12" t="str">
        <f t="shared" si="2"/>
        <v/>
      </c>
      <c r="H113" s="12"/>
      <c r="I113" s="12"/>
      <c r="J113" s="13">
        <v>45952</v>
      </c>
      <c r="K113" s="13">
        <v>2958465</v>
      </c>
      <c r="L113" s="11" t="str">
        <f t="shared" si="3"/>
        <v>INSERT INTO metadata_reference.file_schema VALUES('CIRD_NREL_NONO','NONO_REL_TYPE_CODE',NULL,'CHAR(3)',NULL,NULL,NULL,NULL,'2025-10-22','9999-12-31',USER, CURRENT_TIMESTAMP(0));</v>
      </c>
    </row>
    <row r="114" spans="1:12" ht="15" customHeight="1">
      <c r="A114" s="11" t="str">
        <f>ETLMetadata!$C114</f>
        <v>CIRD_NREL_NONO</v>
      </c>
      <c r="B114" s="11" t="str">
        <f>ETLMetadata!$E114</f>
        <v>NONO_SPRS_LTTR_IND</v>
      </c>
      <c r="C114" s="11" t="str">
        <f>IF(ISBLANK(ETLMetadata!$J114), "", ETLMetadata!$J114)</f>
        <v/>
      </c>
      <c r="D114" s="11" t="str">
        <f>ETLMetadata!$G114</f>
        <v>CHAR(1)</v>
      </c>
      <c r="E114" s="12"/>
      <c r="F114" s="12"/>
      <c r="G114" s="12" t="str">
        <f t="shared" si="2"/>
        <v/>
      </c>
      <c r="H114" s="12"/>
      <c r="I114" s="12"/>
      <c r="J114" s="13">
        <v>45952</v>
      </c>
      <c r="K114" s="13">
        <v>2958465</v>
      </c>
      <c r="L114" s="11" t="str">
        <f t="shared" si="3"/>
        <v>INSERT INTO metadata_reference.file_schema VALUES('CIRD_NREL_NONO','NONO_SPRS_LTTR_IND',NULL,'CHAR(1)',NULL,NULL,NULL,NULL,'2025-10-22','9999-12-31',USER, CURRENT_TIMESTAMP(0));</v>
      </c>
    </row>
    <row r="115" spans="1:12" ht="15" customHeight="1">
      <c r="A115" s="11" t="str">
        <f>ETLMetadata!$C115</f>
        <v>CIRD_NREL_NONO</v>
      </c>
      <c r="B115" s="11" t="str">
        <f>ETLMetadata!$E115</f>
        <v>NONO_UPDT_DATE</v>
      </c>
      <c r="C115" s="11" t="str">
        <f>IF(ISBLANK(ETLMetadata!$J115), "", ETLMetadata!$J115)</f>
        <v/>
      </c>
      <c r="D115" s="11" t="str">
        <f>ETLMetadata!$G115</f>
        <v>DATE</v>
      </c>
      <c r="E115" s="12"/>
      <c r="F115" s="12"/>
      <c r="G115" s="12" t="str">
        <f t="shared" si="2"/>
        <v/>
      </c>
      <c r="H115" s="12"/>
      <c r="I115" s="12"/>
      <c r="J115" s="13">
        <v>45952</v>
      </c>
      <c r="K115" s="13">
        <v>2958465</v>
      </c>
      <c r="L115" s="11" t="str">
        <f t="shared" si="3"/>
        <v>INSERT INTO metadata_reference.file_schema VALUES('CIRD_NREL_NONO','NONO_UPDT_DATE',NULL,'DATE',NULL,NULL,NULL,NULL,'2025-10-22','9999-12-31',USER, CURRENT_TIMESTAMP(0));</v>
      </c>
    </row>
    <row r="116" spans="1:12" ht="15" customHeight="1">
      <c r="A116" s="11" t="str">
        <f>ETLMetadata!$C116</f>
        <v>CIRD_NREL_NONO</v>
      </c>
      <c r="B116" s="11" t="str">
        <f>ETLMetadata!$E116</f>
        <v>NONO_UPDT_DATE_ORIG</v>
      </c>
      <c r="C116" s="11" t="str">
        <f>IF(ISBLANK(ETLMetadata!$J116), "", ETLMetadata!$J116)</f>
        <v/>
      </c>
      <c r="D116" s="11" t="str">
        <f>ETLMetadata!$G116</f>
        <v>INTEGER</v>
      </c>
      <c r="E116" s="12"/>
      <c r="F116" s="12"/>
      <c r="G116" s="12" t="str">
        <f t="shared" si="2"/>
        <v/>
      </c>
      <c r="H116" s="12"/>
      <c r="I116" s="12"/>
      <c r="J116" s="13">
        <v>45952</v>
      </c>
      <c r="K116" s="13">
        <v>2958465</v>
      </c>
      <c r="L116" s="11" t="str">
        <f t="shared" si="3"/>
        <v>INSERT INTO metadata_reference.file_schema VALUES('CIRD_NREL_NONO','NONO_UPDT_DATE_ORIG',NULL,'INTEGER',NULL,NULL,NULL,NULL,'2025-10-22','9999-12-31',USER, CURRENT_TIMESTAMP(0));</v>
      </c>
    </row>
    <row r="117" spans="1:12" ht="15" customHeight="1">
      <c r="A117" s="11" t="str">
        <f>ETLMetadata!$C117</f>
        <v>CIRD_NREL_NONO</v>
      </c>
      <c r="B117" s="11" t="str">
        <f>ETLMetadata!$E117</f>
        <v>NONO_VAR_TEXT</v>
      </c>
      <c r="C117" s="11" t="str">
        <f>IF(ISBLANK(ETLMetadata!$J117), "", ETLMetadata!$J117)</f>
        <v/>
      </c>
      <c r="D117" s="11" t="str">
        <f>ETLMetadata!$G117</f>
        <v>VARCHAR(20)</v>
      </c>
      <c r="E117" s="12"/>
      <c r="F117" s="12"/>
      <c r="G117" s="12" t="str">
        <f t="shared" si="2"/>
        <v/>
      </c>
      <c r="H117" s="12"/>
      <c r="I117" s="12"/>
      <c r="J117" s="13">
        <v>45952</v>
      </c>
      <c r="K117" s="13">
        <v>2958465</v>
      </c>
      <c r="L117" s="11" t="str">
        <f t="shared" si="3"/>
        <v>INSERT INTO metadata_reference.file_schema VALUES('CIRD_NREL_NONO','NONO_VAR_TEXT',NULL,'VARCHAR(20)',NULL,NULL,NULL,NULL,'2025-10-22','9999-12-31',USER, CURRENT_TIMESTAMP(0));</v>
      </c>
    </row>
    <row r="118" spans="1:12" ht="15" customHeight="1">
      <c r="A118" s="11" t="str">
        <f>ETLMetadata!$C118</f>
        <v>CIRD_NREL_NONO</v>
      </c>
      <c r="B118" s="11" t="str">
        <f>ETLMetadata!$E118</f>
        <v>PARTY_ROLE_ID</v>
      </c>
      <c r="C118" s="11" t="str">
        <f>IF(ISBLANK(ETLMetadata!$J118), "", ETLMetadata!$J118)</f>
        <v/>
      </c>
      <c r="D118" s="11" t="str">
        <f>ETLMetadata!$G118</f>
        <v>INTEGER</v>
      </c>
      <c r="E118" s="12"/>
      <c r="F118" s="12"/>
      <c r="G118" s="12" t="str">
        <f t="shared" si="2"/>
        <v/>
      </c>
      <c r="H118" s="12"/>
      <c r="I118" s="12"/>
      <c r="J118" s="13">
        <v>45952</v>
      </c>
      <c r="K118" s="13">
        <v>2958465</v>
      </c>
      <c r="L118" s="11" t="str">
        <f t="shared" si="3"/>
        <v>INSERT INTO metadata_reference.file_schema VALUES('CIRD_NREL_NONO','PARTY_ROLE_ID',NULL,'INTEGER',NULL,NULL,NULL,NULL,'2025-10-22','9999-12-31',USER, CURRENT_TIMESTAMP(0));</v>
      </c>
    </row>
    <row r="119" spans="1:12" ht="15" customHeight="1">
      <c r="A119" s="11" t="str">
        <f>ETLMetadata!$C119</f>
        <v>CIRD_NREL_NONO</v>
      </c>
      <c r="B119" s="11" t="str">
        <f>ETLMetadata!$E119</f>
        <v>RELATED_PARTY_ROLE_ID</v>
      </c>
      <c r="C119" s="11" t="str">
        <f>IF(ISBLANK(ETLMetadata!$J119), "", ETLMetadata!$J119)</f>
        <v/>
      </c>
      <c r="D119" s="11" t="str">
        <f>ETLMetadata!$G119</f>
        <v>INTEGER</v>
      </c>
      <c r="E119" s="12"/>
      <c r="F119" s="12"/>
      <c r="G119" s="12" t="str">
        <f t="shared" si="2"/>
        <v/>
      </c>
      <c r="H119" s="12"/>
      <c r="I119" s="12"/>
      <c r="J119" s="13">
        <v>45952</v>
      </c>
      <c r="K119" s="13">
        <v>2958465</v>
      </c>
      <c r="L119" s="11" t="str">
        <f t="shared" si="3"/>
        <v>INSERT INTO metadata_reference.file_schema VALUES('CIRD_NREL_NONO','RELATED_PARTY_ROLE_ID',NULL,'INTEGER',NULL,NULL,NULL,NULL,'2025-10-22','9999-12-31',USER, CURRENT_TIMESTAMP(0));</v>
      </c>
    </row>
    <row r="120" spans="1:12" ht="15" customHeight="1">
      <c r="A120" s="11" t="str">
        <f>ETLMetadata!$C120</f>
        <v>CIRD_NREL_NONO</v>
      </c>
      <c r="B120" s="11" t="str">
        <f>ETLMetadata!$E120</f>
        <v>AMR1_RISL_DTS</v>
      </c>
      <c r="C120" s="11" t="str">
        <f>IF(ISBLANK(ETLMetadata!$J120), "", ETLMetadata!$J120)</f>
        <v/>
      </c>
      <c r="D120" s="11" t="str">
        <f>ETLMetadata!$G120</f>
        <v>TIMESTAMP(6)</v>
      </c>
      <c r="E120" s="12"/>
      <c r="F120" s="12"/>
      <c r="G120" s="12" t="str">
        <f t="shared" si="2"/>
        <v/>
      </c>
      <c r="H120" s="12"/>
      <c r="I120" s="12"/>
      <c r="J120" s="13">
        <v>45952</v>
      </c>
      <c r="K120" s="13">
        <v>2958465</v>
      </c>
      <c r="L120" s="11" t="str">
        <f t="shared" si="3"/>
        <v>INSERT INTO metadata_reference.file_schema VALUES('CIRD_NREL_NONO','AMR1_RISL_DTS',NULL,'TIMESTAMP(6)',NULL,NULL,NULL,NULL,'2025-10-22','9999-12-31',USER, CURRENT_TIMESTAMP(0));</v>
      </c>
    </row>
    <row r="121" spans="1:12" ht="15" customHeight="1">
      <c r="A121" s="11" t="str">
        <f>ETLMetadata!$C121</f>
        <v>CIRD_NREL_NONO</v>
      </c>
      <c r="B121" s="11" t="str">
        <f>ETLMetadata!$E121</f>
        <v>AMR3_RISL_DTS</v>
      </c>
      <c r="C121" s="11" t="str">
        <f>IF(ISBLANK(ETLMetadata!$J121), "", ETLMetadata!$J121)</f>
        <v/>
      </c>
      <c r="D121" s="11" t="str">
        <f>ETLMetadata!$G121</f>
        <v>TIMESTAMP(6)</v>
      </c>
      <c r="E121" s="12"/>
      <c r="F121" s="12"/>
      <c r="G121" s="12" t="str">
        <f t="shared" si="2"/>
        <v/>
      </c>
      <c r="H121" s="12"/>
      <c r="I121" s="12"/>
      <c r="J121" s="13">
        <v>45952</v>
      </c>
      <c r="K121" s="13">
        <v>2958465</v>
      </c>
      <c r="L121" s="11" t="str">
        <f t="shared" si="3"/>
        <v>INSERT INTO metadata_reference.file_schema VALUES('CIRD_NREL_NONO','AMR3_RISL_DTS',NULL,'TIMESTAMP(6)',NULL,NULL,NULL,NULL,'2025-10-22','9999-12-31',USER, CURRENT_TIMESTAMP(0));</v>
      </c>
    </row>
    <row r="122" spans="1:12" ht="15" customHeight="1">
      <c r="A122" s="11" t="str">
        <f>ETLMetadata!$C122</f>
        <v>CIRD_NREL_NONO</v>
      </c>
      <c r="B122" s="11" t="str">
        <f>ETLMetadata!$E122</f>
        <v>ERROR_COUNT</v>
      </c>
      <c r="C122" s="11" t="str">
        <f>IF(ISBLANK(ETLMetadata!$J122), "", ETLMetadata!$J122)</f>
        <v/>
      </c>
      <c r="D122" s="11" t="str">
        <f>ETLMetadata!$G122</f>
        <v>SMALLINT</v>
      </c>
      <c r="E122" s="12"/>
      <c r="F122" s="12"/>
      <c r="G122" s="12" t="str">
        <f t="shared" si="2"/>
        <v/>
      </c>
      <c r="H122" s="12"/>
      <c r="I122" s="12"/>
      <c r="J122" s="13">
        <v>45952</v>
      </c>
      <c r="K122" s="13">
        <v>2958465</v>
      </c>
      <c r="L122" s="11" t="str">
        <f t="shared" si="3"/>
        <v>INSERT INTO metadata_reference.file_schema VALUES('CIRD_NREL_NONO','ERROR_COUNT',NULL,'SMALLINT',NULL,NULL,NULL,NULL,'2025-10-22','9999-12-31',USER, CURRENT_TIMESTAMP(0));</v>
      </c>
    </row>
    <row r="123" spans="1:12" ht="15" customHeight="1">
      <c r="A123" s="11" t="str">
        <f>ETLMetadata!$C123</f>
        <v>CIRD_NREL_NONO</v>
      </c>
      <c r="B123" s="11" t="str">
        <f>ETLMetadata!$E123</f>
        <v>Start_Date</v>
      </c>
      <c r="C123" s="11" t="str">
        <f>IF(ISBLANK(ETLMetadata!$J123), "", ETLMetadata!$J123)</f>
        <v/>
      </c>
      <c r="D123" s="11" t="str">
        <f>ETLMetadata!$G123</f>
        <v>DATE</v>
      </c>
      <c r="E123" s="12"/>
      <c r="F123" s="12"/>
      <c r="G123" s="12" t="str">
        <f t="shared" si="2"/>
        <v/>
      </c>
      <c r="H123" s="12"/>
      <c r="I123" s="12"/>
      <c r="J123" s="13">
        <v>45952</v>
      </c>
      <c r="K123" s="13">
        <v>2958465</v>
      </c>
      <c r="L123" s="11" t="str">
        <f t="shared" si="3"/>
        <v>INSERT INTO metadata_reference.file_schema VALUES('CIRD_NREL_NONO','Start_Date',NULL,'DATE',NULL,NULL,NULL,NULL,'2025-10-22','9999-12-31',USER, CURRENT_TIMESTAMP(0));</v>
      </c>
    </row>
    <row r="124" spans="1:12" ht="15" customHeight="1">
      <c r="A124" s="11" t="str">
        <f>ETLMetadata!$C124</f>
        <v>CIRD_NREL_NONO</v>
      </c>
      <c r="B124" s="11" t="str">
        <f>ETLMetadata!$E124</f>
        <v>End_Date</v>
      </c>
      <c r="C124" s="11" t="str">
        <f>IF(ISBLANK(ETLMetadata!$J124), "", ETLMetadata!$J124)</f>
        <v/>
      </c>
      <c r="D124" s="11" t="str">
        <f>ETLMetadata!$G124</f>
        <v>DATE</v>
      </c>
      <c r="E124" s="12"/>
      <c r="F124" s="12"/>
      <c r="G124" s="12" t="str">
        <f t="shared" si="2"/>
        <v/>
      </c>
      <c r="H124" s="12"/>
      <c r="I124" s="12"/>
      <c r="J124" s="13">
        <v>45952</v>
      </c>
      <c r="K124" s="13">
        <v>2958465</v>
      </c>
      <c r="L124" s="11" t="str">
        <f t="shared" si="3"/>
        <v>INSERT INTO metadata_reference.file_schema VALUES('CIRD_NREL_NONO','End_Date',NULL,'DATE',NULL,NULL,NULL,NULL,'2025-10-22','9999-12-31',USER, CURRENT_TIMESTAMP(0));</v>
      </c>
    </row>
    <row r="125" spans="1:12" ht="15" customHeight="1">
      <c r="A125" s="11" t="str">
        <f>ETLMetadata!$C125</f>
        <v>CIRD_NREL_NONO</v>
      </c>
      <c r="B125" s="11" t="str">
        <f>ETLMetadata!$E125</f>
        <v>Record_Deleted_Flag</v>
      </c>
      <c r="C125" s="11" t="str">
        <f>IF(ISBLANK(ETLMetadata!$J125), "", ETLMetadata!$J125)</f>
        <v/>
      </c>
      <c r="D125" s="11" t="str">
        <f>ETLMetadata!$G125</f>
        <v>BYTEINT</v>
      </c>
      <c r="E125" s="12"/>
      <c r="F125" s="12"/>
      <c r="G125" s="12" t="str">
        <f t="shared" si="2"/>
        <v/>
      </c>
      <c r="H125" s="12"/>
      <c r="I125" s="12"/>
      <c r="J125" s="13">
        <v>45952</v>
      </c>
      <c r="K125" s="13">
        <v>2958465</v>
      </c>
      <c r="L125" s="11" t="str">
        <f t="shared" si="3"/>
        <v>INSERT INTO metadata_reference.file_schema VALUES('CIRD_NREL_NONO','Record_Deleted_Flag',NULL,'BYTEINT',NULL,NULL,NULL,NULL,'2025-10-22','9999-12-31',USER, CURRENT_TIMESTAMP(0));</v>
      </c>
    </row>
    <row r="126" spans="1:12" ht="15" customHeight="1">
      <c r="A126" s="11" t="str">
        <f>ETLMetadata!$C126</f>
        <v>CUST_CST_CUAD_RE</v>
      </c>
      <c r="B126" s="11" t="str">
        <f>ETLMetadata!$E126</f>
        <v>EXTRACT_DATE</v>
      </c>
      <c r="C126" s="11" t="str">
        <f>IF(ISBLANK(ETLMetadata!$J126), "", ETLMetadata!$J126)</f>
        <v/>
      </c>
      <c r="D126" s="11" t="str">
        <f>ETLMetadata!$G126</f>
        <v>DATE</v>
      </c>
      <c r="E126" s="12"/>
      <c r="F126" s="12"/>
      <c r="G126" s="12" t="str">
        <f t="shared" si="2"/>
        <v/>
      </c>
      <c r="H126" s="12"/>
      <c r="I126" s="12"/>
      <c r="J126" s="13">
        <v>45952</v>
      </c>
      <c r="K126" s="13">
        <v>2958465</v>
      </c>
      <c r="L126" s="11" t="str">
        <f t="shared" si="3"/>
        <v>INSERT INTO metadata_reference.file_schema VALUES('CUST_CST_CUAD_RE','EXTRACT_DATE',NULL,'DATE',NULL,NULL,NULL,NULL,'2025-10-22','9999-12-31',USER, CURRENT_TIMESTAMP(0));</v>
      </c>
    </row>
    <row r="127" spans="1:12" ht="15" customHeight="1">
      <c r="A127" s="11" t="str">
        <f>ETLMetadata!$C127</f>
        <v>CUST_CST_CUAD_RE</v>
      </c>
      <c r="B127" s="11" t="str">
        <f>ETLMetadata!$E127</f>
        <v>LOGICAL_DELETE_DATE</v>
      </c>
      <c r="C127" s="11" t="str">
        <f>IF(ISBLANK(ETLMetadata!$J127), "", ETLMetadata!$J127)</f>
        <v/>
      </c>
      <c r="D127" s="11" t="str">
        <f>ETLMetadata!$G127</f>
        <v>DATE</v>
      </c>
      <c r="E127" s="12"/>
      <c r="F127" s="12"/>
      <c r="G127" s="12" t="str">
        <f t="shared" si="2"/>
        <v/>
      </c>
      <c r="H127" s="12"/>
      <c r="I127" s="12"/>
      <c r="J127" s="13">
        <v>45952</v>
      </c>
      <c r="K127" s="13">
        <v>2958465</v>
      </c>
      <c r="L127" s="11" t="str">
        <f t="shared" si="3"/>
        <v>INSERT INTO metadata_reference.file_schema VALUES('CUST_CST_CUAD_RE','LOGICAL_DELETE_DATE',NULL,'DATE',NULL,NULL,NULL,NULL,'2025-10-22','9999-12-31',USER, CURRENT_TIMESTAMP(0));</v>
      </c>
    </row>
    <row r="128" spans="1:12" ht="15" customHeight="1">
      <c r="A128" s="11" t="str">
        <f>ETLMetadata!$C128</f>
        <v>CUST_CST_CUAD_RE</v>
      </c>
      <c r="B128" s="11" t="str">
        <f>ETLMetadata!$E128</f>
        <v>ENVIRONMENT_ID</v>
      </c>
      <c r="C128" s="11" t="str">
        <f>IF(ISBLANK(ETLMetadata!$J128), "", ETLMetadata!$J128)</f>
        <v>Y</v>
      </c>
      <c r="D128" s="11" t="str">
        <f>ETLMetadata!$G128</f>
        <v>CHAR(1)</v>
      </c>
      <c r="E128" s="12"/>
      <c r="F128" s="12"/>
      <c r="G128" s="12" t="str">
        <f t="shared" si="2"/>
        <v/>
      </c>
      <c r="H128" s="12"/>
      <c r="I128" s="12"/>
      <c r="J128" s="13">
        <v>45952</v>
      </c>
      <c r="K128" s="13">
        <v>2958465</v>
      </c>
      <c r="L128" s="11" t="str">
        <f t="shared" si="3"/>
        <v>INSERT INTO metadata_reference.file_schema VALUES('CUST_CST_CUAD_RE','ENVIRONMENT_ID','Y','CHAR(1)',NULL,NULL,NULL,NULL,'2025-10-22','9999-12-31',USER, CURRENT_TIMESTAMP(0));</v>
      </c>
    </row>
    <row r="129" spans="1:12" ht="15" customHeight="1">
      <c r="A129" s="11" t="str">
        <f>ETLMetadata!$C129</f>
        <v>CUST_CST_CUAD_RE</v>
      </c>
      <c r="B129" s="11" t="str">
        <f>ETLMetadata!$E129</f>
        <v>PERSON_ID</v>
      </c>
      <c r="C129" s="11" t="str">
        <f>IF(ISBLANK(ETLMetadata!$J129), "", ETLMetadata!$J129)</f>
        <v>Y</v>
      </c>
      <c r="D129" s="11" t="str">
        <f>ETLMetadata!$G129</f>
        <v>INTEGER</v>
      </c>
      <c r="E129" s="12"/>
      <c r="F129" s="12" t="s">
        <v>799</v>
      </c>
      <c r="G129" s="12" t="str">
        <f t="shared" si="2"/>
        <v>PERSONAL_IDENTITYINFOINDIRECT</v>
      </c>
      <c r="H129" s="12"/>
      <c r="I129" s="12"/>
      <c r="J129" s="13">
        <v>45952</v>
      </c>
      <c r="K129" s="13">
        <v>2958465</v>
      </c>
      <c r="L129" s="11" t="str">
        <f t="shared" si="3"/>
        <v>INSERT INTO metadata_reference.file_schema VALUES('CUST_CST_CUAD_RE','PERSON_ID','Y','INTEGER',NULL,'PERSONAL_IDENTITYINFOINDIRECT',NULL,NULL,'2025-10-22','9999-12-31',USER, CURRENT_TIMESTAMP(0));</v>
      </c>
    </row>
    <row r="130" spans="1:12" ht="15" customHeight="1">
      <c r="A130" s="11" t="str">
        <f>ETLMetadata!$C130</f>
        <v>CUST_CST_CUAD_RE</v>
      </c>
      <c r="B130" s="11" t="str">
        <f>ETLMetadata!$E130</f>
        <v>CUAD_DOE</v>
      </c>
      <c r="C130" s="11" t="str">
        <f>IF(ISBLANK(ETLMetadata!$J130), "", ETLMetadata!$J130)</f>
        <v/>
      </c>
      <c r="D130" s="11" t="str">
        <f>ETLMetadata!$G130</f>
        <v>DATE</v>
      </c>
      <c r="E130" s="12"/>
      <c r="F130" s="12"/>
      <c r="G130" s="12" t="str">
        <f t="shared" si="2"/>
        <v/>
      </c>
      <c r="H130" s="12"/>
      <c r="I130" s="12"/>
      <c r="J130" s="13">
        <v>45952</v>
      </c>
      <c r="K130" s="13">
        <v>2958465</v>
      </c>
      <c r="L130" s="11" t="str">
        <f t="shared" si="3"/>
        <v>INSERT INTO metadata_reference.file_schema VALUES('CUST_CST_CUAD_RE','CUAD_DOE',NULL,'DATE',NULL,NULL,NULL,NULL,'2025-10-22','9999-12-31',USER, CURRENT_TIMESTAMP(0));</v>
      </c>
    </row>
    <row r="131" spans="1:12" ht="15" customHeight="1">
      <c r="A131" s="11" t="str">
        <f>ETLMetadata!$C131</f>
        <v>CUST_CST_CUAD_RE</v>
      </c>
      <c r="B131" s="11" t="str">
        <f>ETLMetadata!$E131</f>
        <v>CUAD_DOE_ORIG</v>
      </c>
      <c r="C131" s="11" t="str">
        <f>IF(ISBLANK(ETLMetadata!$J131), "", ETLMetadata!$J131)</f>
        <v>Y</v>
      </c>
      <c r="D131" s="11" t="str">
        <f>ETLMetadata!$G131</f>
        <v>INTEGER</v>
      </c>
      <c r="E131" s="12"/>
      <c r="F131" s="12"/>
      <c r="G131" s="12" t="str">
        <f t="shared" ref="G131:G194" si="4">UPPER($F131)</f>
        <v/>
      </c>
      <c r="H131" s="12"/>
      <c r="I131" s="12"/>
      <c r="J131" s="13">
        <v>45952</v>
      </c>
      <c r="K131" s="13">
        <v>2958465</v>
      </c>
      <c r="L131" s="11" t="str">
        <f t="shared" ref="L131:L194" si="5">CONCATENATE("INSERT INTO metadata_reference.file_schema VALUES('",TRIM(A131),"','",TRIM(B131),"',",IF(TRIM(C131)="","NULL","'"&amp;TRIM(C131)&amp;"'"),",'",TRIM(D131),"',",IF(TRIM(E131)="","NULL","'"&amp;TRIM(E131)&amp;"'"),",",IF(TRIM(G131)="","NULL","'"&amp;TRIM(G131)&amp;"'"),",",IF(TRIM(H131)="","NULL","'"&amp;TRIM(H131)&amp;"'"),",",
IF(TRIM(I131)="","NULL",TRIM(I131)),",",IF(TRIM(J131)="","NULL","'"&amp;TEXT(J131,"yyyy-mm-dd")&amp;"'"),",",IF(TRIM(K131)="","NULL","'"&amp;TEXT(K131,"yyyy-mm-dd")&amp;"'"),",","USER, CURRENT_TIMESTAMP(0));")</f>
        <v>INSERT INTO metadata_reference.file_schema VALUES('CUST_CST_CUAD_RE','CUAD_DOE_ORIG','Y','INTEGER',NULL,NULL,NULL,NULL,'2025-10-22','9999-12-31',USER, CURRENT_TIMESTAMP(0));</v>
      </c>
    </row>
    <row r="132" spans="1:12" ht="15" customHeight="1">
      <c r="A132" s="11" t="str">
        <f>ETLMetadata!$C132</f>
        <v>CUST_CST_CUAD_RE</v>
      </c>
      <c r="B132" s="11" t="str">
        <f>ETLMetadata!$E132</f>
        <v>CUAD_TYPE_CODE</v>
      </c>
      <c r="C132" s="11" t="str">
        <f>IF(ISBLANK(ETLMetadata!$J132), "", ETLMetadata!$J132)</f>
        <v>Y</v>
      </c>
      <c r="D132" s="11" t="str">
        <f>ETLMetadata!$G132</f>
        <v>CHAR(3)</v>
      </c>
      <c r="E132" s="12"/>
      <c r="F132" s="12"/>
      <c r="G132" s="12" t="str">
        <f t="shared" si="4"/>
        <v/>
      </c>
      <c r="H132" s="12"/>
      <c r="I132" s="12"/>
      <c r="J132" s="13">
        <v>45952</v>
      </c>
      <c r="K132" s="13">
        <v>2958465</v>
      </c>
      <c r="L132" s="11" t="str">
        <f t="shared" si="5"/>
        <v>INSERT INTO metadata_reference.file_schema VALUES('CUST_CST_CUAD_RE','CUAD_TYPE_CODE','Y','CHAR(3)',NULL,NULL,NULL,NULL,'2025-10-22','9999-12-31',USER, CURRENT_TIMESTAMP(0));</v>
      </c>
    </row>
    <row r="133" spans="1:12" ht="15" customHeight="1">
      <c r="A133" s="11" t="str">
        <f>ETLMetadata!$C133</f>
        <v>CUST_CST_CUAD_RE</v>
      </c>
      <c r="B133" s="11" t="str">
        <f>ETLMetadata!$E133</f>
        <v>PROCESSING_SEQUENCE</v>
      </c>
      <c r="C133" s="11" t="str">
        <f>IF(ISBLANK(ETLMetadata!$J133), "", ETLMetadata!$J133)</f>
        <v>Y</v>
      </c>
      <c r="D133" s="11" t="str">
        <f>ETLMetadata!$G133</f>
        <v>SMALLINT</v>
      </c>
      <c r="E133" s="12"/>
      <c r="F133" s="12"/>
      <c r="G133" s="12" t="str">
        <f t="shared" si="4"/>
        <v/>
      </c>
      <c r="H133" s="12"/>
      <c r="I133" s="12"/>
      <c r="J133" s="13">
        <v>45952</v>
      </c>
      <c r="K133" s="13">
        <v>2958465</v>
      </c>
      <c r="L133" s="11" t="str">
        <f t="shared" si="5"/>
        <v>INSERT INTO metadata_reference.file_schema VALUES('CUST_CST_CUAD_RE','PROCESSING_SEQUENCE','Y','SMALLINT',NULL,NULL,NULL,NULL,'2025-10-22','9999-12-31',USER, CURRENT_TIMESTAMP(0));</v>
      </c>
    </row>
    <row r="134" spans="1:12" ht="15" customHeight="1">
      <c r="A134" s="11" t="str">
        <f>ETLMetadata!$C134</f>
        <v>CUST_CST_CUAD_RE</v>
      </c>
      <c r="B134" s="11" t="str">
        <f>ETLMetadata!$E134</f>
        <v>CUAD_ADDR_1ST_LINE</v>
      </c>
      <c r="C134" s="11" t="str">
        <f>IF(ISBLANK(ETLMetadata!$J134), "", ETLMetadata!$J134)</f>
        <v/>
      </c>
      <c r="D134" s="11" t="str">
        <f>ETLMetadata!$G134</f>
        <v>VARCHAR(50)</v>
      </c>
      <c r="E134" s="12"/>
      <c r="F134" s="12" t="s">
        <v>801</v>
      </c>
      <c r="G134" s="12" t="str">
        <f t="shared" si="4"/>
        <v>PERSONAL_CONTACTINFO</v>
      </c>
      <c r="H134" s="12"/>
      <c r="I134" s="12"/>
      <c r="J134" s="13">
        <v>45952</v>
      </c>
      <c r="K134" s="13">
        <v>2958465</v>
      </c>
      <c r="L134" s="11" t="str">
        <f t="shared" si="5"/>
        <v>INSERT INTO metadata_reference.file_schema VALUES('CUST_CST_CUAD_RE','CUAD_ADDR_1ST_LINE',NULL,'VARCHAR(50)',NULL,'PERSONAL_CONTACTINFO',NULL,NULL,'2025-10-22','9999-12-31',USER, CURRENT_TIMESTAMP(0));</v>
      </c>
    </row>
    <row r="135" spans="1:12" ht="15" customHeight="1">
      <c r="A135" s="11" t="str">
        <f>ETLMetadata!$C135</f>
        <v>CUST_CST_CUAD_RE</v>
      </c>
      <c r="B135" s="11" t="str">
        <f>ETLMetadata!$E135</f>
        <v>CUAD_ADDR_2ND_LINE</v>
      </c>
      <c r="C135" s="11" t="str">
        <f>IF(ISBLANK(ETLMetadata!$J135), "", ETLMetadata!$J135)</f>
        <v/>
      </c>
      <c r="D135" s="11" t="str">
        <f>ETLMetadata!$G135</f>
        <v>VARCHAR(50)</v>
      </c>
      <c r="E135" s="12"/>
      <c r="F135" s="12" t="s">
        <v>801</v>
      </c>
      <c r="G135" s="12" t="str">
        <f t="shared" si="4"/>
        <v>PERSONAL_CONTACTINFO</v>
      </c>
      <c r="H135" s="12"/>
      <c r="I135" s="12"/>
      <c r="J135" s="13">
        <v>45952</v>
      </c>
      <c r="K135" s="13">
        <v>2958465</v>
      </c>
      <c r="L135" s="11" t="str">
        <f t="shared" si="5"/>
        <v>INSERT INTO metadata_reference.file_schema VALUES('CUST_CST_CUAD_RE','CUAD_ADDR_2ND_LINE',NULL,'VARCHAR(50)',NULL,'PERSONAL_CONTACTINFO',NULL,NULL,'2025-10-22','9999-12-31',USER, CURRENT_TIMESTAMP(0));</v>
      </c>
    </row>
    <row r="136" spans="1:12" ht="15" customHeight="1">
      <c r="A136" s="11" t="str">
        <f>ETLMetadata!$C136</f>
        <v>CUST_CST_CUAD_RE</v>
      </c>
      <c r="B136" s="11" t="str">
        <f>ETLMetadata!$E136</f>
        <v>CUAD_AMR_1</v>
      </c>
      <c r="C136" s="11" t="str">
        <f>IF(ISBLANK(ETLMetadata!$J136), "", ETLMetadata!$J136)</f>
        <v>Y</v>
      </c>
      <c r="D136" s="11" t="str">
        <f>ETLMetadata!$G136</f>
        <v>CHAR(4)</v>
      </c>
      <c r="E136" s="12"/>
      <c r="F136" s="12"/>
      <c r="G136" s="12" t="str">
        <f t="shared" si="4"/>
        <v/>
      </c>
      <c r="H136" s="12"/>
      <c r="I136" s="12"/>
      <c r="J136" s="13">
        <v>45952</v>
      </c>
      <c r="K136" s="13">
        <v>2958465</v>
      </c>
      <c r="L136" s="11" t="str">
        <f t="shared" si="5"/>
        <v>INSERT INTO metadata_reference.file_schema VALUES('CUST_CST_CUAD_RE','CUAD_AMR_1','Y','CHAR(4)',NULL,NULL,NULL,NULL,'2025-10-22','9999-12-31',USER, CURRENT_TIMESTAMP(0));</v>
      </c>
    </row>
    <row r="137" spans="1:12" ht="15" customHeight="1">
      <c r="A137" s="11" t="str">
        <f>ETLMetadata!$C137</f>
        <v>CUST_CST_CUAD_RE</v>
      </c>
      <c r="B137" s="11" t="str">
        <f>ETLMetadata!$E137</f>
        <v>CUAD_AMR_2</v>
      </c>
      <c r="C137" s="11" t="str">
        <f>IF(ISBLANK(ETLMetadata!$J137), "", ETLMetadata!$J137)</f>
        <v/>
      </c>
      <c r="D137" s="11" t="str">
        <f>ETLMetadata!$G137</f>
        <v>CHAR(1)</v>
      </c>
      <c r="E137" s="12"/>
      <c r="F137" s="12"/>
      <c r="G137" s="12" t="str">
        <f t="shared" si="4"/>
        <v/>
      </c>
      <c r="H137" s="12"/>
      <c r="I137" s="12"/>
      <c r="J137" s="13">
        <v>45952</v>
      </c>
      <c r="K137" s="13">
        <v>2958465</v>
      </c>
      <c r="L137" s="11" t="str">
        <f t="shared" si="5"/>
        <v>INSERT INTO metadata_reference.file_schema VALUES('CUST_CST_CUAD_RE','CUAD_AMR_2',NULL,'CHAR(1)',NULL,NULL,NULL,NULL,'2025-10-22','9999-12-31',USER, CURRENT_TIMESTAMP(0));</v>
      </c>
    </row>
    <row r="138" spans="1:12" ht="15" customHeight="1">
      <c r="A138" s="11" t="str">
        <f>ETLMetadata!$C138</f>
        <v>CUST_CST_CUAD_RE</v>
      </c>
      <c r="B138" s="11" t="str">
        <f>ETLMetadata!$E138</f>
        <v>CUAD_AMR_3</v>
      </c>
      <c r="C138" s="11" t="str">
        <f>IF(ISBLANK(ETLMetadata!$J138), "", ETLMetadata!$J138)</f>
        <v/>
      </c>
      <c r="D138" s="11" t="str">
        <f>ETLMetadata!$G138</f>
        <v>CHAR(4)</v>
      </c>
      <c r="E138" s="12"/>
      <c r="F138" s="12"/>
      <c r="G138" s="12" t="str">
        <f t="shared" si="4"/>
        <v/>
      </c>
      <c r="H138" s="12"/>
      <c r="I138" s="12"/>
      <c r="J138" s="13">
        <v>45952</v>
      </c>
      <c r="K138" s="13">
        <v>2958465</v>
      </c>
      <c r="L138" s="11" t="str">
        <f t="shared" si="5"/>
        <v>INSERT INTO metadata_reference.file_schema VALUES('CUST_CST_CUAD_RE','CUAD_AMR_3',NULL,'CHAR(4)',NULL,NULL,NULL,NULL,'2025-10-22','9999-12-31',USER, CURRENT_TIMESTAMP(0));</v>
      </c>
    </row>
    <row r="139" spans="1:12" ht="15" customHeight="1">
      <c r="A139" s="11" t="str">
        <f>ETLMetadata!$C139</f>
        <v>CUST_CST_CUAD_RE</v>
      </c>
      <c r="B139" s="11" t="str">
        <f>ETLMetadata!$E139</f>
        <v>CUAD_AUS_POSTCODE</v>
      </c>
      <c r="C139" s="11" t="str">
        <f>IF(ISBLANK(ETLMetadata!$J139), "", ETLMetadata!$J139)</f>
        <v/>
      </c>
      <c r="D139" s="11" t="str">
        <f>ETLMetadata!$G139</f>
        <v>CHAR(4)</v>
      </c>
      <c r="E139" s="12"/>
      <c r="F139" s="12" t="s">
        <v>801</v>
      </c>
      <c r="G139" s="12" t="str">
        <f t="shared" si="4"/>
        <v>PERSONAL_CONTACTINFO</v>
      </c>
      <c r="H139" s="12"/>
      <c r="I139" s="12"/>
      <c r="J139" s="13">
        <v>45952</v>
      </c>
      <c r="K139" s="13">
        <v>2958465</v>
      </c>
      <c r="L139" s="11" t="str">
        <f t="shared" si="5"/>
        <v>INSERT INTO metadata_reference.file_schema VALUES('CUST_CST_CUAD_RE','CUAD_AUS_POSTCODE',NULL,'CHAR(4)',NULL,'PERSONAL_CONTACTINFO',NULL,NULL,'2025-10-22','9999-12-31',USER, CURRENT_TIMESTAMP(0));</v>
      </c>
    </row>
    <row r="140" spans="1:12" ht="15" customHeight="1">
      <c r="A140" s="11" t="str">
        <f>ETLMetadata!$C140</f>
        <v>CUST_CST_CUAD_RE</v>
      </c>
      <c r="B140" s="11" t="str">
        <f>ETLMetadata!$E140</f>
        <v>CUAD_CMTY_CODE</v>
      </c>
      <c r="C140" s="11" t="str">
        <f>IF(ISBLANK(ETLMetadata!$J140), "", ETLMetadata!$J140)</f>
        <v/>
      </c>
      <c r="D140" s="11" t="str">
        <f>ETLMetadata!$G140</f>
        <v>CHAR(4)</v>
      </c>
      <c r="E140" s="12"/>
      <c r="F140" s="12" t="s">
        <v>801</v>
      </c>
      <c r="G140" s="12" t="str">
        <f t="shared" si="4"/>
        <v>PERSONAL_CONTACTINFO</v>
      </c>
      <c r="H140" s="12"/>
      <c r="I140" s="12"/>
      <c r="J140" s="13">
        <v>45952</v>
      </c>
      <c r="K140" s="13">
        <v>2958465</v>
      </c>
      <c r="L140" s="11" t="str">
        <f t="shared" si="5"/>
        <v>INSERT INTO metadata_reference.file_schema VALUES('CUST_CST_CUAD_RE','CUAD_CMTY_CODE',NULL,'CHAR(4)',NULL,'PERSONAL_CONTACTINFO',NULL,NULL,'2025-10-22','9999-12-31',USER, CURRENT_TIMESTAMP(0));</v>
      </c>
    </row>
    <row r="141" spans="1:12" ht="15" customHeight="1">
      <c r="A141" s="11" t="str">
        <f>ETLMetadata!$C141</f>
        <v>CUST_CST_CUAD_RE</v>
      </c>
      <c r="B141" s="11" t="str">
        <f>ETLMetadata!$E141</f>
        <v>CUAD_DLVRY_PNT_ID</v>
      </c>
      <c r="C141" s="11" t="str">
        <f>IF(ISBLANK(ETLMetadata!$J141), "", ETLMetadata!$J141)</f>
        <v/>
      </c>
      <c r="D141" s="11" t="str">
        <f>ETLMetadata!$G141</f>
        <v>VARCHAR(8)</v>
      </c>
      <c r="E141" s="12"/>
      <c r="F141" s="12"/>
      <c r="G141" s="12" t="str">
        <f t="shared" si="4"/>
        <v/>
      </c>
      <c r="H141" s="12"/>
      <c r="I141" s="12"/>
      <c r="J141" s="13">
        <v>45952</v>
      </c>
      <c r="K141" s="13">
        <v>2958465</v>
      </c>
      <c r="L141" s="11" t="str">
        <f t="shared" si="5"/>
        <v>INSERT INTO metadata_reference.file_schema VALUES('CUST_CST_CUAD_RE','CUAD_DLVRY_PNT_ID',NULL,'VARCHAR(8)',NULL,NULL,NULL,NULL,'2025-10-22','9999-12-31',USER, CURRENT_TIMESTAMP(0));</v>
      </c>
    </row>
    <row r="142" spans="1:12" ht="15" customHeight="1">
      <c r="A142" s="11" t="str">
        <f>ETLMetadata!$C142</f>
        <v>CUST_CST_CUAD_RE</v>
      </c>
      <c r="B142" s="11" t="str">
        <f>ETLMetadata!$E142</f>
        <v>CUAD_EXT_ADDR_SRC_CODE</v>
      </c>
      <c r="C142" s="11" t="str">
        <f>IF(ISBLANK(ETLMetadata!$J142), "", ETLMetadata!$J142)</f>
        <v/>
      </c>
      <c r="D142" s="11" t="str">
        <f>ETLMetadata!$G142</f>
        <v>CHAR(3)</v>
      </c>
      <c r="E142" s="12"/>
      <c r="F142" s="12"/>
      <c r="G142" s="12" t="str">
        <f t="shared" si="4"/>
        <v/>
      </c>
      <c r="H142" s="12"/>
      <c r="I142" s="12"/>
      <c r="J142" s="13">
        <v>45952</v>
      </c>
      <c r="K142" s="13">
        <v>2958465</v>
      </c>
      <c r="L142" s="11" t="str">
        <f t="shared" si="5"/>
        <v>INSERT INTO metadata_reference.file_schema VALUES('CUST_CST_CUAD_RE','CUAD_EXT_ADDR_SRC_CODE',NULL,'CHAR(3)',NULL,NULL,NULL,NULL,'2025-10-22','9999-12-31',USER, CURRENT_TIMESTAMP(0));</v>
      </c>
    </row>
    <row r="143" spans="1:12" ht="15" customHeight="1">
      <c r="A143" s="11" t="str">
        <f>ETLMetadata!$C143</f>
        <v>CUST_CST_CUAD_RE</v>
      </c>
      <c r="B143" s="11" t="str">
        <f>ETLMetadata!$E143</f>
        <v>CUAD_GEO_ABS_MESH_BLOCK_ID</v>
      </c>
      <c r="C143" s="11" t="str">
        <f>IF(ISBLANK(ETLMetadata!$J143), "", ETLMetadata!$J143)</f>
        <v/>
      </c>
      <c r="D143" s="11" t="str">
        <f>ETLMetadata!$G143</f>
        <v>DECIMAL(11,0)</v>
      </c>
      <c r="E143" s="12"/>
      <c r="F143" s="12" t="s">
        <v>801</v>
      </c>
      <c r="G143" s="12" t="str">
        <f t="shared" si="4"/>
        <v>PERSONAL_CONTACTINFO</v>
      </c>
      <c r="H143" s="12"/>
      <c r="I143" s="12"/>
      <c r="J143" s="13">
        <v>45952</v>
      </c>
      <c r="K143" s="13">
        <v>2958465</v>
      </c>
      <c r="L143" s="11" t="str">
        <f t="shared" si="5"/>
        <v>INSERT INTO metadata_reference.file_schema VALUES('CUST_CST_CUAD_RE','CUAD_GEO_ABS_MESH_BLOCK_ID',NULL,'DECIMAL(11,0)',NULL,'PERSONAL_CONTACTINFO',NULL,NULL,'2025-10-22','9999-12-31',USER, CURRENT_TIMESTAMP(0));</v>
      </c>
    </row>
    <row r="144" spans="1:12" ht="15" customHeight="1">
      <c r="A144" s="11" t="str">
        <f>ETLMetadata!$C144</f>
        <v>CUST_CST_CUAD_RE</v>
      </c>
      <c r="B144" s="11" t="str">
        <f>ETLMetadata!$E144</f>
        <v>CUAD_GEO_BEST_LVL_CODE</v>
      </c>
      <c r="C144" s="11" t="str">
        <f>IF(ISBLANK(ETLMetadata!$J144), "", ETLMetadata!$J144)</f>
        <v/>
      </c>
      <c r="D144" s="11" t="str">
        <f>ETLMetadata!$G144</f>
        <v>CHAR(3)</v>
      </c>
      <c r="E144" s="12"/>
      <c r="F144" s="12"/>
      <c r="G144" s="12" t="str">
        <f t="shared" si="4"/>
        <v/>
      </c>
      <c r="H144" s="12"/>
      <c r="I144" s="12"/>
      <c r="J144" s="13">
        <v>45952</v>
      </c>
      <c r="K144" s="13">
        <v>2958465</v>
      </c>
      <c r="L144" s="11" t="str">
        <f t="shared" si="5"/>
        <v>INSERT INTO metadata_reference.file_schema VALUES('CUST_CST_CUAD_RE','CUAD_GEO_BEST_LVL_CODE',NULL,'CHAR(3)',NULL,NULL,NULL,NULL,'2025-10-22','9999-12-31',USER, CURRENT_TIMESTAMP(0));</v>
      </c>
    </row>
    <row r="145" spans="1:12" ht="15" customHeight="1">
      <c r="A145" s="11" t="str">
        <f>ETLMetadata!$C145</f>
        <v>CUST_CST_CUAD_RE</v>
      </c>
      <c r="B145" s="11" t="str">
        <f>ETLMetadata!$E145</f>
        <v>CUAD_GEO_CLK_ADDR_VLD_CODE</v>
      </c>
      <c r="C145" s="11" t="str">
        <f>IF(ISBLANK(ETLMetadata!$J145), "", ETLMetadata!$J145)</f>
        <v/>
      </c>
      <c r="D145" s="11" t="str">
        <f>ETLMetadata!$G145</f>
        <v>SMALLINT</v>
      </c>
      <c r="E145" s="12"/>
      <c r="F145" s="12"/>
      <c r="G145" s="12" t="str">
        <f t="shared" si="4"/>
        <v/>
      </c>
      <c r="H145" s="12"/>
      <c r="I145" s="12"/>
      <c r="J145" s="13">
        <v>45952</v>
      </c>
      <c r="K145" s="13">
        <v>2958465</v>
      </c>
      <c r="L145" s="11" t="str">
        <f t="shared" si="5"/>
        <v>INSERT INTO metadata_reference.file_schema VALUES('CUST_CST_CUAD_RE','CUAD_GEO_CLK_ADDR_VLD_CODE',NULL,'SMALLINT',NULL,NULL,NULL,NULL,'2025-10-22','9999-12-31',USER, CURRENT_TIMESTAMP(0));</v>
      </c>
    </row>
    <row r="146" spans="1:12" ht="15" customHeight="1">
      <c r="A146" s="11" t="str">
        <f>ETLMetadata!$C146</f>
        <v>CUST_CST_CUAD_RE</v>
      </c>
      <c r="B146" s="11" t="str">
        <f>ETLMetadata!$E146</f>
        <v>CUAD_GEO_CNFDNC_LVL_CODE</v>
      </c>
      <c r="C146" s="11" t="str">
        <f>IF(ISBLANK(ETLMetadata!$J146), "", ETLMetadata!$J146)</f>
        <v/>
      </c>
      <c r="D146" s="11" t="str">
        <f>ETLMetadata!$G146</f>
        <v>SMALLINT</v>
      </c>
      <c r="E146" s="12"/>
      <c r="F146" s="12"/>
      <c r="G146" s="12" t="str">
        <f t="shared" si="4"/>
        <v/>
      </c>
      <c r="H146" s="12"/>
      <c r="I146" s="12"/>
      <c r="J146" s="13">
        <v>45952</v>
      </c>
      <c r="K146" s="13">
        <v>2958465</v>
      </c>
      <c r="L146" s="11" t="str">
        <f t="shared" si="5"/>
        <v>INSERT INTO metadata_reference.file_schema VALUES('CUST_CST_CUAD_RE','CUAD_GEO_CNFDNC_LVL_CODE',NULL,'SMALLINT',NULL,NULL,NULL,NULL,'2025-10-22','9999-12-31',USER, CURRENT_TIMESTAMP(0));</v>
      </c>
    </row>
    <row r="147" spans="1:12" ht="15" customHeight="1">
      <c r="A147" s="11" t="str">
        <f>ETLMetadata!$C147</f>
        <v>CUST_CST_CUAD_RE</v>
      </c>
      <c r="B147" s="11" t="str">
        <f>ETLMetadata!$E147</f>
        <v>CUAD_GEO_GNAF_PERSIST_ID</v>
      </c>
      <c r="C147" s="11" t="str">
        <f>IF(ISBLANK(ETLMetadata!$J147), "", ETLMetadata!$J147)</f>
        <v/>
      </c>
      <c r="D147" s="11" t="str">
        <f>ETLMetadata!$G147</f>
        <v>VARCHAR(14)</v>
      </c>
      <c r="E147" s="12"/>
      <c r="F147" s="12" t="s">
        <v>799</v>
      </c>
      <c r="G147" s="12" t="str">
        <f t="shared" si="4"/>
        <v>PERSONAL_IDENTITYINFOINDIRECT</v>
      </c>
      <c r="H147" s="12"/>
      <c r="I147" s="12"/>
      <c r="J147" s="13">
        <v>45952</v>
      </c>
      <c r="K147" s="13">
        <v>2958465</v>
      </c>
      <c r="L147" s="11" t="str">
        <f t="shared" si="5"/>
        <v>INSERT INTO metadata_reference.file_schema VALUES('CUST_CST_CUAD_RE','CUAD_GEO_GNAF_PERSIST_ID',NULL,'VARCHAR(14)',NULL,'PERSONAL_IDENTITYINFOINDIRECT',NULL,NULL,'2025-10-22','9999-12-31',USER, CURRENT_TIMESTAMP(0));</v>
      </c>
    </row>
    <row r="148" spans="1:12" ht="15" customHeight="1">
      <c r="A148" s="11" t="str">
        <f>ETLMetadata!$C148</f>
        <v>CUST_CST_CUAD_RE</v>
      </c>
      <c r="B148" s="11" t="str">
        <f>ETLMetadata!$E148</f>
        <v>CUAD_GEO_LAT_COORD</v>
      </c>
      <c r="C148" s="11" t="str">
        <f>IF(ISBLANK(ETLMetadata!$J148), "", ETLMetadata!$J148)</f>
        <v/>
      </c>
      <c r="D148" s="11" t="str">
        <f>ETLMetadata!$G148</f>
        <v>VARCHAR(13)</v>
      </c>
      <c r="E148" s="12"/>
      <c r="F148" s="12" t="s">
        <v>801</v>
      </c>
      <c r="G148" s="12" t="str">
        <f t="shared" si="4"/>
        <v>PERSONAL_CONTACTINFO</v>
      </c>
      <c r="H148" s="12"/>
      <c r="I148" s="12"/>
      <c r="J148" s="13">
        <v>45952</v>
      </c>
      <c r="K148" s="13">
        <v>2958465</v>
      </c>
      <c r="L148" s="11" t="str">
        <f t="shared" si="5"/>
        <v>INSERT INTO metadata_reference.file_schema VALUES('CUST_CST_CUAD_RE','CUAD_GEO_LAT_COORD',NULL,'VARCHAR(13)',NULL,'PERSONAL_CONTACTINFO',NULL,NULL,'2025-10-22','9999-12-31',USER, CURRENT_TIMESTAMP(0));</v>
      </c>
    </row>
    <row r="149" spans="1:12" ht="15" customHeight="1">
      <c r="A149" s="11" t="str">
        <f>ETLMetadata!$C149</f>
        <v>CUST_CST_CUAD_RE</v>
      </c>
      <c r="B149" s="11" t="str">
        <f>ETLMetadata!$E149</f>
        <v>CUAD_GEO_LOCN_ID</v>
      </c>
      <c r="C149" s="11" t="str">
        <f>IF(ISBLANK(ETLMetadata!$J149), "", ETLMetadata!$J149)</f>
        <v/>
      </c>
      <c r="D149" s="11" t="str">
        <f>ETLMetadata!$G149</f>
        <v>VARCHAR(21)</v>
      </c>
      <c r="E149" s="12"/>
      <c r="F149" s="12"/>
      <c r="G149" s="12" t="str">
        <f t="shared" si="4"/>
        <v/>
      </c>
      <c r="H149" s="12"/>
      <c r="I149" s="12"/>
      <c r="J149" s="13">
        <v>45952</v>
      </c>
      <c r="K149" s="13">
        <v>2958465</v>
      </c>
      <c r="L149" s="11" t="str">
        <f t="shared" si="5"/>
        <v>INSERT INTO metadata_reference.file_schema VALUES('CUST_CST_CUAD_RE','CUAD_GEO_LOCN_ID',NULL,'VARCHAR(21)',NULL,NULL,NULL,NULL,'2025-10-22','9999-12-31',USER, CURRENT_TIMESTAMP(0));</v>
      </c>
    </row>
    <row r="150" spans="1:12" ht="15" customHeight="1">
      <c r="A150" s="11" t="str">
        <f>ETLMetadata!$C150</f>
        <v>CUST_CST_CUAD_RE</v>
      </c>
      <c r="B150" s="11" t="str">
        <f>ETLMetadata!$E150</f>
        <v>CUAD_GEO_LONG_COORD</v>
      </c>
      <c r="C150" s="11" t="str">
        <f>IF(ISBLANK(ETLMetadata!$J150), "", ETLMetadata!$J150)</f>
        <v/>
      </c>
      <c r="D150" s="11" t="str">
        <f>ETLMetadata!$G150</f>
        <v>VARCHAR(13)</v>
      </c>
      <c r="E150" s="12"/>
      <c r="F150" s="12" t="s">
        <v>801</v>
      </c>
      <c r="G150" s="12" t="str">
        <f t="shared" si="4"/>
        <v>PERSONAL_CONTACTINFO</v>
      </c>
      <c r="H150" s="12"/>
      <c r="I150" s="12"/>
      <c r="J150" s="13">
        <v>45952</v>
      </c>
      <c r="K150" s="13">
        <v>2958465</v>
      </c>
      <c r="L150" s="11" t="str">
        <f t="shared" si="5"/>
        <v>INSERT INTO metadata_reference.file_schema VALUES('CUST_CST_CUAD_RE','CUAD_GEO_LONG_COORD',NULL,'VARCHAR(13)',NULL,'PERSONAL_CONTACTINFO',NULL,NULL,'2025-10-22','9999-12-31',USER, CURRENT_TIMESTAMP(0));</v>
      </c>
    </row>
    <row r="151" spans="1:12" ht="15" customHeight="1">
      <c r="A151" s="11" t="str">
        <f>ETLMetadata!$C151</f>
        <v>CUST_CST_CUAD_RE</v>
      </c>
      <c r="B151" s="11" t="str">
        <f>ETLMetadata!$E151</f>
        <v>CUAD_GEO_LVL_TYPE_CODE</v>
      </c>
      <c r="C151" s="11" t="str">
        <f>IF(ISBLANK(ETLMetadata!$J151), "", ETLMetadata!$J151)</f>
        <v/>
      </c>
      <c r="D151" s="11" t="str">
        <f>ETLMetadata!$G151</f>
        <v>SMALLINT</v>
      </c>
      <c r="E151" s="12"/>
      <c r="F151" s="12"/>
      <c r="G151" s="12" t="str">
        <f t="shared" si="4"/>
        <v/>
      </c>
      <c r="H151" s="12"/>
      <c r="I151" s="12"/>
      <c r="J151" s="13">
        <v>45952</v>
      </c>
      <c r="K151" s="13">
        <v>2958465</v>
      </c>
      <c r="L151" s="11" t="str">
        <f t="shared" si="5"/>
        <v>INSERT INTO metadata_reference.file_schema VALUES('CUST_CST_CUAD_RE','CUAD_GEO_LVL_TYPE_CODE',NULL,'SMALLINT',NULL,NULL,NULL,NULL,'2025-10-22','9999-12-31',USER, CURRENT_TIMESTAMP(0));</v>
      </c>
    </row>
    <row r="152" spans="1:12" ht="15" customHeight="1">
      <c r="A152" s="11" t="str">
        <f>ETLMetadata!$C152</f>
        <v>CUST_CST_CUAD_RE</v>
      </c>
      <c r="B152" s="11" t="str">
        <f>ETLMetadata!$E152</f>
        <v>CUAD_GEO_PRCS_DATE</v>
      </c>
      <c r="C152" s="11" t="str">
        <f>IF(ISBLANK(ETLMetadata!$J152), "", ETLMetadata!$J152)</f>
        <v/>
      </c>
      <c r="D152" s="11" t="str">
        <f>ETLMetadata!$G152</f>
        <v>DATE</v>
      </c>
      <c r="E152" s="12"/>
      <c r="F152" s="12"/>
      <c r="G152" s="12" t="str">
        <f t="shared" si="4"/>
        <v/>
      </c>
      <c r="H152" s="12"/>
      <c r="I152" s="12"/>
      <c r="J152" s="13">
        <v>45952</v>
      </c>
      <c r="K152" s="13">
        <v>2958465</v>
      </c>
      <c r="L152" s="11" t="str">
        <f t="shared" si="5"/>
        <v>INSERT INTO metadata_reference.file_schema VALUES('CUST_CST_CUAD_RE','CUAD_GEO_PRCS_DATE',NULL,'DATE',NULL,NULL,NULL,NULL,'2025-10-22','9999-12-31',USER, CURRENT_TIMESTAMP(0));</v>
      </c>
    </row>
    <row r="153" spans="1:12" ht="15" customHeight="1">
      <c r="A153" s="11" t="str">
        <f>ETLMetadata!$C153</f>
        <v>CUST_CST_CUAD_RE</v>
      </c>
      <c r="B153" s="11" t="str">
        <f>ETLMetadata!$E153</f>
        <v>CUAD_GEO_PRCS_DATE_ORIG</v>
      </c>
      <c r="C153" s="11" t="str">
        <f>IF(ISBLANK(ETLMetadata!$J153), "", ETLMetadata!$J153)</f>
        <v/>
      </c>
      <c r="D153" s="11" t="str">
        <f>ETLMetadata!$G153</f>
        <v>INTEGER</v>
      </c>
      <c r="E153" s="12"/>
      <c r="F153" s="12"/>
      <c r="G153" s="12" t="str">
        <f t="shared" si="4"/>
        <v/>
      </c>
      <c r="H153" s="12"/>
      <c r="I153" s="12"/>
      <c r="J153" s="13">
        <v>45952</v>
      </c>
      <c r="K153" s="13">
        <v>2958465</v>
      </c>
      <c r="L153" s="11" t="str">
        <f t="shared" si="5"/>
        <v>INSERT INTO metadata_reference.file_schema VALUES('CUST_CST_CUAD_RE','CUAD_GEO_PRCS_DATE_ORIG',NULL,'INTEGER',NULL,NULL,NULL,NULL,'2025-10-22','9999-12-31',USER, CURRENT_TIMESTAMP(0));</v>
      </c>
    </row>
    <row r="154" spans="1:12" ht="15" customHeight="1">
      <c r="A154" s="11" t="str">
        <f>ETLMetadata!$C154</f>
        <v>CUST_CST_CUAD_RE</v>
      </c>
      <c r="B154" s="11" t="str">
        <f>ETLMetadata!$E154</f>
        <v>CUAD_GEO_REF_SRC_CODE</v>
      </c>
      <c r="C154" s="11" t="str">
        <f>IF(ISBLANK(ETLMetadata!$J154), "", ETLMetadata!$J154)</f>
        <v/>
      </c>
      <c r="D154" s="11" t="str">
        <f>ETLMetadata!$G154</f>
        <v>CHAR(4)</v>
      </c>
      <c r="E154" s="12"/>
      <c r="F154" s="12"/>
      <c r="G154" s="12" t="str">
        <f t="shared" si="4"/>
        <v/>
      </c>
      <c r="H154" s="12"/>
      <c r="I154" s="12"/>
      <c r="J154" s="13">
        <v>45952</v>
      </c>
      <c r="K154" s="13">
        <v>2958465</v>
      </c>
      <c r="L154" s="11" t="str">
        <f t="shared" si="5"/>
        <v>INSERT INTO metadata_reference.file_schema VALUES('CUST_CST_CUAD_RE','CUAD_GEO_REF_SRC_CODE',NULL,'CHAR(4)',NULL,NULL,NULL,NULL,'2025-10-22','9999-12-31',USER, CURRENT_TIMESTAMP(0));</v>
      </c>
    </row>
    <row r="155" spans="1:12" ht="15" customHeight="1">
      <c r="A155" s="11" t="str">
        <f>ETLMetadata!$C155</f>
        <v>CUST_CST_CUAD_RE</v>
      </c>
      <c r="B155" s="11" t="str">
        <f>ETLMetadata!$E155</f>
        <v>CUAD_GEO_RELY_LVL_CODE</v>
      </c>
      <c r="C155" s="11" t="str">
        <f>IF(ISBLANK(ETLMetadata!$J155), "", ETLMetadata!$J155)</f>
        <v/>
      </c>
      <c r="D155" s="11" t="str">
        <f>ETLMetadata!$G155</f>
        <v>SMALLINT</v>
      </c>
      <c r="E155" s="12"/>
      <c r="F155" s="12"/>
      <c r="G155" s="12" t="str">
        <f t="shared" si="4"/>
        <v/>
      </c>
      <c r="H155" s="12"/>
      <c r="I155" s="12"/>
      <c r="J155" s="13">
        <v>45952</v>
      </c>
      <c r="K155" s="13">
        <v>2958465</v>
      </c>
      <c r="L155" s="11" t="str">
        <f t="shared" si="5"/>
        <v>INSERT INTO metadata_reference.file_schema VALUES('CUST_CST_CUAD_RE','CUAD_GEO_RELY_LVL_CODE',NULL,'SMALLINT',NULL,NULL,NULL,NULL,'2025-10-22','9999-12-31',USER, CURRENT_TIMESTAMP(0));</v>
      </c>
    </row>
    <row r="156" spans="1:12" ht="15" customHeight="1">
      <c r="A156" s="11" t="str">
        <f>ETLMetadata!$C156</f>
        <v>CUST_CST_CUAD_RE</v>
      </c>
      <c r="B156" s="11" t="str">
        <f>ETLMetadata!$E156</f>
        <v>CUAD_OSEAS_ADDR_3RD_LINE</v>
      </c>
      <c r="C156" s="11" t="str">
        <f>IF(ISBLANK(ETLMetadata!$J156), "", ETLMetadata!$J156)</f>
        <v/>
      </c>
      <c r="D156" s="11" t="str">
        <f>ETLMetadata!$G156</f>
        <v>VARCHAR(50)</v>
      </c>
      <c r="E156" s="12"/>
      <c r="F156" s="12"/>
      <c r="G156" s="12" t="str">
        <f t="shared" si="4"/>
        <v/>
      </c>
      <c r="H156" s="12"/>
      <c r="I156" s="12"/>
      <c r="J156" s="13">
        <v>45952</v>
      </c>
      <c r="K156" s="13">
        <v>2958465</v>
      </c>
      <c r="L156" s="11" t="str">
        <f t="shared" si="5"/>
        <v>INSERT INTO metadata_reference.file_schema VALUES('CUST_CST_CUAD_RE','CUAD_OSEAS_ADDR_3RD_LINE',NULL,'VARCHAR(50)',NULL,NULL,NULL,NULL,'2025-10-22','9999-12-31',USER, CURRENT_TIMESTAMP(0));</v>
      </c>
    </row>
    <row r="157" spans="1:12" ht="15" customHeight="1">
      <c r="A157" s="11" t="str">
        <f>ETLMetadata!$C157</f>
        <v>CUST_CST_CUAD_RE</v>
      </c>
      <c r="B157" s="11" t="str">
        <f>ETLMetadata!$E157</f>
        <v>CUAD_CTRY_CODE</v>
      </c>
      <c r="C157" s="11" t="str">
        <f>IF(ISBLANK(ETLMetadata!$J157), "", ETLMetadata!$J157)</f>
        <v/>
      </c>
      <c r="D157" s="11" t="str">
        <f>ETLMetadata!$G157</f>
        <v>CHAR(2)</v>
      </c>
      <c r="E157" s="12"/>
      <c r="F157" s="12" t="s">
        <v>801</v>
      </c>
      <c r="G157" s="12" t="str">
        <f t="shared" si="4"/>
        <v>PERSONAL_CONTACTINFO</v>
      </c>
      <c r="H157" s="12"/>
      <c r="I157" s="12"/>
      <c r="J157" s="13">
        <v>45952</v>
      </c>
      <c r="K157" s="13">
        <v>2958465</v>
      </c>
      <c r="L157" s="11" t="str">
        <f t="shared" si="5"/>
        <v>INSERT INTO metadata_reference.file_schema VALUES('CUST_CST_CUAD_RE','CUAD_CTRY_CODE',NULL,'CHAR(2)',NULL,'PERSONAL_CONTACTINFO',NULL,NULL,'2025-10-22','9999-12-31',USER, CURRENT_TIMESTAMP(0));</v>
      </c>
    </row>
    <row r="158" spans="1:12" ht="15" customHeight="1">
      <c r="A158" s="11" t="str">
        <f>ETLMetadata!$C158</f>
        <v>CUST_CST_CUAD_RE</v>
      </c>
      <c r="B158" s="11" t="str">
        <f>ETLMetadata!$E158</f>
        <v>CUAD_OSEAS_POSTCODE</v>
      </c>
      <c r="C158" s="11" t="str">
        <f>IF(ISBLANK(ETLMetadata!$J158), "", ETLMetadata!$J158)</f>
        <v/>
      </c>
      <c r="D158" s="11" t="str">
        <f>ETLMetadata!$G158</f>
        <v>VARCHAR(12)</v>
      </c>
      <c r="E158" s="12"/>
      <c r="F158" s="12" t="s">
        <v>801</v>
      </c>
      <c r="G158" s="12" t="str">
        <f t="shared" si="4"/>
        <v>PERSONAL_CONTACTINFO</v>
      </c>
      <c r="H158" s="12"/>
      <c r="I158" s="12"/>
      <c r="J158" s="13">
        <v>45952</v>
      </c>
      <c r="K158" s="13">
        <v>2958465</v>
      </c>
      <c r="L158" s="11" t="str">
        <f t="shared" si="5"/>
        <v>INSERT INTO metadata_reference.file_schema VALUES('CUST_CST_CUAD_RE','CUAD_OSEAS_POSTCODE',NULL,'VARCHAR(12)',NULL,'PERSONAL_CONTACTINFO',NULL,NULL,'2025-10-22','9999-12-31',USER, CURRENT_TIMESTAMP(0));</v>
      </c>
    </row>
    <row r="159" spans="1:12" ht="15" customHeight="1">
      <c r="A159" s="11" t="str">
        <f>ETLMetadata!$C159</f>
        <v>CUST_CST_CUAD_RE</v>
      </c>
      <c r="B159" s="11" t="str">
        <f>ETLMetadata!$E159</f>
        <v>CUAD_REMOTE_AREA_IND</v>
      </c>
      <c r="C159" s="11" t="str">
        <f>IF(ISBLANK(ETLMetadata!$J159), "", ETLMetadata!$J159)</f>
        <v/>
      </c>
      <c r="D159" s="11" t="str">
        <f>ETLMetadata!$G159</f>
        <v>CHAR(1)</v>
      </c>
      <c r="E159" s="12"/>
      <c r="F159" s="12"/>
      <c r="G159" s="12" t="str">
        <f t="shared" si="4"/>
        <v/>
      </c>
      <c r="H159" s="12"/>
      <c r="I159" s="12"/>
      <c r="J159" s="13">
        <v>45952</v>
      </c>
      <c r="K159" s="13">
        <v>2958465</v>
      </c>
      <c r="L159" s="11" t="str">
        <f t="shared" si="5"/>
        <v>INSERT INTO metadata_reference.file_schema VALUES('CUST_CST_CUAD_RE','CUAD_REMOTE_AREA_IND',NULL,'CHAR(1)',NULL,NULL,NULL,NULL,'2025-10-22','9999-12-31',USER, CURRENT_TIMESTAMP(0));</v>
      </c>
    </row>
    <row r="160" spans="1:12" ht="15" customHeight="1">
      <c r="A160" s="11" t="str">
        <f>ETLMetadata!$C160</f>
        <v>CUST_CST_CUAD_RE</v>
      </c>
      <c r="B160" s="11" t="str">
        <f>ETLMetadata!$E160</f>
        <v>CUAD_STATE_CODE</v>
      </c>
      <c r="C160" s="11" t="str">
        <f>IF(ISBLANK(ETLMetadata!$J160), "", ETLMetadata!$J160)</f>
        <v/>
      </c>
      <c r="D160" s="11" t="str">
        <f>ETLMetadata!$G160</f>
        <v>CHAR(3)</v>
      </c>
      <c r="E160" s="12"/>
      <c r="F160" s="12" t="s">
        <v>801</v>
      </c>
      <c r="G160" s="12" t="str">
        <f t="shared" si="4"/>
        <v>PERSONAL_CONTACTINFO</v>
      </c>
      <c r="H160" s="12"/>
      <c r="I160" s="12"/>
      <c r="J160" s="13">
        <v>45952</v>
      </c>
      <c r="K160" s="13">
        <v>2958465</v>
      </c>
      <c r="L160" s="11" t="str">
        <f t="shared" si="5"/>
        <v>INSERT INTO metadata_reference.file_schema VALUES('CUST_CST_CUAD_RE','CUAD_STATE_CODE',NULL,'CHAR(3)',NULL,'PERSONAL_CONTACTINFO',NULL,NULL,'2025-10-22','9999-12-31',USER, CURRENT_TIMESTAMP(0));</v>
      </c>
    </row>
    <row r="161" spans="1:12" ht="15" customHeight="1">
      <c r="A161" s="11" t="str">
        <f>ETLMetadata!$C161</f>
        <v>CUST_CST_CUAD_RE</v>
      </c>
      <c r="B161" s="11" t="str">
        <f>ETLMetadata!$E161</f>
        <v>CUAD_SUBURB_LOCALITY_NAME</v>
      </c>
      <c r="C161" s="11" t="str">
        <f>IF(ISBLANK(ETLMetadata!$J161), "", ETLMetadata!$J161)</f>
        <v/>
      </c>
      <c r="D161" s="11" t="str">
        <f>ETLMetadata!$G161</f>
        <v>VARCHAR(50)</v>
      </c>
      <c r="E161" s="12"/>
      <c r="F161" s="12" t="s">
        <v>801</v>
      </c>
      <c r="G161" s="12" t="str">
        <f t="shared" si="4"/>
        <v>PERSONAL_CONTACTINFO</v>
      </c>
      <c r="H161" s="12"/>
      <c r="I161" s="12"/>
      <c r="J161" s="13">
        <v>45952</v>
      </c>
      <c r="K161" s="13">
        <v>2958465</v>
      </c>
      <c r="L161" s="11" t="str">
        <f t="shared" si="5"/>
        <v>INSERT INTO metadata_reference.file_schema VALUES('CUST_CST_CUAD_RE','CUAD_SUBURB_LOCALITY_NAME',NULL,'VARCHAR(50)',NULL,'PERSONAL_CONTACTINFO',NULL,NULL,'2025-10-22','9999-12-31',USER, CURRENT_TIMESTAMP(0));</v>
      </c>
    </row>
    <row r="162" spans="1:12" ht="15" customHeight="1">
      <c r="A162" s="11" t="str">
        <f>ETLMetadata!$C162</f>
        <v>CUST_CST_CUAD_RE</v>
      </c>
      <c r="B162" s="11" t="str">
        <f>ETLMetadata!$E162</f>
        <v>CUAD_TEMP_POST_ADDR_IND</v>
      </c>
      <c r="C162" s="11" t="str">
        <f>IF(ISBLANK(ETLMetadata!$J162), "", ETLMetadata!$J162)</f>
        <v/>
      </c>
      <c r="D162" s="11" t="str">
        <f>ETLMetadata!$G162</f>
        <v>CHAR(1)</v>
      </c>
      <c r="E162" s="12"/>
      <c r="F162" s="12"/>
      <c r="G162" s="12" t="str">
        <f t="shared" si="4"/>
        <v/>
      </c>
      <c r="H162" s="12"/>
      <c r="I162" s="12"/>
      <c r="J162" s="13">
        <v>45952</v>
      </c>
      <c r="K162" s="13">
        <v>2958465</v>
      </c>
      <c r="L162" s="11" t="str">
        <f t="shared" si="5"/>
        <v>INSERT INTO metadata_reference.file_schema VALUES('CUST_CST_CUAD_RE','CUAD_TEMP_POST_ADDR_IND',NULL,'CHAR(1)',NULL,NULL,NULL,NULL,'2025-10-22','9999-12-31',USER, CURRENT_TIMESTAMP(0));</v>
      </c>
    </row>
    <row r="163" spans="1:12" ht="15" customHeight="1">
      <c r="A163" s="11" t="str">
        <f>ETLMetadata!$C163</f>
        <v>CUST_CST_CUAD_RE</v>
      </c>
      <c r="B163" s="11" t="str">
        <f>ETLMetadata!$E163</f>
        <v>AMR1_RISL_DTS</v>
      </c>
      <c r="C163" s="11" t="str">
        <f>IF(ISBLANK(ETLMetadata!$J163), "", ETLMetadata!$J163)</f>
        <v/>
      </c>
      <c r="D163" s="11" t="str">
        <f>ETLMetadata!$G163</f>
        <v>TIMESTAMP(6)</v>
      </c>
      <c r="E163" s="12"/>
      <c r="F163" s="12"/>
      <c r="G163" s="12" t="str">
        <f t="shared" si="4"/>
        <v/>
      </c>
      <c r="H163" s="12"/>
      <c r="I163" s="12"/>
      <c r="J163" s="13">
        <v>45952</v>
      </c>
      <c r="K163" s="13">
        <v>2958465</v>
      </c>
      <c r="L163" s="11" t="str">
        <f t="shared" si="5"/>
        <v>INSERT INTO metadata_reference.file_schema VALUES('CUST_CST_CUAD_RE','AMR1_RISL_DTS',NULL,'TIMESTAMP(6)',NULL,NULL,NULL,NULL,'2025-10-22','9999-12-31',USER, CURRENT_TIMESTAMP(0));</v>
      </c>
    </row>
    <row r="164" spans="1:12" ht="15" customHeight="1">
      <c r="A164" s="11" t="str">
        <f>ETLMetadata!$C164</f>
        <v>CUST_CST_CUAD_RE</v>
      </c>
      <c r="B164" s="11" t="str">
        <f>ETLMetadata!$E164</f>
        <v>AMR3_RISL_DTS</v>
      </c>
      <c r="C164" s="11" t="str">
        <f>IF(ISBLANK(ETLMetadata!$J164), "", ETLMetadata!$J164)</f>
        <v/>
      </c>
      <c r="D164" s="11" t="str">
        <f>ETLMetadata!$G164</f>
        <v>TIMESTAMP(6)</v>
      </c>
      <c r="E164" s="12"/>
      <c r="F164" s="12"/>
      <c r="G164" s="12" t="str">
        <f t="shared" si="4"/>
        <v/>
      </c>
      <c r="H164" s="12"/>
      <c r="I164" s="12"/>
      <c r="J164" s="13">
        <v>45952</v>
      </c>
      <c r="K164" s="13">
        <v>2958465</v>
      </c>
      <c r="L164" s="11" t="str">
        <f t="shared" si="5"/>
        <v>INSERT INTO metadata_reference.file_schema VALUES('CUST_CST_CUAD_RE','AMR3_RISL_DTS',NULL,'TIMESTAMP(6)',NULL,NULL,NULL,NULL,'2025-10-22','9999-12-31',USER, CURRENT_TIMESTAMP(0));</v>
      </c>
    </row>
    <row r="165" spans="1:12" ht="15" customHeight="1">
      <c r="A165" s="11" t="str">
        <f>ETLMetadata!$C165</f>
        <v>CUST_CST_CUAD_RE</v>
      </c>
      <c r="B165" s="11" t="str">
        <f>ETLMetadata!$E165</f>
        <v>LOC_ID</v>
      </c>
      <c r="C165" s="11" t="str">
        <f>IF(ISBLANK(ETLMetadata!$J165), "", ETLMetadata!$J165)</f>
        <v>Y</v>
      </c>
      <c r="D165" s="11" t="str">
        <f>ETLMetadata!$G165</f>
        <v>INTEGER</v>
      </c>
      <c r="E165" s="12"/>
      <c r="F165" s="12"/>
      <c r="G165" s="12" t="str">
        <f t="shared" si="4"/>
        <v/>
      </c>
      <c r="H165" s="12"/>
      <c r="I165" s="12"/>
      <c r="J165" s="13">
        <v>45952</v>
      </c>
      <c r="K165" s="13">
        <v>2958465</v>
      </c>
      <c r="L165" s="11" t="str">
        <f t="shared" si="5"/>
        <v>INSERT INTO metadata_reference.file_schema VALUES('CUST_CST_CUAD_RE','LOC_ID','Y','INTEGER',NULL,NULL,NULL,NULL,'2025-10-22','9999-12-31',USER, CURRENT_TIMESTAMP(0));</v>
      </c>
    </row>
    <row r="166" spans="1:12" ht="15" customHeight="1">
      <c r="A166" s="11" t="str">
        <f>ETLMetadata!$C166</f>
        <v>CUST_CST_CUAD_RE</v>
      </c>
      <c r="B166" s="11" t="str">
        <f>ETLMetadata!$E166</f>
        <v>PARTY_ID</v>
      </c>
      <c r="C166" s="11" t="str">
        <f>IF(ISBLANK(ETLMetadata!$J166), "", ETLMetadata!$J166)</f>
        <v/>
      </c>
      <c r="D166" s="11" t="str">
        <f>ETLMetadata!$G166</f>
        <v>INTEGER</v>
      </c>
      <c r="E166" s="12"/>
      <c r="F166" s="12"/>
      <c r="G166" s="12" t="str">
        <f t="shared" si="4"/>
        <v/>
      </c>
      <c r="H166" s="12"/>
      <c r="I166" s="12"/>
      <c r="J166" s="13">
        <v>45952</v>
      </c>
      <c r="K166" s="13">
        <v>2958465</v>
      </c>
      <c r="L166" s="11" t="str">
        <f t="shared" si="5"/>
        <v>INSERT INTO metadata_reference.file_schema VALUES('CUST_CST_CUAD_RE','PARTY_ID',NULL,'INTEGER',NULL,NULL,NULL,NULL,'2025-10-22','9999-12-31',USER, CURRENT_TIMESTAMP(0));</v>
      </c>
    </row>
    <row r="167" spans="1:12" ht="15" customHeight="1">
      <c r="A167" s="11" t="str">
        <f>ETLMetadata!$C167</f>
        <v>CUST_CST_CUAD_RE</v>
      </c>
      <c r="B167" s="11" t="str">
        <f>ETLMetadata!$E167</f>
        <v>PARTY_ROLE_ID</v>
      </c>
      <c r="C167" s="11" t="str">
        <f>IF(ISBLANK(ETLMetadata!$J167), "", ETLMetadata!$J167)</f>
        <v/>
      </c>
      <c r="D167" s="11" t="str">
        <f>ETLMetadata!$G167</f>
        <v>INTEGER</v>
      </c>
      <c r="E167" s="12"/>
      <c r="F167" s="12"/>
      <c r="G167" s="12" t="str">
        <f t="shared" si="4"/>
        <v/>
      </c>
      <c r="H167" s="12"/>
      <c r="I167" s="12"/>
      <c r="J167" s="13">
        <v>45952</v>
      </c>
      <c r="K167" s="13">
        <v>2958465</v>
      </c>
      <c r="L167" s="11" t="str">
        <f t="shared" si="5"/>
        <v>INSERT INTO metadata_reference.file_schema VALUES('CUST_CST_CUAD_RE','PARTY_ROLE_ID',NULL,'INTEGER',NULL,NULL,NULL,NULL,'2025-10-22','9999-12-31',USER, CURRENT_TIMESTAMP(0));</v>
      </c>
    </row>
    <row r="168" spans="1:12" ht="15" customHeight="1">
      <c r="A168" s="11" t="str">
        <f>ETLMetadata!$C168</f>
        <v>CUST_CST_CUAD_RE</v>
      </c>
      <c r="B168" s="11" t="str">
        <f>ETLMetadata!$E168</f>
        <v>GEOCODE_LOC_ID</v>
      </c>
      <c r="C168" s="11" t="str">
        <f>IF(ISBLANK(ETLMetadata!$J168), "", ETLMetadata!$J168)</f>
        <v/>
      </c>
      <c r="D168" s="11" t="str">
        <f>ETLMetadata!$G168</f>
        <v>INTEGER</v>
      </c>
      <c r="E168" s="12"/>
      <c r="F168" s="12" t="s">
        <v>801</v>
      </c>
      <c r="G168" s="12" t="str">
        <f t="shared" si="4"/>
        <v>PERSONAL_CONTACTINFO</v>
      </c>
      <c r="H168" s="12"/>
      <c r="I168" s="12"/>
      <c r="J168" s="13">
        <v>45952</v>
      </c>
      <c r="K168" s="13">
        <v>2958465</v>
      </c>
      <c r="L168" s="11" t="str">
        <f t="shared" si="5"/>
        <v>INSERT INTO metadata_reference.file_schema VALUES('CUST_CST_CUAD_RE','GEOCODE_LOC_ID',NULL,'INTEGER',NULL,'PERSONAL_CONTACTINFO',NULL,NULL,'2025-10-22','9999-12-31',USER, CURRENT_TIMESTAMP(0));</v>
      </c>
    </row>
    <row r="169" spans="1:12" ht="15" customHeight="1">
      <c r="A169" s="11" t="str">
        <f>ETLMetadata!$C169</f>
        <v>CUST_CST_CUAD_RE</v>
      </c>
      <c r="B169" s="11" t="str">
        <f>ETLMetadata!$E169</f>
        <v>ERROR_COUNT</v>
      </c>
      <c r="C169" s="11" t="str">
        <f>IF(ISBLANK(ETLMetadata!$J169), "", ETLMetadata!$J169)</f>
        <v/>
      </c>
      <c r="D169" s="11" t="str">
        <f>ETLMetadata!$G169</f>
        <v>SMALLINT</v>
      </c>
      <c r="E169" s="12"/>
      <c r="F169" s="12"/>
      <c r="G169" s="12" t="str">
        <f t="shared" si="4"/>
        <v/>
      </c>
      <c r="H169" s="12"/>
      <c r="I169" s="12"/>
      <c r="J169" s="13">
        <v>45952</v>
      </c>
      <c r="K169" s="13">
        <v>2958465</v>
      </c>
      <c r="L169" s="11" t="str">
        <f t="shared" si="5"/>
        <v>INSERT INTO metadata_reference.file_schema VALUES('CUST_CST_CUAD_RE','ERROR_COUNT',NULL,'SMALLINT',NULL,NULL,NULL,NULL,'2025-10-22','9999-12-31',USER, CURRENT_TIMESTAMP(0));</v>
      </c>
    </row>
    <row r="170" spans="1:12" ht="15" customHeight="1">
      <c r="A170" s="11" t="str">
        <f>ETLMetadata!$C170</f>
        <v>CUST_CST_CUAD_RE</v>
      </c>
      <c r="B170" s="11" t="str">
        <f>ETLMetadata!$E170</f>
        <v>RAW_ADDR_HASH</v>
      </c>
      <c r="C170" s="11" t="str">
        <f>IF(ISBLANK(ETLMetadata!$J170), "", ETLMetadata!$J170)</f>
        <v/>
      </c>
      <c r="D170" s="11" t="str">
        <f>ETLMetadata!$G170</f>
        <v>CHAR(32)</v>
      </c>
      <c r="E170" s="12"/>
      <c r="F170" s="12"/>
      <c r="G170" s="12" t="str">
        <f t="shared" si="4"/>
        <v/>
      </c>
      <c r="H170" s="12"/>
      <c r="I170" s="12"/>
      <c r="J170" s="13">
        <v>45952</v>
      </c>
      <c r="K170" s="13">
        <v>2958465</v>
      </c>
      <c r="L170" s="11" t="str">
        <f t="shared" si="5"/>
        <v>INSERT INTO metadata_reference.file_schema VALUES('CUST_CST_CUAD_RE','RAW_ADDR_HASH',NULL,'CHAR(32)',NULL,NULL,NULL,NULL,'2025-10-22','9999-12-31',USER, CURRENT_TIMESTAMP(0));</v>
      </c>
    </row>
    <row r="171" spans="1:12" ht="15" customHeight="1">
      <c r="A171" s="11" t="str">
        <f>ETLMetadata!$C171</f>
        <v>CUST_CST_CUAD_RE</v>
      </c>
      <c r="B171" s="11" t="str">
        <f>ETLMetadata!$E171</f>
        <v>Start_Date</v>
      </c>
      <c r="C171" s="11" t="str">
        <f>IF(ISBLANK(ETLMetadata!$J171), "", ETLMetadata!$J171)</f>
        <v/>
      </c>
      <c r="D171" s="11" t="str">
        <f>ETLMetadata!$G171</f>
        <v>DATE</v>
      </c>
      <c r="E171" s="12"/>
      <c r="F171" s="12"/>
      <c r="G171" s="12" t="str">
        <f t="shared" si="4"/>
        <v/>
      </c>
      <c r="H171" s="12"/>
      <c r="I171" s="12"/>
      <c r="J171" s="13">
        <v>45952</v>
      </c>
      <c r="K171" s="13">
        <v>2958465</v>
      </c>
      <c r="L171" s="11" t="str">
        <f t="shared" si="5"/>
        <v>INSERT INTO metadata_reference.file_schema VALUES('CUST_CST_CUAD_RE','Start_Date',NULL,'DATE',NULL,NULL,NULL,NULL,'2025-10-22','9999-12-31',USER, CURRENT_TIMESTAMP(0));</v>
      </c>
    </row>
    <row r="172" spans="1:12" ht="15" customHeight="1">
      <c r="A172" s="11" t="str">
        <f>ETLMetadata!$C172</f>
        <v>CUST_CST_CUAD_RE</v>
      </c>
      <c r="B172" s="11" t="str">
        <f>ETLMetadata!$E172</f>
        <v>End_Date</v>
      </c>
      <c r="C172" s="11" t="str">
        <f>IF(ISBLANK(ETLMetadata!$J172), "", ETLMetadata!$J172)</f>
        <v/>
      </c>
      <c r="D172" s="11" t="str">
        <f>ETLMetadata!$G172</f>
        <v>DATE</v>
      </c>
      <c r="E172" s="12"/>
      <c r="F172" s="12"/>
      <c r="G172" s="12" t="str">
        <f t="shared" si="4"/>
        <v/>
      </c>
      <c r="H172" s="12"/>
      <c r="I172" s="12"/>
      <c r="J172" s="13">
        <v>45952</v>
      </c>
      <c r="K172" s="13">
        <v>2958465</v>
      </c>
      <c r="L172" s="11" t="str">
        <f t="shared" si="5"/>
        <v>INSERT INTO metadata_reference.file_schema VALUES('CUST_CST_CUAD_RE','End_Date',NULL,'DATE',NULL,NULL,NULL,NULL,'2025-10-22','9999-12-31',USER, CURRENT_TIMESTAMP(0));</v>
      </c>
    </row>
    <row r="173" spans="1:12" ht="15" customHeight="1">
      <c r="A173" s="11" t="str">
        <f>ETLMetadata!$C173</f>
        <v>CUST_CST_CUAD_RE</v>
      </c>
      <c r="B173" s="11" t="str">
        <f>ETLMetadata!$E173</f>
        <v>Record_Deleted_Flag</v>
      </c>
      <c r="C173" s="11" t="str">
        <f>IF(ISBLANK(ETLMetadata!$J173), "", ETLMetadata!$J173)</f>
        <v/>
      </c>
      <c r="D173" s="11" t="str">
        <f>ETLMetadata!$G173</f>
        <v>BYTEINT</v>
      </c>
      <c r="E173" s="12"/>
      <c r="F173" s="12"/>
      <c r="G173" s="12" t="str">
        <f t="shared" si="4"/>
        <v/>
      </c>
      <c r="H173" s="12"/>
      <c r="I173" s="12"/>
      <c r="J173" s="13">
        <v>45952</v>
      </c>
      <c r="K173" s="13">
        <v>2958465</v>
      </c>
      <c r="L173" s="11" t="str">
        <f t="shared" si="5"/>
        <v>INSERT INTO metadata_reference.file_schema VALUES('CUST_CST_CUAD_RE','Record_Deleted_Flag',NULL,'BYTEINT',NULL,NULL,NULL,NULL,'2025-10-22','9999-12-31',USER, CURRENT_TIMESTAMP(0));</v>
      </c>
    </row>
    <row r="174" spans="1:12" ht="15" customHeight="1">
      <c r="A174" s="11" t="str">
        <f>ETLMetadata!$C174</f>
        <v>CUST_CST_CUDD</v>
      </c>
      <c r="B174" s="11" t="str">
        <f>ETLMetadata!$E174</f>
        <v>EXTRACT_DATE</v>
      </c>
      <c r="C174" s="11" t="str">
        <f>IF(ISBLANK(ETLMetadata!$J174), "", ETLMetadata!$J174)</f>
        <v/>
      </c>
      <c r="D174" s="11" t="str">
        <f>ETLMetadata!$G174</f>
        <v>DATE</v>
      </c>
      <c r="E174" s="12"/>
      <c r="F174" s="12"/>
      <c r="G174" s="12" t="str">
        <f t="shared" si="4"/>
        <v/>
      </c>
      <c r="H174" s="12"/>
      <c r="I174" s="12"/>
      <c r="J174" s="13">
        <v>45952</v>
      </c>
      <c r="K174" s="13">
        <v>2958465</v>
      </c>
      <c r="L174" s="11" t="str">
        <f t="shared" si="5"/>
        <v>INSERT INTO metadata_reference.file_schema VALUES('CUST_CST_CUDD','EXTRACT_DATE',NULL,'DATE',NULL,NULL,NULL,NULL,'2025-10-22','9999-12-31',USER, CURRENT_TIMESTAMP(0));</v>
      </c>
    </row>
    <row r="175" spans="1:12" ht="15" customHeight="1">
      <c r="A175" s="11" t="str">
        <f>ETLMetadata!$C175</f>
        <v>CUST_CST_CUDD</v>
      </c>
      <c r="B175" s="11" t="str">
        <f>ETLMetadata!$E175</f>
        <v>LOGICAL_DELETE_DATE</v>
      </c>
      <c r="C175" s="11" t="str">
        <f>IF(ISBLANK(ETLMetadata!$J175), "", ETLMetadata!$J175)</f>
        <v/>
      </c>
      <c r="D175" s="11" t="str">
        <f>ETLMetadata!$G175</f>
        <v>DATE</v>
      </c>
      <c r="E175" s="12"/>
      <c r="F175" s="12"/>
      <c r="G175" s="12" t="str">
        <f t="shared" si="4"/>
        <v/>
      </c>
      <c r="H175" s="12"/>
      <c r="I175" s="12"/>
      <c r="J175" s="13">
        <v>45952</v>
      </c>
      <c r="K175" s="13">
        <v>2958465</v>
      </c>
      <c r="L175" s="11" t="str">
        <f t="shared" si="5"/>
        <v>INSERT INTO metadata_reference.file_schema VALUES('CUST_CST_CUDD','LOGICAL_DELETE_DATE',NULL,'DATE',NULL,NULL,NULL,NULL,'2025-10-22','9999-12-31',USER, CURRENT_TIMESTAMP(0));</v>
      </c>
    </row>
    <row r="176" spans="1:12" ht="15" customHeight="1">
      <c r="A176" s="11" t="str">
        <f>ETLMetadata!$C176</f>
        <v>CUST_CST_CUDD</v>
      </c>
      <c r="B176" s="11" t="str">
        <f>ETLMetadata!$E176</f>
        <v>ENVIRONMENT_ID</v>
      </c>
      <c r="C176" s="11" t="str">
        <f>IF(ISBLANK(ETLMetadata!$J176), "", ETLMetadata!$J176)</f>
        <v>Y</v>
      </c>
      <c r="D176" s="11" t="str">
        <f>ETLMetadata!$G176</f>
        <v>CHAR(1)</v>
      </c>
      <c r="E176" s="12"/>
      <c r="F176" s="12"/>
      <c r="G176" s="12" t="str">
        <f t="shared" si="4"/>
        <v/>
      </c>
      <c r="H176" s="12"/>
      <c r="I176" s="12"/>
      <c r="J176" s="13">
        <v>45952</v>
      </c>
      <c r="K176" s="13">
        <v>2958465</v>
      </c>
      <c r="L176" s="11" t="str">
        <f t="shared" si="5"/>
        <v>INSERT INTO metadata_reference.file_schema VALUES('CUST_CST_CUDD','ENVIRONMENT_ID','Y','CHAR(1)',NULL,NULL,NULL,NULL,'2025-10-22','9999-12-31',USER, CURRENT_TIMESTAMP(0));</v>
      </c>
    </row>
    <row r="177" spans="1:12" ht="15" customHeight="1">
      <c r="A177" s="11" t="str">
        <f>ETLMetadata!$C177</f>
        <v>CUST_CST_CUDD</v>
      </c>
      <c r="B177" s="11" t="str">
        <f>ETLMetadata!$E177</f>
        <v>PERSON_ID</v>
      </c>
      <c r="C177" s="11" t="str">
        <f>IF(ISBLANK(ETLMetadata!$J177), "", ETLMetadata!$J177)</f>
        <v>Y</v>
      </c>
      <c r="D177" s="11" t="str">
        <f>ETLMetadata!$G177</f>
        <v>INTEGER</v>
      </c>
      <c r="E177" s="12"/>
      <c r="F177" s="12" t="s">
        <v>799</v>
      </c>
      <c r="G177" s="12" t="str">
        <f t="shared" si="4"/>
        <v>PERSONAL_IDENTITYINFOINDIRECT</v>
      </c>
      <c r="H177" s="12"/>
      <c r="I177" s="12"/>
      <c r="J177" s="13">
        <v>45952</v>
      </c>
      <c r="K177" s="13">
        <v>2958465</v>
      </c>
      <c r="L177" s="11" t="str">
        <f t="shared" si="5"/>
        <v>INSERT INTO metadata_reference.file_schema VALUES('CUST_CST_CUDD','PERSON_ID','Y','INTEGER',NULL,'PERSONAL_IDENTITYINFOINDIRECT',NULL,NULL,'2025-10-22','9999-12-31',USER, CURRENT_TIMESTAMP(0));</v>
      </c>
    </row>
    <row r="178" spans="1:12" ht="15" customHeight="1">
      <c r="A178" s="11" t="str">
        <f>ETLMetadata!$C178</f>
        <v>CUST_CST_CUDD</v>
      </c>
      <c r="B178" s="11" t="str">
        <f>ETLMetadata!$E178</f>
        <v>PROCESSING_SEQUENCE</v>
      </c>
      <c r="C178" s="11" t="str">
        <f>IF(ISBLANK(ETLMetadata!$J178), "", ETLMetadata!$J178)</f>
        <v>Y</v>
      </c>
      <c r="D178" s="11" t="str">
        <f>ETLMetadata!$G178</f>
        <v>SMALLINT</v>
      </c>
      <c r="E178" s="12"/>
      <c r="F178" s="12"/>
      <c r="G178" s="12" t="str">
        <f t="shared" si="4"/>
        <v/>
      </c>
      <c r="H178" s="12"/>
      <c r="I178" s="12"/>
      <c r="J178" s="13">
        <v>45952</v>
      </c>
      <c r="K178" s="13">
        <v>2958465</v>
      </c>
      <c r="L178" s="11" t="str">
        <f t="shared" si="5"/>
        <v>INSERT INTO metadata_reference.file_schema VALUES('CUST_CST_CUDD','PROCESSING_SEQUENCE','Y','SMALLINT',NULL,NULL,NULL,NULL,'2025-10-22','9999-12-31',USER, CURRENT_TIMESTAMP(0));</v>
      </c>
    </row>
    <row r="179" spans="1:12" ht="15" customHeight="1">
      <c r="A179" s="11" t="str">
        <f>ETLMetadata!$C179</f>
        <v>CUST_CST_CUDD</v>
      </c>
      <c r="B179" s="11" t="str">
        <f>ETLMetadata!$E179</f>
        <v>CUDD_AMR_1</v>
      </c>
      <c r="C179" s="11" t="str">
        <f>IF(ISBLANK(ETLMetadata!$J179), "", ETLMetadata!$J179)</f>
        <v/>
      </c>
      <c r="D179" s="11" t="str">
        <f>ETLMetadata!$G179</f>
        <v>CHAR(4)</v>
      </c>
      <c r="E179" s="12"/>
      <c r="F179" s="12"/>
      <c r="G179" s="12" t="str">
        <f t="shared" si="4"/>
        <v/>
      </c>
      <c r="H179" s="12"/>
      <c r="I179" s="12"/>
      <c r="J179" s="13">
        <v>45952</v>
      </c>
      <c r="K179" s="13">
        <v>2958465</v>
      </c>
      <c r="L179" s="11" t="str">
        <f t="shared" si="5"/>
        <v>INSERT INTO metadata_reference.file_schema VALUES('CUST_CST_CUDD','CUDD_AMR_1',NULL,'CHAR(4)',NULL,NULL,NULL,NULL,'2025-10-22','9999-12-31',USER, CURRENT_TIMESTAMP(0));</v>
      </c>
    </row>
    <row r="180" spans="1:12" ht="15" customHeight="1">
      <c r="A180" s="11" t="str">
        <f>ETLMetadata!$C180</f>
        <v>CUST_CST_CUDD</v>
      </c>
      <c r="B180" s="11" t="str">
        <f>ETLMetadata!$E180</f>
        <v>CUDD_AMR_2</v>
      </c>
      <c r="C180" s="11" t="str">
        <f>IF(ISBLANK(ETLMetadata!$J180), "", ETLMetadata!$J180)</f>
        <v/>
      </c>
      <c r="D180" s="11" t="str">
        <f>ETLMetadata!$G180</f>
        <v>CHAR(1)</v>
      </c>
      <c r="E180" s="12"/>
      <c r="F180" s="12"/>
      <c r="G180" s="12" t="str">
        <f t="shared" si="4"/>
        <v/>
      </c>
      <c r="H180" s="12"/>
      <c r="I180" s="12"/>
      <c r="J180" s="13">
        <v>45952</v>
      </c>
      <c r="K180" s="13">
        <v>2958465</v>
      </c>
      <c r="L180" s="11" t="str">
        <f t="shared" si="5"/>
        <v>INSERT INTO metadata_reference.file_schema VALUES('CUST_CST_CUDD','CUDD_AMR_2',NULL,'CHAR(1)',NULL,NULL,NULL,NULL,'2025-10-22','9999-12-31',USER, CURRENT_TIMESTAMP(0));</v>
      </c>
    </row>
    <row r="181" spans="1:12" ht="15" customHeight="1">
      <c r="A181" s="11" t="str">
        <f>ETLMetadata!$C181</f>
        <v>CUST_CST_CUDD</v>
      </c>
      <c r="B181" s="11" t="str">
        <f>ETLMetadata!$E181</f>
        <v>CUDD_AMR_3</v>
      </c>
      <c r="C181" s="11" t="str">
        <f>IF(ISBLANK(ETLMetadata!$J181), "", ETLMetadata!$J181)</f>
        <v/>
      </c>
      <c r="D181" s="11" t="str">
        <f>ETLMetadata!$G181</f>
        <v>CHAR(4)</v>
      </c>
      <c r="E181" s="12"/>
      <c r="F181" s="12"/>
      <c r="G181" s="12" t="str">
        <f t="shared" si="4"/>
        <v/>
      </c>
      <c r="H181" s="12"/>
      <c r="I181" s="12"/>
      <c r="J181" s="13">
        <v>45952</v>
      </c>
      <c r="K181" s="13">
        <v>2958465</v>
      </c>
      <c r="L181" s="11" t="str">
        <f t="shared" si="5"/>
        <v>INSERT INTO metadata_reference.file_schema VALUES('CUST_CST_CUDD','CUDD_AMR_3',NULL,'CHAR(4)',NULL,NULL,NULL,NULL,'2025-10-22','9999-12-31',USER, CURRENT_TIMESTAMP(0));</v>
      </c>
    </row>
    <row r="182" spans="1:12" ht="15" customHeight="1">
      <c r="A182" s="11" t="str">
        <f>ETLMetadata!$C182</f>
        <v>CUST_CST_CUDD</v>
      </c>
      <c r="B182" s="11" t="str">
        <f>ETLMetadata!$E182</f>
        <v>CUDD_DOR</v>
      </c>
      <c r="C182" s="11" t="str">
        <f>IF(ISBLANK(ETLMetadata!$J182), "", ETLMetadata!$J182)</f>
        <v/>
      </c>
      <c r="D182" s="11" t="str">
        <f>ETLMetadata!$G182</f>
        <v>DATE</v>
      </c>
      <c r="E182" s="12"/>
      <c r="F182" s="12"/>
      <c r="G182" s="12" t="str">
        <f t="shared" si="4"/>
        <v/>
      </c>
      <c r="H182" s="12"/>
      <c r="I182" s="12"/>
      <c r="J182" s="13">
        <v>45952</v>
      </c>
      <c r="K182" s="13">
        <v>2958465</v>
      </c>
      <c r="L182" s="11" t="str">
        <f t="shared" si="5"/>
        <v>INSERT INTO metadata_reference.file_schema VALUES('CUST_CST_CUDD','CUDD_DOR',NULL,'DATE',NULL,NULL,NULL,NULL,'2025-10-22','9999-12-31',USER, CURRENT_TIMESTAMP(0));</v>
      </c>
    </row>
    <row r="183" spans="1:12" ht="15" customHeight="1">
      <c r="A183" s="11" t="str">
        <f>ETLMetadata!$C183</f>
        <v>CUST_CST_CUDD</v>
      </c>
      <c r="B183" s="11" t="str">
        <f>ETLMetadata!$E183</f>
        <v>CUDD_DOR_ORIG</v>
      </c>
      <c r="C183" s="11" t="str">
        <f>IF(ISBLANK(ETLMetadata!$J183), "", ETLMetadata!$J183)</f>
        <v/>
      </c>
      <c r="D183" s="11" t="str">
        <f>ETLMetadata!$G183</f>
        <v>INTEGER</v>
      </c>
      <c r="E183" s="12"/>
      <c r="F183" s="12"/>
      <c r="G183" s="12" t="str">
        <f t="shared" si="4"/>
        <v/>
      </c>
      <c r="H183" s="12"/>
      <c r="I183" s="12"/>
      <c r="J183" s="13">
        <v>45952</v>
      </c>
      <c r="K183" s="13">
        <v>2958465</v>
      </c>
      <c r="L183" s="11" t="str">
        <f t="shared" si="5"/>
        <v>INSERT INTO metadata_reference.file_schema VALUES('CUST_CST_CUDD','CUDD_DOR_ORIG',NULL,'INTEGER',NULL,NULL,NULL,NULL,'2025-10-22','9999-12-31',USER, CURRENT_TIMESTAMP(0));</v>
      </c>
    </row>
    <row r="184" spans="1:12" ht="15" customHeight="1">
      <c r="A184" s="11" t="str">
        <f>ETLMetadata!$C184</f>
        <v>CUST_CST_CUDD</v>
      </c>
      <c r="B184" s="11" t="str">
        <f>ETLMetadata!$E184</f>
        <v>CUDD_DEATH_DATE</v>
      </c>
      <c r="C184" s="11" t="str">
        <f>IF(ISBLANK(ETLMetadata!$J184), "", ETLMetadata!$J184)</f>
        <v/>
      </c>
      <c r="D184" s="11" t="str">
        <f>ETLMetadata!$G184</f>
        <v>DATE</v>
      </c>
      <c r="E184" s="12"/>
      <c r="F184" s="12" t="s">
        <v>802</v>
      </c>
      <c r="G184" s="12" t="str">
        <f t="shared" si="4"/>
        <v>PERSONAL_OTHERINFO</v>
      </c>
      <c r="H184" s="12"/>
      <c r="I184" s="12"/>
      <c r="J184" s="13">
        <v>45952</v>
      </c>
      <c r="K184" s="13">
        <v>2958465</v>
      </c>
      <c r="L184" s="11" t="str">
        <f t="shared" si="5"/>
        <v>INSERT INTO metadata_reference.file_schema VALUES('CUST_CST_CUDD','CUDD_DEATH_DATE',NULL,'DATE',NULL,'PERSONAL_OTHERINFO',NULL,NULL,'2025-10-22','9999-12-31',USER, CURRENT_TIMESTAMP(0));</v>
      </c>
    </row>
    <row r="185" spans="1:12" ht="15" customHeight="1">
      <c r="A185" s="11" t="str">
        <f>ETLMetadata!$C185</f>
        <v>CUST_CST_CUDD</v>
      </c>
      <c r="B185" s="11" t="str">
        <f>ETLMetadata!$E185</f>
        <v>CUDD_DEATH_DATE_ORIG</v>
      </c>
      <c r="C185" s="11" t="str">
        <f>IF(ISBLANK(ETLMetadata!$J185), "", ETLMetadata!$J185)</f>
        <v/>
      </c>
      <c r="D185" s="11" t="str">
        <f>ETLMetadata!$G185</f>
        <v>INTEGER</v>
      </c>
      <c r="E185" s="12"/>
      <c r="F185" s="12"/>
      <c r="G185" s="12" t="str">
        <f t="shared" si="4"/>
        <v/>
      </c>
      <c r="H185" s="12"/>
      <c r="I185" s="12"/>
      <c r="J185" s="13">
        <v>45952</v>
      </c>
      <c r="K185" s="13">
        <v>2958465</v>
      </c>
      <c r="L185" s="11" t="str">
        <f t="shared" si="5"/>
        <v>INSERT INTO metadata_reference.file_schema VALUES('CUST_CST_CUDD','CUDD_DEATH_DATE_ORIG',NULL,'INTEGER',NULL,NULL,NULL,NULL,'2025-10-22','9999-12-31',USER, CURRENT_TIMESTAMP(0));</v>
      </c>
    </row>
    <row r="186" spans="1:12" ht="15" customHeight="1">
      <c r="A186" s="11" t="str">
        <f>ETLMetadata!$C186</f>
        <v>CUST_CST_CUDD</v>
      </c>
      <c r="B186" s="11" t="str">
        <f>ETLMetadata!$E186</f>
        <v>AMR1_RISL_DTS</v>
      </c>
      <c r="C186" s="11" t="str">
        <f>IF(ISBLANK(ETLMetadata!$J186), "", ETLMetadata!$J186)</f>
        <v/>
      </c>
      <c r="D186" s="11" t="str">
        <f>ETLMetadata!$G186</f>
        <v>TIMESTAMP(6)</v>
      </c>
      <c r="E186" s="12"/>
      <c r="F186" s="12"/>
      <c r="G186" s="12" t="str">
        <f t="shared" si="4"/>
        <v/>
      </c>
      <c r="H186" s="12"/>
      <c r="I186" s="12"/>
      <c r="J186" s="13">
        <v>45952</v>
      </c>
      <c r="K186" s="13">
        <v>2958465</v>
      </c>
      <c r="L186" s="11" t="str">
        <f t="shared" si="5"/>
        <v>INSERT INTO metadata_reference.file_schema VALUES('CUST_CST_CUDD','AMR1_RISL_DTS',NULL,'TIMESTAMP(6)',NULL,NULL,NULL,NULL,'2025-10-22','9999-12-31',USER, CURRENT_TIMESTAMP(0));</v>
      </c>
    </row>
    <row r="187" spans="1:12" ht="15" customHeight="1">
      <c r="A187" s="11" t="str">
        <f>ETLMetadata!$C187</f>
        <v>CUST_CST_CUDD</v>
      </c>
      <c r="B187" s="11" t="str">
        <f>ETLMetadata!$E187</f>
        <v>AMR3_RISL_DTS</v>
      </c>
      <c r="C187" s="11" t="str">
        <f>IF(ISBLANK(ETLMetadata!$J187), "", ETLMetadata!$J187)</f>
        <v/>
      </c>
      <c r="D187" s="11" t="str">
        <f>ETLMetadata!$G187</f>
        <v>TIMESTAMP(6)</v>
      </c>
      <c r="E187" s="12"/>
      <c r="F187" s="12"/>
      <c r="G187" s="12" t="str">
        <f t="shared" si="4"/>
        <v/>
      </c>
      <c r="H187" s="12"/>
      <c r="I187" s="12"/>
      <c r="J187" s="13">
        <v>45952</v>
      </c>
      <c r="K187" s="13">
        <v>2958465</v>
      </c>
      <c r="L187" s="11" t="str">
        <f t="shared" si="5"/>
        <v>INSERT INTO metadata_reference.file_schema VALUES('CUST_CST_CUDD','AMR3_RISL_DTS',NULL,'TIMESTAMP(6)',NULL,NULL,NULL,NULL,'2025-10-22','9999-12-31',USER, CURRENT_TIMESTAMP(0));</v>
      </c>
    </row>
    <row r="188" spans="1:12" ht="15" customHeight="1">
      <c r="A188" s="11" t="str">
        <f>ETLMetadata!$C188</f>
        <v>CUST_CST_CUDD</v>
      </c>
      <c r="B188" s="11" t="str">
        <f>ETLMetadata!$E188</f>
        <v>PARTY_ROLE_ID</v>
      </c>
      <c r="C188" s="11" t="str">
        <f>IF(ISBLANK(ETLMetadata!$J188), "", ETLMetadata!$J188)</f>
        <v/>
      </c>
      <c r="D188" s="11" t="str">
        <f>ETLMetadata!$G188</f>
        <v>INTEGER</v>
      </c>
      <c r="E188" s="12"/>
      <c r="F188" s="12"/>
      <c r="G188" s="12" t="str">
        <f t="shared" si="4"/>
        <v/>
      </c>
      <c r="H188" s="12"/>
      <c r="I188" s="12"/>
      <c r="J188" s="13">
        <v>45952</v>
      </c>
      <c r="K188" s="13">
        <v>2958465</v>
      </c>
      <c r="L188" s="11" t="str">
        <f t="shared" si="5"/>
        <v>INSERT INTO metadata_reference.file_schema VALUES('CUST_CST_CUDD','PARTY_ROLE_ID',NULL,'INTEGER',NULL,NULL,NULL,NULL,'2025-10-22','9999-12-31',USER, CURRENT_TIMESTAMP(0));</v>
      </c>
    </row>
    <row r="189" spans="1:12" ht="15" customHeight="1">
      <c r="A189" s="11" t="str">
        <f>ETLMetadata!$C189</f>
        <v>CUST_CST_CUDD</v>
      </c>
      <c r="B189" s="11" t="str">
        <f>ETLMetadata!$E189</f>
        <v>ERROR_COUNT</v>
      </c>
      <c r="C189" s="11" t="str">
        <f>IF(ISBLANK(ETLMetadata!$J189), "", ETLMetadata!$J189)</f>
        <v/>
      </c>
      <c r="D189" s="11" t="str">
        <f>ETLMetadata!$G189</f>
        <v>SMALLINT</v>
      </c>
      <c r="E189" s="12"/>
      <c r="F189" s="12"/>
      <c r="G189" s="12" t="str">
        <f t="shared" si="4"/>
        <v/>
      </c>
      <c r="H189" s="12"/>
      <c r="I189" s="12"/>
      <c r="J189" s="13">
        <v>45952</v>
      </c>
      <c r="K189" s="13">
        <v>2958465</v>
      </c>
      <c r="L189" s="11" t="str">
        <f t="shared" si="5"/>
        <v>INSERT INTO metadata_reference.file_schema VALUES('CUST_CST_CUDD','ERROR_COUNT',NULL,'SMALLINT',NULL,NULL,NULL,NULL,'2025-10-22','9999-12-31',USER, CURRENT_TIMESTAMP(0));</v>
      </c>
    </row>
    <row r="190" spans="1:12" ht="15" customHeight="1">
      <c r="A190" s="11" t="str">
        <f>ETLMetadata!$C190</f>
        <v>CUST_CST_CUDD</v>
      </c>
      <c r="B190" s="11" t="str">
        <f>ETLMetadata!$E190</f>
        <v>Start_Date</v>
      </c>
      <c r="C190" s="11" t="str">
        <f>IF(ISBLANK(ETLMetadata!$J190), "", ETLMetadata!$J190)</f>
        <v/>
      </c>
      <c r="D190" s="11" t="str">
        <f>ETLMetadata!$G190</f>
        <v>DATE</v>
      </c>
      <c r="E190" s="12"/>
      <c r="F190" s="12"/>
      <c r="G190" s="12" t="str">
        <f t="shared" si="4"/>
        <v/>
      </c>
      <c r="H190" s="12"/>
      <c r="I190" s="12"/>
      <c r="J190" s="13">
        <v>45952</v>
      </c>
      <c r="K190" s="13">
        <v>2958465</v>
      </c>
      <c r="L190" s="11" t="str">
        <f t="shared" si="5"/>
        <v>INSERT INTO metadata_reference.file_schema VALUES('CUST_CST_CUDD','Start_Date',NULL,'DATE',NULL,NULL,NULL,NULL,'2025-10-22','9999-12-31',USER, CURRENT_TIMESTAMP(0));</v>
      </c>
    </row>
    <row r="191" spans="1:12" ht="15" customHeight="1">
      <c r="A191" s="11" t="str">
        <f>ETLMetadata!$C191</f>
        <v>CUST_CST_CUDD</v>
      </c>
      <c r="B191" s="11" t="str">
        <f>ETLMetadata!$E191</f>
        <v>End_Date</v>
      </c>
      <c r="C191" s="11" t="str">
        <f>IF(ISBLANK(ETLMetadata!$J191), "", ETLMetadata!$J191)</f>
        <v/>
      </c>
      <c r="D191" s="11" t="str">
        <f>ETLMetadata!$G191</f>
        <v>DATE</v>
      </c>
      <c r="E191" s="12"/>
      <c r="F191" s="12"/>
      <c r="G191" s="12" t="str">
        <f t="shared" si="4"/>
        <v/>
      </c>
      <c r="H191" s="12"/>
      <c r="I191" s="12"/>
      <c r="J191" s="13">
        <v>45952</v>
      </c>
      <c r="K191" s="13">
        <v>2958465</v>
      </c>
      <c r="L191" s="11" t="str">
        <f t="shared" si="5"/>
        <v>INSERT INTO metadata_reference.file_schema VALUES('CUST_CST_CUDD','End_Date',NULL,'DATE',NULL,NULL,NULL,NULL,'2025-10-22','9999-12-31',USER, CURRENT_TIMESTAMP(0));</v>
      </c>
    </row>
    <row r="192" spans="1:12" ht="15" customHeight="1">
      <c r="A192" s="11" t="str">
        <f>ETLMetadata!$C192</f>
        <v>CUST_CST_CUDD</v>
      </c>
      <c r="B192" s="11" t="str">
        <f>ETLMetadata!$E192</f>
        <v>Record_Deleted_Flag</v>
      </c>
      <c r="C192" s="11" t="str">
        <f>IF(ISBLANK(ETLMetadata!$J192), "", ETLMetadata!$J192)</f>
        <v/>
      </c>
      <c r="D192" s="11" t="str">
        <f>ETLMetadata!$G192</f>
        <v>BYTEINT</v>
      </c>
      <c r="E192" s="12"/>
      <c r="F192" s="12"/>
      <c r="G192" s="12" t="str">
        <f t="shared" si="4"/>
        <v/>
      </c>
      <c r="H192" s="12"/>
      <c r="I192" s="12"/>
      <c r="J192" s="13">
        <v>45952</v>
      </c>
      <c r="K192" s="13">
        <v>2958465</v>
      </c>
      <c r="L192" s="11" t="str">
        <f t="shared" si="5"/>
        <v>INSERT INTO metadata_reference.file_schema VALUES('CUST_CST_CUDD','Record_Deleted_Flag',NULL,'BYTEINT',NULL,NULL,NULL,NULL,'2025-10-22','9999-12-31',USER, CURRENT_TIMESTAMP(0));</v>
      </c>
    </row>
    <row r="193" spans="1:12" ht="15" customHeight="1">
      <c r="A193" s="11" t="str">
        <f>ETLMetadata!$C193</f>
        <v>CUST_CST_CUEM</v>
      </c>
      <c r="B193" s="11" t="str">
        <f>ETLMetadata!$E193</f>
        <v>EXTRACT_DATE</v>
      </c>
      <c r="C193" s="11" t="str">
        <f>IF(ISBLANK(ETLMetadata!$J193), "", ETLMetadata!$J193)</f>
        <v/>
      </c>
      <c r="D193" s="11" t="str">
        <f>ETLMetadata!$G193</f>
        <v>DATE</v>
      </c>
      <c r="E193" s="12"/>
      <c r="F193" s="12"/>
      <c r="G193" s="12" t="str">
        <f t="shared" si="4"/>
        <v/>
      </c>
      <c r="H193" s="12"/>
      <c r="I193" s="12"/>
      <c r="J193" s="13">
        <v>45952</v>
      </c>
      <c r="K193" s="13">
        <v>2958465</v>
      </c>
      <c r="L193" s="11" t="str">
        <f t="shared" si="5"/>
        <v>INSERT INTO metadata_reference.file_schema VALUES('CUST_CST_CUEM','EXTRACT_DATE',NULL,'DATE',NULL,NULL,NULL,NULL,'2025-10-22','9999-12-31',USER, CURRENT_TIMESTAMP(0));</v>
      </c>
    </row>
    <row r="194" spans="1:12" ht="15" customHeight="1">
      <c r="A194" s="11" t="str">
        <f>ETLMetadata!$C194</f>
        <v>CUST_CST_CUEM</v>
      </c>
      <c r="B194" s="11" t="str">
        <f>ETLMetadata!$E194</f>
        <v>LOGICAL_DELETE_DATE</v>
      </c>
      <c r="C194" s="11" t="str">
        <f>IF(ISBLANK(ETLMetadata!$J194), "", ETLMetadata!$J194)</f>
        <v/>
      </c>
      <c r="D194" s="11" t="str">
        <f>ETLMetadata!$G194</f>
        <v>DATE</v>
      </c>
      <c r="E194" s="12"/>
      <c r="F194" s="12"/>
      <c r="G194" s="12" t="str">
        <f t="shared" si="4"/>
        <v/>
      </c>
      <c r="H194" s="12"/>
      <c r="I194" s="12"/>
      <c r="J194" s="13">
        <v>45952</v>
      </c>
      <c r="K194" s="13">
        <v>2958465</v>
      </c>
      <c r="L194" s="11" t="str">
        <f t="shared" si="5"/>
        <v>INSERT INTO metadata_reference.file_schema VALUES('CUST_CST_CUEM','LOGICAL_DELETE_DATE',NULL,'DATE',NULL,NULL,NULL,NULL,'2025-10-22','9999-12-31',USER, CURRENT_TIMESTAMP(0));</v>
      </c>
    </row>
    <row r="195" spans="1:12" ht="15" customHeight="1">
      <c r="A195" s="11" t="str">
        <f>ETLMetadata!$C195</f>
        <v>CUST_CST_CUEM</v>
      </c>
      <c r="B195" s="11" t="str">
        <f>ETLMetadata!$E195</f>
        <v>ENVIRONMENT_ID</v>
      </c>
      <c r="C195" s="11" t="str">
        <f>IF(ISBLANK(ETLMetadata!$J195), "", ETLMetadata!$J195)</f>
        <v>Y</v>
      </c>
      <c r="D195" s="11" t="str">
        <f>ETLMetadata!$G195</f>
        <v>CHAR(1)</v>
      </c>
      <c r="E195" s="12"/>
      <c r="F195" s="12"/>
      <c r="G195" s="12" t="str">
        <f t="shared" ref="G195:G258" si="6">UPPER($F195)</f>
        <v/>
      </c>
      <c r="H195" s="12"/>
      <c r="I195" s="12"/>
      <c r="J195" s="13">
        <v>45952</v>
      </c>
      <c r="K195" s="13">
        <v>2958465</v>
      </c>
      <c r="L195" s="11" t="str">
        <f t="shared" ref="L195:L258" si="7">CONCATENATE("INSERT INTO metadata_reference.file_schema VALUES('",TRIM(A195),"','",TRIM(B195),"',",IF(TRIM(C195)="","NULL","'"&amp;TRIM(C195)&amp;"'"),",'",TRIM(D195),"',",IF(TRIM(E195)="","NULL","'"&amp;TRIM(E195)&amp;"'"),",",IF(TRIM(G195)="","NULL","'"&amp;TRIM(G195)&amp;"'"),",",IF(TRIM(H195)="","NULL","'"&amp;TRIM(H195)&amp;"'"),",",
IF(TRIM(I195)="","NULL",TRIM(I195)),",",IF(TRIM(J195)="","NULL","'"&amp;TEXT(J195,"yyyy-mm-dd")&amp;"'"),",",IF(TRIM(K195)="","NULL","'"&amp;TEXT(K195,"yyyy-mm-dd")&amp;"'"),",","USER, CURRENT_TIMESTAMP(0));")</f>
        <v>INSERT INTO metadata_reference.file_schema VALUES('CUST_CST_CUEM','ENVIRONMENT_ID','Y','CHAR(1)',NULL,NULL,NULL,NULL,'2025-10-22','9999-12-31',USER, CURRENT_TIMESTAMP(0));</v>
      </c>
    </row>
    <row r="196" spans="1:12" ht="15" customHeight="1">
      <c r="A196" s="11" t="str">
        <f>ETLMetadata!$C196</f>
        <v>CUST_CST_CUEM</v>
      </c>
      <c r="B196" s="11" t="str">
        <f>ETLMetadata!$E196</f>
        <v>PERSON_ID</v>
      </c>
      <c r="C196" s="11" t="str">
        <f>IF(ISBLANK(ETLMetadata!$J196), "", ETLMetadata!$J196)</f>
        <v>Y</v>
      </c>
      <c r="D196" s="11" t="str">
        <f>ETLMetadata!$G196</f>
        <v>INTEGER</v>
      </c>
      <c r="E196" s="12"/>
      <c r="F196" s="12" t="s">
        <v>799</v>
      </c>
      <c r="G196" s="12" t="str">
        <f t="shared" si="6"/>
        <v>PERSONAL_IDENTITYINFOINDIRECT</v>
      </c>
      <c r="H196" s="12"/>
      <c r="I196" s="12"/>
      <c r="J196" s="13">
        <v>45952</v>
      </c>
      <c r="K196" s="13">
        <v>2958465</v>
      </c>
      <c r="L196" s="11" t="str">
        <f t="shared" si="7"/>
        <v>INSERT INTO metadata_reference.file_schema VALUES('CUST_CST_CUEM','PERSON_ID','Y','INTEGER',NULL,'PERSONAL_IDENTITYINFOINDIRECT',NULL,NULL,'2025-10-22','9999-12-31',USER, CURRENT_TIMESTAMP(0));</v>
      </c>
    </row>
    <row r="197" spans="1:12" ht="15" customHeight="1">
      <c r="A197" s="11" t="str">
        <f>ETLMetadata!$C197</f>
        <v>CUST_CST_CUEM</v>
      </c>
      <c r="B197" s="11" t="str">
        <f>ETLMetadata!$E197</f>
        <v>CUEM_DOE</v>
      </c>
      <c r="C197" s="11" t="str">
        <f>IF(ISBLANK(ETLMetadata!$J197), "", ETLMetadata!$J197)</f>
        <v/>
      </c>
      <c r="D197" s="11" t="str">
        <f>ETLMetadata!$G197</f>
        <v>DATE</v>
      </c>
      <c r="E197" s="12"/>
      <c r="F197" s="12"/>
      <c r="G197" s="12" t="str">
        <f t="shared" si="6"/>
        <v/>
      </c>
      <c r="H197" s="12"/>
      <c r="I197" s="12"/>
      <c r="J197" s="13">
        <v>45952</v>
      </c>
      <c r="K197" s="13">
        <v>2958465</v>
      </c>
      <c r="L197" s="11" t="str">
        <f t="shared" si="7"/>
        <v>INSERT INTO metadata_reference.file_schema VALUES('CUST_CST_CUEM','CUEM_DOE',NULL,'DATE',NULL,NULL,NULL,NULL,'2025-10-22','9999-12-31',USER, CURRENT_TIMESTAMP(0));</v>
      </c>
    </row>
    <row r="198" spans="1:12" ht="15" customHeight="1">
      <c r="A198" s="11" t="str">
        <f>ETLMetadata!$C198</f>
        <v>CUST_CST_CUEM</v>
      </c>
      <c r="B198" s="11" t="str">
        <f>ETLMetadata!$E198</f>
        <v>CUEM_DOE_ORIG</v>
      </c>
      <c r="C198" s="11" t="str">
        <f>IF(ISBLANK(ETLMetadata!$J198), "", ETLMetadata!$J198)</f>
        <v/>
      </c>
      <c r="D198" s="11" t="str">
        <f>ETLMetadata!$G198</f>
        <v>INTEGER</v>
      </c>
      <c r="E198" s="12"/>
      <c r="F198" s="12"/>
      <c r="G198" s="12" t="str">
        <f t="shared" si="6"/>
        <v/>
      </c>
      <c r="H198" s="12"/>
      <c r="I198" s="12"/>
      <c r="J198" s="13">
        <v>45952</v>
      </c>
      <c r="K198" s="13">
        <v>2958465</v>
      </c>
      <c r="L198" s="11" t="str">
        <f t="shared" si="7"/>
        <v>INSERT INTO metadata_reference.file_schema VALUES('CUST_CST_CUEM','CUEM_DOE_ORIG',NULL,'INTEGER',NULL,NULL,NULL,NULL,'2025-10-22','9999-12-31',USER, CURRENT_TIMESTAMP(0));</v>
      </c>
    </row>
    <row r="199" spans="1:12" ht="15" customHeight="1">
      <c r="A199" s="11" t="str">
        <f>ETLMetadata!$C199</f>
        <v>CUST_CST_CUEM</v>
      </c>
      <c r="B199" s="11" t="str">
        <f>ETLMetadata!$E199</f>
        <v>CUEM_TYPE_CODE</v>
      </c>
      <c r="C199" s="11" t="str">
        <f>IF(ISBLANK(ETLMetadata!$J199), "", ETLMetadata!$J199)</f>
        <v/>
      </c>
      <c r="D199" s="11" t="str">
        <f>ETLMetadata!$G199</f>
        <v>CHAR(4)</v>
      </c>
      <c r="E199" s="12"/>
      <c r="F199" s="12"/>
      <c r="G199" s="12" t="str">
        <f t="shared" si="6"/>
        <v/>
      </c>
      <c r="H199" s="12"/>
      <c r="I199" s="12"/>
      <c r="J199" s="13">
        <v>45952</v>
      </c>
      <c r="K199" s="13">
        <v>2958465</v>
      </c>
      <c r="L199" s="11" t="str">
        <f t="shared" si="7"/>
        <v>INSERT INTO metadata_reference.file_schema VALUES('CUST_CST_CUEM','CUEM_TYPE_CODE',NULL,'CHAR(4)',NULL,NULL,NULL,NULL,'2025-10-22','9999-12-31',USER, CURRENT_TIMESTAMP(0));</v>
      </c>
    </row>
    <row r="200" spans="1:12" ht="15" customHeight="1">
      <c r="A200" s="11" t="str">
        <f>ETLMetadata!$C200</f>
        <v>CUST_CST_CUEM</v>
      </c>
      <c r="B200" s="11" t="str">
        <f>ETLMetadata!$E200</f>
        <v>PROCESSING_SEQUENCE</v>
      </c>
      <c r="C200" s="11" t="str">
        <f>IF(ISBLANK(ETLMetadata!$J200), "", ETLMetadata!$J200)</f>
        <v>Y</v>
      </c>
      <c r="D200" s="11" t="str">
        <f>ETLMetadata!$G200</f>
        <v>SMALLINT</v>
      </c>
      <c r="E200" s="12"/>
      <c r="F200" s="12"/>
      <c r="G200" s="12" t="str">
        <f t="shared" si="6"/>
        <v/>
      </c>
      <c r="H200" s="12"/>
      <c r="I200" s="12"/>
      <c r="J200" s="13">
        <v>45952</v>
      </c>
      <c r="K200" s="13">
        <v>2958465</v>
      </c>
      <c r="L200" s="11" t="str">
        <f t="shared" si="7"/>
        <v>INSERT INTO metadata_reference.file_schema VALUES('CUST_CST_CUEM','PROCESSING_SEQUENCE','Y','SMALLINT',NULL,NULL,NULL,NULL,'2025-10-22','9999-12-31',USER, CURRENT_TIMESTAMP(0));</v>
      </c>
    </row>
    <row r="201" spans="1:12" ht="15" customHeight="1">
      <c r="A201" s="11" t="str">
        <f>ETLMetadata!$C201</f>
        <v>CUST_CST_CUEM</v>
      </c>
      <c r="B201" s="11" t="str">
        <f>ETLMetadata!$E201</f>
        <v>CUEM_AMR_1</v>
      </c>
      <c r="C201" s="11" t="str">
        <f>IF(ISBLANK(ETLMetadata!$J201), "", ETLMetadata!$J201)</f>
        <v/>
      </c>
      <c r="D201" s="11" t="str">
        <f>ETLMetadata!$G201</f>
        <v>CHAR(4)</v>
      </c>
      <c r="E201" s="12"/>
      <c r="F201" s="12"/>
      <c r="G201" s="12" t="str">
        <f t="shared" si="6"/>
        <v/>
      </c>
      <c r="H201" s="12"/>
      <c r="I201" s="12"/>
      <c r="J201" s="13">
        <v>45952</v>
      </c>
      <c r="K201" s="13">
        <v>2958465</v>
      </c>
      <c r="L201" s="11" t="str">
        <f t="shared" si="7"/>
        <v>INSERT INTO metadata_reference.file_schema VALUES('CUST_CST_CUEM','CUEM_AMR_1',NULL,'CHAR(4)',NULL,NULL,NULL,NULL,'2025-10-22','9999-12-31',USER, CURRENT_TIMESTAMP(0));</v>
      </c>
    </row>
    <row r="202" spans="1:12" ht="15" customHeight="1">
      <c r="A202" s="11" t="str">
        <f>ETLMetadata!$C202</f>
        <v>CUST_CST_CUEM</v>
      </c>
      <c r="B202" s="11" t="str">
        <f>ETLMetadata!$E202</f>
        <v>CUEM_AMR_2</v>
      </c>
      <c r="C202" s="11" t="str">
        <f>IF(ISBLANK(ETLMetadata!$J202), "", ETLMetadata!$J202)</f>
        <v/>
      </c>
      <c r="D202" s="11" t="str">
        <f>ETLMetadata!$G202</f>
        <v>CHAR(1)</v>
      </c>
      <c r="E202" s="12"/>
      <c r="F202" s="12"/>
      <c r="G202" s="12" t="str">
        <f t="shared" si="6"/>
        <v/>
      </c>
      <c r="H202" s="12"/>
      <c r="I202" s="12"/>
      <c r="J202" s="13">
        <v>45952</v>
      </c>
      <c r="K202" s="13">
        <v>2958465</v>
      </c>
      <c r="L202" s="11" t="str">
        <f t="shared" si="7"/>
        <v>INSERT INTO metadata_reference.file_schema VALUES('CUST_CST_CUEM','CUEM_AMR_2',NULL,'CHAR(1)',NULL,NULL,NULL,NULL,'2025-10-22','9999-12-31',USER, CURRENT_TIMESTAMP(0));</v>
      </c>
    </row>
    <row r="203" spans="1:12" ht="15" customHeight="1">
      <c r="A203" s="11" t="str">
        <f>ETLMetadata!$C203</f>
        <v>CUST_CST_CUEM</v>
      </c>
      <c r="B203" s="11" t="str">
        <f>ETLMetadata!$E203</f>
        <v>CUEM_AMR_3</v>
      </c>
      <c r="C203" s="11" t="str">
        <f>IF(ISBLANK(ETLMetadata!$J203), "", ETLMetadata!$J203)</f>
        <v/>
      </c>
      <c r="D203" s="11" t="str">
        <f>ETLMetadata!$G203</f>
        <v>CHAR(4)</v>
      </c>
      <c r="E203" s="12"/>
      <c r="F203" s="12"/>
      <c r="G203" s="12" t="str">
        <f t="shared" si="6"/>
        <v/>
      </c>
      <c r="H203" s="12"/>
      <c r="I203" s="12"/>
      <c r="J203" s="13">
        <v>45952</v>
      </c>
      <c r="K203" s="13">
        <v>2958465</v>
      </c>
      <c r="L203" s="11" t="str">
        <f t="shared" si="7"/>
        <v>INSERT INTO metadata_reference.file_schema VALUES('CUST_CST_CUEM','CUEM_AMR_3',NULL,'CHAR(4)',NULL,NULL,NULL,NULL,'2025-10-22','9999-12-31',USER, CURRENT_TIMESTAMP(0));</v>
      </c>
    </row>
    <row r="204" spans="1:12" ht="15" customHeight="1">
      <c r="A204" s="11" t="str">
        <f>ETLMetadata!$C204</f>
        <v>CUST_CST_CUEM</v>
      </c>
      <c r="B204" s="11" t="str">
        <f>ETLMetadata!$E204</f>
        <v>CUEM_ADDR_ID</v>
      </c>
      <c r="C204" s="11" t="str">
        <f>IF(ISBLANK(ETLMetadata!$J204), "", ETLMetadata!$J204)</f>
        <v/>
      </c>
      <c r="D204" s="11" t="str">
        <f>ETLMetadata!$G204</f>
        <v>VARCHAR(76)</v>
      </c>
      <c r="E204" s="12"/>
      <c r="F204" s="12" t="s">
        <v>801</v>
      </c>
      <c r="G204" s="12" t="str">
        <f t="shared" si="6"/>
        <v>PERSONAL_CONTACTINFO</v>
      </c>
      <c r="H204" s="12"/>
      <c r="I204" s="12"/>
      <c r="J204" s="13">
        <v>45952</v>
      </c>
      <c r="K204" s="13">
        <v>2958465</v>
      </c>
      <c r="L204" s="11" t="str">
        <f t="shared" si="7"/>
        <v>INSERT INTO metadata_reference.file_schema VALUES('CUST_CST_CUEM','CUEM_ADDR_ID',NULL,'VARCHAR(76)',NULL,'PERSONAL_CONTACTINFO',NULL,NULL,'2025-10-22','9999-12-31',USER, CURRENT_TIMESTAMP(0));</v>
      </c>
    </row>
    <row r="205" spans="1:12" ht="15" customHeight="1">
      <c r="A205" s="11" t="str">
        <f>ETLMetadata!$C205</f>
        <v>CUST_CST_CUEM</v>
      </c>
      <c r="B205" s="11" t="str">
        <f>ETLMetadata!$E205</f>
        <v>CUEM_UPDT_USER_CODE</v>
      </c>
      <c r="C205" s="11" t="str">
        <f>IF(ISBLANK(ETLMetadata!$J205), "", ETLMetadata!$J205)</f>
        <v/>
      </c>
      <c r="D205" s="11" t="str">
        <f>ETLMetadata!$G205</f>
        <v>VARCHAR(12)</v>
      </c>
      <c r="E205" s="12"/>
      <c r="F205" s="12"/>
      <c r="G205" s="12" t="str">
        <f t="shared" si="6"/>
        <v/>
      </c>
      <c r="H205" s="12"/>
      <c r="I205" s="12"/>
      <c r="J205" s="13">
        <v>45952</v>
      </c>
      <c r="K205" s="13">
        <v>2958465</v>
      </c>
      <c r="L205" s="11" t="str">
        <f t="shared" si="7"/>
        <v>INSERT INTO metadata_reference.file_schema VALUES('CUST_CST_CUEM','CUEM_UPDT_USER_CODE',NULL,'VARCHAR(12)',NULL,NULL,NULL,NULL,'2025-10-22','9999-12-31',USER, CURRENT_TIMESTAMP(0));</v>
      </c>
    </row>
    <row r="206" spans="1:12" ht="15" customHeight="1">
      <c r="A206" s="11" t="str">
        <f>ETLMetadata!$C206</f>
        <v>CUST_CST_CUEM</v>
      </c>
      <c r="B206" s="11" t="str">
        <f>ETLMetadata!$E206</f>
        <v>AMR1_RISL_DTS</v>
      </c>
      <c r="C206" s="11" t="str">
        <f>IF(ISBLANK(ETLMetadata!$J206), "", ETLMetadata!$J206)</f>
        <v/>
      </c>
      <c r="D206" s="11" t="str">
        <f>ETLMetadata!$G206</f>
        <v>TIMESTAMP(6)</v>
      </c>
      <c r="E206" s="12"/>
      <c r="F206" s="12"/>
      <c r="G206" s="12" t="str">
        <f t="shared" si="6"/>
        <v/>
      </c>
      <c r="H206" s="12"/>
      <c r="I206" s="12"/>
      <c r="J206" s="13">
        <v>45952</v>
      </c>
      <c r="K206" s="13">
        <v>2958465</v>
      </c>
      <c r="L206" s="11" t="str">
        <f t="shared" si="7"/>
        <v>INSERT INTO metadata_reference.file_schema VALUES('CUST_CST_CUEM','AMR1_RISL_DTS',NULL,'TIMESTAMP(6)',NULL,NULL,NULL,NULL,'2025-10-22','9999-12-31',USER, CURRENT_TIMESTAMP(0));</v>
      </c>
    </row>
    <row r="207" spans="1:12" ht="15" customHeight="1">
      <c r="A207" s="11" t="str">
        <f>ETLMetadata!$C207</f>
        <v>CUST_CST_CUEM</v>
      </c>
      <c r="B207" s="11" t="str">
        <f>ETLMetadata!$E207</f>
        <v>AMR3_RISL_DTS</v>
      </c>
      <c r="C207" s="11" t="str">
        <f>IF(ISBLANK(ETLMetadata!$J207), "", ETLMetadata!$J207)</f>
        <v/>
      </c>
      <c r="D207" s="11" t="str">
        <f>ETLMetadata!$G207</f>
        <v>TIMESTAMP(6)</v>
      </c>
      <c r="E207" s="12"/>
      <c r="F207" s="12"/>
      <c r="G207" s="12" t="str">
        <f t="shared" si="6"/>
        <v/>
      </c>
      <c r="H207" s="12"/>
      <c r="I207" s="12"/>
      <c r="J207" s="13">
        <v>45952</v>
      </c>
      <c r="K207" s="13">
        <v>2958465</v>
      </c>
      <c r="L207" s="11" t="str">
        <f t="shared" si="7"/>
        <v>INSERT INTO metadata_reference.file_schema VALUES('CUST_CST_CUEM','AMR3_RISL_DTS',NULL,'TIMESTAMP(6)',NULL,NULL,NULL,NULL,'2025-10-22','9999-12-31',USER, CURRENT_TIMESTAMP(0));</v>
      </c>
    </row>
    <row r="208" spans="1:12" ht="15" customHeight="1">
      <c r="A208" s="11" t="str">
        <f>ETLMetadata!$C208</f>
        <v>CUST_CST_CUEM</v>
      </c>
      <c r="B208" s="11" t="str">
        <f>ETLMetadata!$E208</f>
        <v>PARTY_ROLE_ID</v>
      </c>
      <c r="C208" s="11" t="str">
        <f>IF(ISBLANK(ETLMetadata!$J208), "", ETLMetadata!$J208)</f>
        <v/>
      </c>
      <c r="D208" s="11" t="str">
        <f>ETLMetadata!$G208</f>
        <v>INTEGER</v>
      </c>
      <c r="E208" s="12"/>
      <c r="F208" s="12"/>
      <c r="G208" s="12" t="str">
        <f t="shared" si="6"/>
        <v/>
      </c>
      <c r="H208" s="12"/>
      <c r="I208" s="12"/>
      <c r="J208" s="13">
        <v>45952</v>
      </c>
      <c r="K208" s="13">
        <v>2958465</v>
      </c>
      <c r="L208" s="11" t="str">
        <f t="shared" si="7"/>
        <v>INSERT INTO metadata_reference.file_schema VALUES('CUST_CST_CUEM','PARTY_ROLE_ID',NULL,'INTEGER',NULL,NULL,NULL,NULL,'2025-10-22','9999-12-31',USER, CURRENT_TIMESTAMP(0));</v>
      </c>
    </row>
    <row r="209" spans="1:12" ht="15" customHeight="1">
      <c r="A209" s="11" t="str">
        <f>ETLMetadata!$C209</f>
        <v>CUST_CST_CUEM</v>
      </c>
      <c r="B209" s="11" t="str">
        <f>ETLMetadata!$E209</f>
        <v>ERROR_COUNT</v>
      </c>
      <c r="C209" s="11" t="str">
        <f>IF(ISBLANK(ETLMetadata!$J209), "", ETLMetadata!$J209)</f>
        <v/>
      </c>
      <c r="D209" s="11" t="str">
        <f>ETLMetadata!$G209</f>
        <v>SMALLINT</v>
      </c>
      <c r="E209" s="12"/>
      <c r="F209" s="12"/>
      <c r="G209" s="12" t="str">
        <f t="shared" si="6"/>
        <v/>
      </c>
      <c r="H209" s="12"/>
      <c r="I209" s="12"/>
      <c r="J209" s="13">
        <v>45952</v>
      </c>
      <c r="K209" s="13">
        <v>2958465</v>
      </c>
      <c r="L209" s="11" t="str">
        <f t="shared" si="7"/>
        <v>INSERT INTO metadata_reference.file_schema VALUES('CUST_CST_CUEM','ERROR_COUNT',NULL,'SMALLINT',NULL,NULL,NULL,NULL,'2025-10-22','9999-12-31',USER, CURRENT_TIMESTAMP(0));</v>
      </c>
    </row>
    <row r="210" spans="1:12" ht="15" customHeight="1">
      <c r="A210" s="11" t="str">
        <f>ETLMetadata!$C210</f>
        <v>CUST_CST_CUEM</v>
      </c>
      <c r="B210" s="11" t="str">
        <f>ETLMetadata!$E210</f>
        <v>Start_Date</v>
      </c>
      <c r="C210" s="11" t="str">
        <f>IF(ISBLANK(ETLMetadata!$J210), "", ETLMetadata!$J210)</f>
        <v/>
      </c>
      <c r="D210" s="11" t="str">
        <f>ETLMetadata!$G210</f>
        <v>DATE</v>
      </c>
      <c r="E210" s="12"/>
      <c r="F210" s="12"/>
      <c r="G210" s="12" t="str">
        <f t="shared" si="6"/>
        <v/>
      </c>
      <c r="H210" s="12"/>
      <c r="I210" s="12"/>
      <c r="J210" s="13">
        <v>45952</v>
      </c>
      <c r="K210" s="13">
        <v>2958465</v>
      </c>
      <c r="L210" s="11" t="str">
        <f t="shared" si="7"/>
        <v>INSERT INTO metadata_reference.file_schema VALUES('CUST_CST_CUEM','Start_Date',NULL,'DATE',NULL,NULL,NULL,NULL,'2025-10-22','9999-12-31',USER, CURRENT_TIMESTAMP(0));</v>
      </c>
    </row>
    <row r="211" spans="1:12" ht="15" customHeight="1">
      <c r="A211" s="11" t="str">
        <f>ETLMetadata!$C211</f>
        <v>CUST_CST_CUEM</v>
      </c>
      <c r="B211" s="11" t="str">
        <f>ETLMetadata!$E211</f>
        <v>End_Date</v>
      </c>
      <c r="C211" s="11" t="str">
        <f>IF(ISBLANK(ETLMetadata!$J211), "", ETLMetadata!$J211)</f>
        <v/>
      </c>
      <c r="D211" s="11" t="str">
        <f>ETLMetadata!$G211</f>
        <v>DATE</v>
      </c>
      <c r="E211" s="12"/>
      <c r="F211" s="12"/>
      <c r="G211" s="12" t="str">
        <f t="shared" si="6"/>
        <v/>
      </c>
      <c r="H211" s="12"/>
      <c r="I211" s="12"/>
      <c r="J211" s="13">
        <v>45952</v>
      </c>
      <c r="K211" s="13">
        <v>2958465</v>
      </c>
      <c r="L211" s="11" t="str">
        <f t="shared" si="7"/>
        <v>INSERT INTO metadata_reference.file_schema VALUES('CUST_CST_CUEM','End_Date',NULL,'DATE',NULL,NULL,NULL,NULL,'2025-10-22','9999-12-31',USER, CURRENT_TIMESTAMP(0));</v>
      </c>
    </row>
    <row r="212" spans="1:12" ht="15" customHeight="1">
      <c r="A212" s="11" t="str">
        <f>ETLMetadata!$C212</f>
        <v>CUST_CST_CUEM</v>
      </c>
      <c r="B212" s="11" t="str">
        <f>ETLMetadata!$E212</f>
        <v>Record_Deleted_Flag</v>
      </c>
      <c r="C212" s="11" t="str">
        <f>IF(ISBLANK(ETLMetadata!$J212), "", ETLMetadata!$J212)</f>
        <v/>
      </c>
      <c r="D212" s="11" t="str">
        <f>ETLMetadata!$G212</f>
        <v>BYTEINT</v>
      </c>
      <c r="E212" s="12"/>
      <c r="F212" s="12"/>
      <c r="G212" s="12" t="str">
        <f t="shared" si="6"/>
        <v/>
      </c>
      <c r="H212" s="12"/>
      <c r="I212" s="12"/>
      <c r="J212" s="13">
        <v>45952</v>
      </c>
      <c r="K212" s="13">
        <v>2958465</v>
      </c>
      <c r="L212" s="11" t="str">
        <f t="shared" si="7"/>
        <v>INSERT INTO metadata_reference.file_schema VALUES('CUST_CST_CUEM','Record_Deleted_Flag',NULL,'BYTEINT',NULL,NULL,NULL,NULL,'2025-10-22','9999-12-31',USER, CURRENT_TIMESTAMP(0));</v>
      </c>
    </row>
    <row r="213" spans="1:12" ht="15" customHeight="1">
      <c r="A213" s="11" t="str">
        <f>ETLMetadata!$C213</f>
        <v>CUST_CST_CUNM_RE</v>
      </c>
      <c r="B213" s="11" t="str">
        <f>ETLMetadata!$E213</f>
        <v>EXTRACT_DATE</v>
      </c>
      <c r="C213" s="11" t="str">
        <f>IF(ISBLANK(ETLMetadata!$J213), "", ETLMetadata!$J213)</f>
        <v/>
      </c>
      <c r="D213" s="11" t="str">
        <f>ETLMetadata!$G213</f>
        <v>DATE</v>
      </c>
      <c r="E213" s="12"/>
      <c r="F213" s="12"/>
      <c r="G213" s="12" t="str">
        <f t="shared" si="6"/>
        <v/>
      </c>
      <c r="H213" s="12"/>
      <c r="I213" s="12"/>
      <c r="J213" s="13">
        <v>45952</v>
      </c>
      <c r="K213" s="13">
        <v>2958465</v>
      </c>
      <c r="L213" s="11" t="str">
        <f t="shared" si="7"/>
        <v>INSERT INTO metadata_reference.file_schema VALUES('CUST_CST_CUNM_RE','EXTRACT_DATE',NULL,'DATE',NULL,NULL,NULL,NULL,'2025-10-22','9999-12-31',USER, CURRENT_TIMESTAMP(0));</v>
      </c>
    </row>
    <row r="214" spans="1:12" ht="15" customHeight="1">
      <c r="A214" s="11" t="str">
        <f>ETLMetadata!$C214</f>
        <v>CUST_CST_CUNM_RE</v>
      </c>
      <c r="B214" s="11" t="str">
        <f>ETLMetadata!$E214</f>
        <v>LOGICAL_DELETE_DATE</v>
      </c>
      <c r="C214" s="11" t="str">
        <f>IF(ISBLANK(ETLMetadata!$J214), "", ETLMetadata!$J214)</f>
        <v/>
      </c>
      <c r="D214" s="11" t="str">
        <f>ETLMetadata!$G214</f>
        <v>DATE</v>
      </c>
      <c r="E214" s="12"/>
      <c r="F214" s="12"/>
      <c r="G214" s="12" t="str">
        <f t="shared" si="6"/>
        <v/>
      </c>
      <c r="H214" s="12"/>
      <c r="I214" s="12"/>
      <c r="J214" s="13">
        <v>45952</v>
      </c>
      <c r="K214" s="13">
        <v>2958465</v>
      </c>
      <c r="L214" s="11" t="str">
        <f t="shared" si="7"/>
        <v>INSERT INTO metadata_reference.file_schema VALUES('CUST_CST_CUNM_RE','LOGICAL_DELETE_DATE',NULL,'DATE',NULL,NULL,NULL,NULL,'2025-10-22','9999-12-31',USER, CURRENT_TIMESTAMP(0));</v>
      </c>
    </row>
    <row r="215" spans="1:12" ht="15" customHeight="1">
      <c r="A215" s="11" t="str">
        <f>ETLMetadata!$C215</f>
        <v>CUST_CST_CUNM_RE</v>
      </c>
      <c r="B215" s="11" t="str">
        <f>ETLMetadata!$E215</f>
        <v>ENVIRONMENT_ID</v>
      </c>
      <c r="C215" s="11" t="str">
        <f>IF(ISBLANK(ETLMetadata!$J215), "", ETLMetadata!$J215)</f>
        <v>Y</v>
      </c>
      <c r="D215" s="11" t="str">
        <f>ETLMetadata!$G215</f>
        <v>CHAR(1)</v>
      </c>
      <c r="E215" s="12"/>
      <c r="F215" s="12"/>
      <c r="G215" s="12" t="str">
        <f t="shared" si="6"/>
        <v/>
      </c>
      <c r="H215" s="12"/>
      <c r="I215" s="12"/>
      <c r="J215" s="13">
        <v>45952</v>
      </c>
      <c r="K215" s="13">
        <v>2958465</v>
      </c>
      <c r="L215" s="11" t="str">
        <f t="shared" si="7"/>
        <v>INSERT INTO metadata_reference.file_schema VALUES('CUST_CST_CUNM_RE','ENVIRONMENT_ID','Y','CHAR(1)',NULL,NULL,NULL,NULL,'2025-10-22','9999-12-31',USER, CURRENT_TIMESTAMP(0));</v>
      </c>
    </row>
    <row r="216" spans="1:12" ht="15" customHeight="1">
      <c r="A216" s="11" t="str">
        <f>ETLMetadata!$C216</f>
        <v>CUST_CST_CUNM_RE</v>
      </c>
      <c r="B216" s="11" t="str">
        <f>ETLMetadata!$E216</f>
        <v>PERSON_ID</v>
      </c>
      <c r="C216" s="11" t="str">
        <f>IF(ISBLANK(ETLMetadata!$J216), "", ETLMetadata!$J216)</f>
        <v>Y</v>
      </c>
      <c r="D216" s="11" t="str">
        <f>ETLMetadata!$G216</f>
        <v>INTEGER</v>
      </c>
      <c r="E216" s="12"/>
      <c r="F216" s="12" t="s">
        <v>799</v>
      </c>
      <c r="G216" s="12" t="str">
        <f t="shared" si="6"/>
        <v>PERSONAL_IDENTITYINFOINDIRECT</v>
      </c>
      <c r="H216" s="12"/>
      <c r="I216" s="12"/>
      <c r="J216" s="13">
        <v>45952</v>
      </c>
      <c r="K216" s="13">
        <v>2958465</v>
      </c>
      <c r="L216" s="11" t="str">
        <f t="shared" si="7"/>
        <v>INSERT INTO metadata_reference.file_schema VALUES('CUST_CST_CUNM_RE','PERSON_ID','Y','INTEGER',NULL,'PERSONAL_IDENTITYINFOINDIRECT',NULL,NULL,'2025-10-22','9999-12-31',USER, CURRENT_TIMESTAMP(0));</v>
      </c>
    </row>
    <row r="217" spans="1:12" ht="15" customHeight="1">
      <c r="A217" s="11" t="str">
        <f>ETLMetadata!$C217</f>
        <v>CUST_CST_CUNM_RE</v>
      </c>
      <c r="B217" s="11" t="str">
        <f>ETLMetadata!$E217</f>
        <v>CUNM_DOV</v>
      </c>
      <c r="C217" s="11" t="str">
        <f>IF(ISBLANK(ETLMetadata!$J217), "", ETLMetadata!$J217)</f>
        <v/>
      </c>
      <c r="D217" s="11" t="str">
        <f>ETLMetadata!$G217</f>
        <v>DATE</v>
      </c>
      <c r="E217" s="12"/>
      <c r="F217" s="12"/>
      <c r="G217" s="12" t="str">
        <f t="shared" si="6"/>
        <v/>
      </c>
      <c r="H217" s="12"/>
      <c r="I217" s="12"/>
      <c r="J217" s="13">
        <v>45952</v>
      </c>
      <c r="K217" s="13">
        <v>2958465</v>
      </c>
      <c r="L217" s="11" t="str">
        <f t="shared" si="7"/>
        <v>INSERT INTO metadata_reference.file_schema VALUES('CUST_CST_CUNM_RE','CUNM_DOV',NULL,'DATE',NULL,NULL,NULL,NULL,'2025-10-22','9999-12-31',USER, CURRENT_TIMESTAMP(0));</v>
      </c>
    </row>
    <row r="218" spans="1:12" ht="15" customHeight="1">
      <c r="A218" s="11" t="str">
        <f>ETLMetadata!$C218</f>
        <v>CUST_CST_CUNM_RE</v>
      </c>
      <c r="B218" s="11" t="str">
        <f>ETLMetadata!$E218</f>
        <v>CUNM_DOV_ORIG</v>
      </c>
      <c r="C218" s="11" t="str">
        <f>IF(ISBLANK(ETLMetadata!$J218), "", ETLMetadata!$J218)</f>
        <v/>
      </c>
      <c r="D218" s="11" t="str">
        <f>ETLMetadata!$G218</f>
        <v>INTEGER</v>
      </c>
      <c r="E218" s="12"/>
      <c r="F218" s="12"/>
      <c r="G218" s="12" t="str">
        <f t="shared" si="6"/>
        <v/>
      </c>
      <c r="H218" s="12"/>
      <c r="I218" s="12"/>
      <c r="J218" s="13">
        <v>45952</v>
      </c>
      <c r="K218" s="13">
        <v>2958465</v>
      </c>
      <c r="L218" s="11" t="str">
        <f t="shared" si="7"/>
        <v>INSERT INTO metadata_reference.file_schema VALUES('CUST_CST_CUNM_RE','CUNM_DOV_ORIG',NULL,'INTEGER',NULL,NULL,NULL,NULL,'2025-10-22','9999-12-31',USER, CURRENT_TIMESTAMP(0));</v>
      </c>
    </row>
    <row r="219" spans="1:12" ht="15" customHeight="1">
      <c r="A219" s="11" t="str">
        <f>ETLMetadata!$C219</f>
        <v>CUST_CST_CUNM_RE</v>
      </c>
      <c r="B219" s="11" t="str">
        <f>ETLMetadata!$E219</f>
        <v>CUNM_NAME_TYPE_CODE</v>
      </c>
      <c r="C219" s="11" t="str">
        <f>IF(ISBLANK(ETLMetadata!$J219), "", ETLMetadata!$J219)</f>
        <v/>
      </c>
      <c r="D219" s="11" t="str">
        <f>ETLMetadata!$G219</f>
        <v>CHAR(3)</v>
      </c>
      <c r="E219" s="12"/>
      <c r="F219" s="12"/>
      <c r="G219" s="12" t="str">
        <f t="shared" si="6"/>
        <v/>
      </c>
      <c r="H219" s="12"/>
      <c r="I219" s="12"/>
      <c r="J219" s="13">
        <v>45952</v>
      </c>
      <c r="K219" s="13">
        <v>2958465</v>
      </c>
      <c r="L219" s="11" t="str">
        <f t="shared" si="7"/>
        <v>INSERT INTO metadata_reference.file_schema VALUES('CUST_CST_CUNM_RE','CUNM_NAME_TYPE_CODE',NULL,'CHAR(3)',NULL,NULL,NULL,NULL,'2025-10-22','9999-12-31',USER, CURRENT_TIMESTAMP(0));</v>
      </c>
    </row>
    <row r="220" spans="1:12" ht="15" customHeight="1">
      <c r="A220" s="11" t="str">
        <f>ETLMetadata!$C220</f>
        <v>CUST_CST_CUNM_RE</v>
      </c>
      <c r="B220" s="11" t="str">
        <f>ETLMetadata!$E220</f>
        <v>PROCESSING_SEQUENCE</v>
      </c>
      <c r="C220" s="11" t="str">
        <f>IF(ISBLANK(ETLMetadata!$J220), "", ETLMetadata!$J220)</f>
        <v>Y</v>
      </c>
      <c r="D220" s="11" t="str">
        <f>ETLMetadata!$G220</f>
        <v>SMALLINT</v>
      </c>
      <c r="E220" s="12"/>
      <c r="F220" s="12"/>
      <c r="G220" s="12" t="str">
        <f t="shared" si="6"/>
        <v/>
      </c>
      <c r="H220" s="12"/>
      <c r="I220" s="12"/>
      <c r="J220" s="13">
        <v>45952</v>
      </c>
      <c r="K220" s="13">
        <v>2958465</v>
      </c>
      <c r="L220" s="11" t="str">
        <f t="shared" si="7"/>
        <v>INSERT INTO metadata_reference.file_schema VALUES('CUST_CST_CUNM_RE','PROCESSING_SEQUENCE','Y','SMALLINT',NULL,NULL,NULL,NULL,'2025-10-22','9999-12-31',USER, CURRENT_TIMESTAMP(0));</v>
      </c>
    </row>
    <row r="221" spans="1:12" ht="15" customHeight="1">
      <c r="A221" s="11" t="str">
        <f>ETLMetadata!$C221</f>
        <v>CUST_CST_CUNM_RE</v>
      </c>
      <c r="B221" s="11" t="str">
        <f>ETLMetadata!$E221</f>
        <v>CUNM_AMR_1</v>
      </c>
      <c r="C221" s="11" t="str">
        <f>IF(ISBLANK(ETLMetadata!$J221), "", ETLMetadata!$J221)</f>
        <v/>
      </c>
      <c r="D221" s="11" t="str">
        <f>ETLMetadata!$G221</f>
        <v>CHAR(4)</v>
      </c>
      <c r="E221" s="12"/>
      <c r="F221" s="12"/>
      <c r="G221" s="12" t="str">
        <f t="shared" si="6"/>
        <v/>
      </c>
      <c r="H221" s="12"/>
      <c r="I221" s="12"/>
      <c r="J221" s="13">
        <v>45952</v>
      </c>
      <c r="K221" s="13">
        <v>2958465</v>
      </c>
      <c r="L221" s="11" t="str">
        <f t="shared" si="7"/>
        <v>INSERT INTO metadata_reference.file_schema VALUES('CUST_CST_CUNM_RE','CUNM_AMR_1',NULL,'CHAR(4)',NULL,NULL,NULL,NULL,'2025-10-22','9999-12-31',USER, CURRENT_TIMESTAMP(0));</v>
      </c>
    </row>
    <row r="222" spans="1:12" ht="15" customHeight="1">
      <c r="A222" s="11" t="str">
        <f>ETLMetadata!$C222</f>
        <v>CUST_CST_CUNM_RE</v>
      </c>
      <c r="B222" s="11" t="str">
        <f>ETLMetadata!$E222</f>
        <v>CUNM_AMR_2</v>
      </c>
      <c r="C222" s="11" t="str">
        <f>IF(ISBLANK(ETLMetadata!$J222), "", ETLMetadata!$J222)</f>
        <v/>
      </c>
      <c r="D222" s="11" t="str">
        <f>ETLMetadata!$G222</f>
        <v>CHAR(1)</v>
      </c>
      <c r="E222" s="12"/>
      <c r="F222" s="12"/>
      <c r="G222" s="12" t="str">
        <f t="shared" si="6"/>
        <v/>
      </c>
      <c r="H222" s="12"/>
      <c r="I222" s="12"/>
      <c r="J222" s="13">
        <v>45952</v>
      </c>
      <c r="K222" s="13">
        <v>2958465</v>
      </c>
      <c r="L222" s="11" t="str">
        <f t="shared" si="7"/>
        <v>INSERT INTO metadata_reference.file_schema VALUES('CUST_CST_CUNM_RE','CUNM_AMR_2',NULL,'CHAR(1)',NULL,NULL,NULL,NULL,'2025-10-22','9999-12-31',USER, CURRENT_TIMESTAMP(0));</v>
      </c>
    </row>
    <row r="223" spans="1:12" ht="15" customHeight="1">
      <c r="A223" s="11" t="str">
        <f>ETLMetadata!$C223</f>
        <v>CUST_CST_CUNM_RE</v>
      </c>
      <c r="B223" s="11" t="str">
        <f>ETLMetadata!$E223</f>
        <v>CUNM_AMR_3</v>
      </c>
      <c r="C223" s="11" t="str">
        <f>IF(ISBLANK(ETLMetadata!$J223), "", ETLMetadata!$J223)</f>
        <v/>
      </c>
      <c r="D223" s="11" t="str">
        <f>ETLMetadata!$G223</f>
        <v>CHAR(4)</v>
      </c>
      <c r="E223" s="12"/>
      <c r="F223" s="12"/>
      <c r="G223" s="12" t="str">
        <f t="shared" si="6"/>
        <v/>
      </c>
      <c r="H223" s="12"/>
      <c r="I223" s="12"/>
      <c r="J223" s="13">
        <v>45952</v>
      </c>
      <c r="K223" s="13">
        <v>2958465</v>
      </c>
      <c r="L223" s="11" t="str">
        <f t="shared" si="7"/>
        <v>INSERT INTO metadata_reference.file_schema VALUES('CUST_CST_CUNM_RE','CUNM_AMR_3',NULL,'CHAR(4)',NULL,NULL,NULL,NULL,'2025-10-22','9999-12-31',USER, CURRENT_TIMESTAMP(0));</v>
      </c>
    </row>
    <row r="224" spans="1:12" ht="15" customHeight="1">
      <c r="A224" s="11" t="str">
        <f>ETLMetadata!$C224</f>
        <v>CUST_CST_CUNM_RE</v>
      </c>
      <c r="B224" s="11" t="str">
        <f>ETLMetadata!$E224</f>
        <v>CUNM_DOB</v>
      </c>
      <c r="C224" s="11" t="str">
        <f>IF(ISBLANK(ETLMetadata!$J224), "", ETLMetadata!$J224)</f>
        <v/>
      </c>
      <c r="D224" s="11" t="str">
        <f>ETLMetadata!$G224</f>
        <v>DATE</v>
      </c>
      <c r="E224" s="12"/>
      <c r="F224" s="12" t="s">
        <v>802</v>
      </c>
      <c r="G224" s="12" t="str">
        <f t="shared" si="6"/>
        <v>PERSONAL_OTHERINFO</v>
      </c>
      <c r="H224" s="12"/>
      <c r="I224" s="12"/>
      <c r="J224" s="13">
        <v>45952</v>
      </c>
      <c r="K224" s="13">
        <v>2958465</v>
      </c>
      <c r="L224" s="11" t="str">
        <f t="shared" si="7"/>
        <v>INSERT INTO metadata_reference.file_schema VALUES('CUST_CST_CUNM_RE','CUNM_DOB',NULL,'DATE',NULL,'PERSONAL_OTHERINFO',NULL,NULL,'2025-10-22','9999-12-31',USER, CURRENT_TIMESTAMP(0));</v>
      </c>
    </row>
    <row r="225" spans="1:12" ht="15" customHeight="1">
      <c r="A225" s="11" t="str">
        <f>ETLMetadata!$C225</f>
        <v>CUST_CST_CUNM_RE</v>
      </c>
      <c r="B225" s="11" t="str">
        <f>ETLMetadata!$E225</f>
        <v>CUNM_DOB_ORIG</v>
      </c>
      <c r="C225" s="11" t="str">
        <f>IF(ISBLANK(ETLMetadata!$J225), "", ETLMetadata!$J225)</f>
        <v/>
      </c>
      <c r="D225" s="11" t="str">
        <f>ETLMetadata!$G225</f>
        <v>INTEGER</v>
      </c>
      <c r="E225" s="12"/>
      <c r="F225" s="12"/>
      <c r="G225" s="12" t="str">
        <f t="shared" si="6"/>
        <v/>
      </c>
      <c r="H225" s="12"/>
      <c r="I225" s="12"/>
      <c r="J225" s="13">
        <v>45952</v>
      </c>
      <c r="K225" s="13">
        <v>2958465</v>
      </c>
      <c r="L225" s="11" t="str">
        <f t="shared" si="7"/>
        <v>INSERT INTO metadata_reference.file_schema VALUES('CUST_CST_CUNM_RE','CUNM_DOB_ORIG',NULL,'INTEGER',NULL,NULL,NULL,NULL,'2025-10-22','9999-12-31',USER, CURRENT_TIMESTAMP(0));</v>
      </c>
    </row>
    <row r="226" spans="1:12" ht="15" customHeight="1">
      <c r="A226" s="11" t="str">
        <f>ETLMetadata!$C226</f>
        <v>CUST_CST_CUNM_RE</v>
      </c>
      <c r="B226" s="11" t="str">
        <f>ETLMetadata!$E226</f>
        <v>CUNM_SEX_CODE</v>
      </c>
      <c r="C226" s="11" t="str">
        <f>IF(ISBLANK(ETLMetadata!$J226), "", ETLMetadata!$J226)</f>
        <v/>
      </c>
      <c r="D226" s="11" t="str">
        <f>ETLMetadata!$G226</f>
        <v>CHAR(1)</v>
      </c>
      <c r="E226" s="12"/>
      <c r="F226" s="12"/>
      <c r="G226" s="12" t="str">
        <f t="shared" si="6"/>
        <v/>
      </c>
      <c r="H226" s="12"/>
      <c r="I226" s="12"/>
      <c r="J226" s="13">
        <v>45952</v>
      </c>
      <c r="K226" s="13">
        <v>2958465</v>
      </c>
      <c r="L226" s="11" t="str">
        <f t="shared" si="7"/>
        <v>INSERT INTO metadata_reference.file_schema VALUES('CUST_CST_CUNM_RE','CUNM_SEX_CODE',NULL,'CHAR(1)',NULL,NULL,NULL,NULL,'2025-10-22','9999-12-31',USER, CURRENT_TIMESTAMP(0));</v>
      </c>
    </row>
    <row r="227" spans="1:12" ht="15" customHeight="1">
      <c r="A227" s="11" t="str">
        <f>ETLMetadata!$C227</f>
        <v>CUST_CST_CUNM_RE</v>
      </c>
      <c r="B227" s="11" t="str">
        <f>ETLMetadata!$E227</f>
        <v>CUNM_SUFFIX_TITLE</v>
      </c>
      <c r="C227" s="11" t="str">
        <f>IF(ISBLANK(ETLMetadata!$J227), "", ETLMetadata!$J227)</f>
        <v/>
      </c>
      <c r="D227" s="11" t="str">
        <f>ETLMetadata!$G227</f>
        <v>VARCHAR(12)</v>
      </c>
      <c r="E227" s="12"/>
      <c r="F227" s="12" t="s">
        <v>800</v>
      </c>
      <c r="G227" s="12" t="str">
        <f t="shared" si="6"/>
        <v>PERSONAL_IDENTITYINFODIRECT</v>
      </c>
      <c r="H227" s="12"/>
      <c r="I227" s="12"/>
      <c r="J227" s="13">
        <v>45952</v>
      </c>
      <c r="K227" s="13">
        <v>2958465</v>
      </c>
      <c r="L227" s="11" t="str">
        <f t="shared" si="7"/>
        <v>INSERT INTO metadata_reference.file_schema VALUES('CUST_CST_CUNM_RE','CUNM_SUFFIX_TITLE',NULL,'VARCHAR(12)',NULL,'PERSONAL_IDENTITYINFODIRECT',NULL,NULL,'2025-10-22','9999-12-31',USER, CURRENT_TIMESTAMP(0));</v>
      </c>
    </row>
    <row r="228" spans="1:12" ht="15" customHeight="1">
      <c r="A228" s="11" t="str">
        <f>ETLMetadata!$C228</f>
        <v>CUST_CST_CUNM_RE</v>
      </c>
      <c r="B228" s="11" t="str">
        <f>ETLMetadata!$E228</f>
        <v>CUNM_SURNAME</v>
      </c>
      <c r="C228" s="11" t="str">
        <f>IF(ISBLANK(ETLMetadata!$J228), "", ETLMetadata!$J228)</f>
        <v/>
      </c>
      <c r="D228" s="11" t="str">
        <f>ETLMetadata!$G228</f>
        <v>VARCHAR(30)</v>
      </c>
      <c r="E228" s="12"/>
      <c r="F228" s="12" t="s">
        <v>800</v>
      </c>
      <c r="G228" s="12" t="str">
        <f t="shared" si="6"/>
        <v>PERSONAL_IDENTITYINFODIRECT</v>
      </c>
      <c r="H228" s="12"/>
      <c r="I228" s="12"/>
      <c r="J228" s="13">
        <v>45952</v>
      </c>
      <c r="K228" s="13">
        <v>2958465</v>
      </c>
      <c r="L228" s="11" t="str">
        <f t="shared" si="7"/>
        <v>INSERT INTO metadata_reference.file_schema VALUES('CUST_CST_CUNM_RE','CUNM_SURNAME',NULL,'VARCHAR(30)',NULL,'PERSONAL_IDENTITYINFODIRECT',NULL,NULL,'2025-10-22','9999-12-31',USER, CURRENT_TIMESTAMP(0));</v>
      </c>
    </row>
    <row r="229" spans="1:12" ht="15" customHeight="1">
      <c r="A229" s="11" t="str">
        <f>ETLMetadata!$C229</f>
        <v>CUST_CST_CUNM_RE</v>
      </c>
      <c r="B229" s="11" t="str">
        <f>ETLMetadata!$E229</f>
        <v>CUNM_TITLE</v>
      </c>
      <c r="C229" s="11" t="str">
        <f>IF(ISBLANK(ETLMetadata!$J229), "", ETLMetadata!$J229)</f>
        <v/>
      </c>
      <c r="D229" s="11" t="str">
        <f>ETLMetadata!$G229</f>
        <v>VARCHAR(12)</v>
      </c>
      <c r="E229" s="12"/>
      <c r="F229" s="12" t="s">
        <v>800</v>
      </c>
      <c r="G229" s="12" t="str">
        <f t="shared" si="6"/>
        <v>PERSONAL_IDENTITYINFODIRECT</v>
      </c>
      <c r="H229" s="12"/>
      <c r="I229" s="12"/>
      <c r="J229" s="13">
        <v>45952</v>
      </c>
      <c r="K229" s="13">
        <v>2958465</v>
      </c>
      <c r="L229" s="11" t="str">
        <f t="shared" si="7"/>
        <v>INSERT INTO metadata_reference.file_schema VALUES('CUST_CST_CUNM_RE','CUNM_TITLE',NULL,'VARCHAR(12)',NULL,'PERSONAL_IDENTITYINFODIRECT',NULL,NULL,'2025-10-22','9999-12-31',USER, CURRENT_TIMESTAMP(0));</v>
      </c>
    </row>
    <row r="230" spans="1:12" ht="15" customHeight="1">
      <c r="A230" s="11" t="str">
        <f>ETLMetadata!$C230</f>
        <v>CUST_CST_CUNM_RE</v>
      </c>
      <c r="B230" s="11" t="str">
        <f>ETLMetadata!$E230</f>
        <v>CUNM_1ST_NAME</v>
      </c>
      <c r="C230" s="11" t="str">
        <f>IF(ISBLANK(ETLMetadata!$J230), "", ETLMetadata!$J230)</f>
        <v/>
      </c>
      <c r="D230" s="11" t="str">
        <f>ETLMetadata!$G230</f>
        <v>VARCHAR(30)</v>
      </c>
      <c r="E230" s="12"/>
      <c r="F230" s="12" t="s">
        <v>800</v>
      </c>
      <c r="G230" s="12" t="str">
        <f t="shared" si="6"/>
        <v>PERSONAL_IDENTITYINFODIRECT</v>
      </c>
      <c r="H230" s="12"/>
      <c r="I230" s="12"/>
      <c r="J230" s="13">
        <v>45952</v>
      </c>
      <c r="K230" s="13">
        <v>2958465</v>
      </c>
      <c r="L230" s="11" t="str">
        <f t="shared" si="7"/>
        <v>INSERT INTO metadata_reference.file_schema VALUES('CUST_CST_CUNM_RE','CUNM_1ST_NAME',NULL,'VARCHAR(30)',NULL,'PERSONAL_IDENTITYINFODIRECT',NULL,NULL,'2025-10-22','9999-12-31',USER, CURRENT_TIMESTAMP(0));</v>
      </c>
    </row>
    <row r="231" spans="1:12" ht="15" customHeight="1">
      <c r="A231" s="11" t="str">
        <f>ETLMetadata!$C231</f>
        <v>CUST_CST_CUNM_RE</v>
      </c>
      <c r="B231" s="11" t="str">
        <f>ETLMetadata!$E231</f>
        <v>CUNM_2ND_NAME</v>
      </c>
      <c r="C231" s="11" t="str">
        <f>IF(ISBLANK(ETLMetadata!$J231), "", ETLMetadata!$J231)</f>
        <v/>
      </c>
      <c r="D231" s="11" t="str">
        <f>ETLMetadata!$G231</f>
        <v>VARCHAR(30)</v>
      </c>
      <c r="E231" s="12"/>
      <c r="F231" s="12" t="s">
        <v>800</v>
      </c>
      <c r="G231" s="12" t="str">
        <f t="shared" si="6"/>
        <v>PERSONAL_IDENTITYINFODIRECT</v>
      </c>
      <c r="H231" s="12"/>
      <c r="I231" s="12"/>
      <c r="J231" s="13">
        <v>45952</v>
      </c>
      <c r="K231" s="13">
        <v>2958465</v>
      </c>
      <c r="L231" s="11" t="str">
        <f t="shared" si="7"/>
        <v>INSERT INTO metadata_reference.file_schema VALUES('CUST_CST_CUNM_RE','CUNM_2ND_NAME',NULL,'VARCHAR(30)',NULL,'PERSONAL_IDENTITYINFODIRECT',NULL,NULL,'2025-10-22','9999-12-31',USER, CURRENT_TIMESTAMP(0));</v>
      </c>
    </row>
    <row r="232" spans="1:12" ht="15" customHeight="1">
      <c r="A232" s="11" t="str">
        <f>ETLMetadata!$C232</f>
        <v>CUST_CST_CUNM_RE</v>
      </c>
      <c r="B232" s="11" t="str">
        <f>ETLMetadata!$E232</f>
        <v>AMR1_RISL_DTS</v>
      </c>
      <c r="C232" s="11" t="str">
        <f>IF(ISBLANK(ETLMetadata!$J232), "", ETLMetadata!$J232)</f>
        <v/>
      </c>
      <c r="D232" s="11" t="str">
        <f>ETLMetadata!$G232</f>
        <v>TIMESTAMP(6)</v>
      </c>
      <c r="E232" s="12"/>
      <c r="F232" s="12"/>
      <c r="G232" s="12" t="str">
        <f t="shared" si="6"/>
        <v/>
      </c>
      <c r="H232" s="12"/>
      <c r="I232" s="12"/>
      <c r="J232" s="13">
        <v>45952</v>
      </c>
      <c r="K232" s="13">
        <v>2958465</v>
      </c>
      <c r="L232" s="11" t="str">
        <f t="shared" si="7"/>
        <v>INSERT INTO metadata_reference.file_schema VALUES('CUST_CST_CUNM_RE','AMR1_RISL_DTS',NULL,'TIMESTAMP(6)',NULL,NULL,NULL,NULL,'2025-10-22','9999-12-31',USER, CURRENT_TIMESTAMP(0));</v>
      </c>
    </row>
    <row r="233" spans="1:12" ht="15" customHeight="1">
      <c r="A233" s="11" t="str">
        <f>ETLMetadata!$C233</f>
        <v>CUST_CST_CUNM_RE</v>
      </c>
      <c r="B233" s="11" t="str">
        <f>ETLMetadata!$E233</f>
        <v>AMR3_RISL_DTS</v>
      </c>
      <c r="C233" s="11" t="str">
        <f>IF(ISBLANK(ETLMetadata!$J233), "", ETLMetadata!$J233)</f>
        <v/>
      </c>
      <c r="D233" s="11" t="str">
        <f>ETLMetadata!$G233</f>
        <v>TIMESTAMP(6)</v>
      </c>
      <c r="E233" s="12"/>
      <c r="F233" s="12"/>
      <c r="G233" s="12" t="str">
        <f t="shared" si="6"/>
        <v/>
      </c>
      <c r="H233" s="12"/>
      <c r="I233" s="12"/>
      <c r="J233" s="13">
        <v>45952</v>
      </c>
      <c r="K233" s="13">
        <v>2958465</v>
      </c>
      <c r="L233" s="11" t="str">
        <f t="shared" si="7"/>
        <v>INSERT INTO metadata_reference.file_schema VALUES('CUST_CST_CUNM_RE','AMR3_RISL_DTS',NULL,'TIMESTAMP(6)',NULL,NULL,NULL,NULL,'2025-10-22','9999-12-31',USER, CURRENT_TIMESTAMP(0));</v>
      </c>
    </row>
    <row r="234" spans="1:12" ht="15" customHeight="1">
      <c r="A234" s="11" t="str">
        <f>ETLMetadata!$C234</f>
        <v>CUST_CST_CUNM_RE</v>
      </c>
      <c r="B234" s="11" t="str">
        <f>ETLMetadata!$E234</f>
        <v>SLKEG</v>
      </c>
      <c r="C234" s="11" t="str">
        <f>IF(ISBLANK(ETLMetadata!$J234), "", ETLMetadata!$J234)</f>
        <v/>
      </c>
      <c r="D234" s="11" t="str">
        <f>ETLMetadata!$G234</f>
        <v>CHAR(13)</v>
      </c>
      <c r="E234" s="12"/>
      <c r="F234" s="12"/>
      <c r="G234" s="12" t="str">
        <f t="shared" si="6"/>
        <v/>
      </c>
      <c r="H234" s="12"/>
      <c r="I234" s="12"/>
      <c r="J234" s="13">
        <v>45952</v>
      </c>
      <c r="K234" s="13">
        <v>2958465</v>
      </c>
      <c r="L234" s="11" t="str">
        <f t="shared" si="7"/>
        <v>INSERT INTO metadata_reference.file_schema VALUES('CUST_CST_CUNM_RE','SLKEG',NULL,'CHAR(13)',NULL,NULL,NULL,NULL,'2025-10-22','9999-12-31',USER, CURRENT_TIMESTAMP(0));</v>
      </c>
    </row>
    <row r="235" spans="1:12" ht="15" customHeight="1">
      <c r="A235" s="11" t="str">
        <f>ETLMetadata!$C235</f>
        <v>CUST_CST_CUNM_RE</v>
      </c>
      <c r="B235" s="11" t="str">
        <f>ETLMetadata!$E235</f>
        <v>SLKGC</v>
      </c>
      <c r="C235" s="11" t="str">
        <f>IF(ISBLANK(ETLMetadata!$J235), "", ETLMetadata!$J235)</f>
        <v/>
      </c>
      <c r="D235" s="11" t="str">
        <f>ETLMetadata!$G235</f>
        <v>CHAR(1)</v>
      </c>
      <c r="E235" s="12"/>
      <c r="F235" s="12"/>
      <c r="G235" s="12" t="str">
        <f t="shared" si="6"/>
        <v/>
      </c>
      <c r="H235" s="12"/>
      <c r="I235" s="12"/>
      <c r="J235" s="13">
        <v>45952</v>
      </c>
      <c r="K235" s="13">
        <v>2958465</v>
      </c>
      <c r="L235" s="11" t="str">
        <f t="shared" si="7"/>
        <v>INSERT INTO metadata_reference.file_schema VALUES('CUST_CST_CUNM_RE','SLKGC',NULL,'CHAR(1)',NULL,NULL,NULL,NULL,'2025-10-22','9999-12-31',USER, CURRENT_TIMESTAMP(0));</v>
      </c>
    </row>
    <row r="236" spans="1:12" ht="15" customHeight="1">
      <c r="A236" s="11" t="str">
        <f>ETLMetadata!$C236</f>
        <v>CUST_CST_CUNM_RE</v>
      </c>
      <c r="B236" s="11" t="str">
        <f>ETLMetadata!$E236</f>
        <v>PARTY_ROLE_ID</v>
      </c>
      <c r="C236" s="11" t="str">
        <f>IF(ISBLANK(ETLMetadata!$J236), "", ETLMetadata!$J236)</f>
        <v/>
      </c>
      <c r="D236" s="11" t="str">
        <f>ETLMetadata!$G236</f>
        <v>INTEGER</v>
      </c>
      <c r="E236" s="12"/>
      <c r="F236" s="12"/>
      <c r="G236" s="12" t="str">
        <f t="shared" si="6"/>
        <v/>
      </c>
      <c r="H236" s="12"/>
      <c r="I236" s="12"/>
      <c r="J236" s="13">
        <v>45952</v>
      </c>
      <c r="K236" s="13">
        <v>2958465</v>
      </c>
      <c r="L236" s="11" t="str">
        <f t="shared" si="7"/>
        <v>INSERT INTO metadata_reference.file_schema VALUES('CUST_CST_CUNM_RE','PARTY_ROLE_ID',NULL,'INTEGER',NULL,NULL,NULL,NULL,'2025-10-22','9999-12-31',USER, CURRENT_TIMESTAMP(0));</v>
      </c>
    </row>
    <row r="237" spans="1:12" ht="15" customHeight="1">
      <c r="A237" s="11" t="str">
        <f>ETLMetadata!$C237</f>
        <v>CUST_CST_CUNM_RE</v>
      </c>
      <c r="B237" s="11" t="str">
        <f>ETLMetadata!$E237</f>
        <v>PARTY_ID</v>
      </c>
      <c r="C237" s="11" t="str">
        <f>IF(ISBLANK(ETLMetadata!$J237), "", ETLMetadata!$J237)</f>
        <v/>
      </c>
      <c r="D237" s="11" t="str">
        <f>ETLMetadata!$G237</f>
        <v>INTEGER</v>
      </c>
      <c r="E237" s="12"/>
      <c r="F237" s="12"/>
      <c r="G237" s="12" t="str">
        <f t="shared" si="6"/>
        <v/>
      </c>
      <c r="H237" s="12"/>
      <c r="I237" s="12"/>
      <c r="J237" s="13">
        <v>45952</v>
      </c>
      <c r="K237" s="13">
        <v>2958465</v>
      </c>
      <c r="L237" s="11" t="str">
        <f t="shared" si="7"/>
        <v>INSERT INTO metadata_reference.file_schema VALUES('CUST_CST_CUNM_RE','PARTY_ID',NULL,'INTEGER',NULL,NULL,NULL,NULL,'2025-10-22','9999-12-31',USER, CURRENT_TIMESTAMP(0));</v>
      </c>
    </row>
    <row r="238" spans="1:12" ht="15" customHeight="1">
      <c r="A238" s="11" t="str">
        <f>ETLMetadata!$C238</f>
        <v>CUST_CST_CUNM_RE</v>
      </c>
      <c r="B238" s="11" t="str">
        <f>ETLMetadata!$E238</f>
        <v>ERROR_COUNT</v>
      </c>
      <c r="C238" s="11" t="str">
        <f>IF(ISBLANK(ETLMetadata!$J238), "", ETLMetadata!$J238)</f>
        <v/>
      </c>
      <c r="D238" s="11" t="str">
        <f>ETLMetadata!$G238</f>
        <v>SMALLINT</v>
      </c>
      <c r="E238" s="12"/>
      <c r="F238" s="12"/>
      <c r="G238" s="12" t="str">
        <f t="shared" si="6"/>
        <v/>
      </c>
      <c r="H238" s="12"/>
      <c r="I238" s="12"/>
      <c r="J238" s="13">
        <v>45952</v>
      </c>
      <c r="K238" s="13">
        <v>2958465</v>
      </c>
      <c r="L238" s="11" t="str">
        <f t="shared" si="7"/>
        <v>INSERT INTO metadata_reference.file_schema VALUES('CUST_CST_CUNM_RE','ERROR_COUNT',NULL,'SMALLINT',NULL,NULL,NULL,NULL,'2025-10-22','9999-12-31',USER, CURRENT_TIMESTAMP(0));</v>
      </c>
    </row>
    <row r="239" spans="1:12" ht="15" customHeight="1">
      <c r="A239" s="11" t="str">
        <f>ETLMetadata!$C239</f>
        <v>CUST_CST_CUNM_RE</v>
      </c>
      <c r="B239" s="11" t="str">
        <f>ETLMetadata!$E239</f>
        <v>Start_Date</v>
      </c>
      <c r="C239" s="11" t="str">
        <f>IF(ISBLANK(ETLMetadata!$J239), "", ETLMetadata!$J239)</f>
        <v/>
      </c>
      <c r="D239" s="11" t="str">
        <f>ETLMetadata!$G239</f>
        <v>DATE</v>
      </c>
      <c r="E239" s="12"/>
      <c r="F239" s="12"/>
      <c r="G239" s="12" t="str">
        <f t="shared" si="6"/>
        <v/>
      </c>
      <c r="H239" s="12"/>
      <c r="I239" s="12"/>
      <c r="J239" s="13">
        <v>45952</v>
      </c>
      <c r="K239" s="13">
        <v>2958465</v>
      </c>
      <c r="L239" s="11" t="str">
        <f t="shared" si="7"/>
        <v>INSERT INTO metadata_reference.file_schema VALUES('CUST_CST_CUNM_RE','Start_Date',NULL,'DATE',NULL,NULL,NULL,NULL,'2025-10-22','9999-12-31',USER, CURRENT_TIMESTAMP(0));</v>
      </c>
    </row>
    <row r="240" spans="1:12" ht="15" customHeight="1">
      <c r="A240" s="11" t="str">
        <f>ETLMetadata!$C240</f>
        <v>CUST_CST_CUNM_RE</v>
      </c>
      <c r="B240" s="11" t="str">
        <f>ETLMetadata!$E240</f>
        <v>End_Date</v>
      </c>
      <c r="C240" s="11" t="str">
        <f>IF(ISBLANK(ETLMetadata!$J240), "", ETLMetadata!$J240)</f>
        <v/>
      </c>
      <c r="D240" s="11" t="str">
        <f>ETLMetadata!$G240</f>
        <v>DATE</v>
      </c>
      <c r="E240" s="12"/>
      <c r="F240" s="12"/>
      <c r="G240" s="12" t="str">
        <f t="shared" si="6"/>
        <v/>
      </c>
      <c r="H240" s="12"/>
      <c r="I240" s="12"/>
      <c r="J240" s="13">
        <v>45952</v>
      </c>
      <c r="K240" s="13">
        <v>2958465</v>
      </c>
      <c r="L240" s="11" t="str">
        <f t="shared" si="7"/>
        <v>INSERT INTO metadata_reference.file_schema VALUES('CUST_CST_CUNM_RE','End_Date',NULL,'DATE',NULL,NULL,NULL,NULL,'2025-10-22','9999-12-31',USER, CURRENT_TIMESTAMP(0));</v>
      </c>
    </row>
    <row r="241" spans="1:12" ht="15" customHeight="1">
      <c r="A241" s="11" t="str">
        <f>ETLMetadata!$C241</f>
        <v>CUST_CST_CUNM_RE</v>
      </c>
      <c r="B241" s="11" t="str">
        <f>ETLMetadata!$E241</f>
        <v>Record_Deleted_Flag</v>
      </c>
      <c r="C241" s="11" t="str">
        <f>IF(ISBLANK(ETLMetadata!$J241), "", ETLMetadata!$J241)</f>
        <v/>
      </c>
      <c r="D241" s="11" t="str">
        <f>ETLMetadata!$G241</f>
        <v>BYTEINT</v>
      </c>
      <c r="E241" s="12"/>
      <c r="F241" s="12"/>
      <c r="G241" s="12" t="str">
        <f t="shared" si="6"/>
        <v/>
      </c>
      <c r="H241" s="12"/>
      <c r="I241" s="12"/>
      <c r="J241" s="13">
        <v>45952</v>
      </c>
      <c r="K241" s="13">
        <v>2958465</v>
      </c>
      <c r="L241" s="11" t="str">
        <f t="shared" si="7"/>
        <v>INSERT INTO metadata_reference.file_schema VALUES('CUST_CST_CUNM_RE','Record_Deleted_Flag',NULL,'BYTEINT',NULL,NULL,NULL,NULL,'2025-10-22','9999-12-31',USER, CURRENT_TIMESTAMP(0));</v>
      </c>
    </row>
    <row r="242" spans="1:12" ht="15" customHeight="1">
      <c r="A242" s="11" t="str">
        <f>ETLMetadata!$C242</f>
        <v>CUST_CST_CUNO_RE</v>
      </c>
      <c r="B242" s="11" t="str">
        <f>ETLMetadata!$E242</f>
        <v>EXTRACT_DATE</v>
      </c>
      <c r="C242" s="11" t="str">
        <f>IF(ISBLANK(ETLMetadata!$J242), "", ETLMetadata!$J242)</f>
        <v/>
      </c>
      <c r="D242" s="11" t="str">
        <f>ETLMetadata!$G242</f>
        <v>DATE</v>
      </c>
      <c r="E242" s="12"/>
      <c r="F242" s="12"/>
      <c r="G242" s="12" t="str">
        <f t="shared" si="6"/>
        <v/>
      </c>
      <c r="H242" s="12"/>
      <c r="I242" s="12"/>
      <c r="J242" s="13">
        <v>45952</v>
      </c>
      <c r="K242" s="13">
        <v>2958465</v>
      </c>
      <c r="L242" s="11" t="str">
        <f t="shared" si="7"/>
        <v>INSERT INTO metadata_reference.file_schema VALUES('CUST_CST_CUNO_RE','EXTRACT_DATE',NULL,'DATE',NULL,NULL,NULL,NULL,'2025-10-22','9999-12-31',USER, CURRENT_TIMESTAMP(0));</v>
      </c>
    </row>
    <row r="243" spans="1:12" ht="15" customHeight="1">
      <c r="A243" s="11" t="str">
        <f>ETLMetadata!$C243</f>
        <v>CUST_CST_CUNO_RE</v>
      </c>
      <c r="B243" s="11" t="str">
        <f>ETLMetadata!$E243</f>
        <v>LOGICAL_DELETE_DATE</v>
      </c>
      <c r="C243" s="11" t="str">
        <f>IF(ISBLANK(ETLMetadata!$J243), "", ETLMetadata!$J243)</f>
        <v/>
      </c>
      <c r="D243" s="11" t="str">
        <f>ETLMetadata!$G243</f>
        <v>DATE</v>
      </c>
      <c r="E243" s="12"/>
      <c r="F243" s="12"/>
      <c r="G243" s="12" t="str">
        <f t="shared" si="6"/>
        <v/>
      </c>
      <c r="H243" s="12"/>
      <c r="I243" s="12"/>
      <c r="J243" s="13">
        <v>45952</v>
      </c>
      <c r="K243" s="13">
        <v>2958465</v>
      </c>
      <c r="L243" s="11" t="str">
        <f t="shared" si="7"/>
        <v>INSERT INTO metadata_reference.file_schema VALUES('CUST_CST_CUNO_RE','LOGICAL_DELETE_DATE',NULL,'DATE',NULL,NULL,NULL,NULL,'2025-10-22','9999-12-31',USER, CURRENT_TIMESTAMP(0));</v>
      </c>
    </row>
    <row r="244" spans="1:12" ht="15" customHeight="1">
      <c r="A244" s="11" t="str">
        <f>ETLMetadata!$C244</f>
        <v>CUST_CST_CUNO_RE</v>
      </c>
      <c r="B244" s="11" t="str">
        <f>ETLMetadata!$E244</f>
        <v>ENVIRONMENT_ID</v>
      </c>
      <c r="C244" s="19" t="s">
        <v>83</v>
      </c>
      <c r="D244" s="11" t="str">
        <f>ETLMetadata!$G244</f>
        <v>CHAR(1)</v>
      </c>
      <c r="E244" s="12"/>
      <c r="F244" s="12"/>
      <c r="G244" s="12" t="str">
        <f t="shared" si="6"/>
        <v/>
      </c>
      <c r="H244" s="12"/>
      <c r="I244" s="12"/>
      <c r="J244" s="13">
        <v>45952</v>
      </c>
      <c r="K244" s="13">
        <v>2958465</v>
      </c>
      <c r="L244" s="11" t="str">
        <f t="shared" si="7"/>
        <v>INSERT INTO metadata_reference.file_schema VALUES('CUST_CST_CUNO_RE','ENVIRONMENT_ID','Y','CHAR(1)',NULL,NULL,NULL,NULL,'2025-10-22','9999-12-31',USER, CURRENT_TIMESTAMP(0));</v>
      </c>
    </row>
    <row r="245" spans="1:12" ht="15" customHeight="1">
      <c r="A245" s="11" t="str">
        <f>ETLMetadata!$C245</f>
        <v>CUST_CST_CUNO_RE</v>
      </c>
      <c r="B245" s="11" t="str">
        <f>ETLMetadata!$E245</f>
        <v>PERSON_ID</v>
      </c>
      <c r="C245" s="11" t="str">
        <f>IF(ISBLANK(ETLMetadata!$J245), "", ETLMetadata!$J245)</f>
        <v>Y</v>
      </c>
      <c r="D245" s="11" t="str">
        <f>ETLMetadata!$G245</f>
        <v>INTEGER</v>
      </c>
      <c r="E245" s="12"/>
      <c r="F245" s="12" t="s">
        <v>800</v>
      </c>
      <c r="G245" s="12" t="str">
        <f t="shared" si="6"/>
        <v>PERSONAL_IDENTITYINFODIRECT</v>
      </c>
      <c r="H245" s="12"/>
      <c r="I245" s="12"/>
      <c r="J245" s="13">
        <v>45952</v>
      </c>
      <c r="K245" s="13">
        <v>2958465</v>
      </c>
      <c r="L245" s="11" t="str">
        <f t="shared" si="7"/>
        <v>INSERT INTO metadata_reference.file_schema VALUES('CUST_CST_CUNO_RE','PERSON_ID','Y','INTEGER',NULL,'PERSONAL_IDENTITYINFODIRECT',NULL,NULL,'2025-10-22','9999-12-31',USER, CURRENT_TIMESTAMP(0));</v>
      </c>
    </row>
    <row r="246" spans="1:12" ht="15" customHeight="1">
      <c r="A246" s="11" t="str">
        <f>ETLMetadata!$C246</f>
        <v>CUST_CST_CUNO_RE</v>
      </c>
      <c r="B246" s="11" t="str">
        <f>ETLMetadata!$E246</f>
        <v>CUNO_AMR_1</v>
      </c>
      <c r="C246" s="11" t="str">
        <f>IF(ISBLANK(ETLMetadata!$J246), "", ETLMetadata!$J246)</f>
        <v/>
      </c>
      <c r="D246" s="11" t="str">
        <f>ETLMetadata!$G246</f>
        <v>CHAR(4)</v>
      </c>
      <c r="E246" s="12"/>
      <c r="F246" s="12"/>
      <c r="G246" s="12" t="str">
        <f t="shared" si="6"/>
        <v/>
      </c>
      <c r="H246" s="12"/>
      <c r="I246" s="12"/>
      <c r="J246" s="13">
        <v>45952</v>
      </c>
      <c r="K246" s="13">
        <v>2958465</v>
      </c>
      <c r="L246" s="11" t="str">
        <f t="shared" si="7"/>
        <v>INSERT INTO metadata_reference.file_schema VALUES('CUST_CST_CUNO_RE','CUNO_AMR_1',NULL,'CHAR(4)',NULL,NULL,NULL,NULL,'2025-10-22','9999-12-31',USER, CURRENT_TIMESTAMP(0));</v>
      </c>
    </row>
    <row r="247" spans="1:12" ht="15" customHeight="1">
      <c r="A247" s="11" t="str">
        <f>ETLMetadata!$C247</f>
        <v>CUST_CST_CUNO_RE</v>
      </c>
      <c r="B247" s="11" t="str">
        <f>ETLMetadata!$E247</f>
        <v>CUNO_AMR_2</v>
      </c>
      <c r="C247" s="11" t="str">
        <f>IF(ISBLANK(ETLMetadata!$J247), "", ETLMetadata!$J247)</f>
        <v/>
      </c>
      <c r="D247" s="11" t="str">
        <f>ETLMetadata!$G247</f>
        <v>CHAR(1)</v>
      </c>
      <c r="E247" s="12"/>
      <c r="F247" s="12"/>
      <c r="G247" s="12" t="str">
        <f t="shared" si="6"/>
        <v/>
      </c>
      <c r="H247" s="12"/>
      <c r="I247" s="12"/>
      <c r="J247" s="13">
        <v>45952</v>
      </c>
      <c r="K247" s="13">
        <v>2958465</v>
      </c>
      <c r="L247" s="11" t="str">
        <f t="shared" si="7"/>
        <v>INSERT INTO metadata_reference.file_schema VALUES('CUST_CST_CUNO_RE','CUNO_AMR_2',NULL,'CHAR(1)',NULL,NULL,NULL,NULL,'2025-10-22','9999-12-31',USER, CURRENT_TIMESTAMP(0));</v>
      </c>
    </row>
    <row r="248" spans="1:12" ht="15" customHeight="1">
      <c r="A248" s="11" t="str">
        <f>ETLMetadata!$C248</f>
        <v>CUST_CST_CUNO_RE</v>
      </c>
      <c r="B248" s="11" t="str">
        <f>ETLMetadata!$E248</f>
        <v>CUNO_AMR_3</v>
      </c>
      <c r="C248" s="11" t="str">
        <f>IF(ISBLANK(ETLMetadata!$J248), "", ETLMetadata!$J248)</f>
        <v/>
      </c>
      <c r="D248" s="11" t="str">
        <f>ETLMetadata!$G248</f>
        <v>CHAR(4)</v>
      </c>
      <c r="E248" s="12"/>
      <c r="F248" s="12"/>
      <c r="G248" s="12" t="str">
        <f t="shared" si="6"/>
        <v/>
      </c>
      <c r="H248" s="12"/>
      <c r="I248" s="12"/>
      <c r="J248" s="13">
        <v>45952</v>
      </c>
      <c r="K248" s="13">
        <v>2958465</v>
      </c>
      <c r="L248" s="11" t="str">
        <f t="shared" si="7"/>
        <v>INSERT INTO metadata_reference.file_schema VALUES('CUST_CST_CUNO_RE','CUNO_AMR_3',NULL,'CHAR(4)',NULL,NULL,NULL,NULL,'2025-10-22','9999-12-31',USER, CURRENT_TIMESTAMP(0));</v>
      </c>
    </row>
    <row r="249" spans="1:12" ht="15" customHeight="1">
      <c r="A249" s="11" t="str">
        <f>ETLMetadata!$C249</f>
        <v>CUST_CST_CUNO_RE</v>
      </c>
      <c r="B249" s="11" t="str">
        <f>ETLMetadata!$E249</f>
        <v>CUNO_DOV</v>
      </c>
      <c r="C249" s="11" t="str">
        <f>IF(ISBLANK(ETLMetadata!$J249), "", ETLMetadata!$J249)</f>
        <v/>
      </c>
      <c r="D249" s="11" t="str">
        <f>ETLMetadata!$G249</f>
        <v>INTEGER</v>
      </c>
      <c r="E249" s="12"/>
      <c r="F249" s="12"/>
      <c r="G249" s="12" t="str">
        <f t="shared" si="6"/>
        <v/>
      </c>
      <c r="H249" s="12"/>
      <c r="I249" s="12"/>
      <c r="J249" s="13">
        <v>45952</v>
      </c>
      <c r="K249" s="13">
        <v>2958465</v>
      </c>
      <c r="L249" s="11" t="str">
        <f t="shared" si="7"/>
        <v>INSERT INTO metadata_reference.file_schema VALUES('CUST_CST_CUNO_RE','CUNO_DOV',NULL,'INTEGER',NULL,NULL,NULL,NULL,'2025-10-22','9999-12-31',USER, CURRENT_TIMESTAMP(0));</v>
      </c>
    </row>
    <row r="250" spans="1:12" ht="15" customHeight="1">
      <c r="A250" s="11" t="str">
        <f>ETLMetadata!$C250</f>
        <v>CUST_CST_CUNO_RE</v>
      </c>
      <c r="B250" s="11" t="str">
        <f>ETLMetadata!$E250</f>
        <v>CUNO_ID</v>
      </c>
      <c r="C250" s="11" t="str">
        <f>IF(ISBLANK(ETLMetadata!$J250), "", ETLMetadata!$J250)</f>
        <v/>
      </c>
      <c r="D250" s="11" t="str">
        <f>ETLMetadata!$G250</f>
        <v>CHAR(6)</v>
      </c>
      <c r="E250" s="12"/>
      <c r="F250" s="12"/>
      <c r="G250" s="12" t="str">
        <f t="shared" si="6"/>
        <v/>
      </c>
      <c r="H250" s="12"/>
      <c r="I250" s="12"/>
      <c r="J250" s="13">
        <v>45952</v>
      </c>
      <c r="K250" s="13">
        <v>2958465</v>
      </c>
      <c r="L250" s="11" t="str">
        <f t="shared" si="7"/>
        <v>INSERT INTO metadata_reference.file_schema VALUES('CUST_CST_CUNO_RE','CUNO_ID',NULL,'CHAR(6)',NULL,NULL,NULL,NULL,'2025-10-22','9999-12-31',USER, CURRENT_TIMESTAMP(0));</v>
      </c>
    </row>
    <row r="251" spans="1:12" ht="15" customHeight="1">
      <c r="A251" s="11" t="str">
        <f>ETLMetadata!$C251</f>
        <v>CUST_CST_CUNO_RE</v>
      </c>
      <c r="B251" s="11" t="str">
        <f>ETLMetadata!$E251</f>
        <v>PROCESSING_SEQUENCE</v>
      </c>
      <c r="C251" s="19" t="s">
        <v>83</v>
      </c>
      <c r="D251" s="11" t="str">
        <f>ETLMetadata!$G251</f>
        <v>SMALLINT</v>
      </c>
      <c r="E251" s="12"/>
      <c r="F251" s="12"/>
      <c r="G251" s="12" t="str">
        <f t="shared" si="6"/>
        <v/>
      </c>
      <c r="H251" s="12"/>
      <c r="I251" s="12"/>
      <c r="J251" s="13">
        <v>45952</v>
      </c>
      <c r="K251" s="13">
        <v>2958465</v>
      </c>
      <c r="L251" s="11" t="str">
        <f t="shared" si="7"/>
        <v>INSERT INTO metadata_reference.file_schema VALUES('CUST_CST_CUNO_RE','PROCESSING_SEQUENCE','Y','SMALLINT',NULL,NULL,NULL,NULL,'2025-10-22','9999-12-31',USER, CURRENT_TIMESTAMP(0));</v>
      </c>
    </row>
    <row r="252" spans="1:12" ht="15" customHeight="1">
      <c r="A252" s="11" t="str">
        <f>ETLMetadata!$C252</f>
        <v>CUST_CST_CUNO_RE</v>
      </c>
      <c r="B252" s="11" t="str">
        <f>ETLMetadata!$E252</f>
        <v>CUNO_ADDR_TYPE_CODE</v>
      </c>
      <c r="C252" s="11" t="str">
        <f>IF(ISBLANK(ETLMetadata!$J252), "", ETLMetadata!$J252)</f>
        <v/>
      </c>
      <c r="D252" s="11" t="str">
        <f>ETLMetadata!$G252</f>
        <v>CHAR(3)</v>
      </c>
      <c r="E252" s="12"/>
      <c r="F252" s="12"/>
      <c r="G252" s="12" t="str">
        <f t="shared" si="6"/>
        <v/>
      </c>
      <c r="H252" s="12"/>
      <c r="I252" s="12"/>
      <c r="J252" s="13">
        <v>45952</v>
      </c>
      <c r="K252" s="13">
        <v>2958465</v>
      </c>
      <c r="L252" s="11" t="str">
        <f t="shared" si="7"/>
        <v>INSERT INTO metadata_reference.file_schema VALUES('CUST_CST_CUNO_RE','CUNO_ADDR_TYPE_CODE',NULL,'CHAR(3)',NULL,NULL,NULL,NULL,'2025-10-22','9999-12-31',USER, CURRENT_TIMESTAMP(0));</v>
      </c>
    </row>
    <row r="253" spans="1:12" ht="15" customHeight="1">
      <c r="A253" s="11" t="str">
        <f>ETLMetadata!$C253</f>
        <v>CUST_CST_CUNO_RE</v>
      </c>
      <c r="B253" s="11" t="str">
        <f>ETLMetadata!$E253</f>
        <v>CUNO_ADDR_1ST_LINE</v>
      </c>
      <c r="C253" s="11" t="str">
        <f>IF(ISBLANK(ETLMetadata!$J253), "", ETLMetadata!$J253)</f>
        <v/>
      </c>
      <c r="D253" s="11" t="str">
        <f>ETLMetadata!$G253</f>
        <v>VARCHAR(50)</v>
      </c>
      <c r="E253" s="12"/>
      <c r="F253" s="12" t="s">
        <v>801</v>
      </c>
      <c r="G253" s="12" t="str">
        <f t="shared" si="6"/>
        <v>PERSONAL_CONTACTINFO</v>
      </c>
      <c r="H253" s="12"/>
      <c r="I253" s="12"/>
      <c r="J253" s="13">
        <v>45952</v>
      </c>
      <c r="K253" s="13">
        <v>2958465</v>
      </c>
      <c r="L253" s="11" t="str">
        <f t="shared" si="7"/>
        <v>INSERT INTO metadata_reference.file_schema VALUES('CUST_CST_CUNO_RE','CUNO_ADDR_1ST_LINE',NULL,'VARCHAR(50)',NULL,'PERSONAL_CONTACTINFO',NULL,NULL,'2025-10-22','9999-12-31',USER, CURRENT_TIMESTAMP(0));</v>
      </c>
    </row>
    <row r="254" spans="1:12" ht="15" customHeight="1">
      <c r="A254" s="11" t="str">
        <f>ETLMetadata!$C254</f>
        <v>CUST_CST_CUNO_RE</v>
      </c>
      <c r="B254" s="11" t="str">
        <f>ETLMetadata!$E254</f>
        <v>CUNO_ADDR_2ND_LINE</v>
      </c>
      <c r="C254" s="11" t="str">
        <f>IF(ISBLANK(ETLMetadata!$J254), "", ETLMetadata!$J254)</f>
        <v/>
      </c>
      <c r="D254" s="11" t="str">
        <f>ETLMetadata!$G254</f>
        <v>VARCHAR(50)</v>
      </c>
      <c r="E254" s="12"/>
      <c r="F254" s="12" t="s">
        <v>801</v>
      </c>
      <c r="G254" s="12" t="str">
        <f t="shared" si="6"/>
        <v>PERSONAL_CONTACTINFO</v>
      </c>
      <c r="H254" s="12"/>
      <c r="I254" s="12"/>
      <c r="J254" s="13">
        <v>45952</v>
      </c>
      <c r="K254" s="13">
        <v>2958465</v>
      </c>
      <c r="L254" s="11" t="str">
        <f t="shared" si="7"/>
        <v>INSERT INTO metadata_reference.file_schema VALUES('CUST_CST_CUNO_RE','CUNO_ADDR_2ND_LINE',NULL,'VARCHAR(50)',NULL,'PERSONAL_CONTACTINFO',NULL,NULL,'2025-10-22','9999-12-31',USER, CURRENT_TIMESTAMP(0));</v>
      </c>
    </row>
    <row r="255" spans="1:12" ht="15" customHeight="1">
      <c r="A255" s="11" t="str">
        <f>ETLMetadata!$C255</f>
        <v>CUST_CST_CUNO_RE</v>
      </c>
      <c r="B255" s="11" t="str">
        <f>ETLMetadata!$E255</f>
        <v>CUNO_AUS_POSTCODE</v>
      </c>
      <c r="C255" s="11" t="str">
        <f>IF(ISBLANK(ETLMetadata!$J255), "", ETLMetadata!$J255)</f>
        <v/>
      </c>
      <c r="D255" s="11" t="str">
        <f>ETLMetadata!$G255</f>
        <v>CHAR(4)</v>
      </c>
      <c r="E255" s="12"/>
      <c r="F255" s="12" t="s">
        <v>801</v>
      </c>
      <c r="G255" s="12" t="str">
        <f t="shared" si="6"/>
        <v>PERSONAL_CONTACTINFO</v>
      </c>
      <c r="H255" s="12"/>
      <c r="I255" s="12"/>
      <c r="J255" s="13">
        <v>45952</v>
      </c>
      <c r="K255" s="13">
        <v>2958465</v>
      </c>
      <c r="L255" s="11" t="str">
        <f t="shared" si="7"/>
        <v>INSERT INTO metadata_reference.file_schema VALUES('CUST_CST_CUNO_RE','CUNO_AUS_POSTCODE',NULL,'CHAR(4)',NULL,'PERSONAL_CONTACTINFO',NULL,NULL,'2025-10-22','9999-12-31',USER, CURRENT_TIMESTAMP(0));</v>
      </c>
    </row>
    <row r="256" spans="1:12" ht="15" customHeight="1">
      <c r="A256" s="11" t="str">
        <f>ETLMetadata!$C256</f>
        <v>CUST_CST_CUNO_RE</v>
      </c>
      <c r="B256" s="11" t="str">
        <f>ETLMetadata!$E256</f>
        <v>CUNO_CMTY_CODE</v>
      </c>
      <c r="C256" s="11" t="str">
        <f>IF(ISBLANK(ETLMetadata!$J256), "", ETLMetadata!$J256)</f>
        <v/>
      </c>
      <c r="D256" s="11" t="str">
        <f>ETLMetadata!$G256</f>
        <v>CHAR(4)</v>
      </c>
      <c r="E256" s="12"/>
      <c r="F256" s="12"/>
      <c r="G256" s="12" t="str">
        <f t="shared" si="6"/>
        <v/>
      </c>
      <c r="H256" s="12"/>
      <c r="I256" s="12"/>
      <c r="J256" s="13">
        <v>45952</v>
      </c>
      <c r="K256" s="13">
        <v>2958465</v>
      </c>
      <c r="L256" s="11" t="str">
        <f t="shared" si="7"/>
        <v>INSERT INTO metadata_reference.file_schema VALUES('CUST_CST_CUNO_RE','CUNO_CMTY_CODE',NULL,'CHAR(4)',NULL,NULL,NULL,NULL,'2025-10-22','9999-12-31',USER, CURRENT_TIMESTAMP(0));</v>
      </c>
    </row>
    <row r="257" spans="1:12" ht="15" customHeight="1">
      <c r="A257" s="11" t="str">
        <f>ETLMetadata!$C257</f>
        <v>CUST_CST_CUNO_RE</v>
      </c>
      <c r="B257" s="11" t="str">
        <f>ETLMetadata!$E257</f>
        <v>CUNO_DLVRY_PNT_ID</v>
      </c>
      <c r="C257" s="11" t="str">
        <f>IF(ISBLANK(ETLMetadata!$J257), "", ETLMetadata!$J257)</f>
        <v/>
      </c>
      <c r="D257" s="11" t="str">
        <f>ETLMetadata!$G257</f>
        <v>VARCHAR(8)</v>
      </c>
      <c r="E257" s="12"/>
      <c r="F257" s="12"/>
      <c r="G257" s="12" t="str">
        <f t="shared" si="6"/>
        <v/>
      </c>
      <c r="H257" s="12"/>
      <c r="I257" s="12"/>
      <c r="J257" s="13">
        <v>45952</v>
      </c>
      <c r="K257" s="13">
        <v>2958465</v>
      </c>
      <c r="L257" s="11" t="str">
        <f t="shared" si="7"/>
        <v>INSERT INTO metadata_reference.file_schema VALUES('CUST_CST_CUNO_RE','CUNO_DLVRY_PNT_ID',NULL,'VARCHAR(8)',NULL,NULL,NULL,NULL,'2025-10-22','9999-12-31',USER, CURRENT_TIMESTAMP(0));</v>
      </c>
    </row>
    <row r="258" spans="1:12" ht="15" customHeight="1">
      <c r="A258" s="11" t="str">
        <f>ETLMetadata!$C258</f>
        <v>CUST_CST_CUNO_RE</v>
      </c>
      <c r="B258" s="11" t="str">
        <f>ETLMetadata!$E258</f>
        <v>CUNO_CTRY_CODE</v>
      </c>
      <c r="C258" s="11" t="str">
        <f>IF(ISBLANK(ETLMetadata!$J258), "", ETLMetadata!$J258)</f>
        <v/>
      </c>
      <c r="D258" s="11" t="str">
        <f>ETLMetadata!$G258</f>
        <v>CHAR(2)</v>
      </c>
      <c r="E258" s="12"/>
      <c r="F258" s="12" t="s">
        <v>801</v>
      </c>
      <c r="G258" s="12" t="str">
        <f t="shared" si="6"/>
        <v>PERSONAL_CONTACTINFO</v>
      </c>
      <c r="H258" s="12"/>
      <c r="I258" s="12"/>
      <c r="J258" s="13">
        <v>45952</v>
      </c>
      <c r="K258" s="13">
        <v>2958465</v>
      </c>
      <c r="L258" s="11" t="str">
        <f t="shared" si="7"/>
        <v>INSERT INTO metadata_reference.file_schema VALUES('CUST_CST_CUNO_RE','CUNO_CTRY_CODE',NULL,'CHAR(2)',NULL,'PERSONAL_CONTACTINFO',NULL,NULL,'2025-10-22','9999-12-31',USER, CURRENT_TIMESTAMP(0));</v>
      </c>
    </row>
    <row r="259" spans="1:12" ht="15" customHeight="1">
      <c r="A259" s="11" t="str">
        <f>ETLMetadata!$C259</f>
        <v>CUST_CST_CUNO_RE</v>
      </c>
      <c r="B259" s="11" t="str">
        <f>ETLMetadata!$E259</f>
        <v>CUNO_DOB</v>
      </c>
      <c r="C259" s="11" t="str">
        <f>IF(ISBLANK(ETLMetadata!$J259), "", ETLMetadata!$J259)</f>
        <v/>
      </c>
      <c r="D259" s="11" t="str">
        <f>ETLMetadata!$G259</f>
        <v>INTEGER</v>
      </c>
      <c r="E259" s="12"/>
      <c r="F259" s="12" t="s">
        <v>802</v>
      </c>
      <c r="G259" s="12" t="str">
        <f t="shared" ref="G259:G322" si="8">UPPER($F259)</f>
        <v>PERSONAL_OTHERINFO</v>
      </c>
      <c r="H259" s="12"/>
      <c r="I259" s="12"/>
      <c r="J259" s="13">
        <v>45952</v>
      </c>
      <c r="K259" s="13">
        <v>2958465</v>
      </c>
      <c r="L259" s="11" t="str">
        <f t="shared" ref="L259:L322" si="9">CONCATENATE("INSERT INTO metadata_reference.file_schema VALUES('",TRIM(A259),"','",TRIM(B259),"',",IF(TRIM(C259)="","NULL","'"&amp;TRIM(C259)&amp;"'"),",'",TRIM(D259),"',",IF(TRIM(E259)="","NULL","'"&amp;TRIM(E259)&amp;"'"),",",IF(TRIM(G259)="","NULL","'"&amp;TRIM(G259)&amp;"'"),",",IF(TRIM(H259)="","NULL","'"&amp;TRIM(H259)&amp;"'"),",",
IF(TRIM(I259)="","NULL",TRIM(I259)),",",IF(TRIM(J259)="","NULL","'"&amp;TEXT(J259,"yyyy-mm-dd")&amp;"'"),",",IF(TRIM(K259)="","NULL","'"&amp;TEXT(K259,"yyyy-mm-dd")&amp;"'"),",","USER, CURRENT_TIMESTAMP(0));")</f>
        <v>INSERT INTO metadata_reference.file_schema VALUES('CUST_CST_CUNO_RE','CUNO_DOB',NULL,'INTEGER',NULL,'PERSONAL_OTHERINFO',NULL,NULL,'2025-10-22','9999-12-31',USER, CURRENT_TIMESTAMP(0));</v>
      </c>
    </row>
    <row r="260" spans="1:12" ht="15" customHeight="1">
      <c r="A260" s="11" t="str">
        <f>ETLMetadata!$C260</f>
        <v>CUST_CST_CUNO_RE</v>
      </c>
      <c r="B260" s="11" t="str">
        <f>ETLMetadata!$E260</f>
        <v>CUNO_INST_CODE</v>
      </c>
      <c r="C260" s="11" t="str">
        <f>IF(ISBLANK(ETLMetadata!$J260), "", ETLMetadata!$J260)</f>
        <v/>
      </c>
      <c r="D260" s="11" t="str">
        <f>ETLMetadata!$G260</f>
        <v>VARCHAR(8)</v>
      </c>
      <c r="E260" s="12"/>
      <c r="F260" s="12"/>
      <c r="G260" s="12" t="str">
        <f t="shared" si="8"/>
        <v/>
      </c>
      <c r="H260" s="12"/>
      <c r="I260" s="12"/>
      <c r="J260" s="13">
        <v>45952</v>
      </c>
      <c r="K260" s="13">
        <v>2958465</v>
      </c>
      <c r="L260" s="11" t="str">
        <f t="shared" si="9"/>
        <v>INSERT INTO metadata_reference.file_schema VALUES('CUST_CST_CUNO_RE','CUNO_INST_CODE',NULL,'VARCHAR(8)',NULL,NULL,NULL,NULL,'2025-10-22','9999-12-31',USER, CURRENT_TIMESTAMP(0));</v>
      </c>
    </row>
    <row r="261" spans="1:12" ht="15" customHeight="1">
      <c r="A261" s="11" t="str">
        <f>ETLMetadata!$C261</f>
        <v>CUST_CST_CUNO_RE</v>
      </c>
      <c r="B261" s="11" t="str">
        <f>ETLMetadata!$E261</f>
        <v>CUNO_NOM_PERSON_ID</v>
      </c>
      <c r="C261" s="11" t="str">
        <f>IF(ISBLANK(ETLMetadata!$J261), "", ETLMetadata!$J261)</f>
        <v/>
      </c>
      <c r="D261" s="11" t="str">
        <f>ETLMetadata!$G261</f>
        <v>INTEGER</v>
      </c>
      <c r="E261" s="12"/>
      <c r="F261" s="12" t="s">
        <v>800</v>
      </c>
      <c r="G261" s="12" t="str">
        <f t="shared" si="8"/>
        <v>PERSONAL_IDENTITYINFODIRECT</v>
      </c>
      <c r="H261" s="12"/>
      <c r="I261" s="12"/>
      <c r="J261" s="13">
        <v>45952</v>
      </c>
      <c r="K261" s="13">
        <v>2958465</v>
      </c>
      <c r="L261" s="11" t="str">
        <f t="shared" si="9"/>
        <v>INSERT INTO metadata_reference.file_schema VALUES('CUST_CST_CUNO_RE','CUNO_NOM_PERSON_ID',NULL,'INTEGER',NULL,'PERSONAL_IDENTITYINFODIRECT',NULL,NULL,'2025-10-22','9999-12-31',USER, CURRENT_TIMESTAMP(0));</v>
      </c>
    </row>
    <row r="262" spans="1:12" ht="15" customHeight="1">
      <c r="A262" s="11" t="str">
        <f>ETLMetadata!$C262</f>
        <v>CUST_CST_CUNO_RE</v>
      </c>
      <c r="B262" s="11" t="str">
        <f>ETLMetadata!$E262</f>
        <v>CUNO_NOM_RSN_CODE</v>
      </c>
      <c r="C262" s="11" t="str">
        <f>IF(ISBLANK(ETLMetadata!$J262), "", ETLMetadata!$J262)</f>
        <v/>
      </c>
      <c r="D262" s="11" t="str">
        <f>ETLMetadata!$G262</f>
        <v>CHAR(3)</v>
      </c>
      <c r="E262" s="12"/>
      <c r="F262" s="12"/>
      <c r="G262" s="12" t="str">
        <f t="shared" si="8"/>
        <v/>
      </c>
      <c r="H262" s="12"/>
      <c r="I262" s="12"/>
      <c r="J262" s="13">
        <v>45952</v>
      </c>
      <c r="K262" s="13">
        <v>2958465</v>
      </c>
      <c r="L262" s="11" t="str">
        <f t="shared" si="9"/>
        <v>INSERT INTO metadata_reference.file_schema VALUES('CUST_CST_CUNO_RE','CUNO_NOM_RSN_CODE',NULL,'CHAR(3)',NULL,NULL,NULL,NULL,'2025-10-22','9999-12-31',USER, CURRENT_TIMESTAMP(0));</v>
      </c>
    </row>
    <row r="263" spans="1:12" ht="15" customHeight="1">
      <c r="A263" s="11" t="str">
        <f>ETLMetadata!$C263</f>
        <v>CUST_CST_CUNO_RE</v>
      </c>
      <c r="B263" s="11" t="str">
        <f>ETLMetadata!$E263</f>
        <v>CUNO_NOM_TYPE_CODE</v>
      </c>
      <c r="C263" s="11" t="str">
        <f>IF(ISBLANK(ETLMetadata!$J263), "", ETLMetadata!$J263)</f>
        <v/>
      </c>
      <c r="D263" s="11" t="str">
        <f>ETLMetadata!$G263</f>
        <v>CHAR(3)</v>
      </c>
      <c r="E263" s="12"/>
      <c r="F263" s="12"/>
      <c r="G263" s="12" t="str">
        <f t="shared" si="8"/>
        <v/>
      </c>
      <c r="H263" s="12"/>
      <c r="I263" s="12"/>
      <c r="J263" s="13">
        <v>45952</v>
      </c>
      <c r="K263" s="13">
        <v>2958465</v>
      </c>
      <c r="L263" s="11" t="str">
        <f t="shared" si="9"/>
        <v>INSERT INTO metadata_reference.file_schema VALUES('CUST_CST_CUNO_RE','CUNO_NOM_TYPE_CODE',NULL,'CHAR(3)',NULL,NULL,NULL,NULL,'2025-10-22','9999-12-31',USER, CURRENT_TIMESTAMP(0));</v>
      </c>
    </row>
    <row r="264" spans="1:12" ht="15" customHeight="1">
      <c r="A264" s="11" t="str">
        <f>ETLMetadata!$C264</f>
        <v>CUST_CST_CUNO_RE</v>
      </c>
      <c r="B264" s="11" t="str">
        <f>ETLMetadata!$E264</f>
        <v>CUNO_ORG_NAME</v>
      </c>
      <c r="C264" s="11" t="str">
        <f>IF(ISBLANK(ETLMetadata!$J264), "", ETLMetadata!$J264)</f>
        <v/>
      </c>
      <c r="D264" s="11" t="str">
        <f>ETLMetadata!$G264</f>
        <v>VARCHAR(50)</v>
      </c>
      <c r="E264" s="12"/>
      <c r="F264" s="12" t="s">
        <v>802</v>
      </c>
      <c r="G264" s="12" t="str">
        <f t="shared" si="8"/>
        <v>PERSONAL_OTHERINFO</v>
      </c>
      <c r="H264" s="12"/>
      <c r="I264" s="12"/>
      <c r="J264" s="13">
        <v>45952</v>
      </c>
      <c r="K264" s="13">
        <v>2958465</v>
      </c>
      <c r="L264" s="11" t="str">
        <f t="shared" si="9"/>
        <v>INSERT INTO metadata_reference.file_schema VALUES('CUST_CST_CUNO_RE','CUNO_ORG_NAME',NULL,'VARCHAR(50)',NULL,'PERSONAL_OTHERINFO',NULL,NULL,'2025-10-22','9999-12-31',USER, CURRENT_TIMESTAMP(0));</v>
      </c>
    </row>
    <row r="265" spans="1:12" ht="15" customHeight="1">
      <c r="A265" s="11" t="str">
        <f>ETLMetadata!$C265</f>
        <v>CUST_CST_CUNO_RE</v>
      </c>
      <c r="B265" s="11" t="str">
        <f>ETLMetadata!$E265</f>
        <v>CUNO_OSEAS_ADDR_3RD_LINE</v>
      </c>
      <c r="C265" s="11" t="str">
        <f>IF(ISBLANK(ETLMetadata!$J265), "", ETLMetadata!$J265)</f>
        <v/>
      </c>
      <c r="D265" s="11" t="str">
        <f>ETLMetadata!$G265</f>
        <v>VARCHAR(50)</v>
      </c>
      <c r="E265" s="12"/>
      <c r="F265" s="12" t="s">
        <v>801</v>
      </c>
      <c r="G265" s="12" t="str">
        <f t="shared" si="8"/>
        <v>PERSONAL_CONTACTINFO</v>
      </c>
      <c r="H265" s="12"/>
      <c r="I265" s="12"/>
      <c r="J265" s="13">
        <v>45952</v>
      </c>
      <c r="K265" s="13">
        <v>2958465</v>
      </c>
      <c r="L265" s="11" t="str">
        <f t="shared" si="9"/>
        <v>INSERT INTO metadata_reference.file_schema VALUES('CUST_CST_CUNO_RE','CUNO_OSEAS_ADDR_3RD_LINE',NULL,'VARCHAR(50)',NULL,'PERSONAL_CONTACTINFO',NULL,NULL,'2025-10-22','9999-12-31',USER, CURRENT_TIMESTAMP(0));</v>
      </c>
    </row>
    <row r="266" spans="1:12" ht="15" customHeight="1">
      <c r="A266" s="11" t="str">
        <f>ETLMetadata!$C266</f>
        <v>CUST_CST_CUNO_RE</v>
      </c>
      <c r="B266" s="11" t="str">
        <f>ETLMetadata!$E266</f>
        <v>CUNO_OSEAS_POSTCODE</v>
      </c>
      <c r="C266" s="11" t="str">
        <f>IF(ISBLANK(ETLMetadata!$J266), "", ETLMetadata!$J266)</f>
        <v/>
      </c>
      <c r="D266" s="11" t="str">
        <f>ETLMetadata!$G266</f>
        <v>VARCHAR(12)</v>
      </c>
      <c r="E266" s="12"/>
      <c r="F266" s="12" t="s">
        <v>801</v>
      </c>
      <c r="G266" s="12" t="str">
        <f t="shared" si="8"/>
        <v>PERSONAL_CONTACTINFO</v>
      </c>
      <c r="H266" s="12"/>
      <c r="I266" s="12"/>
      <c r="J266" s="13">
        <v>45952</v>
      </c>
      <c r="K266" s="13">
        <v>2958465</v>
      </c>
      <c r="L266" s="11" t="str">
        <f t="shared" si="9"/>
        <v>INSERT INTO metadata_reference.file_schema VALUES('CUST_CST_CUNO_RE','CUNO_OSEAS_POSTCODE',NULL,'VARCHAR(12)',NULL,'PERSONAL_CONTACTINFO',NULL,NULL,'2025-10-22','9999-12-31',USER, CURRENT_TIMESTAMP(0));</v>
      </c>
    </row>
    <row r="267" spans="1:12" ht="15" customHeight="1">
      <c r="A267" s="11" t="str">
        <f>ETLMetadata!$C267</f>
        <v>CUST_CST_CUNO_RE</v>
      </c>
      <c r="B267" s="11" t="str">
        <f>ETLMetadata!$E267</f>
        <v>CUNO_PASSWORD_TEXT</v>
      </c>
      <c r="C267" s="11" t="str">
        <f>IF(ISBLANK(ETLMetadata!$J267), "", ETLMetadata!$J267)</f>
        <v/>
      </c>
      <c r="D267" s="11" t="str">
        <f>ETLMetadata!$G267</f>
        <v>VARCHAR(255)</v>
      </c>
      <c r="E267" s="12"/>
      <c r="F267" s="12" t="s">
        <v>801</v>
      </c>
      <c r="G267" s="12" t="str">
        <f t="shared" si="8"/>
        <v>PERSONAL_CONTACTINFO</v>
      </c>
      <c r="H267" s="12"/>
      <c r="I267" s="12"/>
      <c r="J267" s="13">
        <v>45952</v>
      </c>
      <c r="K267" s="13">
        <v>2958465</v>
      </c>
      <c r="L267" s="11" t="str">
        <f t="shared" si="9"/>
        <v>INSERT INTO metadata_reference.file_schema VALUES('CUST_CST_CUNO_RE','CUNO_PASSWORD_TEXT',NULL,'VARCHAR(255)',NULL,'PERSONAL_CONTACTINFO',NULL,NULL,'2025-10-22','9999-12-31',USER, CURRENT_TIMESTAMP(0));</v>
      </c>
    </row>
    <row r="268" spans="1:12" ht="15" customHeight="1">
      <c r="A268" s="11" t="str">
        <f>ETLMetadata!$C268</f>
        <v>CUST_CST_CUNO_RE</v>
      </c>
      <c r="B268" s="11" t="str">
        <f>ETLMetadata!$E268</f>
        <v>CUNO_PHONE_AREA_CODE</v>
      </c>
      <c r="C268" s="11" t="str">
        <f>IF(ISBLANK(ETLMetadata!$J268), "", ETLMetadata!$J268)</f>
        <v/>
      </c>
      <c r="D268" s="11" t="str">
        <f>ETLMetadata!$G268</f>
        <v>SMALLINT</v>
      </c>
      <c r="E268" s="12"/>
      <c r="F268" s="12" t="s">
        <v>801</v>
      </c>
      <c r="G268" s="12" t="str">
        <f t="shared" si="8"/>
        <v>PERSONAL_CONTACTINFO</v>
      </c>
      <c r="H268" s="12"/>
      <c r="I268" s="12"/>
      <c r="J268" s="13">
        <v>45952</v>
      </c>
      <c r="K268" s="13">
        <v>2958465</v>
      </c>
      <c r="L268" s="11" t="str">
        <f t="shared" si="9"/>
        <v>INSERT INTO metadata_reference.file_schema VALUES('CUST_CST_CUNO_RE','CUNO_PHONE_AREA_CODE',NULL,'SMALLINT',NULL,'PERSONAL_CONTACTINFO',NULL,NULL,'2025-10-22','9999-12-31',USER, CURRENT_TIMESTAMP(0));</v>
      </c>
    </row>
    <row r="269" spans="1:12" ht="15" customHeight="1">
      <c r="A269" s="11" t="str">
        <f>ETLMetadata!$C269</f>
        <v>CUST_CST_CUNO_RE</v>
      </c>
      <c r="B269" s="11" t="str">
        <f>ETLMetadata!$E269</f>
        <v>CUNO_PHONE_NUM</v>
      </c>
      <c r="C269" s="11" t="str">
        <f>IF(ISBLANK(ETLMetadata!$J269), "", ETLMetadata!$J269)</f>
        <v/>
      </c>
      <c r="D269" s="11" t="str">
        <f>ETLMetadata!$G269</f>
        <v>VARCHAR(18)</v>
      </c>
      <c r="E269" s="12"/>
      <c r="F269" s="12" t="s">
        <v>801</v>
      </c>
      <c r="G269" s="12" t="str">
        <f t="shared" si="8"/>
        <v>PERSONAL_CONTACTINFO</v>
      </c>
      <c r="H269" s="12"/>
      <c r="I269" s="12"/>
      <c r="J269" s="13">
        <v>45952</v>
      </c>
      <c r="K269" s="13">
        <v>2958465</v>
      </c>
      <c r="L269" s="11" t="str">
        <f t="shared" si="9"/>
        <v>INSERT INTO metadata_reference.file_schema VALUES('CUST_CST_CUNO_RE','CUNO_PHONE_NUM',NULL,'VARCHAR(18)',NULL,'PERSONAL_CONTACTINFO',NULL,NULL,'2025-10-22','9999-12-31',USER, CURRENT_TIMESTAMP(0));</v>
      </c>
    </row>
    <row r="270" spans="1:12" ht="15" customHeight="1">
      <c r="A270" s="11" t="str">
        <f>ETLMetadata!$C270</f>
        <v>CUST_CST_CUNO_RE</v>
      </c>
      <c r="B270" s="11" t="str">
        <f>ETLMetadata!$E270</f>
        <v>CUNO_PHONE_TYPE_CODE</v>
      </c>
      <c r="C270" s="11" t="str">
        <f>IF(ISBLANK(ETLMetadata!$J270), "", ETLMetadata!$J270)</f>
        <v/>
      </c>
      <c r="D270" s="11" t="str">
        <f>ETLMetadata!$G270</f>
        <v>CHAR(3)</v>
      </c>
      <c r="E270" s="12"/>
      <c r="F270" s="12"/>
      <c r="G270" s="12" t="str">
        <f t="shared" si="8"/>
        <v/>
      </c>
      <c r="H270" s="12"/>
      <c r="I270" s="12"/>
      <c r="J270" s="13">
        <v>45952</v>
      </c>
      <c r="K270" s="13">
        <v>2958465</v>
      </c>
      <c r="L270" s="11" t="str">
        <f t="shared" si="9"/>
        <v>INSERT INTO metadata_reference.file_schema VALUES('CUST_CST_CUNO_RE','CUNO_PHONE_TYPE_CODE',NULL,'CHAR(3)',NULL,NULL,NULL,NULL,'2025-10-22','9999-12-31',USER, CURRENT_TIMESTAMP(0));</v>
      </c>
    </row>
    <row r="271" spans="1:12" ht="15" customHeight="1">
      <c r="A271" s="11" t="str">
        <f>ETLMetadata!$C271</f>
        <v>CUST_CST_CUNO_RE</v>
      </c>
      <c r="B271" s="11" t="str">
        <f>ETLMetadata!$E271</f>
        <v>CUNO_REL_TYPE_CODE</v>
      </c>
      <c r="C271" s="11" t="str">
        <f>IF(ISBLANK(ETLMetadata!$J271), "", ETLMetadata!$J271)</f>
        <v/>
      </c>
      <c r="D271" s="11" t="str">
        <f>ETLMetadata!$G271</f>
        <v>CHAR(3)</v>
      </c>
      <c r="E271" s="12"/>
      <c r="F271" s="12"/>
      <c r="G271" s="12" t="str">
        <f t="shared" si="8"/>
        <v/>
      </c>
      <c r="H271" s="12"/>
      <c r="I271" s="12"/>
      <c r="J271" s="13">
        <v>45952</v>
      </c>
      <c r="K271" s="13">
        <v>2958465</v>
      </c>
      <c r="L271" s="11" t="str">
        <f t="shared" si="9"/>
        <v>INSERT INTO metadata_reference.file_schema VALUES('CUST_CST_CUNO_RE','CUNO_REL_TYPE_CODE',NULL,'CHAR(3)',NULL,NULL,NULL,NULL,'2025-10-22','9999-12-31',USER, CURRENT_TIMESTAMP(0));</v>
      </c>
    </row>
    <row r="272" spans="1:12" ht="15" customHeight="1">
      <c r="A272" s="11" t="str">
        <f>ETLMetadata!$C272</f>
        <v>CUST_CST_CUNO_RE</v>
      </c>
      <c r="B272" s="11" t="str">
        <f>ETLMetadata!$E272</f>
        <v>CUNO_SPRS_LTTR_IND</v>
      </c>
      <c r="C272" s="11" t="str">
        <f>IF(ISBLANK(ETLMetadata!$J272), "", ETLMetadata!$J272)</f>
        <v/>
      </c>
      <c r="D272" s="11" t="str">
        <f>ETLMetadata!$G272</f>
        <v>CHAR(1)</v>
      </c>
      <c r="E272" s="12"/>
      <c r="F272" s="12"/>
      <c r="G272" s="12" t="str">
        <f t="shared" si="8"/>
        <v/>
      </c>
      <c r="H272" s="12"/>
      <c r="I272" s="12"/>
      <c r="J272" s="13">
        <v>45952</v>
      </c>
      <c r="K272" s="13">
        <v>2958465</v>
      </c>
      <c r="L272" s="11" t="str">
        <f t="shared" si="9"/>
        <v>INSERT INTO metadata_reference.file_schema VALUES('CUST_CST_CUNO_RE','CUNO_SPRS_LTTR_IND',NULL,'CHAR(1)',NULL,NULL,NULL,NULL,'2025-10-22','9999-12-31',USER, CURRENT_TIMESTAMP(0));</v>
      </c>
    </row>
    <row r="273" spans="1:12" ht="15" customHeight="1">
      <c r="A273" s="11" t="str">
        <f>ETLMetadata!$C273</f>
        <v>CUST_CST_CUNO_RE</v>
      </c>
      <c r="B273" s="11" t="str">
        <f>ETLMetadata!$E273</f>
        <v>CUNO_STATE_CODE</v>
      </c>
      <c r="C273" s="11" t="str">
        <f>IF(ISBLANK(ETLMetadata!$J273), "", ETLMetadata!$J273)</f>
        <v/>
      </c>
      <c r="D273" s="11" t="str">
        <f>ETLMetadata!$G273</f>
        <v>CHAR(3)</v>
      </c>
      <c r="E273" s="12"/>
      <c r="F273" s="12" t="s">
        <v>801</v>
      </c>
      <c r="G273" s="12" t="str">
        <f t="shared" si="8"/>
        <v>PERSONAL_CONTACTINFO</v>
      </c>
      <c r="H273" s="12"/>
      <c r="I273" s="12"/>
      <c r="J273" s="13">
        <v>45952</v>
      </c>
      <c r="K273" s="13">
        <v>2958465</v>
      </c>
      <c r="L273" s="11" t="str">
        <f t="shared" si="9"/>
        <v>INSERT INTO metadata_reference.file_schema VALUES('CUST_CST_CUNO_RE','CUNO_STATE_CODE',NULL,'CHAR(3)',NULL,'PERSONAL_CONTACTINFO',NULL,NULL,'2025-10-22','9999-12-31',USER, CURRENT_TIMESTAMP(0));</v>
      </c>
    </row>
    <row r="274" spans="1:12" ht="15" customHeight="1">
      <c r="A274" s="11" t="str">
        <f>ETLMetadata!$C274</f>
        <v>CUST_CST_CUNO_RE</v>
      </c>
      <c r="B274" s="11" t="str">
        <f>ETLMetadata!$E274</f>
        <v>CUNO_SUBURB_LOCALITY_NAME</v>
      </c>
      <c r="C274" s="11" t="str">
        <f>IF(ISBLANK(ETLMetadata!$J274), "", ETLMetadata!$J274)</f>
        <v/>
      </c>
      <c r="D274" s="11" t="str">
        <f>ETLMetadata!$G274</f>
        <v>VARCHAR(50)</v>
      </c>
      <c r="E274" s="12"/>
      <c r="F274" s="12" t="s">
        <v>801</v>
      </c>
      <c r="G274" s="12" t="str">
        <f t="shared" si="8"/>
        <v>PERSONAL_CONTACTINFO</v>
      </c>
      <c r="H274" s="12"/>
      <c r="I274" s="12"/>
      <c r="J274" s="13">
        <v>45952</v>
      </c>
      <c r="K274" s="13">
        <v>2958465</v>
      </c>
      <c r="L274" s="11" t="str">
        <f t="shared" si="9"/>
        <v>INSERT INTO metadata_reference.file_schema VALUES('CUST_CST_CUNO_RE','CUNO_SUBURB_LOCALITY_NAME',NULL,'VARCHAR(50)',NULL,'PERSONAL_CONTACTINFO',NULL,NULL,'2025-10-22','9999-12-31',USER, CURRENT_TIMESTAMP(0));</v>
      </c>
    </row>
    <row r="275" spans="1:12" ht="15" customHeight="1">
      <c r="A275" s="11" t="str">
        <f>ETLMetadata!$C275</f>
        <v>CUST_CST_CUNO_RE</v>
      </c>
      <c r="B275" s="11" t="str">
        <f>ETLMetadata!$E275</f>
        <v>CUNO_SURNAME</v>
      </c>
      <c r="C275" s="11" t="str">
        <f>IF(ISBLANK(ETLMetadata!$J275), "", ETLMetadata!$J275)</f>
        <v/>
      </c>
      <c r="D275" s="11" t="str">
        <f>ETLMetadata!$G275</f>
        <v>VARCHAR(30)</v>
      </c>
      <c r="E275" s="12"/>
      <c r="F275" s="12" t="s">
        <v>803</v>
      </c>
      <c r="G275" s="12" t="str">
        <f t="shared" si="8"/>
        <v>PERSONAL_IDENTITYINFRODIRECT</v>
      </c>
      <c r="H275" s="12"/>
      <c r="I275" s="12"/>
      <c r="J275" s="13">
        <v>45952</v>
      </c>
      <c r="K275" s="13">
        <v>2958465</v>
      </c>
      <c r="L275" s="11" t="str">
        <f t="shared" si="9"/>
        <v>INSERT INTO metadata_reference.file_schema VALUES('CUST_CST_CUNO_RE','CUNO_SURNAME',NULL,'VARCHAR(30)',NULL,'PERSONAL_IDENTITYINFRODIRECT',NULL,NULL,'2025-10-22','9999-12-31',USER, CURRENT_TIMESTAMP(0));</v>
      </c>
    </row>
    <row r="276" spans="1:12" ht="15" customHeight="1">
      <c r="A276" s="11" t="str">
        <f>ETLMetadata!$C276</f>
        <v>CUST_CST_CUNO_RE</v>
      </c>
      <c r="B276" s="11" t="str">
        <f>ETLMetadata!$E276</f>
        <v>CUNO_TITLE</v>
      </c>
      <c r="C276" s="11" t="str">
        <f>IF(ISBLANK(ETLMetadata!$J276), "", ETLMetadata!$J276)</f>
        <v/>
      </c>
      <c r="D276" s="11" t="str">
        <f>ETLMetadata!$G276</f>
        <v>VARCHAR(12)</v>
      </c>
      <c r="E276" s="12"/>
      <c r="F276" s="12"/>
      <c r="G276" s="12" t="str">
        <f t="shared" si="8"/>
        <v/>
      </c>
      <c r="H276" s="12"/>
      <c r="I276" s="12"/>
      <c r="J276" s="13">
        <v>45952</v>
      </c>
      <c r="K276" s="13">
        <v>2958465</v>
      </c>
      <c r="L276" s="11" t="str">
        <f t="shared" si="9"/>
        <v>INSERT INTO metadata_reference.file_schema VALUES('CUST_CST_CUNO_RE','CUNO_TITLE',NULL,'VARCHAR(12)',NULL,NULL,NULL,NULL,'2025-10-22','9999-12-31',USER, CURRENT_TIMESTAMP(0));</v>
      </c>
    </row>
    <row r="277" spans="1:12" ht="15" customHeight="1">
      <c r="A277" s="11" t="str">
        <f>ETLMetadata!$C277</f>
        <v>CUST_CST_CUNO_RE</v>
      </c>
      <c r="B277" s="11" t="str">
        <f>ETLMetadata!$E277</f>
        <v>CUNO_VAR_TEXT</v>
      </c>
      <c r="C277" s="11" t="str">
        <f>IF(ISBLANK(ETLMetadata!$J277), "", ETLMetadata!$J277)</f>
        <v/>
      </c>
      <c r="D277" s="11" t="str">
        <f>ETLMetadata!$G277</f>
        <v>VARCHAR(20)</v>
      </c>
      <c r="E277" s="12"/>
      <c r="F277" s="12"/>
      <c r="G277" s="12" t="str">
        <f t="shared" si="8"/>
        <v/>
      </c>
      <c r="H277" s="12"/>
      <c r="I277" s="12"/>
      <c r="J277" s="13">
        <v>45952</v>
      </c>
      <c r="K277" s="13">
        <v>2958465</v>
      </c>
      <c r="L277" s="11" t="str">
        <f t="shared" si="9"/>
        <v>INSERT INTO metadata_reference.file_schema VALUES('CUST_CST_CUNO_RE','CUNO_VAR_TEXT',NULL,'VARCHAR(20)',NULL,NULL,NULL,NULL,'2025-10-22','9999-12-31',USER, CURRENT_TIMESTAMP(0));</v>
      </c>
    </row>
    <row r="278" spans="1:12" ht="15" customHeight="1">
      <c r="A278" s="11" t="str">
        <f>ETLMetadata!$C278</f>
        <v>CUST_CST_CUNO_RE</v>
      </c>
      <c r="B278" s="11" t="str">
        <f>ETLMetadata!$E278</f>
        <v>CUNO_1ST_NAME</v>
      </c>
      <c r="C278" s="11" t="str">
        <f>IF(ISBLANK(ETLMetadata!$J278), "", ETLMetadata!$J278)</f>
        <v/>
      </c>
      <c r="D278" s="11" t="str">
        <f>ETLMetadata!$G278</f>
        <v>VARCHAR(30)</v>
      </c>
      <c r="E278" s="12"/>
      <c r="F278" s="12" t="s">
        <v>803</v>
      </c>
      <c r="G278" s="12" t="str">
        <f t="shared" si="8"/>
        <v>PERSONAL_IDENTITYINFRODIRECT</v>
      </c>
      <c r="H278" s="12"/>
      <c r="I278" s="12"/>
      <c r="J278" s="13">
        <v>45952</v>
      </c>
      <c r="K278" s="13">
        <v>2958465</v>
      </c>
      <c r="L278" s="11" t="str">
        <f t="shared" si="9"/>
        <v>INSERT INTO metadata_reference.file_schema VALUES('CUST_CST_CUNO_RE','CUNO_1ST_NAME',NULL,'VARCHAR(30)',NULL,'PERSONAL_IDENTITYINFRODIRECT',NULL,NULL,'2025-10-22','9999-12-31',USER, CURRENT_TIMESTAMP(0));</v>
      </c>
    </row>
    <row r="279" spans="1:12" ht="15" customHeight="1">
      <c r="A279" s="11" t="str">
        <f>ETLMetadata!$C279</f>
        <v>CUST_CST_CUNO_RE</v>
      </c>
      <c r="B279" s="11" t="str">
        <f>ETLMetadata!$E279</f>
        <v>CUNO_2ND_NAME</v>
      </c>
      <c r="C279" s="11" t="str">
        <f>IF(ISBLANK(ETLMetadata!$J279), "", ETLMetadata!$J279)</f>
        <v/>
      </c>
      <c r="D279" s="11" t="str">
        <f>ETLMetadata!$G279</f>
        <v>VARCHAR(30)</v>
      </c>
      <c r="E279" s="12"/>
      <c r="F279" s="12" t="s">
        <v>803</v>
      </c>
      <c r="G279" s="12" t="str">
        <f t="shared" si="8"/>
        <v>PERSONAL_IDENTITYINFRODIRECT</v>
      </c>
      <c r="H279" s="12"/>
      <c r="I279" s="12"/>
      <c r="J279" s="13">
        <v>45952</v>
      </c>
      <c r="K279" s="13">
        <v>2958465</v>
      </c>
      <c r="L279" s="11" t="str">
        <f t="shared" si="9"/>
        <v>INSERT INTO metadata_reference.file_schema VALUES('CUST_CST_CUNO_RE','CUNO_2ND_NAME',NULL,'VARCHAR(30)',NULL,'PERSONAL_IDENTITYINFRODIRECT',NULL,NULL,'2025-10-22','9999-12-31',USER, CURRENT_TIMESTAMP(0));</v>
      </c>
    </row>
    <row r="280" spans="1:12" ht="15" customHeight="1">
      <c r="A280" s="11" t="str">
        <f>ETLMetadata!$C280</f>
        <v>CUST_CST_CUNO_RE</v>
      </c>
      <c r="B280" s="11" t="str">
        <f>ETLMetadata!$E280</f>
        <v>AMR1_RISL_DTS</v>
      </c>
      <c r="C280" s="11" t="str">
        <f>IF(ISBLANK(ETLMetadata!$J280), "", ETLMetadata!$J280)</f>
        <v/>
      </c>
      <c r="D280" s="11" t="str">
        <f>ETLMetadata!$G280</f>
        <v>TIMESTAMP(6)</v>
      </c>
      <c r="E280" s="12"/>
      <c r="F280" s="12"/>
      <c r="G280" s="12" t="str">
        <f t="shared" si="8"/>
        <v/>
      </c>
      <c r="H280" s="12"/>
      <c r="I280" s="12"/>
      <c r="J280" s="13">
        <v>45952</v>
      </c>
      <c r="K280" s="13">
        <v>2958465</v>
      </c>
      <c r="L280" s="11" t="str">
        <f t="shared" si="9"/>
        <v>INSERT INTO metadata_reference.file_schema VALUES('CUST_CST_CUNO_RE','AMR1_RISL_DTS',NULL,'TIMESTAMP(6)',NULL,NULL,NULL,NULL,'2025-10-22','9999-12-31',USER, CURRENT_TIMESTAMP(0));</v>
      </c>
    </row>
    <row r="281" spans="1:12" ht="15" customHeight="1">
      <c r="A281" s="11" t="str">
        <f>ETLMetadata!$C281</f>
        <v>CUST_CST_CUNO_RE</v>
      </c>
      <c r="B281" s="11" t="str">
        <f>ETLMetadata!$E281</f>
        <v>AMR3_RISL_DTS</v>
      </c>
      <c r="C281" s="11" t="str">
        <f>IF(ISBLANK(ETLMetadata!$J281), "", ETLMetadata!$J281)</f>
        <v/>
      </c>
      <c r="D281" s="11" t="str">
        <f>ETLMetadata!$G281</f>
        <v>TIMESTAMP(6)</v>
      </c>
      <c r="E281" s="12"/>
      <c r="F281" s="12"/>
      <c r="G281" s="12" t="str">
        <f t="shared" si="8"/>
        <v/>
      </c>
      <c r="H281" s="12"/>
      <c r="I281" s="12"/>
      <c r="J281" s="13">
        <v>45952</v>
      </c>
      <c r="K281" s="13">
        <v>2958465</v>
      </c>
      <c r="L281" s="11" t="str">
        <f t="shared" si="9"/>
        <v>INSERT INTO metadata_reference.file_schema VALUES('CUST_CST_CUNO_RE','AMR3_RISL_DTS',NULL,'TIMESTAMP(6)',NULL,NULL,NULL,NULL,'2025-10-22','9999-12-31',USER, CURRENT_TIMESTAMP(0));</v>
      </c>
    </row>
    <row r="282" spans="1:12" ht="15" customHeight="1">
      <c r="A282" s="11" t="str">
        <f>ETLMetadata!$C282</f>
        <v>CUST_CST_CUNO_RE</v>
      </c>
      <c r="B282" s="11" t="str">
        <f>ETLMetadata!$E282</f>
        <v>PARTY_ROLE_ID</v>
      </c>
      <c r="C282" s="11" t="str">
        <f>IF(ISBLANK(ETLMetadata!$J282), "", ETLMetadata!$J282)</f>
        <v/>
      </c>
      <c r="D282" s="11" t="str">
        <f>ETLMetadata!$G282</f>
        <v>INTEGER</v>
      </c>
      <c r="E282" s="12"/>
      <c r="F282" s="12"/>
      <c r="G282" s="12" t="str">
        <f t="shared" si="8"/>
        <v/>
      </c>
      <c r="H282" s="12"/>
      <c r="I282" s="12"/>
      <c r="J282" s="13">
        <v>45952</v>
      </c>
      <c r="K282" s="13">
        <v>2958465</v>
      </c>
      <c r="L282" s="11" t="str">
        <f t="shared" si="9"/>
        <v>INSERT INTO metadata_reference.file_schema VALUES('CUST_CST_CUNO_RE','PARTY_ROLE_ID',NULL,'INTEGER',NULL,NULL,NULL,NULL,'2025-10-22','9999-12-31',USER, CURRENT_TIMESTAMP(0));</v>
      </c>
    </row>
    <row r="283" spans="1:12" ht="15" customHeight="1">
      <c r="A283" s="11" t="str">
        <f>ETLMetadata!$C283</f>
        <v>CUST_CST_CUNO_RE</v>
      </c>
      <c r="B283" s="11" t="str">
        <f>ETLMetadata!$E283</f>
        <v>RELATED_PARTY_ROLE_ID</v>
      </c>
      <c r="C283" s="11" t="str">
        <f>IF(ISBLANK(ETLMetadata!$J283), "", ETLMetadata!$J283)</f>
        <v/>
      </c>
      <c r="D283" s="11" t="str">
        <f>ETLMetadata!$G283</f>
        <v>INTEGER</v>
      </c>
      <c r="E283" s="12"/>
      <c r="F283" s="12"/>
      <c r="G283" s="12" t="str">
        <f t="shared" si="8"/>
        <v/>
      </c>
      <c r="H283" s="12"/>
      <c r="I283" s="12"/>
      <c r="J283" s="13">
        <v>45952</v>
      </c>
      <c r="K283" s="13">
        <v>2958465</v>
      </c>
      <c r="L283" s="11" t="str">
        <f t="shared" si="9"/>
        <v>INSERT INTO metadata_reference.file_schema VALUES('CUST_CST_CUNO_RE','RELATED_PARTY_ROLE_ID',NULL,'INTEGER',NULL,NULL,NULL,NULL,'2025-10-22','9999-12-31',USER, CURRENT_TIMESTAMP(0));</v>
      </c>
    </row>
    <row r="284" spans="1:12" ht="15" customHeight="1">
      <c r="A284" s="11" t="str">
        <f>ETLMetadata!$C284</f>
        <v>CUST_CST_CUNO_RE</v>
      </c>
      <c r="B284" s="11" t="str">
        <f>ETLMetadata!$E284</f>
        <v>ERROR_COUNT</v>
      </c>
      <c r="C284" s="11" t="str">
        <f>IF(ISBLANK(ETLMetadata!$J284), "", ETLMetadata!$J284)</f>
        <v/>
      </c>
      <c r="D284" s="11" t="str">
        <f>ETLMetadata!$G284</f>
        <v>SMALLINT</v>
      </c>
      <c r="E284" s="12"/>
      <c r="F284" s="12"/>
      <c r="G284" s="12" t="str">
        <f t="shared" si="8"/>
        <v/>
      </c>
      <c r="H284" s="12"/>
      <c r="I284" s="12"/>
      <c r="J284" s="13">
        <v>45952</v>
      </c>
      <c r="K284" s="13">
        <v>2958465</v>
      </c>
      <c r="L284" s="11" t="str">
        <f t="shared" si="9"/>
        <v>INSERT INTO metadata_reference.file_schema VALUES('CUST_CST_CUNO_RE','ERROR_COUNT',NULL,'SMALLINT',NULL,NULL,NULL,NULL,'2025-10-22','9999-12-31',USER, CURRENT_TIMESTAMP(0));</v>
      </c>
    </row>
    <row r="285" spans="1:12" ht="15" customHeight="1">
      <c r="A285" s="11" t="str">
        <f>ETLMetadata!$C285</f>
        <v>CUST_CST_CUNO_RE</v>
      </c>
      <c r="B285" s="11" t="str">
        <f>ETLMetadata!$E285</f>
        <v>Start_Date</v>
      </c>
      <c r="C285" s="11" t="str">
        <f>IF(ISBLANK(ETLMetadata!$J285), "", ETLMetadata!$J285)</f>
        <v/>
      </c>
      <c r="D285" s="11" t="str">
        <f>ETLMetadata!$G285</f>
        <v>DATE</v>
      </c>
      <c r="E285" s="12"/>
      <c r="F285" s="12"/>
      <c r="G285" s="12" t="str">
        <f t="shared" si="8"/>
        <v/>
      </c>
      <c r="H285" s="12"/>
      <c r="I285" s="12"/>
      <c r="J285" s="13">
        <v>45952</v>
      </c>
      <c r="K285" s="13">
        <v>2958465</v>
      </c>
      <c r="L285" s="11" t="str">
        <f t="shared" si="9"/>
        <v>INSERT INTO metadata_reference.file_schema VALUES('CUST_CST_CUNO_RE','Start_Date',NULL,'DATE',NULL,NULL,NULL,NULL,'2025-10-22','9999-12-31',USER, CURRENT_TIMESTAMP(0));</v>
      </c>
    </row>
    <row r="286" spans="1:12" ht="15" customHeight="1">
      <c r="A286" s="11" t="str">
        <f>ETLMetadata!$C286</f>
        <v>CUST_CST_CUNO_RE</v>
      </c>
      <c r="B286" s="11" t="str">
        <f>ETLMetadata!$E286</f>
        <v>End_Date</v>
      </c>
      <c r="C286" s="11" t="str">
        <f>IF(ISBLANK(ETLMetadata!$J286), "", ETLMetadata!$J286)</f>
        <v/>
      </c>
      <c r="D286" s="11" t="str">
        <f>ETLMetadata!$G286</f>
        <v>DATE</v>
      </c>
      <c r="E286" s="12"/>
      <c r="F286" s="12"/>
      <c r="G286" s="12" t="str">
        <f t="shared" si="8"/>
        <v/>
      </c>
      <c r="H286" s="12"/>
      <c r="I286" s="12"/>
      <c r="J286" s="13">
        <v>45952</v>
      </c>
      <c r="K286" s="13">
        <v>2958465</v>
      </c>
      <c r="L286" s="11" t="str">
        <f t="shared" si="9"/>
        <v>INSERT INTO metadata_reference.file_schema VALUES('CUST_CST_CUNO_RE','End_Date',NULL,'DATE',NULL,NULL,NULL,NULL,'2025-10-22','9999-12-31',USER, CURRENT_TIMESTAMP(0));</v>
      </c>
    </row>
    <row r="287" spans="1:12" ht="15" customHeight="1">
      <c r="A287" s="11" t="str">
        <f>ETLMetadata!$C287</f>
        <v>CUST_CST_CUNO_RE</v>
      </c>
      <c r="B287" s="11" t="str">
        <f>ETLMetadata!$E287</f>
        <v>Record_Deleted_Flag</v>
      </c>
      <c r="C287" s="11" t="str">
        <f>IF(ISBLANK(ETLMetadata!$J287), "", ETLMetadata!$J287)</f>
        <v/>
      </c>
      <c r="D287" s="11" t="str">
        <f>ETLMetadata!$G287</f>
        <v>BYTEINT</v>
      </c>
      <c r="E287" s="12"/>
      <c r="F287" s="12"/>
      <c r="G287" s="12" t="str">
        <f t="shared" si="8"/>
        <v/>
      </c>
      <c r="H287" s="12"/>
      <c r="I287" s="12"/>
      <c r="J287" s="13">
        <v>45952</v>
      </c>
      <c r="K287" s="13">
        <v>2958465</v>
      </c>
      <c r="L287" s="11" t="str">
        <f t="shared" si="9"/>
        <v>INSERT INTO metadata_reference.file_schema VALUES('CUST_CST_CUNO_RE','Record_Deleted_Flag',NULL,'BYTEINT',NULL,NULL,NULL,NULL,'2025-10-22','9999-12-31',USER, CURRENT_TIMESTAMP(0));</v>
      </c>
    </row>
    <row r="288" spans="1:12" ht="15" customHeight="1">
      <c r="A288" s="11" t="str">
        <f>ETLMetadata!$C288</f>
        <v>CUST_CST_CUOR</v>
      </c>
      <c r="B288" s="11" t="str">
        <f>ETLMetadata!$E288</f>
        <v>EXTRACT_DATE</v>
      </c>
      <c r="C288" s="11" t="str">
        <f>IF(ISBLANK(ETLMetadata!$J288), "", ETLMetadata!$J288)</f>
        <v/>
      </c>
      <c r="D288" s="11" t="str">
        <f>ETLMetadata!$G288</f>
        <v>DATE</v>
      </c>
      <c r="E288" s="12"/>
      <c r="F288" s="12"/>
      <c r="G288" s="12" t="str">
        <f t="shared" si="8"/>
        <v/>
      </c>
      <c r="H288" s="12"/>
      <c r="I288" s="12"/>
      <c r="J288" s="13">
        <v>45952</v>
      </c>
      <c r="K288" s="13">
        <v>2958465</v>
      </c>
      <c r="L288" s="11" t="str">
        <f t="shared" si="9"/>
        <v>INSERT INTO metadata_reference.file_schema VALUES('CUST_CST_CUOR','EXTRACT_DATE',NULL,'DATE',NULL,NULL,NULL,NULL,'2025-10-22','9999-12-31',USER, CURRENT_TIMESTAMP(0));</v>
      </c>
    </row>
    <row r="289" spans="1:12" ht="15" customHeight="1">
      <c r="A289" s="11" t="str">
        <f>ETLMetadata!$C289</f>
        <v>CUST_CST_CUOR</v>
      </c>
      <c r="B289" s="11" t="str">
        <f>ETLMetadata!$E289</f>
        <v>LOGICAL_DELETE_DATE</v>
      </c>
      <c r="C289" s="11" t="str">
        <f>IF(ISBLANK(ETLMetadata!$J289), "", ETLMetadata!$J289)</f>
        <v/>
      </c>
      <c r="D289" s="11" t="str">
        <f>ETLMetadata!$G289</f>
        <v>DATE</v>
      </c>
      <c r="E289" s="12"/>
      <c r="F289" s="12"/>
      <c r="G289" s="12" t="str">
        <f t="shared" si="8"/>
        <v/>
      </c>
      <c r="H289" s="12"/>
      <c r="I289" s="12"/>
      <c r="J289" s="13">
        <v>45952</v>
      </c>
      <c r="K289" s="13">
        <v>2958465</v>
      </c>
      <c r="L289" s="11" t="str">
        <f t="shared" si="9"/>
        <v>INSERT INTO metadata_reference.file_schema VALUES('CUST_CST_CUOR','LOGICAL_DELETE_DATE',NULL,'DATE',NULL,NULL,NULL,NULL,'2025-10-22','9999-12-31',USER, CURRENT_TIMESTAMP(0));</v>
      </c>
    </row>
    <row r="290" spans="1:12" ht="15" customHeight="1">
      <c r="A290" s="11" t="str">
        <f>ETLMetadata!$C290</f>
        <v>CUST_CST_CUOR</v>
      </c>
      <c r="B290" s="11" t="str">
        <f>ETLMetadata!$E290</f>
        <v>ENVIRONMENT_ID</v>
      </c>
      <c r="C290" s="11" t="str">
        <f>IF(ISBLANK(ETLMetadata!$J290), "", ETLMetadata!$J290)</f>
        <v>Y</v>
      </c>
      <c r="D290" s="11" t="str">
        <f>ETLMetadata!$G290</f>
        <v>CHAR(1)</v>
      </c>
      <c r="E290" s="12"/>
      <c r="F290" s="12"/>
      <c r="G290" s="12" t="str">
        <f t="shared" si="8"/>
        <v/>
      </c>
      <c r="H290" s="12"/>
      <c r="I290" s="12"/>
      <c r="J290" s="13">
        <v>45952</v>
      </c>
      <c r="K290" s="13">
        <v>2958465</v>
      </c>
      <c r="L290" s="11" t="str">
        <f t="shared" si="9"/>
        <v>INSERT INTO metadata_reference.file_schema VALUES('CUST_CST_CUOR','ENVIRONMENT_ID','Y','CHAR(1)',NULL,NULL,NULL,NULL,'2025-10-22','9999-12-31',USER, CURRENT_TIMESTAMP(0));</v>
      </c>
    </row>
    <row r="291" spans="1:12" ht="15" customHeight="1">
      <c r="A291" s="11" t="str">
        <f>ETLMetadata!$C291</f>
        <v>CUST_CST_CUOR</v>
      </c>
      <c r="B291" s="11" t="str">
        <f>ETLMetadata!$E291</f>
        <v>PERSON_ID</v>
      </c>
      <c r="C291" s="11" t="str">
        <f>IF(ISBLANK(ETLMetadata!$J291), "", ETLMetadata!$J291)</f>
        <v>Y</v>
      </c>
      <c r="D291" s="11" t="str">
        <f>ETLMetadata!$G291</f>
        <v>INTEGER</v>
      </c>
      <c r="E291" s="12"/>
      <c r="F291" s="12" t="s">
        <v>800</v>
      </c>
      <c r="G291" s="12" t="str">
        <f t="shared" si="8"/>
        <v>PERSONAL_IDENTITYINFODIRECT</v>
      </c>
      <c r="H291" s="12"/>
      <c r="I291" s="12"/>
      <c r="J291" s="13">
        <v>45952</v>
      </c>
      <c r="K291" s="13">
        <v>2958465</v>
      </c>
      <c r="L291" s="11" t="str">
        <f t="shared" si="9"/>
        <v>INSERT INTO metadata_reference.file_schema VALUES('CUST_CST_CUOR','PERSON_ID','Y','INTEGER',NULL,'PERSONAL_IDENTITYINFODIRECT',NULL,NULL,'2025-10-22','9999-12-31',USER, CURRENT_TIMESTAMP(0));</v>
      </c>
    </row>
    <row r="292" spans="1:12" ht="15" customHeight="1">
      <c r="A292" s="11" t="str">
        <f>ETLMetadata!$C292</f>
        <v>CUST_CST_CUOR</v>
      </c>
      <c r="B292" s="11" t="str">
        <f>ETLMetadata!$E292</f>
        <v>PROCESSING_SEQUENCE</v>
      </c>
      <c r="C292" s="11" t="str">
        <f>IF(ISBLANK(ETLMetadata!$J292), "", ETLMetadata!$J292)</f>
        <v>Y</v>
      </c>
      <c r="D292" s="11" t="str">
        <f>ETLMetadata!$G292</f>
        <v>SMALLINT</v>
      </c>
      <c r="E292" s="12"/>
      <c r="F292" s="12"/>
      <c r="G292" s="12" t="str">
        <f t="shared" si="8"/>
        <v/>
      </c>
      <c r="H292" s="12"/>
      <c r="I292" s="12"/>
      <c r="J292" s="13">
        <v>45952</v>
      </c>
      <c r="K292" s="13">
        <v>2958465</v>
      </c>
      <c r="L292" s="11" t="str">
        <f t="shared" si="9"/>
        <v>INSERT INTO metadata_reference.file_schema VALUES('CUST_CST_CUOR','PROCESSING_SEQUENCE','Y','SMALLINT',NULL,NULL,NULL,NULL,'2025-10-22','9999-12-31',USER, CURRENT_TIMESTAMP(0));</v>
      </c>
    </row>
    <row r="293" spans="1:12" ht="15" customHeight="1">
      <c r="A293" s="11" t="str">
        <f>ETLMetadata!$C293</f>
        <v>CUST_CST_CUOR</v>
      </c>
      <c r="B293" s="11" t="str">
        <f>ETLMetadata!$E293</f>
        <v>CUOR_AMR_1</v>
      </c>
      <c r="C293" s="11" t="str">
        <f>IF(ISBLANK(ETLMetadata!$J293), "", ETLMetadata!$J293)</f>
        <v/>
      </c>
      <c r="D293" s="11" t="str">
        <f>ETLMetadata!$G293</f>
        <v>CHAR(4)</v>
      </c>
      <c r="E293" s="12"/>
      <c r="F293" s="12"/>
      <c r="G293" s="12" t="str">
        <f t="shared" si="8"/>
        <v/>
      </c>
      <c r="H293" s="12"/>
      <c r="I293" s="12"/>
      <c r="J293" s="13">
        <v>45952</v>
      </c>
      <c r="K293" s="13">
        <v>2958465</v>
      </c>
      <c r="L293" s="11" t="str">
        <f t="shared" si="9"/>
        <v>INSERT INTO metadata_reference.file_schema VALUES('CUST_CST_CUOR','CUOR_AMR_1',NULL,'CHAR(4)',NULL,NULL,NULL,NULL,'2025-10-22','9999-12-31',USER, CURRENT_TIMESTAMP(0));</v>
      </c>
    </row>
    <row r="294" spans="1:12" ht="15" customHeight="1">
      <c r="A294" s="11" t="str">
        <f>ETLMetadata!$C294</f>
        <v>CUST_CST_CUOR</v>
      </c>
      <c r="B294" s="11" t="str">
        <f>ETLMetadata!$E294</f>
        <v>CUOR_AMR_2</v>
      </c>
      <c r="C294" s="11" t="str">
        <f>IF(ISBLANK(ETLMetadata!$J294), "", ETLMetadata!$J294)</f>
        <v/>
      </c>
      <c r="D294" s="11" t="str">
        <f>ETLMetadata!$G294</f>
        <v>CHAR(1)</v>
      </c>
      <c r="E294" s="12"/>
      <c r="F294" s="12"/>
      <c r="G294" s="12" t="str">
        <f t="shared" si="8"/>
        <v/>
      </c>
      <c r="H294" s="12"/>
      <c r="I294" s="12"/>
      <c r="J294" s="13">
        <v>45952</v>
      </c>
      <c r="K294" s="13">
        <v>2958465</v>
      </c>
      <c r="L294" s="11" t="str">
        <f t="shared" si="9"/>
        <v>INSERT INTO metadata_reference.file_schema VALUES('CUST_CST_CUOR','CUOR_AMR_2',NULL,'CHAR(1)',NULL,NULL,NULL,NULL,'2025-10-22','9999-12-31',USER, CURRENT_TIMESTAMP(0));</v>
      </c>
    </row>
    <row r="295" spans="1:12" ht="15" customHeight="1">
      <c r="A295" s="11" t="str">
        <f>ETLMetadata!$C295</f>
        <v>CUST_CST_CUOR</v>
      </c>
      <c r="B295" s="11" t="str">
        <f>ETLMetadata!$E295</f>
        <v>CUOR_AMR_3</v>
      </c>
      <c r="C295" s="11" t="str">
        <f>IF(ISBLANK(ETLMetadata!$J295), "", ETLMetadata!$J295)</f>
        <v/>
      </c>
      <c r="D295" s="11" t="str">
        <f>ETLMetadata!$G295</f>
        <v>CHAR(4)</v>
      </c>
      <c r="E295" s="12"/>
      <c r="F295" s="12"/>
      <c r="G295" s="12" t="str">
        <f t="shared" si="8"/>
        <v/>
      </c>
      <c r="H295" s="12"/>
      <c r="I295" s="12"/>
      <c r="J295" s="13">
        <v>45952</v>
      </c>
      <c r="K295" s="13">
        <v>2958465</v>
      </c>
      <c r="L295" s="11" t="str">
        <f t="shared" si="9"/>
        <v>INSERT INTO metadata_reference.file_schema VALUES('CUST_CST_CUOR','CUOR_AMR_3',NULL,'CHAR(4)',NULL,NULL,NULL,NULL,'2025-10-22','9999-12-31',USER, CURRENT_TIMESTAMP(0));</v>
      </c>
    </row>
    <row r="296" spans="1:12" ht="15" customHeight="1">
      <c r="A296" s="11" t="str">
        <f>ETLMetadata!$C296</f>
        <v>CUST_CST_CUOR</v>
      </c>
      <c r="B296" s="11" t="str">
        <f>ETLMetadata!$E296</f>
        <v>CUOR_DOV</v>
      </c>
      <c r="C296" s="11" t="str">
        <f>IF(ISBLANK(ETLMetadata!$J296), "", ETLMetadata!$J296)</f>
        <v/>
      </c>
      <c r="D296" s="11" t="str">
        <f>ETLMetadata!$G296</f>
        <v>DATE</v>
      </c>
      <c r="E296" s="12"/>
      <c r="F296" s="12"/>
      <c r="G296" s="12" t="str">
        <f t="shared" si="8"/>
        <v/>
      </c>
      <c r="H296" s="12"/>
      <c r="I296" s="12"/>
      <c r="J296" s="13">
        <v>45952</v>
      </c>
      <c r="K296" s="13">
        <v>2958465</v>
      </c>
      <c r="L296" s="11" t="str">
        <f t="shared" si="9"/>
        <v>INSERT INTO metadata_reference.file_schema VALUES('CUST_CST_CUOR','CUOR_DOV',NULL,'DATE',NULL,NULL,NULL,NULL,'2025-10-22','9999-12-31',USER, CURRENT_TIMESTAMP(0));</v>
      </c>
    </row>
    <row r="297" spans="1:12" ht="15" customHeight="1">
      <c r="A297" s="11" t="str">
        <f>ETLMetadata!$C297</f>
        <v>CUST_CST_CUOR</v>
      </c>
      <c r="B297" s="11" t="str">
        <f>ETLMetadata!$E297</f>
        <v>CUOR_DOV_ORIG</v>
      </c>
      <c r="C297" s="11" t="str">
        <f>IF(ISBLANK(ETLMetadata!$J297), "", ETLMetadata!$J297)</f>
        <v/>
      </c>
      <c r="D297" s="11" t="str">
        <f>ETLMetadata!$G297</f>
        <v>INTEGER</v>
      </c>
      <c r="E297" s="12"/>
      <c r="F297" s="12"/>
      <c r="G297" s="12" t="str">
        <f t="shared" si="8"/>
        <v/>
      </c>
      <c r="H297" s="12"/>
      <c r="I297" s="12"/>
      <c r="J297" s="13">
        <v>45952</v>
      </c>
      <c r="K297" s="13">
        <v>2958465</v>
      </c>
      <c r="L297" s="11" t="str">
        <f t="shared" si="9"/>
        <v>INSERT INTO metadata_reference.file_schema VALUES('CUST_CST_CUOR','CUOR_DOV_ORIG',NULL,'INTEGER',NULL,NULL,NULL,NULL,'2025-10-22','9999-12-31',USER, CURRENT_TIMESTAMP(0));</v>
      </c>
    </row>
    <row r="298" spans="1:12" ht="15" customHeight="1">
      <c r="A298" s="11" t="str">
        <f>ETLMetadata!$C298</f>
        <v>CUST_CST_CUOR</v>
      </c>
      <c r="B298" s="11" t="str">
        <f>ETLMetadata!$E298</f>
        <v>CUOR_REL_CHG_RSN_CODE</v>
      </c>
      <c r="C298" s="11" t="str">
        <f>IF(ISBLANK(ETLMetadata!$J298), "", ETLMetadata!$J298)</f>
        <v/>
      </c>
      <c r="D298" s="11" t="str">
        <f>ETLMetadata!$G298</f>
        <v>CHAR(3)</v>
      </c>
      <c r="E298" s="12"/>
      <c r="F298" s="12"/>
      <c r="G298" s="12" t="str">
        <f t="shared" si="8"/>
        <v/>
      </c>
      <c r="H298" s="12"/>
      <c r="I298" s="12"/>
      <c r="J298" s="13">
        <v>45952</v>
      </c>
      <c r="K298" s="13">
        <v>2958465</v>
      </c>
      <c r="L298" s="11" t="str">
        <f t="shared" si="9"/>
        <v>INSERT INTO metadata_reference.file_schema VALUES('CUST_CST_CUOR','CUOR_REL_CHG_RSN_CODE',NULL,'CHAR(3)',NULL,NULL,NULL,NULL,'2025-10-22','9999-12-31',USER, CURRENT_TIMESTAMP(0));</v>
      </c>
    </row>
    <row r="299" spans="1:12" ht="15" customHeight="1">
      <c r="A299" s="11" t="str">
        <f>ETLMetadata!$C299</f>
        <v>CUST_CST_CUOR</v>
      </c>
      <c r="B299" s="11" t="str">
        <f>ETLMetadata!$E299</f>
        <v>CUOR_REL_ENV_ID</v>
      </c>
      <c r="C299" s="11" t="str">
        <f>IF(ISBLANK(ETLMetadata!$J299), "", ETLMetadata!$J299)</f>
        <v/>
      </c>
      <c r="D299" s="11" t="str">
        <f>ETLMetadata!$G299</f>
        <v>CHAR(1)</v>
      </c>
      <c r="E299" s="12"/>
      <c r="F299" s="12"/>
      <c r="G299" s="12" t="str">
        <f t="shared" si="8"/>
        <v/>
      </c>
      <c r="H299" s="12"/>
      <c r="I299" s="12"/>
      <c r="J299" s="13">
        <v>45952</v>
      </c>
      <c r="K299" s="13">
        <v>2958465</v>
      </c>
      <c r="L299" s="11" t="str">
        <f t="shared" si="9"/>
        <v>INSERT INTO metadata_reference.file_schema VALUES('CUST_CST_CUOR','CUOR_REL_ENV_ID',NULL,'CHAR(1)',NULL,NULL,NULL,NULL,'2025-10-22','9999-12-31',USER, CURRENT_TIMESTAMP(0));</v>
      </c>
    </row>
    <row r="300" spans="1:12" ht="15" customHeight="1">
      <c r="A300" s="11" t="str">
        <f>ETLMetadata!$C300</f>
        <v>CUST_CST_CUOR</v>
      </c>
      <c r="B300" s="11" t="str">
        <f>ETLMetadata!$E300</f>
        <v>CUOR_REL_SSR</v>
      </c>
      <c r="C300" s="11" t="str">
        <f>IF(ISBLANK(ETLMetadata!$J300), "", ETLMetadata!$J300)</f>
        <v/>
      </c>
      <c r="D300" s="11" t="str">
        <f>ETLMetadata!$G300</f>
        <v>INTEGER</v>
      </c>
      <c r="E300" s="12"/>
      <c r="F300" s="12" t="s">
        <v>800</v>
      </c>
      <c r="G300" s="12" t="str">
        <f t="shared" si="8"/>
        <v>PERSONAL_IDENTITYINFODIRECT</v>
      </c>
      <c r="H300" s="12"/>
      <c r="I300" s="12"/>
      <c r="J300" s="13">
        <v>45952</v>
      </c>
      <c r="K300" s="13">
        <v>2958465</v>
      </c>
      <c r="L300" s="11" t="str">
        <f t="shared" si="9"/>
        <v>INSERT INTO metadata_reference.file_schema VALUES('CUST_CST_CUOR','CUOR_REL_SSR',NULL,'INTEGER',NULL,'PERSONAL_IDENTITYINFODIRECT',NULL,NULL,'2025-10-22','9999-12-31',USER, CURRENT_TIMESTAMP(0));</v>
      </c>
    </row>
    <row r="301" spans="1:12" ht="15" customHeight="1">
      <c r="A301" s="11" t="str">
        <f>ETLMetadata!$C301</f>
        <v>CUST_CST_CUOR</v>
      </c>
      <c r="B301" s="11" t="str">
        <f>ETLMetadata!$E301</f>
        <v>CUOR_REL_SVC_RSN_CODE</v>
      </c>
      <c r="C301" s="11" t="str">
        <f>IF(ISBLANK(ETLMetadata!$J301), "", ETLMetadata!$J301)</f>
        <v/>
      </c>
      <c r="D301" s="11" t="str">
        <f>ETLMetadata!$G301</f>
        <v>CHAR(3)</v>
      </c>
      <c r="E301" s="12"/>
      <c r="F301" s="12"/>
      <c r="G301" s="12" t="str">
        <f t="shared" si="8"/>
        <v/>
      </c>
      <c r="H301" s="12"/>
      <c r="I301" s="12"/>
      <c r="J301" s="13">
        <v>45952</v>
      </c>
      <c r="K301" s="13">
        <v>2958465</v>
      </c>
      <c r="L301" s="11" t="str">
        <f t="shared" si="9"/>
        <v>INSERT INTO metadata_reference.file_schema VALUES('CUST_CST_CUOR','CUOR_REL_SVC_RSN_CODE',NULL,'CHAR(3)',NULL,NULL,NULL,NULL,'2025-10-22','9999-12-31',USER, CURRENT_TIMESTAMP(0));</v>
      </c>
    </row>
    <row r="302" spans="1:12" ht="15" customHeight="1">
      <c r="A302" s="11" t="str">
        <f>ETLMetadata!$C302</f>
        <v>CUST_CST_CUOR</v>
      </c>
      <c r="B302" s="11" t="str">
        <f>ETLMetadata!$E302</f>
        <v>CUOR_REL_TYPE_CODE</v>
      </c>
      <c r="C302" s="11" t="str">
        <f>IF(ISBLANK(ETLMetadata!$J302), "", ETLMetadata!$J302)</f>
        <v/>
      </c>
      <c r="D302" s="11" t="str">
        <f>ETLMetadata!$G302</f>
        <v>CHAR(3)</v>
      </c>
      <c r="E302" s="12"/>
      <c r="F302" s="12"/>
      <c r="G302" s="12" t="str">
        <f t="shared" si="8"/>
        <v/>
      </c>
      <c r="H302" s="12"/>
      <c r="I302" s="12"/>
      <c r="J302" s="13">
        <v>45952</v>
      </c>
      <c r="K302" s="13">
        <v>2958465</v>
      </c>
      <c r="L302" s="11" t="str">
        <f t="shared" si="9"/>
        <v>INSERT INTO metadata_reference.file_schema VALUES('CUST_CST_CUOR','CUOR_REL_TYPE_CODE',NULL,'CHAR(3)',NULL,NULL,NULL,NULL,'2025-10-22','9999-12-31',USER, CURRENT_TIMESTAMP(0));</v>
      </c>
    </row>
    <row r="303" spans="1:12" ht="15" customHeight="1">
      <c r="A303" s="11" t="str">
        <f>ETLMetadata!$C303</f>
        <v>CUST_CST_CUOR</v>
      </c>
      <c r="B303" s="11" t="str">
        <f>ETLMetadata!$E303</f>
        <v>CUOR_SVC_RSN_CODE</v>
      </c>
      <c r="C303" s="11" t="str">
        <f>IF(ISBLANK(ETLMetadata!$J303), "", ETLMetadata!$J303)</f>
        <v/>
      </c>
      <c r="D303" s="11" t="str">
        <f>ETLMetadata!$G303</f>
        <v>CHAR(3)</v>
      </c>
      <c r="E303" s="12"/>
      <c r="F303" s="12"/>
      <c r="G303" s="12" t="str">
        <f t="shared" si="8"/>
        <v/>
      </c>
      <c r="H303" s="12"/>
      <c r="I303" s="12"/>
      <c r="J303" s="13">
        <v>45952</v>
      </c>
      <c r="K303" s="13">
        <v>2958465</v>
      </c>
      <c r="L303" s="11" t="str">
        <f t="shared" si="9"/>
        <v>INSERT INTO metadata_reference.file_schema VALUES('CUST_CST_CUOR','CUOR_SVC_RSN_CODE',NULL,'CHAR(3)',NULL,NULL,NULL,NULL,'2025-10-22','9999-12-31',USER, CURRENT_TIMESTAMP(0));</v>
      </c>
    </row>
    <row r="304" spans="1:12" ht="15" customHeight="1">
      <c r="A304" s="11" t="str">
        <f>ETLMetadata!$C304</f>
        <v>CUST_CST_CUOR</v>
      </c>
      <c r="B304" s="11" t="str">
        <f>ETLMetadata!$E304</f>
        <v>PARTY_ROLE_ID</v>
      </c>
      <c r="C304" s="11" t="str">
        <f>IF(ISBLANK(ETLMetadata!$J304), "", ETLMetadata!$J304)</f>
        <v/>
      </c>
      <c r="D304" s="11" t="str">
        <f>ETLMetadata!$G304</f>
        <v>INTEGER</v>
      </c>
      <c r="E304" s="12"/>
      <c r="F304" s="12"/>
      <c r="G304" s="12" t="str">
        <f t="shared" si="8"/>
        <v/>
      </c>
      <c r="H304" s="12"/>
      <c r="I304" s="12"/>
      <c r="J304" s="13">
        <v>45952</v>
      </c>
      <c r="K304" s="13">
        <v>2958465</v>
      </c>
      <c r="L304" s="11" t="str">
        <f t="shared" si="9"/>
        <v>INSERT INTO metadata_reference.file_schema VALUES('CUST_CST_CUOR','PARTY_ROLE_ID',NULL,'INTEGER',NULL,NULL,NULL,NULL,'2025-10-22','9999-12-31',USER, CURRENT_TIMESTAMP(0));</v>
      </c>
    </row>
    <row r="305" spans="1:12" ht="15" customHeight="1">
      <c r="A305" s="11" t="str">
        <f>ETLMetadata!$C305</f>
        <v>CUST_CST_CUOR</v>
      </c>
      <c r="B305" s="11" t="str">
        <f>ETLMetadata!$E305</f>
        <v>RELATED_PARTY_ROLE_ID</v>
      </c>
      <c r="C305" s="11" t="str">
        <f>IF(ISBLANK(ETLMetadata!$J305), "", ETLMetadata!$J305)</f>
        <v/>
      </c>
      <c r="D305" s="11" t="str">
        <f>ETLMetadata!$G305</f>
        <v>INTEGER</v>
      </c>
      <c r="E305" s="12"/>
      <c r="F305" s="12"/>
      <c r="G305" s="12" t="str">
        <f t="shared" si="8"/>
        <v/>
      </c>
      <c r="H305" s="12"/>
      <c r="I305" s="12"/>
      <c r="J305" s="13">
        <v>45952</v>
      </c>
      <c r="K305" s="13">
        <v>2958465</v>
      </c>
      <c r="L305" s="11" t="str">
        <f t="shared" si="9"/>
        <v>INSERT INTO metadata_reference.file_schema VALUES('CUST_CST_CUOR','RELATED_PARTY_ROLE_ID',NULL,'INTEGER',NULL,NULL,NULL,NULL,'2025-10-22','9999-12-31',USER, CURRENT_TIMESTAMP(0));</v>
      </c>
    </row>
    <row r="306" spans="1:12" ht="15" customHeight="1">
      <c r="A306" s="11" t="str">
        <f>ETLMetadata!$C306</f>
        <v>CUST_CST_CUOR</v>
      </c>
      <c r="B306" s="11" t="str">
        <f>ETLMetadata!$E306</f>
        <v>AMR1_RISL_DTS</v>
      </c>
      <c r="C306" s="11" t="str">
        <f>IF(ISBLANK(ETLMetadata!$J306), "", ETLMetadata!$J306)</f>
        <v/>
      </c>
      <c r="D306" s="11" t="str">
        <f>ETLMetadata!$G306</f>
        <v>TIMESTAMP(6)</v>
      </c>
      <c r="E306" s="12"/>
      <c r="F306" s="12"/>
      <c r="G306" s="12" t="str">
        <f t="shared" si="8"/>
        <v/>
      </c>
      <c r="H306" s="12"/>
      <c r="I306" s="12"/>
      <c r="J306" s="13">
        <v>45952</v>
      </c>
      <c r="K306" s="13">
        <v>2958465</v>
      </c>
      <c r="L306" s="11" t="str">
        <f t="shared" si="9"/>
        <v>INSERT INTO metadata_reference.file_schema VALUES('CUST_CST_CUOR','AMR1_RISL_DTS',NULL,'TIMESTAMP(6)',NULL,NULL,NULL,NULL,'2025-10-22','9999-12-31',USER, CURRENT_TIMESTAMP(0));</v>
      </c>
    </row>
    <row r="307" spans="1:12" ht="15" customHeight="1">
      <c r="A307" s="11" t="str">
        <f>ETLMetadata!$C307</f>
        <v>CUST_CST_CUOR</v>
      </c>
      <c r="B307" s="11" t="str">
        <f>ETLMetadata!$E307</f>
        <v>AMR3_RISL_DTS</v>
      </c>
      <c r="C307" s="11" t="str">
        <f>IF(ISBLANK(ETLMetadata!$J307), "", ETLMetadata!$J307)</f>
        <v/>
      </c>
      <c r="D307" s="11" t="str">
        <f>ETLMetadata!$G307</f>
        <v>TIMESTAMP(6)</v>
      </c>
      <c r="E307" s="12"/>
      <c r="F307" s="12"/>
      <c r="G307" s="12" t="str">
        <f t="shared" si="8"/>
        <v/>
      </c>
      <c r="H307" s="12"/>
      <c r="I307" s="12"/>
      <c r="J307" s="13">
        <v>45952</v>
      </c>
      <c r="K307" s="13">
        <v>2958465</v>
      </c>
      <c r="L307" s="11" t="str">
        <f t="shared" si="9"/>
        <v>INSERT INTO metadata_reference.file_schema VALUES('CUST_CST_CUOR','AMR3_RISL_DTS',NULL,'TIMESTAMP(6)',NULL,NULL,NULL,NULL,'2025-10-22','9999-12-31',USER, CURRENT_TIMESTAMP(0));</v>
      </c>
    </row>
    <row r="308" spans="1:12" ht="15" customHeight="1">
      <c r="A308" s="11" t="str">
        <f>ETLMetadata!$C308</f>
        <v>CUST_CST_CUOR</v>
      </c>
      <c r="B308" s="11" t="str">
        <f>ETLMetadata!$E308</f>
        <v>ERROR_COUNT</v>
      </c>
      <c r="C308" s="11" t="str">
        <f>IF(ISBLANK(ETLMetadata!$J308), "", ETLMetadata!$J308)</f>
        <v/>
      </c>
      <c r="D308" s="11" t="str">
        <f>ETLMetadata!$G308</f>
        <v>SMALLINT</v>
      </c>
      <c r="E308" s="12"/>
      <c r="F308" s="12"/>
      <c r="G308" s="12" t="str">
        <f t="shared" si="8"/>
        <v/>
      </c>
      <c r="H308" s="12"/>
      <c r="I308" s="12"/>
      <c r="J308" s="13">
        <v>45952</v>
      </c>
      <c r="K308" s="13">
        <v>2958465</v>
      </c>
      <c r="L308" s="11" t="str">
        <f t="shared" si="9"/>
        <v>INSERT INTO metadata_reference.file_schema VALUES('CUST_CST_CUOR','ERROR_COUNT',NULL,'SMALLINT',NULL,NULL,NULL,NULL,'2025-10-22','9999-12-31',USER, CURRENT_TIMESTAMP(0));</v>
      </c>
    </row>
    <row r="309" spans="1:12" ht="15" customHeight="1">
      <c r="A309" s="11" t="str">
        <f>ETLMetadata!$C309</f>
        <v>CUST_CST_CUOR</v>
      </c>
      <c r="B309" s="11" t="str">
        <f>ETLMetadata!$E309</f>
        <v>Start_Date</v>
      </c>
      <c r="C309" s="11" t="str">
        <f>IF(ISBLANK(ETLMetadata!$J309), "", ETLMetadata!$J309)</f>
        <v/>
      </c>
      <c r="D309" s="11" t="str">
        <f>ETLMetadata!$G309</f>
        <v>DATE</v>
      </c>
      <c r="E309" s="12"/>
      <c r="F309" s="12"/>
      <c r="G309" s="12" t="str">
        <f t="shared" si="8"/>
        <v/>
      </c>
      <c r="H309" s="12"/>
      <c r="I309" s="12"/>
      <c r="J309" s="13">
        <v>45952</v>
      </c>
      <c r="K309" s="13">
        <v>2958465</v>
      </c>
      <c r="L309" s="11" t="str">
        <f t="shared" si="9"/>
        <v>INSERT INTO metadata_reference.file_schema VALUES('CUST_CST_CUOR','Start_Date',NULL,'DATE',NULL,NULL,NULL,NULL,'2025-10-22','9999-12-31',USER, CURRENT_TIMESTAMP(0));</v>
      </c>
    </row>
    <row r="310" spans="1:12" ht="15" customHeight="1">
      <c r="A310" s="11" t="str">
        <f>ETLMetadata!$C310</f>
        <v>CUST_CST_CUOR</v>
      </c>
      <c r="B310" s="11" t="str">
        <f>ETLMetadata!$E310</f>
        <v>End_Date</v>
      </c>
      <c r="C310" s="11" t="str">
        <f>IF(ISBLANK(ETLMetadata!$J310), "", ETLMetadata!$J310)</f>
        <v/>
      </c>
      <c r="D310" s="11" t="str">
        <f>ETLMetadata!$G310</f>
        <v>DATE</v>
      </c>
      <c r="E310" s="12"/>
      <c r="F310" s="12"/>
      <c r="G310" s="12" t="str">
        <f t="shared" si="8"/>
        <v/>
      </c>
      <c r="H310" s="12"/>
      <c r="I310" s="12"/>
      <c r="J310" s="13">
        <v>45952</v>
      </c>
      <c r="K310" s="13">
        <v>2958465</v>
      </c>
      <c r="L310" s="11" t="str">
        <f t="shared" si="9"/>
        <v>INSERT INTO metadata_reference.file_schema VALUES('CUST_CST_CUOR','End_Date',NULL,'DATE',NULL,NULL,NULL,NULL,'2025-10-22','9999-12-31',USER, CURRENT_TIMESTAMP(0));</v>
      </c>
    </row>
    <row r="311" spans="1:12" ht="15" customHeight="1">
      <c r="A311" s="11" t="str">
        <f>ETLMetadata!$C311</f>
        <v>CUST_CST_CUOR</v>
      </c>
      <c r="B311" s="11" t="str">
        <f>ETLMetadata!$E311</f>
        <v>Record_Deleted_Flag</v>
      </c>
      <c r="C311" s="11" t="str">
        <f>IF(ISBLANK(ETLMetadata!$J311), "", ETLMetadata!$J311)</f>
        <v/>
      </c>
      <c r="D311" s="11" t="str">
        <f>ETLMetadata!$G311</f>
        <v>BYTEINT</v>
      </c>
      <c r="E311" s="12"/>
      <c r="F311" s="12"/>
      <c r="G311" s="12" t="str">
        <f t="shared" si="8"/>
        <v/>
      </c>
      <c r="H311" s="12"/>
      <c r="I311" s="12"/>
      <c r="J311" s="13">
        <v>45952</v>
      </c>
      <c r="K311" s="13">
        <v>2958465</v>
      </c>
      <c r="L311" s="11" t="str">
        <f t="shared" si="9"/>
        <v>INSERT INTO metadata_reference.file_schema VALUES('CUST_CST_CUOR','Record_Deleted_Flag',NULL,'BYTEINT',NULL,NULL,NULL,NULL,'2025-10-22','9999-12-31',USER, CURRENT_TIMESTAMP(0));</v>
      </c>
    </row>
    <row r="312" spans="1:12" ht="15" customHeight="1">
      <c r="A312" s="11" t="str">
        <f>ETLMetadata!$C312</f>
        <v>CUST_CST_CUPT</v>
      </c>
      <c r="B312" s="11" t="str">
        <f>ETLMetadata!$E312</f>
        <v>EXTRACT_DATE</v>
      </c>
      <c r="C312" s="11" t="str">
        <f>IF(ISBLANK(ETLMetadata!$J312), "", ETLMetadata!$J312)</f>
        <v/>
      </c>
      <c r="D312" s="11" t="str">
        <f>ETLMetadata!$G312</f>
        <v>DATE</v>
      </c>
      <c r="E312" s="12"/>
      <c r="F312" s="12"/>
      <c r="G312" s="12" t="str">
        <f t="shared" si="8"/>
        <v/>
      </c>
      <c r="H312" s="12"/>
      <c r="I312" s="12"/>
      <c r="J312" s="13">
        <v>45952</v>
      </c>
      <c r="K312" s="13">
        <v>2958465</v>
      </c>
      <c r="L312" s="11" t="str">
        <f t="shared" si="9"/>
        <v>INSERT INTO metadata_reference.file_schema VALUES('CUST_CST_CUPT','EXTRACT_DATE',NULL,'DATE',NULL,NULL,NULL,NULL,'2025-10-22','9999-12-31',USER, CURRENT_TIMESTAMP(0));</v>
      </c>
    </row>
    <row r="313" spans="1:12" ht="15" customHeight="1">
      <c r="A313" s="11" t="str">
        <f>ETLMetadata!$C313</f>
        <v>CUST_CST_CUPT</v>
      </c>
      <c r="B313" s="11" t="str">
        <f>ETLMetadata!$E313</f>
        <v>LOGICAL_DELETE_DATE</v>
      </c>
      <c r="C313" s="11" t="str">
        <f>IF(ISBLANK(ETLMetadata!$J313), "", ETLMetadata!$J313)</f>
        <v/>
      </c>
      <c r="D313" s="11" t="str">
        <f>ETLMetadata!$G313</f>
        <v>DATE</v>
      </c>
      <c r="E313" s="12"/>
      <c r="F313" s="12"/>
      <c r="G313" s="12" t="str">
        <f t="shared" si="8"/>
        <v/>
      </c>
      <c r="H313" s="12"/>
      <c r="I313" s="12"/>
      <c r="J313" s="13">
        <v>45952</v>
      </c>
      <c r="K313" s="13">
        <v>2958465</v>
      </c>
      <c r="L313" s="11" t="str">
        <f t="shared" si="9"/>
        <v>INSERT INTO metadata_reference.file_schema VALUES('CUST_CST_CUPT','LOGICAL_DELETE_DATE',NULL,'DATE',NULL,NULL,NULL,NULL,'2025-10-22','9999-12-31',USER, CURRENT_TIMESTAMP(0));</v>
      </c>
    </row>
    <row r="314" spans="1:12" ht="15" customHeight="1">
      <c r="A314" s="11" t="str">
        <f>ETLMetadata!$C314</f>
        <v>CUST_CST_CUPT</v>
      </c>
      <c r="B314" s="11" t="str">
        <f>ETLMetadata!$E314</f>
        <v>ENVIRONMENT_ID</v>
      </c>
      <c r="C314" s="11" t="str">
        <f>IF(ISBLANK(ETLMetadata!$J314), "", ETLMetadata!$J314)</f>
        <v>Y</v>
      </c>
      <c r="D314" s="11" t="str">
        <f>ETLMetadata!$G314</f>
        <v>CHAR(1)</v>
      </c>
      <c r="E314" s="12"/>
      <c r="F314" s="12"/>
      <c r="G314" s="12" t="str">
        <f t="shared" si="8"/>
        <v/>
      </c>
      <c r="H314" s="12"/>
      <c r="I314" s="12"/>
      <c r="J314" s="13">
        <v>45952</v>
      </c>
      <c r="K314" s="13">
        <v>2958465</v>
      </c>
      <c r="L314" s="11" t="str">
        <f t="shared" si="9"/>
        <v>INSERT INTO metadata_reference.file_schema VALUES('CUST_CST_CUPT','ENVIRONMENT_ID','Y','CHAR(1)',NULL,NULL,NULL,NULL,'2025-10-22','9999-12-31',USER, CURRENT_TIMESTAMP(0));</v>
      </c>
    </row>
    <row r="315" spans="1:12" ht="15" customHeight="1">
      <c r="A315" s="11" t="str">
        <f>ETLMetadata!$C315</f>
        <v>CUST_CST_CUPT</v>
      </c>
      <c r="B315" s="11" t="str">
        <f>ETLMetadata!$E315</f>
        <v>PERSON_ID</v>
      </c>
      <c r="C315" s="11" t="str">
        <f>IF(ISBLANK(ETLMetadata!$J315), "", ETLMetadata!$J315)</f>
        <v>Y</v>
      </c>
      <c r="D315" s="11" t="str">
        <f>ETLMetadata!$G315</f>
        <v>INTEGER</v>
      </c>
      <c r="E315" s="12"/>
      <c r="F315" s="12" t="s">
        <v>800</v>
      </c>
      <c r="G315" s="12" t="str">
        <f t="shared" si="8"/>
        <v>PERSONAL_IDENTITYINFODIRECT</v>
      </c>
      <c r="H315" s="12"/>
      <c r="I315" s="12"/>
      <c r="J315" s="13">
        <v>45952</v>
      </c>
      <c r="K315" s="13">
        <v>2958465</v>
      </c>
      <c r="L315" s="11" t="str">
        <f t="shared" si="9"/>
        <v>INSERT INTO metadata_reference.file_schema VALUES('CUST_CST_CUPT','PERSON_ID','Y','INTEGER',NULL,'PERSONAL_IDENTITYINFODIRECT',NULL,NULL,'2025-10-22','9999-12-31',USER, CURRENT_TIMESTAMP(0));</v>
      </c>
    </row>
    <row r="316" spans="1:12" ht="15" customHeight="1">
      <c r="A316" s="11" t="str">
        <f>ETLMetadata!$C316</f>
        <v>CUST_CST_CUPT</v>
      </c>
      <c r="B316" s="11" t="str">
        <f>ETLMetadata!$E316</f>
        <v>CUPT_DOV</v>
      </c>
      <c r="C316" s="11" t="str">
        <f>IF(ISBLANK(ETLMetadata!$J316), "", ETLMetadata!$J316)</f>
        <v/>
      </c>
      <c r="D316" s="11" t="str">
        <f>ETLMetadata!$G316</f>
        <v>DATE</v>
      </c>
      <c r="E316" s="12"/>
      <c r="F316" s="12"/>
      <c r="G316" s="12" t="str">
        <f t="shared" si="8"/>
        <v/>
      </c>
      <c r="H316" s="12"/>
      <c r="I316" s="12"/>
      <c r="J316" s="13">
        <v>45952</v>
      </c>
      <c r="K316" s="13">
        <v>2958465</v>
      </c>
      <c r="L316" s="11" t="str">
        <f t="shared" si="9"/>
        <v>INSERT INTO metadata_reference.file_schema VALUES('CUST_CST_CUPT','CUPT_DOV',NULL,'DATE',NULL,NULL,NULL,NULL,'2025-10-22','9999-12-31',USER, CURRENT_TIMESTAMP(0));</v>
      </c>
    </row>
    <row r="317" spans="1:12" ht="15" customHeight="1">
      <c r="A317" s="11" t="str">
        <f>ETLMetadata!$C317</f>
        <v>CUST_CST_CUPT</v>
      </c>
      <c r="B317" s="11" t="str">
        <f>ETLMetadata!$E317</f>
        <v>CUPT_DOV_ORIG</v>
      </c>
      <c r="C317" s="11" t="str">
        <f>IF(ISBLANK(ETLMetadata!$J317), "", ETLMetadata!$J317)</f>
        <v/>
      </c>
      <c r="D317" s="11" t="str">
        <f>ETLMetadata!$G317</f>
        <v>INTEGER</v>
      </c>
      <c r="E317" s="12"/>
      <c r="F317" s="12"/>
      <c r="G317" s="12" t="str">
        <f t="shared" si="8"/>
        <v/>
      </c>
      <c r="H317" s="12"/>
      <c r="I317" s="12"/>
      <c r="J317" s="13">
        <v>45952</v>
      </c>
      <c r="K317" s="13">
        <v>2958465</v>
      </c>
      <c r="L317" s="11" t="str">
        <f t="shared" si="9"/>
        <v>INSERT INTO metadata_reference.file_schema VALUES('CUST_CST_CUPT','CUPT_DOV_ORIG',NULL,'INTEGER',NULL,NULL,NULL,NULL,'2025-10-22','9999-12-31',USER, CURRENT_TIMESTAMP(0));</v>
      </c>
    </row>
    <row r="318" spans="1:12" ht="15" customHeight="1">
      <c r="A318" s="11" t="str">
        <f>ETLMetadata!$C318</f>
        <v>CUST_CST_CUPT</v>
      </c>
      <c r="B318" s="11" t="str">
        <f>ETLMetadata!$E318</f>
        <v>PROCESSING_SEQUENCE</v>
      </c>
      <c r="C318" s="11" t="str">
        <f>IF(ISBLANK(ETLMetadata!$J318), "", ETLMetadata!$J318)</f>
        <v>Y</v>
      </c>
      <c r="D318" s="11" t="str">
        <f>ETLMetadata!$G318</f>
        <v>SMALLINT</v>
      </c>
      <c r="E318" s="12"/>
      <c r="F318" s="12"/>
      <c r="G318" s="12" t="str">
        <f t="shared" si="8"/>
        <v/>
      </c>
      <c r="H318" s="12"/>
      <c r="I318" s="12"/>
      <c r="J318" s="13">
        <v>45952</v>
      </c>
      <c r="K318" s="13">
        <v>2958465</v>
      </c>
      <c r="L318" s="11" t="str">
        <f t="shared" si="9"/>
        <v>INSERT INTO metadata_reference.file_schema VALUES('CUST_CST_CUPT','PROCESSING_SEQUENCE','Y','SMALLINT',NULL,NULL,NULL,NULL,'2025-10-22','9999-12-31',USER, CURRENT_TIMESTAMP(0));</v>
      </c>
    </row>
    <row r="319" spans="1:12" ht="15" customHeight="1">
      <c r="A319" s="11" t="str">
        <f>ETLMetadata!$C319</f>
        <v>CUST_CST_CUPT</v>
      </c>
      <c r="B319" s="11" t="str">
        <f>ETLMetadata!$E319</f>
        <v>CUPT_AMR_1</v>
      </c>
      <c r="C319" s="11" t="str">
        <f>IF(ISBLANK(ETLMetadata!$J319), "", ETLMetadata!$J319)</f>
        <v/>
      </c>
      <c r="D319" s="11" t="str">
        <f>ETLMetadata!$G319</f>
        <v>CHAR(4)</v>
      </c>
      <c r="E319" s="12"/>
      <c r="F319" s="12"/>
      <c r="G319" s="12" t="str">
        <f t="shared" si="8"/>
        <v/>
      </c>
      <c r="H319" s="12"/>
      <c r="I319" s="12"/>
      <c r="J319" s="13">
        <v>45952</v>
      </c>
      <c r="K319" s="13">
        <v>2958465</v>
      </c>
      <c r="L319" s="11" t="str">
        <f t="shared" si="9"/>
        <v>INSERT INTO metadata_reference.file_schema VALUES('CUST_CST_CUPT','CUPT_AMR_1',NULL,'CHAR(4)',NULL,NULL,NULL,NULL,'2025-10-22','9999-12-31',USER, CURRENT_TIMESTAMP(0));</v>
      </c>
    </row>
    <row r="320" spans="1:12" ht="15" customHeight="1">
      <c r="A320" s="11" t="str">
        <f>ETLMetadata!$C320</f>
        <v>CUST_CST_CUPT</v>
      </c>
      <c r="B320" s="11" t="str">
        <f>ETLMetadata!$E320</f>
        <v>CUPT_AMR_2</v>
      </c>
      <c r="C320" s="11" t="str">
        <f>IF(ISBLANK(ETLMetadata!$J320), "", ETLMetadata!$J320)</f>
        <v/>
      </c>
      <c r="D320" s="11" t="str">
        <f>ETLMetadata!$G320</f>
        <v>CHAR(1)</v>
      </c>
      <c r="E320" s="12"/>
      <c r="F320" s="12"/>
      <c r="G320" s="12" t="str">
        <f t="shared" si="8"/>
        <v/>
      </c>
      <c r="H320" s="12"/>
      <c r="I320" s="12"/>
      <c r="J320" s="13">
        <v>45952</v>
      </c>
      <c r="K320" s="13">
        <v>2958465</v>
      </c>
      <c r="L320" s="11" t="str">
        <f t="shared" si="9"/>
        <v>INSERT INTO metadata_reference.file_schema VALUES('CUST_CST_CUPT','CUPT_AMR_2',NULL,'CHAR(1)',NULL,NULL,NULL,NULL,'2025-10-22','9999-12-31',USER, CURRENT_TIMESTAMP(0));</v>
      </c>
    </row>
    <row r="321" spans="1:12" ht="15" customHeight="1">
      <c r="A321" s="11" t="str">
        <f>ETLMetadata!$C321</f>
        <v>CUST_CST_CUPT</v>
      </c>
      <c r="B321" s="11" t="str">
        <f>ETLMetadata!$E321</f>
        <v>CUPT_AMR_3</v>
      </c>
      <c r="C321" s="11" t="str">
        <f>IF(ISBLANK(ETLMetadata!$J321), "", ETLMetadata!$J321)</f>
        <v/>
      </c>
      <c r="D321" s="11" t="str">
        <f>ETLMetadata!$G321</f>
        <v>CHAR(4)</v>
      </c>
      <c r="E321" s="12"/>
      <c r="F321" s="12"/>
      <c r="G321" s="12" t="str">
        <f t="shared" si="8"/>
        <v/>
      </c>
      <c r="H321" s="12"/>
      <c r="I321" s="12"/>
      <c r="J321" s="13">
        <v>45952</v>
      </c>
      <c r="K321" s="13">
        <v>2958465</v>
      </c>
      <c r="L321" s="11" t="str">
        <f t="shared" si="9"/>
        <v>INSERT INTO metadata_reference.file_schema VALUES('CUST_CST_CUPT','CUPT_AMR_3',NULL,'CHAR(4)',NULL,NULL,NULL,NULL,'2025-10-22','9999-12-31',USER, CURRENT_TIMESTAMP(0));</v>
      </c>
    </row>
    <row r="322" spans="1:12" ht="15" customHeight="1">
      <c r="A322" s="11" t="str">
        <f>ETLMetadata!$C322</f>
        <v>CUST_CST_CUPT</v>
      </c>
      <c r="B322" s="11" t="str">
        <f>ETLMetadata!$E322</f>
        <v>CUPT_MARITAL_STS_CODE</v>
      </c>
      <c r="C322" s="11" t="str">
        <f>IF(ISBLANK(ETLMetadata!$J322), "", ETLMetadata!$J322)</f>
        <v/>
      </c>
      <c r="D322" s="11" t="str">
        <f>ETLMetadata!$G322</f>
        <v>CHAR(3)</v>
      </c>
      <c r="E322" s="12"/>
      <c r="F322" s="12"/>
      <c r="G322" s="12" t="str">
        <f t="shared" si="8"/>
        <v/>
      </c>
      <c r="H322" s="12"/>
      <c r="I322" s="12"/>
      <c r="J322" s="13">
        <v>45952</v>
      </c>
      <c r="K322" s="13">
        <v>2958465</v>
      </c>
      <c r="L322" s="11" t="str">
        <f t="shared" si="9"/>
        <v>INSERT INTO metadata_reference.file_schema VALUES('CUST_CST_CUPT','CUPT_MARITAL_STS_CODE',NULL,'CHAR(3)',NULL,NULL,NULL,NULL,'2025-10-22','9999-12-31',USER, CURRENT_TIMESTAMP(0));</v>
      </c>
    </row>
    <row r="323" spans="1:12" ht="15" customHeight="1">
      <c r="A323" s="11" t="str">
        <f>ETLMetadata!$C323</f>
        <v>CUST_CST_CUPT</v>
      </c>
      <c r="B323" s="11" t="str">
        <f>ETLMetadata!$E323</f>
        <v>CUPT_PPE_CODE</v>
      </c>
      <c r="C323" s="11" t="str">
        <f>IF(ISBLANK(ETLMetadata!$J323), "", ETLMetadata!$J323)</f>
        <v/>
      </c>
      <c r="D323" s="11" t="str">
        <f>ETLMetadata!$G323</f>
        <v>CHAR(1)</v>
      </c>
      <c r="E323" s="12"/>
      <c r="F323" s="12"/>
      <c r="G323" s="12" t="str">
        <f t="shared" ref="G323:G386" si="10">UPPER($F323)</f>
        <v/>
      </c>
      <c r="H323" s="12"/>
      <c r="I323" s="12"/>
      <c r="J323" s="13">
        <v>45952</v>
      </c>
      <c r="K323" s="13">
        <v>2958465</v>
      </c>
      <c r="L323" s="11" t="str">
        <f t="shared" ref="L323:L386" si="11">CONCATENATE("INSERT INTO metadata_reference.file_schema VALUES('",TRIM(A323),"','",TRIM(B323),"',",IF(TRIM(C323)="","NULL","'"&amp;TRIM(C323)&amp;"'"),",'",TRIM(D323),"',",IF(TRIM(E323)="","NULL","'"&amp;TRIM(E323)&amp;"'"),",",IF(TRIM(G323)="","NULL","'"&amp;TRIM(G323)&amp;"'"),",",IF(TRIM(H323)="","NULL","'"&amp;TRIM(H323)&amp;"'"),",",
IF(TRIM(I323)="","NULL",TRIM(I323)),",",IF(TRIM(J323)="","NULL","'"&amp;TEXT(J323,"yyyy-mm-dd")&amp;"'"),",",IF(TRIM(K323)="","NULL","'"&amp;TEXT(K323,"yyyy-mm-dd")&amp;"'"),",","USER, CURRENT_TIMESTAMP(0));")</f>
        <v>INSERT INTO metadata_reference.file_schema VALUES('CUST_CST_CUPT','CUPT_PPE_CODE',NULL,'CHAR(1)',NULL,NULL,NULL,NULL,'2025-10-22','9999-12-31',USER, CURRENT_TIMESTAMP(0));</v>
      </c>
    </row>
    <row r="324" spans="1:12" ht="15" customHeight="1">
      <c r="A324" s="11" t="str">
        <f>ETLMetadata!$C324</f>
        <v>CUST_CST_CUPT</v>
      </c>
      <c r="B324" s="11" t="str">
        <f>ETLMetadata!$E324</f>
        <v>CUPT_PTNR_SSR</v>
      </c>
      <c r="C324" s="11" t="str">
        <f>IF(ISBLANK(ETLMetadata!$J324), "", ETLMetadata!$J324)</f>
        <v/>
      </c>
      <c r="D324" s="11" t="str">
        <f>ETLMetadata!$G324</f>
        <v>INTEGER</v>
      </c>
      <c r="E324" s="12"/>
      <c r="F324" s="12"/>
      <c r="G324" s="12" t="str">
        <f t="shared" si="10"/>
        <v/>
      </c>
      <c r="H324" s="12"/>
      <c r="I324" s="12"/>
      <c r="J324" s="13">
        <v>45952</v>
      </c>
      <c r="K324" s="13">
        <v>2958465</v>
      </c>
      <c r="L324" s="11" t="str">
        <f t="shared" si="11"/>
        <v>INSERT INTO metadata_reference.file_schema VALUES('CUST_CST_CUPT','CUPT_PTNR_SSR',NULL,'INTEGER',NULL,NULL,NULL,NULL,'2025-10-22','9999-12-31',USER, CURRENT_TIMESTAMP(0));</v>
      </c>
    </row>
    <row r="325" spans="1:12" ht="15" customHeight="1">
      <c r="A325" s="11" t="str">
        <f>ETLMetadata!$C325</f>
        <v>CUST_CST_CUPT</v>
      </c>
      <c r="B325" s="11" t="str">
        <f>ETLMetadata!$E325</f>
        <v>CUPT_REL_QUAL_CODE</v>
      </c>
      <c r="C325" s="11" t="str">
        <f>IF(ISBLANK(ETLMetadata!$J325), "", ETLMetadata!$J325)</f>
        <v/>
      </c>
      <c r="D325" s="11" t="str">
        <f>ETLMetadata!$G325</f>
        <v>CHAR(3)</v>
      </c>
      <c r="E325" s="12"/>
      <c r="F325" s="12"/>
      <c r="G325" s="12" t="str">
        <f t="shared" si="10"/>
        <v/>
      </c>
      <c r="H325" s="12"/>
      <c r="I325" s="12"/>
      <c r="J325" s="13">
        <v>45952</v>
      </c>
      <c r="K325" s="13">
        <v>2958465</v>
      </c>
      <c r="L325" s="11" t="str">
        <f t="shared" si="11"/>
        <v>INSERT INTO metadata_reference.file_schema VALUES('CUST_CST_CUPT','CUPT_REL_QUAL_CODE',NULL,'CHAR(3)',NULL,NULL,NULL,NULL,'2025-10-22','9999-12-31',USER, CURRENT_TIMESTAMP(0));</v>
      </c>
    </row>
    <row r="326" spans="1:12" ht="15" customHeight="1">
      <c r="A326" s="11" t="str">
        <f>ETLMetadata!$C326</f>
        <v>CUST_CST_CUPT</v>
      </c>
      <c r="B326" s="11" t="str">
        <f>ETLMetadata!$E326</f>
        <v>AMR1_RISL_DTS</v>
      </c>
      <c r="C326" s="11" t="str">
        <f>IF(ISBLANK(ETLMetadata!$J326), "", ETLMetadata!$J326)</f>
        <v/>
      </c>
      <c r="D326" s="11" t="str">
        <f>ETLMetadata!$G326</f>
        <v>TIMESTAMP(6)</v>
      </c>
      <c r="E326" s="12"/>
      <c r="F326" s="12"/>
      <c r="G326" s="12" t="str">
        <f t="shared" si="10"/>
        <v/>
      </c>
      <c r="H326" s="12"/>
      <c r="I326" s="12"/>
      <c r="J326" s="13">
        <v>45952</v>
      </c>
      <c r="K326" s="13">
        <v>2958465</v>
      </c>
      <c r="L326" s="11" t="str">
        <f t="shared" si="11"/>
        <v>INSERT INTO metadata_reference.file_schema VALUES('CUST_CST_CUPT','AMR1_RISL_DTS',NULL,'TIMESTAMP(6)',NULL,NULL,NULL,NULL,'2025-10-22','9999-12-31',USER, CURRENT_TIMESTAMP(0));</v>
      </c>
    </row>
    <row r="327" spans="1:12" ht="15" customHeight="1">
      <c r="A327" s="11" t="str">
        <f>ETLMetadata!$C327</f>
        <v>CUST_CST_CUPT</v>
      </c>
      <c r="B327" s="11" t="str">
        <f>ETLMetadata!$E327</f>
        <v>AMR3_RISL_DTS</v>
      </c>
      <c r="C327" s="11" t="str">
        <f>IF(ISBLANK(ETLMetadata!$J327), "", ETLMetadata!$J327)</f>
        <v/>
      </c>
      <c r="D327" s="11" t="str">
        <f>ETLMetadata!$G327</f>
        <v>TIMESTAMP(6)</v>
      </c>
      <c r="E327" s="12"/>
      <c r="F327" s="12"/>
      <c r="G327" s="12" t="str">
        <f t="shared" si="10"/>
        <v/>
      </c>
      <c r="H327" s="12"/>
      <c r="I327" s="12"/>
      <c r="J327" s="13">
        <v>45952</v>
      </c>
      <c r="K327" s="13">
        <v>2958465</v>
      </c>
      <c r="L327" s="11" t="str">
        <f t="shared" si="11"/>
        <v>INSERT INTO metadata_reference.file_schema VALUES('CUST_CST_CUPT','AMR3_RISL_DTS',NULL,'TIMESTAMP(6)',NULL,NULL,NULL,NULL,'2025-10-22','9999-12-31',USER, CURRENT_TIMESTAMP(0));</v>
      </c>
    </row>
    <row r="328" spans="1:12" ht="15" customHeight="1">
      <c r="A328" s="11" t="str">
        <f>ETLMetadata!$C328</f>
        <v>CUST_CST_CUPT</v>
      </c>
      <c r="B328" s="11" t="str">
        <f>ETLMetadata!$E328</f>
        <v>PARTNER_PARTY_ROLE_ID</v>
      </c>
      <c r="C328" s="11" t="str">
        <f>IF(ISBLANK(ETLMetadata!$J328), "", ETLMetadata!$J328)</f>
        <v/>
      </c>
      <c r="D328" s="11" t="str">
        <f>ETLMetadata!$G328</f>
        <v>INTEGER</v>
      </c>
      <c r="E328" s="12"/>
      <c r="F328" s="12"/>
      <c r="G328" s="12" t="str">
        <f t="shared" si="10"/>
        <v/>
      </c>
      <c r="H328" s="12"/>
      <c r="I328" s="12"/>
      <c r="J328" s="13">
        <v>45952</v>
      </c>
      <c r="K328" s="13">
        <v>2958465</v>
      </c>
      <c r="L328" s="11" t="str">
        <f t="shared" si="11"/>
        <v>INSERT INTO metadata_reference.file_schema VALUES('CUST_CST_CUPT','PARTNER_PARTY_ROLE_ID',NULL,'INTEGER',NULL,NULL,NULL,NULL,'2025-10-22','9999-12-31',USER, CURRENT_TIMESTAMP(0));</v>
      </c>
    </row>
    <row r="329" spans="1:12" ht="15" customHeight="1">
      <c r="A329" s="11" t="str">
        <f>ETLMetadata!$C329</f>
        <v>CUST_CST_CUPT</v>
      </c>
      <c r="B329" s="11" t="str">
        <f>ETLMetadata!$E329</f>
        <v>PARTY_ROLE_ID</v>
      </c>
      <c r="C329" s="11" t="str">
        <f>IF(ISBLANK(ETLMetadata!$J329), "", ETLMetadata!$J329)</f>
        <v/>
      </c>
      <c r="D329" s="11" t="str">
        <f>ETLMetadata!$G329</f>
        <v>INTEGER</v>
      </c>
      <c r="E329" s="12"/>
      <c r="F329" s="12"/>
      <c r="G329" s="12" t="str">
        <f t="shared" si="10"/>
        <v/>
      </c>
      <c r="H329" s="12"/>
      <c r="I329" s="12"/>
      <c r="J329" s="13">
        <v>45952</v>
      </c>
      <c r="K329" s="13">
        <v>2958465</v>
      </c>
      <c r="L329" s="11" t="str">
        <f t="shared" si="11"/>
        <v>INSERT INTO metadata_reference.file_schema VALUES('CUST_CST_CUPT','PARTY_ROLE_ID',NULL,'INTEGER',NULL,NULL,NULL,NULL,'2025-10-22','9999-12-31',USER, CURRENT_TIMESTAMP(0));</v>
      </c>
    </row>
    <row r="330" spans="1:12" ht="15" customHeight="1">
      <c r="A330" s="11" t="str">
        <f>ETLMetadata!$C330</f>
        <v>CUST_CST_CUPT</v>
      </c>
      <c r="B330" s="11" t="str">
        <f>ETLMetadata!$E330</f>
        <v>RELATED_PARTY_ROLE_ID</v>
      </c>
      <c r="C330" s="11" t="str">
        <f>IF(ISBLANK(ETLMetadata!$J330), "", ETLMetadata!$J330)</f>
        <v/>
      </c>
      <c r="D330" s="11" t="str">
        <f>ETLMetadata!$G330</f>
        <v>INTEGER</v>
      </c>
      <c r="E330" s="12"/>
      <c r="F330" s="12"/>
      <c r="G330" s="12" t="str">
        <f t="shared" si="10"/>
        <v/>
      </c>
      <c r="H330" s="12"/>
      <c r="I330" s="12"/>
      <c r="J330" s="13">
        <v>45952</v>
      </c>
      <c r="K330" s="13">
        <v>2958465</v>
      </c>
      <c r="L330" s="11" t="str">
        <f t="shared" si="11"/>
        <v>INSERT INTO metadata_reference.file_schema VALUES('CUST_CST_CUPT','RELATED_PARTY_ROLE_ID',NULL,'INTEGER',NULL,NULL,NULL,NULL,'2025-10-22','9999-12-31',USER, CURRENT_TIMESTAMP(0));</v>
      </c>
    </row>
    <row r="331" spans="1:12" ht="15" customHeight="1">
      <c r="A331" s="11" t="str">
        <f>ETLMetadata!$C331</f>
        <v>CUST_CST_CUPT</v>
      </c>
      <c r="B331" s="11" t="str">
        <f>ETLMetadata!$E331</f>
        <v>ERROR_COUNT</v>
      </c>
      <c r="C331" s="11" t="str">
        <f>IF(ISBLANK(ETLMetadata!$J331), "", ETLMetadata!$J331)</f>
        <v/>
      </c>
      <c r="D331" s="11" t="str">
        <f>ETLMetadata!$G331</f>
        <v>SMALLINT</v>
      </c>
      <c r="E331" s="12"/>
      <c r="F331" s="12"/>
      <c r="G331" s="12" t="str">
        <f t="shared" si="10"/>
        <v/>
      </c>
      <c r="H331" s="12"/>
      <c r="I331" s="12"/>
      <c r="J331" s="13">
        <v>45952</v>
      </c>
      <c r="K331" s="13">
        <v>2958465</v>
      </c>
      <c r="L331" s="11" t="str">
        <f t="shared" si="11"/>
        <v>INSERT INTO metadata_reference.file_schema VALUES('CUST_CST_CUPT','ERROR_COUNT',NULL,'SMALLINT',NULL,NULL,NULL,NULL,'2025-10-22','9999-12-31',USER, CURRENT_TIMESTAMP(0));</v>
      </c>
    </row>
    <row r="332" spans="1:12" ht="15" customHeight="1">
      <c r="A332" s="11" t="str">
        <f>ETLMetadata!$C332</f>
        <v>CUST_CST_CUPT</v>
      </c>
      <c r="B332" s="11" t="str">
        <f>ETLMetadata!$E332</f>
        <v>Start_Date</v>
      </c>
      <c r="C332" s="11" t="str">
        <f>IF(ISBLANK(ETLMetadata!$J332), "", ETLMetadata!$J332)</f>
        <v/>
      </c>
      <c r="D332" s="11" t="str">
        <f>ETLMetadata!$G332</f>
        <v>DATE</v>
      </c>
      <c r="E332" s="12"/>
      <c r="F332" s="12"/>
      <c r="G332" s="12" t="str">
        <f t="shared" si="10"/>
        <v/>
      </c>
      <c r="H332" s="12"/>
      <c r="I332" s="12"/>
      <c r="J332" s="13">
        <v>45952</v>
      </c>
      <c r="K332" s="13">
        <v>2958465</v>
      </c>
      <c r="L332" s="11" t="str">
        <f t="shared" si="11"/>
        <v>INSERT INTO metadata_reference.file_schema VALUES('CUST_CST_CUPT','Start_Date',NULL,'DATE',NULL,NULL,NULL,NULL,'2025-10-22','9999-12-31',USER, CURRENT_TIMESTAMP(0));</v>
      </c>
    </row>
    <row r="333" spans="1:12" ht="15" customHeight="1">
      <c r="A333" s="11" t="str">
        <f>ETLMetadata!$C333</f>
        <v>CUST_CST_CUPT</v>
      </c>
      <c r="B333" s="11" t="str">
        <f>ETLMetadata!$E333</f>
        <v>End_Date</v>
      </c>
      <c r="C333" s="11" t="str">
        <f>IF(ISBLANK(ETLMetadata!$J333), "", ETLMetadata!$J333)</f>
        <v/>
      </c>
      <c r="D333" s="11" t="str">
        <f>ETLMetadata!$G333</f>
        <v>DATE</v>
      </c>
      <c r="E333" s="12"/>
      <c r="F333" s="12"/>
      <c r="G333" s="12" t="str">
        <f t="shared" si="10"/>
        <v/>
      </c>
      <c r="H333" s="12"/>
      <c r="I333" s="12"/>
      <c r="J333" s="13">
        <v>45952</v>
      </c>
      <c r="K333" s="13">
        <v>2958465</v>
      </c>
      <c r="L333" s="11" t="str">
        <f t="shared" si="11"/>
        <v>INSERT INTO metadata_reference.file_schema VALUES('CUST_CST_CUPT','End_Date',NULL,'DATE',NULL,NULL,NULL,NULL,'2025-10-22','9999-12-31',USER, CURRENT_TIMESTAMP(0));</v>
      </c>
    </row>
    <row r="334" spans="1:12" ht="15" customHeight="1">
      <c r="A334" s="11" t="str">
        <f>ETLMetadata!$C334</f>
        <v>CUST_CST_CUPT</v>
      </c>
      <c r="B334" s="11" t="str">
        <f>ETLMetadata!$E334</f>
        <v>Record_Deleted_Flag</v>
      </c>
      <c r="C334" s="11" t="str">
        <f>IF(ISBLANK(ETLMetadata!$J334), "", ETLMetadata!$J334)</f>
        <v/>
      </c>
      <c r="D334" s="11" t="str">
        <f>ETLMetadata!$G334</f>
        <v>BYTEINT</v>
      </c>
      <c r="E334" s="12"/>
      <c r="F334" s="12"/>
      <c r="G334" s="12" t="str">
        <f t="shared" si="10"/>
        <v/>
      </c>
      <c r="H334" s="12"/>
      <c r="I334" s="12"/>
      <c r="J334" s="13">
        <v>45952</v>
      </c>
      <c r="K334" s="13">
        <v>2958465</v>
      </c>
      <c r="L334" s="11" t="str">
        <f t="shared" si="11"/>
        <v>INSERT INTO metadata_reference.file_schema VALUES('CUST_CST_CUPT','Record_Deleted_Flag',NULL,'BYTEINT',NULL,NULL,NULL,NULL,'2025-10-22','9999-12-31',USER, CURRENT_TIMESTAMP(0));</v>
      </c>
    </row>
    <row r="335" spans="1:12" ht="15" customHeight="1">
      <c r="A335" s="11" t="str">
        <f>ETLMetadata!$C335</f>
        <v>DETM_DETIS_BBDS</v>
      </c>
      <c r="B335" s="11" t="str">
        <f>ETLMetadata!$E335</f>
        <v>EXTRACT_DATE</v>
      </c>
      <c r="C335" s="11" t="str">
        <f>IF(ISBLANK(ETLMetadata!$J335), "", ETLMetadata!$J335)</f>
        <v/>
      </c>
      <c r="D335" s="11" t="str">
        <f>ETLMetadata!$G335</f>
        <v>DATE</v>
      </c>
      <c r="E335" s="12"/>
      <c r="F335" s="12"/>
      <c r="G335" s="12" t="str">
        <f t="shared" si="10"/>
        <v/>
      </c>
      <c r="H335" s="12"/>
      <c r="I335" s="12"/>
      <c r="J335" s="13">
        <v>45952</v>
      </c>
      <c r="K335" s="13">
        <v>2958465</v>
      </c>
      <c r="L335" s="11" t="str">
        <f t="shared" si="11"/>
        <v>INSERT INTO metadata_reference.file_schema VALUES('DETM_DETIS_BBDS','EXTRACT_DATE',NULL,'DATE',NULL,NULL,NULL,NULL,'2025-10-22','9999-12-31',USER, CURRENT_TIMESTAMP(0));</v>
      </c>
    </row>
    <row r="336" spans="1:12" ht="15" customHeight="1">
      <c r="A336" s="11" t="str">
        <f>ETLMetadata!$C336</f>
        <v>DETM_DETIS_BBDS</v>
      </c>
      <c r="B336" s="11" t="str">
        <f>ETLMetadata!$E336</f>
        <v>LOGICAL_DELETE_DATE</v>
      </c>
      <c r="C336" s="11" t="str">
        <f>IF(ISBLANK(ETLMetadata!$J336), "", ETLMetadata!$J336)</f>
        <v/>
      </c>
      <c r="D336" s="11" t="str">
        <f>ETLMetadata!$G336</f>
        <v>DATE</v>
      </c>
      <c r="E336" s="12"/>
      <c r="F336" s="12"/>
      <c r="G336" s="12" t="str">
        <f t="shared" si="10"/>
        <v/>
      </c>
      <c r="H336" s="12"/>
      <c r="I336" s="12"/>
      <c r="J336" s="13">
        <v>45952</v>
      </c>
      <c r="K336" s="13">
        <v>2958465</v>
      </c>
      <c r="L336" s="11" t="str">
        <f t="shared" si="11"/>
        <v>INSERT INTO metadata_reference.file_schema VALUES('DETM_DETIS_BBDS','LOGICAL_DELETE_DATE',NULL,'DATE',NULL,NULL,NULL,NULL,'2025-10-22','9999-12-31',USER, CURRENT_TIMESTAMP(0));</v>
      </c>
    </row>
    <row r="337" spans="1:12" ht="15" customHeight="1">
      <c r="A337" s="11" t="str">
        <f>ETLMetadata!$C337</f>
        <v>DETM_DETIS_BBDS</v>
      </c>
      <c r="B337" s="11" t="str">
        <f>ETLMetadata!$E337</f>
        <v>ENVIRONMENT_ID</v>
      </c>
      <c r="C337" s="11" t="str">
        <f>IF(ISBLANK(ETLMetadata!$J337), "", ETLMetadata!$J337)</f>
        <v>Y</v>
      </c>
      <c r="D337" s="11" t="str">
        <f>ETLMetadata!$G337</f>
        <v>CHAR(1)</v>
      </c>
      <c r="E337" s="12"/>
      <c r="F337" s="12"/>
      <c r="G337" s="12" t="str">
        <f t="shared" si="10"/>
        <v/>
      </c>
      <c r="H337" s="12"/>
      <c r="I337" s="12"/>
      <c r="J337" s="13">
        <v>45952</v>
      </c>
      <c r="K337" s="13">
        <v>2958465</v>
      </c>
      <c r="L337" s="11" t="str">
        <f t="shared" si="11"/>
        <v>INSERT INTO metadata_reference.file_schema VALUES('DETM_DETIS_BBDS','ENVIRONMENT_ID','Y','CHAR(1)',NULL,NULL,NULL,NULL,'2025-10-22','9999-12-31',USER, CURRENT_TIMESTAMP(0));</v>
      </c>
    </row>
    <row r="338" spans="1:12" ht="15" customHeight="1">
      <c r="A338" s="11" t="str">
        <f>ETLMetadata!$C338</f>
        <v>DETM_DETIS_BBDS</v>
      </c>
      <c r="B338" s="11" t="str">
        <f>ETLMetadata!$E338</f>
        <v>PERSON_ID</v>
      </c>
      <c r="C338" s="11" t="str">
        <f>IF(ISBLANK(ETLMetadata!$J338), "", ETLMetadata!$J338)</f>
        <v>Y</v>
      </c>
      <c r="D338" s="11" t="str">
        <f>ETLMetadata!$G338</f>
        <v>INTEGER</v>
      </c>
      <c r="E338" s="12"/>
      <c r="F338" s="12" t="s">
        <v>799</v>
      </c>
      <c r="G338" s="12" t="str">
        <f t="shared" si="10"/>
        <v>PERSONAL_IDENTITYINFOINDIRECT</v>
      </c>
      <c r="H338" s="12"/>
      <c r="I338" s="12"/>
      <c r="J338" s="13">
        <v>45952</v>
      </c>
      <c r="K338" s="13">
        <v>2958465</v>
      </c>
      <c r="L338" s="11" t="str">
        <f t="shared" si="11"/>
        <v>INSERT INTO metadata_reference.file_schema VALUES('DETM_DETIS_BBDS','PERSON_ID','Y','INTEGER',NULL,'PERSONAL_IDENTITYINFOINDIRECT',NULL,NULL,'2025-10-22','9999-12-31',USER, CURRENT_TIMESTAMP(0));</v>
      </c>
    </row>
    <row r="339" spans="1:12" ht="15" customHeight="1">
      <c r="A339" s="11" t="str">
        <f>ETLMetadata!$C339</f>
        <v>DETM_DETIS_BBDS</v>
      </c>
      <c r="B339" s="11" t="str">
        <f>ETLMetadata!$E339</f>
        <v>BBDS_DOE</v>
      </c>
      <c r="C339" s="11" t="str">
        <f>IF(ISBLANK(ETLMetadata!$J339), "", ETLMetadata!$J339)</f>
        <v/>
      </c>
      <c r="D339" s="11" t="str">
        <f>ETLMetadata!$G339</f>
        <v>DATE</v>
      </c>
      <c r="E339" s="12"/>
      <c r="F339" s="12"/>
      <c r="G339" s="12" t="str">
        <f t="shared" si="10"/>
        <v/>
      </c>
      <c r="H339" s="12"/>
      <c r="I339" s="12"/>
      <c r="J339" s="13">
        <v>45952</v>
      </c>
      <c r="K339" s="13">
        <v>2958465</v>
      </c>
      <c r="L339" s="11" t="str">
        <f t="shared" si="11"/>
        <v>INSERT INTO metadata_reference.file_schema VALUES('DETM_DETIS_BBDS','BBDS_DOE',NULL,'DATE',NULL,NULL,NULL,NULL,'2025-10-22','9999-12-31',USER, CURRENT_TIMESTAMP(0));</v>
      </c>
    </row>
    <row r="340" spans="1:12" ht="15" customHeight="1">
      <c r="A340" s="11" t="str">
        <f>ETLMetadata!$C340</f>
        <v>DETM_DETIS_BBDS</v>
      </c>
      <c r="B340" s="11" t="str">
        <f>ETLMetadata!$E340</f>
        <v>BBDS_DOE_ORIG</v>
      </c>
      <c r="C340" s="11" t="str">
        <f>IF(ISBLANK(ETLMetadata!$J340), "", ETLMetadata!$J340)</f>
        <v/>
      </c>
      <c r="D340" s="11" t="str">
        <f>ETLMetadata!$G340</f>
        <v>INTEGER</v>
      </c>
      <c r="E340" s="12"/>
      <c r="F340" s="12"/>
      <c r="G340" s="12" t="str">
        <f t="shared" si="10"/>
        <v/>
      </c>
      <c r="H340" s="12"/>
      <c r="I340" s="12"/>
      <c r="J340" s="13">
        <v>45952</v>
      </c>
      <c r="K340" s="13">
        <v>2958465</v>
      </c>
      <c r="L340" s="11" t="str">
        <f t="shared" si="11"/>
        <v>INSERT INTO metadata_reference.file_schema VALUES('DETM_DETIS_BBDS','BBDS_DOE_ORIG',NULL,'INTEGER',NULL,NULL,NULL,NULL,'2025-10-22','9999-12-31',USER, CURRENT_TIMESTAMP(0));</v>
      </c>
    </row>
    <row r="341" spans="1:12" ht="15" customHeight="1">
      <c r="A341" s="11" t="str">
        <f>ETLMetadata!$C341</f>
        <v>DETM_DETIS_BBDS</v>
      </c>
      <c r="B341" s="11" t="str">
        <f>ETLMetadata!$E341</f>
        <v>PROCESSING_SEQUENCE</v>
      </c>
      <c r="C341" s="11" t="str">
        <f>IF(ISBLANK(ETLMetadata!$J341), "", ETLMetadata!$J341)</f>
        <v>Y</v>
      </c>
      <c r="D341" s="11" t="str">
        <f>ETLMetadata!$G341</f>
        <v>SMALLINT</v>
      </c>
      <c r="E341" s="12"/>
      <c r="F341" s="12"/>
      <c r="G341" s="12" t="str">
        <f t="shared" si="10"/>
        <v/>
      </c>
      <c r="H341" s="12"/>
      <c r="I341" s="12"/>
      <c r="J341" s="13">
        <v>45952</v>
      </c>
      <c r="K341" s="13">
        <v>2958465</v>
      </c>
      <c r="L341" s="11" t="str">
        <f t="shared" si="11"/>
        <v>INSERT INTO metadata_reference.file_schema VALUES('DETM_DETIS_BBDS','PROCESSING_SEQUENCE','Y','SMALLINT',NULL,NULL,NULL,NULL,'2025-10-22','9999-12-31',USER, CURRENT_TIMESTAMP(0));</v>
      </c>
    </row>
    <row r="342" spans="1:12" ht="15" customHeight="1">
      <c r="A342" s="11" t="str">
        <f>ETLMetadata!$C342</f>
        <v>DETM_DETIS_BBDS</v>
      </c>
      <c r="B342" s="11" t="str">
        <f>ETLMetadata!$E342</f>
        <v>BBDS_AMR_1</v>
      </c>
      <c r="C342" s="11" t="str">
        <f>IF(ISBLANK(ETLMetadata!$J342), "", ETLMetadata!$J342)</f>
        <v/>
      </c>
      <c r="D342" s="11" t="str">
        <f>ETLMetadata!$G342</f>
        <v>CHAR(4)</v>
      </c>
      <c r="E342" s="12"/>
      <c r="F342" s="12"/>
      <c r="G342" s="12" t="str">
        <f t="shared" si="10"/>
        <v/>
      </c>
      <c r="H342" s="12"/>
      <c r="I342" s="12"/>
      <c r="J342" s="13">
        <v>45952</v>
      </c>
      <c r="K342" s="13">
        <v>2958465</v>
      </c>
      <c r="L342" s="11" t="str">
        <f t="shared" si="11"/>
        <v>INSERT INTO metadata_reference.file_schema VALUES('DETM_DETIS_BBDS','BBDS_AMR_1',NULL,'CHAR(4)',NULL,NULL,NULL,NULL,'2025-10-22','9999-12-31',USER, CURRENT_TIMESTAMP(0));</v>
      </c>
    </row>
    <row r="343" spans="1:12" ht="15" customHeight="1">
      <c r="A343" s="11" t="str">
        <f>ETLMetadata!$C343</f>
        <v>DETM_DETIS_BBDS</v>
      </c>
      <c r="B343" s="11" t="str">
        <f>ETLMetadata!$E343</f>
        <v>BBDS_AMR_2</v>
      </c>
      <c r="C343" s="11" t="str">
        <f>IF(ISBLANK(ETLMetadata!$J343), "", ETLMetadata!$J343)</f>
        <v/>
      </c>
      <c r="D343" s="11" t="str">
        <f>ETLMetadata!$G343</f>
        <v>CHAR(1)</v>
      </c>
      <c r="E343" s="12"/>
      <c r="F343" s="12"/>
      <c r="G343" s="12" t="str">
        <f t="shared" si="10"/>
        <v/>
      </c>
      <c r="H343" s="12"/>
      <c r="I343" s="12"/>
      <c r="J343" s="13">
        <v>45952</v>
      </c>
      <c r="K343" s="13">
        <v>2958465</v>
      </c>
      <c r="L343" s="11" t="str">
        <f t="shared" si="11"/>
        <v>INSERT INTO metadata_reference.file_schema VALUES('DETM_DETIS_BBDS','BBDS_AMR_2',NULL,'CHAR(1)',NULL,NULL,NULL,NULL,'2025-10-22','9999-12-31',USER, CURRENT_TIMESTAMP(0));</v>
      </c>
    </row>
    <row r="344" spans="1:12" ht="15" customHeight="1">
      <c r="A344" s="11" t="str">
        <f>ETLMetadata!$C344</f>
        <v>DETM_DETIS_BBDS</v>
      </c>
      <c r="B344" s="11" t="str">
        <f>ETLMetadata!$E344</f>
        <v>BBDS_AMR_3</v>
      </c>
      <c r="C344" s="11" t="str">
        <f>IF(ISBLANK(ETLMetadata!$J344), "", ETLMetadata!$J344)</f>
        <v/>
      </c>
      <c r="D344" s="11" t="str">
        <f>ETLMetadata!$G344</f>
        <v>CHAR(4)</v>
      </c>
      <c r="E344" s="12"/>
      <c r="F344" s="12"/>
      <c r="G344" s="12" t="str">
        <f t="shared" si="10"/>
        <v/>
      </c>
      <c r="H344" s="12"/>
      <c r="I344" s="12"/>
      <c r="J344" s="13">
        <v>45952</v>
      </c>
      <c r="K344" s="13">
        <v>2958465</v>
      </c>
      <c r="L344" s="11" t="str">
        <f t="shared" si="11"/>
        <v>INSERT INTO metadata_reference.file_schema VALUES('DETM_DETIS_BBDS','BBDS_AMR_3',NULL,'CHAR(4)',NULL,NULL,NULL,NULL,'2025-10-22','9999-12-31',USER, CURRENT_TIMESTAMP(0));</v>
      </c>
    </row>
    <row r="345" spans="1:12" ht="15" customHeight="1">
      <c r="A345" s="11" t="str">
        <f>ETLMetadata!$C345</f>
        <v>DETM_DETIS_BBDS</v>
      </c>
      <c r="B345" s="11" t="str">
        <f>ETLMetadata!$E345</f>
        <v>BBDS_BEN_TYPE_CODE</v>
      </c>
      <c r="C345" s="11" t="str">
        <f>IF(ISBLANK(ETLMetadata!$J345), "", ETLMetadata!$J345)</f>
        <v/>
      </c>
      <c r="D345" s="11" t="str">
        <f>ETLMetadata!$G345</f>
        <v>CHAR(3)</v>
      </c>
      <c r="E345" s="12"/>
      <c r="F345" s="12"/>
      <c r="G345" s="12" t="str">
        <f t="shared" si="10"/>
        <v/>
      </c>
      <c r="H345" s="12"/>
      <c r="I345" s="12"/>
      <c r="J345" s="13">
        <v>45952</v>
      </c>
      <c r="K345" s="13">
        <v>2958465</v>
      </c>
      <c r="L345" s="11" t="str">
        <f t="shared" si="11"/>
        <v>INSERT INTO metadata_reference.file_schema VALUES('DETM_DETIS_BBDS','BBDS_BEN_TYPE_CODE',NULL,'CHAR(3)',NULL,NULL,NULL,NULL,'2025-10-22','9999-12-31',USER, CURRENT_TIMESTAMP(0));</v>
      </c>
    </row>
    <row r="346" spans="1:12" ht="15" customHeight="1">
      <c r="A346" s="11" t="str">
        <f>ETLMetadata!$C346</f>
        <v>DETM_DETIS_BBDS</v>
      </c>
      <c r="B346" s="11" t="str">
        <f>ETLMetadata!$E346</f>
        <v>BBDS_STS_CODE</v>
      </c>
      <c r="C346" s="11" t="str">
        <f>IF(ISBLANK(ETLMetadata!$J346), "", ETLMetadata!$J346)</f>
        <v/>
      </c>
      <c r="D346" s="11" t="str">
        <f>ETLMetadata!$G346</f>
        <v>CHAR(3)</v>
      </c>
      <c r="E346" s="12"/>
      <c r="F346" s="12"/>
      <c r="G346" s="12" t="str">
        <f t="shared" si="10"/>
        <v/>
      </c>
      <c r="H346" s="12"/>
      <c r="I346" s="12"/>
      <c r="J346" s="13">
        <v>45952</v>
      </c>
      <c r="K346" s="13">
        <v>2958465</v>
      </c>
      <c r="L346" s="11" t="str">
        <f t="shared" si="11"/>
        <v>INSERT INTO metadata_reference.file_schema VALUES('DETM_DETIS_BBDS','BBDS_STS_CODE',NULL,'CHAR(3)',NULL,NULL,NULL,NULL,'2025-10-22','9999-12-31',USER, CURRENT_TIMESTAMP(0));</v>
      </c>
    </row>
    <row r="347" spans="1:12" ht="15" customHeight="1">
      <c r="A347" s="11" t="str">
        <f>ETLMetadata!$C347</f>
        <v>DETM_DETIS_BBDS</v>
      </c>
      <c r="B347" s="11" t="str">
        <f>ETLMetadata!$E347</f>
        <v>BBDS_RSN_CODE</v>
      </c>
      <c r="C347" s="11" t="str">
        <f>IF(ISBLANK(ETLMetadata!$J347), "", ETLMetadata!$J347)</f>
        <v/>
      </c>
      <c r="D347" s="11" t="str">
        <f>ETLMetadata!$G347</f>
        <v>CHAR(3)</v>
      </c>
      <c r="E347" s="12"/>
      <c r="F347" s="12"/>
      <c r="G347" s="12" t="str">
        <f t="shared" si="10"/>
        <v/>
      </c>
      <c r="H347" s="12"/>
      <c r="I347" s="12"/>
      <c r="J347" s="13">
        <v>45952</v>
      </c>
      <c r="K347" s="13">
        <v>2958465</v>
      </c>
      <c r="L347" s="11" t="str">
        <f t="shared" si="11"/>
        <v>INSERT INTO metadata_reference.file_schema VALUES('DETM_DETIS_BBDS','BBDS_RSN_CODE',NULL,'CHAR(3)',NULL,NULL,NULL,NULL,'2025-10-22','9999-12-31',USER, CURRENT_TIMESTAMP(0));</v>
      </c>
    </row>
    <row r="348" spans="1:12" ht="15" customHeight="1">
      <c r="A348" s="11" t="str">
        <f>ETLMetadata!$C348</f>
        <v>DETM_DETIS_BBDS</v>
      </c>
      <c r="B348" s="11" t="str">
        <f>ETLMetadata!$E348</f>
        <v>BBDS_UNIQ_ID</v>
      </c>
      <c r="C348" s="11" t="str">
        <f>IF(ISBLANK(ETLMetadata!$J348), "", ETLMetadata!$J348)</f>
        <v/>
      </c>
      <c r="D348" s="11" t="str">
        <f>ETLMetadata!$G348</f>
        <v>VARCHAR(8)</v>
      </c>
      <c r="E348" s="12"/>
      <c r="F348" s="12"/>
      <c r="G348" s="12" t="str">
        <f t="shared" si="10"/>
        <v/>
      </c>
      <c r="H348" s="12"/>
      <c r="I348" s="12"/>
      <c r="J348" s="13">
        <v>45952</v>
      </c>
      <c r="K348" s="13">
        <v>2958465</v>
      </c>
      <c r="L348" s="11" t="str">
        <f t="shared" si="11"/>
        <v>INSERT INTO metadata_reference.file_schema VALUES('DETM_DETIS_BBDS','BBDS_UNIQ_ID',NULL,'VARCHAR(8)',NULL,NULL,NULL,NULL,'2025-10-22','9999-12-31',USER, CURRENT_TIMESTAMP(0));</v>
      </c>
    </row>
    <row r="349" spans="1:12" ht="15" customHeight="1">
      <c r="A349" s="11" t="str">
        <f>ETLMetadata!$C349</f>
        <v>DETM_DETIS_BBDS</v>
      </c>
      <c r="B349" s="11" t="str">
        <f>ETLMetadata!$E349</f>
        <v>AMR1_RISL_DTS</v>
      </c>
      <c r="C349" s="11" t="str">
        <f>IF(ISBLANK(ETLMetadata!$J349), "", ETLMetadata!$J349)</f>
        <v/>
      </c>
      <c r="D349" s="11" t="str">
        <f>ETLMetadata!$G349</f>
        <v>TIMESTAMP(6)</v>
      </c>
      <c r="E349" s="12"/>
      <c r="F349" s="12"/>
      <c r="G349" s="12" t="str">
        <f t="shared" si="10"/>
        <v/>
      </c>
      <c r="H349" s="12"/>
      <c r="I349" s="12"/>
      <c r="J349" s="13">
        <v>45952</v>
      </c>
      <c r="K349" s="13">
        <v>2958465</v>
      </c>
      <c r="L349" s="11" t="str">
        <f t="shared" si="11"/>
        <v>INSERT INTO metadata_reference.file_schema VALUES('DETM_DETIS_BBDS','AMR1_RISL_DTS',NULL,'TIMESTAMP(6)',NULL,NULL,NULL,NULL,'2025-10-22','9999-12-31',USER, CURRENT_TIMESTAMP(0));</v>
      </c>
    </row>
    <row r="350" spans="1:12" ht="15" customHeight="1">
      <c r="A350" s="11" t="str">
        <f>ETLMetadata!$C350</f>
        <v>DETM_DETIS_BBDS</v>
      </c>
      <c r="B350" s="11" t="str">
        <f>ETLMetadata!$E350</f>
        <v>AMR3_RISL_DTS</v>
      </c>
      <c r="C350" s="11" t="str">
        <f>IF(ISBLANK(ETLMetadata!$J350), "", ETLMetadata!$J350)</f>
        <v/>
      </c>
      <c r="D350" s="11" t="str">
        <f>ETLMetadata!$G350</f>
        <v>TIMESTAMP(6)</v>
      </c>
      <c r="E350" s="12"/>
      <c r="F350" s="12"/>
      <c r="G350" s="12" t="str">
        <f t="shared" si="10"/>
        <v/>
      </c>
      <c r="H350" s="12"/>
      <c r="I350" s="12"/>
      <c r="J350" s="13">
        <v>45952</v>
      </c>
      <c r="K350" s="13">
        <v>2958465</v>
      </c>
      <c r="L350" s="11" t="str">
        <f t="shared" si="11"/>
        <v>INSERT INTO metadata_reference.file_schema VALUES('DETM_DETIS_BBDS','AMR3_RISL_DTS',NULL,'TIMESTAMP(6)',NULL,NULL,NULL,NULL,'2025-10-22','9999-12-31',USER, CURRENT_TIMESTAMP(0));</v>
      </c>
    </row>
    <row r="351" spans="1:12" ht="15" customHeight="1">
      <c r="A351" s="11" t="str">
        <f>ETLMetadata!$C351</f>
        <v>DETM_DETIS_BBDS</v>
      </c>
      <c r="B351" s="11" t="str">
        <f>ETLMetadata!$E351</f>
        <v>EPISODE_ID</v>
      </c>
      <c r="C351" s="11" t="str">
        <f>IF(ISBLANK(ETLMetadata!$J351), "", ETLMetadata!$J351)</f>
        <v/>
      </c>
      <c r="D351" s="11" t="str">
        <f>ETLMetadata!$G351</f>
        <v>INTEGER</v>
      </c>
      <c r="E351" s="12"/>
      <c r="F351" s="12"/>
      <c r="G351" s="12" t="str">
        <f t="shared" si="10"/>
        <v/>
      </c>
      <c r="H351" s="12"/>
      <c r="I351" s="12"/>
      <c r="J351" s="13">
        <v>45952</v>
      </c>
      <c r="K351" s="13">
        <v>2958465</v>
      </c>
      <c r="L351" s="11" t="str">
        <f t="shared" si="11"/>
        <v>INSERT INTO metadata_reference.file_schema VALUES('DETM_DETIS_BBDS','EPISODE_ID',NULL,'INTEGER',NULL,NULL,NULL,NULL,'2025-10-22','9999-12-31',USER, CURRENT_TIMESTAMP(0));</v>
      </c>
    </row>
    <row r="352" spans="1:12" ht="15" customHeight="1">
      <c r="A352" s="11" t="str">
        <f>ETLMetadata!$C352</f>
        <v>DETM_DETIS_BBDS</v>
      </c>
      <c r="B352" s="11" t="str">
        <f>ETLMetadata!$E352</f>
        <v>PARTY_ROLE_ID</v>
      </c>
      <c r="C352" s="11" t="str">
        <f>IF(ISBLANK(ETLMetadata!$J352), "", ETLMetadata!$J352)</f>
        <v/>
      </c>
      <c r="D352" s="11" t="str">
        <f>ETLMetadata!$G352</f>
        <v>INTEGER</v>
      </c>
      <c r="E352" s="12"/>
      <c r="F352" s="12"/>
      <c r="G352" s="12" t="str">
        <f t="shared" si="10"/>
        <v/>
      </c>
      <c r="H352" s="12"/>
      <c r="I352" s="12"/>
      <c r="J352" s="13">
        <v>45952</v>
      </c>
      <c r="K352" s="13">
        <v>2958465</v>
      </c>
      <c r="L352" s="11" t="str">
        <f t="shared" si="11"/>
        <v>INSERT INTO metadata_reference.file_schema VALUES('DETM_DETIS_BBDS','PARTY_ROLE_ID',NULL,'INTEGER',NULL,NULL,NULL,NULL,'2025-10-22','9999-12-31',USER, CURRENT_TIMESTAMP(0));</v>
      </c>
    </row>
    <row r="353" spans="1:12" ht="15" customHeight="1">
      <c r="A353" s="11" t="str">
        <f>ETLMetadata!$C353</f>
        <v>DETM_DETIS_BBDS</v>
      </c>
      <c r="B353" s="11" t="str">
        <f>ETLMetadata!$E353</f>
        <v>PAYMENT_TYPE_ID</v>
      </c>
      <c r="C353" s="11" t="str">
        <f>IF(ISBLANK(ETLMetadata!$J353), "", ETLMetadata!$J353)</f>
        <v/>
      </c>
      <c r="D353" s="11" t="str">
        <f>ETLMetadata!$G353</f>
        <v>INTEGER</v>
      </c>
      <c r="E353" s="12"/>
      <c r="F353" s="12"/>
      <c r="G353" s="12" t="str">
        <f t="shared" si="10"/>
        <v/>
      </c>
      <c r="H353" s="12"/>
      <c r="I353" s="12"/>
      <c r="J353" s="13">
        <v>45952</v>
      </c>
      <c r="K353" s="13">
        <v>2958465</v>
      </c>
      <c r="L353" s="11" t="str">
        <f t="shared" si="11"/>
        <v>INSERT INTO metadata_reference.file_schema VALUES('DETM_DETIS_BBDS','PAYMENT_TYPE_ID',NULL,'INTEGER',NULL,NULL,NULL,NULL,'2025-10-22','9999-12-31',USER, CURRENT_TIMESTAMP(0));</v>
      </c>
    </row>
    <row r="354" spans="1:12" ht="15" customHeight="1">
      <c r="A354" s="11" t="str">
        <f>ETLMetadata!$C354</f>
        <v>DETM_DETIS_BBDS</v>
      </c>
      <c r="B354" s="11" t="str">
        <f>ETLMetadata!$E354</f>
        <v>ERROR_COUNT</v>
      </c>
      <c r="C354" s="11" t="str">
        <f>IF(ISBLANK(ETLMetadata!$J354), "", ETLMetadata!$J354)</f>
        <v/>
      </c>
      <c r="D354" s="11" t="str">
        <f>ETLMetadata!$G354</f>
        <v>SMALLINT</v>
      </c>
      <c r="E354" s="12"/>
      <c r="F354" s="12"/>
      <c r="G354" s="12" t="str">
        <f t="shared" si="10"/>
        <v/>
      </c>
      <c r="H354" s="12"/>
      <c r="I354" s="12"/>
      <c r="J354" s="13">
        <v>45952</v>
      </c>
      <c r="K354" s="13">
        <v>2958465</v>
      </c>
      <c r="L354" s="11" t="str">
        <f t="shared" si="11"/>
        <v>INSERT INTO metadata_reference.file_schema VALUES('DETM_DETIS_BBDS','ERROR_COUNT',NULL,'SMALLINT',NULL,NULL,NULL,NULL,'2025-10-22','9999-12-31',USER, CURRENT_TIMESTAMP(0));</v>
      </c>
    </row>
    <row r="355" spans="1:12" ht="15" customHeight="1">
      <c r="A355" s="11" t="str">
        <f>ETLMetadata!$C355</f>
        <v>DETM_DETIS_BBDS</v>
      </c>
      <c r="B355" s="11" t="str">
        <f>ETLMetadata!$E355</f>
        <v>Start_Date</v>
      </c>
      <c r="C355" s="11" t="str">
        <f>IF(ISBLANK(ETLMetadata!$J355), "", ETLMetadata!$J355)</f>
        <v/>
      </c>
      <c r="D355" s="11" t="str">
        <f>ETLMetadata!$G355</f>
        <v>DATE</v>
      </c>
      <c r="E355" s="12"/>
      <c r="F355" s="12"/>
      <c r="G355" s="12" t="str">
        <f t="shared" si="10"/>
        <v/>
      </c>
      <c r="H355" s="12"/>
      <c r="I355" s="12"/>
      <c r="J355" s="13">
        <v>45952</v>
      </c>
      <c r="K355" s="13">
        <v>2958465</v>
      </c>
      <c r="L355" s="11" t="str">
        <f t="shared" si="11"/>
        <v>INSERT INTO metadata_reference.file_schema VALUES('DETM_DETIS_BBDS','Start_Date',NULL,'DATE',NULL,NULL,NULL,NULL,'2025-10-22','9999-12-31',USER, CURRENT_TIMESTAMP(0));</v>
      </c>
    </row>
    <row r="356" spans="1:12" ht="15" customHeight="1">
      <c r="A356" s="11" t="str">
        <f>ETLMetadata!$C356</f>
        <v>DETM_DETIS_BBDS</v>
      </c>
      <c r="B356" s="11" t="str">
        <f>ETLMetadata!$E356</f>
        <v>End_Date</v>
      </c>
      <c r="C356" s="11" t="str">
        <f>IF(ISBLANK(ETLMetadata!$J356), "", ETLMetadata!$J356)</f>
        <v/>
      </c>
      <c r="D356" s="11" t="str">
        <f>ETLMetadata!$G356</f>
        <v>DATE</v>
      </c>
      <c r="E356" s="12"/>
      <c r="F356" s="12"/>
      <c r="G356" s="12" t="str">
        <f t="shared" si="10"/>
        <v/>
      </c>
      <c r="H356" s="12"/>
      <c r="I356" s="12"/>
      <c r="J356" s="13">
        <v>45952</v>
      </c>
      <c r="K356" s="13">
        <v>2958465</v>
      </c>
      <c r="L356" s="11" t="str">
        <f t="shared" si="11"/>
        <v>INSERT INTO metadata_reference.file_schema VALUES('DETM_DETIS_BBDS','End_Date',NULL,'DATE',NULL,NULL,NULL,NULL,'2025-10-22','9999-12-31',USER, CURRENT_TIMESTAMP(0));</v>
      </c>
    </row>
    <row r="357" spans="1:12" ht="15" customHeight="1">
      <c r="A357" s="11" t="str">
        <f>ETLMetadata!$C357</f>
        <v>DETM_DETIS_BBDS</v>
      </c>
      <c r="B357" s="11" t="str">
        <f>ETLMetadata!$E357</f>
        <v>Record_Deleted_Flag</v>
      </c>
      <c r="C357" s="11" t="str">
        <f>IF(ISBLANK(ETLMetadata!$J357), "", ETLMetadata!$J357)</f>
        <v/>
      </c>
      <c r="D357" s="11" t="str">
        <f>ETLMetadata!$G357</f>
        <v>BYTEINT</v>
      </c>
      <c r="E357" s="12"/>
      <c r="F357" s="12"/>
      <c r="G357" s="12" t="str">
        <f t="shared" si="10"/>
        <v/>
      </c>
      <c r="H357" s="12"/>
      <c r="I357" s="12"/>
      <c r="J357" s="13">
        <v>45952</v>
      </c>
      <c r="K357" s="13">
        <v>2958465</v>
      </c>
      <c r="L357" s="11" t="str">
        <f t="shared" si="11"/>
        <v>INSERT INTO metadata_reference.file_schema VALUES('DETM_DETIS_BBDS','Record_Deleted_Flag',NULL,'BYTEINT',NULL,NULL,NULL,NULL,'2025-10-22','9999-12-31',USER, CURRENT_TIMESTAMP(0));</v>
      </c>
    </row>
    <row r="358" spans="1:12" ht="15" customHeight="1">
      <c r="A358" s="11" t="str">
        <f>ETLMetadata!$C358</f>
        <v>DETM_DETIS_C9DS</v>
      </c>
      <c r="B358" s="11" t="str">
        <f>ETLMetadata!$E358</f>
        <v>EXTRACT_DATE</v>
      </c>
      <c r="C358" s="11" t="str">
        <f>IF(ISBLANK(ETLMetadata!$J358), "", ETLMetadata!$J358)</f>
        <v/>
      </c>
      <c r="D358" s="11" t="str">
        <f>ETLMetadata!$G358</f>
        <v>DATE</v>
      </c>
      <c r="E358" s="12"/>
      <c r="F358" s="12"/>
      <c r="G358" s="12" t="str">
        <f t="shared" si="10"/>
        <v/>
      </c>
      <c r="H358" s="12"/>
      <c r="I358" s="12"/>
      <c r="J358" s="13">
        <v>45952</v>
      </c>
      <c r="K358" s="13">
        <v>2958465</v>
      </c>
      <c r="L358" s="11" t="str">
        <f t="shared" si="11"/>
        <v>INSERT INTO metadata_reference.file_schema VALUES('DETM_DETIS_C9DS','EXTRACT_DATE',NULL,'DATE',NULL,NULL,NULL,NULL,'2025-10-22','9999-12-31',USER, CURRENT_TIMESTAMP(0));</v>
      </c>
    </row>
    <row r="359" spans="1:12" ht="15" customHeight="1">
      <c r="A359" s="11" t="str">
        <f>ETLMetadata!$C359</f>
        <v>DETM_DETIS_C9DS</v>
      </c>
      <c r="B359" s="11" t="str">
        <f>ETLMetadata!$E359</f>
        <v>LOGICAL_DELETE_DATE</v>
      </c>
      <c r="C359" s="11" t="str">
        <f>IF(ISBLANK(ETLMetadata!$J359), "", ETLMetadata!$J359)</f>
        <v/>
      </c>
      <c r="D359" s="11" t="str">
        <f>ETLMetadata!$G359</f>
        <v>DATE</v>
      </c>
      <c r="E359" s="12"/>
      <c r="F359" s="12"/>
      <c r="G359" s="12" t="str">
        <f t="shared" si="10"/>
        <v/>
      </c>
      <c r="H359" s="12"/>
      <c r="I359" s="12"/>
      <c r="J359" s="13">
        <v>45952</v>
      </c>
      <c r="K359" s="13">
        <v>2958465</v>
      </c>
      <c r="L359" s="11" t="str">
        <f t="shared" si="11"/>
        <v>INSERT INTO metadata_reference.file_schema VALUES('DETM_DETIS_C9DS','LOGICAL_DELETE_DATE',NULL,'DATE',NULL,NULL,NULL,NULL,'2025-10-22','9999-12-31',USER, CURRENT_TIMESTAMP(0));</v>
      </c>
    </row>
    <row r="360" spans="1:12" ht="15" customHeight="1">
      <c r="A360" s="11" t="str">
        <f>ETLMetadata!$C360</f>
        <v>DETM_DETIS_C9DS</v>
      </c>
      <c r="B360" s="11" t="str">
        <f>ETLMetadata!$E360</f>
        <v>ENVIRONMENT_ID</v>
      </c>
      <c r="C360" s="11" t="str">
        <f>IF(ISBLANK(ETLMetadata!$J360), "", ETLMetadata!$J360)</f>
        <v>Y</v>
      </c>
      <c r="D360" s="11" t="str">
        <f>ETLMetadata!$G360</f>
        <v>CHAR(1)</v>
      </c>
      <c r="E360" s="12"/>
      <c r="F360" s="12"/>
      <c r="G360" s="12" t="str">
        <f t="shared" si="10"/>
        <v/>
      </c>
      <c r="H360" s="12"/>
      <c r="I360" s="12"/>
      <c r="J360" s="13">
        <v>45952</v>
      </c>
      <c r="K360" s="13">
        <v>2958465</v>
      </c>
      <c r="L360" s="11" t="str">
        <f t="shared" si="11"/>
        <v>INSERT INTO metadata_reference.file_schema VALUES('DETM_DETIS_C9DS','ENVIRONMENT_ID','Y','CHAR(1)',NULL,NULL,NULL,NULL,'2025-10-22','9999-12-31',USER, CURRENT_TIMESTAMP(0));</v>
      </c>
    </row>
    <row r="361" spans="1:12" ht="15" customHeight="1">
      <c r="A361" s="11" t="str">
        <f>ETLMetadata!$C361</f>
        <v>DETM_DETIS_C9DS</v>
      </c>
      <c r="B361" s="11" t="str">
        <f>ETLMetadata!$E361</f>
        <v>PERSON_ID</v>
      </c>
      <c r="C361" s="11" t="str">
        <f>IF(ISBLANK(ETLMetadata!$J361), "", ETLMetadata!$J361)</f>
        <v>Y</v>
      </c>
      <c r="D361" s="11" t="str">
        <f>ETLMetadata!$G361</f>
        <v>INTEGER</v>
      </c>
      <c r="E361" s="12"/>
      <c r="F361" s="12" t="s">
        <v>799</v>
      </c>
      <c r="G361" s="12" t="str">
        <f t="shared" si="10"/>
        <v>PERSONAL_IDENTITYINFOINDIRECT</v>
      </c>
      <c r="H361" s="12"/>
      <c r="I361" s="12"/>
      <c r="J361" s="13">
        <v>45952</v>
      </c>
      <c r="K361" s="13">
        <v>2958465</v>
      </c>
      <c r="L361" s="11" t="str">
        <f t="shared" si="11"/>
        <v>INSERT INTO metadata_reference.file_schema VALUES('DETM_DETIS_C9DS','PERSON_ID','Y','INTEGER',NULL,'PERSONAL_IDENTITYINFOINDIRECT',NULL,NULL,'2025-10-22','9999-12-31',USER, CURRENT_TIMESTAMP(0));</v>
      </c>
    </row>
    <row r="362" spans="1:12" ht="15" customHeight="1">
      <c r="A362" s="11" t="str">
        <f>ETLMetadata!$C362</f>
        <v>DETM_DETIS_C9DS</v>
      </c>
      <c r="B362" s="11" t="str">
        <f>ETLMetadata!$E362</f>
        <v>C9DS_DOE</v>
      </c>
      <c r="C362" s="11" t="str">
        <f>IF(ISBLANK(ETLMetadata!$J362), "", ETLMetadata!$J362)</f>
        <v/>
      </c>
      <c r="D362" s="11" t="str">
        <f>ETLMetadata!$G362</f>
        <v>DATE</v>
      </c>
      <c r="E362" s="12"/>
      <c r="F362" s="12"/>
      <c r="G362" s="12" t="str">
        <f t="shared" si="10"/>
        <v/>
      </c>
      <c r="H362" s="12"/>
      <c r="I362" s="12"/>
      <c r="J362" s="13">
        <v>45952</v>
      </c>
      <c r="K362" s="13">
        <v>2958465</v>
      </c>
      <c r="L362" s="11" t="str">
        <f t="shared" si="11"/>
        <v>INSERT INTO metadata_reference.file_schema VALUES('DETM_DETIS_C9DS','C9DS_DOE',NULL,'DATE',NULL,NULL,NULL,NULL,'2025-10-22','9999-12-31',USER, CURRENT_TIMESTAMP(0));</v>
      </c>
    </row>
    <row r="363" spans="1:12" ht="15" customHeight="1">
      <c r="A363" s="11" t="str">
        <f>ETLMetadata!$C363</f>
        <v>DETM_DETIS_C9DS</v>
      </c>
      <c r="B363" s="11" t="str">
        <f>ETLMetadata!$E363</f>
        <v>C9DS_DOE_ORIG</v>
      </c>
      <c r="C363" s="11" t="str">
        <f>IF(ISBLANK(ETLMetadata!$J363), "", ETLMetadata!$J363)</f>
        <v/>
      </c>
      <c r="D363" s="11" t="str">
        <f>ETLMetadata!$G363</f>
        <v>INTEGER</v>
      </c>
      <c r="E363" s="12"/>
      <c r="F363" s="12"/>
      <c r="G363" s="12" t="str">
        <f t="shared" si="10"/>
        <v/>
      </c>
      <c r="H363" s="12"/>
      <c r="I363" s="12"/>
      <c r="J363" s="13">
        <v>45952</v>
      </c>
      <c r="K363" s="13">
        <v>2958465</v>
      </c>
      <c r="L363" s="11" t="str">
        <f t="shared" si="11"/>
        <v>INSERT INTO metadata_reference.file_schema VALUES('DETM_DETIS_C9DS','C9DS_DOE_ORIG',NULL,'INTEGER',NULL,NULL,NULL,NULL,'2025-10-22','9999-12-31',USER, CURRENT_TIMESTAMP(0));</v>
      </c>
    </row>
    <row r="364" spans="1:12" ht="15" customHeight="1">
      <c r="A364" s="11" t="str">
        <f>ETLMetadata!$C364</f>
        <v>DETM_DETIS_C9DS</v>
      </c>
      <c r="B364" s="11" t="str">
        <f>ETLMetadata!$E364</f>
        <v>PROCESSING_SEQUENCE</v>
      </c>
      <c r="C364" s="11" t="str">
        <f>IF(ISBLANK(ETLMetadata!$J364), "", ETLMetadata!$J364)</f>
        <v>Y</v>
      </c>
      <c r="D364" s="11" t="str">
        <f>ETLMetadata!$G364</f>
        <v>SMALLINT</v>
      </c>
      <c r="E364" s="12"/>
      <c r="F364" s="12"/>
      <c r="G364" s="12" t="str">
        <f t="shared" si="10"/>
        <v/>
      </c>
      <c r="H364" s="12"/>
      <c r="I364" s="12"/>
      <c r="J364" s="13">
        <v>45952</v>
      </c>
      <c r="K364" s="13">
        <v>2958465</v>
      </c>
      <c r="L364" s="11" t="str">
        <f t="shared" si="11"/>
        <v>INSERT INTO metadata_reference.file_schema VALUES('DETM_DETIS_C9DS','PROCESSING_SEQUENCE','Y','SMALLINT',NULL,NULL,NULL,NULL,'2025-10-22','9999-12-31',USER, CURRENT_TIMESTAMP(0));</v>
      </c>
    </row>
    <row r="365" spans="1:12" ht="15" customHeight="1">
      <c r="A365" s="11" t="str">
        <f>ETLMetadata!$C365</f>
        <v>DETM_DETIS_C9DS</v>
      </c>
      <c r="B365" s="11" t="str">
        <f>ETLMetadata!$E365</f>
        <v>C9DS_AMR_1</v>
      </c>
      <c r="C365" s="11" t="str">
        <f>IF(ISBLANK(ETLMetadata!$J365), "", ETLMetadata!$J365)</f>
        <v/>
      </c>
      <c r="D365" s="11" t="str">
        <f>ETLMetadata!$G365</f>
        <v>CHAR(4)</v>
      </c>
      <c r="E365" s="12"/>
      <c r="F365" s="12"/>
      <c r="G365" s="12" t="str">
        <f t="shared" si="10"/>
        <v/>
      </c>
      <c r="H365" s="12"/>
      <c r="I365" s="12"/>
      <c r="J365" s="13">
        <v>45952</v>
      </c>
      <c r="K365" s="13">
        <v>2958465</v>
      </c>
      <c r="L365" s="11" t="str">
        <f t="shared" si="11"/>
        <v>INSERT INTO metadata_reference.file_schema VALUES('DETM_DETIS_C9DS','C9DS_AMR_1',NULL,'CHAR(4)',NULL,NULL,NULL,NULL,'2025-10-22','9999-12-31',USER, CURRENT_TIMESTAMP(0));</v>
      </c>
    </row>
    <row r="366" spans="1:12" ht="15" customHeight="1">
      <c r="A366" s="11" t="str">
        <f>ETLMetadata!$C366</f>
        <v>DETM_DETIS_C9DS</v>
      </c>
      <c r="B366" s="11" t="str">
        <f>ETLMetadata!$E366</f>
        <v>C9DS_AMR_2</v>
      </c>
      <c r="C366" s="11" t="str">
        <f>IF(ISBLANK(ETLMetadata!$J366), "", ETLMetadata!$J366)</f>
        <v/>
      </c>
      <c r="D366" s="11" t="str">
        <f>ETLMetadata!$G366</f>
        <v>CHAR(1)</v>
      </c>
      <c r="E366" s="12"/>
      <c r="F366" s="12"/>
      <c r="G366" s="12" t="str">
        <f t="shared" si="10"/>
        <v/>
      </c>
      <c r="H366" s="12"/>
      <c r="I366" s="12"/>
      <c r="J366" s="13">
        <v>45952</v>
      </c>
      <c r="K366" s="13">
        <v>2958465</v>
      </c>
      <c r="L366" s="11" t="str">
        <f t="shared" si="11"/>
        <v>INSERT INTO metadata_reference.file_schema VALUES('DETM_DETIS_C9DS','C9DS_AMR_2',NULL,'CHAR(1)',NULL,NULL,NULL,NULL,'2025-10-22','9999-12-31',USER, CURRENT_TIMESTAMP(0));</v>
      </c>
    </row>
    <row r="367" spans="1:12" ht="15" customHeight="1">
      <c r="A367" s="11" t="str">
        <f>ETLMetadata!$C367</f>
        <v>DETM_DETIS_C9DS</v>
      </c>
      <c r="B367" s="11" t="str">
        <f>ETLMetadata!$E367</f>
        <v>C9DS_AMR_3</v>
      </c>
      <c r="C367" s="11" t="str">
        <f>IF(ISBLANK(ETLMetadata!$J367), "", ETLMetadata!$J367)</f>
        <v/>
      </c>
      <c r="D367" s="11" t="str">
        <f>ETLMetadata!$G367</f>
        <v>CHAR(4)</v>
      </c>
      <c r="E367" s="12"/>
      <c r="F367" s="12"/>
      <c r="G367" s="12" t="str">
        <f t="shared" si="10"/>
        <v/>
      </c>
      <c r="H367" s="12"/>
      <c r="I367" s="12"/>
      <c r="J367" s="13">
        <v>45952</v>
      </c>
      <c r="K367" s="13">
        <v>2958465</v>
      </c>
      <c r="L367" s="11" t="str">
        <f t="shared" si="11"/>
        <v>INSERT INTO metadata_reference.file_schema VALUES('DETM_DETIS_C9DS','C9DS_AMR_3',NULL,'CHAR(4)',NULL,NULL,NULL,NULL,'2025-10-22','9999-12-31',USER, CURRENT_TIMESTAMP(0));</v>
      </c>
    </row>
    <row r="368" spans="1:12" ht="15" customHeight="1">
      <c r="A368" s="11" t="str">
        <f>ETLMetadata!$C368</f>
        <v>DETM_DETIS_C9DS</v>
      </c>
      <c r="B368" s="11" t="str">
        <f>ETLMetadata!$E368</f>
        <v>C9DS_BEN_TYPE_CODE</v>
      </c>
      <c r="C368" s="11" t="str">
        <f>IF(ISBLANK(ETLMetadata!$J368), "", ETLMetadata!$J368)</f>
        <v/>
      </c>
      <c r="D368" s="11" t="str">
        <f>ETLMetadata!$G368</f>
        <v>CHAR(3)</v>
      </c>
      <c r="E368" s="12"/>
      <c r="F368" s="12"/>
      <c r="G368" s="12" t="str">
        <f t="shared" si="10"/>
        <v/>
      </c>
      <c r="H368" s="12"/>
      <c r="I368" s="12"/>
      <c r="J368" s="13">
        <v>45952</v>
      </c>
      <c r="K368" s="13">
        <v>2958465</v>
      </c>
      <c r="L368" s="11" t="str">
        <f t="shared" si="11"/>
        <v>INSERT INTO metadata_reference.file_schema VALUES('DETM_DETIS_C9DS','C9DS_BEN_TYPE_CODE',NULL,'CHAR(3)',NULL,NULL,NULL,NULL,'2025-10-22','9999-12-31',USER, CURRENT_TIMESTAMP(0));</v>
      </c>
    </row>
    <row r="369" spans="1:12" ht="15" customHeight="1">
      <c r="A369" s="11" t="str">
        <f>ETLMetadata!$C369</f>
        <v>DETM_DETIS_C9DS</v>
      </c>
      <c r="B369" s="11" t="str">
        <f>ETLMetadata!$E369</f>
        <v>C9DS_STS_CODE</v>
      </c>
      <c r="C369" s="11" t="str">
        <f>IF(ISBLANK(ETLMetadata!$J369), "", ETLMetadata!$J369)</f>
        <v/>
      </c>
      <c r="D369" s="11" t="str">
        <f>ETLMetadata!$G369</f>
        <v>CHAR(3)</v>
      </c>
      <c r="E369" s="12"/>
      <c r="F369" s="12"/>
      <c r="G369" s="12" t="str">
        <f t="shared" si="10"/>
        <v/>
      </c>
      <c r="H369" s="12"/>
      <c r="I369" s="12"/>
      <c r="J369" s="13">
        <v>45952</v>
      </c>
      <c r="K369" s="13">
        <v>2958465</v>
      </c>
      <c r="L369" s="11" t="str">
        <f t="shared" si="11"/>
        <v>INSERT INTO metadata_reference.file_schema VALUES('DETM_DETIS_C9DS','C9DS_STS_CODE',NULL,'CHAR(3)',NULL,NULL,NULL,NULL,'2025-10-22','9999-12-31',USER, CURRENT_TIMESTAMP(0));</v>
      </c>
    </row>
    <row r="370" spans="1:12" ht="15" customHeight="1">
      <c r="A370" s="11" t="str">
        <f>ETLMetadata!$C370</f>
        <v>DETM_DETIS_C9DS</v>
      </c>
      <c r="B370" s="11" t="str">
        <f>ETLMetadata!$E370</f>
        <v>C9DS_RSN_CODE</v>
      </c>
      <c r="C370" s="11" t="str">
        <f>IF(ISBLANK(ETLMetadata!$J370), "", ETLMetadata!$J370)</f>
        <v/>
      </c>
      <c r="D370" s="11" t="str">
        <f>ETLMetadata!$G370</f>
        <v>CHAR(3)</v>
      </c>
      <c r="E370" s="12"/>
      <c r="F370" s="12"/>
      <c r="G370" s="12" t="str">
        <f t="shared" si="10"/>
        <v/>
      </c>
      <c r="H370" s="12"/>
      <c r="I370" s="12"/>
      <c r="J370" s="13">
        <v>45952</v>
      </c>
      <c r="K370" s="13">
        <v>2958465</v>
      </c>
      <c r="L370" s="11" t="str">
        <f t="shared" si="11"/>
        <v>INSERT INTO metadata_reference.file_schema VALUES('DETM_DETIS_C9DS','C9DS_RSN_CODE',NULL,'CHAR(3)',NULL,NULL,NULL,NULL,'2025-10-22','9999-12-31',USER, CURRENT_TIMESTAMP(0));</v>
      </c>
    </row>
    <row r="371" spans="1:12" ht="15" customHeight="1">
      <c r="A371" s="11" t="str">
        <f>ETLMetadata!$C371</f>
        <v>DETM_DETIS_C9DS</v>
      </c>
      <c r="B371" s="11" t="str">
        <f>ETLMetadata!$E371</f>
        <v>C9DS_UNIQ_ID</v>
      </c>
      <c r="C371" s="11" t="str">
        <f>IF(ISBLANK(ETLMetadata!$J371), "", ETLMetadata!$J371)</f>
        <v/>
      </c>
      <c r="D371" s="11" t="str">
        <f>ETLMetadata!$G371</f>
        <v>VARCHAR(8)</v>
      </c>
      <c r="E371" s="12"/>
      <c r="F371" s="12"/>
      <c r="G371" s="12" t="str">
        <f t="shared" si="10"/>
        <v/>
      </c>
      <c r="H371" s="12"/>
      <c r="I371" s="12"/>
      <c r="J371" s="13">
        <v>45952</v>
      </c>
      <c r="K371" s="13">
        <v>2958465</v>
      </c>
      <c r="L371" s="11" t="str">
        <f t="shared" si="11"/>
        <v>INSERT INTO metadata_reference.file_schema VALUES('DETM_DETIS_C9DS','C9DS_UNIQ_ID',NULL,'VARCHAR(8)',NULL,NULL,NULL,NULL,'2025-10-22','9999-12-31',USER, CURRENT_TIMESTAMP(0));</v>
      </c>
    </row>
    <row r="372" spans="1:12" ht="15" customHeight="1">
      <c r="A372" s="11" t="str">
        <f>ETLMetadata!$C372</f>
        <v>DETM_DETIS_C9DS</v>
      </c>
      <c r="B372" s="11" t="str">
        <f>ETLMetadata!$E372</f>
        <v>AMR1_RISL_DTS</v>
      </c>
      <c r="C372" s="11" t="str">
        <f>IF(ISBLANK(ETLMetadata!$J372), "", ETLMetadata!$J372)</f>
        <v/>
      </c>
      <c r="D372" s="11" t="str">
        <f>ETLMetadata!$G372</f>
        <v>TIMESTAMP(6)</v>
      </c>
      <c r="E372" s="12"/>
      <c r="F372" s="12"/>
      <c r="G372" s="12" t="str">
        <f t="shared" si="10"/>
        <v/>
      </c>
      <c r="H372" s="12"/>
      <c r="I372" s="12"/>
      <c r="J372" s="13">
        <v>45952</v>
      </c>
      <c r="K372" s="13">
        <v>2958465</v>
      </c>
      <c r="L372" s="11" t="str">
        <f t="shared" si="11"/>
        <v>INSERT INTO metadata_reference.file_schema VALUES('DETM_DETIS_C9DS','AMR1_RISL_DTS',NULL,'TIMESTAMP(6)',NULL,NULL,NULL,NULL,'2025-10-22','9999-12-31',USER, CURRENT_TIMESTAMP(0));</v>
      </c>
    </row>
    <row r="373" spans="1:12" ht="15" customHeight="1">
      <c r="A373" s="11" t="str">
        <f>ETLMetadata!$C373</f>
        <v>DETM_DETIS_C9DS</v>
      </c>
      <c r="B373" s="11" t="str">
        <f>ETLMetadata!$E373</f>
        <v>AMR3_RISL_DTS</v>
      </c>
      <c r="C373" s="11" t="str">
        <f>IF(ISBLANK(ETLMetadata!$J373), "", ETLMetadata!$J373)</f>
        <v/>
      </c>
      <c r="D373" s="11" t="str">
        <f>ETLMetadata!$G373</f>
        <v>TIMESTAMP(6)</v>
      </c>
      <c r="E373" s="12"/>
      <c r="F373" s="12"/>
      <c r="G373" s="12" t="str">
        <f t="shared" si="10"/>
        <v/>
      </c>
      <c r="H373" s="12"/>
      <c r="I373" s="12"/>
      <c r="J373" s="13">
        <v>45952</v>
      </c>
      <c r="K373" s="13">
        <v>2958465</v>
      </c>
      <c r="L373" s="11" t="str">
        <f t="shared" si="11"/>
        <v>INSERT INTO metadata_reference.file_schema VALUES('DETM_DETIS_C9DS','AMR3_RISL_DTS',NULL,'TIMESTAMP(6)',NULL,NULL,NULL,NULL,'2025-10-22','9999-12-31',USER, CURRENT_TIMESTAMP(0));</v>
      </c>
    </row>
    <row r="374" spans="1:12" ht="15" customHeight="1">
      <c r="A374" s="11" t="str">
        <f>ETLMetadata!$C374</f>
        <v>DETM_DETIS_C9DS</v>
      </c>
      <c r="B374" s="11" t="str">
        <f>ETLMetadata!$E374</f>
        <v>EPISODE_ID</v>
      </c>
      <c r="C374" s="11" t="str">
        <f>IF(ISBLANK(ETLMetadata!$J374), "", ETLMetadata!$J374)</f>
        <v/>
      </c>
      <c r="D374" s="11" t="str">
        <f>ETLMetadata!$G374</f>
        <v>INTEGER</v>
      </c>
      <c r="E374" s="12"/>
      <c r="F374" s="12"/>
      <c r="G374" s="12" t="str">
        <f t="shared" si="10"/>
        <v/>
      </c>
      <c r="H374" s="12"/>
      <c r="I374" s="12"/>
      <c r="J374" s="13">
        <v>45952</v>
      </c>
      <c r="K374" s="13">
        <v>2958465</v>
      </c>
      <c r="L374" s="11" t="str">
        <f t="shared" si="11"/>
        <v>INSERT INTO metadata_reference.file_schema VALUES('DETM_DETIS_C9DS','EPISODE_ID',NULL,'INTEGER',NULL,NULL,NULL,NULL,'2025-10-22','9999-12-31',USER, CURRENT_TIMESTAMP(0));</v>
      </c>
    </row>
    <row r="375" spans="1:12" ht="15" customHeight="1">
      <c r="A375" s="11" t="str">
        <f>ETLMetadata!$C375</f>
        <v>DETM_DETIS_C9DS</v>
      </c>
      <c r="B375" s="11" t="str">
        <f>ETLMetadata!$E375</f>
        <v>PARTY_ROLE_ID</v>
      </c>
      <c r="C375" s="11" t="str">
        <f>IF(ISBLANK(ETLMetadata!$J375), "", ETLMetadata!$J375)</f>
        <v/>
      </c>
      <c r="D375" s="11" t="str">
        <f>ETLMetadata!$G375</f>
        <v>INTEGER</v>
      </c>
      <c r="E375" s="12"/>
      <c r="F375" s="12"/>
      <c r="G375" s="12" t="str">
        <f t="shared" si="10"/>
        <v/>
      </c>
      <c r="H375" s="12"/>
      <c r="I375" s="12"/>
      <c r="J375" s="13">
        <v>45952</v>
      </c>
      <c r="K375" s="13">
        <v>2958465</v>
      </c>
      <c r="L375" s="11" t="str">
        <f t="shared" si="11"/>
        <v>INSERT INTO metadata_reference.file_schema VALUES('DETM_DETIS_C9DS','PARTY_ROLE_ID',NULL,'INTEGER',NULL,NULL,NULL,NULL,'2025-10-22','9999-12-31',USER, CURRENT_TIMESTAMP(0));</v>
      </c>
    </row>
    <row r="376" spans="1:12" ht="15" customHeight="1">
      <c r="A376" s="11" t="str">
        <f>ETLMetadata!$C376</f>
        <v>DETM_DETIS_C9DS</v>
      </c>
      <c r="B376" s="11" t="str">
        <f>ETLMetadata!$E376</f>
        <v>PAYMENT_TYPE_ID</v>
      </c>
      <c r="C376" s="11" t="str">
        <f>IF(ISBLANK(ETLMetadata!$J376), "", ETLMetadata!$J376)</f>
        <v/>
      </c>
      <c r="D376" s="11" t="str">
        <f>ETLMetadata!$G376</f>
        <v>INTEGER</v>
      </c>
      <c r="E376" s="12"/>
      <c r="F376" s="12"/>
      <c r="G376" s="12" t="str">
        <f t="shared" si="10"/>
        <v/>
      </c>
      <c r="H376" s="12"/>
      <c r="I376" s="12"/>
      <c r="J376" s="13">
        <v>45952</v>
      </c>
      <c r="K376" s="13">
        <v>2958465</v>
      </c>
      <c r="L376" s="11" t="str">
        <f t="shared" si="11"/>
        <v>INSERT INTO metadata_reference.file_schema VALUES('DETM_DETIS_C9DS','PAYMENT_TYPE_ID',NULL,'INTEGER',NULL,NULL,NULL,NULL,'2025-10-22','9999-12-31',USER, CURRENT_TIMESTAMP(0));</v>
      </c>
    </row>
    <row r="377" spans="1:12" ht="15" customHeight="1">
      <c r="A377" s="11" t="str">
        <f>ETLMetadata!$C377</f>
        <v>DETM_DETIS_C9DS</v>
      </c>
      <c r="B377" s="11" t="str">
        <f>ETLMetadata!$E377</f>
        <v>ERROR_COUNT</v>
      </c>
      <c r="C377" s="11" t="str">
        <f>IF(ISBLANK(ETLMetadata!$J377), "", ETLMetadata!$J377)</f>
        <v/>
      </c>
      <c r="D377" s="11" t="str">
        <f>ETLMetadata!$G377</f>
        <v>SMALLINT</v>
      </c>
      <c r="E377" s="12"/>
      <c r="F377" s="12"/>
      <c r="G377" s="12" t="str">
        <f t="shared" si="10"/>
        <v/>
      </c>
      <c r="H377" s="12"/>
      <c r="I377" s="12"/>
      <c r="J377" s="13">
        <v>45952</v>
      </c>
      <c r="K377" s="13">
        <v>2958465</v>
      </c>
      <c r="L377" s="11" t="str">
        <f t="shared" si="11"/>
        <v>INSERT INTO metadata_reference.file_schema VALUES('DETM_DETIS_C9DS','ERROR_COUNT',NULL,'SMALLINT',NULL,NULL,NULL,NULL,'2025-10-22','9999-12-31',USER, CURRENT_TIMESTAMP(0));</v>
      </c>
    </row>
    <row r="378" spans="1:12" ht="15" customHeight="1">
      <c r="A378" s="11" t="str">
        <f>ETLMetadata!$C378</f>
        <v>DETM_DETIS_C9DS</v>
      </c>
      <c r="B378" s="11" t="str">
        <f>ETLMetadata!$E378</f>
        <v>Start_Date</v>
      </c>
      <c r="C378" s="11" t="str">
        <f>IF(ISBLANK(ETLMetadata!$J378), "", ETLMetadata!$J378)</f>
        <v/>
      </c>
      <c r="D378" s="11" t="str">
        <f>ETLMetadata!$G378</f>
        <v>DATE</v>
      </c>
      <c r="E378" s="12"/>
      <c r="F378" s="12"/>
      <c r="G378" s="12" t="str">
        <f t="shared" si="10"/>
        <v/>
      </c>
      <c r="H378" s="12"/>
      <c r="I378" s="12"/>
      <c r="J378" s="13">
        <v>45952</v>
      </c>
      <c r="K378" s="13">
        <v>2958465</v>
      </c>
      <c r="L378" s="11" t="str">
        <f t="shared" si="11"/>
        <v>INSERT INTO metadata_reference.file_schema VALUES('DETM_DETIS_C9DS','Start_Date',NULL,'DATE',NULL,NULL,NULL,NULL,'2025-10-22','9999-12-31',USER, CURRENT_TIMESTAMP(0));</v>
      </c>
    </row>
    <row r="379" spans="1:12" ht="15" customHeight="1">
      <c r="A379" s="11" t="str">
        <f>ETLMetadata!$C379</f>
        <v>DETM_DETIS_C9DS</v>
      </c>
      <c r="B379" s="11" t="str">
        <f>ETLMetadata!$E379</f>
        <v>End_Date</v>
      </c>
      <c r="C379" s="11" t="str">
        <f>IF(ISBLANK(ETLMetadata!$J379), "", ETLMetadata!$J379)</f>
        <v/>
      </c>
      <c r="D379" s="11" t="str">
        <f>ETLMetadata!$G379</f>
        <v>DATE</v>
      </c>
      <c r="E379" s="12"/>
      <c r="F379" s="12"/>
      <c r="G379" s="12" t="str">
        <f t="shared" si="10"/>
        <v/>
      </c>
      <c r="H379" s="12"/>
      <c r="I379" s="12"/>
      <c r="J379" s="13">
        <v>45952</v>
      </c>
      <c r="K379" s="13">
        <v>2958465</v>
      </c>
      <c r="L379" s="11" t="str">
        <f t="shared" si="11"/>
        <v>INSERT INTO metadata_reference.file_schema VALUES('DETM_DETIS_C9DS','End_Date',NULL,'DATE',NULL,NULL,NULL,NULL,'2025-10-22','9999-12-31',USER, CURRENT_TIMESTAMP(0));</v>
      </c>
    </row>
    <row r="380" spans="1:12" ht="15" customHeight="1">
      <c r="A380" s="11" t="str">
        <f>ETLMetadata!$C380</f>
        <v>DETM_DETIS_C9DS</v>
      </c>
      <c r="B380" s="11" t="str">
        <f>ETLMetadata!$E380</f>
        <v>Record_Deleted_Flag</v>
      </c>
      <c r="C380" s="11" t="str">
        <f>IF(ISBLANK(ETLMetadata!$J380), "", ETLMetadata!$J380)</f>
        <v/>
      </c>
      <c r="D380" s="11" t="str">
        <f>ETLMetadata!$G380</f>
        <v>BYTEINT</v>
      </c>
      <c r="E380" s="12"/>
      <c r="F380" s="12"/>
      <c r="G380" s="12" t="str">
        <f t="shared" si="10"/>
        <v/>
      </c>
      <c r="H380" s="12"/>
      <c r="I380" s="12"/>
      <c r="J380" s="13">
        <v>45952</v>
      </c>
      <c r="K380" s="13">
        <v>2958465</v>
      </c>
      <c r="L380" s="11" t="str">
        <f t="shared" si="11"/>
        <v>INSERT INTO metadata_reference.file_schema VALUES('DETM_DETIS_C9DS','Record_Deleted_Flag',NULL,'BYTEINT',NULL,NULL,NULL,NULL,'2025-10-22','9999-12-31',USER, CURRENT_TIMESTAMP(0));</v>
      </c>
    </row>
    <row r="381" spans="1:12" ht="15" customHeight="1">
      <c r="A381" s="11" t="str">
        <f>ETLMetadata!$C381</f>
        <v>DETM_DETIS_CBDS</v>
      </c>
      <c r="B381" s="11" t="str">
        <f>ETLMetadata!$E381</f>
        <v>EXTRACT_DATE</v>
      </c>
      <c r="C381" s="11" t="str">
        <f>IF(ISBLANK(ETLMetadata!$J381), "", ETLMetadata!$J381)</f>
        <v/>
      </c>
      <c r="D381" s="11" t="str">
        <f>ETLMetadata!$G381</f>
        <v>DATE</v>
      </c>
      <c r="E381" s="12"/>
      <c r="F381" s="12"/>
      <c r="G381" s="12" t="str">
        <f t="shared" si="10"/>
        <v/>
      </c>
      <c r="H381" s="12"/>
      <c r="I381" s="12"/>
      <c r="J381" s="13">
        <v>45952</v>
      </c>
      <c r="K381" s="13">
        <v>2958465</v>
      </c>
      <c r="L381" s="11" t="str">
        <f t="shared" si="11"/>
        <v>INSERT INTO metadata_reference.file_schema VALUES('DETM_DETIS_CBDS','EXTRACT_DATE',NULL,'DATE',NULL,NULL,NULL,NULL,'2025-10-22','9999-12-31',USER, CURRENT_TIMESTAMP(0));</v>
      </c>
    </row>
    <row r="382" spans="1:12" ht="15" customHeight="1">
      <c r="A382" s="11" t="str">
        <f>ETLMetadata!$C382</f>
        <v>DETM_DETIS_CBDS</v>
      </c>
      <c r="B382" s="11" t="str">
        <f>ETLMetadata!$E382</f>
        <v>LOGICAL_DELETE_DATE</v>
      </c>
      <c r="C382" s="11" t="str">
        <f>IF(ISBLANK(ETLMetadata!$J382), "", ETLMetadata!$J382)</f>
        <v/>
      </c>
      <c r="D382" s="11" t="str">
        <f>ETLMetadata!$G382</f>
        <v>DATE</v>
      </c>
      <c r="E382" s="12"/>
      <c r="F382" s="12"/>
      <c r="G382" s="12" t="str">
        <f t="shared" si="10"/>
        <v/>
      </c>
      <c r="H382" s="12"/>
      <c r="I382" s="12"/>
      <c r="J382" s="13">
        <v>45952</v>
      </c>
      <c r="K382" s="13">
        <v>2958465</v>
      </c>
      <c r="L382" s="11" t="str">
        <f t="shared" si="11"/>
        <v>INSERT INTO metadata_reference.file_schema VALUES('DETM_DETIS_CBDS','LOGICAL_DELETE_DATE',NULL,'DATE',NULL,NULL,NULL,NULL,'2025-10-22','9999-12-31',USER, CURRENT_TIMESTAMP(0));</v>
      </c>
    </row>
    <row r="383" spans="1:12" ht="15" customHeight="1">
      <c r="A383" s="11" t="str">
        <f>ETLMetadata!$C383</f>
        <v>DETM_DETIS_CBDS</v>
      </c>
      <c r="B383" s="11" t="str">
        <f>ETLMetadata!$E383</f>
        <v>ENVIRONMENT_ID</v>
      </c>
      <c r="C383" s="11" t="str">
        <f>IF(ISBLANK(ETLMetadata!$J383), "", ETLMetadata!$J383)</f>
        <v>Y</v>
      </c>
      <c r="D383" s="11" t="str">
        <f>ETLMetadata!$G383</f>
        <v>CHAR(1)</v>
      </c>
      <c r="E383" s="12"/>
      <c r="F383" s="12"/>
      <c r="G383" s="12" t="str">
        <f t="shared" si="10"/>
        <v/>
      </c>
      <c r="H383" s="12"/>
      <c r="I383" s="12"/>
      <c r="J383" s="13">
        <v>45952</v>
      </c>
      <c r="K383" s="13">
        <v>2958465</v>
      </c>
      <c r="L383" s="11" t="str">
        <f t="shared" si="11"/>
        <v>INSERT INTO metadata_reference.file_schema VALUES('DETM_DETIS_CBDS','ENVIRONMENT_ID','Y','CHAR(1)',NULL,NULL,NULL,NULL,'2025-10-22','9999-12-31',USER, CURRENT_TIMESTAMP(0));</v>
      </c>
    </row>
    <row r="384" spans="1:12" ht="15" customHeight="1">
      <c r="A384" s="11" t="str">
        <f>ETLMetadata!$C384</f>
        <v>DETM_DETIS_CBDS</v>
      </c>
      <c r="B384" s="11" t="str">
        <f>ETLMetadata!$E384</f>
        <v>PERSON_ID</v>
      </c>
      <c r="C384" s="11" t="str">
        <f>IF(ISBLANK(ETLMetadata!$J384), "", ETLMetadata!$J384)</f>
        <v>Y</v>
      </c>
      <c r="D384" s="11" t="str">
        <f>ETLMetadata!$G384</f>
        <v>INTEGER</v>
      </c>
      <c r="E384" s="12"/>
      <c r="F384" s="12" t="s">
        <v>799</v>
      </c>
      <c r="G384" s="12" t="str">
        <f t="shared" si="10"/>
        <v>PERSONAL_IDENTITYINFOINDIRECT</v>
      </c>
      <c r="H384" s="12"/>
      <c r="I384" s="12"/>
      <c r="J384" s="13">
        <v>45952</v>
      </c>
      <c r="K384" s="13">
        <v>2958465</v>
      </c>
      <c r="L384" s="11" t="str">
        <f t="shared" si="11"/>
        <v>INSERT INTO metadata_reference.file_schema VALUES('DETM_DETIS_CBDS','PERSON_ID','Y','INTEGER',NULL,'PERSONAL_IDENTITYINFOINDIRECT',NULL,NULL,'2025-10-22','9999-12-31',USER, CURRENT_TIMESTAMP(0));</v>
      </c>
    </row>
    <row r="385" spans="1:12" ht="15" customHeight="1">
      <c r="A385" s="11" t="str">
        <f>ETLMetadata!$C385</f>
        <v>DETM_DETIS_CBDS</v>
      </c>
      <c r="B385" s="11" t="str">
        <f>ETLMetadata!$E385</f>
        <v>PROCESSING_SEQUENCE</v>
      </c>
      <c r="C385" s="11" t="str">
        <f>IF(ISBLANK(ETLMetadata!$J385), "", ETLMetadata!$J385)</f>
        <v>Y</v>
      </c>
      <c r="D385" s="11" t="str">
        <f>ETLMetadata!$G385</f>
        <v>SMALLINT</v>
      </c>
      <c r="E385" s="12"/>
      <c r="F385" s="12"/>
      <c r="G385" s="12" t="str">
        <f t="shared" si="10"/>
        <v/>
      </c>
      <c r="H385" s="12"/>
      <c r="I385" s="12"/>
      <c r="J385" s="13">
        <v>45952</v>
      </c>
      <c r="K385" s="13">
        <v>2958465</v>
      </c>
      <c r="L385" s="11" t="str">
        <f t="shared" si="11"/>
        <v>INSERT INTO metadata_reference.file_schema VALUES('DETM_DETIS_CBDS','PROCESSING_SEQUENCE','Y','SMALLINT',NULL,NULL,NULL,NULL,'2025-10-22','9999-12-31',USER, CURRENT_TIMESTAMP(0));</v>
      </c>
    </row>
    <row r="386" spans="1:12" ht="15" customHeight="1">
      <c r="A386" s="11" t="str">
        <f>ETLMetadata!$C386</f>
        <v>DETM_DETIS_CBDS</v>
      </c>
      <c r="B386" s="11" t="str">
        <f>ETLMetadata!$E386</f>
        <v>CBDS_AMR_1</v>
      </c>
      <c r="C386" s="11" t="str">
        <f>IF(ISBLANK(ETLMetadata!$J386), "", ETLMetadata!$J386)</f>
        <v/>
      </c>
      <c r="D386" s="11" t="str">
        <f>ETLMetadata!$G386</f>
        <v>CHAR(4)</v>
      </c>
      <c r="E386" s="12"/>
      <c r="F386" s="12"/>
      <c r="G386" s="12" t="str">
        <f t="shared" si="10"/>
        <v/>
      </c>
      <c r="H386" s="12"/>
      <c r="I386" s="12"/>
      <c r="J386" s="13">
        <v>45952</v>
      </c>
      <c r="K386" s="13">
        <v>2958465</v>
      </c>
      <c r="L386" s="11" t="str">
        <f t="shared" si="11"/>
        <v>INSERT INTO metadata_reference.file_schema VALUES('DETM_DETIS_CBDS','CBDS_AMR_1',NULL,'CHAR(4)',NULL,NULL,NULL,NULL,'2025-10-22','9999-12-31',USER, CURRENT_TIMESTAMP(0));</v>
      </c>
    </row>
    <row r="387" spans="1:12" ht="15" customHeight="1">
      <c r="A387" s="11" t="str">
        <f>ETLMetadata!$C387</f>
        <v>DETM_DETIS_CBDS</v>
      </c>
      <c r="B387" s="11" t="str">
        <f>ETLMetadata!$E387</f>
        <v>CBDS_AMR_2</v>
      </c>
      <c r="C387" s="11" t="str">
        <f>IF(ISBLANK(ETLMetadata!$J387), "", ETLMetadata!$J387)</f>
        <v/>
      </c>
      <c r="D387" s="11" t="str">
        <f>ETLMetadata!$G387</f>
        <v>CHAR(1)</v>
      </c>
      <c r="E387" s="12"/>
      <c r="F387" s="12"/>
      <c r="G387" s="12" t="str">
        <f t="shared" ref="G387:G450" si="12">UPPER($F387)</f>
        <v/>
      </c>
      <c r="H387" s="12"/>
      <c r="I387" s="12"/>
      <c r="J387" s="13">
        <v>45952</v>
      </c>
      <c r="K387" s="13">
        <v>2958465</v>
      </c>
      <c r="L387" s="11" t="str">
        <f t="shared" ref="L387:L450" si="13">CONCATENATE("INSERT INTO metadata_reference.file_schema VALUES('",TRIM(A387),"','",TRIM(B387),"',",IF(TRIM(C387)="","NULL","'"&amp;TRIM(C387)&amp;"'"),",'",TRIM(D387),"',",IF(TRIM(E387)="","NULL","'"&amp;TRIM(E387)&amp;"'"),",",IF(TRIM(G387)="","NULL","'"&amp;TRIM(G387)&amp;"'"),",",IF(TRIM(H387)="","NULL","'"&amp;TRIM(H387)&amp;"'"),",",
IF(TRIM(I387)="","NULL",TRIM(I387)),",",IF(TRIM(J387)="","NULL","'"&amp;TEXT(J387,"yyyy-mm-dd")&amp;"'"),",",IF(TRIM(K387)="","NULL","'"&amp;TEXT(K387,"yyyy-mm-dd")&amp;"'"),",","USER, CURRENT_TIMESTAMP(0));")</f>
        <v>INSERT INTO metadata_reference.file_schema VALUES('DETM_DETIS_CBDS','CBDS_AMR_2',NULL,'CHAR(1)',NULL,NULL,NULL,NULL,'2025-10-22','9999-12-31',USER, CURRENT_TIMESTAMP(0));</v>
      </c>
    </row>
    <row r="388" spans="1:12" ht="15" customHeight="1">
      <c r="A388" s="11" t="str">
        <f>ETLMetadata!$C388</f>
        <v>DETM_DETIS_CBDS</v>
      </c>
      <c r="B388" s="11" t="str">
        <f>ETLMetadata!$E388</f>
        <v>CBDS_AMR_3</v>
      </c>
      <c r="C388" s="11" t="str">
        <f>IF(ISBLANK(ETLMetadata!$J388), "", ETLMetadata!$J388)</f>
        <v/>
      </c>
      <c r="D388" s="11" t="str">
        <f>ETLMetadata!$G388</f>
        <v>CHAR(4)</v>
      </c>
      <c r="E388" s="12"/>
      <c r="F388" s="12"/>
      <c r="G388" s="12" t="str">
        <f t="shared" si="12"/>
        <v/>
      </c>
      <c r="H388" s="12"/>
      <c r="I388" s="12"/>
      <c r="J388" s="13">
        <v>45952</v>
      </c>
      <c r="K388" s="13">
        <v>2958465</v>
      </c>
      <c r="L388" s="11" t="str">
        <f t="shared" si="13"/>
        <v>INSERT INTO metadata_reference.file_schema VALUES('DETM_DETIS_CBDS','CBDS_AMR_3',NULL,'CHAR(4)',NULL,NULL,NULL,NULL,'2025-10-22','9999-12-31',USER, CURRENT_TIMESTAMP(0));</v>
      </c>
    </row>
    <row r="389" spans="1:12" ht="15" customHeight="1">
      <c r="A389" s="11" t="str">
        <f>ETLMetadata!$C389</f>
        <v>DETM_DETIS_CBDS</v>
      </c>
      <c r="B389" s="11" t="str">
        <f>ETLMetadata!$E389</f>
        <v>CBDS_BEN_TYPE_CODE</v>
      </c>
      <c r="C389" s="11" t="str">
        <f>IF(ISBLANK(ETLMetadata!$J389), "", ETLMetadata!$J389)</f>
        <v/>
      </c>
      <c r="D389" s="11" t="str">
        <f>ETLMetadata!$G389</f>
        <v>CHAR(3)</v>
      </c>
      <c r="E389" s="12"/>
      <c r="F389" s="12"/>
      <c r="G389" s="12" t="str">
        <f t="shared" si="12"/>
        <v/>
      </c>
      <c r="H389" s="12"/>
      <c r="I389" s="12"/>
      <c r="J389" s="13">
        <v>45952</v>
      </c>
      <c r="K389" s="13">
        <v>2958465</v>
      </c>
      <c r="L389" s="11" t="str">
        <f t="shared" si="13"/>
        <v>INSERT INTO metadata_reference.file_schema VALUES('DETM_DETIS_CBDS','CBDS_BEN_TYPE_CODE',NULL,'CHAR(3)',NULL,NULL,NULL,NULL,'2025-10-22','9999-12-31',USER, CURRENT_TIMESTAMP(0));</v>
      </c>
    </row>
    <row r="390" spans="1:12" ht="15" customHeight="1">
      <c r="A390" s="11" t="str">
        <f>ETLMetadata!$C390</f>
        <v>DETM_DETIS_CBDS</v>
      </c>
      <c r="B390" s="11" t="str">
        <f>ETLMetadata!$E390</f>
        <v>CBDS_DOE</v>
      </c>
      <c r="C390" s="11" t="str">
        <f>IF(ISBLANK(ETLMetadata!$J390), "", ETLMetadata!$J390)</f>
        <v/>
      </c>
      <c r="D390" s="11" t="str">
        <f>ETLMetadata!$G390</f>
        <v>DATE</v>
      </c>
      <c r="E390" s="12"/>
      <c r="F390" s="12"/>
      <c r="G390" s="12" t="str">
        <f t="shared" si="12"/>
        <v/>
      </c>
      <c r="H390" s="12"/>
      <c r="I390" s="12"/>
      <c r="J390" s="13">
        <v>45952</v>
      </c>
      <c r="K390" s="13">
        <v>2958465</v>
      </c>
      <c r="L390" s="11" t="str">
        <f t="shared" si="13"/>
        <v>INSERT INTO metadata_reference.file_schema VALUES('DETM_DETIS_CBDS','CBDS_DOE',NULL,'DATE',NULL,NULL,NULL,NULL,'2025-10-22','9999-12-31',USER, CURRENT_TIMESTAMP(0));</v>
      </c>
    </row>
    <row r="391" spans="1:12" ht="15" customHeight="1">
      <c r="A391" s="11" t="str">
        <f>ETLMetadata!$C391</f>
        <v>DETM_DETIS_CBDS</v>
      </c>
      <c r="B391" s="11" t="str">
        <f>ETLMetadata!$E391</f>
        <v>CBDS_DOE_ORIG</v>
      </c>
      <c r="C391" s="11" t="str">
        <f>IF(ISBLANK(ETLMetadata!$J391), "", ETLMetadata!$J391)</f>
        <v/>
      </c>
      <c r="D391" s="11" t="str">
        <f>ETLMetadata!$G391</f>
        <v>INTEGER</v>
      </c>
      <c r="E391" s="12"/>
      <c r="F391" s="12"/>
      <c r="G391" s="12" t="str">
        <f t="shared" si="12"/>
        <v/>
      </c>
      <c r="H391" s="12"/>
      <c r="I391" s="12"/>
      <c r="J391" s="13">
        <v>45952</v>
      </c>
      <c r="K391" s="13">
        <v>2958465</v>
      </c>
      <c r="L391" s="11" t="str">
        <f t="shared" si="13"/>
        <v>INSERT INTO metadata_reference.file_schema VALUES('DETM_DETIS_CBDS','CBDS_DOE_ORIG',NULL,'INTEGER',NULL,NULL,NULL,NULL,'2025-10-22','9999-12-31',USER, CURRENT_TIMESTAMP(0));</v>
      </c>
    </row>
    <row r="392" spans="1:12" ht="15" customHeight="1">
      <c r="A392" s="11" t="str">
        <f>ETLMetadata!$C392</f>
        <v>DETM_DETIS_CBDS</v>
      </c>
      <c r="B392" s="11" t="str">
        <f>ETLMetadata!$E392</f>
        <v>CBDS_RSN_CODE</v>
      </c>
      <c r="C392" s="11" t="str">
        <f>IF(ISBLANK(ETLMetadata!$J392), "", ETLMetadata!$J392)</f>
        <v/>
      </c>
      <c r="D392" s="11" t="str">
        <f>ETLMetadata!$G392</f>
        <v>CHAR(3)</v>
      </c>
      <c r="E392" s="12"/>
      <c r="F392" s="12"/>
      <c r="G392" s="12" t="str">
        <f t="shared" si="12"/>
        <v/>
      </c>
      <c r="H392" s="12"/>
      <c r="I392" s="12"/>
      <c r="J392" s="13">
        <v>45952</v>
      </c>
      <c r="K392" s="13">
        <v>2958465</v>
      </c>
      <c r="L392" s="11" t="str">
        <f t="shared" si="13"/>
        <v>INSERT INTO metadata_reference.file_schema VALUES('DETM_DETIS_CBDS','CBDS_RSN_CODE',NULL,'CHAR(3)',NULL,NULL,NULL,NULL,'2025-10-22','9999-12-31',USER, CURRENT_TIMESTAMP(0));</v>
      </c>
    </row>
    <row r="393" spans="1:12" ht="15" customHeight="1">
      <c r="A393" s="11" t="str">
        <f>ETLMetadata!$C393</f>
        <v>DETM_DETIS_CBDS</v>
      </c>
      <c r="B393" s="11" t="str">
        <f>ETLMetadata!$E393</f>
        <v>CBDS_STS_CODE</v>
      </c>
      <c r="C393" s="11" t="str">
        <f>IF(ISBLANK(ETLMetadata!$J393), "", ETLMetadata!$J393)</f>
        <v/>
      </c>
      <c r="D393" s="11" t="str">
        <f>ETLMetadata!$G393</f>
        <v>CHAR(3)</v>
      </c>
      <c r="E393" s="12"/>
      <c r="F393" s="12"/>
      <c r="G393" s="12" t="str">
        <f t="shared" si="12"/>
        <v/>
      </c>
      <c r="H393" s="12"/>
      <c r="I393" s="12"/>
      <c r="J393" s="13">
        <v>45952</v>
      </c>
      <c r="K393" s="13">
        <v>2958465</v>
      </c>
      <c r="L393" s="11" t="str">
        <f t="shared" si="13"/>
        <v>INSERT INTO metadata_reference.file_schema VALUES('DETM_DETIS_CBDS','CBDS_STS_CODE',NULL,'CHAR(3)',NULL,NULL,NULL,NULL,'2025-10-22','9999-12-31',USER, CURRENT_TIMESTAMP(0));</v>
      </c>
    </row>
    <row r="394" spans="1:12" ht="15" customHeight="1">
      <c r="A394" s="11" t="str">
        <f>ETLMetadata!$C394</f>
        <v>DETM_DETIS_CBDS</v>
      </c>
      <c r="B394" s="11" t="str">
        <f>ETLMetadata!$E394</f>
        <v>ERROR_COUNT</v>
      </c>
      <c r="C394" s="11" t="str">
        <f>IF(ISBLANK(ETLMetadata!$J394), "", ETLMetadata!$J394)</f>
        <v/>
      </c>
      <c r="D394" s="11" t="str">
        <f>ETLMetadata!$G394</f>
        <v>SMALLINT</v>
      </c>
      <c r="E394" s="12"/>
      <c r="F394" s="12"/>
      <c r="G394" s="12" t="str">
        <f t="shared" si="12"/>
        <v/>
      </c>
      <c r="H394" s="12"/>
      <c r="I394" s="12"/>
      <c r="J394" s="13">
        <v>45952</v>
      </c>
      <c r="K394" s="13">
        <v>2958465</v>
      </c>
      <c r="L394" s="11" t="str">
        <f t="shared" si="13"/>
        <v>INSERT INTO metadata_reference.file_schema VALUES('DETM_DETIS_CBDS','ERROR_COUNT',NULL,'SMALLINT',NULL,NULL,NULL,NULL,'2025-10-22','9999-12-31',USER, CURRENT_TIMESTAMP(0));</v>
      </c>
    </row>
    <row r="395" spans="1:12" ht="15" customHeight="1">
      <c r="A395" s="11" t="str">
        <f>ETLMetadata!$C395</f>
        <v>DETM_DETIS_CBDS</v>
      </c>
      <c r="B395" s="11" t="str">
        <f>ETLMetadata!$E395</f>
        <v>AMR1_RISL_DTS</v>
      </c>
      <c r="C395" s="11" t="str">
        <f>IF(ISBLANK(ETLMetadata!$J395), "", ETLMetadata!$J395)</f>
        <v/>
      </c>
      <c r="D395" s="11" t="str">
        <f>ETLMetadata!$G395</f>
        <v>TIMESTAMP(6)</v>
      </c>
      <c r="E395" s="12"/>
      <c r="F395" s="12"/>
      <c r="G395" s="12" t="str">
        <f t="shared" si="12"/>
        <v/>
      </c>
      <c r="H395" s="12"/>
      <c r="I395" s="12"/>
      <c r="J395" s="13">
        <v>45952</v>
      </c>
      <c r="K395" s="13">
        <v>2958465</v>
      </c>
      <c r="L395" s="11" t="str">
        <f t="shared" si="13"/>
        <v>INSERT INTO metadata_reference.file_schema VALUES('DETM_DETIS_CBDS','AMR1_RISL_DTS',NULL,'TIMESTAMP(6)',NULL,NULL,NULL,NULL,'2025-10-22','9999-12-31',USER, CURRENT_TIMESTAMP(0));</v>
      </c>
    </row>
    <row r="396" spans="1:12" ht="15" customHeight="1">
      <c r="A396" s="11" t="str">
        <f>ETLMetadata!$C396</f>
        <v>DETM_DETIS_CBDS</v>
      </c>
      <c r="B396" s="11" t="str">
        <f>ETLMetadata!$E396</f>
        <v>AMR3_RISL_DTS</v>
      </c>
      <c r="C396" s="11" t="str">
        <f>IF(ISBLANK(ETLMetadata!$J396), "", ETLMetadata!$J396)</f>
        <v/>
      </c>
      <c r="D396" s="11" t="str">
        <f>ETLMetadata!$G396</f>
        <v>TIMESTAMP(6)</v>
      </c>
      <c r="E396" s="12"/>
      <c r="F396" s="12"/>
      <c r="G396" s="12" t="str">
        <f t="shared" si="12"/>
        <v/>
      </c>
      <c r="H396" s="12"/>
      <c r="I396" s="12"/>
      <c r="J396" s="13">
        <v>45952</v>
      </c>
      <c r="K396" s="13">
        <v>2958465</v>
      </c>
      <c r="L396" s="11" t="str">
        <f t="shared" si="13"/>
        <v>INSERT INTO metadata_reference.file_schema VALUES('DETM_DETIS_CBDS','AMR3_RISL_DTS',NULL,'TIMESTAMP(6)',NULL,NULL,NULL,NULL,'2025-10-22','9999-12-31',USER, CURRENT_TIMESTAMP(0));</v>
      </c>
    </row>
    <row r="397" spans="1:12" ht="15" customHeight="1">
      <c r="A397" s="11" t="str">
        <f>ETLMetadata!$C397</f>
        <v>DETM_DETIS_CBDS</v>
      </c>
      <c r="B397" s="11" t="str">
        <f>ETLMetadata!$E397</f>
        <v>PARTY_ROLE_ID</v>
      </c>
      <c r="C397" s="11" t="str">
        <f>IF(ISBLANK(ETLMetadata!$J397), "", ETLMetadata!$J397)</f>
        <v/>
      </c>
      <c r="D397" s="11" t="str">
        <f>ETLMetadata!$G397</f>
        <v>INTEGER</v>
      </c>
      <c r="E397" s="12"/>
      <c r="F397" s="12"/>
      <c r="G397" s="12" t="str">
        <f t="shared" si="12"/>
        <v/>
      </c>
      <c r="H397" s="12"/>
      <c r="I397" s="12"/>
      <c r="J397" s="13">
        <v>45952</v>
      </c>
      <c r="K397" s="13">
        <v>2958465</v>
      </c>
      <c r="L397" s="11" t="str">
        <f t="shared" si="13"/>
        <v>INSERT INTO metadata_reference.file_schema VALUES('DETM_DETIS_CBDS','PARTY_ROLE_ID',NULL,'INTEGER',NULL,NULL,NULL,NULL,'2025-10-22','9999-12-31',USER, CURRENT_TIMESTAMP(0));</v>
      </c>
    </row>
    <row r="398" spans="1:12" ht="15" customHeight="1">
      <c r="A398" s="11" t="str">
        <f>ETLMetadata!$C398</f>
        <v>DETM_DETIS_CBDS</v>
      </c>
      <c r="B398" s="11" t="str">
        <f>ETLMetadata!$E398</f>
        <v>EPISODE_ID</v>
      </c>
      <c r="C398" s="11" t="str">
        <f>IF(ISBLANK(ETLMetadata!$J398), "", ETLMetadata!$J398)</f>
        <v/>
      </c>
      <c r="D398" s="11" t="str">
        <f>ETLMetadata!$G398</f>
        <v>INTEGER</v>
      </c>
      <c r="E398" s="12"/>
      <c r="F398" s="12"/>
      <c r="G398" s="12" t="str">
        <f t="shared" si="12"/>
        <v/>
      </c>
      <c r="H398" s="12"/>
      <c r="I398" s="12"/>
      <c r="J398" s="13">
        <v>45952</v>
      </c>
      <c r="K398" s="13">
        <v>2958465</v>
      </c>
      <c r="L398" s="11" t="str">
        <f t="shared" si="13"/>
        <v>INSERT INTO metadata_reference.file_schema VALUES('DETM_DETIS_CBDS','EPISODE_ID',NULL,'INTEGER',NULL,NULL,NULL,NULL,'2025-10-22','9999-12-31',USER, CURRENT_TIMESTAMP(0));</v>
      </c>
    </row>
    <row r="399" spans="1:12" ht="15" customHeight="1">
      <c r="A399" s="11" t="str">
        <f>ETLMetadata!$C399</f>
        <v>DETM_DETIS_CBDS</v>
      </c>
      <c r="B399" s="11" t="str">
        <f>ETLMetadata!$E399</f>
        <v>PAYMENT_TYPE_ID</v>
      </c>
      <c r="C399" s="11" t="str">
        <f>IF(ISBLANK(ETLMetadata!$J399), "", ETLMetadata!$J399)</f>
        <v/>
      </c>
      <c r="D399" s="11" t="str">
        <f>ETLMetadata!$G399</f>
        <v>INTEGER</v>
      </c>
      <c r="E399" s="12"/>
      <c r="F399" s="12"/>
      <c r="G399" s="12" t="str">
        <f t="shared" si="12"/>
        <v/>
      </c>
      <c r="H399" s="12"/>
      <c r="I399" s="12"/>
      <c r="J399" s="13">
        <v>45952</v>
      </c>
      <c r="K399" s="13">
        <v>2958465</v>
      </c>
      <c r="L399" s="11" t="str">
        <f t="shared" si="13"/>
        <v>INSERT INTO metadata_reference.file_schema VALUES('DETM_DETIS_CBDS','PAYMENT_TYPE_ID',NULL,'INTEGER',NULL,NULL,NULL,NULL,'2025-10-22','9999-12-31',USER, CURRENT_TIMESTAMP(0));</v>
      </c>
    </row>
    <row r="400" spans="1:12" ht="15" customHeight="1">
      <c r="A400" s="11" t="str">
        <f>ETLMetadata!$C400</f>
        <v>DETM_DETIS_CBDS</v>
      </c>
      <c r="B400" s="11" t="str">
        <f>ETLMetadata!$E400</f>
        <v>Start_Date</v>
      </c>
      <c r="C400" s="11" t="str">
        <f>IF(ISBLANK(ETLMetadata!$J400), "", ETLMetadata!$J400)</f>
        <v/>
      </c>
      <c r="D400" s="11" t="str">
        <f>ETLMetadata!$G400</f>
        <v>DATE</v>
      </c>
      <c r="E400" s="12"/>
      <c r="F400" s="12"/>
      <c r="G400" s="12" t="str">
        <f t="shared" si="12"/>
        <v/>
      </c>
      <c r="H400" s="12"/>
      <c r="I400" s="12"/>
      <c r="J400" s="13">
        <v>45952</v>
      </c>
      <c r="K400" s="13">
        <v>2958465</v>
      </c>
      <c r="L400" s="11" t="str">
        <f t="shared" si="13"/>
        <v>INSERT INTO metadata_reference.file_schema VALUES('DETM_DETIS_CBDS','Start_Date',NULL,'DATE',NULL,NULL,NULL,NULL,'2025-10-22','9999-12-31',USER, CURRENT_TIMESTAMP(0));</v>
      </c>
    </row>
    <row r="401" spans="1:12" ht="15" customHeight="1">
      <c r="A401" s="11" t="str">
        <f>ETLMetadata!$C401</f>
        <v>DETM_DETIS_CBDS</v>
      </c>
      <c r="B401" s="11" t="str">
        <f>ETLMetadata!$E401</f>
        <v>End_Date</v>
      </c>
      <c r="C401" s="11" t="str">
        <f>IF(ISBLANK(ETLMetadata!$J401), "", ETLMetadata!$J401)</f>
        <v/>
      </c>
      <c r="D401" s="11" t="str">
        <f>ETLMetadata!$G401</f>
        <v>DATE</v>
      </c>
      <c r="E401" s="12"/>
      <c r="F401" s="12"/>
      <c r="G401" s="12" t="str">
        <f t="shared" si="12"/>
        <v/>
      </c>
      <c r="H401" s="12"/>
      <c r="I401" s="12"/>
      <c r="J401" s="13">
        <v>45952</v>
      </c>
      <c r="K401" s="13">
        <v>2958465</v>
      </c>
      <c r="L401" s="11" t="str">
        <f t="shared" si="13"/>
        <v>INSERT INTO metadata_reference.file_schema VALUES('DETM_DETIS_CBDS','End_Date',NULL,'DATE',NULL,NULL,NULL,NULL,'2025-10-22','9999-12-31',USER, CURRENT_TIMESTAMP(0));</v>
      </c>
    </row>
    <row r="402" spans="1:12" ht="15" customHeight="1">
      <c r="A402" s="11" t="str">
        <f>ETLMetadata!$C402</f>
        <v>DETM_DETIS_CBDS</v>
      </c>
      <c r="B402" s="11" t="str">
        <f>ETLMetadata!$E402</f>
        <v>Record_Deleted_Flag</v>
      </c>
      <c r="C402" s="11" t="str">
        <f>IF(ISBLANK(ETLMetadata!$J402), "", ETLMetadata!$J402)</f>
        <v/>
      </c>
      <c r="D402" s="11" t="str">
        <f>ETLMetadata!$G402</f>
        <v>BYTEINT</v>
      </c>
      <c r="E402" s="12"/>
      <c r="F402" s="12"/>
      <c r="G402" s="12" t="str">
        <f t="shared" si="12"/>
        <v/>
      </c>
      <c r="H402" s="12"/>
      <c r="I402" s="12"/>
      <c r="J402" s="13">
        <v>45952</v>
      </c>
      <c r="K402" s="13">
        <v>2958465</v>
      </c>
      <c r="L402" s="11" t="str">
        <f t="shared" si="13"/>
        <v>INSERT INTO metadata_reference.file_schema VALUES('DETM_DETIS_CBDS','Record_Deleted_Flag',NULL,'BYTEINT',NULL,NULL,NULL,NULL,'2025-10-22','9999-12-31',USER, CURRENT_TIMESTAMP(0));</v>
      </c>
    </row>
    <row r="403" spans="1:12" ht="15" customHeight="1">
      <c r="A403" s="11" t="str">
        <f>ETLMetadata!$C403</f>
        <v>DETM_DETIS_CCDS</v>
      </c>
      <c r="B403" s="11" t="str">
        <f>ETLMetadata!$E403</f>
        <v>EXTRACT_DATE</v>
      </c>
      <c r="C403" s="11" t="str">
        <f>IF(ISBLANK(ETLMetadata!$J403), "", ETLMetadata!$J403)</f>
        <v/>
      </c>
      <c r="D403" s="11" t="str">
        <f>ETLMetadata!$G403</f>
        <v>DATE</v>
      </c>
      <c r="E403" s="12"/>
      <c r="F403" s="12"/>
      <c r="G403" s="12" t="str">
        <f t="shared" si="12"/>
        <v/>
      </c>
      <c r="H403" s="12"/>
      <c r="I403" s="12"/>
      <c r="J403" s="13">
        <v>45952</v>
      </c>
      <c r="K403" s="13">
        <v>2958465</v>
      </c>
      <c r="L403" s="11" t="str">
        <f t="shared" si="13"/>
        <v>INSERT INTO metadata_reference.file_schema VALUES('DETM_DETIS_CCDS','EXTRACT_DATE',NULL,'DATE',NULL,NULL,NULL,NULL,'2025-10-22','9999-12-31',USER, CURRENT_TIMESTAMP(0));</v>
      </c>
    </row>
    <row r="404" spans="1:12" ht="15" customHeight="1">
      <c r="A404" s="11" t="str">
        <f>ETLMetadata!$C404</f>
        <v>DETM_DETIS_CCDS</v>
      </c>
      <c r="B404" s="11" t="str">
        <f>ETLMetadata!$E404</f>
        <v>LOGICAL_DELETE_DATE</v>
      </c>
      <c r="C404" s="11" t="str">
        <f>IF(ISBLANK(ETLMetadata!$J404), "", ETLMetadata!$J404)</f>
        <v/>
      </c>
      <c r="D404" s="11" t="str">
        <f>ETLMetadata!$G404</f>
        <v>DATE</v>
      </c>
      <c r="E404" s="12"/>
      <c r="F404" s="12"/>
      <c r="G404" s="12" t="str">
        <f t="shared" si="12"/>
        <v/>
      </c>
      <c r="H404" s="12"/>
      <c r="I404" s="12"/>
      <c r="J404" s="13">
        <v>45952</v>
      </c>
      <c r="K404" s="13">
        <v>2958465</v>
      </c>
      <c r="L404" s="11" t="str">
        <f t="shared" si="13"/>
        <v>INSERT INTO metadata_reference.file_schema VALUES('DETM_DETIS_CCDS','LOGICAL_DELETE_DATE',NULL,'DATE',NULL,NULL,NULL,NULL,'2025-10-22','9999-12-31',USER, CURRENT_TIMESTAMP(0));</v>
      </c>
    </row>
    <row r="405" spans="1:12" ht="15" customHeight="1">
      <c r="A405" s="11" t="str">
        <f>ETLMetadata!$C405</f>
        <v>DETM_DETIS_CCDS</v>
      </c>
      <c r="B405" s="11" t="str">
        <f>ETLMetadata!$E405</f>
        <v>ENVIRONMENT_ID</v>
      </c>
      <c r="C405" s="11" t="str">
        <f>IF(ISBLANK(ETLMetadata!$J405), "", ETLMetadata!$J405)</f>
        <v>Y</v>
      </c>
      <c r="D405" s="11" t="str">
        <f>ETLMetadata!$G405</f>
        <v>CHAR(1)</v>
      </c>
      <c r="E405" s="12"/>
      <c r="F405" s="12"/>
      <c r="G405" s="12" t="str">
        <f t="shared" si="12"/>
        <v/>
      </c>
      <c r="H405" s="12"/>
      <c r="I405" s="12"/>
      <c r="J405" s="13">
        <v>45952</v>
      </c>
      <c r="K405" s="13">
        <v>2958465</v>
      </c>
      <c r="L405" s="11" t="str">
        <f t="shared" si="13"/>
        <v>INSERT INTO metadata_reference.file_schema VALUES('DETM_DETIS_CCDS','ENVIRONMENT_ID','Y','CHAR(1)',NULL,NULL,NULL,NULL,'2025-10-22','9999-12-31',USER, CURRENT_TIMESTAMP(0));</v>
      </c>
    </row>
    <row r="406" spans="1:12" ht="15" customHeight="1">
      <c r="A406" s="11" t="str">
        <f>ETLMetadata!$C406</f>
        <v>DETM_DETIS_CCDS</v>
      </c>
      <c r="B406" s="11" t="str">
        <f>ETLMetadata!$E406</f>
        <v>PERSON_ID</v>
      </c>
      <c r="C406" s="11" t="str">
        <f>IF(ISBLANK(ETLMetadata!$J406), "", ETLMetadata!$J406)</f>
        <v>Y</v>
      </c>
      <c r="D406" s="11" t="str">
        <f>ETLMetadata!$G406</f>
        <v>INTEGER</v>
      </c>
      <c r="E406" s="12"/>
      <c r="F406" s="12" t="s">
        <v>799</v>
      </c>
      <c r="G406" s="12" t="str">
        <f t="shared" si="12"/>
        <v>PERSONAL_IDENTITYINFOINDIRECT</v>
      </c>
      <c r="H406" s="12"/>
      <c r="I406" s="12"/>
      <c r="J406" s="13">
        <v>45952</v>
      </c>
      <c r="K406" s="13">
        <v>2958465</v>
      </c>
      <c r="L406" s="11" t="str">
        <f t="shared" si="13"/>
        <v>INSERT INTO metadata_reference.file_schema VALUES('DETM_DETIS_CCDS','PERSON_ID','Y','INTEGER',NULL,'PERSONAL_IDENTITYINFOINDIRECT',NULL,NULL,'2025-10-22','9999-12-31',USER, CURRENT_TIMESTAMP(0));</v>
      </c>
    </row>
    <row r="407" spans="1:12" ht="15" customHeight="1">
      <c r="A407" s="11" t="str">
        <f>ETLMetadata!$C407</f>
        <v>DETM_DETIS_CCDS</v>
      </c>
      <c r="B407" s="11" t="str">
        <f>ETLMetadata!$E407</f>
        <v>CCDS_DOE</v>
      </c>
      <c r="C407" s="11" t="str">
        <f>IF(ISBLANK(ETLMetadata!$J407), "", ETLMetadata!$J407)</f>
        <v/>
      </c>
      <c r="D407" s="11" t="str">
        <f>ETLMetadata!$G407</f>
        <v>DATE</v>
      </c>
      <c r="E407" s="12"/>
      <c r="F407" s="12"/>
      <c r="G407" s="12" t="str">
        <f t="shared" si="12"/>
        <v/>
      </c>
      <c r="H407" s="12"/>
      <c r="I407" s="12"/>
      <c r="J407" s="13">
        <v>45952</v>
      </c>
      <c r="K407" s="13">
        <v>2958465</v>
      </c>
      <c r="L407" s="11" t="str">
        <f t="shared" si="13"/>
        <v>INSERT INTO metadata_reference.file_schema VALUES('DETM_DETIS_CCDS','CCDS_DOE',NULL,'DATE',NULL,NULL,NULL,NULL,'2025-10-22','9999-12-31',USER, CURRENT_TIMESTAMP(0));</v>
      </c>
    </row>
    <row r="408" spans="1:12" ht="15" customHeight="1">
      <c r="A408" s="11" t="str">
        <f>ETLMetadata!$C408</f>
        <v>DETM_DETIS_CCDS</v>
      </c>
      <c r="B408" s="11" t="str">
        <f>ETLMetadata!$E408</f>
        <v>CCDS_DOE_ORIG</v>
      </c>
      <c r="C408" s="11" t="str">
        <f>IF(ISBLANK(ETLMetadata!$J408), "", ETLMetadata!$J408)</f>
        <v/>
      </c>
      <c r="D408" s="11" t="str">
        <f>ETLMetadata!$G408</f>
        <v>INTEGER</v>
      </c>
      <c r="E408" s="12"/>
      <c r="F408" s="12"/>
      <c r="G408" s="12" t="str">
        <f t="shared" si="12"/>
        <v/>
      </c>
      <c r="H408" s="12"/>
      <c r="I408" s="12"/>
      <c r="J408" s="13">
        <v>45952</v>
      </c>
      <c r="K408" s="13">
        <v>2958465</v>
      </c>
      <c r="L408" s="11" t="str">
        <f t="shared" si="13"/>
        <v>INSERT INTO metadata_reference.file_schema VALUES('DETM_DETIS_CCDS','CCDS_DOE_ORIG',NULL,'INTEGER',NULL,NULL,NULL,NULL,'2025-10-22','9999-12-31',USER, CURRENT_TIMESTAMP(0));</v>
      </c>
    </row>
    <row r="409" spans="1:12" ht="15" customHeight="1">
      <c r="A409" s="11" t="str">
        <f>ETLMetadata!$C409</f>
        <v>DETM_DETIS_CCDS</v>
      </c>
      <c r="B409" s="11" t="str">
        <f>ETLMetadata!$E409</f>
        <v>PROCESSING_SEQUENCE</v>
      </c>
      <c r="C409" s="11" t="str">
        <f>IF(ISBLANK(ETLMetadata!$J409), "", ETLMetadata!$J409)</f>
        <v>Y</v>
      </c>
      <c r="D409" s="11" t="str">
        <f>ETLMetadata!$G409</f>
        <v>SMALLINT</v>
      </c>
      <c r="E409" s="12"/>
      <c r="F409" s="12"/>
      <c r="G409" s="12" t="str">
        <f t="shared" si="12"/>
        <v/>
      </c>
      <c r="H409" s="12"/>
      <c r="I409" s="12"/>
      <c r="J409" s="13">
        <v>45952</v>
      </c>
      <c r="K409" s="13">
        <v>2958465</v>
      </c>
      <c r="L409" s="11" t="str">
        <f t="shared" si="13"/>
        <v>INSERT INTO metadata_reference.file_schema VALUES('DETM_DETIS_CCDS','PROCESSING_SEQUENCE','Y','SMALLINT',NULL,NULL,NULL,NULL,'2025-10-22','9999-12-31',USER, CURRENT_TIMESTAMP(0));</v>
      </c>
    </row>
    <row r="410" spans="1:12" ht="15" customHeight="1">
      <c r="A410" s="11" t="str">
        <f>ETLMetadata!$C410</f>
        <v>DETM_DETIS_CCDS</v>
      </c>
      <c r="B410" s="11" t="str">
        <f>ETLMetadata!$E410</f>
        <v>CCDS_AMR_1</v>
      </c>
      <c r="C410" s="11" t="str">
        <f>IF(ISBLANK(ETLMetadata!$J410), "", ETLMetadata!$J410)</f>
        <v/>
      </c>
      <c r="D410" s="11" t="str">
        <f>ETLMetadata!$G410</f>
        <v>CHAR(4)</v>
      </c>
      <c r="E410" s="12"/>
      <c r="F410" s="12"/>
      <c r="G410" s="12" t="str">
        <f t="shared" si="12"/>
        <v/>
      </c>
      <c r="H410" s="12"/>
      <c r="I410" s="12"/>
      <c r="J410" s="13">
        <v>45952</v>
      </c>
      <c r="K410" s="13">
        <v>2958465</v>
      </c>
      <c r="L410" s="11" t="str">
        <f t="shared" si="13"/>
        <v>INSERT INTO metadata_reference.file_schema VALUES('DETM_DETIS_CCDS','CCDS_AMR_1',NULL,'CHAR(4)',NULL,NULL,NULL,NULL,'2025-10-22','9999-12-31',USER, CURRENT_TIMESTAMP(0));</v>
      </c>
    </row>
    <row r="411" spans="1:12" ht="15" customHeight="1">
      <c r="A411" s="11" t="str">
        <f>ETLMetadata!$C411</f>
        <v>DETM_DETIS_CCDS</v>
      </c>
      <c r="B411" s="11" t="str">
        <f>ETLMetadata!$E411</f>
        <v>CCDS_AMR_2</v>
      </c>
      <c r="C411" s="11" t="str">
        <f>IF(ISBLANK(ETLMetadata!$J411), "", ETLMetadata!$J411)</f>
        <v/>
      </c>
      <c r="D411" s="11" t="str">
        <f>ETLMetadata!$G411</f>
        <v>CHAR(1)</v>
      </c>
      <c r="E411" s="12"/>
      <c r="F411" s="12"/>
      <c r="G411" s="12" t="str">
        <f t="shared" si="12"/>
        <v/>
      </c>
      <c r="H411" s="12"/>
      <c r="I411" s="12"/>
      <c r="J411" s="13">
        <v>45952</v>
      </c>
      <c r="K411" s="13">
        <v>2958465</v>
      </c>
      <c r="L411" s="11" t="str">
        <f t="shared" si="13"/>
        <v>INSERT INTO metadata_reference.file_schema VALUES('DETM_DETIS_CCDS','CCDS_AMR_2',NULL,'CHAR(1)',NULL,NULL,NULL,NULL,'2025-10-22','9999-12-31',USER, CURRENT_TIMESTAMP(0));</v>
      </c>
    </row>
    <row r="412" spans="1:12" ht="15" customHeight="1">
      <c r="A412" s="11" t="str">
        <f>ETLMetadata!$C412</f>
        <v>DETM_DETIS_CCDS</v>
      </c>
      <c r="B412" s="11" t="str">
        <f>ETLMetadata!$E412</f>
        <v>CCDS_AMR_3</v>
      </c>
      <c r="C412" s="11" t="str">
        <f>IF(ISBLANK(ETLMetadata!$J412), "", ETLMetadata!$J412)</f>
        <v/>
      </c>
      <c r="D412" s="11" t="str">
        <f>ETLMetadata!$G412</f>
        <v>CHAR(4)</v>
      </c>
      <c r="E412" s="12"/>
      <c r="F412" s="12"/>
      <c r="G412" s="12" t="str">
        <f t="shared" si="12"/>
        <v/>
      </c>
      <c r="H412" s="12"/>
      <c r="I412" s="12"/>
      <c r="J412" s="13">
        <v>45952</v>
      </c>
      <c r="K412" s="13">
        <v>2958465</v>
      </c>
      <c r="L412" s="11" t="str">
        <f t="shared" si="13"/>
        <v>INSERT INTO metadata_reference.file_schema VALUES('DETM_DETIS_CCDS','CCDS_AMR_3',NULL,'CHAR(4)',NULL,NULL,NULL,NULL,'2025-10-22','9999-12-31',USER, CURRENT_TIMESTAMP(0));</v>
      </c>
    </row>
    <row r="413" spans="1:12" ht="15" customHeight="1">
      <c r="A413" s="11" t="str">
        <f>ETLMetadata!$C413</f>
        <v>DETM_DETIS_CCDS</v>
      </c>
      <c r="B413" s="11" t="str">
        <f>ETLMetadata!$E413</f>
        <v>CCDS_BEN_TYPE_CODE</v>
      </c>
      <c r="C413" s="11" t="str">
        <f>IF(ISBLANK(ETLMetadata!$J413), "", ETLMetadata!$J413)</f>
        <v/>
      </c>
      <c r="D413" s="11" t="str">
        <f>ETLMetadata!$G413</f>
        <v>CHAR(3)</v>
      </c>
      <c r="E413" s="12"/>
      <c r="F413" s="12"/>
      <c r="G413" s="12" t="str">
        <f t="shared" si="12"/>
        <v/>
      </c>
      <c r="H413" s="12"/>
      <c r="I413" s="12"/>
      <c r="J413" s="13">
        <v>45952</v>
      </c>
      <c r="K413" s="13">
        <v>2958465</v>
      </c>
      <c r="L413" s="11" t="str">
        <f t="shared" si="13"/>
        <v>INSERT INTO metadata_reference.file_schema VALUES('DETM_DETIS_CCDS','CCDS_BEN_TYPE_CODE',NULL,'CHAR(3)',NULL,NULL,NULL,NULL,'2025-10-22','9999-12-31',USER, CURRENT_TIMESTAMP(0));</v>
      </c>
    </row>
    <row r="414" spans="1:12" ht="15" customHeight="1">
      <c r="A414" s="11" t="str">
        <f>ETLMetadata!$C414</f>
        <v>DETM_DETIS_CCDS</v>
      </c>
      <c r="B414" s="11" t="str">
        <f>ETLMetadata!$E414</f>
        <v>CCDS_STS_CODE</v>
      </c>
      <c r="C414" s="11" t="str">
        <f>IF(ISBLANK(ETLMetadata!$J414), "", ETLMetadata!$J414)</f>
        <v/>
      </c>
      <c r="D414" s="11" t="str">
        <f>ETLMetadata!$G414</f>
        <v>CHAR(3)</v>
      </c>
      <c r="E414" s="12"/>
      <c r="F414" s="12"/>
      <c r="G414" s="12" t="str">
        <f t="shared" si="12"/>
        <v/>
      </c>
      <c r="H414" s="12"/>
      <c r="I414" s="12"/>
      <c r="J414" s="13">
        <v>45952</v>
      </c>
      <c r="K414" s="13">
        <v>2958465</v>
      </c>
      <c r="L414" s="11" t="str">
        <f t="shared" si="13"/>
        <v>INSERT INTO metadata_reference.file_schema VALUES('DETM_DETIS_CCDS','CCDS_STS_CODE',NULL,'CHAR(3)',NULL,NULL,NULL,NULL,'2025-10-22','9999-12-31',USER, CURRENT_TIMESTAMP(0));</v>
      </c>
    </row>
    <row r="415" spans="1:12" ht="15" customHeight="1">
      <c r="A415" s="11" t="str">
        <f>ETLMetadata!$C415</f>
        <v>DETM_DETIS_CCDS</v>
      </c>
      <c r="B415" s="11" t="str">
        <f>ETLMetadata!$E415</f>
        <v>CCDS_RSN_CODE</v>
      </c>
      <c r="C415" s="11" t="str">
        <f>IF(ISBLANK(ETLMetadata!$J415), "", ETLMetadata!$J415)</f>
        <v/>
      </c>
      <c r="D415" s="11" t="str">
        <f>ETLMetadata!$G415</f>
        <v>CHAR(3)</v>
      </c>
      <c r="E415" s="12"/>
      <c r="F415" s="12"/>
      <c r="G415" s="12" t="str">
        <f t="shared" si="12"/>
        <v/>
      </c>
      <c r="H415" s="12"/>
      <c r="I415" s="12"/>
      <c r="J415" s="13">
        <v>45952</v>
      </c>
      <c r="K415" s="13">
        <v>2958465</v>
      </c>
      <c r="L415" s="11" t="str">
        <f t="shared" si="13"/>
        <v>INSERT INTO metadata_reference.file_schema VALUES('DETM_DETIS_CCDS','CCDS_RSN_CODE',NULL,'CHAR(3)',NULL,NULL,NULL,NULL,'2025-10-22','9999-12-31',USER, CURRENT_TIMESTAMP(0));</v>
      </c>
    </row>
    <row r="416" spans="1:12" ht="15" customHeight="1">
      <c r="A416" s="11" t="str">
        <f>ETLMetadata!$C416</f>
        <v>DETM_DETIS_CCDS</v>
      </c>
      <c r="B416" s="11" t="str">
        <f>ETLMetadata!$E416</f>
        <v>CCDS_UNIQ_ID</v>
      </c>
      <c r="C416" s="11" t="str">
        <f>IF(ISBLANK(ETLMetadata!$J416), "", ETLMetadata!$J416)</f>
        <v/>
      </c>
      <c r="D416" s="11" t="str">
        <f>ETLMetadata!$G416</f>
        <v>VARCHAR(8)</v>
      </c>
      <c r="E416" s="12"/>
      <c r="F416" s="12"/>
      <c r="G416" s="12" t="str">
        <f t="shared" si="12"/>
        <v/>
      </c>
      <c r="H416" s="12"/>
      <c r="I416" s="12"/>
      <c r="J416" s="13">
        <v>45952</v>
      </c>
      <c r="K416" s="13">
        <v>2958465</v>
      </c>
      <c r="L416" s="11" t="str">
        <f t="shared" si="13"/>
        <v>INSERT INTO metadata_reference.file_schema VALUES('DETM_DETIS_CCDS','CCDS_UNIQ_ID',NULL,'VARCHAR(8)',NULL,NULL,NULL,NULL,'2025-10-22','9999-12-31',USER, CURRENT_TIMESTAMP(0));</v>
      </c>
    </row>
    <row r="417" spans="1:12" ht="15" customHeight="1">
      <c r="A417" s="11" t="str">
        <f>ETLMetadata!$C417</f>
        <v>DETM_DETIS_CCDS</v>
      </c>
      <c r="B417" s="11" t="str">
        <f>ETLMetadata!$E417</f>
        <v>AMR1_RISL_DTS</v>
      </c>
      <c r="C417" s="11" t="str">
        <f>IF(ISBLANK(ETLMetadata!$J417), "", ETLMetadata!$J417)</f>
        <v/>
      </c>
      <c r="D417" s="11" t="str">
        <f>ETLMetadata!$G417</f>
        <v>TIMESTAMP(6)</v>
      </c>
      <c r="E417" s="12"/>
      <c r="F417" s="12"/>
      <c r="G417" s="12" t="str">
        <f t="shared" si="12"/>
        <v/>
      </c>
      <c r="H417" s="12"/>
      <c r="I417" s="12"/>
      <c r="J417" s="13">
        <v>45952</v>
      </c>
      <c r="K417" s="13">
        <v>2958465</v>
      </c>
      <c r="L417" s="11" t="str">
        <f t="shared" si="13"/>
        <v>INSERT INTO metadata_reference.file_schema VALUES('DETM_DETIS_CCDS','AMR1_RISL_DTS',NULL,'TIMESTAMP(6)',NULL,NULL,NULL,NULL,'2025-10-22','9999-12-31',USER, CURRENT_TIMESTAMP(0));</v>
      </c>
    </row>
    <row r="418" spans="1:12" ht="15" customHeight="1">
      <c r="A418" s="11" t="str">
        <f>ETLMetadata!$C418</f>
        <v>DETM_DETIS_CCDS</v>
      </c>
      <c r="B418" s="11" t="str">
        <f>ETLMetadata!$E418</f>
        <v>AMR3_RISL_DTS</v>
      </c>
      <c r="C418" s="11" t="str">
        <f>IF(ISBLANK(ETLMetadata!$J418), "", ETLMetadata!$J418)</f>
        <v/>
      </c>
      <c r="D418" s="11" t="str">
        <f>ETLMetadata!$G418</f>
        <v>TIMESTAMP(6)</v>
      </c>
      <c r="E418" s="12"/>
      <c r="F418" s="12"/>
      <c r="G418" s="12" t="str">
        <f t="shared" si="12"/>
        <v/>
      </c>
      <c r="H418" s="12"/>
      <c r="I418" s="12"/>
      <c r="J418" s="13">
        <v>45952</v>
      </c>
      <c r="K418" s="13">
        <v>2958465</v>
      </c>
      <c r="L418" s="11" t="str">
        <f t="shared" si="13"/>
        <v>INSERT INTO metadata_reference.file_schema VALUES('DETM_DETIS_CCDS','AMR3_RISL_DTS',NULL,'TIMESTAMP(6)',NULL,NULL,NULL,NULL,'2025-10-22','9999-12-31',USER, CURRENT_TIMESTAMP(0));</v>
      </c>
    </row>
    <row r="419" spans="1:12" ht="15" customHeight="1">
      <c r="A419" s="11" t="str">
        <f>ETLMetadata!$C419</f>
        <v>DETM_DETIS_CCDS</v>
      </c>
      <c r="B419" s="11" t="str">
        <f>ETLMetadata!$E419</f>
        <v>EPISODE_ID</v>
      </c>
      <c r="C419" s="11" t="str">
        <f>IF(ISBLANK(ETLMetadata!$J419), "", ETLMetadata!$J419)</f>
        <v/>
      </c>
      <c r="D419" s="11" t="str">
        <f>ETLMetadata!$G419</f>
        <v>INTEGER</v>
      </c>
      <c r="E419" s="12"/>
      <c r="F419" s="12"/>
      <c r="G419" s="12" t="str">
        <f t="shared" si="12"/>
        <v/>
      </c>
      <c r="H419" s="12"/>
      <c r="I419" s="12"/>
      <c r="J419" s="13">
        <v>45952</v>
      </c>
      <c r="K419" s="13">
        <v>2958465</v>
      </c>
      <c r="L419" s="11" t="str">
        <f t="shared" si="13"/>
        <v>INSERT INTO metadata_reference.file_schema VALUES('DETM_DETIS_CCDS','EPISODE_ID',NULL,'INTEGER',NULL,NULL,NULL,NULL,'2025-10-22','9999-12-31',USER, CURRENT_TIMESTAMP(0));</v>
      </c>
    </row>
    <row r="420" spans="1:12" ht="15" customHeight="1">
      <c r="A420" s="11" t="str">
        <f>ETLMetadata!$C420</f>
        <v>DETM_DETIS_CCDS</v>
      </c>
      <c r="B420" s="11" t="str">
        <f>ETLMetadata!$E420</f>
        <v>PARTY_ROLE_ID</v>
      </c>
      <c r="C420" s="11" t="str">
        <f>IF(ISBLANK(ETLMetadata!$J420), "", ETLMetadata!$J420)</f>
        <v/>
      </c>
      <c r="D420" s="11" t="str">
        <f>ETLMetadata!$G420</f>
        <v>INTEGER</v>
      </c>
      <c r="E420" s="12"/>
      <c r="F420" s="12"/>
      <c r="G420" s="12" t="str">
        <f t="shared" si="12"/>
        <v/>
      </c>
      <c r="H420" s="12"/>
      <c r="I420" s="12"/>
      <c r="J420" s="13">
        <v>45952</v>
      </c>
      <c r="K420" s="13">
        <v>2958465</v>
      </c>
      <c r="L420" s="11" t="str">
        <f t="shared" si="13"/>
        <v>INSERT INTO metadata_reference.file_schema VALUES('DETM_DETIS_CCDS','PARTY_ROLE_ID',NULL,'INTEGER',NULL,NULL,NULL,NULL,'2025-10-22','9999-12-31',USER, CURRENT_TIMESTAMP(0));</v>
      </c>
    </row>
    <row r="421" spans="1:12" ht="15" customHeight="1">
      <c r="A421" s="11" t="str">
        <f>ETLMetadata!$C421</f>
        <v>DETM_DETIS_CCDS</v>
      </c>
      <c r="B421" s="11" t="str">
        <f>ETLMetadata!$E421</f>
        <v>PAYMENT_TYPE_ID</v>
      </c>
      <c r="C421" s="11" t="str">
        <f>IF(ISBLANK(ETLMetadata!$J421), "", ETLMetadata!$J421)</f>
        <v/>
      </c>
      <c r="D421" s="11" t="str">
        <f>ETLMetadata!$G421</f>
        <v>INTEGER</v>
      </c>
      <c r="E421" s="12"/>
      <c r="F421" s="12"/>
      <c r="G421" s="12" t="str">
        <f t="shared" si="12"/>
        <v/>
      </c>
      <c r="H421" s="12"/>
      <c r="I421" s="12"/>
      <c r="J421" s="13">
        <v>45952</v>
      </c>
      <c r="K421" s="13">
        <v>2958465</v>
      </c>
      <c r="L421" s="11" t="str">
        <f t="shared" si="13"/>
        <v>INSERT INTO metadata_reference.file_schema VALUES('DETM_DETIS_CCDS','PAYMENT_TYPE_ID',NULL,'INTEGER',NULL,NULL,NULL,NULL,'2025-10-22','9999-12-31',USER, CURRENT_TIMESTAMP(0));</v>
      </c>
    </row>
    <row r="422" spans="1:12" ht="15" customHeight="1">
      <c r="A422" s="11" t="str">
        <f>ETLMetadata!$C422</f>
        <v>DETM_DETIS_CCDS</v>
      </c>
      <c r="B422" s="11" t="str">
        <f>ETLMetadata!$E422</f>
        <v>ERROR_COUNT</v>
      </c>
      <c r="C422" s="11" t="str">
        <f>IF(ISBLANK(ETLMetadata!$J422), "", ETLMetadata!$J422)</f>
        <v/>
      </c>
      <c r="D422" s="11" t="str">
        <f>ETLMetadata!$G422</f>
        <v>SMALLINT</v>
      </c>
      <c r="E422" s="12"/>
      <c r="F422" s="12"/>
      <c r="G422" s="12" t="str">
        <f t="shared" si="12"/>
        <v/>
      </c>
      <c r="H422" s="12"/>
      <c r="I422" s="12"/>
      <c r="J422" s="13">
        <v>45952</v>
      </c>
      <c r="K422" s="13">
        <v>2958465</v>
      </c>
      <c r="L422" s="11" t="str">
        <f t="shared" si="13"/>
        <v>INSERT INTO metadata_reference.file_schema VALUES('DETM_DETIS_CCDS','ERROR_COUNT',NULL,'SMALLINT',NULL,NULL,NULL,NULL,'2025-10-22','9999-12-31',USER, CURRENT_TIMESTAMP(0));</v>
      </c>
    </row>
    <row r="423" spans="1:12" ht="15" customHeight="1">
      <c r="A423" s="11" t="str">
        <f>ETLMetadata!$C423</f>
        <v>DETM_DETIS_CCDS</v>
      </c>
      <c r="B423" s="11" t="str">
        <f>ETLMetadata!$E423</f>
        <v>Start_Date</v>
      </c>
      <c r="C423" s="11" t="str">
        <f>IF(ISBLANK(ETLMetadata!$J423), "", ETLMetadata!$J423)</f>
        <v/>
      </c>
      <c r="D423" s="11" t="str">
        <f>ETLMetadata!$G423</f>
        <v>DATE</v>
      </c>
      <c r="E423" s="12"/>
      <c r="F423" s="12"/>
      <c r="G423" s="12" t="str">
        <f t="shared" si="12"/>
        <v/>
      </c>
      <c r="H423" s="12"/>
      <c r="I423" s="12"/>
      <c r="J423" s="13">
        <v>45952</v>
      </c>
      <c r="K423" s="13">
        <v>2958465</v>
      </c>
      <c r="L423" s="11" t="str">
        <f t="shared" si="13"/>
        <v>INSERT INTO metadata_reference.file_schema VALUES('DETM_DETIS_CCDS','Start_Date',NULL,'DATE',NULL,NULL,NULL,NULL,'2025-10-22','9999-12-31',USER, CURRENT_TIMESTAMP(0));</v>
      </c>
    </row>
    <row r="424" spans="1:12" ht="15" customHeight="1">
      <c r="A424" s="11" t="str">
        <f>ETLMetadata!$C424</f>
        <v>DETM_DETIS_CCDS</v>
      </c>
      <c r="B424" s="11" t="str">
        <f>ETLMetadata!$E424</f>
        <v>End_Date</v>
      </c>
      <c r="C424" s="11" t="str">
        <f>IF(ISBLANK(ETLMetadata!$J424), "", ETLMetadata!$J424)</f>
        <v/>
      </c>
      <c r="D424" s="11" t="str">
        <f>ETLMetadata!$G424</f>
        <v>DATE</v>
      </c>
      <c r="E424" s="12"/>
      <c r="F424" s="12"/>
      <c r="G424" s="12" t="str">
        <f t="shared" si="12"/>
        <v/>
      </c>
      <c r="H424" s="12"/>
      <c r="I424" s="12"/>
      <c r="J424" s="13">
        <v>45952</v>
      </c>
      <c r="K424" s="13">
        <v>2958465</v>
      </c>
      <c r="L424" s="11" t="str">
        <f t="shared" si="13"/>
        <v>INSERT INTO metadata_reference.file_schema VALUES('DETM_DETIS_CCDS','End_Date',NULL,'DATE',NULL,NULL,NULL,NULL,'2025-10-22','9999-12-31',USER, CURRENT_TIMESTAMP(0));</v>
      </c>
    </row>
    <row r="425" spans="1:12" ht="15" customHeight="1">
      <c r="A425" s="11" t="str">
        <f>ETLMetadata!$C425</f>
        <v>DETM_DETIS_CCDS</v>
      </c>
      <c r="B425" s="11" t="str">
        <f>ETLMetadata!$E425</f>
        <v>Record_Deleted_Flag</v>
      </c>
      <c r="C425" s="11" t="str">
        <f>IF(ISBLANK(ETLMetadata!$J425), "", ETLMetadata!$J425)</f>
        <v/>
      </c>
      <c r="D425" s="11" t="str">
        <f>ETLMetadata!$G425</f>
        <v>BYTEINT</v>
      </c>
      <c r="E425" s="12"/>
      <c r="F425" s="12"/>
      <c r="G425" s="12" t="str">
        <f t="shared" si="12"/>
        <v/>
      </c>
      <c r="H425" s="12"/>
      <c r="I425" s="12"/>
      <c r="J425" s="13">
        <v>45952</v>
      </c>
      <c r="K425" s="13">
        <v>2958465</v>
      </c>
      <c r="L425" s="11" t="str">
        <f t="shared" si="13"/>
        <v>INSERT INTO metadata_reference.file_schema VALUES('DETM_DETIS_CCDS','Record_Deleted_Flag',NULL,'BYTEINT',NULL,NULL,NULL,NULL,'2025-10-22','9999-12-31',USER, CURRENT_TIMESTAMP(0));</v>
      </c>
    </row>
    <row r="426" spans="1:12" ht="15" customHeight="1">
      <c r="A426" s="11" t="str">
        <f>ETLMetadata!$C426</f>
        <v>DETM_DETIS_CJDS</v>
      </c>
      <c r="B426" s="11" t="str">
        <f>ETLMetadata!$E426</f>
        <v>EXTRACT_DATE</v>
      </c>
      <c r="C426" s="11" t="str">
        <f>IF(ISBLANK(ETLMetadata!$J426), "", ETLMetadata!$J426)</f>
        <v/>
      </c>
      <c r="D426" s="11" t="str">
        <f>ETLMetadata!$G426</f>
        <v>DATE</v>
      </c>
      <c r="E426" s="12"/>
      <c r="F426" s="12"/>
      <c r="G426" s="12" t="str">
        <f t="shared" si="12"/>
        <v/>
      </c>
      <c r="H426" s="12"/>
      <c r="I426" s="12"/>
      <c r="J426" s="13">
        <v>45952</v>
      </c>
      <c r="K426" s="13">
        <v>2958465</v>
      </c>
      <c r="L426" s="11" t="str">
        <f t="shared" si="13"/>
        <v>INSERT INTO metadata_reference.file_schema VALUES('DETM_DETIS_CJDS','EXTRACT_DATE',NULL,'DATE',NULL,NULL,NULL,NULL,'2025-10-22','9999-12-31',USER, CURRENT_TIMESTAMP(0));</v>
      </c>
    </row>
    <row r="427" spans="1:12" ht="15" customHeight="1">
      <c r="A427" s="11" t="str">
        <f>ETLMetadata!$C427</f>
        <v>DETM_DETIS_CJDS</v>
      </c>
      <c r="B427" s="11" t="str">
        <f>ETLMetadata!$E427</f>
        <v>LOGICAL_DELETE_DATE</v>
      </c>
      <c r="C427" s="11" t="str">
        <f>IF(ISBLANK(ETLMetadata!$J427), "", ETLMetadata!$J427)</f>
        <v/>
      </c>
      <c r="D427" s="11" t="str">
        <f>ETLMetadata!$G427</f>
        <v>DATE</v>
      </c>
      <c r="E427" s="12"/>
      <c r="F427" s="12"/>
      <c r="G427" s="12" t="str">
        <f t="shared" si="12"/>
        <v/>
      </c>
      <c r="H427" s="12"/>
      <c r="I427" s="12"/>
      <c r="J427" s="13">
        <v>45952</v>
      </c>
      <c r="K427" s="13">
        <v>2958465</v>
      </c>
      <c r="L427" s="11" t="str">
        <f t="shared" si="13"/>
        <v>INSERT INTO metadata_reference.file_schema VALUES('DETM_DETIS_CJDS','LOGICAL_DELETE_DATE',NULL,'DATE',NULL,NULL,NULL,NULL,'2025-10-22','9999-12-31',USER, CURRENT_TIMESTAMP(0));</v>
      </c>
    </row>
    <row r="428" spans="1:12" ht="15" customHeight="1">
      <c r="A428" s="11" t="str">
        <f>ETLMetadata!$C428</f>
        <v>DETM_DETIS_CJDS</v>
      </c>
      <c r="B428" s="11" t="str">
        <f>ETLMetadata!$E428</f>
        <v>ENVIRONMENT_ID</v>
      </c>
      <c r="C428" s="11" t="str">
        <f>IF(ISBLANK(ETLMetadata!$J428), "", ETLMetadata!$J428)</f>
        <v>Y</v>
      </c>
      <c r="D428" s="11" t="str">
        <f>ETLMetadata!$G428</f>
        <v>CHAR(1)</v>
      </c>
      <c r="E428" s="12"/>
      <c r="F428" s="12"/>
      <c r="G428" s="12" t="str">
        <f t="shared" si="12"/>
        <v/>
      </c>
      <c r="H428" s="12"/>
      <c r="I428" s="12"/>
      <c r="J428" s="13">
        <v>45952</v>
      </c>
      <c r="K428" s="13">
        <v>2958465</v>
      </c>
      <c r="L428" s="11" t="str">
        <f t="shared" si="13"/>
        <v>INSERT INTO metadata_reference.file_schema VALUES('DETM_DETIS_CJDS','ENVIRONMENT_ID','Y','CHAR(1)',NULL,NULL,NULL,NULL,'2025-10-22','9999-12-31',USER, CURRENT_TIMESTAMP(0));</v>
      </c>
    </row>
    <row r="429" spans="1:12" ht="15" customHeight="1">
      <c r="A429" s="11" t="str">
        <f>ETLMetadata!$C429</f>
        <v>DETM_DETIS_CJDS</v>
      </c>
      <c r="B429" s="11" t="str">
        <f>ETLMetadata!$E429</f>
        <v>PERSON_ID</v>
      </c>
      <c r="C429" s="11" t="str">
        <f>IF(ISBLANK(ETLMetadata!$J429), "", ETLMetadata!$J429)</f>
        <v>Y</v>
      </c>
      <c r="D429" s="11" t="str">
        <f>ETLMetadata!$G429</f>
        <v>INTEGER</v>
      </c>
      <c r="E429" s="12"/>
      <c r="F429" s="12" t="s">
        <v>799</v>
      </c>
      <c r="G429" s="12" t="str">
        <f t="shared" si="12"/>
        <v>PERSONAL_IDENTITYINFOINDIRECT</v>
      </c>
      <c r="H429" s="12"/>
      <c r="I429" s="12"/>
      <c r="J429" s="13">
        <v>45952</v>
      </c>
      <c r="K429" s="13">
        <v>2958465</v>
      </c>
      <c r="L429" s="11" t="str">
        <f t="shared" si="13"/>
        <v>INSERT INTO metadata_reference.file_schema VALUES('DETM_DETIS_CJDS','PERSON_ID','Y','INTEGER',NULL,'PERSONAL_IDENTITYINFOINDIRECT',NULL,NULL,'2025-10-22','9999-12-31',USER, CURRENT_TIMESTAMP(0));</v>
      </c>
    </row>
    <row r="430" spans="1:12" ht="15" customHeight="1">
      <c r="A430" s="11" t="str">
        <f>ETLMetadata!$C430</f>
        <v>DETM_DETIS_CJDS</v>
      </c>
      <c r="B430" s="11" t="str">
        <f>ETLMetadata!$E430</f>
        <v>CJDS_DOE</v>
      </c>
      <c r="C430" s="11" t="str">
        <f>IF(ISBLANK(ETLMetadata!$J430), "", ETLMetadata!$J430)</f>
        <v/>
      </c>
      <c r="D430" s="11" t="str">
        <f>ETLMetadata!$G430</f>
        <v>DATE</v>
      </c>
      <c r="E430" s="12"/>
      <c r="F430" s="12"/>
      <c r="G430" s="12" t="str">
        <f t="shared" si="12"/>
        <v/>
      </c>
      <c r="H430" s="12"/>
      <c r="I430" s="12"/>
      <c r="J430" s="13">
        <v>45952</v>
      </c>
      <c r="K430" s="13">
        <v>2958465</v>
      </c>
      <c r="L430" s="11" t="str">
        <f t="shared" si="13"/>
        <v>INSERT INTO metadata_reference.file_schema VALUES('DETM_DETIS_CJDS','CJDS_DOE',NULL,'DATE',NULL,NULL,NULL,NULL,'2025-10-22','9999-12-31',USER, CURRENT_TIMESTAMP(0));</v>
      </c>
    </row>
    <row r="431" spans="1:12" ht="15" customHeight="1">
      <c r="A431" s="11" t="str">
        <f>ETLMetadata!$C431</f>
        <v>DETM_DETIS_CJDS</v>
      </c>
      <c r="B431" s="11" t="str">
        <f>ETLMetadata!$E431</f>
        <v>CJDS_DOE_ORIG</v>
      </c>
      <c r="C431" s="11" t="str">
        <f>IF(ISBLANK(ETLMetadata!$J431), "", ETLMetadata!$J431)</f>
        <v/>
      </c>
      <c r="D431" s="11" t="str">
        <f>ETLMetadata!$G431</f>
        <v>INTEGER</v>
      </c>
      <c r="E431" s="12"/>
      <c r="F431" s="12"/>
      <c r="G431" s="12" t="str">
        <f t="shared" si="12"/>
        <v/>
      </c>
      <c r="H431" s="12"/>
      <c r="I431" s="12"/>
      <c r="J431" s="13">
        <v>45952</v>
      </c>
      <c r="K431" s="13">
        <v>2958465</v>
      </c>
      <c r="L431" s="11" t="str">
        <f t="shared" si="13"/>
        <v>INSERT INTO metadata_reference.file_schema VALUES('DETM_DETIS_CJDS','CJDS_DOE_ORIG',NULL,'INTEGER',NULL,NULL,NULL,NULL,'2025-10-22','9999-12-31',USER, CURRENT_TIMESTAMP(0));</v>
      </c>
    </row>
    <row r="432" spans="1:12" ht="15" customHeight="1">
      <c r="A432" s="11" t="str">
        <f>ETLMetadata!$C432</f>
        <v>DETM_DETIS_CJDS</v>
      </c>
      <c r="B432" s="11" t="str">
        <f>ETLMetadata!$E432</f>
        <v>PROCESSING_SEQUENCE</v>
      </c>
      <c r="C432" s="11" t="str">
        <f>IF(ISBLANK(ETLMetadata!$J432), "", ETLMetadata!$J432)</f>
        <v>Y</v>
      </c>
      <c r="D432" s="11" t="str">
        <f>ETLMetadata!$G432</f>
        <v>SMALLINT</v>
      </c>
      <c r="E432" s="12"/>
      <c r="F432" s="12"/>
      <c r="G432" s="12" t="str">
        <f t="shared" si="12"/>
        <v/>
      </c>
      <c r="H432" s="12"/>
      <c r="I432" s="12"/>
      <c r="J432" s="13">
        <v>45952</v>
      </c>
      <c r="K432" s="13">
        <v>2958465</v>
      </c>
      <c r="L432" s="11" t="str">
        <f t="shared" si="13"/>
        <v>INSERT INTO metadata_reference.file_schema VALUES('DETM_DETIS_CJDS','PROCESSING_SEQUENCE','Y','SMALLINT',NULL,NULL,NULL,NULL,'2025-10-22','9999-12-31',USER, CURRENT_TIMESTAMP(0));</v>
      </c>
    </row>
    <row r="433" spans="1:12" ht="15" customHeight="1">
      <c r="A433" s="11" t="str">
        <f>ETLMetadata!$C433</f>
        <v>DETM_DETIS_CJDS</v>
      </c>
      <c r="B433" s="11" t="str">
        <f>ETLMetadata!$E433</f>
        <v>CJDS_AMR_1</v>
      </c>
      <c r="C433" s="11" t="str">
        <f>IF(ISBLANK(ETLMetadata!$J433), "", ETLMetadata!$J433)</f>
        <v/>
      </c>
      <c r="D433" s="11" t="str">
        <f>ETLMetadata!$G433</f>
        <v>CHAR(4)</v>
      </c>
      <c r="E433" s="12"/>
      <c r="F433" s="12"/>
      <c r="G433" s="12" t="str">
        <f t="shared" si="12"/>
        <v/>
      </c>
      <c r="H433" s="12"/>
      <c r="I433" s="12"/>
      <c r="J433" s="13">
        <v>45952</v>
      </c>
      <c r="K433" s="13">
        <v>2958465</v>
      </c>
      <c r="L433" s="11" t="str">
        <f t="shared" si="13"/>
        <v>INSERT INTO metadata_reference.file_schema VALUES('DETM_DETIS_CJDS','CJDS_AMR_1',NULL,'CHAR(4)',NULL,NULL,NULL,NULL,'2025-10-22','9999-12-31',USER, CURRENT_TIMESTAMP(0));</v>
      </c>
    </row>
    <row r="434" spans="1:12" ht="15" customHeight="1">
      <c r="A434" s="11" t="str">
        <f>ETLMetadata!$C434</f>
        <v>DETM_DETIS_CJDS</v>
      </c>
      <c r="B434" s="11" t="str">
        <f>ETLMetadata!$E434</f>
        <v>CJDS_AMR_2</v>
      </c>
      <c r="C434" s="11" t="str">
        <f>IF(ISBLANK(ETLMetadata!$J434), "", ETLMetadata!$J434)</f>
        <v/>
      </c>
      <c r="D434" s="11" t="str">
        <f>ETLMetadata!$G434</f>
        <v>CHAR(1)</v>
      </c>
      <c r="E434" s="12"/>
      <c r="F434" s="12"/>
      <c r="G434" s="12" t="str">
        <f t="shared" si="12"/>
        <v/>
      </c>
      <c r="H434" s="12"/>
      <c r="I434" s="12"/>
      <c r="J434" s="13">
        <v>45952</v>
      </c>
      <c r="K434" s="13">
        <v>2958465</v>
      </c>
      <c r="L434" s="11" t="str">
        <f t="shared" si="13"/>
        <v>INSERT INTO metadata_reference.file_schema VALUES('DETM_DETIS_CJDS','CJDS_AMR_2',NULL,'CHAR(1)',NULL,NULL,NULL,NULL,'2025-10-22','9999-12-31',USER, CURRENT_TIMESTAMP(0));</v>
      </c>
    </row>
    <row r="435" spans="1:12" ht="15" customHeight="1">
      <c r="A435" s="11" t="str">
        <f>ETLMetadata!$C435</f>
        <v>DETM_DETIS_CJDS</v>
      </c>
      <c r="B435" s="11" t="str">
        <f>ETLMetadata!$E435</f>
        <v>CJDS_AMR_3</v>
      </c>
      <c r="C435" s="11" t="str">
        <f>IF(ISBLANK(ETLMetadata!$J435), "", ETLMetadata!$J435)</f>
        <v/>
      </c>
      <c r="D435" s="11" t="str">
        <f>ETLMetadata!$G435</f>
        <v>CHAR(4)</v>
      </c>
      <c r="E435" s="12"/>
      <c r="F435" s="12"/>
      <c r="G435" s="12" t="str">
        <f t="shared" si="12"/>
        <v/>
      </c>
      <c r="H435" s="12"/>
      <c r="I435" s="12"/>
      <c r="J435" s="13">
        <v>45952</v>
      </c>
      <c r="K435" s="13">
        <v>2958465</v>
      </c>
      <c r="L435" s="11" t="str">
        <f t="shared" si="13"/>
        <v>INSERT INTO metadata_reference.file_schema VALUES('DETM_DETIS_CJDS','CJDS_AMR_3',NULL,'CHAR(4)',NULL,NULL,NULL,NULL,'2025-10-22','9999-12-31',USER, CURRENT_TIMESTAMP(0));</v>
      </c>
    </row>
    <row r="436" spans="1:12" ht="15" customHeight="1">
      <c r="A436" s="11" t="str">
        <f>ETLMetadata!$C436</f>
        <v>DETM_DETIS_CJDS</v>
      </c>
      <c r="B436" s="11" t="str">
        <f>ETLMetadata!$E436</f>
        <v>CJDS_BEN_TYPE_CODE</v>
      </c>
      <c r="C436" s="11" t="str">
        <f>IF(ISBLANK(ETLMetadata!$J436), "", ETLMetadata!$J436)</f>
        <v/>
      </c>
      <c r="D436" s="11" t="str">
        <f>ETLMetadata!$G436</f>
        <v>CHAR(3)</v>
      </c>
      <c r="E436" s="12"/>
      <c r="F436" s="12"/>
      <c r="G436" s="12" t="str">
        <f t="shared" si="12"/>
        <v/>
      </c>
      <c r="H436" s="12"/>
      <c r="I436" s="12"/>
      <c r="J436" s="13">
        <v>45952</v>
      </c>
      <c r="K436" s="13">
        <v>2958465</v>
      </c>
      <c r="L436" s="11" t="str">
        <f t="shared" si="13"/>
        <v>INSERT INTO metadata_reference.file_schema VALUES('DETM_DETIS_CJDS','CJDS_BEN_TYPE_CODE',NULL,'CHAR(3)',NULL,NULL,NULL,NULL,'2025-10-22','9999-12-31',USER, CURRENT_TIMESTAMP(0));</v>
      </c>
    </row>
    <row r="437" spans="1:12" ht="15" customHeight="1">
      <c r="A437" s="11" t="str">
        <f>ETLMetadata!$C437</f>
        <v>DETM_DETIS_CJDS</v>
      </c>
      <c r="B437" s="11" t="str">
        <f>ETLMetadata!$E437</f>
        <v>CJDS_STS_CODE</v>
      </c>
      <c r="C437" s="11" t="str">
        <f>IF(ISBLANK(ETLMetadata!$J437), "", ETLMetadata!$J437)</f>
        <v/>
      </c>
      <c r="D437" s="11" t="str">
        <f>ETLMetadata!$G437</f>
        <v>CHAR(3)</v>
      </c>
      <c r="E437" s="12"/>
      <c r="F437" s="12"/>
      <c r="G437" s="12" t="str">
        <f t="shared" si="12"/>
        <v/>
      </c>
      <c r="H437" s="12"/>
      <c r="I437" s="12"/>
      <c r="J437" s="13">
        <v>45952</v>
      </c>
      <c r="K437" s="13">
        <v>2958465</v>
      </c>
      <c r="L437" s="11" t="str">
        <f t="shared" si="13"/>
        <v>INSERT INTO metadata_reference.file_schema VALUES('DETM_DETIS_CJDS','CJDS_STS_CODE',NULL,'CHAR(3)',NULL,NULL,NULL,NULL,'2025-10-22','9999-12-31',USER, CURRENT_TIMESTAMP(0));</v>
      </c>
    </row>
    <row r="438" spans="1:12" ht="15" customHeight="1">
      <c r="A438" s="11" t="str">
        <f>ETLMetadata!$C438</f>
        <v>DETM_DETIS_CJDS</v>
      </c>
      <c r="B438" s="11" t="str">
        <f>ETLMetadata!$E438</f>
        <v>CJDS_RSN_CODE</v>
      </c>
      <c r="C438" s="11" t="str">
        <f>IF(ISBLANK(ETLMetadata!$J438), "", ETLMetadata!$J438)</f>
        <v/>
      </c>
      <c r="D438" s="11" t="str">
        <f>ETLMetadata!$G438</f>
        <v>CHAR(3)</v>
      </c>
      <c r="E438" s="12"/>
      <c r="F438" s="12"/>
      <c r="G438" s="12" t="str">
        <f t="shared" si="12"/>
        <v/>
      </c>
      <c r="H438" s="12"/>
      <c r="I438" s="12"/>
      <c r="J438" s="13">
        <v>45952</v>
      </c>
      <c r="K438" s="13">
        <v>2958465</v>
      </c>
      <c r="L438" s="11" t="str">
        <f t="shared" si="13"/>
        <v>INSERT INTO metadata_reference.file_schema VALUES('DETM_DETIS_CJDS','CJDS_RSN_CODE',NULL,'CHAR(3)',NULL,NULL,NULL,NULL,'2025-10-22','9999-12-31',USER, CURRENT_TIMESTAMP(0));</v>
      </c>
    </row>
    <row r="439" spans="1:12" ht="15" customHeight="1">
      <c r="A439" s="11" t="str">
        <f>ETLMetadata!$C439</f>
        <v>DETM_DETIS_CJDS</v>
      </c>
      <c r="B439" s="11" t="str">
        <f>ETLMetadata!$E439</f>
        <v>CJDS_UNIQ_ID</v>
      </c>
      <c r="C439" s="11" t="str">
        <f>IF(ISBLANK(ETLMetadata!$J439), "", ETLMetadata!$J439)</f>
        <v/>
      </c>
      <c r="D439" s="11" t="str">
        <f>ETLMetadata!$G439</f>
        <v>VARCHAR(8)</v>
      </c>
      <c r="E439" s="12"/>
      <c r="F439" s="12"/>
      <c r="G439" s="12" t="str">
        <f t="shared" si="12"/>
        <v/>
      </c>
      <c r="H439" s="12"/>
      <c r="I439" s="12"/>
      <c r="J439" s="13">
        <v>45952</v>
      </c>
      <c r="K439" s="13">
        <v>2958465</v>
      </c>
      <c r="L439" s="11" t="str">
        <f t="shared" si="13"/>
        <v>INSERT INTO metadata_reference.file_schema VALUES('DETM_DETIS_CJDS','CJDS_UNIQ_ID',NULL,'VARCHAR(8)',NULL,NULL,NULL,NULL,'2025-10-22','9999-12-31',USER, CURRENT_TIMESTAMP(0));</v>
      </c>
    </row>
    <row r="440" spans="1:12" ht="15" customHeight="1">
      <c r="A440" s="11" t="str">
        <f>ETLMetadata!$C440</f>
        <v>DETM_DETIS_CJDS</v>
      </c>
      <c r="B440" s="11" t="str">
        <f>ETLMetadata!$E440</f>
        <v>AMR1_RISL_DTS</v>
      </c>
      <c r="C440" s="11" t="str">
        <f>IF(ISBLANK(ETLMetadata!$J440), "", ETLMetadata!$J440)</f>
        <v/>
      </c>
      <c r="D440" s="11" t="str">
        <f>ETLMetadata!$G440</f>
        <v>TIMESTAMP(6)</v>
      </c>
      <c r="E440" s="12"/>
      <c r="F440" s="12"/>
      <c r="G440" s="12" t="str">
        <f t="shared" si="12"/>
        <v/>
      </c>
      <c r="H440" s="12"/>
      <c r="I440" s="12"/>
      <c r="J440" s="13">
        <v>45952</v>
      </c>
      <c r="K440" s="13">
        <v>2958465</v>
      </c>
      <c r="L440" s="11" t="str">
        <f t="shared" si="13"/>
        <v>INSERT INTO metadata_reference.file_schema VALUES('DETM_DETIS_CJDS','AMR1_RISL_DTS',NULL,'TIMESTAMP(6)',NULL,NULL,NULL,NULL,'2025-10-22','9999-12-31',USER, CURRENT_TIMESTAMP(0));</v>
      </c>
    </row>
    <row r="441" spans="1:12" ht="15" customHeight="1">
      <c r="A441" s="11" t="str">
        <f>ETLMetadata!$C441</f>
        <v>DETM_DETIS_CJDS</v>
      </c>
      <c r="B441" s="11" t="str">
        <f>ETLMetadata!$E441</f>
        <v>AMR3_RISL_DTS</v>
      </c>
      <c r="C441" s="11" t="str">
        <f>IF(ISBLANK(ETLMetadata!$J441), "", ETLMetadata!$J441)</f>
        <v/>
      </c>
      <c r="D441" s="11" t="str">
        <f>ETLMetadata!$G441</f>
        <v>TIMESTAMP(6)</v>
      </c>
      <c r="E441" s="12"/>
      <c r="F441" s="12"/>
      <c r="G441" s="12" t="str">
        <f t="shared" si="12"/>
        <v/>
      </c>
      <c r="H441" s="12"/>
      <c r="I441" s="12"/>
      <c r="J441" s="13">
        <v>45952</v>
      </c>
      <c r="K441" s="13">
        <v>2958465</v>
      </c>
      <c r="L441" s="11" t="str">
        <f t="shared" si="13"/>
        <v>INSERT INTO metadata_reference.file_schema VALUES('DETM_DETIS_CJDS','AMR3_RISL_DTS',NULL,'TIMESTAMP(6)',NULL,NULL,NULL,NULL,'2025-10-22','9999-12-31',USER, CURRENT_TIMESTAMP(0));</v>
      </c>
    </row>
    <row r="442" spans="1:12" ht="15" customHeight="1">
      <c r="A442" s="11" t="str">
        <f>ETLMetadata!$C442</f>
        <v>DETM_DETIS_CJDS</v>
      </c>
      <c r="B442" s="11" t="str">
        <f>ETLMetadata!$E442</f>
        <v>EPISODE_ID</v>
      </c>
      <c r="C442" s="11" t="str">
        <f>IF(ISBLANK(ETLMetadata!$J442), "", ETLMetadata!$J442)</f>
        <v/>
      </c>
      <c r="D442" s="11" t="str">
        <f>ETLMetadata!$G442</f>
        <v>INTEGER</v>
      </c>
      <c r="E442" s="12"/>
      <c r="F442" s="12"/>
      <c r="G442" s="12" t="str">
        <f t="shared" si="12"/>
        <v/>
      </c>
      <c r="H442" s="12"/>
      <c r="I442" s="12"/>
      <c r="J442" s="13">
        <v>45952</v>
      </c>
      <c r="K442" s="13">
        <v>2958465</v>
      </c>
      <c r="L442" s="11" t="str">
        <f t="shared" si="13"/>
        <v>INSERT INTO metadata_reference.file_schema VALUES('DETM_DETIS_CJDS','EPISODE_ID',NULL,'INTEGER',NULL,NULL,NULL,NULL,'2025-10-22','9999-12-31',USER, CURRENT_TIMESTAMP(0));</v>
      </c>
    </row>
    <row r="443" spans="1:12" ht="15" customHeight="1">
      <c r="A443" s="11" t="str">
        <f>ETLMetadata!$C443</f>
        <v>DETM_DETIS_CJDS</v>
      </c>
      <c r="B443" s="11" t="str">
        <f>ETLMetadata!$E443</f>
        <v>PARTY_ROLE_ID</v>
      </c>
      <c r="C443" s="11" t="str">
        <f>IF(ISBLANK(ETLMetadata!$J443), "", ETLMetadata!$J443)</f>
        <v/>
      </c>
      <c r="D443" s="11" t="str">
        <f>ETLMetadata!$G443</f>
        <v>INTEGER</v>
      </c>
      <c r="E443" s="12"/>
      <c r="F443" s="12"/>
      <c r="G443" s="12" t="str">
        <f t="shared" si="12"/>
        <v/>
      </c>
      <c r="H443" s="12"/>
      <c r="I443" s="12"/>
      <c r="J443" s="13">
        <v>45952</v>
      </c>
      <c r="K443" s="13">
        <v>2958465</v>
      </c>
      <c r="L443" s="11" t="str">
        <f t="shared" si="13"/>
        <v>INSERT INTO metadata_reference.file_schema VALUES('DETM_DETIS_CJDS','PARTY_ROLE_ID',NULL,'INTEGER',NULL,NULL,NULL,NULL,'2025-10-22','9999-12-31',USER, CURRENT_TIMESTAMP(0));</v>
      </c>
    </row>
    <row r="444" spans="1:12" ht="15" customHeight="1">
      <c r="A444" s="11" t="str">
        <f>ETLMetadata!$C444</f>
        <v>DETM_DETIS_CJDS</v>
      </c>
      <c r="B444" s="11" t="str">
        <f>ETLMetadata!$E444</f>
        <v>PAYMENT_TYPE_ID</v>
      </c>
      <c r="C444" s="11" t="str">
        <f>IF(ISBLANK(ETLMetadata!$J444), "", ETLMetadata!$J444)</f>
        <v/>
      </c>
      <c r="D444" s="11" t="str">
        <f>ETLMetadata!$G444</f>
        <v>INTEGER</v>
      </c>
      <c r="E444" s="12"/>
      <c r="F444" s="12"/>
      <c r="G444" s="12" t="str">
        <f t="shared" si="12"/>
        <v/>
      </c>
      <c r="H444" s="12"/>
      <c r="I444" s="12"/>
      <c r="J444" s="13">
        <v>45952</v>
      </c>
      <c r="K444" s="13">
        <v>2958465</v>
      </c>
      <c r="L444" s="11" t="str">
        <f t="shared" si="13"/>
        <v>INSERT INTO metadata_reference.file_schema VALUES('DETM_DETIS_CJDS','PAYMENT_TYPE_ID',NULL,'INTEGER',NULL,NULL,NULL,NULL,'2025-10-22','9999-12-31',USER, CURRENT_TIMESTAMP(0));</v>
      </c>
    </row>
    <row r="445" spans="1:12" ht="15" customHeight="1">
      <c r="A445" s="11" t="str">
        <f>ETLMetadata!$C445</f>
        <v>DETM_DETIS_CJDS</v>
      </c>
      <c r="B445" s="11" t="str">
        <f>ETLMetadata!$E445</f>
        <v>ERROR_COUNT</v>
      </c>
      <c r="C445" s="11" t="str">
        <f>IF(ISBLANK(ETLMetadata!$J445), "", ETLMetadata!$J445)</f>
        <v/>
      </c>
      <c r="D445" s="11" t="str">
        <f>ETLMetadata!$G445</f>
        <v>SMALLINT</v>
      </c>
      <c r="E445" s="12"/>
      <c r="F445" s="12"/>
      <c r="G445" s="12" t="str">
        <f t="shared" si="12"/>
        <v/>
      </c>
      <c r="H445" s="12"/>
      <c r="I445" s="12"/>
      <c r="J445" s="13">
        <v>45952</v>
      </c>
      <c r="K445" s="13">
        <v>2958465</v>
      </c>
      <c r="L445" s="11" t="str">
        <f t="shared" si="13"/>
        <v>INSERT INTO metadata_reference.file_schema VALUES('DETM_DETIS_CJDS','ERROR_COUNT',NULL,'SMALLINT',NULL,NULL,NULL,NULL,'2025-10-22','9999-12-31',USER, CURRENT_TIMESTAMP(0));</v>
      </c>
    </row>
    <row r="446" spans="1:12" ht="15" customHeight="1">
      <c r="A446" s="11" t="str">
        <f>ETLMetadata!$C446</f>
        <v>DETM_DETIS_CJDS</v>
      </c>
      <c r="B446" s="11" t="str">
        <f>ETLMetadata!$E446</f>
        <v>Start_Date</v>
      </c>
      <c r="C446" s="11" t="str">
        <f>IF(ISBLANK(ETLMetadata!$J446), "", ETLMetadata!$J446)</f>
        <v/>
      </c>
      <c r="D446" s="11" t="str">
        <f>ETLMetadata!$G446</f>
        <v>DATE</v>
      </c>
      <c r="E446" s="12"/>
      <c r="F446" s="12"/>
      <c r="G446" s="12" t="str">
        <f t="shared" si="12"/>
        <v/>
      </c>
      <c r="H446" s="12"/>
      <c r="I446" s="12"/>
      <c r="J446" s="13">
        <v>45952</v>
      </c>
      <c r="K446" s="13">
        <v>2958465</v>
      </c>
      <c r="L446" s="11" t="str">
        <f t="shared" si="13"/>
        <v>INSERT INTO metadata_reference.file_schema VALUES('DETM_DETIS_CJDS','Start_Date',NULL,'DATE',NULL,NULL,NULL,NULL,'2025-10-22','9999-12-31',USER, CURRENT_TIMESTAMP(0));</v>
      </c>
    </row>
    <row r="447" spans="1:12" ht="15" customHeight="1">
      <c r="A447" s="11" t="str">
        <f>ETLMetadata!$C447</f>
        <v>DETM_DETIS_CJDS</v>
      </c>
      <c r="B447" s="11" t="str">
        <f>ETLMetadata!$E447</f>
        <v>End_Date</v>
      </c>
      <c r="C447" s="11" t="str">
        <f>IF(ISBLANK(ETLMetadata!$J447), "", ETLMetadata!$J447)</f>
        <v/>
      </c>
      <c r="D447" s="11" t="str">
        <f>ETLMetadata!$G447</f>
        <v>DATE</v>
      </c>
      <c r="E447" s="12"/>
      <c r="F447" s="12"/>
      <c r="G447" s="12" t="str">
        <f t="shared" si="12"/>
        <v/>
      </c>
      <c r="H447" s="12"/>
      <c r="I447" s="12"/>
      <c r="J447" s="13">
        <v>45952</v>
      </c>
      <c r="K447" s="13">
        <v>2958465</v>
      </c>
      <c r="L447" s="11" t="str">
        <f t="shared" si="13"/>
        <v>INSERT INTO metadata_reference.file_schema VALUES('DETM_DETIS_CJDS','End_Date',NULL,'DATE',NULL,NULL,NULL,NULL,'2025-10-22','9999-12-31',USER, CURRENT_TIMESTAMP(0));</v>
      </c>
    </row>
    <row r="448" spans="1:12" ht="15" customHeight="1">
      <c r="A448" s="11" t="str">
        <f>ETLMetadata!$C448</f>
        <v>DETM_DETIS_CJDS</v>
      </c>
      <c r="B448" s="11" t="str">
        <f>ETLMetadata!$E448</f>
        <v>Record_Deleted_Flag</v>
      </c>
      <c r="C448" s="11" t="str">
        <f>IF(ISBLANK(ETLMetadata!$J448), "", ETLMetadata!$J448)</f>
        <v/>
      </c>
      <c r="D448" s="11" t="str">
        <f>ETLMetadata!$G448</f>
        <v>BYTEINT</v>
      </c>
      <c r="E448" s="12"/>
      <c r="F448" s="12"/>
      <c r="G448" s="12" t="str">
        <f t="shared" si="12"/>
        <v/>
      </c>
      <c r="H448" s="12"/>
      <c r="I448" s="12"/>
      <c r="J448" s="13">
        <v>45952</v>
      </c>
      <c r="K448" s="13">
        <v>2958465</v>
      </c>
      <c r="L448" s="11" t="str">
        <f t="shared" si="13"/>
        <v>INSERT INTO metadata_reference.file_schema VALUES('DETM_DETIS_CJDS','Record_Deleted_Flag',NULL,'BYTEINT',NULL,NULL,NULL,NULL,'2025-10-22','9999-12-31',USER, CURRENT_TIMESTAMP(0));</v>
      </c>
    </row>
    <row r="449" spans="1:12" ht="15" customHeight="1">
      <c r="A449" s="11" t="str">
        <f>ETLMetadata!$C449</f>
        <v>DETM_DETIS_CZDS</v>
      </c>
      <c r="B449" s="11" t="str">
        <f>ETLMetadata!$E449</f>
        <v>EXTRACT_DATE</v>
      </c>
      <c r="C449" s="11" t="str">
        <f>IF(ISBLANK(ETLMetadata!$J449), "", ETLMetadata!$J449)</f>
        <v/>
      </c>
      <c r="D449" s="11" t="str">
        <f>ETLMetadata!$G449</f>
        <v>DATE</v>
      </c>
      <c r="E449" s="12"/>
      <c r="F449" s="12"/>
      <c r="G449" s="12" t="str">
        <f t="shared" si="12"/>
        <v/>
      </c>
      <c r="H449" s="12"/>
      <c r="I449" s="12"/>
      <c r="J449" s="13">
        <v>45952</v>
      </c>
      <c r="K449" s="13">
        <v>2958465</v>
      </c>
      <c r="L449" s="11" t="str">
        <f t="shared" si="13"/>
        <v>INSERT INTO metadata_reference.file_schema VALUES('DETM_DETIS_CZDS','EXTRACT_DATE',NULL,'DATE',NULL,NULL,NULL,NULL,'2025-10-22','9999-12-31',USER, CURRENT_TIMESTAMP(0));</v>
      </c>
    </row>
    <row r="450" spans="1:12" ht="15" customHeight="1">
      <c r="A450" s="11" t="str">
        <f>ETLMetadata!$C450</f>
        <v>DETM_DETIS_CZDS</v>
      </c>
      <c r="B450" s="11" t="str">
        <f>ETLMetadata!$E450</f>
        <v>LOGICAL_DELETE_DATE</v>
      </c>
      <c r="C450" s="11" t="str">
        <f>IF(ISBLANK(ETLMetadata!$J450), "", ETLMetadata!$J450)</f>
        <v/>
      </c>
      <c r="D450" s="11" t="str">
        <f>ETLMetadata!$G450</f>
        <v>DATE</v>
      </c>
      <c r="E450" s="12"/>
      <c r="F450" s="12"/>
      <c r="G450" s="12" t="str">
        <f t="shared" si="12"/>
        <v/>
      </c>
      <c r="H450" s="12"/>
      <c r="I450" s="12"/>
      <c r="J450" s="13">
        <v>45952</v>
      </c>
      <c r="K450" s="13">
        <v>2958465</v>
      </c>
      <c r="L450" s="11" t="str">
        <f t="shared" si="13"/>
        <v>INSERT INTO metadata_reference.file_schema VALUES('DETM_DETIS_CZDS','LOGICAL_DELETE_DATE',NULL,'DATE',NULL,NULL,NULL,NULL,'2025-10-22','9999-12-31',USER, CURRENT_TIMESTAMP(0));</v>
      </c>
    </row>
    <row r="451" spans="1:12" ht="15" customHeight="1">
      <c r="A451" s="11" t="str">
        <f>ETLMetadata!$C451</f>
        <v>DETM_DETIS_CZDS</v>
      </c>
      <c r="B451" s="11" t="str">
        <f>ETLMetadata!$E451</f>
        <v>ENVIRONMENT_ID</v>
      </c>
      <c r="C451" s="11" t="str">
        <f>IF(ISBLANK(ETLMetadata!$J451), "", ETLMetadata!$J451)</f>
        <v>Y</v>
      </c>
      <c r="D451" s="11" t="str">
        <f>ETLMetadata!$G451</f>
        <v>CHAR(1)</v>
      </c>
      <c r="E451" s="12"/>
      <c r="F451" s="12"/>
      <c r="G451" s="12" t="str">
        <f t="shared" ref="G451:G514" si="14">UPPER($F451)</f>
        <v/>
      </c>
      <c r="H451" s="12"/>
      <c r="I451" s="12"/>
      <c r="J451" s="13">
        <v>45952</v>
      </c>
      <c r="K451" s="13">
        <v>2958465</v>
      </c>
      <c r="L451" s="11" t="str">
        <f t="shared" ref="L451:L514" si="15">CONCATENATE("INSERT INTO metadata_reference.file_schema VALUES('",TRIM(A451),"','",TRIM(B451),"',",IF(TRIM(C451)="","NULL","'"&amp;TRIM(C451)&amp;"'"),",'",TRIM(D451),"',",IF(TRIM(E451)="","NULL","'"&amp;TRIM(E451)&amp;"'"),",",IF(TRIM(G451)="","NULL","'"&amp;TRIM(G451)&amp;"'"),",",IF(TRIM(H451)="","NULL","'"&amp;TRIM(H451)&amp;"'"),",",
IF(TRIM(I451)="","NULL",TRIM(I451)),",",IF(TRIM(J451)="","NULL","'"&amp;TEXT(J451,"yyyy-mm-dd")&amp;"'"),",",IF(TRIM(K451)="","NULL","'"&amp;TEXT(K451,"yyyy-mm-dd")&amp;"'"),",","USER, CURRENT_TIMESTAMP(0));")</f>
        <v>INSERT INTO metadata_reference.file_schema VALUES('DETM_DETIS_CZDS','ENVIRONMENT_ID','Y','CHAR(1)',NULL,NULL,NULL,NULL,'2025-10-22','9999-12-31',USER, CURRENT_TIMESTAMP(0));</v>
      </c>
    </row>
    <row r="452" spans="1:12" ht="15" customHeight="1">
      <c r="A452" s="11" t="str">
        <f>ETLMetadata!$C452</f>
        <v>DETM_DETIS_CZDS</v>
      </c>
      <c r="B452" s="11" t="str">
        <f>ETLMetadata!$E452</f>
        <v>PERSON_ID</v>
      </c>
      <c r="C452" s="11" t="str">
        <f>IF(ISBLANK(ETLMetadata!$J452), "", ETLMetadata!$J452)</f>
        <v>Y</v>
      </c>
      <c r="D452" s="11" t="str">
        <f>ETLMetadata!$G452</f>
        <v>INTEGER</v>
      </c>
      <c r="E452" s="12"/>
      <c r="F452" s="12" t="s">
        <v>799</v>
      </c>
      <c r="G452" s="12" t="str">
        <f t="shared" si="14"/>
        <v>PERSONAL_IDENTITYINFOINDIRECT</v>
      </c>
      <c r="H452" s="12"/>
      <c r="I452" s="12"/>
      <c r="J452" s="13">
        <v>45952</v>
      </c>
      <c r="K452" s="13">
        <v>2958465</v>
      </c>
      <c r="L452" s="11" t="str">
        <f t="shared" si="15"/>
        <v>INSERT INTO metadata_reference.file_schema VALUES('DETM_DETIS_CZDS','PERSON_ID','Y','INTEGER',NULL,'PERSONAL_IDENTITYINFOINDIRECT',NULL,NULL,'2025-10-22','9999-12-31',USER, CURRENT_TIMESTAMP(0));</v>
      </c>
    </row>
    <row r="453" spans="1:12" ht="15" customHeight="1">
      <c r="A453" s="11" t="str">
        <f>ETLMetadata!$C453</f>
        <v>DETM_DETIS_CZDS</v>
      </c>
      <c r="B453" s="11" t="str">
        <f>ETLMetadata!$E453</f>
        <v>CZDS_DOE</v>
      </c>
      <c r="C453" s="11" t="str">
        <f>IF(ISBLANK(ETLMetadata!$J453), "", ETLMetadata!$J453)</f>
        <v/>
      </c>
      <c r="D453" s="11" t="str">
        <f>ETLMetadata!$G453</f>
        <v>DATE</v>
      </c>
      <c r="E453" s="12"/>
      <c r="F453" s="12"/>
      <c r="G453" s="12" t="str">
        <f t="shared" si="14"/>
        <v/>
      </c>
      <c r="H453" s="12"/>
      <c r="I453" s="12"/>
      <c r="J453" s="13">
        <v>45952</v>
      </c>
      <c r="K453" s="13">
        <v>2958465</v>
      </c>
      <c r="L453" s="11" t="str">
        <f t="shared" si="15"/>
        <v>INSERT INTO metadata_reference.file_schema VALUES('DETM_DETIS_CZDS','CZDS_DOE',NULL,'DATE',NULL,NULL,NULL,NULL,'2025-10-22','9999-12-31',USER, CURRENT_TIMESTAMP(0));</v>
      </c>
    </row>
    <row r="454" spans="1:12" ht="15" customHeight="1">
      <c r="A454" s="11" t="str">
        <f>ETLMetadata!$C454</f>
        <v>DETM_DETIS_CZDS</v>
      </c>
      <c r="B454" s="11" t="str">
        <f>ETLMetadata!$E454</f>
        <v>CZDS_DOE_ORIG</v>
      </c>
      <c r="C454" s="11" t="str">
        <f>IF(ISBLANK(ETLMetadata!$J454), "", ETLMetadata!$J454)</f>
        <v/>
      </c>
      <c r="D454" s="11" t="str">
        <f>ETLMetadata!$G454</f>
        <v>INTEGER</v>
      </c>
      <c r="E454" s="12"/>
      <c r="F454" s="12"/>
      <c r="G454" s="12" t="str">
        <f t="shared" si="14"/>
        <v/>
      </c>
      <c r="H454" s="12"/>
      <c r="I454" s="12"/>
      <c r="J454" s="13">
        <v>45952</v>
      </c>
      <c r="K454" s="13">
        <v>2958465</v>
      </c>
      <c r="L454" s="11" t="str">
        <f t="shared" si="15"/>
        <v>INSERT INTO metadata_reference.file_schema VALUES('DETM_DETIS_CZDS','CZDS_DOE_ORIG',NULL,'INTEGER',NULL,NULL,NULL,NULL,'2025-10-22','9999-12-31',USER, CURRENT_TIMESTAMP(0));</v>
      </c>
    </row>
    <row r="455" spans="1:12" ht="15" customHeight="1">
      <c r="A455" s="11" t="str">
        <f>ETLMetadata!$C455</f>
        <v>DETM_DETIS_CZDS</v>
      </c>
      <c r="B455" s="11" t="str">
        <f>ETLMetadata!$E455</f>
        <v>PROCESSING_SEQUENCE</v>
      </c>
      <c r="C455" s="11" t="str">
        <f>IF(ISBLANK(ETLMetadata!$J455), "", ETLMetadata!$J455)</f>
        <v>Y</v>
      </c>
      <c r="D455" s="11" t="str">
        <f>ETLMetadata!$G455</f>
        <v>SMALLINT</v>
      </c>
      <c r="E455" s="12"/>
      <c r="F455" s="12"/>
      <c r="G455" s="12" t="str">
        <f t="shared" si="14"/>
        <v/>
      </c>
      <c r="H455" s="12"/>
      <c r="I455" s="12"/>
      <c r="J455" s="13">
        <v>45952</v>
      </c>
      <c r="K455" s="13">
        <v>2958465</v>
      </c>
      <c r="L455" s="11" t="str">
        <f t="shared" si="15"/>
        <v>INSERT INTO metadata_reference.file_schema VALUES('DETM_DETIS_CZDS','PROCESSING_SEQUENCE','Y','SMALLINT',NULL,NULL,NULL,NULL,'2025-10-22','9999-12-31',USER, CURRENT_TIMESTAMP(0));</v>
      </c>
    </row>
    <row r="456" spans="1:12" ht="15" customHeight="1">
      <c r="A456" s="11" t="str">
        <f>ETLMetadata!$C456</f>
        <v>DETM_DETIS_CZDS</v>
      </c>
      <c r="B456" s="11" t="str">
        <f>ETLMetadata!$E456</f>
        <v>CZDS_AMR_1</v>
      </c>
      <c r="C456" s="11" t="str">
        <f>IF(ISBLANK(ETLMetadata!$J456), "", ETLMetadata!$J456)</f>
        <v/>
      </c>
      <c r="D456" s="11" t="str">
        <f>ETLMetadata!$G456</f>
        <v>CHAR(4)</v>
      </c>
      <c r="E456" s="12"/>
      <c r="F456" s="12"/>
      <c r="G456" s="12" t="str">
        <f t="shared" si="14"/>
        <v/>
      </c>
      <c r="H456" s="12"/>
      <c r="I456" s="12"/>
      <c r="J456" s="13">
        <v>45952</v>
      </c>
      <c r="K456" s="13">
        <v>2958465</v>
      </c>
      <c r="L456" s="11" t="str">
        <f t="shared" si="15"/>
        <v>INSERT INTO metadata_reference.file_schema VALUES('DETM_DETIS_CZDS','CZDS_AMR_1',NULL,'CHAR(4)',NULL,NULL,NULL,NULL,'2025-10-22','9999-12-31',USER, CURRENT_TIMESTAMP(0));</v>
      </c>
    </row>
    <row r="457" spans="1:12" ht="15" customHeight="1">
      <c r="A457" s="11" t="str">
        <f>ETLMetadata!$C457</f>
        <v>DETM_DETIS_CZDS</v>
      </c>
      <c r="B457" s="11" t="str">
        <f>ETLMetadata!$E457</f>
        <v>CZDS_AMR_2</v>
      </c>
      <c r="C457" s="11" t="str">
        <f>IF(ISBLANK(ETLMetadata!$J457), "", ETLMetadata!$J457)</f>
        <v/>
      </c>
      <c r="D457" s="11" t="str">
        <f>ETLMetadata!$G457</f>
        <v>CHAR(1)</v>
      </c>
      <c r="E457" s="12"/>
      <c r="F457" s="12"/>
      <c r="G457" s="12" t="str">
        <f t="shared" si="14"/>
        <v/>
      </c>
      <c r="H457" s="12"/>
      <c r="I457" s="12"/>
      <c r="J457" s="13">
        <v>45952</v>
      </c>
      <c r="K457" s="13">
        <v>2958465</v>
      </c>
      <c r="L457" s="11" t="str">
        <f t="shared" si="15"/>
        <v>INSERT INTO metadata_reference.file_schema VALUES('DETM_DETIS_CZDS','CZDS_AMR_2',NULL,'CHAR(1)',NULL,NULL,NULL,NULL,'2025-10-22','9999-12-31',USER, CURRENT_TIMESTAMP(0));</v>
      </c>
    </row>
    <row r="458" spans="1:12" ht="15" customHeight="1">
      <c r="A458" s="11" t="str">
        <f>ETLMetadata!$C458</f>
        <v>DETM_DETIS_CZDS</v>
      </c>
      <c r="B458" s="11" t="str">
        <f>ETLMetadata!$E458</f>
        <v>CZDS_AMR_3</v>
      </c>
      <c r="C458" s="11" t="str">
        <f>IF(ISBLANK(ETLMetadata!$J458), "", ETLMetadata!$J458)</f>
        <v/>
      </c>
      <c r="D458" s="11" t="str">
        <f>ETLMetadata!$G458</f>
        <v>CHAR(4)</v>
      </c>
      <c r="E458" s="12"/>
      <c r="F458" s="12"/>
      <c r="G458" s="12" t="str">
        <f t="shared" si="14"/>
        <v/>
      </c>
      <c r="H458" s="12"/>
      <c r="I458" s="12"/>
      <c r="J458" s="13">
        <v>45952</v>
      </c>
      <c r="K458" s="13">
        <v>2958465</v>
      </c>
      <c r="L458" s="11" t="str">
        <f t="shared" si="15"/>
        <v>INSERT INTO metadata_reference.file_schema VALUES('DETM_DETIS_CZDS','CZDS_AMR_3',NULL,'CHAR(4)',NULL,NULL,NULL,NULL,'2025-10-22','9999-12-31',USER, CURRENT_TIMESTAMP(0));</v>
      </c>
    </row>
    <row r="459" spans="1:12" ht="15" customHeight="1">
      <c r="A459" s="11" t="str">
        <f>ETLMetadata!$C459</f>
        <v>DETM_DETIS_CZDS</v>
      </c>
      <c r="B459" s="11" t="str">
        <f>ETLMetadata!$E459</f>
        <v>CZDS_BEN_TYPE_CODE</v>
      </c>
      <c r="C459" s="11" t="str">
        <f>IF(ISBLANK(ETLMetadata!$J459), "", ETLMetadata!$J459)</f>
        <v/>
      </c>
      <c r="D459" s="11" t="str">
        <f>ETLMetadata!$G459</f>
        <v>CHAR(3)</v>
      </c>
      <c r="E459" s="12"/>
      <c r="F459" s="12"/>
      <c r="G459" s="12" t="str">
        <f t="shared" si="14"/>
        <v/>
      </c>
      <c r="H459" s="12"/>
      <c r="I459" s="12"/>
      <c r="J459" s="13">
        <v>45952</v>
      </c>
      <c r="K459" s="13">
        <v>2958465</v>
      </c>
      <c r="L459" s="11" t="str">
        <f t="shared" si="15"/>
        <v>INSERT INTO metadata_reference.file_schema VALUES('DETM_DETIS_CZDS','CZDS_BEN_TYPE_CODE',NULL,'CHAR(3)',NULL,NULL,NULL,NULL,'2025-10-22','9999-12-31',USER, CURRENT_TIMESTAMP(0));</v>
      </c>
    </row>
    <row r="460" spans="1:12" ht="15" customHeight="1">
      <c r="A460" s="11" t="str">
        <f>ETLMetadata!$C460</f>
        <v>DETM_DETIS_CZDS</v>
      </c>
      <c r="B460" s="11" t="str">
        <f>ETLMetadata!$E460</f>
        <v>CZDS_STS_CODE</v>
      </c>
      <c r="C460" s="11" t="str">
        <f>IF(ISBLANK(ETLMetadata!$J460), "", ETLMetadata!$J460)</f>
        <v/>
      </c>
      <c r="D460" s="11" t="str">
        <f>ETLMetadata!$G460</f>
        <v>CHAR(3)</v>
      </c>
      <c r="E460" s="12"/>
      <c r="F460" s="12"/>
      <c r="G460" s="12" t="str">
        <f t="shared" si="14"/>
        <v/>
      </c>
      <c r="H460" s="12"/>
      <c r="I460" s="12"/>
      <c r="J460" s="13">
        <v>45952</v>
      </c>
      <c r="K460" s="13">
        <v>2958465</v>
      </c>
      <c r="L460" s="11" t="str">
        <f t="shared" si="15"/>
        <v>INSERT INTO metadata_reference.file_schema VALUES('DETM_DETIS_CZDS','CZDS_STS_CODE',NULL,'CHAR(3)',NULL,NULL,NULL,NULL,'2025-10-22','9999-12-31',USER, CURRENT_TIMESTAMP(0));</v>
      </c>
    </row>
    <row r="461" spans="1:12" ht="15" customHeight="1">
      <c r="A461" s="11" t="str">
        <f>ETLMetadata!$C461</f>
        <v>DETM_DETIS_CZDS</v>
      </c>
      <c r="B461" s="11" t="str">
        <f>ETLMetadata!$E461</f>
        <v>CZDS_RSN_CODE</v>
      </c>
      <c r="C461" s="11" t="str">
        <f>IF(ISBLANK(ETLMetadata!$J461), "", ETLMetadata!$J461)</f>
        <v/>
      </c>
      <c r="D461" s="11" t="str">
        <f>ETLMetadata!$G461</f>
        <v>CHAR(3)</v>
      </c>
      <c r="E461" s="12"/>
      <c r="F461" s="12"/>
      <c r="G461" s="12" t="str">
        <f t="shared" si="14"/>
        <v/>
      </c>
      <c r="H461" s="12"/>
      <c r="I461" s="12"/>
      <c r="J461" s="13">
        <v>45952</v>
      </c>
      <c r="K461" s="13">
        <v>2958465</v>
      </c>
      <c r="L461" s="11" t="str">
        <f t="shared" si="15"/>
        <v>INSERT INTO metadata_reference.file_schema VALUES('DETM_DETIS_CZDS','CZDS_RSN_CODE',NULL,'CHAR(3)',NULL,NULL,NULL,NULL,'2025-10-22','9999-12-31',USER, CURRENT_TIMESTAMP(0));</v>
      </c>
    </row>
    <row r="462" spans="1:12" ht="15" customHeight="1">
      <c r="A462" s="11" t="str">
        <f>ETLMetadata!$C462</f>
        <v>DETM_DETIS_CZDS</v>
      </c>
      <c r="B462" s="11" t="str">
        <f>ETLMetadata!$E462</f>
        <v>CZDS_UNIQ_ID</v>
      </c>
      <c r="C462" s="11" t="str">
        <f>IF(ISBLANK(ETLMetadata!$J462), "", ETLMetadata!$J462)</f>
        <v/>
      </c>
      <c r="D462" s="11" t="str">
        <f>ETLMetadata!$G462</f>
        <v>VARCHAR(8)</v>
      </c>
      <c r="E462" s="12"/>
      <c r="F462" s="12"/>
      <c r="G462" s="12" t="str">
        <f t="shared" si="14"/>
        <v/>
      </c>
      <c r="H462" s="12"/>
      <c r="I462" s="12"/>
      <c r="J462" s="13">
        <v>45952</v>
      </c>
      <c r="K462" s="13">
        <v>2958465</v>
      </c>
      <c r="L462" s="11" t="str">
        <f t="shared" si="15"/>
        <v>INSERT INTO metadata_reference.file_schema VALUES('DETM_DETIS_CZDS','CZDS_UNIQ_ID',NULL,'VARCHAR(8)',NULL,NULL,NULL,NULL,'2025-10-22','9999-12-31',USER, CURRENT_TIMESTAMP(0));</v>
      </c>
    </row>
    <row r="463" spans="1:12" ht="15" customHeight="1">
      <c r="A463" s="11" t="str">
        <f>ETLMetadata!$C463</f>
        <v>DETM_DETIS_CZDS</v>
      </c>
      <c r="B463" s="11" t="str">
        <f>ETLMetadata!$E463</f>
        <v>AMR1_RISL_DTS</v>
      </c>
      <c r="C463" s="11" t="str">
        <f>IF(ISBLANK(ETLMetadata!$J463), "", ETLMetadata!$J463)</f>
        <v/>
      </c>
      <c r="D463" s="11" t="str">
        <f>ETLMetadata!$G463</f>
        <v>TIMESTAMP(6)</v>
      </c>
      <c r="E463" s="12"/>
      <c r="F463" s="12"/>
      <c r="G463" s="12" t="str">
        <f t="shared" si="14"/>
        <v/>
      </c>
      <c r="H463" s="12"/>
      <c r="I463" s="12"/>
      <c r="J463" s="13">
        <v>45952</v>
      </c>
      <c r="K463" s="13">
        <v>2958465</v>
      </c>
      <c r="L463" s="11" t="str">
        <f t="shared" si="15"/>
        <v>INSERT INTO metadata_reference.file_schema VALUES('DETM_DETIS_CZDS','AMR1_RISL_DTS',NULL,'TIMESTAMP(6)',NULL,NULL,NULL,NULL,'2025-10-22','9999-12-31',USER, CURRENT_TIMESTAMP(0));</v>
      </c>
    </row>
    <row r="464" spans="1:12" ht="15" customHeight="1">
      <c r="A464" s="11" t="str">
        <f>ETLMetadata!$C464</f>
        <v>DETM_DETIS_CZDS</v>
      </c>
      <c r="B464" s="11" t="str">
        <f>ETLMetadata!$E464</f>
        <v>AMR3_RISL_DTS</v>
      </c>
      <c r="C464" s="11" t="str">
        <f>IF(ISBLANK(ETLMetadata!$J464), "", ETLMetadata!$J464)</f>
        <v/>
      </c>
      <c r="D464" s="11" t="str">
        <f>ETLMetadata!$G464</f>
        <v>TIMESTAMP(6)</v>
      </c>
      <c r="E464" s="12"/>
      <c r="F464" s="12"/>
      <c r="G464" s="12" t="str">
        <f t="shared" si="14"/>
        <v/>
      </c>
      <c r="H464" s="12"/>
      <c r="I464" s="12"/>
      <c r="J464" s="13">
        <v>45952</v>
      </c>
      <c r="K464" s="13">
        <v>2958465</v>
      </c>
      <c r="L464" s="11" t="str">
        <f t="shared" si="15"/>
        <v>INSERT INTO metadata_reference.file_schema VALUES('DETM_DETIS_CZDS','AMR3_RISL_DTS',NULL,'TIMESTAMP(6)',NULL,NULL,NULL,NULL,'2025-10-22','9999-12-31',USER, CURRENT_TIMESTAMP(0));</v>
      </c>
    </row>
    <row r="465" spans="1:12" ht="15" customHeight="1">
      <c r="A465" s="11" t="str">
        <f>ETLMetadata!$C465</f>
        <v>DETM_DETIS_CZDS</v>
      </c>
      <c r="B465" s="11" t="str">
        <f>ETLMetadata!$E465</f>
        <v>EPISODE_ID</v>
      </c>
      <c r="C465" s="11" t="str">
        <f>IF(ISBLANK(ETLMetadata!$J465), "", ETLMetadata!$J465)</f>
        <v/>
      </c>
      <c r="D465" s="11" t="str">
        <f>ETLMetadata!$G465</f>
        <v>INTEGER</v>
      </c>
      <c r="E465" s="12"/>
      <c r="F465" s="12"/>
      <c r="G465" s="12" t="str">
        <f t="shared" si="14"/>
        <v/>
      </c>
      <c r="H465" s="12"/>
      <c r="I465" s="12"/>
      <c r="J465" s="13">
        <v>45952</v>
      </c>
      <c r="K465" s="13">
        <v>2958465</v>
      </c>
      <c r="L465" s="11" t="str">
        <f t="shared" si="15"/>
        <v>INSERT INTO metadata_reference.file_schema VALUES('DETM_DETIS_CZDS','EPISODE_ID',NULL,'INTEGER',NULL,NULL,NULL,NULL,'2025-10-22','9999-12-31',USER, CURRENT_TIMESTAMP(0));</v>
      </c>
    </row>
    <row r="466" spans="1:12" ht="15" customHeight="1">
      <c r="A466" s="11" t="str">
        <f>ETLMetadata!$C466</f>
        <v>DETM_DETIS_CZDS</v>
      </c>
      <c r="B466" s="11" t="str">
        <f>ETLMetadata!$E466</f>
        <v>PARTY_ROLE_ID</v>
      </c>
      <c r="C466" s="11" t="str">
        <f>IF(ISBLANK(ETLMetadata!$J466), "", ETLMetadata!$J466)</f>
        <v/>
      </c>
      <c r="D466" s="11" t="str">
        <f>ETLMetadata!$G466</f>
        <v>INTEGER</v>
      </c>
      <c r="E466" s="12"/>
      <c r="F466" s="12"/>
      <c r="G466" s="12" t="str">
        <f t="shared" si="14"/>
        <v/>
      </c>
      <c r="H466" s="12"/>
      <c r="I466" s="12"/>
      <c r="J466" s="13">
        <v>45952</v>
      </c>
      <c r="K466" s="13">
        <v>2958465</v>
      </c>
      <c r="L466" s="11" t="str">
        <f t="shared" si="15"/>
        <v>INSERT INTO metadata_reference.file_schema VALUES('DETM_DETIS_CZDS','PARTY_ROLE_ID',NULL,'INTEGER',NULL,NULL,NULL,NULL,'2025-10-22','9999-12-31',USER, CURRENT_TIMESTAMP(0));</v>
      </c>
    </row>
    <row r="467" spans="1:12" ht="15" customHeight="1">
      <c r="A467" s="11" t="str">
        <f>ETLMetadata!$C467</f>
        <v>DETM_DETIS_CZDS</v>
      </c>
      <c r="B467" s="11" t="str">
        <f>ETLMetadata!$E467</f>
        <v>PAYMENT_TYPE_ID</v>
      </c>
      <c r="C467" s="11" t="str">
        <f>IF(ISBLANK(ETLMetadata!$J467), "", ETLMetadata!$J467)</f>
        <v/>
      </c>
      <c r="D467" s="11" t="str">
        <f>ETLMetadata!$G467</f>
        <v>INTEGER</v>
      </c>
      <c r="E467" s="12"/>
      <c r="F467" s="12"/>
      <c r="G467" s="12" t="str">
        <f t="shared" si="14"/>
        <v/>
      </c>
      <c r="H467" s="12"/>
      <c r="I467" s="12"/>
      <c r="J467" s="13">
        <v>45952</v>
      </c>
      <c r="K467" s="13">
        <v>2958465</v>
      </c>
      <c r="L467" s="11" t="str">
        <f t="shared" si="15"/>
        <v>INSERT INTO metadata_reference.file_schema VALUES('DETM_DETIS_CZDS','PAYMENT_TYPE_ID',NULL,'INTEGER',NULL,NULL,NULL,NULL,'2025-10-22','9999-12-31',USER, CURRENT_TIMESTAMP(0));</v>
      </c>
    </row>
    <row r="468" spans="1:12" ht="15" customHeight="1">
      <c r="A468" s="11" t="str">
        <f>ETLMetadata!$C468</f>
        <v>DETM_DETIS_CZDS</v>
      </c>
      <c r="B468" s="11" t="str">
        <f>ETLMetadata!$E468</f>
        <v>ERROR_COUNT</v>
      </c>
      <c r="C468" s="11" t="str">
        <f>IF(ISBLANK(ETLMetadata!$J468), "", ETLMetadata!$J468)</f>
        <v/>
      </c>
      <c r="D468" s="11" t="str">
        <f>ETLMetadata!$G468</f>
        <v>SMALLINT</v>
      </c>
      <c r="E468" s="12"/>
      <c r="F468" s="12"/>
      <c r="G468" s="12" t="str">
        <f t="shared" si="14"/>
        <v/>
      </c>
      <c r="H468" s="12"/>
      <c r="I468" s="12"/>
      <c r="J468" s="13">
        <v>45952</v>
      </c>
      <c r="K468" s="13">
        <v>2958465</v>
      </c>
      <c r="L468" s="11" t="str">
        <f t="shared" si="15"/>
        <v>INSERT INTO metadata_reference.file_schema VALUES('DETM_DETIS_CZDS','ERROR_COUNT',NULL,'SMALLINT',NULL,NULL,NULL,NULL,'2025-10-22','9999-12-31',USER, CURRENT_TIMESTAMP(0));</v>
      </c>
    </row>
    <row r="469" spans="1:12" ht="15" customHeight="1">
      <c r="A469" s="11" t="str">
        <f>ETLMetadata!$C469</f>
        <v>DETM_DETIS_CZDS</v>
      </c>
      <c r="B469" s="11" t="str">
        <f>ETLMetadata!$E469</f>
        <v>Start_Date</v>
      </c>
      <c r="C469" s="11" t="str">
        <f>IF(ISBLANK(ETLMetadata!$J469), "", ETLMetadata!$J469)</f>
        <v/>
      </c>
      <c r="D469" s="11" t="str">
        <f>ETLMetadata!$G469</f>
        <v>DATE</v>
      </c>
      <c r="E469" s="12"/>
      <c r="F469" s="12"/>
      <c r="G469" s="12" t="str">
        <f t="shared" si="14"/>
        <v/>
      </c>
      <c r="H469" s="12"/>
      <c r="I469" s="12"/>
      <c r="J469" s="13">
        <v>45952</v>
      </c>
      <c r="K469" s="13">
        <v>2958465</v>
      </c>
      <c r="L469" s="11" t="str">
        <f t="shared" si="15"/>
        <v>INSERT INTO metadata_reference.file_schema VALUES('DETM_DETIS_CZDS','Start_Date',NULL,'DATE',NULL,NULL,NULL,NULL,'2025-10-22','9999-12-31',USER, CURRENT_TIMESTAMP(0));</v>
      </c>
    </row>
    <row r="470" spans="1:12" ht="15" customHeight="1">
      <c r="A470" s="11" t="str">
        <f>ETLMetadata!$C470</f>
        <v>DETM_DETIS_CZDS</v>
      </c>
      <c r="B470" s="11" t="str">
        <f>ETLMetadata!$E470</f>
        <v>End_Date</v>
      </c>
      <c r="C470" s="11" t="str">
        <f>IF(ISBLANK(ETLMetadata!$J470), "", ETLMetadata!$J470)</f>
        <v/>
      </c>
      <c r="D470" s="11" t="str">
        <f>ETLMetadata!$G470</f>
        <v>DATE</v>
      </c>
      <c r="E470" s="12"/>
      <c r="F470" s="12"/>
      <c r="G470" s="12" t="str">
        <f t="shared" si="14"/>
        <v/>
      </c>
      <c r="H470" s="12"/>
      <c r="I470" s="12"/>
      <c r="J470" s="13">
        <v>45952</v>
      </c>
      <c r="K470" s="13">
        <v>2958465</v>
      </c>
      <c r="L470" s="11" t="str">
        <f t="shared" si="15"/>
        <v>INSERT INTO metadata_reference.file_schema VALUES('DETM_DETIS_CZDS','End_Date',NULL,'DATE',NULL,NULL,NULL,NULL,'2025-10-22','9999-12-31',USER, CURRENT_TIMESTAMP(0));</v>
      </c>
    </row>
    <row r="471" spans="1:12" ht="15" customHeight="1">
      <c r="A471" s="11" t="str">
        <f>ETLMetadata!$C471</f>
        <v>DETM_DETIS_CZDS</v>
      </c>
      <c r="B471" s="11" t="str">
        <f>ETLMetadata!$E471</f>
        <v>Record_Deleted_Flag</v>
      </c>
      <c r="C471" s="11" t="str">
        <f>IF(ISBLANK(ETLMetadata!$J471), "", ETLMetadata!$J471)</f>
        <v/>
      </c>
      <c r="D471" s="11" t="str">
        <f>ETLMetadata!$G471</f>
        <v>BYTEINT</v>
      </c>
      <c r="E471" s="12"/>
      <c r="F471" s="12"/>
      <c r="G471" s="12" t="str">
        <f t="shared" si="14"/>
        <v/>
      </c>
      <c r="H471" s="12"/>
      <c r="I471" s="12"/>
      <c r="J471" s="13">
        <v>45952</v>
      </c>
      <c r="K471" s="13">
        <v>2958465</v>
      </c>
      <c r="L471" s="11" t="str">
        <f t="shared" si="15"/>
        <v>INSERT INTO metadata_reference.file_schema VALUES('DETM_DETIS_CZDS','Record_Deleted_Flag',NULL,'BYTEINT',NULL,NULL,NULL,NULL,'2025-10-22','9999-12-31',USER, CURRENT_TIMESTAMP(0));</v>
      </c>
    </row>
    <row r="472" spans="1:12" ht="15" customHeight="1">
      <c r="A472" s="11" t="str">
        <f>ETLMetadata!$C472</f>
        <v>DETM_DETIS_D3DS</v>
      </c>
      <c r="B472" s="11" t="str">
        <f>ETLMetadata!$E472</f>
        <v>EXTRACT_DATE</v>
      </c>
      <c r="C472" s="11" t="str">
        <f>IF(ISBLANK(ETLMetadata!$J472), "", ETLMetadata!$J472)</f>
        <v/>
      </c>
      <c r="D472" s="11" t="str">
        <f>ETLMetadata!$G472</f>
        <v>DATE</v>
      </c>
      <c r="E472" s="12"/>
      <c r="F472" s="12"/>
      <c r="G472" s="12" t="str">
        <f t="shared" si="14"/>
        <v/>
      </c>
      <c r="H472" s="12"/>
      <c r="I472" s="12"/>
      <c r="J472" s="13">
        <v>45952</v>
      </c>
      <c r="K472" s="13">
        <v>2958465</v>
      </c>
      <c r="L472" s="11" t="str">
        <f t="shared" si="15"/>
        <v>INSERT INTO metadata_reference.file_schema VALUES('DETM_DETIS_D3DS','EXTRACT_DATE',NULL,'DATE',NULL,NULL,NULL,NULL,'2025-10-22','9999-12-31',USER, CURRENT_TIMESTAMP(0));</v>
      </c>
    </row>
    <row r="473" spans="1:12" ht="15" customHeight="1">
      <c r="A473" s="11" t="str">
        <f>ETLMetadata!$C473</f>
        <v>DETM_DETIS_D3DS</v>
      </c>
      <c r="B473" s="11" t="str">
        <f>ETLMetadata!$E473</f>
        <v>LOGICAL_DELETE_DATE</v>
      </c>
      <c r="C473" s="11" t="str">
        <f>IF(ISBLANK(ETLMetadata!$J473), "", ETLMetadata!$J473)</f>
        <v/>
      </c>
      <c r="D473" s="11" t="str">
        <f>ETLMetadata!$G473</f>
        <v>DATE</v>
      </c>
      <c r="E473" s="12"/>
      <c r="F473" s="12"/>
      <c r="G473" s="12" t="str">
        <f t="shared" si="14"/>
        <v/>
      </c>
      <c r="H473" s="12"/>
      <c r="I473" s="12"/>
      <c r="J473" s="13">
        <v>45952</v>
      </c>
      <c r="K473" s="13">
        <v>2958465</v>
      </c>
      <c r="L473" s="11" t="str">
        <f t="shared" si="15"/>
        <v>INSERT INTO metadata_reference.file_schema VALUES('DETM_DETIS_D3DS','LOGICAL_DELETE_DATE',NULL,'DATE',NULL,NULL,NULL,NULL,'2025-10-22','9999-12-31',USER, CURRENT_TIMESTAMP(0));</v>
      </c>
    </row>
    <row r="474" spans="1:12" ht="15" customHeight="1">
      <c r="A474" s="11" t="str">
        <f>ETLMetadata!$C474</f>
        <v>DETM_DETIS_D3DS</v>
      </c>
      <c r="B474" s="11" t="str">
        <f>ETLMetadata!$E474</f>
        <v>ENVIRONMENT_ID</v>
      </c>
      <c r="C474" s="11" t="str">
        <f>IF(ISBLANK(ETLMetadata!$J474), "", ETLMetadata!$J474)</f>
        <v>Y</v>
      </c>
      <c r="D474" s="11" t="str">
        <f>ETLMetadata!$G474</f>
        <v>CHAR(1)</v>
      </c>
      <c r="E474" s="12"/>
      <c r="F474" s="12"/>
      <c r="G474" s="12" t="str">
        <f t="shared" si="14"/>
        <v/>
      </c>
      <c r="H474" s="12"/>
      <c r="I474" s="12"/>
      <c r="J474" s="13">
        <v>45952</v>
      </c>
      <c r="K474" s="13">
        <v>2958465</v>
      </c>
      <c r="L474" s="11" t="str">
        <f t="shared" si="15"/>
        <v>INSERT INTO metadata_reference.file_schema VALUES('DETM_DETIS_D3DS','ENVIRONMENT_ID','Y','CHAR(1)',NULL,NULL,NULL,NULL,'2025-10-22','9999-12-31',USER, CURRENT_TIMESTAMP(0));</v>
      </c>
    </row>
    <row r="475" spans="1:12" ht="15" customHeight="1">
      <c r="A475" s="11" t="str">
        <f>ETLMetadata!$C475</f>
        <v>DETM_DETIS_D3DS</v>
      </c>
      <c r="B475" s="11" t="str">
        <f>ETLMetadata!$E475</f>
        <v>PERSON_ID</v>
      </c>
      <c r="C475" s="11" t="str">
        <f>IF(ISBLANK(ETLMetadata!$J475), "", ETLMetadata!$J475)</f>
        <v>Y</v>
      </c>
      <c r="D475" s="11" t="str">
        <f>ETLMetadata!$G475</f>
        <v>INTEGER</v>
      </c>
      <c r="E475" s="12"/>
      <c r="F475" s="12" t="s">
        <v>799</v>
      </c>
      <c r="G475" s="12" t="str">
        <f t="shared" si="14"/>
        <v>PERSONAL_IDENTITYINFOINDIRECT</v>
      </c>
      <c r="H475" s="12"/>
      <c r="I475" s="12"/>
      <c r="J475" s="13">
        <v>45952</v>
      </c>
      <c r="K475" s="13">
        <v>2958465</v>
      </c>
      <c r="L475" s="11" t="str">
        <f t="shared" si="15"/>
        <v>INSERT INTO metadata_reference.file_schema VALUES('DETM_DETIS_D3DS','PERSON_ID','Y','INTEGER',NULL,'PERSONAL_IDENTITYINFOINDIRECT',NULL,NULL,'2025-10-22','9999-12-31',USER, CURRENT_TIMESTAMP(0));</v>
      </c>
    </row>
    <row r="476" spans="1:12" ht="15" customHeight="1">
      <c r="A476" s="11" t="str">
        <f>ETLMetadata!$C476</f>
        <v>DETM_DETIS_D3DS</v>
      </c>
      <c r="B476" s="11" t="str">
        <f>ETLMetadata!$E476</f>
        <v>D3DS_DOE</v>
      </c>
      <c r="C476" s="11" t="str">
        <f>IF(ISBLANK(ETLMetadata!$J476), "", ETLMetadata!$J476)</f>
        <v/>
      </c>
      <c r="D476" s="11" t="str">
        <f>ETLMetadata!$G476</f>
        <v>DATE</v>
      </c>
      <c r="E476" s="12"/>
      <c r="F476" s="12"/>
      <c r="G476" s="12" t="str">
        <f t="shared" si="14"/>
        <v/>
      </c>
      <c r="H476" s="12"/>
      <c r="I476" s="12"/>
      <c r="J476" s="13">
        <v>45952</v>
      </c>
      <c r="K476" s="13">
        <v>2958465</v>
      </c>
      <c r="L476" s="11" t="str">
        <f t="shared" si="15"/>
        <v>INSERT INTO metadata_reference.file_schema VALUES('DETM_DETIS_D3DS','D3DS_DOE',NULL,'DATE',NULL,NULL,NULL,NULL,'2025-10-22','9999-12-31',USER, CURRENT_TIMESTAMP(0));</v>
      </c>
    </row>
    <row r="477" spans="1:12" ht="15" customHeight="1">
      <c r="A477" s="11" t="str">
        <f>ETLMetadata!$C477</f>
        <v>DETM_DETIS_D3DS</v>
      </c>
      <c r="B477" s="11" t="str">
        <f>ETLMetadata!$E477</f>
        <v>D3DS_DOE_ORIG</v>
      </c>
      <c r="C477" s="11" t="str">
        <f>IF(ISBLANK(ETLMetadata!$J477), "", ETLMetadata!$J477)</f>
        <v/>
      </c>
      <c r="D477" s="11" t="str">
        <f>ETLMetadata!$G477</f>
        <v>INTEGER</v>
      </c>
      <c r="E477" s="12"/>
      <c r="F477" s="12"/>
      <c r="G477" s="12" t="str">
        <f t="shared" si="14"/>
        <v/>
      </c>
      <c r="H477" s="12"/>
      <c r="I477" s="12"/>
      <c r="J477" s="13">
        <v>45952</v>
      </c>
      <c r="K477" s="13">
        <v>2958465</v>
      </c>
      <c r="L477" s="11" t="str">
        <f t="shared" si="15"/>
        <v>INSERT INTO metadata_reference.file_schema VALUES('DETM_DETIS_D3DS','D3DS_DOE_ORIG',NULL,'INTEGER',NULL,NULL,NULL,NULL,'2025-10-22','9999-12-31',USER, CURRENT_TIMESTAMP(0));</v>
      </c>
    </row>
    <row r="478" spans="1:12" ht="15" customHeight="1">
      <c r="A478" s="11" t="str">
        <f>ETLMetadata!$C478</f>
        <v>DETM_DETIS_D3DS</v>
      </c>
      <c r="B478" s="11" t="str">
        <f>ETLMetadata!$E478</f>
        <v>PROCESSING_SEQUENCE</v>
      </c>
      <c r="C478" s="11" t="str">
        <f>IF(ISBLANK(ETLMetadata!$J478), "", ETLMetadata!$J478)</f>
        <v>Y</v>
      </c>
      <c r="D478" s="11" t="str">
        <f>ETLMetadata!$G478</f>
        <v>SMALLINT</v>
      </c>
      <c r="E478" s="12"/>
      <c r="F478" s="12"/>
      <c r="G478" s="12" t="str">
        <f t="shared" si="14"/>
        <v/>
      </c>
      <c r="H478" s="12"/>
      <c r="I478" s="12"/>
      <c r="J478" s="13">
        <v>45952</v>
      </c>
      <c r="K478" s="13">
        <v>2958465</v>
      </c>
      <c r="L478" s="11" t="str">
        <f t="shared" si="15"/>
        <v>INSERT INTO metadata_reference.file_schema VALUES('DETM_DETIS_D3DS','PROCESSING_SEQUENCE','Y','SMALLINT',NULL,NULL,NULL,NULL,'2025-10-22','9999-12-31',USER, CURRENT_TIMESTAMP(0));</v>
      </c>
    </row>
    <row r="479" spans="1:12" ht="15" customHeight="1">
      <c r="A479" s="11" t="str">
        <f>ETLMetadata!$C479</f>
        <v>DETM_DETIS_D3DS</v>
      </c>
      <c r="B479" s="11" t="str">
        <f>ETLMetadata!$E479</f>
        <v>D3DS_AMR_1</v>
      </c>
      <c r="C479" s="11" t="str">
        <f>IF(ISBLANK(ETLMetadata!$J479), "", ETLMetadata!$J479)</f>
        <v/>
      </c>
      <c r="D479" s="11" t="str">
        <f>ETLMetadata!$G479</f>
        <v>CHAR(4)</v>
      </c>
      <c r="E479" s="12"/>
      <c r="F479" s="12"/>
      <c r="G479" s="12" t="str">
        <f t="shared" si="14"/>
        <v/>
      </c>
      <c r="H479" s="12"/>
      <c r="I479" s="12"/>
      <c r="J479" s="13">
        <v>45952</v>
      </c>
      <c r="K479" s="13">
        <v>2958465</v>
      </c>
      <c r="L479" s="11" t="str">
        <f t="shared" si="15"/>
        <v>INSERT INTO metadata_reference.file_schema VALUES('DETM_DETIS_D3DS','D3DS_AMR_1',NULL,'CHAR(4)',NULL,NULL,NULL,NULL,'2025-10-22','9999-12-31',USER, CURRENT_TIMESTAMP(0));</v>
      </c>
    </row>
    <row r="480" spans="1:12" ht="15" customHeight="1">
      <c r="A480" s="11" t="str">
        <f>ETLMetadata!$C480</f>
        <v>DETM_DETIS_D3DS</v>
      </c>
      <c r="B480" s="11" t="str">
        <f>ETLMetadata!$E480</f>
        <v>D3DS_AMR_2</v>
      </c>
      <c r="C480" s="11" t="str">
        <f>IF(ISBLANK(ETLMetadata!$J480), "", ETLMetadata!$J480)</f>
        <v/>
      </c>
      <c r="D480" s="11" t="str">
        <f>ETLMetadata!$G480</f>
        <v>CHAR(1)</v>
      </c>
      <c r="E480" s="12"/>
      <c r="F480" s="12"/>
      <c r="G480" s="12" t="str">
        <f t="shared" si="14"/>
        <v/>
      </c>
      <c r="H480" s="12"/>
      <c r="I480" s="12"/>
      <c r="J480" s="13">
        <v>45952</v>
      </c>
      <c r="K480" s="13">
        <v>2958465</v>
      </c>
      <c r="L480" s="11" t="str">
        <f t="shared" si="15"/>
        <v>INSERT INTO metadata_reference.file_schema VALUES('DETM_DETIS_D3DS','D3DS_AMR_2',NULL,'CHAR(1)',NULL,NULL,NULL,NULL,'2025-10-22','9999-12-31',USER, CURRENT_TIMESTAMP(0));</v>
      </c>
    </row>
    <row r="481" spans="1:12" ht="15" customHeight="1">
      <c r="A481" s="11" t="str">
        <f>ETLMetadata!$C481</f>
        <v>DETM_DETIS_D3DS</v>
      </c>
      <c r="B481" s="11" t="str">
        <f>ETLMetadata!$E481</f>
        <v>D3DS_AMR_3</v>
      </c>
      <c r="C481" s="11" t="str">
        <f>IF(ISBLANK(ETLMetadata!$J481), "", ETLMetadata!$J481)</f>
        <v/>
      </c>
      <c r="D481" s="11" t="str">
        <f>ETLMetadata!$G481</f>
        <v>CHAR(4)</v>
      </c>
      <c r="E481" s="12"/>
      <c r="F481" s="12"/>
      <c r="G481" s="12" t="str">
        <f t="shared" si="14"/>
        <v/>
      </c>
      <c r="H481" s="12"/>
      <c r="I481" s="12"/>
      <c r="J481" s="13">
        <v>45952</v>
      </c>
      <c r="K481" s="13">
        <v>2958465</v>
      </c>
      <c r="L481" s="11" t="str">
        <f t="shared" si="15"/>
        <v>INSERT INTO metadata_reference.file_schema VALUES('DETM_DETIS_D3DS','D3DS_AMR_3',NULL,'CHAR(4)',NULL,NULL,NULL,NULL,'2025-10-22','9999-12-31',USER, CURRENT_TIMESTAMP(0));</v>
      </c>
    </row>
    <row r="482" spans="1:12" ht="15" customHeight="1">
      <c r="A482" s="11" t="str">
        <f>ETLMetadata!$C482</f>
        <v>DETM_DETIS_D3DS</v>
      </c>
      <c r="B482" s="11" t="str">
        <f>ETLMetadata!$E482</f>
        <v>D3DS_BEN_TYPE_CODE</v>
      </c>
      <c r="C482" s="11" t="str">
        <f>IF(ISBLANK(ETLMetadata!$J482), "", ETLMetadata!$J482)</f>
        <v/>
      </c>
      <c r="D482" s="11" t="str">
        <f>ETLMetadata!$G482</f>
        <v>CHAR(3)</v>
      </c>
      <c r="E482" s="12"/>
      <c r="F482" s="12"/>
      <c r="G482" s="12" t="str">
        <f t="shared" si="14"/>
        <v/>
      </c>
      <c r="H482" s="12"/>
      <c r="I482" s="12"/>
      <c r="J482" s="13">
        <v>45952</v>
      </c>
      <c r="K482" s="13">
        <v>2958465</v>
      </c>
      <c r="L482" s="11" t="str">
        <f t="shared" si="15"/>
        <v>INSERT INTO metadata_reference.file_schema VALUES('DETM_DETIS_D3DS','D3DS_BEN_TYPE_CODE',NULL,'CHAR(3)',NULL,NULL,NULL,NULL,'2025-10-22','9999-12-31',USER, CURRENT_TIMESTAMP(0));</v>
      </c>
    </row>
    <row r="483" spans="1:12" ht="15" customHeight="1">
      <c r="A483" s="11" t="str">
        <f>ETLMetadata!$C483</f>
        <v>DETM_DETIS_D3DS</v>
      </c>
      <c r="B483" s="11" t="str">
        <f>ETLMetadata!$E483</f>
        <v>D3DS_BEN_TYPE_CODE</v>
      </c>
      <c r="C483" s="11" t="str">
        <f>IF(ISBLANK(ETLMetadata!$J483), "", ETLMetadata!$J483)</f>
        <v/>
      </c>
      <c r="D483" s="11" t="str">
        <f>ETLMetadata!$G483</f>
        <v>CHAR(3)</v>
      </c>
      <c r="E483" s="12"/>
      <c r="F483" s="12"/>
      <c r="G483" s="12" t="str">
        <f t="shared" si="14"/>
        <v/>
      </c>
      <c r="H483" s="12"/>
      <c r="I483" s="12"/>
      <c r="J483" s="13">
        <v>45952</v>
      </c>
      <c r="K483" s="13">
        <v>2958465</v>
      </c>
      <c r="L483" s="11" t="str">
        <f t="shared" si="15"/>
        <v>INSERT INTO metadata_reference.file_schema VALUES('DETM_DETIS_D3DS','D3DS_BEN_TYPE_CODE',NULL,'CHAR(3)',NULL,NULL,NULL,NULL,'2025-10-22','9999-12-31',USER, CURRENT_TIMESTAMP(0));</v>
      </c>
    </row>
    <row r="484" spans="1:12" ht="15" customHeight="1">
      <c r="A484" s="11" t="str">
        <f>ETLMetadata!$C484</f>
        <v>DETM_DETIS_D3DS</v>
      </c>
      <c r="B484" s="11" t="str">
        <f>ETLMetadata!$E484</f>
        <v>D3DS_RSN_CODE</v>
      </c>
      <c r="C484" s="11" t="str">
        <f>IF(ISBLANK(ETLMetadata!$J484), "", ETLMetadata!$J484)</f>
        <v/>
      </c>
      <c r="D484" s="11" t="str">
        <f>ETLMetadata!$G484</f>
        <v>CHAR(3)</v>
      </c>
      <c r="E484" s="12"/>
      <c r="F484" s="12"/>
      <c r="G484" s="12" t="str">
        <f t="shared" si="14"/>
        <v/>
      </c>
      <c r="H484" s="12"/>
      <c r="I484" s="12"/>
      <c r="J484" s="13">
        <v>45952</v>
      </c>
      <c r="K484" s="13">
        <v>2958465</v>
      </c>
      <c r="L484" s="11" t="str">
        <f t="shared" si="15"/>
        <v>INSERT INTO metadata_reference.file_schema VALUES('DETM_DETIS_D3DS','D3DS_RSN_CODE',NULL,'CHAR(3)',NULL,NULL,NULL,NULL,'2025-10-22','9999-12-31',USER, CURRENT_TIMESTAMP(0));</v>
      </c>
    </row>
    <row r="485" spans="1:12" ht="15" customHeight="1">
      <c r="A485" s="11" t="str">
        <f>ETLMetadata!$C485</f>
        <v>DETM_DETIS_D3DS</v>
      </c>
      <c r="B485" s="11" t="str">
        <f>ETLMetadata!$E485</f>
        <v>D3DS_UNIQ_ID</v>
      </c>
      <c r="C485" s="11" t="str">
        <f>IF(ISBLANK(ETLMetadata!$J485), "", ETLMetadata!$J485)</f>
        <v/>
      </c>
      <c r="D485" s="11" t="str">
        <f>ETLMetadata!$G485</f>
        <v>VARCHAR(8)</v>
      </c>
      <c r="E485" s="12"/>
      <c r="F485" s="12"/>
      <c r="G485" s="12" t="str">
        <f t="shared" si="14"/>
        <v/>
      </c>
      <c r="H485" s="12"/>
      <c r="I485" s="12"/>
      <c r="J485" s="13">
        <v>45952</v>
      </c>
      <c r="K485" s="13">
        <v>2958465</v>
      </c>
      <c r="L485" s="11" t="str">
        <f t="shared" si="15"/>
        <v>INSERT INTO metadata_reference.file_schema VALUES('DETM_DETIS_D3DS','D3DS_UNIQ_ID',NULL,'VARCHAR(8)',NULL,NULL,NULL,NULL,'2025-10-22','9999-12-31',USER, CURRENT_TIMESTAMP(0));</v>
      </c>
    </row>
    <row r="486" spans="1:12" ht="15" customHeight="1">
      <c r="A486" s="11" t="str">
        <f>ETLMetadata!$C486</f>
        <v>DETM_DETIS_D3DS</v>
      </c>
      <c r="B486" s="11" t="str">
        <f>ETLMetadata!$E486</f>
        <v>AMR1_RISL_DTS</v>
      </c>
      <c r="C486" s="11" t="str">
        <f>IF(ISBLANK(ETLMetadata!$J486), "", ETLMetadata!$J486)</f>
        <v/>
      </c>
      <c r="D486" s="11" t="str">
        <f>ETLMetadata!$G486</f>
        <v>TIMESTAMP(6)</v>
      </c>
      <c r="E486" s="12"/>
      <c r="F486" s="12"/>
      <c r="G486" s="12" t="str">
        <f t="shared" si="14"/>
        <v/>
      </c>
      <c r="H486" s="12"/>
      <c r="I486" s="12"/>
      <c r="J486" s="13">
        <v>45952</v>
      </c>
      <c r="K486" s="13">
        <v>2958465</v>
      </c>
      <c r="L486" s="11" t="str">
        <f t="shared" si="15"/>
        <v>INSERT INTO metadata_reference.file_schema VALUES('DETM_DETIS_D3DS','AMR1_RISL_DTS',NULL,'TIMESTAMP(6)',NULL,NULL,NULL,NULL,'2025-10-22','9999-12-31',USER, CURRENT_TIMESTAMP(0));</v>
      </c>
    </row>
    <row r="487" spans="1:12" ht="15" customHeight="1">
      <c r="A487" s="11" t="str">
        <f>ETLMetadata!$C487</f>
        <v>DETM_DETIS_D3DS</v>
      </c>
      <c r="B487" s="11" t="str">
        <f>ETLMetadata!$E487</f>
        <v>AMR3_RISL_DTS</v>
      </c>
      <c r="C487" s="11" t="str">
        <f>IF(ISBLANK(ETLMetadata!$J487), "", ETLMetadata!$J487)</f>
        <v/>
      </c>
      <c r="D487" s="11" t="str">
        <f>ETLMetadata!$G487</f>
        <v>TIMESTAMP(6)</v>
      </c>
      <c r="E487" s="12"/>
      <c r="F487" s="12"/>
      <c r="G487" s="12" t="str">
        <f t="shared" si="14"/>
        <v/>
      </c>
      <c r="H487" s="12"/>
      <c r="I487" s="12"/>
      <c r="J487" s="13">
        <v>45952</v>
      </c>
      <c r="K487" s="13">
        <v>2958465</v>
      </c>
      <c r="L487" s="11" t="str">
        <f t="shared" si="15"/>
        <v>INSERT INTO metadata_reference.file_schema VALUES('DETM_DETIS_D3DS','AMR3_RISL_DTS',NULL,'TIMESTAMP(6)',NULL,NULL,NULL,NULL,'2025-10-22','9999-12-31',USER, CURRENT_TIMESTAMP(0));</v>
      </c>
    </row>
    <row r="488" spans="1:12" ht="15" customHeight="1">
      <c r="A488" s="11" t="str">
        <f>ETLMetadata!$C488</f>
        <v>DETM_DETIS_D3DS</v>
      </c>
      <c r="B488" s="11" t="str">
        <f>ETLMetadata!$E488</f>
        <v>PARTY_ROLE_ID</v>
      </c>
      <c r="C488" s="11" t="str">
        <f>IF(ISBLANK(ETLMetadata!$J488), "", ETLMetadata!$J488)</f>
        <v/>
      </c>
      <c r="D488" s="11" t="str">
        <f>ETLMetadata!$G488</f>
        <v>INTEGER</v>
      </c>
      <c r="E488" s="12"/>
      <c r="F488" s="12"/>
      <c r="G488" s="12" t="str">
        <f t="shared" si="14"/>
        <v/>
      </c>
      <c r="H488" s="12"/>
      <c r="I488" s="12"/>
      <c r="J488" s="13">
        <v>45952</v>
      </c>
      <c r="K488" s="13">
        <v>2958465</v>
      </c>
      <c r="L488" s="11" t="str">
        <f t="shared" si="15"/>
        <v>INSERT INTO metadata_reference.file_schema VALUES('DETM_DETIS_D3DS','PARTY_ROLE_ID',NULL,'INTEGER',NULL,NULL,NULL,NULL,'2025-10-22','9999-12-31',USER, CURRENT_TIMESTAMP(0));</v>
      </c>
    </row>
    <row r="489" spans="1:12" ht="15" customHeight="1">
      <c r="A489" s="11" t="str">
        <f>ETLMetadata!$C489</f>
        <v>DETM_DETIS_D3DS</v>
      </c>
      <c r="B489" s="11" t="str">
        <f>ETLMetadata!$E489</f>
        <v>PAYMENT_TYPE_ID</v>
      </c>
      <c r="C489" s="11" t="str">
        <f>IF(ISBLANK(ETLMetadata!$J489), "", ETLMetadata!$J489)</f>
        <v/>
      </c>
      <c r="D489" s="11" t="str">
        <f>ETLMetadata!$G489</f>
        <v>INTEGER</v>
      </c>
      <c r="E489" s="12"/>
      <c r="F489" s="12"/>
      <c r="G489" s="12" t="str">
        <f t="shared" si="14"/>
        <v/>
      </c>
      <c r="H489" s="12"/>
      <c r="I489" s="12"/>
      <c r="J489" s="13">
        <v>45952</v>
      </c>
      <c r="K489" s="13">
        <v>2958465</v>
      </c>
      <c r="L489" s="11" t="str">
        <f t="shared" si="15"/>
        <v>INSERT INTO metadata_reference.file_schema VALUES('DETM_DETIS_D3DS','PAYMENT_TYPE_ID',NULL,'INTEGER',NULL,NULL,NULL,NULL,'2025-10-22','9999-12-31',USER, CURRENT_TIMESTAMP(0));</v>
      </c>
    </row>
    <row r="490" spans="1:12" ht="15" customHeight="1">
      <c r="A490" s="11" t="str">
        <f>ETLMetadata!$C490</f>
        <v>DETM_DETIS_D3DS</v>
      </c>
      <c r="B490" s="11" t="str">
        <f>ETLMetadata!$E490</f>
        <v>ERROR_COUNT</v>
      </c>
      <c r="C490" s="11" t="str">
        <f>IF(ISBLANK(ETLMetadata!$J490), "", ETLMetadata!$J490)</f>
        <v/>
      </c>
      <c r="D490" s="11" t="str">
        <f>ETLMetadata!$G490</f>
        <v>SMALLINT</v>
      </c>
      <c r="E490" s="12"/>
      <c r="F490" s="12"/>
      <c r="G490" s="12" t="str">
        <f t="shared" si="14"/>
        <v/>
      </c>
      <c r="H490" s="12"/>
      <c r="I490" s="12"/>
      <c r="J490" s="13">
        <v>45952</v>
      </c>
      <c r="K490" s="13">
        <v>2958465</v>
      </c>
      <c r="L490" s="11" t="str">
        <f t="shared" si="15"/>
        <v>INSERT INTO metadata_reference.file_schema VALUES('DETM_DETIS_D3DS','ERROR_COUNT',NULL,'SMALLINT',NULL,NULL,NULL,NULL,'2025-10-22','9999-12-31',USER, CURRENT_TIMESTAMP(0));</v>
      </c>
    </row>
    <row r="491" spans="1:12" ht="15" customHeight="1">
      <c r="A491" s="11" t="str">
        <f>ETLMetadata!$C491</f>
        <v>DETM_DETIS_D3DS</v>
      </c>
      <c r="B491" s="11" t="str">
        <f>ETLMetadata!$E491</f>
        <v>Start_Date</v>
      </c>
      <c r="C491" s="11" t="str">
        <f>IF(ISBLANK(ETLMetadata!$J491), "", ETLMetadata!$J491)</f>
        <v/>
      </c>
      <c r="D491" s="11" t="str">
        <f>ETLMetadata!$G491</f>
        <v>DATE</v>
      </c>
      <c r="E491" s="12"/>
      <c r="F491" s="12"/>
      <c r="G491" s="12" t="str">
        <f t="shared" si="14"/>
        <v/>
      </c>
      <c r="H491" s="12"/>
      <c r="I491" s="12"/>
      <c r="J491" s="13">
        <v>45952</v>
      </c>
      <c r="K491" s="13">
        <v>2958465</v>
      </c>
      <c r="L491" s="11" t="str">
        <f t="shared" si="15"/>
        <v>INSERT INTO metadata_reference.file_schema VALUES('DETM_DETIS_D3DS','Start_Date',NULL,'DATE',NULL,NULL,NULL,NULL,'2025-10-22','9999-12-31',USER, CURRENT_TIMESTAMP(0));</v>
      </c>
    </row>
    <row r="492" spans="1:12" ht="15" customHeight="1">
      <c r="A492" s="11" t="str">
        <f>ETLMetadata!$C492</f>
        <v>DETM_DETIS_D3DS</v>
      </c>
      <c r="B492" s="11" t="str">
        <f>ETLMetadata!$E492</f>
        <v>End_Date</v>
      </c>
      <c r="C492" s="11" t="str">
        <f>IF(ISBLANK(ETLMetadata!$J492), "", ETLMetadata!$J492)</f>
        <v/>
      </c>
      <c r="D492" s="11" t="str">
        <f>ETLMetadata!$G492</f>
        <v>DATE</v>
      </c>
      <c r="E492" s="12"/>
      <c r="F492" s="12"/>
      <c r="G492" s="12" t="str">
        <f t="shared" si="14"/>
        <v/>
      </c>
      <c r="H492" s="12"/>
      <c r="I492" s="12"/>
      <c r="J492" s="13">
        <v>45952</v>
      </c>
      <c r="K492" s="13">
        <v>2958465</v>
      </c>
      <c r="L492" s="11" t="str">
        <f t="shared" si="15"/>
        <v>INSERT INTO metadata_reference.file_schema VALUES('DETM_DETIS_D3DS','End_Date',NULL,'DATE',NULL,NULL,NULL,NULL,'2025-10-22','9999-12-31',USER, CURRENT_TIMESTAMP(0));</v>
      </c>
    </row>
    <row r="493" spans="1:12" ht="15" customHeight="1">
      <c r="A493" s="11" t="str">
        <f>ETLMetadata!$C493</f>
        <v>DETM_DETIS_D3DS</v>
      </c>
      <c r="B493" s="11" t="str">
        <f>ETLMetadata!$E493</f>
        <v>Record_Deleted_Flag</v>
      </c>
      <c r="C493" s="11" t="str">
        <f>IF(ISBLANK(ETLMetadata!$J493), "", ETLMetadata!$J493)</f>
        <v/>
      </c>
      <c r="D493" s="11" t="str">
        <f>ETLMetadata!$G493</f>
        <v>BYTEINT</v>
      </c>
      <c r="E493" s="12"/>
      <c r="F493" s="12"/>
      <c r="G493" s="12" t="str">
        <f t="shared" si="14"/>
        <v/>
      </c>
      <c r="H493" s="12"/>
      <c r="I493" s="12"/>
      <c r="J493" s="13">
        <v>45952</v>
      </c>
      <c r="K493" s="13">
        <v>2958465</v>
      </c>
      <c r="L493" s="11" t="str">
        <f t="shared" si="15"/>
        <v>INSERT INTO metadata_reference.file_schema VALUES('DETM_DETIS_D3DS','Record_Deleted_Flag',NULL,'BYTEINT',NULL,NULL,NULL,NULL,'2025-10-22','9999-12-31',USER, CURRENT_TIMESTAMP(0));</v>
      </c>
    </row>
    <row r="494" spans="1:12" ht="15" customHeight="1">
      <c r="A494" s="11" t="str">
        <f>ETLMetadata!$C494</f>
        <v>DETM_DETIS_DHDS</v>
      </c>
      <c r="B494" s="11" t="str">
        <f>ETLMetadata!$E494</f>
        <v>EXTRACT_DATE</v>
      </c>
      <c r="C494" s="11" t="str">
        <f>IF(ISBLANK(ETLMetadata!$J494), "", ETLMetadata!$J494)</f>
        <v/>
      </c>
      <c r="D494" s="11" t="str">
        <f>ETLMetadata!$G494</f>
        <v>DATE</v>
      </c>
      <c r="E494" s="12"/>
      <c r="F494" s="12"/>
      <c r="G494" s="12" t="str">
        <f t="shared" si="14"/>
        <v/>
      </c>
      <c r="H494" s="12"/>
      <c r="I494" s="12"/>
      <c r="J494" s="13">
        <v>45952</v>
      </c>
      <c r="K494" s="13">
        <v>2958465</v>
      </c>
      <c r="L494" s="11" t="str">
        <f t="shared" si="15"/>
        <v>INSERT INTO metadata_reference.file_schema VALUES('DETM_DETIS_DHDS','EXTRACT_DATE',NULL,'DATE',NULL,NULL,NULL,NULL,'2025-10-22','9999-12-31',USER, CURRENT_TIMESTAMP(0));</v>
      </c>
    </row>
    <row r="495" spans="1:12" ht="15" customHeight="1">
      <c r="A495" s="11" t="str">
        <f>ETLMetadata!$C495</f>
        <v>DETM_DETIS_DHDS</v>
      </c>
      <c r="B495" s="11" t="str">
        <f>ETLMetadata!$E495</f>
        <v>LOGICAL_DELETE_DATE</v>
      </c>
      <c r="C495" s="11" t="str">
        <f>IF(ISBLANK(ETLMetadata!$J495), "", ETLMetadata!$J495)</f>
        <v/>
      </c>
      <c r="D495" s="11" t="str">
        <f>ETLMetadata!$G495</f>
        <v>DATE</v>
      </c>
      <c r="E495" s="12"/>
      <c r="F495" s="12"/>
      <c r="G495" s="12" t="str">
        <f t="shared" si="14"/>
        <v/>
      </c>
      <c r="H495" s="12"/>
      <c r="I495" s="12"/>
      <c r="J495" s="13">
        <v>45952</v>
      </c>
      <c r="K495" s="13">
        <v>2958465</v>
      </c>
      <c r="L495" s="11" t="str">
        <f t="shared" si="15"/>
        <v>INSERT INTO metadata_reference.file_schema VALUES('DETM_DETIS_DHDS','LOGICAL_DELETE_DATE',NULL,'DATE',NULL,NULL,NULL,NULL,'2025-10-22','9999-12-31',USER, CURRENT_TIMESTAMP(0));</v>
      </c>
    </row>
    <row r="496" spans="1:12" ht="15" customHeight="1">
      <c r="A496" s="11" t="str">
        <f>ETLMetadata!$C496</f>
        <v>DETM_DETIS_DHDS</v>
      </c>
      <c r="B496" s="11" t="str">
        <f>ETLMetadata!$E496</f>
        <v>ENVIRONMENT_ID</v>
      </c>
      <c r="C496" s="11" t="str">
        <f>IF(ISBLANK(ETLMetadata!$J496), "", ETLMetadata!$J496)</f>
        <v>Y</v>
      </c>
      <c r="D496" s="11" t="str">
        <f>ETLMetadata!$G496</f>
        <v>CHAR(1)</v>
      </c>
      <c r="E496" s="12"/>
      <c r="F496" s="12"/>
      <c r="G496" s="12" t="str">
        <f t="shared" si="14"/>
        <v/>
      </c>
      <c r="H496" s="12"/>
      <c r="I496" s="12"/>
      <c r="J496" s="13">
        <v>45952</v>
      </c>
      <c r="K496" s="13">
        <v>2958465</v>
      </c>
      <c r="L496" s="11" t="str">
        <f t="shared" si="15"/>
        <v>INSERT INTO metadata_reference.file_schema VALUES('DETM_DETIS_DHDS','ENVIRONMENT_ID','Y','CHAR(1)',NULL,NULL,NULL,NULL,'2025-10-22','9999-12-31',USER, CURRENT_TIMESTAMP(0));</v>
      </c>
    </row>
    <row r="497" spans="1:12" ht="15" customHeight="1">
      <c r="A497" s="11" t="str">
        <f>ETLMetadata!$C497</f>
        <v>DETM_DETIS_DHDS</v>
      </c>
      <c r="B497" s="11" t="str">
        <f>ETLMetadata!$E497</f>
        <v>PERSON_ID</v>
      </c>
      <c r="C497" s="11" t="str">
        <f>IF(ISBLANK(ETLMetadata!$J497), "", ETLMetadata!$J497)</f>
        <v>Y</v>
      </c>
      <c r="D497" s="11" t="str">
        <f>ETLMetadata!$G497</f>
        <v>INTEGER</v>
      </c>
      <c r="E497" s="12"/>
      <c r="F497" s="12" t="s">
        <v>799</v>
      </c>
      <c r="G497" s="12" t="str">
        <f t="shared" si="14"/>
        <v>PERSONAL_IDENTITYINFOINDIRECT</v>
      </c>
      <c r="H497" s="12"/>
      <c r="I497" s="12"/>
      <c r="J497" s="13">
        <v>45952</v>
      </c>
      <c r="K497" s="13">
        <v>2958465</v>
      </c>
      <c r="L497" s="11" t="str">
        <f t="shared" si="15"/>
        <v>INSERT INTO metadata_reference.file_schema VALUES('DETM_DETIS_DHDS','PERSON_ID','Y','INTEGER',NULL,'PERSONAL_IDENTITYINFOINDIRECT',NULL,NULL,'2025-10-22','9999-12-31',USER, CURRENT_TIMESTAMP(0));</v>
      </c>
    </row>
    <row r="498" spans="1:12" ht="15" customHeight="1">
      <c r="A498" s="11" t="str">
        <f>ETLMetadata!$C498</f>
        <v>DETM_DETIS_DHDS</v>
      </c>
      <c r="B498" s="11" t="str">
        <f>ETLMetadata!$E498</f>
        <v>DHDS_DOE</v>
      </c>
      <c r="C498" s="11" t="str">
        <f>IF(ISBLANK(ETLMetadata!$J498), "", ETLMetadata!$J498)</f>
        <v/>
      </c>
      <c r="D498" s="11" t="str">
        <f>ETLMetadata!$G498</f>
        <v>DATE</v>
      </c>
      <c r="E498" s="12"/>
      <c r="F498" s="12"/>
      <c r="G498" s="12" t="str">
        <f t="shared" si="14"/>
        <v/>
      </c>
      <c r="H498" s="12"/>
      <c r="I498" s="12"/>
      <c r="J498" s="13">
        <v>45952</v>
      </c>
      <c r="K498" s="13">
        <v>2958465</v>
      </c>
      <c r="L498" s="11" t="str">
        <f t="shared" si="15"/>
        <v>INSERT INTO metadata_reference.file_schema VALUES('DETM_DETIS_DHDS','DHDS_DOE',NULL,'DATE',NULL,NULL,NULL,NULL,'2025-10-22','9999-12-31',USER, CURRENT_TIMESTAMP(0));</v>
      </c>
    </row>
    <row r="499" spans="1:12" ht="15" customHeight="1">
      <c r="A499" s="11" t="str">
        <f>ETLMetadata!$C499</f>
        <v>DETM_DETIS_DHDS</v>
      </c>
      <c r="B499" s="11" t="str">
        <f>ETLMetadata!$E499</f>
        <v>DHDS_DOE_ORIG</v>
      </c>
      <c r="C499" s="11" t="str">
        <f>IF(ISBLANK(ETLMetadata!$J499), "", ETLMetadata!$J499)</f>
        <v/>
      </c>
      <c r="D499" s="11" t="str">
        <f>ETLMetadata!$G499</f>
        <v>INTEGER</v>
      </c>
      <c r="E499" s="12"/>
      <c r="F499" s="12"/>
      <c r="G499" s="12" t="str">
        <f t="shared" si="14"/>
        <v/>
      </c>
      <c r="H499" s="12"/>
      <c r="I499" s="12"/>
      <c r="J499" s="13">
        <v>45952</v>
      </c>
      <c r="K499" s="13">
        <v>2958465</v>
      </c>
      <c r="L499" s="11" t="str">
        <f t="shared" si="15"/>
        <v>INSERT INTO metadata_reference.file_schema VALUES('DETM_DETIS_DHDS','DHDS_DOE_ORIG',NULL,'INTEGER',NULL,NULL,NULL,NULL,'2025-10-22','9999-12-31',USER, CURRENT_TIMESTAMP(0));</v>
      </c>
    </row>
    <row r="500" spans="1:12" ht="15" customHeight="1">
      <c r="A500" s="11" t="str">
        <f>ETLMetadata!$C500</f>
        <v>DETM_DETIS_DHDS</v>
      </c>
      <c r="B500" s="11" t="str">
        <f>ETLMetadata!$E500</f>
        <v>PROCESSING_SEQUENCE</v>
      </c>
      <c r="C500" s="11" t="str">
        <f>IF(ISBLANK(ETLMetadata!$J500), "", ETLMetadata!$J500)</f>
        <v>Y</v>
      </c>
      <c r="D500" s="11" t="str">
        <f>ETLMetadata!$G500</f>
        <v>SMALLINT</v>
      </c>
      <c r="E500" s="12"/>
      <c r="F500" s="12"/>
      <c r="G500" s="12" t="str">
        <f t="shared" si="14"/>
        <v/>
      </c>
      <c r="H500" s="12"/>
      <c r="I500" s="12"/>
      <c r="J500" s="13">
        <v>45952</v>
      </c>
      <c r="K500" s="13">
        <v>2958465</v>
      </c>
      <c r="L500" s="11" t="str">
        <f t="shared" si="15"/>
        <v>INSERT INTO metadata_reference.file_schema VALUES('DETM_DETIS_DHDS','PROCESSING_SEQUENCE','Y','SMALLINT',NULL,NULL,NULL,NULL,'2025-10-22','9999-12-31',USER, CURRENT_TIMESTAMP(0));</v>
      </c>
    </row>
    <row r="501" spans="1:12" ht="15" customHeight="1">
      <c r="A501" s="11" t="str">
        <f>ETLMetadata!$C501</f>
        <v>DETM_DETIS_DHDS</v>
      </c>
      <c r="B501" s="11" t="str">
        <f>ETLMetadata!$E501</f>
        <v>DHDS_AMR_1</v>
      </c>
      <c r="C501" s="11" t="str">
        <f>IF(ISBLANK(ETLMetadata!$J501), "", ETLMetadata!$J501)</f>
        <v/>
      </c>
      <c r="D501" s="11" t="str">
        <f>ETLMetadata!$G501</f>
        <v>CHAR(4)</v>
      </c>
      <c r="E501" s="12"/>
      <c r="F501" s="12"/>
      <c r="G501" s="12" t="str">
        <f t="shared" si="14"/>
        <v/>
      </c>
      <c r="H501" s="12"/>
      <c r="I501" s="12"/>
      <c r="J501" s="13">
        <v>45952</v>
      </c>
      <c r="K501" s="13">
        <v>2958465</v>
      </c>
      <c r="L501" s="11" t="str">
        <f t="shared" si="15"/>
        <v>INSERT INTO metadata_reference.file_schema VALUES('DETM_DETIS_DHDS','DHDS_AMR_1',NULL,'CHAR(4)',NULL,NULL,NULL,NULL,'2025-10-22','9999-12-31',USER, CURRENT_TIMESTAMP(0));</v>
      </c>
    </row>
    <row r="502" spans="1:12" ht="15" customHeight="1">
      <c r="A502" s="11" t="str">
        <f>ETLMetadata!$C502</f>
        <v>DETM_DETIS_DHDS</v>
      </c>
      <c r="B502" s="11" t="str">
        <f>ETLMetadata!$E502</f>
        <v>DHDS_AMR_2</v>
      </c>
      <c r="C502" s="11" t="str">
        <f>IF(ISBLANK(ETLMetadata!$J502), "", ETLMetadata!$J502)</f>
        <v/>
      </c>
      <c r="D502" s="11" t="str">
        <f>ETLMetadata!$G502</f>
        <v>CHAR(1)</v>
      </c>
      <c r="E502" s="12"/>
      <c r="F502" s="12"/>
      <c r="G502" s="12" t="str">
        <f t="shared" si="14"/>
        <v/>
      </c>
      <c r="H502" s="12"/>
      <c r="I502" s="12"/>
      <c r="J502" s="13">
        <v>45952</v>
      </c>
      <c r="K502" s="13">
        <v>2958465</v>
      </c>
      <c r="L502" s="11" t="str">
        <f t="shared" si="15"/>
        <v>INSERT INTO metadata_reference.file_schema VALUES('DETM_DETIS_DHDS','DHDS_AMR_2',NULL,'CHAR(1)',NULL,NULL,NULL,NULL,'2025-10-22','9999-12-31',USER, CURRENT_TIMESTAMP(0));</v>
      </c>
    </row>
    <row r="503" spans="1:12" ht="15" customHeight="1">
      <c r="A503" s="11" t="str">
        <f>ETLMetadata!$C503</f>
        <v>DETM_DETIS_DHDS</v>
      </c>
      <c r="B503" s="11" t="str">
        <f>ETLMetadata!$E503</f>
        <v>DHDS_AMR_3</v>
      </c>
      <c r="C503" s="11" t="str">
        <f>IF(ISBLANK(ETLMetadata!$J503), "", ETLMetadata!$J503)</f>
        <v/>
      </c>
      <c r="D503" s="11" t="str">
        <f>ETLMetadata!$G503</f>
        <v>CHAR(4)</v>
      </c>
      <c r="E503" s="12"/>
      <c r="F503" s="12"/>
      <c r="G503" s="12" t="str">
        <f t="shared" si="14"/>
        <v/>
      </c>
      <c r="H503" s="12"/>
      <c r="I503" s="12"/>
      <c r="J503" s="13">
        <v>45952</v>
      </c>
      <c r="K503" s="13">
        <v>2958465</v>
      </c>
      <c r="L503" s="11" t="str">
        <f t="shared" si="15"/>
        <v>INSERT INTO metadata_reference.file_schema VALUES('DETM_DETIS_DHDS','DHDS_AMR_3',NULL,'CHAR(4)',NULL,NULL,NULL,NULL,'2025-10-22','9999-12-31',USER, CURRENT_TIMESTAMP(0));</v>
      </c>
    </row>
    <row r="504" spans="1:12" ht="15" customHeight="1">
      <c r="A504" s="11" t="str">
        <f>ETLMetadata!$C504</f>
        <v>DETM_DETIS_DHDS</v>
      </c>
      <c r="B504" s="11" t="str">
        <f>ETLMetadata!$E504</f>
        <v>DHDS_BEN_TYPE_CODE</v>
      </c>
      <c r="C504" s="11" t="str">
        <f>IF(ISBLANK(ETLMetadata!$J504), "", ETLMetadata!$J504)</f>
        <v/>
      </c>
      <c r="D504" s="11" t="str">
        <f>ETLMetadata!$G504</f>
        <v>CHAR(3)</v>
      </c>
      <c r="E504" s="12"/>
      <c r="F504" s="12"/>
      <c r="G504" s="12" t="str">
        <f t="shared" si="14"/>
        <v/>
      </c>
      <c r="H504" s="12"/>
      <c r="I504" s="12"/>
      <c r="J504" s="13">
        <v>45952</v>
      </c>
      <c r="K504" s="13">
        <v>2958465</v>
      </c>
      <c r="L504" s="11" t="str">
        <f t="shared" si="15"/>
        <v>INSERT INTO metadata_reference.file_schema VALUES('DETM_DETIS_DHDS','DHDS_BEN_TYPE_CODE',NULL,'CHAR(3)',NULL,NULL,NULL,NULL,'2025-10-22','9999-12-31',USER, CURRENT_TIMESTAMP(0));</v>
      </c>
    </row>
    <row r="505" spans="1:12" ht="15" customHeight="1">
      <c r="A505" s="11" t="str">
        <f>ETLMetadata!$C505</f>
        <v>DETM_DETIS_DHDS</v>
      </c>
      <c r="B505" s="11" t="str">
        <f>ETLMetadata!$E505</f>
        <v>DHDS_STS_CODE</v>
      </c>
      <c r="C505" s="11" t="str">
        <f>IF(ISBLANK(ETLMetadata!$J505), "", ETLMetadata!$J505)</f>
        <v/>
      </c>
      <c r="D505" s="11" t="str">
        <f>ETLMetadata!$G505</f>
        <v>CHAR(3)</v>
      </c>
      <c r="E505" s="12"/>
      <c r="F505" s="12"/>
      <c r="G505" s="12" t="str">
        <f t="shared" si="14"/>
        <v/>
      </c>
      <c r="H505" s="12"/>
      <c r="I505" s="12"/>
      <c r="J505" s="13">
        <v>45952</v>
      </c>
      <c r="K505" s="13">
        <v>2958465</v>
      </c>
      <c r="L505" s="11" t="str">
        <f t="shared" si="15"/>
        <v>INSERT INTO metadata_reference.file_schema VALUES('DETM_DETIS_DHDS','DHDS_STS_CODE',NULL,'CHAR(3)',NULL,NULL,NULL,NULL,'2025-10-22','9999-12-31',USER, CURRENT_TIMESTAMP(0));</v>
      </c>
    </row>
    <row r="506" spans="1:12" ht="15" customHeight="1">
      <c r="A506" s="11" t="str">
        <f>ETLMetadata!$C506</f>
        <v>DETM_DETIS_DHDS</v>
      </c>
      <c r="B506" s="11" t="str">
        <f>ETLMetadata!$E506</f>
        <v>DHDS_RSN_CODE</v>
      </c>
      <c r="C506" s="11" t="str">
        <f>IF(ISBLANK(ETLMetadata!$J506), "", ETLMetadata!$J506)</f>
        <v/>
      </c>
      <c r="D506" s="11" t="str">
        <f>ETLMetadata!$G506</f>
        <v>CHAR(3)</v>
      </c>
      <c r="E506" s="12"/>
      <c r="F506" s="12"/>
      <c r="G506" s="12" t="str">
        <f t="shared" si="14"/>
        <v/>
      </c>
      <c r="H506" s="12"/>
      <c r="I506" s="12"/>
      <c r="J506" s="13">
        <v>45952</v>
      </c>
      <c r="K506" s="13">
        <v>2958465</v>
      </c>
      <c r="L506" s="11" t="str">
        <f t="shared" si="15"/>
        <v>INSERT INTO metadata_reference.file_schema VALUES('DETM_DETIS_DHDS','DHDS_RSN_CODE',NULL,'CHAR(3)',NULL,NULL,NULL,NULL,'2025-10-22','9999-12-31',USER, CURRENT_TIMESTAMP(0));</v>
      </c>
    </row>
    <row r="507" spans="1:12" ht="15" customHeight="1">
      <c r="A507" s="11" t="str">
        <f>ETLMetadata!$C507</f>
        <v>DETM_DETIS_DHDS</v>
      </c>
      <c r="B507" s="11" t="str">
        <f>ETLMetadata!$E507</f>
        <v>DHDS_UNIQ_ID</v>
      </c>
      <c r="C507" s="11" t="str">
        <f>IF(ISBLANK(ETLMetadata!$J507), "", ETLMetadata!$J507)</f>
        <v/>
      </c>
      <c r="D507" s="11" t="str">
        <f>ETLMetadata!$G507</f>
        <v>VARCHAR(8)</v>
      </c>
      <c r="E507" s="12"/>
      <c r="F507" s="12"/>
      <c r="G507" s="12" t="str">
        <f t="shared" si="14"/>
        <v/>
      </c>
      <c r="H507" s="12"/>
      <c r="I507" s="12"/>
      <c r="J507" s="13">
        <v>45952</v>
      </c>
      <c r="K507" s="13">
        <v>2958465</v>
      </c>
      <c r="L507" s="11" t="str">
        <f t="shared" si="15"/>
        <v>INSERT INTO metadata_reference.file_schema VALUES('DETM_DETIS_DHDS','DHDS_UNIQ_ID',NULL,'VARCHAR(8)',NULL,NULL,NULL,NULL,'2025-10-22','9999-12-31',USER, CURRENT_TIMESTAMP(0));</v>
      </c>
    </row>
    <row r="508" spans="1:12" ht="15" customHeight="1">
      <c r="A508" s="11" t="str">
        <f>ETLMetadata!$C508</f>
        <v>DETM_DETIS_DHDS</v>
      </c>
      <c r="B508" s="11" t="str">
        <f>ETLMetadata!$E508</f>
        <v>AMR1_RISL_DTS</v>
      </c>
      <c r="C508" s="11" t="str">
        <f>IF(ISBLANK(ETLMetadata!$J508), "", ETLMetadata!$J508)</f>
        <v/>
      </c>
      <c r="D508" s="11" t="str">
        <f>ETLMetadata!$G508</f>
        <v>TIMESTAMP(6)</v>
      </c>
      <c r="E508" s="12"/>
      <c r="F508" s="12"/>
      <c r="G508" s="12" t="str">
        <f t="shared" si="14"/>
        <v/>
      </c>
      <c r="H508" s="12"/>
      <c r="I508" s="12"/>
      <c r="J508" s="13">
        <v>45952</v>
      </c>
      <c r="K508" s="13">
        <v>2958465</v>
      </c>
      <c r="L508" s="11" t="str">
        <f t="shared" si="15"/>
        <v>INSERT INTO metadata_reference.file_schema VALUES('DETM_DETIS_DHDS','AMR1_RISL_DTS',NULL,'TIMESTAMP(6)',NULL,NULL,NULL,NULL,'2025-10-22','9999-12-31',USER, CURRENT_TIMESTAMP(0));</v>
      </c>
    </row>
    <row r="509" spans="1:12" ht="15" customHeight="1">
      <c r="A509" s="11" t="str">
        <f>ETLMetadata!$C509</f>
        <v>DETM_DETIS_DHDS</v>
      </c>
      <c r="B509" s="11" t="str">
        <f>ETLMetadata!$E509</f>
        <v>AMR3_RISL_DTS</v>
      </c>
      <c r="C509" s="11" t="str">
        <f>IF(ISBLANK(ETLMetadata!$J509), "", ETLMetadata!$J509)</f>
        <v/>
      </c>
      <c r="D509" s="11" t="str">
        <f>ETLMetadata!$G509</f>
        <v>TIMESTAMP(6)</v>
      </c>
      <c r="E509" s="12"/>
      <c r="F509" s="12"/>
      <c r="G509" s="12" t="str">
        <f t="shared" si="14"/>
        <v/>
      </c>
      <c r="H509" s="12"/>
      <c r="I509" s="12"/>
      <c r="J509" s="13">
        <v>45952</v>
      </c>
      <c r="K509" s="13">
        <v>2958465</v>
      </c>
      <c r="L509" s="11" t="str">
        <f t="shared" si="15"/>
        <v>INSERT INTO metadata_reference.file_schema VALUES('DETM_DETIS_DHDS','AMR3_RISL_DTS',NULL,'TIMESTAMP(6)',NULL,NULL,NULL,NULL,'2025-10-22','9999-12-31',USER, CURRENT_TIMESTAMP(0));</v>
      </c>
    </row>
    <row r="510" spans="1:12" ht="15" customHeight="1">
      <c r="A510" s="11" t="str">
        <f>ETLMetadata!$C510</f>
        <v>DETM_DETIS_DHDS</v>
      </c>
      <c r="B510" s="11" t="str">
        <f>ETLMetadata!$E510</f>
        <v>EPISODE_ID</v>
      </c>
      <c r="C510" s="11" t="str">
        <f>IF(ISBLANK(ETLMetadata!$J510), "", ETLMetadata!$J510)</f>
        <v/>
      </c>
      <c r="D510" s="11" t="str">
        <f>ETLMetadata!$G510</f>
        <v>INTEGER</v>
      </c>
      <c r="E510" s="12"/>
      <c r="F510" s="12"/>
      <c r="G510" s="12" t="str">
        <f t="shared" si="14"/>
        <v/>
      </c>
      <c r="H510" s="12"/>
      <c r="I510" s="12"/>
      <c r="J510" s="13">
        <v>45952</v>
      </c>
      <c r="K510" s="13">
        <v>2958465</v>
      </c>
      <c r="L510" s="11" t="str">
        <f t="shared" si="15"/>
        <v>INSERT INTO metadata_reference.file_schema VALUES('DETM_DETIS_DHDS','EPISODE_ID',NULL,'INTEGER',NULL,NULL,NULL,NULL,'2025-10-22','9999-12-31',USER, CURRENT_TIMESTAMP(0));</v>
      </c>
    </row>
    <row r="511" spans="1:12" ht="15" customHeight="1">
      <c r="A511" s="11" t="str">
        <f>ETLMetadata!$C511</f>
        <v>DETM_DETIS_DHDS</v>
      </c>
      <c r="B511" s="11" t="str">
        <f>ETLMetadata!$E511</f>
        <v>PARTY_ROLE_ID</v>
      </c>
      <c r="C511" s="11" t="str">
        <f>IF(ISBLANK(ETLMetadata!$J511), "", ETLMetadata!$J511)</f>
        <v/>
      </c>
      <c r="D511" s="11" t="str">
        <f>ETLMetadata!$G511</f>
        <v>INTEGER</v>
      </c>
      <c r="E511" s="12"/>
      <c r="F511" s="12"/>
      <c r="G511" s="12" t="str">
        <f t="shared" si="14"/>
        <v/>
      </c>
      <c r="H511" s="12"/>
      <c r="I511" s="12"/>
      <c r="J511" s="13">
        <v>45952</v>
      </c>
      <c r="K511" s="13">
        <v>2958465</v>
      </c>
      <c r="L511" s="11" t="str">
        <f t="shared" si="15"/>
        <v>INSERT INTO metadata_reference.file_schema VALUES('DETM_DETIS_DHDS','PARTY_ROLE_ID',NULL,'INTEGER',NULL,NULL,NULL,NULL,'2025-10-22','9999-12-31',USER, CURRENT_TIMESTAMP(0));</v>
      </c>
    </row>
    <row r="512" spans="1:12" ht="15" customHeight="1">
      <c r="A512" s="11" t="str">
        <f>ETLMetadata!$C512</f>
        <v>DETM_DETIS_DHDS</v>
      </c>
      <c r="B512" s="11" t="str">
        <f>ETLMetadata!$E512</f>
        <v>PAYMENT_TYPE_ID</v>
      </c>
      <c r="C512" s="11" t="str">
        <f>IF(ISBLANK(ETLMetadata!$J512), "", ETLMetadata!$J512)</f>
        <v/>
      </c>
      <c r="D512" s="11" t="str">
        <f>ETLMetadata!$G512</f>
        <v>INTEGER</v>
      </c>
      <c r="E512" s="12"/>
      <c r="F512" s="12"/>
      <c r="G512" s="12" t="str">
        <f t="shared" si="14"/>
        <v/>
      </c>
      <c r="H512" s="12"/>
      <c r="I512" s="12"/>
      <c r="J512" s="13">
        <v>45952</v>
      </c>
      <c r="K512" s="13">
        <v>2958465</v>
      </c>
      <c r="L512" s="11" t="str">
        <f t="shared" si="15"/>
        <v>INSERT INTO metadata_reference.file_schema VALUES('DETM_DETIS_DHDS','PAYMENT_TYPE_ID',NULL,'INTEGER',NULL,NULL,NULL,NULL,'2025-10-22','9999-12-31',USER, CURRENT_TIMESTAMP(0));</v>
      </c>
    </row>
    <row r="513" spans="1:12" ht="15" customHeight="1">
      <c r="A513" s="11" t="str">
        <f>ETLMetadata!$C513</f>
        <v>DETM_DETIS_DHDS</v>
      </c>
      <c r="B513" s="11" t="str">
        <f>ETLMetadata!$E513</f>
        <v>ERROR_COUNT</v>
      </c>
      <c r="C513" s="11" t="str">
        <f>IF(ISBLANK(ETLMetadata!$J513), "", ETLMetadata!$J513)</f>
        <v/>
      </c>
      <c r="D513" s="11" t="str">
        <f>ETLMetadata!$G513</f>
        <v>SMALLINT</v>
      </c>
      <c r="E513" s="12"/>
      <c r="F513" s="12"/>
      <c r="G513" s="12" t="str">
        <f t="shared" si="14"/>
        <v/>
      </c>
      <c r="H513" s="12"/>
      <c r="I513" s="12"/>
      <c r="J513" s="13">
        <v>45952</v>
      </c>
      <c r="K513" s="13">
        <v>2958465</v>
      </c>
      <c r="L513" s="11" t="str">
        <f t="shared" si="15"/>
        <v>INSERT INTO metadata_reference.file_schema VALUES('DETM_DETIS_DHDS','ERROR_COUNT',NULL,'SMALLINT',NULL,NULL,NULL,NULL,'2025-10-22','9999-12-31',USER, CURRENT_TIMESTAMP(0));</v>
      </c>
    </row>
    <row r="514" spans="1:12" ht="15" customHeight="1">
      <c r="A514" s="11" t="str">
        <f>ETLMetadata!$C514</f>
        <v>DETM_DETIS_DHDS</v>
      </c>
      <c r="B514" s="11" t="str">
        <f>ETLMetadata!$E514</f>
        <v>Start_Date</v>
      </c>
      <c r="C514" s="11" t="str">
        <f>IF(ISBLANK(ETLMetadata!$J514), "", ETLMetadata!$J514)</f>
        <v/>
      </c>
      <c r="D514" s="11" t="str">
        <f>ETLMetadata!$G514</f>
        <v>DATE</v>
      </c>
      <c r="E514" s="12"/>
      <c r="F514" s="12"/>
      <c r="G514" s="12" t="str">
        <f t="shared" si="14"/>
        <v/>
      </c>
      <c r="H514" s="12"/>
      <c r="I514" s="12"/>
      <c r="J514" s="13">
        <v>45952</v>
      </c>
      <c r="K514" s="13">
        <v>2958465</v>
      </c>
      <c r="L514" s="11" t="str">
        <f t="shared" si="15"/>
        <v>INSERT INTO metadata_reference.file_schema VALUES('DETM_DETIS_DHDS','Start_Date',NULL,'DATE',NULL,NULL,NULL,NULL,'2025-10-22','9999-12-31',USER, CURRENT_TIMESTAMP(0));</v>
      </c>
    </row>
    <row r="515" spans="1:12" ht="15" customHeight="1">
      <c r="A515" s="11" t="str">
        <f>ETLMetadata!$C515</f>
        <v>DETM_DETIS_DHDS</v>
      </c>
      <c r="B515" s="11" t="str">
        <f>ETLMetadata!$E515</f>
        <v>End_Date</v>
      </c>
      <c r="C515" s="11" t="str">
        <f>IF(ISBLANK(ETLMetadata!$J515), "", ETLMetadata!$J515)</f>
        <v/>
      </c>
      <c r="D515" s="11" t="str">
        <f>ETLMetadata!$G515</f>
        <v>DATE</v>
      </c>
      <c r="E515" s="12"/>
      <c r="F515" s="12"/>
      <c r="G515" s="12" t="str">
        <f t="shared" ref="G515:G578" si="16">UPPER($F515)</f>
        <v/>
      </c>
      <c r="H515" s="12"/>
      <c r="I515" s="12"/>
      <c r="J515" s="13">
        <v>45952</v>
      </c>
      <c r="K515" s="13">
        <v>2958465</v>
      </c>
      <c r="L515" s="11" t="str">
        <f t="shared" ref="L515:L578" si="17">CONCATENATE("INSERT INTO metadata_reference.file_schema VALUES('",TRIM(A515),"','",TRIM(B515),"',",IF(TRIM(C515)="","NULL","'"&amp;TRIM(C515)&amp;"'"),",'",TRIM(D515),"',",IF(TRIM(E515)="","NULL","'"&amp;TRIM(E515)&amp;"'"),",",IF(TRIM(G515)="","NULL","'"&amp;TRIM(G515)&amp;"'"),",",IF(TRIM(H515)="","NULL","'"&amp;TRIM(H515)&amp;"'"),",",
IF(TRIM(I515)="","NULL",TRIM(I515)),",",IF(TRIM(J515)="","NULL","'"&amp;TEXT(J515,"yyyy-mm-dd")&amp;"'"),",",IF(TRIM(K515)="","NULL","'"&amp;TEXT(K515,"yyyy-mm-dd")&amp;"'"),",","USER, CURRENT_TIMESTAMP(0));")</f>
        <v>INSERT INTO metadata_reference.file_schema VALUES('DETM_DETIS_DHDS','End_Date',NULL,'DATE',NULL,NULL,NULL,NULL,'2025-10-22','9999-12-31',USER, CURRENT_TIMESTAMP(0));</v>
      </c>
    </row>
    <row r="516" spans="1:12" ht="15" customHeight="1">
      <c r="A516" s="11" t="str">
        <f>ETLMetadata!$C516</f>
        <v>DETM_DETIS_DHDS</v>
      </c>
      <c r="B516" s="11" t="str">
        <f>ETLMetadata!$E516</f>
        <v>Record_Deleted_Flag</v>
      </c>
      <c r="C516" s="11" t="str">
        <f>IF(ISBLANK(ETLMetadata!$J516), "", ETLMetadata!$J516)</f>
        <v/>
      </c>
      <c r="D516" s="11" t="str">
        <f>ETLMetadata!$G516</f>
        <v>BYTEINT</v>
      </c>
      <c r="E516" s="12"/>
      <c r="F516" s="12"/>
      <c r="G516" s="12" t="str">
        <f t="shared" si="16"/>
        <v/>
      </c>
      <c r="H516" s="12"/>
      <c r="I516" s="12"/>
      <c r="J516" s="13">
        <v>45952</v>
      </c>
      <c r="K516" s="13">
        <v>2958465</v>
      </c>
      <c r="L516" s="11" t="str">
        <f t="shared" si="17"/>
        <v>INSERT INTO metadata_reference.file_schema VALUES('DETM_DETIS_DHDS','Record_Deleted_Flag',NULL,'BYTEINT',NULL,NULL,NULL,NULL,'2025-10-22','9999-12-31',USER, CURRENT_TIMESTAMP(0));</v>
      </c>
    </row>
    <row r="517" spans="1:12" ht="15" customHeight="1">
      <c r="A517" s="11" t="str">
        <f>ETLMetadata!$C517</f>
        <v>DETM_DETIS_DPDS</v>
      </c>
      <c r="B517" s="11" t="str">
        <f>ETLMetadata!$E517</f>
        <v>EXTRACT_DATE</v>
      </c>
      <c r="C517" s="11" t="str">
        <f>IF(ISBLANK(ETLMetadata!$J517), "", ETLMetadata!$J517)</f>
        <v/>
      </c>
      <c r="D517" s="11" t="str">
        <f>ETLMetadata!$G517</f>
        <v>DATE</v>
      </c>
      <c r="E517" s="12"/>
      <c r="F517" s="12"/>
      <c r="G517" s="12" t="str">
        <f t="shared" si="16"/>
        <v/>
      </c>
      <c r="H517" s="12"/>
      <c r="I517" s="12"/>
      <c r="J517" s="13">
        <v>45952</v>
      </c>
      <c r="K517" s="13">
        <v>2958465</v>
      </c>
      <c r="L517" s="11" t="str">
        <f t="shared" si="17"/>
        <v>INSERT INTO metadata_reference.file_schema VALUES('DETM_DETIS_DPDS','EXTRACT_DATE',NULL,'DATE',NULL,NULL,NULL,NULL,'2025-10-22','9999-12-31',USER, CURRENT_TIMESTAMP(0));</v>
      </c>
    </row>
    <row r="518" spans="1:12" ht="15" customHeight="1">
      <c r="A518" s="11" t="str">
        <f>ETLMetadata!$C518</f>
        <v>DETM_DETIS_DPDS</v>
      </c>
      <c r="B518" s="11" t="str">
        <f>ETLMetadata!$E518</f>
        <v>LOGICAL_DELETE_DATE</v>
      </c>
      <c r="C518" s="11" t="str">
        <f>IF(ISBLANK(ETLMetadata!$J518), "", ETLMetadata!$J518)</f>
        <v/>
      </c>
      <c r="D518" s="11" t="str">
        <f>ETLMetadata!$G518</f>
        <v>DATE</v>
      </c>
      <c r="E518" s="12"/>
      <c r="F518" s="12"/>
      <c r="G518" s="12" t="str">
        <f t="shared" si="16"/>
        <v/>
      </c>
      <c r="H518" s="12"/>
      <c r="I518" s="12"/>
      <c r="J518" s="13">
        <v>45952</v>
      </c>
      <c r="K518" s="13">
        <v>2958465</v>
      </c>
      <c r="L518" s="11" t="str">
        <f t="shared" si="17"/>
        <v>INSERT INTO metadata_reference.file_schema VALUES('DETM_DETIS_DPDS','LOGICAL_DELETE_DATE',NULL,'DATE',NULL,NULL,NULL,NULL,'2025-10-22','9999-12-31',USER, CURRENT_TIMESTAMP(0));</v>
      </c>
    </row>
    <row r="519" spans="1:12" ht="15" customHeight="1">
      <c r="A519" s="11" t="str">
        <f>ETLMetadata!$C519</f>
        <v>DETM_DETIS_DPDS</v>
      </c>
      <c r="B519" s="11" t="str">
        <f>ETLMetadata!$E519</f>
        <v>ENVIRONMENT_ID</v>
      </c>
      <c r="C519" s="11" t="str">
        <f>IF(ISBLANK(ETLMetadata!$J519), "", ETLMetadata!$J519)</f>
        <v>Y</v>
      </c>
      <c r="D519" s="11" t="str">
        <f>ETLMetadata!$G519</f>
        <v>CHAR(1)</v>
      </c>
      <c r="E519" s="12"/>
      <c r="F519" s="12"/>
      <c r="G519" s="12" t="str">
        <f t="shared" si="16"/>
        <v/>
      </c>
      <c r="H519" s="12"/>
      <c r="I519" s="12"/>
      <c r="J519" s="13">
        <v>45952</v>
      </c>
      <c r="K519" s="13">
        <v>2958465</v>
      </c>
      <c r="L519" s="11" t="str">
        <f t="shared" si="17"/>
        <v>INSERT INTO metadata_reference.file_schema VALUES('DETM_DETIS_DPDS','ENVIRONMENT_ID','Y','CHAR(1)',NULL,NULL,NULL,NULL,'2025-10-22','9999-12-31',USER, CURRENT_TIMESTAMP(0));</v>
      </c>
    </row>
    <row r="520" spans="1:12" ht="15" customHeight="1">
      <c r="A520" s="11" t="str">
        <f>ETLMetadata!$C520</f>
        <v>DETM_DETIS_DPDS</v>
      </c>
      <c r="B520" s="11" t="str">
        <f>ETLMetadata!$E520</f>
        <v>PERSON_ID</v>
      </c>
      <c r="C520" s="11" t="str">
        <f>IF(ISBLANK(ETLMetadata!$J520), "", ETLMetadata!$J520)</f>
        <v>Y</v>
      </c>
      <c r="D520" s="11" t="str">
        <f>ETLMetadata!$G520</f>
        <v>INTEGER</v>
      </c>
      <c r="E520" s="12"/>
      <c r="F520" s="12" t="s">
        <v>799</v>
      </c>
      <c r="G520" s="12" t="str">
        <f t="shared" si="16"/>
        <v>PERSONAL_IDENTITYINFOINDIRECT</v>
      </c>
      <c r="H520" s="12"/>
      <c r="I520" s="12"/>
      <c r="J520" s="13">
        <v>45952</v>
      </c>
      <c r="K520" s="13">
        <v>2958465</v>
      </c>
      <c r="L520" s="11" t="str">
        <f t="shared" si="17"/>
        <v>INSERT INTO metadata_reference.file_schema VALUES('DETM_DETIS_DPDS','PERSON_ID','Y','INTEGER',NULL,'PERSONAL_IDENTITYINFOINDIRECT',NULL,NULL,'2025-10-22','9999-12-31',USER, CURRENT_TIMESTAMP(0));</v>
      </c>
    </row>
    <row r="521" spans="1:12" ht="15" customHeight="1">
      <c r="A521" s="11" t="str">
        <f>ETLMetadata!$C521</f>
        <v>DETM_DETIS_DPDS</v>
      </c>
      <c r="B521" s="11" t="str">
        <f>ETLMetadata!$E521</f>
        <v>DPDS_DOE</v>
      </c>
      <c r="C521" s="11" t="str">
        <f>IF(ISBLANK(ETLMetadata!$J521), "", ETLMetadata!$J521)</f>
        <v/>
      </c>
      <c r="D521" s="11" t="str">
        <f>ETLMetadata!$G521</f>
        <v>DATE</v>
      </c>
      <c r="E521" s="12"/>
      <c r="F521" s="12"/>
      <c r="G521" s="12" t="str">
        <f t="shared" si="16"/>
        <v/>
      </c>
      <c r="H521" s="12"/>
      <c r="I521" s="12"/>
      <c r="J521" s="13">
        <v>45952</v>
      </c>
      <c r="K521" s="13">
        <v>2958465</v>
      </c>
      <c r="L521" s="11" t="str">
        <f t="shared" si="17"/>
        <v>INSERT INTO metadata_reference.file_schema VALUES('DETM_DETIS_DPDS','DPDS_DOE',NULL,'DATE',NULL,NULL,NULL,NULL,'2025-10-22','9999-12-31',USER, CURRENT_TIMESTAMP(0));</v>
      </c>
    </row>
    <row r="522" spans="1:12" ht="15" customHeight="1">
      <c r="A522" s="11" t="str">
        <f>ETLMetadata!$C522</f>
        <v>DETM_DETIS_DPDS</v>
      </c>
      <c r="B522" s="11" t="str">
        <f>ETLMetadata!$E522</f>
        <v>DPDS_DOE_ORIG</v>
      </c>
      <c r="C522" s="11" t="str">
        <f>IF(ISBLANK(ETLMetadata!$J522), "", ETLMetadata!$J522)</f>
        <v/>
      </c>
      <c r="D522" s="11" t="str">
        <f>ETLMetadata!$G522</f>
        <v>INTEGER</v>
      </c>
      <c r="E522" s="12"/>
      <c r="F522" s="12"/>
      <c r="G522" s="12" t="str">
        <f t="shared" si="16"/>
        <v/>
      </c>
      <c r="H522" s="12"/>
      <c r="I522" s="12"/>
      <c r="J522" s="13">
        <v>45952</v>
      </c>
      <c r="K522" s="13">
        <v>2958465</v>
      </c>
      <c r="L522" s="11" t="str">
        <f t="shared" si="17"/>
        <v>INSERT INTO metadata_reference.file_schema VALUES('DETM_DETIS_DPDS','DPDS_DOE_ORIG',NULL,'INTEGER',NULL,NULL,NULL,NULL,'2025-10-22','9999-12-31',USER, CURRENT_TIMESTAMP(0));</v>
      </c>
    </row>
    <row r="523" spans="1:12" ht="15" customHeight="1">
      <c r="A523" s="11" t="str">
        <f>ETLMetadata!$C523</f>
        <v>DETM_DETIS_DPDS</v>
      </c>
      <c r="B523" s="11" t="str">
        <f>ETLMetadata!$E523</f>
        <v>PROCESSING_SEQUENCE</v>
      </c>
      <c r="C523" s="11" t="str">
        <f>IF(ISBLANK(ETLMetadata!$J523), "", ETLMetadata!$J523)</f>
        <v>Y</v>
      </c>
      <c r="D523" s="11" t="str">
        <f>ETLMetadata!$G523</f>
        <v>SMALLINT</v>
      </c>
      <c r="E523" s="12"/>
      <c r="F523" s="12"/>
      <c r="G523" s="12" t="str">
        <f t="shared" si="16"/>
        <v/>
      </c>
      <c r="H523" s="12"/>
      <c r="I523" s="12"/>
      <c r="J523" s="13">
        <v>45952</v>
      </c>
      <c r="K523" s="13">
        <v>2958465</v>
      </c>
      <c r="L523" s="11" t="str">
        <f t="shared" si="17"/>
        <v>INSERT INTO metadata_reference.file_schema VALUES('DETM_DETIS_DPDS','PROCESSING_SEQUENCE','Y','SMALLINT',NULL,NULL,NULL,NULL,'2025-10-22','9999-12-31',USER, CURRENT_TIMESTAMP(0));</v>
      </c>
    </row>
    <row r="524" spans="1:12" ht="15" customHeight="1">
      <c r="A524" s="11" t="str">
        <f>ETLMetadata!$C524</f>
        <v>DETM_DETIS_DPDS</v>
      </c>
      <c r="B524" s="11" t="str">
        <f>ETLMetadata!$E524</f>
        <v>DPDS_AMR_1</v>
      </c>
      <c r="C524" s="11" t="str">
        <f>IF(ISBLANK(ETLMetadata!$J524), "", ETLMetadata!$J524)</f>
        <v/>
      </c>
      <c r="D524" s="11" t="str">
        <f>ETLMetadata!$G524</f>
        <v>CHAR(4)</v>
      </c>
      <c r="E524" s="12"/>
      <c r="F524" s="12"/>
      <c r="G524" s="12" t="str">
        <f t="shared" si="16"/>
        <v/>
      </c>
      <c r="H524" s="12"/>
      <c r="I524" s="12"/>
      <c r="J524" s="13">
        <v>45952</v>
      </c>
      <c r="K524" s="13">
        <v>2958465</v>
      </c>
      <c r="L524" s="11" t="str">
        <f t="shared" si="17"/>
        <v>INSERT INTO metadata_reference.file_schema VALUES('DETM_DETIS_DPDS','DPDS_AMR_1',NULL,'CHAR(4)',NULL,NULL,NULL,NULL,'2025-10-22','9999-12-31',USER, CURRENT_TIMESTAMP(0));</v>
      </c>
    </row>
    <row r="525" spans="1:12" ht="15" customHeight="1">
      <c r="A525" s="11" t="str">
        <f>ETLMetadata!$C525</f>
        <v>DETM_DETIS_DPDS</v>
      </c>
      <c r="B525" s="11" t="str">
        <f>ETLMetadata!$E525</f>
        <v>DPDS_AMR_2</v>
      </c>
      <c r="C525" s="11" t="str">
        <f>IF(ISBLANK(ETLMetadata!$J525), "", ETLMetadata!$J525)</f>
        <v/>
      </c>
      <c r="D525" s="11" t="str">
        <f>ETLMetadata!$G525</f>
        <v>CHAR(1)</v>
      </c>
      <c r="E525" s="12"/>
      <c r="F525" s="12"/>
      <c r="G525" s="12" t="str">
        <f t="shared" si="16"/>
        <v/>
      </c>
      <c r="H525" s="12"/>
      <c r="I525" s="12"/>
      <c r="J525" s="13">
        <v>45952</v>
      </c>
      <c r="K525" s="13">
        <v>2958465</v>
      </c>
      <c r="L525" s="11" t="str">
        <f t="shared" si="17"/>
        <v>INSERT INTO metadata_reference.file_schema VALUES('DETM_DETIS_DPDS','DPDS_AMR_2',NULL,'CHAR(1)',NULL,NULL,NULL,NULL,'2025-10-22','9999-12-31',USER, CURRENT_TIMESTAMP(0));</v>
      </c>
    </row>
    <row r="526" spans="1:12" ht="15" customHeight="1">
      <c r="A526" s="11" t="str">
        <f>ETLMetadata!$C526</f>
        <v>DETM_DETIS_DPDS</v>
      </c>
      <c r="B526" s="11" t="str">
        <f>ETLMetadata!$E526</f>
        <v>DPDS_AMR_3</v>
      </c>
      <c r="C526" s="11" t="str">
        <f>IF(ISBLANK(ETLMetadata!$J526), "", ETLMetadata!$J526)</f>
        <v/>
      </c>
      <c r="D526" s="11" t="str">
        <f>ETLMetadata!$G526</f>
        <v>CHAR(4)</v>
      </c>
      <c r="E526" s="12"/>
      <c r="F526" s="12"/>
      <c r="G526" s="12" t="str">
        <f t="shared" si="16"/>
        <v/>
      </c>
      <c r="H526" s="12"/>
      <c r="I526" s="12"/>
      <c r="J526" s="13">
        <v>45952</v>
      </c>
      <c r="K526" s="13">
        <v>2958465</v>
      </c>
      <c r="L526" s="11" t="str">
        <f t="shared" si="17"/>
        <v>INSERT INTO metadata_reference.file_schema VALUES('DETM_DETIS_DPDS','DPDS_AMR_3',NULL,'CHAR(4)',NULL,NULL,NULL,NULL,'2025-10-22','9999-12-31',USER, CURRENT_TIMESTAMP(0));</v>
      </c>
    </row>
    <row r="527" spans="1:12" ht="15" customHeight="1">
      <c r="A527" s="11" t="str">
        <f>ETLMetadata!$C527</f>
        <v>DETM_DETIS_DPDS</v>
      </c>
      <c r="B527" s="11" t="str">
        <f>ETLMetadata!$E527</f>
        <v>DPDS_BEN_TYPE_CODE</v>
      </c>
      <c r="C527" s="11" t="str">
        <f>IF(ISBLANK(ETLMetadata!$J527), "", ETLMetadata!$J527)</f>
        <v/>
      </c>
      <c r="D527" s="11" t="str">
        <f>ETLMetadata!$G527</f>
        <v>CHAR(3)</v>
      </c>
      <c r="E527" s="12"/>
      <c r="F527" s="12"/>
      <c r="G527" s="12" t="str">
        <f t="shared" si="16"/>
        <v/>
      </c>
      <c r="H527" s="12"/>
      <c r="I527" s="12"/>
      <c r="J527" s="13">
        <v>45952</v>
      </c>
      <c r="K527" s="13">
        <v>2958465</v>
      </c>
      <c r="L527" s="11" t="str">
        <f t="shared" si="17"/>
        <v>INSERT INTO metadata_reference.file_schema VALUES('DETM_DETIS_DPDS','DPDS_BEN_TYPE_CODE',NULL,'CHAR(3)',NULL,NULL,NULL,NULL,'2025-10-22','9999-12-31',USER, CURRENT_TIMESTAMP(0));</v>
      </c>
    </row>
    <row r="528" spans="1:12" ht="15" customHeight="1">
      <c r="A528" s="11" t="str">
        <f>ETLMetadata!$C528</f>
        <v>DETM_DETIS_DPDS</v>
      </c>
      <c r="B528" s="11" t="str">
        <f>ETLMetadata!$E528</f>
        <v>DPDS_STS_CODE</v>
      </c>
      <c r="C528" s="11" t="str">
        <f>IF(ISBLANK(ETLMetadata!$J528), "", ETLMetadata!$J528)</f>
        <v/>
      </c>
      <c r="D528" s="11" t="str">
        <f>ETLMetadata!$G528</f>
        <v>CHAR(3)</v>
      </c>
      <c r="E528" s="12"/>
      <c r="F528" s="12"/>
      <c r="G528" s="12" t="str">
        <f t="shared" si="16"/>
        <v/>
      </c>
      <c r="H528" s="12"/>
      <c r="I528" s="12"/>
      <c r="J528" s="13">
        <v>45952</v>
      </c>
      <c r="K528" s="13">
        <v>2958465</v>
      </c>
      <c r="L528" s="11" t="str">
        <f t="shared" si="17"/>
        <v>INSERT INTO metadata_reference.file_schema VALUES('DETM_DETIS_DPDS','DPDS_STS_CODE',NULL,'CHAR(3)',NULL,NULL,NULL,NULL,'2025-10-22','9999-12-31',USER, CURRENT_TIMESTAMP(0));</v>
      </c>
    </row>
    <row r="529" spans="1:12" ht="15" customHeight="1">
      <c r="A529" s="11" t="str">
        <f>ETLMetadata!$C529</f>
        <v>DETM_DETIS_DPDS</v>
      </c>
      <c r="B529" s="11" t="str">
        <f>ETLMetadata!$E529</f>
        <v>DPDS_RSN_CODE</v>
      </c>
      <c r="C529" s="11" t="str">
        <f>IF(ISBLANK(ETLMetadata!$J529), "", ETLMetadata!$J529)</f>
        <v/>
      </c>
      <c r="D529" s="11" t="str">
        <f>ETLMetadata!$G529</f>
        <v>CHAR(3)</v>
      </c>
      <c r="E529" s="12"/>
      <c r="F529" s="12"/>
      <c r="G529" s="12" t="str">
        <f t="shared" si="16"/>
        <v/>
      </c>
      <c r="H529" s="12"/>
      <c r="I529" s="12"/>
      <c r="J529" s="13">
        <v>45952</v>
      </c>
      <c r="K529" s="13">
        <v>2958465</v>
      </c>
      <c r="L529" s="11" t="str">
        <f t="shared" si="17"/>
        <v>INSERT INTO metadata_reference.file_schema VALUES('DETM_DETIS_DPDS','DPDS_RSN_CODE',NULL,'CHAR(3)',NULL,NULL,NULL,NULL,'2025-10-22','9999-12-31',USER, CURRENT_TIMESTAMP(0));</v>
      </c>
    </row>
    <row r="530" spans="1:12" ht="15" customHeight="1">
      <c r="A530" s="11" t="str">
        <f>ETLMetadata!$C530</f>
        <v>DETM_DETIS_DPDS</v>
      </c>
      <c r="B530" s="11" t="str">
        <f>ETLMetadata!$E530</f>
        <v>DPDS_UNIQ_ID</v>
      </c>
      <c r="C530" s="11" t="str">
        <f>IF(ISBLANK(ETLMetadata!$J530), "", ETLMetadata!$J530)</f>
        <v/>
      </c>
      <c r="D530" s="11" t="str">
        <f>ETLMetadata!$G530</f>
        <v>VARCHAR(8)</v>
      </c>
      <c r="E530" s="12"/>
      <c r="F530" s="12"/>
      <c r="G530" s="12" t="str">
        <f t="shared" si="16"/>
        <v/>
      </c>
      <c r="H530" s="12"/>
      <c r="I530" s="12"/>
      <c r="J530" s="13">
        <v>45952</v>
      </c>
      <c r="K530" s="13">
        <v>2958465</v>
      </c>
      <c r="L530" s="11" t="str">
        <f t="shared" si="17"/>
        <v>INSERT INTO metadata_reference.file_schema VALUES('DETM_DETIS_DPDS','DPDS_UNIQ_ID',NULL,'VARCHAR(8)',NULL,NULL,NULL,NULL,'2025-10-22','9999-12-31',USER, CURRENT_TIMESTAMP(0));</v>
      </c>
    </row>
    <row r="531" spans="1:12" ht="15" customHeight="1">
      <c r="A531" s="11" t="str">
        <f>ETLMetadata!$C531</f>
        <v>DETM_DETIS_DPDS</v>
      </c>
      <c r="B531" s="11" t="str">
        <f>ETLMetadata!$E531</f>
        <v>AMR1_RISL_DTS</v>
      </c>
      <c r="C531" s="11" t="str">
        <f>IF(ISBLANK(ETLMetadata!$J531), "", ETLMetadata!$J531)</f>
        <v/>
      </c>
      <c r="D531" s="11" t="str">
        <f>ETLMetadata!$G531</f>
        <v>TIMESTAMP(6)</v>
      </c>
      <c r="E531" s="12"/>
      <c r="F531" s="12"/>
      <c r="G531" s="12" t="str">
        <f t="shared" si="16"/>
        <v/>
      </c>
      <c r="H531" s="12"/>
      <c r="I531" s="12"/>
      <c r="J531" s="13">
        <v>45952</v>
      </c>
      <c r="K531" s="13">
        <v>2958465</v>
      </c>
      <c r="L531" s="11" t="str">
        <f t="shared" si="17"/>
        <v>INSERT INTO metadata_reference.file_schema VALUES('DETM_DETIS_DPDS','AMR1_RISL_DTS',NULL,'TIMESTAMP(6)',NULL,NULL,NULL,NULL,'2025-10-22','9999-12-31',USER, CURRENT_TIMESTAMP(0));</v>
      </c>
    </row>
    <row r="532" spans="1:12" ht="15" customHeight="1">
      <c r="A532" s="11" t="str">
        <f>ETLMetadata!$C532</f>
        <v>DETM_DETIS_DPDS</v>
      </c>
      <c r="B532" s="11" t="str">
        <f>ETLMetadata!$E532</f>
        <v>AMR3_RISL_DTS</v>
      </c>
      <c r="C532" s="11" t="str">
        <f>IF(ISBLANK(ETLMetadata!$J532), "", ETLMetadata!$J532)</f>
        <v/>
      </c>
      <c r="D532" s="11" t="str">
        <f>ETLMetadata!$G532</f>
        <v>TIMESTAMP(6)</v>
      </c>
      <c r="E532" s="12"/>
      <c r="F532" s="12"/>
      <c r="G532" s="12" t="str">
        <f t="shared" si="16"/>
        <v/>
      </c>
      <c r="H532" s="12"/>
      <c r="I532" s="12"/>
      <c r="J532" s="13">
        <v>45952</v>
      </c>
      <c r="K532" s="13">
        <v>2958465</v>
      </c>
      <c r="L532" s="11" t="str">
        <f t="shared" si="17"/>
        <v>INSERT INTO metadata_reference.file_schema VALUES('DETM_DETIS_DPDS','AMR3_RISL_DTS',NULL,'TIMESTAMP(6)',NULL,NULL,NULL,NULL,'2025-10-22','9999-12-31',USER, CURRENT_TIMESTAMP(0));</v>
      </c>
    </row>
    <row r="533" spans="1:12" ht="15" customHeight="1">
      <c r="A533" s="11" t="str">
        <f>ETLMetadata!$C533</f>
        <v>DETM_DETIS_DPDS</v>
      </c>
      <c r="B533" s="11" t="str">
        <f>ETLMetadata!$E533</f>
        <v>EPISODE_ID</v>
      </c>
      <c r="C533" s="11" t="str">
        <f>IF(ISBLANK(ETLMetadata!$J533), "", ETLMetadata!$J533)</f>
        <v/>
      </c>
      <c r="D533" s="11" t="str">
        <f>ETLMetadata!$G533</f>
        <v>INTEGER</v>
      </c>
      <c r="E533" s="12"/>
      <c r="F533" s="12"/>
      <c r="G533" s="12" t="str">
        <f t="shared" si="16"/>
        <v/>
      </c>
      <c r="H533" s="12"/>
      <c r="I533" s="12"/>
      <c r="J533" s="13">
        <v>45952</v>
      </c>
      <c r="K533" s="13">
        <v>2958465</v>
      </c>
      <c r="L533" s="11" t="str">
        <f t="shared" si="17"/>
        <v>INSERT INTO metadata_reference.file_schema VALUES('DETM_DETIS_DPDS','EPISODE_ID',NULL,'INTEGER',NULL,NULL,NULL,NULL,'2025-10-22','9999-12-31',USER, CURRENT_TIMESTAMP(0));</v>
      </c>
    </row>
    <row r="534" spans="1:12" ht="15" customHeight="1">
      <c r="A534" s="11" t="str">
        <f>ETLMetadata!$C534</f>
        <v>DETM_DETIS_DPDS</v>
      </c>
      <c r="B534" s="11" t="str">
        <f>ETLMetadata!$E534</f>
        <v>PARTY_ROLE_ID</v>
      </c>
      <c r="C534" s="11" t="str">
        <f>IF(ISBLANK(ETLMetadata!$J534), "", ETLMetadata!$J534)</f>
        <v/>
      </c>
      <c r="D534" s="11" t="str">
        <f>ETLMetadata!$G534</f>
        <v>INTEGER</v>
      </c>
      <c r="E534" s="12"/>
      <c r="F534" s="12"/>
      <c r="G534" s="12" t="str">
        <f t="shared" si="16"/>
        <v/>
      </c>
      <c r="H534" s="12"/>
      <c r="I534" s="12"/>
      <c r="J534" s="13">
        <v>45952</v>
      </c>
      <c r="K534" s="13">
        <v>2958465</v>
      </c>
      <c r="L534" s="11" t="str">
        <f t="shared" si="17"/>
        <v>INSERT INTO metadata_reference.file_schema VALUES('DETM_DETIS_DPDS','PARTY_ROLE_ID',NULL,'INTEGER',NULL,NULL,NULL,NULL,'2025-10-22','9999-12-31',USER, CURRENT_TIMESTAMP(0));</v>
      </c>
    </row>
    <row r="535" spans="1:12" ht="15" customHeight="1">
      <c r="A535" s="11" t="str">
        <f>ETLMetadata!$C535</f>
        <v>DETM_DETIS_DPDS</v>
      </c>
      <c r="B535" s="11" t="str">
        <f>ETLMetadata!$E535</f>
        <v>PAYMENT_TYPE_ID</v>
      </c>
      <c r="C535" s="11" t="str">
        <f>IF(ISBLANK(ETLMetadata!$J535), "", ETLMetadata!$J535)</f>
        <v/>
      </c>
      <c r="D535" s="11" t="str">
        <f>ETLMetadata!$G535</f>
        <v>INTEGER</v>
      </c>
      <c r="E535" s="12"/>
      <c r="F535" s="12"/>
      <c r="G535" s="12" t="str">
        <f t="shared" si="16"/>
        <v/>
      </c>
      <c r="H535" s="12"/>
      <c r="I535" s="12"/>
      <c r="J535" s="13">
        <v>45952</v>
      </c>
      <c r="K535" s="13">
        <v>2958465</v>
      </c>
      <c r="L535" s="11" t="str">
        <f t="shared" si="17"/>
        <v>INSERT INTO metadata_reference.file_schema VALUES('DETM_DETIS_DPDS','PAYMENT_TYPE_ID',NULL,'INTEGER',NULL,NULL,NULL,NULL,'2025-10-22','9999-12-31',USER, CURRENT_TIMESTAMP(0));</v>
      </c>
    </row>
    <row r="536" spans="1:12" ht="15" customHeight="1">
      <c r="A536" s="11" t="str">
        <f>ETLMetadata!$C536</f>
        <v>DETM_DETIS_DPDS</v>
      </c>
      <c r="B536" s="11" t="str">
        <f>ETLMetadata!$E536</f>
        <v>ERROR_COUNT</v>
      </c>
      <c r="C536" s="11" t="str">
        <f>IF(ISBLANK(ETLMetadata!$J536), "", ETLMetadata!$J536)</f>
        <v/>
      </c>
      <c r="D536" s="11" t="str">
        <f>ETLMetadata!$G536</f>
        <v>SMALLINT</v>
      </c>
      <c r="E536" s="12"/>
      <c r="F536" s="12"/>
      <c r="G536" s="12" t="str">
        <f t="shared" si="16"/>
        <v/>
      </c>
      <c r="H536" s="12"/>
      <c r="I536" s="12"/>
      <c r="J536" s="13">
        <v>45952</v>
      </c>
      <c r="K536" s="13">
        <v>2958465</v>
      </c>
      <c r="L536" s="11" t="str">
        <f t="shared" si="17"/>
        <v>INSERT INTO metadata_reference.file_schema VALUES('DETM_DETIS_DPDS','ERROR_COUNT',NULL,'SMALLINT',NULL,NULL,NULL,NULL,'2025-10-22','9999-12-31',USER, CURRENT_TIMESTAMP(0));</v>
      </c>
    </row>
    <row r="537" spans="1:12" ht="15" customHeight="1">
      <c r="A537" s="11" t="str">
        <f>ETLMetadata!$C537</f>
        <v>DETM_DETIS_DPDS</v>
      </c>
      <c r="B537" s="11" t="str">
        <f>ETLMetadata!$E537</f>
        <v>Start_Date</v>
      </c>
      <c r="C537" s="11" t="str">
        <f>IF(ISBLANK(ETLMetadata!$J537), "", ETLMetadata!$J537)</f>
        <v/>
      </c>
      <c r="D537" s="11" t="str">
        <f>ETLMetadata!$G537</f>
        <v>DATE</v>
      </c>
      <c r="E537" s="12"/>
      <c r="F537" s="12"/>
      <c r="G537" s="12" t="str">
        <f t="shared" si="16"/>
        <v/>
      </c>
      <c r="H537" s="12"/>
      <c r="I537" s="12"/>
      <c r="J537" s="13">
        <v>45952</v>
      </c>
      <c r="K537" s="13">
        <v>2958465</v>
      </c>
      <c r="L537" s="11" t="str">
        <f t="shared" si="17"/>
        <v>INSERT INTO metadata_reference.file_schema VALUES('DETM_DETIS_DPDS','Start_Date',NULL,'DATE',NULL,NULL,NULL,NULL,'2025-10-22','9999-12-31',USER, CURRENT_TIMESTAMP(0));</v>
      </c>
    </row>
    <row r="538" spans="1:12" ht="15" customHeight="1">
      <c r="A538" s="11" t="str">
        <f>ETLMetadata!$C538</f>
        <v>DETM_DETIS_DPDS</v>
      </c>
      <c r="B538" s="11" t="str">
        <f>ETLMetadata!$E538</f>
        <v>End_Date</v>
      </c>
      <c r="C538" s="11" t="str">
        <f>IF(ISBLANK(ETLMetadata!$J538), "", ETLMetadata!$J538)</f>
        <v/>
      </c>
      <c r="D538" s="11" t="str">
        <f>ETLMetadata!$G538</f>
        <v>DATE</v>
      </c>
      <c r="E538" s="12"/>
      <c r="F538" s="12"/>
      <c r="G538" s="12" t="str">
        <f t="shared" si="16"/>
        <v/>
      </c>
      <c r="H538" s="12"/>
      <c r="I538" s="12"/>
      <c r="J538" s="13">
        <v>45952</v>
      </c>
      <c r="K538" s="13">
        <v>2958465</v>
      </c>
      <c r="L538" s="11" t="str">
        <f t="shared" si="17"/>
        <v>INSERT INTO metadata_reference.file_schema VALUES('DETM_DETIS_DPDS','End_Date',NULL,'DATE',NULL,NULL,NULL,NULL,'2025-10-22','9999-12-31',USER, CURRENT_TIMESTAMP(0));</v>
      </c>
    </row>
    <row r="539" spans="1:12" ht="15" customHeight="1">
      <c r="A539" s="11" t="str">
        <f>ETLMetadata!$C539</f>
        <v>DETM_DETIS_DPDS</v>
      </c>
      <c r="B539" s="11" t="str">
        <f>ETLMetadata!$E539</f>
        <v>Record_Deleted_Flag</v>
      </c>
      <c r="C539" s="11" t="str">
        <f>IF(ISBLANK(ETLMetadata!$J539), "", ETLMetadata!$J539)</f>
        <v/>
      </c>
      <c r="D539" s="11" t="str">
        <f>ETLMetadata!$G539</f>
        <v>BYTEINT</v>
      </c>
      <c r="E539" s="12"/>
      <c r="F539" s="12"/>
      <c r="G539" s="12" t="str">
        <f t="shared" si="16"/>
        <v/>
      </c>
      <c r="H539" s="12"/>
      <c r="I539" s="12"/>
      <c r="J539" s="13">
        <v>45952</v>
      </c>
      <c r="K539" s="13">
        <v>2958465</v>
      </c>
      <c r="L539" s="11" t="str">
        <f t="shared" si="17"/>
        <v>INSERT INTO metadata_reference.file_schema VALUES('DETM_DETIS_DPDS','Record_Deleted_Flag',NULL,'BYTEINT',NULL,NULL,NULL,NULL,'2025-10-22','9999-12-31',USER, CURRENT_TIMESTAMP(0));</v>
      </c>
    </row>
    <row r="540" spans="1:12" ht="15" customHeight="1">
      <c r="A540" s="11" t="str">
        <f>ETLMetadata!$C540</f>
        <v>DETM_DETIS_EEDS</v>
      </c>
      <c r="B540" s="11" t="str">
        <f>ETLMetadata!$E540</f>
        <v>EXTRACT_DATE</v>
      </c>
      <c r="C540" s="11" t="str">
        <f>IF(ISBLANK(ETLMetadata!$J540), "", ETLMetadata!$J540)</f>
        <v/>
      </c>
      <c r="D540" s="11" t="str">
        <f>ETLMetadata!$G540</f>
        <v>DATE</v>
      </c>
      <c r="E540" s="12"/>
      <c r="F540" s="12"/>
      <c r="G540" s="12" t="str">
        <f t="shared" si="16"/>
        <v/>
      </c>
      <c r="H540" s="12"/>
      <c r="I540" s="12"/>
      <c r="J540" s="13">
        <v>45952</v>
      </c>
      <c r="K540" s="13">
        <v>2958465</v>
      </c>
      <c r="L540" s="11" t="str">
        <f t="shared" si="17"/>
        <v>INSERT INTO metadata_reference.file_schema VALUES('DETM_DETIS_EEDS','EXTRACT_DATE',NULL,'DATE',NULL,NULL,NULL,NULL,'2025-10-22','9999-12-31',USER, CURRENT_TIMESTAMP(0));</v>
      </c>
    </row>
    <row r="541" spans="1:12" ht="15" customHeight="1">
      <c r="A541" s="11" t="str">
        <f>ETLMetadata!$C541</f>
        <v>DETM_DETIS_EEDS</v>
      </c>
      <c r="B541" s="11" t="str">
        <f>ETLMetadata!$E541</f>
        <v>LOGICAL_DELETE_DATE</v>
      </c>
      <c r="C541" s="11" t="str">
        <f>IF(ISBLANK(ETLMetadata!$J541), "", ETLMetadata!$J541)</f>
        <v/>
      </c>
      <c r="D541" s="11" t="str">
        <f>ETLMetadata!$G541</f>
        <v>DATE</v>
      </c>
      <c r="E541" s="12"/>
      <c r="F541" s="12"/>
      <c r="G541" s="12" t="str">
        <f t="shared" si="16"/>
        <v/>
      </c>
      <c r="H541" s="12"/>
      <c r="I541" s="12"/>
      <c r="J541" s="13">
        <v>45952</v>
      </c>
      <c r="K541" s="13">
        <v>2958465</v>
      </c>
      <c r="L541" s="11" t="str">
        <f t="shared" si="17"/>
        <v>INSERT INTO metadata_reference.file_schema VALUES('DETM_DETIS_EEDS','LOGICAL_DELETE_DATE',NULL,'DATE',NULL,NULL,NULL,NULL,'2025-10-22','9999-12-31',USER, CURRENT_TIMESTAMP(0));</v>
      </c>
    </row>
    <row r="542" spans="1:12" ht="15" customHeight="1">
      <c r="A542" s="11" t="str">
        <f>ETLMetadata!$C542</f>
        <v>DETM_DETIS_EEDS</v>
      </c>
      <c r="B542" s="11" t="str">
        <f>ETLMetadata!$E542</f>
        <v>ENVIRONMENT_ID</v>
      </c>
      <c r="C542" s="11" t="str">
        <f>IF(ISBLANK(ETLMetadata!$J542), "", ETLMetadata!$J542)</f>
        <v>Y</v>
      </c>
      <c r="D542" s="11" t="str">
        <f>ETLMetadata!$G542</f>
        <v>CHAR(1)</v>
      </c>
      <c r="E542" s="12"/>
      <c r="F542" s="12"/>
      <c r="G542" s="12" t="str">
        <f t="shared" si="16"/>
        <v/>
      </c>
      <c r="H542" s="12"/>
      <c r="I542" s="12"/>
      <c r="J542" s="13">
        <v>45952</v>
      </c>
      <c r="K542" s="13">
        <v>2958465</v>
      </c>
      <c r="L542" s="11" t="str">
        <f t="shared" si="17"/>
        <v>INSERT INTO metadata_reference.file_schema VALUES('DETM_DETIS_EEDS','ENVIRONMENT_ID','Y','CHAR(1)',NULL,NULL,NULL,NULL,'2025-10-22','9999-12-31',USER, CURRENT_TIMESTAMP(0));</v>
      </c>
    </row>
    <row r="543" spans="1:12" ht="15" customHeight="1">
      <c r="A543" s="11" t="str">
        <f>ETLMetadata!$C543</f>
        <v>DETM_DETIS_EEDS</v>
      </c>
      <c r="B543" s="11" t="str">
        <f>ETLMetadata!$E543</f>
        <v>PERSON_ID</v>
      </c>
      <c r="C543" s="11" t="str">
        <f>IF(ISBLANK(ETLMetadata!$J543), "", ETLMetadata!$J543)</f>
        <v>Y</v>
      </c>
      <c r="D543" s="11" t="str">
        <f>ETLMetadata!$G543</f>
        <v>INTEGER</v>
      </c>
      <c r="E543" s="12"/>
      <c r="F543" s="12" t="s">
        <v>799</v>
      </c>
      <c r="G543" s="12" t="str">
        <f t="shared" si="16"/>
        <v>PERSONAL_IDENTITYINFOINDIRECT</v>
      </c>
      <c r="H543" s="12"/>
      <c r="I543" s="12"/>
      <c r="J543" s="13">
        <v>45952</v>
      </c>
      <c r="K543" s="13">
        <v>2958465</v>
      </c>
      <c r="L543" s="11" t="str">
        <f t="shared" si="17"/>
        <v>INSERT INTO metadata_reference.file_schema VALUES('DETM_DETIS_EEDS','PERSON_ID','Y','INTEGER',NULL,'PERSONAL_IDENTITYINFOINDIRECT',NULL,NULL,'2025-10-22','9999-12-31',USER, CURRENT_TIMESTAMP(0));</v>
      </c>
    </row>
    <row r="544" spans="1:12" ht="15" customHeight="1">
      <c r="A544" s="11" t="str">
        <f>ETLMetadata!$C544</f>
        <v>DETM_DETIS_EEDS</v>
      </c>
      <c r="B544" s="11" t="str">
        <f>ETLMetadata!$E544</f>
        <v>EEDS_DOE</v>
      </c>
      <c r="C544" s="11" t="str">
        <f>IF(ISBLANK(ETLMetadata!$J544), "", ETLMetadata!$J544)</f>
        <v/>
      </c>
      <c r="D544" s="11" t="str">
        <f>ETLMetadata!$G544</f>
        <v>DATE</v>
      </c>
      <c r="E544" s="12"/>
      <c r="F544" s="12"/>
      <c r="G544" s="12" t="str">
        <f t="shared" si="16"/>
        <v/>
      </c>
      <c r="H544" s="12"/>
      <c r="I544" s="12"/>
      <c r="J544" s="13">
        <v>45952</v>
      </c>
      <c r="K544" s="13">
        <v>2958465</v>
      </c>
      <c r="L544" s="11" t="str">
        <f t="shared" si="17"/>
        <v>INSERT INTO metadata_reference.file_schema VALUES('DETM_DETIS_EEDS','EEDS_DOE',NULL,'DATE',NULL,NULL,NULL,NULL,'2025-10-22','9999-12-31',USER, CURRENT_TIMESTAMP(0));</v>
      </c>
    </row>
    <row r="545" spans="1:12" ht="15" customHeight="1">
      <c r="A545" s="11" t="str">
        <f>ETLMetadata!$C545</f>
        <v>DETM_DETIS_EEDS</v>
      </c>
      <c r="B545" s="11" t="str">
        <f>ETLMetadata!$E545</f>
        <v>EEDS_DOE_ORIG</v>
      </c>
      <c r="C545" s="11" t="str">
        <f>IF(ISBLANK(ETLMetadata!$J545), "", ETLMetadata!$J545)</f>
        <v/>
      </c>
      <c r="D545" s="11" t="str">
        <f>ETLMetadata!$G545</f>
        <v>INTEGER</v>
      </c>
      <c r="E545" s="12"/>
      <c r="F545" s="12"/>
      <c r="G545" s="12" t="str">
        <f t="shared" si="16"/>
        <v/>
      </c>
      <c r="H545" s="12"/>
      <c r="I545" s="12"/>
      <c r="J545" s="13">
        <v>45952</v>
      </c>
      <c r="K545" s="13">
        <v>2958465</v>
      </c>
      <c r="L545" s="11" t="str">
        <f t="shared" si="17"/>
        <v>INSERT INTO metadata_reference.file_schema VALUES('DETM_DETIS_EEDS','EEDS_DOE_ORIG',NULL,'INTEGER',NULL,NULL,NULL,NULL,'2025-10-22','9999-12-31',USER, CURRENT_TIMESTAMP(0));</v>
      </c>
    </row>
    <row r="546" spans="1:12" ht="15" customHeight="1">
      <c r="A546" s="11" t="str">
        <f>ETLMetadata!$C546</f>
        <v>DETM_DETIS_EEDS</v>
      </c>
      <c r="B546" s="11" t="str">
        <f>ETLMetadata!$E546</f>
        <v>PROCESSING_SEQUENCE</v>
      </c>
      <c r="C546" s="11" t="str">
        <f>IF(ISBLANK(ETLMetadata!$J546), "", ETLMetadata!$J546)</f>
        <v>Y</v>
      </c>
      <c r="D546" s="11" t="str">
        <f>ETLMetadata!$G546</f>
        <v>SMALLINT</v>
      </c>
      <c r="E546" s="12"/>
      <c r="F546" s="12"/>
      <c r="G546" s="12" t="str">
        <f t="shared" si="16"/>
        <v/>
      </c>
      <c r="H546" s="12"/>
      <c r="I546" s="12"/>
      <c r="J546" s="13">
        <v>45952</v>
      </c>
      <c r="K546" s="13">
        <v>2958465</v>
      </c>
      <c r="L546" s="11" t="str">
        <f t="shared" si="17"/>
        <v>INSERT INTO metadata_reference.file_schema VALUES('DETM_DETIS_EEDS','PROCESSING_SEQUENCE','Y','SMALLINT',NULL,NULL,NULL,NULL,'2025-10-22','9999-12-31',USER, CURRENT_TIMESTAMP(0));</v>
      </c>
    </row>
    <row r="547" spans="1:12" ht="15" customHeight="1">
      <c r="A547" s="11" t="str">
        <f>ETLMetadata!$C547</f>
        <v>DETM_DETIS_EEDS</v>
      </c>
      <c r="B547" s="11" t="str">
        <f>ETLMetadata!$E547</f>
        <v>EEDS_AMR_1</v>
      </c>
      <c r="C547" s="11" t="str">
        <f>IF(ISBLANK(ETLMetadata!$J547), "", ETLMetadata!$J547)</f>
        <v/>
      </c>
      <c r="D547" s="11" t="str">
        <f>ETLMetadata!$G547</f>
        <v>CHAR(4)</v>
      </c>
      <c r="E547" s="12"/>
      <c r="F547" s="12"/>
      <c r="G547" s="12" t="str">
        <f t="shared" si="16"/>
        <v/>
      </c>
      <c r="H547" s="12"/>
      <c r="I547" s="12"/>
      <c r="J547" s="13">
        <v>45952</v>
      </c>
      <c r="K547" s="13">
        <v>2958465</v>
      </c>
      <c r="L547" s="11" t="str">
        <f t="shared" si="17"/>
        <v>INSERT INTO metadata_reference.file_schema VALUES('DETM_DETIS_EEDS','EEDS_AMR_1',NULL,'CHAR(4)',NULL,NULL,NULL,NULL,'2025-10-22','9999-12-31',USER, CURRENT_TIMESTAMP(0));</v>
      </c>
    </row>
    <row r="548" spans="1:12" ht="15" customHeight="1">
      <c r="A548" s="11" t="str">
        <f>ETLMetadata!$C548</f>
        <v>DETM_DETIS_EEDS</v>
      </c>
      <c r="B548" s="11" t="str">
        <f>ETLMetadata!$E548</f>
        <v>EEDS_AMR_2</v>
      </c>
      <c r="C548" s="11" t="str">
        <f>IF(ISBLANK(ETLMetadata!$J548), "", ETLMetadata!$J548)</f>
        <v/>
      </c>
      <c r="D548" s="11" t="str">
        <f>ETLMetadata!$G548</f>
        <v>CHAR(1)</v>
      </c>
      <c r="E548" s="12"/>
      <c r="F548" s="12"/>
      <c r="G548" s="12" t="str">
        <f t="shared" si="16"/>
        <v/>
      </c>
      <c r="H548" s="12"/>
      <c r="I548" s="12"/>
      <c r="J548" s="13">
        <v>45952</v>
      </c>
      <c r="K548" s="13">
        <v>2958465</v>
      </c>
      <c r="L548" s="11" t="str">
        <f t="shared" si="17"/>
        <v>INSERT INTO metadata_reference.file_schema VALUES('DETM_DETIS_EEDS','EEDS_AMR_2',NULL,'CHAR(1)',NULL,NULL,NULL,NULL,'2025-10-22','9999-12-31',USER, CURRENT_TIMESTAMP(0));</v>
      </c>
    </row>
    <row r="549" spans="1:12" ht="15" customHeight="1">
      <c r="A549" s="11" t="str">
        <f>ETLMetadata!$C549</f>
        <v>DETM_DETIS_EEDS</v>
      </c>
      <c r="B549" s="11" t="str">
        <f>ETLMetadata!$E549</f>
        <v>EEDS_AMR_3</v>
      </c>
      <c r="C549" s="11" t="str">
        <f>IF(ISBLANK(ETLMetadata!$J549), "", ETLMetadata!$J549)</f>
        <v/>
      </c>
      <c r="D549" s="11" t="str">
        <f>ETLMetadata!$G549</f>
        <v>CHAR(4)</v>
      </c>
      <c r="E549" s="12"/>
      <c r="F549" s="12"/>
      <c r="G549" s="12" t="str">
        <f t="shared" si="16"/>
        <v/>
      </c>
      <c r="H549" s="12"/>
      <c r="I549" s="12"/>
      <c r="J549" s="13">
        <v>45952</v>
      </c>
      <c r="K549" s="13">
        <v>2958465</v>
      </c>
      <c r="L549" s="11" t="str">
        <f t="shared" si="17"/>
        <v>INSERT INTO metadata_reference.file_schema VALUES('DETM_DETIS_EEDS','EEDS_AMR_3',NULL,'CHAR(4)',NULL,NULL,NULL,NULL,'2025-10-22','9999-12-31',USER, CURRENT_TIMESTAMP(0));</v>
      </c>
    </row>
    <row r="550" spans="1:12" ht="15" customHeight="1">
      <c r="A550" s="11" t="str">
        <f>ETLMetadata!$C550</f>
        <v>DETM_DETIS_EEDS</v>
      </c>
      <c r="B550" s="11" t="str">
        <f>ETLMetadata!$E550</f>
        <v>EEDS_BEN_TYPE_CODE</v>
      </c>
      <c r="C550" s="11" t="str">
        <f>IF(ISBLANK(ETLMetadata!$J550), "", ETLMetadata!$J550)</f>
        <v/>
      </c>
      <c r="D550" s="11" t="str">
        <f>ETLMetadata!$G550</f>
        <v>CHAR(3)</v>
      </c>
      <c r="E550" s="12"/>
      <c r="F550" s="12"/>
      <c r="G550" s="12" t="str">
        <f t="shared" si="16"/>
        <v/>
      </c>
      <c r="H550" s="12"/>
      <c r="I550" s="12"/>
      <c r="J550" s="13">
        <v>45952</v>
      </c>
      <c r="K550" s="13">
        <v>2958465</v>
      </c>
      <c r="L550" s="11" t="str">
        <f t="shared" si="17"/>
        <v>INSERT INTO metadata_reference.file_schema VALUES('DETM_DETIS_EEDS','EEDS_BEN_TYPE_CODE',NULL,'CHAR(3)',NULL,NULL,NULL,NULL,'2025-10-22','9999-12-31',USER, CURRENT_TIMESTAMP(0));</v>
      </c>
    </row>
    <row r="551" spans="1:12" ht="15" customHeight="1">
      <c r="A551" s="11" t="str">
        <f>ETLMetadata!$C551</f>
        <v>DETM_DETIS_EEDS</v>
      </c>
      <c r="B551" s="11" t="str">
        <f>ETLMetadata!$E551</f>
        <v>EEDS_STS_CODE</v>
      </c>
      <c r="C551" s="11" t="str">
        <f>IF(ISBLANK(ETLMetadata!$J551), "", ETLMetadata!$J551)</f>
        <v/>
      </c>
      <c r="D551" s="11" t="str">
        <f>ETLMetadata!$G551</f>
        <v>CHAR(3)</v>
      </c>
      <c r="E551" s="12"/>
      <c r="F551" s="12"/>
      <c r="G551" s="12" t="str">
        <f t="shared" si="16"/>
        <v/>
      </c>
      <c r="H551" s="12"/>
      <c r="I551" s="12"/>
      <c r="J551" s="13">
        <v>45952</v>
      </c>
      <c r="K551" s="13">
        <v>2958465</v>
      </c>
      <c r="L551" s="11" t="str">
        <f t="shared" si="17"/>
        <v>INSERT INTO metadata_reference.file_schema VALUES('DETM_DETIS_EEDS','EEDS_STS_CODE',NULL,'CHAR(3)',NULL,NULL,NULL,NULL,'2025-10-22','9999-12-31',USER, CURRENT_TIMESTAMP(0));</v>
      </c>
    </row>
    <row r="552" spans="1:12" ht="15" customHeight="1">
      <c r="A552" s="11" t="str">
        <f>ETLMetadata!$C552</f>
        <v>DETM_DETIS_EEDS</v>
      </c>
      <c r="B552" s="11" t="str">
        <f>ETLMetadata!$E552</f>
        <v>EEDS_RSN_CODE</v>
      </c>
      <c r="C552" s="11" t="str">
        <f>IF(ISBLANK(ETLMetadata!$J552), "", ETLMetadata!$J552)</f>
        <v/>
      </c>
      <c r="D552" s="11" t="str">
        <f>ETLMetadata!$G552</f>
        <v>CHAR(3)</v>
      </c>
      <c r="E552" s="12"/>
      <c r="F552" s="12"/>
      <c r="G552" s="12" t="str">
        <f t="shared" si="16"/>
        <v/>
      </c>
      <c r="H552" s="12"/>
      <c r="I552" s="12"/>
      <c r="J552" s="13">
        <v>45952</v>
      </c>
      <c r="K552" s="13">
        <v>2958465</v>
      </c>
      <c r="L552" s="11" t="str">
        <f t="shared" si="17"/>
        <v>INSERT INTO metadata_reference.file_schema VALUES('DETM_DETIS_EEDS','EEDS_RSN_CODE',NULL,'CHAR(3)',NULL,NULL,NULL,NULL,'2025-10-22','9999-12-31',USER, CURRENT_TIMESTAMP(0));</v>
      </c>
    </row>
    <row r="553" spans="1:12" ht="15" customHeight="1">
      <c r="A553" s="11" t="str">
        <f>ETLMetadata!$C553</f>
        <v>DETM_DETIS_EEDS</v>
      </c>
      <c r="B553" s="11" t="str">
        <f>ETLMetadata!$E553</f>
        <v>EEDS_UNIQ_ID</v>
      </c>
      <c r="C553" s="11" t="str">
        <f>IF(ISBLANK(ETLMetadata!$J553), "", ETLMetadata!$J553)</f>
        <v/>
      </c>
      <c r="D553" s="11" t="str">
        <f>ETLMetadata!$G553</f>
        <v>VARCHAR(8)</v>
      </c>
      <c r="E553" s="12"/>
      <c r="F553" s="12"/>
      <c r="G553" s="12" t="str">
        <f t="shared" si="16"/>
        <v/>
      </c>
      <c r="H553" s="12"/>
      <c r="I553" s="12"/>
      <c r="J553" s="13">
        <v>45952</v>
      </c>
      <c r="K553" s="13">
        <v>2958465</v>
      </c>
      <c r="L553" s="11" t="str">
        <f t="shared" si="17"/>
        <v>INSERT INTO metadata_reference.file_schema VALUES('DETM_DETIS_EEDS','EEDS_UNIQ_ID',NULL,'VARCHAR(8)',NULL,NULL,NULL,NULL,'2025-10-22','9999-12-31',USER, CURRENT_TIMESTAMP(0));</v>
      </c>
    </row>
    <row r="554" spans="1:12" ht="15" customHeight="1">
      <c r="A554" s="11" t="str">
        <f>ETLMetadata!$C554</f>
        <v>DETM_DETIS_EEDS</v>
      </c>
      <c r="B554" s="11" t="str">
        <f>ETLMetadata!$E554</f>
        <v>AMR1_RISL_DTS</v>
      </c>
      <c r="C554" s="11" t="str">
        <f>IF(ISBLANK(ETLMetadata!$J554), "", ETLMetadata!$J554)</f>
        <v/>
      </c>
      <c r="D554" s="11" t="str">
        <f>ETLMetadata!$G554</f>
        <v>TIMESTAMP(6)</v>
      </c>
      <c r="E554" s="12"/>
      <c r="F554" s="12"/>
      <c r="G554" s="12" t="str">
        <f t="shared" si="16"/>
        <v/>
      </c>
      <c r="H554" s="12"/>
      <c r="I554" s="12"/>
      <c r="J554" s="13">
        <v>45952</v>
      </c>
      <c r="K554" s="13">
        <v>2958465</v>
      </c>
      <c r="L554" s="11" t="str">
        <f t="shared" si="17"/>
        <v>INSERT INTO metadata_reference.file_schema VALUES('DETM_DETIS_EEDS','AMR1_RISL_DTS',NULL,'TIMESTAMP(6)',NULL,NULL,NULL,NULL,'2025-10-22','9999-12-31',USER, CURRENT_TIMESTAMP(0));</v>
      </c>
    </row>
    <row r="555" spans="1:12" ht="15" customHeight="1">
      <c r="A555" s="11" t="str">
        <f>ETLMetadata!$C555</f>
        <v>DETM_DETIS_EEDS</v>
      </c>
      <c r="B555" s="11" t="str">
        <f>ETLMetadata!$E555</f>
        <v>AMR3_RISL_DTS</v>
      </c>
      <c r="C555" s="11" t="str">
        <f>IF(ISBLANK(ETLMetadata!$J555), "", ETLMetadata!$J555)</f>
        <v/>
      </c>
      <c r="D555" s="11" t="str">
        <f>ETLMetadata!$G555</f>
        <v>TIMESTAMP(6)</v>
      </c>
      <c r="E555" s="12"/>
      <c r="F555" s="12"/>
      <c r="G555" s="12" t="str">
        <f t="shared" si="16"/>
        <v/>
      </c>
      <c r="H555" s="12"/>
      <c r="I555" s="12"/>
      <c r="J555" s="13">
        <v>45952</v>
      </c>
      <c r="K555" s="13">
        <v>2958465</v>
      </c>
      <c r="L555" s="11" t="str">
        <f t="shared" si="17"/>
        <v>INSERT INTO metadata_reference.file_schema VALUES('DETM_DETIS_EEDS','AMR3_RISL_DTS',NULL,'TIMESTAMP(6)',NULL,NULL,NULL,NULL,'2025-10-22','9999-12-31',USER, CURRENT_TIMESTAMP(0));</v>
      </c>
    </row>
    <row r="556" spans="1:12" ht="15" customHeight="1">
      <c r="A556" s="11" t="str">
        <f>ETLMetadata!$C556</f>
        <v>DETM_DETIS_EEDS</v>
      </c>
      <c r="B556" s="11" t="str">
        <f>ETLMetadata!$E556</f>
        <v>EPISODE_ID</v>
      </c>
      <c r="C556" s="11" t="str">
        <f>IF(ISBLANK(ETLMetadata!$J556), "", ETLMetadata!$J556)</f>
        <v/>
      </c>
      <c r="D556" s="11" t="str">
        <f>ETLMetadata!$G556</f>
        <v>INTEGER</v>
      </c>
      <c r="E556" s="12"/>
      <c r="F556" s="12"/>
      <c r="G556" s="12" t="str">
        <f t="shared" si="16"/>
        <v/>
      </c>
      <c r="H556" s="12"/>
      <c r="I556" s="12"/>
      <c r="J556" s="13">
        <v>45952</v>
      </c>
      <c r="K556" s="13">
        <v>2958465</v>
      </c>
      <c r="L556" s="11" t="str">
        <f t="shared" si="17"/>
        <v>INSERT INTO metadata_reference.file_schema VALUES('DETM_DETIS_EEDS','EPISODE_ID',NULL,'INTEGER',NULL,NULL,NULL,NULL,'2025-10-22','9999-12-31',USER, CURRENT_TIMESTAMP(0));</v>
      </c>
    </row>
    <row r="557" spans="1:12" ht="15" customHeight="1">
      <c r="A557" s="11" t="str">
        <f>ETLMetadata!$C557</f>
        <v>DETM_DETIS_EEDS</v>
      </c>
      <c r="B557" s="11" t="str">
        <f>ETLMetadata!$E557</f>
        <v>PARTY_ROLE_ID</v>
      </c>
      <c r="C557" s="11" t="str">
        <f>IF(ISBLANK(ETLMetadata!$J557), "", ETLMetadata!$J557)</f>
        <v/>
      </c>
      <c r="D557" s="11" t="str">
        <f>ETLMetadata!$G557</f>
        <v>INTEGER</v>
      </c>
      <c r="E557" s="12"/>
      <c r="F557" s="12"/>
      <c r="G557" s="12" t="str">
        <f t="shared" si="16"/>
        <v/>
      </c>
      <c r="H557" s="12"/>
      <c r="I557" s="12"/>
      <c r="J557" s="13">
        <v>45952</v>
      </c>
      <c r="K557" s="13">
        <v>2958465</v>
      </c>
      <c r="L557" s="11" t="str">
        <f t="shared" si="17"/>
        <v>INSERT INTO metadata_reference.file_schema VALUES('DETM_DETIS_EEDS','PARTY_ROLE_ID',NULL,'INTEGER',NULL,NULL,NULL,NULL,'2025-10-22','9999-12-31',USER, CURRENT_TIMESTAMP(0));</v>
      </c>
    </row>
    <row r="558" spans="1:12" ht="15" customHeight="1">
      <c r="A558" s="11" t="str">
        <f>ETLMetadata!$C558</f>
        <v>DETM_DETIS_EEDS</v>
      </c>
      <c r="B558" s="11" t="str">
        <f>ETLMetadata!$E558</f>
        <v>PAYMENT_TYPE_ID</v>
      </c>
      <c r="C558" s="11" t="str">
        <f>IF(ISBLANK(ETLMetadata!$J558), "", ETLMetadata!$J558)</f>
        <v/>
      </c>
      <c r="D558" s="11" t="str">
        <f>ETLMetadata!$G558</f>
        <v>INTEGER</v>
      </c>
      <c r="E558" s="12"/>
      <c r="F558" s="12"/>
      <c r="G558" s="12" t="str">
        <f t="shared" si="16"/>
        <v/>
      </c>
      <c r="H558" s="12"/>
      <c r="I558" s="12"/>
      <c r="J558" s="13">
        <v>45952</v>
      </c>
      <c r="K558" s="13">
        <v>2958465</v>
      </c>
      <c r="L558" s="11" t="str">
        <f t="shared" si="17"/>
        <v>INSERT INTO metadata_reference.file_schema VALUES('DETM_DETIS_EEDS','PAYMENT_TYPE_ID',NULL,'INTEGER',NULL,NULL,NULL,NULL,'2025-10-22','9999-12-31',USER, CURRENT_TIMESTAMP(0));</v>
      </c>
    </row>
    <row r="559" spans="1:12" ht="15" customHeight="1">
      <c r="A559" s="11" t="str">
        <f>ETLMetadata!$C559</f>
        <v>DETM_DETIS_EEDS</v>
      </c>
      <c r="B559" s="11" t="str">
        <f>ETLMetadata!$E559</f>
        <v>ERROR_COUNT</v>
      </c>
      <c r="C559" s="11" t="str">
        <f>IF(ISBLANK(ETLMetadata!$J559), "", ETLMetadata!$J559)</f>
        <v/>
      </c>
      <c r="D559" s="11" t="str">
        <f>ETLMetadata!$G559</f>
        <v>SMALLINT</v>
      </c>
      <c r="E559" s="12"/>
      <c r="F559" s="12"/>
      <c r="G559" s="12" t="str">
        <f t="shared" si="16"/>
        <v/>
      </c>
      <c r="H559" s="12"/>
      <c r="I559" s="12"/>
      <c r="J559" s="13">
        <v>45952</v>
      </c>
      <c r="K559" s="13">
        <v>2958465</v>
      </c>
      <c r="L559" s="11" t="str">
        <f t="shared" si="17"/>
        <v>INSERT INTO metadata_reference.file_schema VALUES('DETM_DETIS_EEDS','ERROR_COUNT',NULL,'SMALLINT',NULL,NULL,NULL,NULL,'2025-10-22','9999-12-31',USER, CURRENT_TIMESTAMP(0));</v>
      </c>
    </row>
    <row r="560" spans="1:12" ht="15" customHeight="1">
      <c r="A560" s="11" t="str">
        <f>ETLMetadata!$C560</f>
        <v>DETM_DETIS_EEDS</v>
      </c>
      <c r="B560" s="11" t="str">
        <f>ETLMetadata!$E560</f>
        <v>Start_Date</v>
      </c>
      <c r="C560" s="11" t="str">
        <f>IF(ISBLANK(ETLMetadata!$J560), "", ETLMetadata!$J560)</f>
        <v/>
      </c>
      <c r="D560" s="11" t="str">
        <f>ETLMetadata!$G560</f>
        <v>DATE</v>
      </c>
      <c r="E560" s="12"/>
      <c r="F560" s="12"/>
      <c r="G560" s="12" t="str">
        <f t="shared" si="16"/>
        <v/>
      </c>
      <c r="H560" s="12"/>
      <c r="I560" s="12"/>
      <c r="J560" s="13">
        <v>45952</v>
      </c>
      <c r="K560" s="13">
        <v>2958465</v>
      </c>
      <c r="L560" s="11" t="str">
        <f t="shared" si="17"/>
        <v>INSERT INTO metadata_reference.file_schema VALUES('DETM_DETIS_EEDS','Start_Date',NULL,'DATE',NULL,NULL,NULL,NULL,'2025-10-22','9999-12-31',USER, CURRENT_TIMESTAMP(0));</v>
      </c>
    </row>
    <row r="561" spans="1:12" ht="15" customHeight="1">
      <c r="A561" s="11" t="str">
        <f>ETLMetadata!$C561</f>
        <v>DETM_DETIS_EEDS</v>
      </c>
      <c r="B561" s="11" t="str">
        <f>ETLMetadata!$E561</f>
        <v>End_Date</v>
      </c>
      <c r="C561" s="11" t="str">
        <f>IF(ISBLANK(ETLMetadata!$J561), "", ETLMetadata!$J561)</f>
        <v/>
      </c>
      <c r="D561" s="11" t="str">
        <f>ETLMetadata!$G561</f>
        <v>DATE</v>
      </c>
      <c r="E561" s="12"/>
      <c r="F561" s="12"/>
      <c r="G561" s="12" t="str">
        <f t="shared" si="16"/>
        <v/>
      </c>
      <c r="H561" s="12"/>
      <c r="I561" s="12"/>
      <c r="J561" s="13">
        <v>45952</v>
      </c>
      <c r="K561" s="13">
        <v>2958465</v>
      </c>
      <c r="L561" s="11" t="str">
        <f t="shared" si="17"/>
        <v>INSERT INTO metadata_reference.file_schema VALUES('DETM_DETIS_EEDS','End_Date',NULL,'DATE',NULL,NULL,NULL,NULL,'2025-10-22','9999-12-31',USER, CURRENT_TIMESTAMP(0));</v>
      </c>
    </row>
    <row r="562" spans="1:12" ht="15" customHeight="1">
      <c r="A562" s="11" t="str">
        <f>ETLMetadata!$C562</f>
        <v>DETM_DETIS_EEDS</v>
      </c>
      <c r="B562" s="11" t="str">
        <f>ETLMetadata!$E562</f>
        <v>Record_Deleted_Flag</v>
      </c>
      <c r="C562" s="11" t="str">
        <f>IF(ISBLANK(ETLMetadata!$J562), "", ETLMetadata!$J562)</f>
        <v/>
      </c>
      <c r="D562" s="11" t="str">
        <f>ETLMetadata!$G562</f>
        <v>BYTEINT</v>
      </c>
      <c r="E562" s="12"/>
      <c r="F562" s="12"/>
      <c r="G562" s="12" t="str">
        <f t="shared" si="16"/>
        <v/>
      </c>
      <c r="H562" s="12"/>
      <c r="I562" s="12"/>
      <c r="J562" s="13">
        <v>45952</v>
      </c>
      <c r="K562" s="13">
        <v>2958465</v>
      </c>
      <c r="L562" s="11" t="str">
        <f t="shared" si="17"/>
        <v>INSERT INTO metadata_reference.file_schema VALUES('DETM_DETIS_EEDS','Record_Deleted_Flag',NULL,'BYTEINT',NULL,NULL,NULL,NULL,'2025-10-22','9999-12-31',USER, CURRENT_TIMESTAMP(0));</v>
      </c>
    </row>
    <row r="563" spans="1:12" ht="15" customHeight="1">
      <c r="A563" s="11" t="str">
        <f>ETLMetadata!$C563</f>
        <v>DETM_DETIS_EHDS</v>
      </c>
      <c r="B563" s="11" t="str">
        <f>ETLMetadata!$E563</f>
        <v>EXTRACT_DATE</v>
      </c>
      <c r="C563" s="11" t="str">
        <f>IF(ISBLANK(ETLMetadata!$J563), "", ETLMetadata!$J563)</f>
        <v/>
      </c>
      <c r="D563" s="11" t="str">
        <f>ETLMetadata!$G563</f>
        <v>DATE</v>
      </c>
      <c r="E563" s="12"/>
      <c r="F563" s="12"/>
      <c r="G563" s="12" t="str">
        <f t="shared" si="16"/>
        <v/>
      </c>
      <c r="H563" s="12"/>
      <c r="I563" s="12"/>
      <c r="J563" s="13">
        <v>45952</v>
      </c>
      <c r="K563" s="13">
        <v>2958465</v>
      </c>
      <c r="L563" s="11" t="str">
        <f t="shared" si="17"/>
        <v>INSERT INTO metadata_reference.file_schema VALUES('DETM_DETIS_EHDS','EXTRACT_DATE',NULL,'DATE',NULL,NULL,NULL,NULL,'2025-10-22','9999-12-31',USER, CURRENT_TIMESTAMP(0));</v>
      </c>
    </row>
    <row r="564" spans="1:12" ht="15" customHeight="1">
      <c r="A564" s="11" t="str">
        <f>ETLMetadata!$C564</f>
        <v>DETM_DETIS_EHDS</v>
      </c>
      <c r="B564" s="11" t="str">
        <f>ETLMetadata!$E564</f>
        <v>LOGICAL_DELETE_DATE</v>
      </c>
      <c r="C564" s="11" t="str">
        <f>IF(ISBLANK(ETLMetadata!$J564), "", ETLMetadata!$J564)</f>
        <v/>
      </c>
      <c r="D564" s="11" t="str">
        <f>ETLMetadata!$G564</f>
        <v>DATE</v>
      </c>
      <c r="E564" s="12"/>
      <c r="F564" s="12"/>
      <c r="G564" s="12" t="str">
        <f t="shared" si="16"/>
        <v/>
      </c>
      <c r="H564" s="12"/>
      <c r="I564" s="12"/>
      <c r="J564" s="13">
        <v>45952</v>
      </c>
      <c r="K564" s="13">
        <v>2958465</v>
      </c>
      <c r="L564" s="11" t="str">
        <f t="shared" si="17"/>
        <v>INSERT INTO metadata_reference.file_schema VALUES('DETM_DETIS_EHDS','LOGICAL_DELETE_DATE',NULL,'DATE',NULL,NULL,NULL,NULL,'2025-10-22','9999-12-31',USER, CURRENT_TIMESTAMP(0));</v>
      </c>
    </row>
    <row r="565" spans="1:12" ht="15" customHeight="1">
      <c r="A565" s="11" t="str">
        <f>ETLMetadata!$C565</f>
        <v>DETM_DETIS_EHDS</v>
      </c>
      <c r="B565" s="11" t="str">
        <f>ETLMetadata!$E565</f>
        <v>ENVIRONMENT_ID</v>
      </c>
      <c r="C565" s="11" t="str">
        <f>IF(ISBLANK(ETLMetadata!$J565), "", ETLMetadata!$J565)</f>
        <v>Y</v>
      </c>
      <c r="D565" s="11" t="str">
        <f>ETLMetadata!$G565</f>
        <v>CHAR(1)</v>
      </c>
      <c r="E565" s="12"/>
      <c r="F565" s="12"/>
      <c r="G565" s="12" t="str">
        <f t="shared" si="16"/>
        <v/>
      </c>
      <c r="H565" s="12"/>
      <c r="I565" s="12"/>
      <c r="J565" s="13">
        <v>45952</v>
      </c>
      <c r="K565" s="13">
        <v>2958465</v>
      </c>
      <c r="L565" s="11" t="str">
        <f t="shared" si="17"/>
        <v>INSERT INTO metadata_reference.file_schema VALUES('DETM_DETIS_EHDS','ENVIRONMENT_ID','Y','CHAR(1)',NULL,NULL,NULL,NULL,'2025-10-22','9999-12-31',USER, CURRENT_TIMESTAMP(0));</v>
      </c>
    </row>
    <row r="566" spans="1:12" ht="15" customHeight="1">
      <c r="A566" s="11" t="str">
        <f>ETLMetadata!$C566</f>
        <v>DETM_DETIS_EHDS</v>
      </c>
      <c r="B566" s="11" t="str">
        <f>ETLMetadata!$E566</f>
        <v>PERSON_ID</v>
      </c>
      <c r="C566" s="11" t="str">
        <f>IF(ISBLANK(ETLMetadata!$J566), "", ETLMetadata!$J566)</f>
        <v>Y</v>
      </c>
      <c r="D566" s="11" t="str">
        <f>ETLMetadata!$G566</f>
        <v>INTEGER</v>
      </c>
      <c r="E566" s="12"/>
      <c r="F566" s="12" t="s">
        <v>799</v>
      </c>
      <c r="G566" s="12" t="str">
        <f t="shared" si="16"/>
        <v>PERSONAL_IDENTITYINFOINDIRECT</v>
      </c>
      <c r="H566" s="12"/>
      <c r="I566" s="12"/>
      <c r="J566" s="13">
        <v>45952</v>
      </c>
      <c r="K566" s="13">
        <v>2958465</v>
      </c>
      <c r="L566" s="11" t="str">
        <f t="shared" si="17"/>
        <v>INSERT INTO metadata_reference.file_schema VALUES('DETM_DETIS_EHDS','PERSON_ID','Y','INTEGER',NULL,'PERSONAL_IDENTITYINFOINDIRECT',NULL,NULL,'2025-10-22','9999-12-31',USER, CURRENT_TIMESTAMP(0));</v>
      </c>
    </row>
    <row r="567" spans="1:12" ht="15" customHeight="1">
      <c r="A567" s="11" t="str">
        <f>ETLMetadata!$C567</f>
        <v>DETM_DETIS_EHDS</v>
      </c>
      <c r="B567" s="11" t="str">
        <f>ETLMetadata!$E567</f>
        <v>EHDS_DOE</v>
      </c>
      <c r="C567" s="11" t="str">
        <f>IF(ISBLANK(ETLMetadata!$J567), "", ETLMetadata!$J567)</f>
        <v/>
      </c>
      <c r="D567" s="11" t="str">
        <f>ETLMetadata!$G567</f>
        <v>DATE</v>
      </c>
      <c r="E567" s="12"/>
      <c r="F567" s="12"/>
      <c r="G567" s="12" t="str">
        <f t="shared" si="16"/>
        <v/>
      </c>
      <c r="H567" s="12"/>
      <c r="I567" s="12"/>
      <c r="J567" s="13">
        <v>45952</v>
      </c>
      <c r="K567" s="13">
        <v>2958465</v>
      </c>
      <c r="L567" s="11" t="str">
        <f t="shared" si="17"/>
        <v>INSERT INTO metadata_reference.file_schema VALUES('DETM_DETIS_EHDS','EHDS_DOE',NULL,'DATE',NULL,NULL,NULL,NULL,'2025-10-22','9999-12-31',USER, CURRENT_TIMESTAMP(0));</v>
      </c>
    </row>
    <row r="568" spans="1:12" ht="15" customHeight="1">
      <c r="A568" s="11" t="str">
        <f>ETLMetadata!$C568</f>
        <v>DETM_DETIS_EHDS</v>
      </c>
      <c r="B568" s="11" t="str">
        <f>ETLMetadata!$E568</f>
        <v>EHDS_DOE_ORIG</v>
      </c>
      <c r="C568" s="11" t="str">
        <f>IF(ISBLANK(ETLMetadata!$J568), "", ETLMetadata!$J568)</f>
        <v/>
      </c>
      <c r="D568" s="11" t="str">
        <f>ETLMetadata!$G568</f>
        <v>INTEGER</v>
      </c>
      <c r="E568" s="12"/>
      <c r="F568" s="12"/>
      <c r="G568" s="12" t="str">
        <f t="shared" si="16"/>
        <v/>
      </c>
      <c r="H568" s="12"/>
      <c r="I568" s="12"/>
      <c r="J568" s="13">
        <v>45952</v>
      </c>
      <c r="K568" s="13">
        <v>2958465</v>
      </c>
      <c r="L568" s="11" t="str">
        <f t="shared" si="17"/>
        <v>INSERT INTO metadata_reference.file_schema VALUES('DETM_DETIS_EHDS','EHDS_DOE_ORIG',NULL,'INTEGER',NULL,NULL,NULL,NULL,'2025-10-22','9999-12-31',USER, CURRENT_TIMESTAMP(0));</v>
      </c>
    </row>
    <row r="569" spans="1:12" ht="15" customHeight="1">
      <c r="A569" s="11" t="str">
        <f>ETLMetadata!$C569</f>
        <v>DETM_DETIS_EHDS</v>
      </c>
      <c r="B569" s="11" t="str">
        <f>ETLMetadata!$E569</f>
        <v>EHDS_STS_CODE</v>
      </c>
      <c r="C569" s="11" t="str">
        <f>IF(ISBLANK(ETLMetadata!$J569), "", ETLMetadata!$J569)</f>
        <v/>
      </c>
      <c r="D569" s="11" t="str">
        <f>ETLMetadata!$G569</f>
        <v>CHAR(3)</v>
      </c>
      <c r="E569" s="12"/>
      <c r="F569" s="12"/>
      <c r="G569" s="12" t="str">
        <f t="shared" si="16"/>
        <v/>
      </c>
      <c r="H569" s="12"/>
      <c r="I569" s="12"/>
      <c r="J569" s="13">
        <v>45952</v>
      </c>
      <c r="K569" s="13">
        <v>2958465</v>
      </c>
      <c r="L569" s="11" t="str">
        <f t="shared" si="17"/>
        <v>INSERT INTO metadata_reference.file_schema VALUES('DETM_DETIS_EHDS','EHDS_STS_CODE',NULL,'CHAR(3)',NULL,NULL,NULL,NULL,'2025-10-22','9999-12-31',USER, CURRENT_TIMESTAMP(0));</v>
      </c>
    </row>
    <row r="570" spans="1:12" ht="15" customHeight="1">
      <c r="A570" s="11" t="str">
        <f>ETLMetadata!$C570</f>
        <v>DETM_DETIS_EHDS</v>
      </c>
      <c r="B570" s="11" t="str">
        <f>ETLMetadata!$E570</f>
        <v>PROCESSING_SEQUENCE</v>
      </c>
      <c r="C570" s="11" t="str">
        <f>IF(ISBLANK(ETLMetadata!$J570), "", ETLMetadata!$J570)</f>
        <v>Y</v>
      </c>
      <c r="D570" s="11" t="str">
        <f>ETLMetadata!$G570</f>
        <v>SMALLINT</v>
      </c>
      <c r="E570" s="12"/>
      <c r="F570" s="12"/>
      <c r="G570" s="12" t="str">
        <f t="shared" si="16"/>
        <v/>
      </c>
      <c r="H570" s="12"/>
      <c r="I570" s="12"/>
      <c r="J570" s="13">
        <v>45952</v>
      </c>
      <c r="K570" s="13">
        <v>2958465</v>
      </c>
      <c r="L570" s="11" t="str">
        <f t="shared" si="17"/>
        <v>INSERT INTO metadata_reference.file_schema VALUES('DETM_DETIS_EHDS','PROCESSING_SEQUENCE','Y','SMALLINT',NULL,NULL,NULL,NULL,'2025-10-22','9999-12-31',USER, CURRENT_TIMESTAMP(0));</v>
      </c>
    </row>
    <row r="571" spans="1:12" ht="15" customHeight="1">
      <c r="A571" s="11" t="str">
        <f>ETLMetadata!$C571</f>
        <v>DETM_DETIS_EHDS</v>
      </c>
      <c r="B571" s="11" t="str">
        <f>ETLMetadata!$E571</f>
        <v>EHDS_AMR_1</v>
      </c>
      <c r="C571" s="11" t="str">
        <f>IF(ISBLANK(ETLMetadata!$J571), "", ETLMetadata!$J571)</f>
        <v/>
      </c>
      <c r="D571" s="11" t="str">
        <f>ETLMetadata!$G571</f>
        <v>CHAR(4)</v>
      </c>
      <c r="E571" s="12"/>
      <c r="F571" s="12"/>
      <c r="G571" s="12" t="str">
        <f t="shared" si="16"/>
        <v/>
      </c>
      <c r="H571" s="12"/>
      <c r="I571" s="12"/>
      <c r="J571" s="13">
        <v>45952</v>
      </c>
      <c r="K571" s="13">
        <v>2958465</v>
      </c>
      <c r="L571" s="11" t="str">
        <f t="shared" si="17"/>
        <v>INSERT INTO metadata_reference.file_schema VALUES('DETM_DETIS_EHDS','EHDS_AMR_1',NULL,'CHAR(4)',NULL,NULL,NULL,NULL,'2025-10-22','9999-12-31',USER, CURRENT_TIMESTAMP(0));</v>
      </c>
    </row>
    <row r="572" spans="1:12" ht="15" customHeight="1">
      <c r="A572" s="11" t="str">
        <f>ETLMetadata!$C572</f>
        <v>DETM_DETIS_EHDS</v>
      </c>
      <c r="B572" s="11" t="str">
        <f>ETLMetadata!$E572</f>
        <v>EHDS_AMR_2</v>
      </c>
      <c r="C572" s="11" t="str">
        <f>IF(ISBLANK(ETLMetadata!$J572), "", ETLMetadata!$J572)</f>
        <v/>
      </c>
      <c r="D572" s="11" t="str">
        <f>ETLMetadata!$G572</f>
        <v>CHAR(1)</v>
      </c>
      <c r="E572" s="12"/>
      <c r="F572" s="12"/>
      <c r="G572" s="12" t="str">
        <f t="shared" si="16"/>
        <v/>
      </c>
      <c r="H572" s="12"/>
      <c r="I572" s="12"/>
      <c r="J572" s="13">
        <v>45952</v>
      </c>
      <c r="K572" s="13">
        <v>2958465</v>
      </c>
      <c r="L572" s="11" t="str">
        <f t="shared" si="17"/>
        <v>INSERT INTO metadata_reference.file_schema VALUES('DETM_DETIS_EHDS','EHDS_AMR_2',NULL,'CHAR(1)',NULL,NULL,NULL,NULL,'2025-10-22','9999-12-31',USER, CURRENT_TIMESTAMP(0));</v>
      </c>
    </row>
    <row r="573" spans="1:12" ht="15" customHeight="1">
      <c r="A573" s="11" t="str">
        <f>ETLMetadata!$C573</f>
        <v>DETM_DETIS_EHDS</v>
      </c>
      <c r="B573" s="11" t="str">
        <f>ETLMetadata!$E573</f>
        <v>EHDS_AMR_3</v>
      </c>
      <c r="C573" s="11" t="str">
        <f>IF(ISBLANK(ETLMetadata!$J573), "", ETLMetadata!$J573)</f>
        <v/>
      </c>
      <c r="D573" s="11" t="str">
        <f>ETLMetadata!$G573</f>
        <v>CHAR(4)</v>
      </c>
      <c r="E573" s="12"/>
      <c r="F573" s="12"/>
      <c r="G573" s="12" t="str">
        <f t="shared" si="16"/>
        <v/>
      </c>
      <c r="H573" s="12"/>
      <c r="I573" s="12"/>
      <c r="J573" s="13">
        <v>45952</v>
      </c>
      <c r="K573" s="13">
        <v>2958465</v>
      </c>
      <c r="L573" s="11" t="str">
        <f t="shared" si="17"/>
        <v>INSERT INTO metadata_reference.file_schema VALUES('DETM_DETIS_EHDS','EHDS_AMR_3',NULL,'CHAR(4)',NULL,NULL,NULL,NULL,'2025-10-22','9999-12-31',USER, CURRENT_TIMESTAMP(0));</v>
      </c>
    </row>
    <row r="574" spans="1:12" ht="15" customHeight="1">
      <c r="A574" s="11" t="str">
        <f>ETLMetadata!$C574</f>
        <v>DETM_DETIS_EHDS</v>
      </c>
      <c r="B574" s="11" t="str">
        <f>ETLMetadata!$E574</f>
        <v>EHDS_BEN_TYPE_CODE</v>
      </c>
      <c r="C574" s="11" t="str">
        <f>IF(ISBLANK(ETLMetadata!$J574), "", ETLMetadata!$J574)</f>
        <v/>
      </c>
      <c r="D574" s="11" t="str">
        <f>ETLMetadata!$G574</f>
        <v>CHAR(3)</v>
      </c>
      <c r="E574" s="12"/>
      <c r="F574" s="12"/>
      <c r="G574" s="12" t="str">
        <f t="shared" si="16"/>
        <v/>
      </c>
      <c r="H574" s="12"/>
      <c r="I574" s="12"/>
      <c r="J574" s="13">
        <v>45952</v>
      </c>
      <c r="K574" s="13">
        <v>2958465</v>
      </c>
      <c r="L574" s="11" t="str">
        <f t="shared" si="17"/>
        <v>INSERT INTO metadata_reference.file_schema VALUES('DETM_DETIS_EHDS','EHDS_BEN_TYPE_CODE',NULL,'CHAR(3)',NULL,NULL,NULL,NULL,'2025-10-22','9999-12-31',USER, CURRENT_TIMESTAMP(0));</v>
      </c>
    </row>
    <row r="575" spans="1:12" ht="15" customHeight="1">
      <c r="A575" s="11" t="str">
        <f>ETLMetadata!$C575</f>
        <v>DETM_DETIS_EHDS</v>
      </c>
      <c r="B575" s="11" t="str">
        <f>ETLMetadata!$E575</f>
        <v>EHDS_RSN_CODE</v>
      </c>
      <c r="C575" s="11" t="str">
        <f>IF(ISBLANK(ETLMetadata!$J575), "", ETLMetadata!$J575)</f>
        <v/>
      </c>
      <c r="D575" s="11" t="str">
        <f>ETLMetadata!$G575</f>
        <v>CHAR(3)</v>
      </c>
      <c r="E575" s="12"/>
      <c r="F575" s="12"/>
      <c r="G575" s="12" t="str">
        <f t="shared" si="16"/>
        <v/>
      </c>
      <c r="H575" s="12"/>
      <c r="I575" s="12"/>
      <c r="J575" s="13">
        <v>45952</v>
      </c>
      <c r="K575" s="13">
        <v>2958465</v>
      </c>
      <c r="L575" s="11" t="str">
        <f t="shared" si="17"/>
        <v>INSERT INTO metadata_reference.file_schema VALUES('DETM_DETIS_EHDS','EHDS_RSN_CODE',NULL,'CHAR(3)',NULL,NULL,NULL,NULL,'2025-10-22','9999-12-31',USER, CURRENT_TIMESTAMP(0));</v>
      </c>
    </row>
    <row r="576" spans="1:12" ht="15" customHeight="1">
      <c r="A576" s="11" t="str">
        <f>ETLMetadata!$C576</f>
        <v>DETM_DETIS_EHDS</v>
      </c>
      <c r="B576" s="11" t="str">
        <f>ETLMetadata!$E576</f>
        <v>AMR1_RISL_DTS</v>
      </c>
      <c r="C576" s="11" t="str">
        <f>IF(ISBLANK(ETLMetadata!$J576), "", ETLMetadata!$J576)</f>
        <v/>
      </c>
      <c r="D576" s="11" t="str">
        <f>ETLMetadata!$G576</f>
        <v>TIMESTAMP(6)</v>
      </c>
      <c r="E576" s="12"/>
      <c r="F576" s="12"/>
      <c r="G576" s="12" t="str">
        <f t="shared" si="16"/>
        <v/>
      </c>
      <c r="H576" s="12"/>
      <c r="I576" s="12"/>
      <c r="J576" s="13">
        <v>45952</v>
      </c>
      <c r="K576" s="13">
        <v>2958465</v>
      </c>
      <c r="L576" s="11" t="str">
        <f t="shared" si="17"/>
        <v>INSERT INTO metadata_reference.file_schema VALUES('DETM_DETIS_EHDS','AMR1_RISL_DTS',NULL,'TIMESTAMP(6)',NULL,NULL,NULL,NULL,'2025-10-22','9999-12-31',USER, CURRENT_TIMESTAMP(0));</v>
      </c>
    </row>
    <row r="577" spans="1:12" ht="15" customHeight="1">
      <c r="A577" s="11" t="str">
        <f>ETLMetadata!$C577</f>
        <v>DETM_DETIS_EHDS</v>
      </c>
      <c r="B577" s="11" t="str">
        <f>ETLMetadata!$E577</f>
        <v>AMR3_RISL_DTS</v>
      </c>
      <c r="C577" s="11" t="str">
        <f>IF(ISBLANK(ETLMetadata!$J577), "", ETLMetadata!$J577)</f>
        <v/>
      </c>
      <c r="D577" s="11" t="str">
        <f>ETLMetadata!$G577</f>
        <v>TIMESTAMP(6)</v>
      </c>
      <c r="E577" s="12"/>
      <c r="F577" s="12"/>
      <c r="G577" s="12" t="str">
        <f t="shared" si="16"/>
        <v/>
      </c>
      <c r="H577" s="12"/>
      <c r="I577" s="12"/>
      <c r="J577" s="13">
        <v>45952</v>
      </c>
      <c r="K577" s="13">
        <v>2958465</v>
      </c>
      <c r="L577" s="11" t="str">
        <f t="shared" si="17"/>
        <v>INSERT INTO metadata_reference.file_schema VALUES('DETM_DETIS_EHDS','AMR3_RISL_DTS',NULL,'TIMESTAMP(6)',NULL,NULL,NULL,NULL,'2025-10-22','9999-12-31',USER, CURRENT_TIMESTAMP(0));</v>
      </c>
    </row>
    <row r="578" spans="1:12" ht="15" customHeight="1">
      <c r="A578" s="11" t="str">
        <f>ETLMetadata!$C578</f>
        <v>DETM_DETIS_EHDS</v>
      </c>
      <c r="B578" s="11" t="str">
        <f>ETLMetadata!$E578</f>
        <v>EPISODE_ID</v>
      </c>
      <c r="C578" s="11" t="str">
        <f>IF(ISBLANK(ETLMetadata!$J578), "", ETLMetadata!$J578)</f>
        <v/>
      </c>
      <c r="D578" s="11" t="str">
        <f>ETLMetadata!$G578</f>
        <v>INTEGER</v>
      </c>
      <c r="E578" s="12"/>
      <c r="F578" s="12"/>
      <c r="G578" s="12" t="str">
        <f t="shared" si="16"/>
        <v/>
      </c>
      <c r="H578" s="12"/>
      <c r="I578" s="12"/>
      <c r="J578" s="13">
        <v>45952</v>
      </c>
      <c r="K578" s="13">
        <v>2958465</v>
      </c>
      <c r="L578" s="11" t="str">
        <f t="shared" si="17"/>
        <v>INSERT INTO metadata_reference.file_schema VALUES('DETM_DETIS_EHDS','EPISODE_ID',NULL,'INTEGER',NULL,NULL,NULL,NULL,'2025-10-22','9999-12-31',USER, CURRENT_TIMESTAMP(0));</v>
      </c>
    </row>
    <row r="579" spans="1:12" ht="15" customHeight="1">
      <c r="A579" s="11" t="str">
        <f>ETLMetadata!$C579</f>
        <v>DETM_DETIS_EHDS</v>
      </c>
      <c r="B579" s="11" t="str">
        <f>ETLMetadata!$E579</f>
        <v>PARTY_ROLE_ID</v>
      </c>
      <c r="C579" s="11" t="str">
        <f>IF(ISBLANK(ETLMetadata!$J579), "", ETLMetadata!$J579)</f>
        <v/>
      </c>
      <c r="D579" s="11" t="str">
        <f>ETLMetadata!$G579</f>
        <v>INTEGER</v>
      </c>
      <c r="E579" s="12"/>
      <c r="F579" s="12"/>
      <c r="G579" s="12" t="str">
        <f t="shared" ref="G579:G642" si="18">UPPER($F579)</f>
        <v/>
      </c>
      <c r="H579" s="12"/>
      <c r="I579" s="12"/>
      <c r="J579" s="13">
        <v>45952</v>
      </c>
      <c r="K579" s="13">
        <v>2958465</v>
      </c>
      <c r="L579" s="11" t="str">
        <f t="shared" ref="L579:L642" si="19">CONCATENATE("INSERT INTO metadata_reference.file_schema VALUES('",TRIM(A579),"','",TRIM(B579),"',",IF(TRIM(C579)="","NULL","'"&amp;TRIM(C579)&amp;"'"),",'",TRIM(D579),"',",IF(TRIM(E579)="","NULL","'"&amp;TRIM(E579)&amp;"'"),",",IF(TRIM(G579)="","NULL","'"&amp;TRIM(G579)&amp;"'"),",",IF(TRIM(H579)="","NULL","'"&amp;TRIM(H579)&amp;"'"),",",
IF(TRIM(I579)="","NULL",TRIM(I579)),",",IF(TRIM(J579)="","NULL","'"&amp;TEXT(J579,"yyyy-mm-dd")&amp;"'"),",",IF(TRIM(K579)="","NULL","'"&amp;TEXT(K579,"yyyy-mm-dd")&amp;"'"),",","USER, CURRENT_TIMESTAMP(0));")</f>
        <v>INSERT INTO metadata_reference.file_schema VALUES('DETM_DETIS_EHDS','PARTY_ROLE_ID',NULL,'INTEGER',NULL,NULL,NULL,NULL,'2025-10-22','9999-12-31',USER, CURRENT_TIMESTAMP(0));</v>
      </c>
    </row>
    <row r="580" spans="1:12" ht="15" customHeight="1">
      <c r="A580" s="11" t="str">
        <f>ETLMetadata!$C580</f>
        <v>DETM_DETIS_EHDS</v>
      </c>
      <c r="B580" s="11" t="str">
        <f>ETLMetadata!$E580</f>
        <v>PAYMENT_TYPE_ID</v>
      </c>
      <c r="C580" s="11" t="str">
        <f>IF(ISBLANK(ETLMetadata!$J580), "", ETLMetadata!$J580)</f>
        <v/>
      </c>
      <c r="D580" s="11" t="str">
        <f>ETLMetadata!$G580</f>
        <v>INTEGER</v>
      </c>
      <c r="E580" s="12"/>
      <c r="F580" s="12"/>
      <c r="G580" s="12" t="str">
        <f t="shared" si="18"/>
        <v/>
      </c>
      <c r="H580" s="12"/>
      <c r="I580" s="12"/>
      <c r="J580" s="13">
        <v>45952</v>
      </c>
      <c r="K580" s="13">
        <v>2958465</v>
      </c>
      <c r="L580" s="11" t="str">
        <f t="shared" si="19"/>
        <v>INSERT INTO metadata_reference.file_schema VALUES('DETM_DETIS_EHDS','PAYMENT_TYPE_ID',NULL,'INTEGER',NULL,NULL,NULL,NULL,'2025-10-22','9999-12-31',USER, CURRENT_TIMESTAMP(0));</v>
      </c>
    </row>
    <row r="581" spans="1:12" ht="15" customHeight="1">
      <c r="A581" s="11" t="str">
        <f>ETLMetadata!$C581</f>
        <v>DETM_DETIS_EHDS</v>
      </c>
      <c r="B581" s="11" t="str">
        <f>ETLMetadata!$E581</f>
        <v>ERROR_COUNT</v>
      </c>
      <c r="C581" s="11" t="str">
        <f>IF(ISBLANK(ETLMetadata!$J581), "", ETLMetadata!$J581)</f>
        <v/>
      </c>
      <c r="D581" s="11" t="str">
        <f>ETLMetadata!$G581</f>
        <v>SMALLINT</v>
      </c>
      <c r="E581" s="12"/>
      <c r="F581" s="12"/>
      <c r="G581" s="12" t="str">
        <f t="shared" si="18"/>
        <v/>
      </c>
      <c r="H581" s="12"/>
      <c r="I581" s="12"/>
      <c r="J581" s="13">
        <v>45952</v>
      </c>
      <c r="K581" s="13">
        <v>2958465</v>
      </c>
      <c r="L581" s="11" t="str">
        <f t="shared" si="19"/>
        <v>INSERT INTO metadata_reference.file_schema VALUES('DETM_DETIS_EHDS','ERROR_COUNT',NULL,'SMALLINT',NULL,NULL,NULL,NULL,'2025-10-22','9999-12-31',USER, CURRENT_TIMESTAMP(0));</v>
      </c>
    </row>
    <row r="582" spans="1:12" ht="15" customHeight="1">
      <c r="A582" s="11" t="str">
        <f>ETLMetadata!$C582</f>
        <v>DETM_DETIS_EHDS</v>
      </c>
      <c r="B582" s="11" t="str">
        <f>ETLMetadata!$E582</f>
        <v>Start_Date</v>
      </c>
      <c r="C582" s="11" t="str">
        <f>IF(ISBLANK(ETLMetadata!$J582), "", ETLMetadata!$J582)</f>
        <v/>
      </c>
      <c r="D582" s="11" t="str">
        <f>ETLMetadata!$G582</f>
        <v>DATE</v>
      </c>
      <c r="E582" s="12"/>
      <c r="F582" s="12"/>
      <c r="G582" s="12" t="str">
        <f t="shared" si="18"/>
        <v/>
      </c>
      <c r="H582" s="12"/>
      <c r="I582" s="12"/>
      <c r="J582" s="13">
        <v>45952</v>
      </c>
      <c r="K582" s="13">
        <v>2958465</v>
      </c>
      <c r="L582" s="11" t="str">
        <f t="shared" si="19"/>
        <v>INSERT INTO metadata_reference.file_schema VALUES('DETM_DETIS_EHDS','Start_Date',NULL,'DATE',NULL,NULL,NULL,NULL,'2025-10-22','9999-12-31',USER, CURRENT_TIMESTAMP(0));</v>
      </c>
    </row>
    <row r="583" spans="1:12" ht="15" customHeight="1">
      <c r="A583" s="11" t="str">
        <f>ETLMetadata!$C583</f>
        <v>DETM_DETIS_EHDS</v>
      </c>
      <c r="B583" s="11" t="str">
        <f>ETLMetadata!$E583</f>
        <v>End_Date</v>
      </c>
      <c r="C583" s="11" t="str">
        <f>IF(ISBLANK(ETLMetadata!$J583), "", ETLMetadata!$J583)</f>
        <v/>
      </c>
      <c r="D583" s="11" t="str">
        <f>ETLMetadata!$G583</f>
        <v>DATE</v>
      </c>
      <c r="E583" s="12"/>
      <c r="F583" s="12"/>
      <c r="G583" s="12" t="str">
        <f t="shared" si="18"/>
        <v/>
      </c>
      <c r="H583" s="12"/>
      <c r="I583" s="12"/>
      <c r="J583" s="13">
        <v>45952</v>
      </c>
      <c r="K583" s="13">
        <v>2958465</v>
      </c>
      <c r="L583" s="11" t="str">
        <f t="shared" si="19"/>
        <v>INSERT INTO metadata_reference.file_schema VALUES('DETM_DETIS_EHDS','End_Date',NULL,'DATE',NULL,NULL,NULL,NULL,'2025-10-22','9999-12-31',USER, CURRENT_TIMESTAMP(0));</v>
      </c>
    </row>
    <row r="584" spans="1:12" ht="15" customHeight="1">
      <c r="A584" s="11" t="str">
        <f>ETLMetadata!$C584</f>
        <v>DETM_DETIS_EHDS</v>
      </c>
      <c r="B584" s="11" t="str">
        <f>ETLMetadata!$E584</f>
        <v>Record_Deleted_Flag</v>
      </c>
      <c r="C584" s="11" t="str">
        <f>IF(ISBLANK(ETLMetadata!$J584), "", ETLMetadata!$J584)</f>
        <v/>
      </c>
      <c r="D584" s="11" t="str">
        <f>ETLMetadata!$G584</f>
        <v>BYTEINT</v>
      </c>
      <c r="E584" s="12"/>
      <c r="F584" s="12"/>
      <c r="G584" s="12" t="str">
        <f t="shared" si="18"/>
        <v/>
      </c>
      <c r="H584" s="12"/>
      <c r="I584" s="12"/>
      <c r="J584" s="13">
        <v>45952</v>
      </c>
      <c r="K584" s="13">
        <v>2958465</v>
      </c>
      <c r="L584" s="11" t="str">
        <f t="shared" si="19"/>
        <v>INSERT INTO metadata_reference.file_schema VALUES('DETM_DETIS_EHDS','Record_Deleted_Flag',NULL,'BYTEINT',NULL,NULL,NULL,NULL,'2025-10-22','9999-12-31',USER, CURRENT_TIMESTAMP(0));</v>
      </c>
    </row>
    <row r="585" spans="1:12" ht="15" customHeight="1">
      <c r="A585" s="11" t="str">
        <f>ETLMetadata!$C585</f>
        <v>DETM_DETIS_EMDS</v>
      </c>
      <c r="B585" s="11" t="str">
        <f>ETLMetadata!$E585</f>
        <v>EXTRACT_DATE</v>
      </c>
      <c r="C585" s="11" t="str">
        <f>IF(ISBLANK(ETLMetadata!$J585), "", ETLMetadata!$J585)</f>
        <v/>
      </c>
      <c r="D585" s="11" t="str">
        <f>ETLMetadata!$G585</f>
        <v>DATE</v>
      </c>
      <c r="E585" s="12"/>
      <c r="F585" s="12"/>
      <c r="G585" s="12" t="str">
        <f t="shared" si="18"/>
        <v/>
      </c>
      <c r="H585" s="12"/>
      <c r="I585" s="12"/>
      <c r="J585" s="13">
        <v>45952</v>
      </c>
      <c r="K585" s="13">
        <v>2958465</v>
      </c>
      <c r="L585" s="11" t="str">
        <f t="shared" si="19"/>
        <v>INSERT INTO metadata_reference.file_schema VALUES('DETM_DETIS_EMDS','EXTRACT_DATE',NULL,'DATE',NULL,NULL,NULL,NULL,'2025-10-22','9999-12-31',USER, CURRENT_TIMESTAMP(0));</v>
      </c>
    </row>
    <row r="586" spans="1:12" ht="15" customHeight="1">
      <c r="A586" s="11" t="str">
        <f>ETLMetadata!$C586</f>
        <v>DETM_DETIS_EMDS</v>
      </c>
      <c r="B586" s="11" t="str">
        <f>ETLMetadata!$E586</f>
        <v>LOGICAL_DELETE_DATE</v>
      </c>
      <c r="C586" s="11" t="str">
        <f>IF(ISBLANK(ETLMetadata!$J586), "", ETLMetadata!$J586)</f>
        <v/>
      </c>
      <c r="D586" s="11" t="str">
        <f>ETLMetadata!$G586</f>
        <v>DATE</v>
      </c>
      <c r="E586" s="12"/>
      <c r="F586" s="12"/>
      <c r="G586" s="12" t="str">
        <f t="shared" si="18"/>
        <v/>
      </c>
      <c r="H586" s="12"/>
      <c r="I586" s="12"/>
      <c r="J586" s="13">
        <v>45952</v>
      </c>
      <c r="K586" s="13">
        <v>2958465</v>
      </c>
      <c r="L586" s="11" t="str">
        <f t="shared" si="19"/>
        <v>INSERT INTO metadata_reference.file_schema VALUES('DETM_DETIS_EMDS','LOGICAL_DELETE_DATE',NULL,'DATE',NULL,NULL,NULL,NULL,'2025-10-22','9999-12-31',USER, CURRENT_TIMESTAMP(0));</v>
      </c>
    </row>
    <row r="587" spans="1:12" ht="15" customHeight="1">
      <c r="A587" s="11" t="str">
        <f>ETLMetadata!$C587</f>
        <v>DETM_DETIS_EMDS</v>
      </c>
      <c r="B587" s="11" t="str">
        <f>ETLMetadata!$E587</f>
        <v>ENVIRONMENT_ID</v>
      </c>
      <c r="C587" s="11" t="str">
        <f>IF(ISBLANK(ETLMetadata!$J587), "", ETLMetadata!$J587)</f>
        <v>Y</v>
      </c>
      <c r="D587" s="11" t="str">
        <f>ETLMetadata!$G587</f>
        <v>CHAR(1)</v>
      </c>
      <c r="E587" s="12"/>
      <c r="F587" s="12"/>
      <c r="G587" s="12" t="str">
        <f t="shared" si="18"/>
        <v/>
      </c>
      <c r="H587" s="12"/>
      <c r="I587" s="12"/>
      <c r="J587" s="13">
        <v>45952</v>
      </c>
      <c r="K587" s="13">
        <v>2958465</v>
      </c>
      <c r="L587" s="11" t="str">
        <f t="shared" si="19"/>
        <v>INSERT INTO metadata_reference.file_schema VALUES('DETM_DETIS_EMDS','ENVIRONMENT_ID','Y','CHAR(1)',NULL,NULL,NULL,NULL,'2025-10-22','9999-12-31',USER, CURRENT_TIMESTAMP(0));</v>
      </c>
    </row>
    <row r="588" spans="1:12" ht="15" customHeight="1">
      <c r="A588" s="11" t="str">
        <f>ETLMetadata!$C588</f>
        <v>DETM_DETIS_EMDS</v>
      </c>
      <c r="B588" s="11" t="str">
        <f>ETLMetadata!$E588</f>
        <v>PERSON_ID</v>
      </c>
      <c r="C588" s="11" t="str">
        <f>IF(ISBLANK(ETLMetadata!$J588), "", ETLMetadata!$J588)</f>
        <v>Y</v>
      </c>
      <c r="D588" s="11" t="str">
        <f>ETLMetadata!$G588</f>
        <v>INTEGER</v>
      </c>
      <c r="E588" s="12"/>
      <c r="F588" s="12" t="s">
        <v>799</v>
      </c>
      <c r="G588" s="12" t="str">
        <f t="shared" si="18"/>
        <v>PERSONAL_IDENTITYINFOINDIRECT</v>
      </c>
      <c r="H588" s="12"/>
      <c r="I588" s="12"/>
      <c r="J588" s="13">
        <v>45952</v>
      </c>
      <c r="K588" s="13">
        <v>2958465</v>
      </c>
      <c r="L588" s="11" t="str">
        <f t="shared" si="19"/>
        <v>INSERT INTO metadata_reference.file_schema VALUES('DETM_DETIS_EMDS','PERSON_ID','Y','INTEGER',NULL,'PERSONAL_IDENTITYINFOINDIRECT',NULL,NULL,'2025-10-22','9999-12-31',USER, CURRENT_TIMESTAMP(0));</v>
      </c>
    </row>
    <row r="589" spans="1:12" ht="15" customHeight="1">
      <c r="A589" s="11" t="str">
        <f>ETLMetadata!$C589</f>
        <v>DETM_DETIS_EMDS</v>
      </c>
      <c r="B589" s="11" t="str">
        <f>ETLMetadata!$E589</f>
        <v>EMDS_DOE</v>
      </c>
      <c r="C589" s="11" t="str">
        <f>IF(ISBLANK(ETLMetadata!$J589), "", ETLMetadata!$J589)</f>
        <v/>
      </c>
      <c r="D589" s="11" t="str">
        <f>ETLMetadata!$G589</f>
        <v>DATE</v>
      </c>
      <c r="E589" s="12"/>
      <c r="F589" s="12"/>
      <c r="G589" s="12" t="str">
        <f t="shared" si="18"/>
        <v/>
      </c>
      <c r="H589" s="12"/>
      <c r="I589" s="12"/>
      <c r="J589" s="13">
        <v>45952</v>
      </c>
      <c r="K589" s="13">
        <v>2958465</v>
      </c>
      <c r="L589" s="11" t="str">
        <f t="shared" si="19"/>
        <v>INSERT INTO metadata_reference.file_schema VALUES('DETM_DETIS_EMDS','EMDS_DOE',NULL,'DATE',NULL,NULL,NULL,NULL,'2025-10-22','9999-12-31',USER, CURRENT_TIMESTAMP(0));</v>
      </c>
    </row>
    <row r="590" spans="1:12" ht="15" customHeight="1">
      <c r="A590" s="11" t="str">
        <f>ETLMetadata!$C590</f>
        <v>DETM_DETIS_EMDS</v>
      </c>
      <c r="B590" s="11" t="str">
        <f>ETLMetadata!$E590</f>
        <v>EMDS_DOE_ORIG</v>
      </c>
      <c r="C590" s="11" t="str">
        <f>IF(ISBLANK(ETLMetadata!$J590), "", ETLMetadata!$J590)</f>
        <v/>
      </c>
      <c r="D590" s="11" t="str">
        <f>ETLMetadata!$G590</f>
        <v>INTEGER</v>
      </c>
      <c r="E590" s="12"/>
      <c r="F590" s="12"/>
      <c r="G590" s="12" t="str">
        <f t="shared" si="18"/>
        <v/>
      </c>
      <c r="H590" s="12"/>
      <c r="I590" s="12"/>
      <c r="J590" s="13">
        <v>45952</v>
      </c>
      <c r="K590" s="13">
        <v>2958465</v>
      </c>
      <c r="L590" s="11" t="str">
        <f t="shared" si="19"/>
        <v>INSERT INTO metadata_reference.file_schema VALUES('DETM_DETIS_EMDS','EMDS_DOE_ORIG',NULL,'INTEGER',NULL,NULL,NULL,NULL,'2025-10-22','9999-12-31',USER, CURRENT_TIMESTAMP(0));</v>
      </c>
    </row>
    <row r="591" spans="1:12" ht="15" customHeight="1">
      <c r="A591" s="11" t="str">
        <f>ETLMetadata!$C591</f>
        <v>DETM_DETIS_EMDS</v>
      </c>
      <c r="B591" s="11" t="str">
        <f>ETLMetadata!$E591</f>
        <v>PROCESSING_SEQUENCE</v>
      </c>
      <c r="C591" s="11" t="str">
        <f>IF(ISBLANK(ETLMetadata!$J591), "", ETLMetadata!$J591)</f>
        <v>Y</v>
      </c>
      <c r="D591" s="11" t="str">
        <f>ETLMetadata!$G591</f>
        <v>SMALLINT</v>
      </c>
      <c r="E591" s="12"/>
      <c r="F591" s="12"/>
      <c r="G591" s="12" t="str">
        <f t="shared" si="18"/>
        <v/>
      </c>
      <c r="H591" s="12"/>
      <c r="I591" s="12"/>
      <c r="J591" s="13">
        <v>45952</v>
      </c>
      <c r="K591" s="13">
        <v>2958465</v>
      </c>
      <c r="L591" s="11" t="str">
        <f t="shared" si="19"/>
        <v>INSERT INTO metadata_reference.file_schema VALUES('DETM_DETIS_EMDS','PROCESSING_SEQUENCE','Y','SMALLINT',NULL,NULL,NULL,NULL,'2025-10-22','9999-12-31',USER, CURRENT_TIMESTAMP(0));</v>
      </c>
    </row>
    <row r="592" spans="1:12" ht="15" customHeight="1">
      <c r="A592" s="11" t="str">
        <f>ETLMetadata!$C592</f>
        <v>DETM_DETIS_EMDS</v>
      </c>
      <c r="B592" s="11" t="str">
        <f>ETLMetadata!$E592</f>
        <v>EMDS_AMR_1</v>
      </c>
      <c r="C592" s="11" t="str">
        <f>IF(ISBLANK(ETLMetadata!$J592), "", ETLMetadata!$J592)</f>
        <v/>
      </c>
      <c r="D592" s="11" t="str">
        <f>ETLMetadata!$G592</f>
        <v>CHAR(4)</v>
      </c>
      <c r="E592" s="12"/>
      <c r="F592" s="12"/>
      <c r="G592" s="12" t="str">
        <f t="shared" si="18"/>
        <v/>
      </c>
      <c r="H592" s="12"/>
      <c r="I592" s="12"/>
      <c r="J592" s="13">
        <v>45952</v>
      </c>
      <c r="K592" s="13">
        <v>2958465</v>
      </c>
      <c r="L592" s="11" t="str">
        <f t="shared" si="19"/>
        <v>INSERT INTO metadata_reference.file_schema VALUES('DETM_DETIS_EMDS','EMDS_AMR_1',NULL,'CHAR(4)',NULL,NULL,NULL,NULL,'2025-10-22','9999-12-31',USER, CURRENT_TIMESTAMP(0));</v>
      </c>
    </row>
    <row r="593" spans="1:12" ht="15" customHeight="1">
      <c r="A593" s="11" t="str">
        <f>ETLMetadata!$C593</f>
        <v>DETM_DETIS_EMDS</v>
      </c>
      <c r="B593" s="11" t="str">
        <f>ETLMetadata!$E593</f>
        <v>EMDS_AMR_2</v>
      </c>
      <c r="C593" s="11" t="str">
        <f>IF(ISBLANK(ETLMetadata!$J593), "", ETLMetadata!$J593)</f>
        <v/>
      </c>
      <c r="D593" s="11" t="str">
        <f>ETLMetadata!$G593</f>
        <v>CHAR(1)</v>
      </c>
      <c r="E593" s="12"/>
      <c r="F593" s="12"/>
      <c r="G593" s="12" t="str">
        <f t="shared" si="18"/>
        <v/>
      </c>
      <c r="H593" s="12"/>
      <c r="I593" s="12"/>
      <c r="J593" s="13">
        <v>45952</v>
      </c>
      <c r="K593" s="13">
        <v>2958465</v>
      </c>
      <c r="L593" s="11" t="str">
        <f t="shared" si="19"/>
        <v>INSERT INTO metadata_reference.file_schema VALUES('DETM_DETIS_EMDS','EMDS_AMR_2',NULL,'CHAR(1)',NULL,NULL,NULL,NULL,'2025-10-22','9999-12-31',USER, CURRENT_TIMESTAMP(0));</v>
      </c>
    </row>
    <row r="594" spans="1:12" ht="15" customHeight="1">
      <c r="A594" s="11" t="str">
        <f>ETLMetadata!$C594</f>
        <v>DETM_DETIS_EMDS</v>
      </c>
      <c r="B594" s="11" t="str">
        <f>ETLMetadata!$E594</f>
        <v>EMDS_AMR_3</v>
      </c>
      <c r="C594" s="11" t="str">
        <f>IF(ISBLANK(ETLMetadata!$J594), "", ETLMetadata!$J594)</f>
        <v/>
      </c>
      <c r="D594" s="11" t="str">
        <f>ETLMetadata!$G594</f>
        <v>CHAR(4)</v>
      </c>
      <c r="E594" s="12"/>
      <c r="F594" s="12"/>
      <c r="G594" s="12" t="str">
        <f t="shared" si="18"/>
        <v/>
      </c>
      <c r="H594" s="12"/>
      <c r="I594" s="12"/>
      <c r="J594" s="13">
        <v>45952</v>
      </c>
      <c r="K594" s="13">
        <v>2958465</v>
      </c>
      <c r="L594" s="11" t="str">
        <f t="shared" si="19"/>
        <v>INSERT INTO metadata_reference.file_schema VALUES('DETM_DETIS_EMDS','EMDS_AMR_3',NULL,'CHAR(4)',NULL,NULL,NULL,NULL,'2025-10-22','9999-12-31',USER, CURRENT_TIMESTAMP(0));</v>
      </c>
    </row>
    <row r="595" spans="1:12" ht="15" customHeight="1">
      <c r="A595" s="11" t="str">
        <f>ETLMetadata!$C595</f>
        <v>DETM_DETIS_EMDS</v>
      </c>
      <c r="B595" s="11" t="str">
        <f>ETLMetadata!$E595</f>
        <v>EMDS_BEN_TYPE_CODE</v>
      </c>
      <c r="C595" s="11" t="str">
        <f>IF(ISBLANK(ETLMetadata!$J595), "", ETLMetadata!$J595)</f>
        <v/>
      </c>
      <c r="D595" s="11" t="str">
        <f>ETLMetadata!$G595</f>
        <v>CHAR(3)</v>
      </c>
      <c r="E595" s="12"/>
      <c r="F595" s="12"/>
      <c r="G595" s="12" t="str">
        <f t="shared" si="18"/>
        <v/>
      </c>
      <c r="H595" s="12"/>
      <c r="I595" s="12"/>
      <c r="J595" s="13">
        <v>45952</v>
      </c>
      <c r="K595" s="13">
        <v>2958465</v>
      </c>
      <c r="L595" s="11" t="str">
        <f t="shared" si="19"/>
        <v>INSERT INTO metadata_reference.file_schema VALUES('DETM_DETIS_EMDS','EMDS_BEN_TYPE_CODE',NULL,'CHAR(3)',NULL,NULL,NULL,NULL,'2025-10-22','9999-12-31',USER, CURRENT_TIMESTAMP(0));</v>
      </c>
    </row>
    <row r="596" spans="1:12" ht="15" customHeight="1">
      <c r="A596" s="11" t="str">
        <f>ETLMetadata!$C596</f>
        <v>DETM_DETIS_EMDS</v>
      </c>
      <c r="B596" s="11" t="str">
        <f>ETLMetadata!$E596</f>
        <v>EMDS_STS_CODE</v>
      </c>
      <c r="C596" s="11" t="str">
        <f>IF(ISBLANK(ETLMetadata!$J596), "", ETLMetadata!$J596)</f>
        <v/>
      </c>
      <c r="D596" s="11" t="str">
        <f>ETLMetadata!$G596</f>
        <v>CHAR(3)</v>
      </c>
      <c r="E596" s="12"/>
      <c r="F596" s="12"/>
      <c r="G596" s="12" t="str">
        <f t="shared" si="18"/>
        <v/>
      </c>
      <c r="H596" s="12"/>
      <c r="I596" s="12"/>
      <c r="J596" s="13">
        <v>45952</v>
      </c>
      <c r="K596" s="13">
        <v>2958465</v>
      </c>
      <c r="L596" s="11" t="str">
        <f t="shared" si="19"/>
        <v>INSERT INTO metadata_reference.file_schema VALUES('DETM_DETIS_EMDS','EMDS_STS_CODE',NULL,'CHAR(3)',NULL,NULL,NULL,NULL,'2025-10-22','9999-12-31',USER, CURRENT_TIMESTAMP(0));</v>
      </c>
    </row>
    <row r="597" spans="1:12" ht="15" customHeight="1">
      <c r="A597" s="11" t="str">
        <f>ETLMetadata!$C597</f>
        <v>DETM_DETIS_EMDS</v>
      </c>
      <c r="B597" s="11" t="str">
        <f>ETLMetadata!$E597</f>
        <v>EMDS_RSN_CODE</v>
      </c>
      <c r="C597" s="11" t="str">
        <f>IF(ISBLANK(ETLMetadata!$J597), "", ETLMetadata!$J597)</f>
        <v/>
      </c>
      <c r="D597" s="11" t="str">
        <f>ETLMetadata!$G597</f>
        <v>CHAR(3)</v>
      </c>
      <c r="E597" s="12"/>
      <c r="F597" s="12"/>
      <c r="G597" s="12" t="str">
        <f t="shared" si="18"/>
        <v/>
      </c>
      <c r="H597" s="12"/>
      <c r="I597" s="12"/>
      <c r="J597" s="13">
        <v>45952</v>
      </c>
      <c r="K597" s="13">
        <v>2958465</v>
      </c>
      <c r="L597" s="11" t="str">
        <f t="shared" si="19"/>
        <v>INSERT INTO metadata_reference.file_schema VALUES('DETM_DETIS_EMDS','EMDS_RSN_CODE',NULL,'CHAR(3)',NULL,NULL,NULL,NULL,'2025-10-22','9999-12-31',USER, CURRENT_TIMESTAMP(0));</v>
      </c>
    </row>
    <row r="598" spans="1:12" ht="15" customHeight="1">
      <c r="A598" s="11" t="str">
        <f>ETLMetadata!$C598</f>
        <v>DETM_DETIS_EMDS</v>
      </c>
      <c r="B598" s="11" t="str">
        <f>ETLMetadata!$E598</f>
        <v>EMDS_UNIQ_ID</v>
      </c>
      <c r="C598" s="11" t="str">
        <f>IF(ISBLANK(ETLMetadata!$J598), "", ETLMetadata!$J598)</f>
        <v/>
      </c>
      <c r="D598" s="11" t="str">
        <f>ETLMetadata!$G598</f>
        <v>VARCHAR(8)</v>
      </c>
      <c r="E598" s="12"/>
      <c r="F598" s="12"/>
      <c r="G598" s="12" t="str">
        <f t="shared" si="18"/>
        <v/>
      </c>
      <c r="H598" s="12"/>
      <c r="I598" s="12"/>
      <c r="J598" s="13">
        <v>45952</v>
      </c>
      <c r="K598" s="13">
        <v>2958465</v>
      </c>
      <c r="L598" s="11" t="str">
        <f t="shared" si="19"/>
        <v>INSERT INTO metadata_reference.file_schema VALUES('DETM_DETIS_EMDS','EMDS_UNIQ_ID',NULL,'VARCHAR(8)',NULL,NULL,NULL,NULL,'2025-10-22','9999-12-31',USER, CURRENT_TIMESTAMP(0));</v>
      </c>
    </row>
    <row r="599" spans="1:12" ht="15" customHeight="1">
      <c r="A599" s="11" t="str">
        <f>ETLMetadata!$C599</f>
        <v>DETM_DETIS_EMDS</v>
      </c>
      <c r="B599" s="11" t="str">
        <f>ETLMetadata!$E599</f>
        <v>AMR1_RISL_DTS</v>
      </c>
      <c r="C599" s="11" t="str">
        <f>IF(ISBLANK(ETLMetadata!$J599), "", ETLMetadata!$J599)</f>
        <v/>
      </c>
      <c r="D599" s="11" t="str">
        <f>ETLMetadata!$G599</f>
        <v>TIMESTAMP(6)</v>
      </c>
      <c r="E599" s="12"/>
      <c r="F599" s="12"/>
      <c r="G599" s="12" t="str">
        <f t="shared" si="18"/>
        <v/>
      </c>
      <c r="H599" s="12"/>
      <c r="I599" s="12"/>
      <c r="J599" s="13">
        <v>45952</v>
      </c>
      <c r="K599" s="13">
        <v>2958465</v>
      </c>
      <c r="L599" s="11" t="str">
        <f t="shared" si="19"/>
        <v>INSERT INTO metadata_reference.file_schema VALUES('DETM_DETIS_EMDS','AMR1_RISL_DTS',NULL,'TIMESTAMP(6)',NULL,NULL,NULL,NULL,'2025-10-22','9999-12-31',USER, CURRENT_TIMESTAMP(0));</v>
      </c>
    </row>
    <row r="600" spans="1:12" ht="15" customHeight="1">
      <c r="A600" s="11" t="str">
        <f>ETLMetadata!$C600</f>
        <v>DETM_DETIS_EMDS</v>
      </c>
      <c r="B600" s="11" t="str">
        <f>ETLMetadata!$E600</f>
        <v>AMR3_RISL_DTS</v>
      </c>
      <c r="C600" s="11" t="str">
        <f>IF(ISBLANK(ETLMetadata!$J600), "", ETLMetadata!$J600)</f>
        <v/>
      </c>
      <c r="D600" s="11" t="str">
        <f>ETLMetadata!$G600</f>
        <v>TIMESTAMP(6)</v>
      </c>
      <c r="E600" s="12"/>
      <c r="F600" s="12"/>
      <c r="G600" s="12" t="str">
        <f t="shared" si="18"/>
        <v/>
      </c>
      <c r="H600" s="12"/>
      <c r="I600" s="12"/>
      <c r="J600" s="13">
        <v>45952</v>
      </c>
      <c r="K600" s="13">
        <v>2958465</v>
      </c>
      <c r="L600" s="11" t="str">
        <f t="shared" si="19"/>
        <v>INSERT INTO metadata_reference.file_schema VALUES('DETM_DETIS_EMDS','AMR3_RISL_DTS',NULL,'TIMESTAMP(6)',NULL,NULL,NULL,NULL,'2025-10-22','9999-12-31',USER, CURRENT_TIMESTAMP(0));</v>
      </c>
    </row>
    <row r="601" spans="1:12" ht="15" customHeight="1">
      <c r="A601" s="11" t="str">
        <f>ETLMetadata!$C601</f>
        <v>DETM_DETIS_EMDS</v>
      </c>
      <c r="B601" s="11" t="str">
        <f>ETLMetadata!$E601</f>
        <v>EPISODE_ID</v>
      </c>
      <c r="C601" s="11" t="str">
        <f>IF(ISBLANK(ETLMetadata!$J601), "", ETLMetadata!$J601)</f>
        <v/>
      </c>
      <c r="D601" s="11" t="str">
        <f>ETLMetadata!$G601</f>
        <v>INTEGER</v>
      </c>
      <c r="E601" s="12"/>
      <c r="F601" s="12"/>
      <c r="G601" s="12" t="str">
        <f t="shared" si="18"/>
        <v/>
      </c>
      <c r="H601" s="12"/>
      <c r="I601" s="12"/>
      <c r="J601" s="13">
        <v>45952</v>
      </c>
      <c r="K601" s="13">
        <v>2958465</v>
      </c>
      <c r="L601" s="11" t="str">
        <f t="shared" si="19"/>
        <v>INSERT INTO metadata_reference.file_schema VALUES('DETM_DETIS_EMDS','EPISODE_ID',NULL,'INTEGER',NULL,NULL,NULL,NULL,'2025-10-22','9999-12-31',USER, CURRENT_TIMESTAMP(0));</v>
      </c>
    </row>
    <row r="602" spans="1:12" ht="15" customHeight="1">
      <c r="A602" s="11" t="str">
        <f>ETLMetadata!$C602</f>
        <v>DETM_DETIS_EMDS</v>
      </c>
      <c r="B602" s="11" t="str">
        <f>ETLMetadata!$E602</f>
        <v>PARTY_ROLE_ID</v>
      </c>
      <c r="C602" s="11" t="str">
        <f>IF(ISBLANK(ETLMetadata!$J602), "", ETLMetadata!$J602)</f>
        <v/>
      </c>
      <c r="D602" s="11" t="str">
        <f>ETLMetadata!$G602</f>
        <v>INTEGER</v>
      </c>
      <c r="E602" s="12"/>
      <c r="F602" s="12"/>
      <c r="G602" s="12" t="str">
        <f t="shared" si="18"/>
        <v/>
      </c>
      <c r="H602" s="12"/>
      <c r="I602" s="12"/>
      <c r="J602" s="13">
        <v>45952</v>
      </c>
      <c r="K602" s="13">
        <v>2958465</v>
      </c>
      <c r="L602" s="11" t="str">
        <f t="shared" si="19"/>
        <v>INSERT INTO metadata_reference.file_schema VALUES('DETM_DETIS_EMDS','PARTY_ROLE_ID',NULL,'INTEGER',NULL,NULL,NULL,NULL,'2025-10-22','9999-12-31',USER, CURRENT_TIMESTAMP(0));</v>
      </c>
    </row>
    <row r="603" spans="1:12" ht="15" customHeight="1">
      <c r="A603" s="11" t="str">
        <f>ETLMetadata!$C603</f>
        <v>DETM_DETIS_EMDS</v>
      </c>
      <c r="B603" s="11" t="str">
        <f>ETLMetadata!$E603</f>
        <v>PAYMENT_TYPE_ID</v>
      </c>
      <c r="C603" s="11" t="str">
        <f>IF(ISBLANK(ETLMetadata!$J603), "", ETLMetadata!$J603)</f>
        <v/>
      </c>
      <c r="D603" s="11" t="str">
        <f>ETLMetadata!$G603</f>
        <v>INTEGER</v>
      </c>
      <c r="E603" s="12"/>
      <c r="F603" s="12"/>
      <c r="G603" s="12" t="str">
        <f t="shared" si="18"/>
        <v/>
      </c>
      <c r="H603" s="12"/>
      <c r="I603" s="12"/>
      <c r="J603" s="13">
        <v>45952</v>
      </c>
      <c r="K603" s="13">
        <v>2958465</v>
      </c>
      <c r="L603" s="11" t="str">
        <f t="shared" si="19"/>
        <v>INSERT INTO metadata_reference.file_schema VALUES('DETM_DETIS_EMDS','PAYMENT_TYPE_ID',NULL,'INTEGER',NULL,NULL,NULL,NULL,'2025-10-22','9999-12-31',USER, CURRENT_TIMESTAMP(0));</v>
      </c>
    </row>
    <row r="604" spans="1:12" ht="15" customHeight="1">
      <c r="A604" s="11" t="str">
        <f>ETLMetadata!$C604</f>
        <v>DETM_DETIS_EMDS</v>
      </c>
      <c r="B604" s="11" t="str">
        <f>ETLMetadata!$E604</f>
        <v>ERROR_COUNT</v>
      </c>
      <c r="C604" s="11" t="str">
        <f>IF(ISBLANK(ETLMetadata!$J604), "", ETLMetadata!$J604)</f>
        <v/>
      </c>
      <c r="D604" s="11" t="str">
        <f>ETLMetadata!$G604</f>
        <v>SMALLINT</v>
      </c>
      <c r="E604" s="12"/>
      <c r="F604" s="12"/>
      <c r="G604" s="12" t="str">
        <f t="shared" si="18"/>
        <v/>
      </c>
      <c r="H604" s="12"/>
      <c r="I604" s="12"/>
      <c r="J604" s="13">
        <v>45952</v>
      </c>
      <c r="K604" s="13">
        <v>2958465</v>
      </c>
      <c r="L604" s="11" t="str">
        <f t="shared" si="19"/>
        <v>INSERT INTO metadata_reference.file_schema VALUES('DETM_DETIS_EMDS','ERROR_COUNT',NULL,'SMALLINT',NULL,NULL,NULL,NULL,'2025-10-22','9999-12-31',USER, CURRENT_TIMESTAMP(0));</v>
      </c>
    </row>
    <row r="605" spans="1:12" ht="15" customHeight="1">
      <c r="A605" s="11" t="str">
        <f>ETLMetadata!$C605</f>
        <v>DETM_DETIS_EMDS</v>
      </c>
      <c r="B605" s="11" t="str">
        <f>ETLMetadata!$E605</f>
        <v>Start_Date</v>
      </c>
      <c r="C605" s="11" t="str">
        <f>IF(ISBLANK(ETLMetadata!$J605), "", ETLMetadata!$J605)</f>
        <v/>
      </c>
      <c r="D605" s="11" t="str">
        <f>ETLMetadata!$G605</f>
        <v>DATE</v>
      </c>
      <c r="E605" s="12"/>
      <c r="F605" s="12"/>
      <c r="G605" s="12" t="str">
        <f t="shared" si="18"/>
        <v/>
      </c>
      <c r="H605" s="12"/>
      <c r="I605" s="12"/>
      <c r="J605" s="13">
        <v>45952</v>
      </c>
      <c r="K605" s="13">
        <v>2958465</v>
      </c>
      <c r="L605" s="11" t="str">
        <f t="shared" si="19"/>
        <v>INSERT INTO metadata_reference.file_schema VALUES('DETM_DETIS_EMDS','Start_Date',NULL,'DATE',NULL,NULL,NULL,NULL,'2025-10-22','9999-12-31',USER, CURRENT_TIMESTAMP(0));</v>
      </c>
    </row>
    <row r="606" spans="1:12" ht="15" customHeight="1">
      <c r="A606" s="11" t="str">
        <f>ETLMetadata!$C606</f>
        <v>DETM_DETIS_EMDS</v>
      </c>
      <c r="B606" s="11" t="str">
        <f>ETLMetadata!$E606</f>
        <v>End_Date</v>
      </c>
      <c r="C606" s="11" t="str">
        <f>IF(ISBLANK(ETLMetadata!$J606), "", ETLMetadata!$J606)</f>
        <v/>
      </c>
      <c r="D606" s="11" t="str">
        <f>ETLMetadata!$G606</f>
        <v>DATE</v>
      </c>
      <c r="E606" s="12"/>
      <c r="F606" s="12"/>
      <c r="G606" s="12" t="str">
        <f t="shared" si="18"/>
        <v/>
      </c>
      <c r="H606" s="12"/>
      <c r="I606" s="12"/>
      <c r="J606" s="13">
        <v>45952</v>
      </c>
      <c r="K606" s="13">
        <v>2958465</v>
      </c>
      <c r="L606" s="11" t="str">
        <f t="shared" si="19"/>
        <v>INSERT INTO metadata_reference.file_schema VALUES('DETM_DETIS_EMDS','End_Date',NULL,'DATE',NULL,NULL,NULL,NULL,'2025-10-22','9999-12-31',USER, CURRENT_TIMESTAMP(0));</v>
      </c>
    </row>
    <row r="607" spans="1:12" ht="15" customHeight="1">
      <c r="A607" s="11" t="str">
        <f>ETLMetadata!$C607</f>
        <v>DETM_DETIS_EMDS</v>
      </c>
      <c r="B607" s="11" t="str">
        <f>ETLMetadata!$E607</f>
        <v>Record_Deleted_Flag</v>
      </c>
      <c r="C607" s="11" t="str">
        <f>IF(ISBLANK(ETLMetadata!$J607), "", ETLMetadata!$J607)</f>
        <v/>
      </c>
      <c r="D607" s="11" t="str">
        <f>ETLMetadata!$G607</f>
        <v>BYTEINT</v>
      </c>
      <c r="E607" s="12"/>
      <c r="F607" s="12"/>
      <c r="G607" s="12" t="str">
        <f t="shared" si="18"/>
        <v/>
      </c>
      <c r="H607" s="12"/>
      <c r="I607" s="12"/>
      <c r="J607" s="13">
        <v>45952</v>
      </c>
      <c r="K607" s="13">
        <v>2958465</v>
      </c>
      <c r="L607" s="11" t="str">
        <f t="shared" si="19"/>
        <v>INSERT INTO metadata_reference.file_schema VALUES('DETM_DETIS_EMDS','Record_Deleted_Flag',NULL,'BYTEINT',NULL,NULL,NULL,NULL,'2025-10-22','9999-12-31',USER, CURRENT_TIMESTAMP(0));</v>
      </c>
    </row>
    <row r="608" spans="1:12" ht="15" customHeight="1">
      <c r="A608" s="11" t="str">
        <f>ETLMetadata!$C608</f>
        <v>DETM_DETIS_ESDS</v>
      </c>
      <c r="B608" s="11" t="str">
        <f>ETLMetadata!$E608</f>
        <v>EXTRACT_DATE</v>
      </c>
      <c r="C608" s="11" t="str">
        <f>IF(ISBLANK(ETLMetadata!$J608), "", ETLMetadata!$J608)</f>
        <v/>
      </c>
      <c r="D608" s="11" t="str">
        <f>ETLMetadata!$G608</f>
        <v>DATE</v>
      </c>
      <c r="E608" s="12"/>
      <c r="F608" s="12"/>
      <c r="G608" s="12" t="str">
        <f t="shared" si="18"/>
        <v/>
      </c>
      <c r="H608" s="12"/>
      <c r="I608" s="12"/>
      <c r="J608" s="13">
        <v>45952</v>
      </c>
      <c r="K608" s="13">
        <v>2958465</v>
      </c>
      <c r="L608" s="11" t="str">
        <f t="shared" si="19"/>
        <v>INSERT INTO metadata_reference.file_schema VALUES('DETM_DETIS_ESDS','EXTRACT_DATE',NULL,'DATE',NULL,NULL,NULL,NULL,'2025-10-22','9999-12-31',USER, CURRENT_TIMESTAMP(0));</v>
      </c>
    </row>
    <row r="609" spans="1:12" ht="15" customHeight="1">
      <c r="A609" s="11" t="str">
        <f>ETLMetadata!$C609</f>
        <v>DETM_DETIS_ESDS</v>
      </c>
      <c r="B609" s="11" t="str">
        <f>ETLMetadata!$E609</f>
        <v>LOGICAL_DELETE_DATE</v>
      </c>
      <c r="C609" s="11" t="str">
        <f>IF(ISBLANK(ETLMetadata!$J609), "", ETLMetadata!$J609)</f>
        <v/>
      </c>
      <c r="D609" s="11" t="str">
        <f>ETLMetadata!$G609</f>
        <v>DATE</v>
      </c>
      <c r="E609" s="12"/>
      <c r="F609" s="12"/>
      <c r="G609" s="12" t="str">
        <f t="shared" si="18"/>
        <v/>
      </c>
      <c r="H609" s="12"/>
      <c r="I609" s="12"/>
      <c r="J609" s="13">
        <v>45952</v>
      </c>
      <c r="K609" s="13">
        <v>2958465</v>
      </c>
      <c r="L609" s="11" t="str">
        <f t="shared" si="19"/>
        <v>INSERT INTO metadata_reference.file_schema VALUES('DETM_DETIS_ESDS','LOGICAL_DELETE_DATE',NULL,'DATE',NULL,NULL,NULL,NULL,'2025-10-22','9999-12-31',USER, CURRENT_TIMESTAMP(0));</v>
      </c>
    </row>
    <row r="610" spans="1:12" ht="15" customHeight="1">
      <c r="A610" s="11" t="str">
        <f>ETLMetadata!$C610</f>
        <v>DETM_DETIS_ESDS</v>
      </c>
      <c r="B610" s="11" t="str">
        <f>ETLMetadata!$E610</f>
        <v>ENVIRONMENT_ID</v>
      </c>
      <c r="C610" s="11" t="str">
        <f>IF(ISBLANK(ETLMetadata!$J610), "", ETLMetadata!$J610)</f>
        <v>Y</v>
      </c>
      <c r="D610" s="11" t="str">
        <f>ETLMetadata!$G610</f>
        <v>CHAR(1)</v>
      </c>
      <c r="E610" s="12"/>
      <c r="F610" s="12"/>
      <c r="G610" s="12" t="str">
        <f t="shared" si="18"/>
        <v/>
      </c>
      <c r="H610" s="12"/>
      <c r="I610" s="12"/>
      <c r="J610" s="13">
        <v>45952</v>
      </c>
      <c r="K610" s="13">
        <v>2958465</v>
      </c>
      <c r="L610" s="11" t="str">
        <f t="shared" si="19"/>
        <v>INSERT INTO metadata_reference.file_schema VALUES('DETM_DETIS_ESDS','ENVIRONMENT_ID','Y','CHAR(1)',NULL,NULL,NULL,NULL,'2025-10-22','9999-12-31',USER, CURRENT_TIMESTAMP(0));</v>
      </c>
    </row>
    <row r="611" spans="1:12" ht="15" customHeight="1">
      <c r="A611" s="11" t="str">
        <f>ETLMetadata!$C611</f>
        <v>DETM_DETIS_ESDS</v>
      </c>
      <c r="B611" s="11" t="str">
        <f>ETLMetadata!$E611</f>
        <v>PERSON_ID</v>
      </c>
      <c r="C611" s="11" t="str">
        <f>IF(ISBLANK(ETLMetadata!$J611), "", ETLMetadata!$J611)</f>
        <v>Y</v>
      </c>
      <c r="D611" s="11" t="str">
        <f>ETLMetadata!$G611</f>
        <v>INTEGER</v>
      </c>
      <c r="E611" s="12"/>
      <c r="F611" s="12" t="s">
        <v>799</v>
      </c>
      <c r="G611" s="12" t="str">
        <f t="shared" si="18"/>
        <v>PERSONAL_IDENTITYINFOINDIRECT</v>
      </c>
      <c r="H611" s="12"/>
      <c r="I611" s="12"/>
      <c r="J611" s="13">
        <v>45952</v>
      </c>
      <c r="K611" s="13">
        <v>2958465</v>
      </c>
      <c r="L611" s="11" t="str">
        <f t="shared" si="19"/>
        <v>INSERT INTO metadata_reference.file_schema VALUES('DETM_DETIS_ESDS','PERSON_ID','Y','INTEGER',NULL,'PERSONAL_IDENTITYINFOINDIRECT',NULL,NULL,'2025-10-22','9999-12-31',USER, CURRENT_TIMESTAMP(0));</v>
      </c>
    </row>
    <row r="612" spans="1:12" ht="15" customHeight="1">
      <c r="A612" s="11" t="str">
        <f>ETLMetadata!$C612</f>
        <v>DETM_DETIS_ESDS</v>
      </c>
      <c r="B612" s="11" t="str">
        <f>ETLMetadata!$E612</f>
        <v>ESDS_DOE</v>
      </c>
      <c r="C612" s="11" t="str">
        <f>IF(ISBLANK(ETLMetadata!$J612), "", ETLMetadata!$J612)</f>
        <v/>
      </c>
      <c r="D612" s="11" t="str">
        <f>ETLMetadata!$G612</f>
        <v>DATE</v>
      </c>
      <c r="E612" s="12"/>
      <c r="F612" s="12"/>
      <c r="G612" s="12" t="str">
        <f t="shared" si="18"/>
        <v/>
      </c>
      <c r="H612" s="12"/>
      <c r="I612" s="12"/>
      <c r="J612" s="13">
        <v>45952</v>
      </c>
      <c r="K612" s="13">
        <v>2958465</v>
      </c>
      <c r="L612" s="11" t="str">
        <f t="shared" si="19"/>
        <v>INSERT INTO metadata_reference.file_schema VALUES('DETM_DETIS_ESDS','ESDS_DOE',NULL,'DATE',NULL,NULL,NULL,NULL,'2025-10-22','9999-12-31',USER, CURRENT_TIMESTAMP(0));</v>
      </c>
    </row>
    <row r="613" spans="1:12" ht="15" customHeight="1">
      <c r="A613" s="11" t="str">
        <f>ETLMetadata!$C613</f>
        <v>DETM_DETIS_ESDS</v>
      </c>
      <c r="B613" s="11" t="str">
        <f>ETLMetadata!$E613</f>
        <v>ESDS_DOE_ORIG</v>
      </c>
      <c r="C613" s="11" t="str">
        <f>IF(ISBLANK(ETLMetadata!$J613), "", ETLMetadata!$J613)</f>
        <v/>
      </c>
      <c r="D613" s="11" t="str">
        <f>ETLMetadata!$G613</f>
        <v>INTEGER</v>
      </c>
      <c r="E613" s="12"/>
      <c r="F613" s="12"/>
      <c r="G613" s="12" t="str">
        <f t="shared" si="18"/>
        <v/>
      </c>
      <c r="H613" s="12"/>
      <c r="I613" s="12"/>
      <c r="J613" s="13">
        <v>45952</v>
      </c>
      <c r="K613" s="13">
        <v>2958465</v>
      </c>
      <c r="L613" s="11" t="str">
        <f t="shared" si="19"/>
        <v>INSERT INTO metadata_reference.file_schema VALUES('DETM_DETIS_ESDS','ESDS_DOE_ORIG',NULL,'INTEGER',NULL,NULL,NULL,NULL,'2025-10-22','9999-12-31',USER, CURRENT_TIMESTAMP(0));</v>
      </c>
    </row>
    <row r="614" spans="1:12" ht="15" customHeight="1">
      <c r="A614" s="11" t="str">
        <f>ETLMetadata!$C614</f>
        <v>DETM_DETIS_ESDS</v>
      </c>
      <c r="B614" s="11" t="str">
        <f>ETLMetadata!$E614</f>
        <v>PROCESSING_SEQUENCE</v>
      </c>
      <c r="C614" s="11" t="str">
        <f>IF(ISBLANK(ETLMetadata!$J614), "", ETLMetadata!$J614)</f>
        <v>Y</v>
      </c>
      <c r="D614" s="11" t="str">
        <f>ETLMetadata!$G614</f>
        <v>SMALLINT</v>
      </c>
      <c r="E614" s="12"/>
      <c r="F614" s="12"/>
      <c r="G614" s="12" t="str">
        <f t="shared" si="18"/>
        <v/>
      </c>
      <c r="H614" s="12"/>
      <c r="I614" s="12"/>
      <c r="J614" s="13">
        <v>45952</v>
      </c>
      <c r="K614" s="13">
        <v>2958465</v>
      </c>
      <c r="L614" s="11" t="str">
        <f t="shared" si="19"/>
        <v>INSERT INTO metadata_reference.file_schema VALUES('DETM_DETIS_ESDS','PROCESSING_SEQUENCE','Y','SMALLINT',NULL,NULL,NULL,NULL,'2025-10-22','9999-12-31',USER, CURRENT_TIMESTAMP(0));</v>
      </c>
    </row>
    <row r="615" spans="1:12" ht="15" customHeight="1">
      <c r="A615" s="11" t="str">
        <f>ETLMetadata!$C615</f>
        <v>DETM_DETIS_ESDS</v>
      </c>
      <c r="B615" s="11" t="str">
        <f>ETLMetadata!$E615</f>
        <v>ESDS_AMR_1</v>
      </c>
      <c r="C615" s="11" t="str">
        <f>IF(ISBLANK(ETLMetadata!$J615), "", ETLMetadata!$J615)</f>
        <v/>
      </c>
      <c r="D615" s="11" t="str">
        <f>ETLMetadata!$G615</f>
        <v>CHAR(4)</v>
      </c>
      <c r="E615" s="12"/>
      <c r="F615" s="12"/>
      <c r="G615" s="12" t="str">
        <f t="shared" si="18"/>
        <v/>
      </c>
      <c r="H615" s="12"/>
      <c r="I615" s="12"/>
      <c r="J615" s="13">
        <v>45952</v>
      </c>
      <c r="K615" s="13">
        <v>2958465</v>
      </c>
      <c r="L615" s="11" t="str">
        <f t="shared" si="19"/>
        <v>INSERT INTO metadata_reference.file_schema VALUES('DETM_DETIS_ESDS','ESDS_AMR_1',NULL,'CHAR(4)',NULL,NULL,NULL,NULL,'2025-10-22','9999-12-31',USER, CURRENT_TIMESTAMP(0));</v>
      </c>
    </row>
    <row r="616" spans="1:12" ht="15" customHeight="1">
      <c r="A616" s="11" t="str">
        <f>ETLMetadata!$C616</f>
        <v>DETM_DETIS_ESDS</v>
      </c>
      <c r="B616" s="11" t="str">
        <f>ETLMetadata!$E616</f>
        <v>ESDS_AMR_2</v>
      </c>
      <c r="C616" s="11" t="str">
        <f>IF(ISBLANK(ETLMetadata!$J616), "", ETLMetadata!$J616)</f>
        <v/>
      </c>
      <c r="D616" s="11" t="str">
        <f>ETLMetadata!$G616</f>
        <v>CHAR(1)</v>
      </c>
      <c r="E616" s="12"/>
      <c r="F616" s="12"/>
      <c r="G616" s="12" t="str">
        <f t="shared" si="18"/>
        <v/>
      </c>
      <c r="H616" s="12"/>
      <c r="I616" s="12"/>
      <c r="J616" s="13">
        <v>45952</v>
      </c>
      <c r="K616" s="13">
        <v>2958465</v>
      </c>
      <c r="L616" s="11" t="str">
        <f t="shared" si="19"/>
        <v>INSERT INTO metadata_reference.file_schema VALUES('DETM_DETIS_ESDS','ESDS_AMR_2',NULL,'CHAR(1)',NULL,NULL,NULL,NULL,'2025-10-22','9999-12-31',USER, CURRENT_TIMESTAMP(0));</v>
      </c>
    </row>
    <row r="617" spans="1:12" ht="15" customHeight="1">
      <c r="A617" s="11" t="str">
        <f>ETLMetadata!$C617</f>
        <v>DETM_DETIS_ESDS</v>
      </c>
      <c r="B617" s="11" t="str">
        <f>ETLMetadata!$E617</f>
        <v>ESDS_AMR_3</v>
      </c>
      <c r="C617" s="11" t="str">
        <f>IF(ISBLANK(ETLMetadata!$J617), "", ETLMetadata!$J617)</f>
        <v/>
      </c>
      <c r="D617" s="11" t="str">
        <f>ETLMetadata!$G617</f>
        <v>CHAR(4)</v>
      </c>
      <c r="E617" s="12"/>
      <c r="F617" s="12"/>
      <c r="G617" s="12" t="str">
        <f t="shared" si="18"/>
        <v/>
      </c>
      <c r="H617" s="12"/>
      <c r="I617" s="12"/>
      <c r="J617" s="13">
        <v>45952</v>
      </c>
      <c r="K617" s="13">
        <v>2958465</v>
      </c>
      <c r="L617" s="11" t="str">
        <f t="shared" si="19"/>
        <v>INSERT INTO metadata_reference.file_schema VALUES('DETM_DETIS_ESDS','ESDS_AMR_3',NULL,'CHAR(4)',NULL,NULL,NULL,NULL,'2025-10-22','9999-12-31',USER, CURRENT_TIMESTAMP(0));</v>
      </c>
    </row>
    <row r="618" spans="1:12" ht="15" customHeight="1">
      <c r="A618" s="11" t="str">
        <f>ETLMetadata!$C618</f>
        <v>DETM_DETIS_ESDS</v>
      </c>
      <c r="B618" s="11" t="str">
        <f>ETLMetadata!$E618</f>
        <v>ESDS_BEN_TYPE_CODE</v>
      </c>
      <c r="C618" s="11" t="str">
        <f>IF(ISBLANK(ETLMetadata!$J618), "", ETLMetadata!$J618)</f>
        <v/>
      </c>
      <c r="D618" s="11" t="str">
        <f>ETLMetadata!$G618</f>
        <v>CHAR(3)</v>
      </c>
      <c r="E618" s="12"/>
      <c r="F618" s="12"/>
      <c r="G618" s="12" t="str">
        <f t="shared" si="18"/>
        <v/>
      </c>
      <c r="H618" s="12"/>
      <c r="I618" s="12"/>
      <c r="J618" s="13">
        <v>45952</v>
      </c>
      <c r="K618" s="13">
        <v>2958465</v>
      </c>
      <c r="L618" s="11" t="str">
        <f t="shared" si="19"/>
        <v>INSERT INTO metadata_reference.file_schema VALUES('DETM_DETIS_ESDS','ESDS_BEN_TYPE_CODE',NULL,'CHAR(3)',NULL,NULL,NULL,NULL,'2025-10-22','9999-12-31',USER, CURRENT_TIMESTAMP(0));</v>
      </c>
    </row>
    <row r="619" spans="1:12" ht="15" customHeight="1">
      <c r="A619" s="11" t="str">
        <f>ETLMetadata!$C619</f>
        <v>DETM_DETIS_ESDS</v>
      </c>
      <c r="B619" s="11" t="str">
        <f>ETLMetadata!$E619</f>
        <v>ESDS_RSN_CODE</v>
      </c>
      <c r="C619" s="11" t="str">
        <f>IF(ISBLANK(ETLMetadata!$J619), "", ETLMetadata!$J619)</f>
        <v/>
      </c>
      <c r="D619" s="11" t="str">
        <f>ETLMetadata!$G619</f>
        <v>CHAR(3)</v>
      </c>
      <c r="E619" s="12"/>
      <c r="F619" s="12"/>
      <c r="G619" s="12" t="str">
        <f t="shared" si="18"/>
        <v/>
      </c>
      <c r="H619" s="12"/>
      <c r="I619" s="12"/>
      <c r="J619" s="13">
        <v>45952</v>
      </c>
      <c r="K619" s="13">
        <v>2958465</v>
      </c>
      <c r="L619" s="11" t="str">
        <f t="shared" si="19"/>
        <v>INSERT INTO metadata_reference.file_schema VALUES('DETM_DETIS_ESDS','ESDS_RSN_CODE',NULL,'CHAR(3)',NULL,NULL,NULL,NULL,'2025-10-22','9999-12-31',USER, CURRENT_TIMESTAMP(0));</v>
      </c>
    </row>
    <row r="620" spans="1:12" ht="15" customHeight="1">
      <c r="A620" s="11" t="str">
        <f>ETLMetadata!$C620</f>
        <v>DETM_DETIS_ESDS</v>
      </c>
      <c r="B620" s="11" t="str">
        <f>ETLMetadata!$E620</f>
        <v>ESDS_STS_CODE</v>
      </c>
      <c r="C620" s="11" t="str">
        <f>IF(ISBLANK(ETLMetadata!$J620), "", ETLMetadata!$J620)</f>
        <v/>
      </c>
      <c r="D620" s="11" t="str">
        <f>ETLMetadata!$G620</f>
        <v>CHAR(3)</v>
      </c>
      <c r="E620" s="12"/>
      <c r="F620" s="12"/>
      <c r="G620" s="12" t="str">
        <f t="shared" si="18"/>
        <v/>
      </c>
      <c r="H620" s="12"/>
      <c r="I620" s="12"/>
      <c r="J620" s="13">
        <v>45952</v>
      </c>
      <c r="K620" s="13">
        <v>2958465</v>
      </c>
      <c r="L620" s="11" t="str">
        <f t="shared" si="19"/>
        <v>INSERT INTO metadata_reference.file_schema VALUES('DETM_DETIS_ESDS','ESDS_STS_CODE',NULL,'CHAR(3)',NULL,NULL,NULL,NULL,'2025-10-22','9999-12-31',USER, CURRENT_TIMESTAMP(0));</v>
      </c>
    </row>
    <row r="621" spans="1:12" ht="15" customHeight="1">
      <c r="A621" s="11" t="str">
        <f>ETLMetadata!$C621</f>
        <v>DETM_DETIS_ESDS</v>
      </c>
      <c r="B621" s="11" t="str">
        <f>ETLMetadata!$E621</f>
        <v>PARTY_ROLE_ID</v>
      </c>
      <c r="C621" s="11" t="str">
        <f>IF(ISBLANK(ETLMetadata!$J621), "", ETLMetadata!$J621)</f>
        <v/>
      </c>
      <c r="D621" s="11" t="str">
        <f>ETLMetadata!$G621</f>
        <v>INTEGER</v>
      </c>
      <c r="E621" s="12"/>
      <c r="F621" s="12"/>
      <c r="G621" s="12" t="str">
        <f t="shared" si="18"/>
        <v/>
      </c>
      <c r="H621" s="12"/>
      <c r="I621" s="12"/>
      <c r="J621" s="13">
        <v>45952</v>
      </c>
      <c r="K621" s="13">
        <v>2958465</v>
      </c>
      <c r="L621" s="11" t="str">
        <f t="shared" si="19"/>
        <v>INSERT INTO metadata_reference.file_schema VALUES('DETM_DETIS_ESDS','PARTY_ROLE_ID',NULL,'INTEGER',NULL,NULL,NULL,NULL,'2025-10-22','9999-12-31',USER, CURRENT_TIMESTAMP(0));</v>
      </c>
    </row>
    <row r="622" spans="1:12" ht="15" customHeight="1">
      <c r="A622" s="11" t="str">
        <f>ETLMetadata!$C622</f>
        <v>DETM_DETIS_ESDS</v>
      </c>
      <c r="B622" s="11" t="str">
        <f>ETLMetadata!$E622</f>
        <v>PAYMENT_TYPE_ID</v>
      </c>
      <c r="C622" s="11" t="str">
        <f>IF(ISBLANK(ETLMetadata!$J622), "", ETLMetadata!$J622)</f>
        <v/>
      </c>
      <c r="D622" s="11" t="str">
        <f>ETLMetadata!$G622</f>
        <v>INTEGER</v>
      </c>
      <c r="E622" s="12"/>
      <c r="F622" s="12"/>
      <c r="G622" s="12" t="str">
        <f t="shared" si="18"/>
        <v/>
      </c>
      <c r="H622" s="12"/>
      <c r="I622" s="12"/>
      <c r="J622" s="13">
        <v>45952</v>
      </c>
      <c r="K622" s="13">
        <v>2958465</v>
      </c>
      <c r="L622" s="11" t="str">
        <f t="shared" si="19"/>
        <v>INSERT INTO metadata_reference.file_schema VALUES('DETM_DETIS_ESDS','PAYMENT_TYPE_ID',NULL,'INTEGER',NULL,NULL,NULL,NULL,'2025-10-22','9999-12-31',USER, CURRENT_TIMESTAMP(0));</v>
      </c>
    </row>
    <row r="623" spans="1:12" ht="15" customHeight="1">
      <c r="A623" s="11" t="str">
        <f>ETLMetadata!$C623</f>
        <v>DETM_DETIS_ESDS</v>
      </c>
      <c r="B623" s="11" t="str">
        <f>ETLMetadata!$E623</f>
        <v>AMR1_RISL_DTS</v>
      </c>
      <c r="C623" s="11" t="str">
        <f>IF(ISBLANK(ETLMetadata!$J623), "", ETLMetadata!$J623)</f>
        <v/>
      </c>
      <c r="D623" s="11" t="str">
        <f>ETLMetadata!$G623</f>
        <v>TIMESTAMP(6)</v>
      </c>
      <c r="E623" s="12"/>
      <c r="F623" s="12"/>
      <c r="G623" s="12" t="str">
        <f t="shared" si="18"/>
        <v/>
      </c>
      <c r="H623" s="12"/>
      <c r="I623" s="12"/>
      <c r="J623" s="13">
        <v>45952</v>
      </c>
      <c r="K623" s="13">
        <v>2958465</v>
      </c>
      <c r="L623" s="11" t="str">
        <f t="shared" si="19"/>
        <v>INSERT INTO metadata_reference.file_schema VALUES('DETM_DETIS_ESDS','AMR1_RISL_DTS',NULL,'TIMESTAMP(6)',NULL,NULL,NULL,NULL,'2025-10-22','9999-12-31',USER, CURRENT_TIMESTAMP(0));</v>
      </c>
    </row>
    <row r="624" spans="1:12" ht="15" customHeight="1">
      <c r="A624" s="11" t="str">
        <f>ETLMetadata!$C624</f>
        <v>DETM_DETIS_ESDS</v>
      </c>
      <c r="B624" s="11" t="str">
        <f>ETLMetadata!$E624</f>
        <v>AMR3_RISL_DTS</v>
      </c>
      <c r="C624" s="11" t="str">
        <f>IF(ISBLANK(ETLMetadata!$J624), "", ETLMetadata!$J624)</f>
        <v/>
      </c>
      <c r="D624" s="11" t="str">
        <f>ETLMetadata!$G624</f>
        <v>TIMESTAMP(6)</v>
      </c>
      <c r="E624" s="12"/>
      <c r="F624" s="12"/>
      <c r="G624" s="12" t="str">
        <f t="shared" si="18"/>
        <v/>
      </c>
      <c r="H624" s="12"/>
      <c r="I624" s="12"/>
      <c r="J624" s="13">
        <v>45952</v>
      </c>
      <c r="K624" s="13">
        <v>2958465</v>
      </c>
      <c r="L624" s="11" t="str">
        <f t="shared" si="19"/>
        <v>INSERT INTO metadata_reference.file_schema VALUES('DETM_DETIS_ESDS','AMR3_RISL_DTS',NULL,'TIMESTAMP(6)',NULL,NULL,NULL,NULL,'2025-10-22','9999-12-31',USER, CURRENT_TIMESTAMP(0));</v>
      </c>
    </row>
    <row r="625" spans="1:12" ht="15" customHeight="1">
      <c r="A625" s="11" t="str">
        <f>ETLMetadata!$C625</f>
        <v>DETM_DETIS_ESDS</v>
      </c>
      <c r="B625" s="11" t="str">
        <f>ETLMetadata!$E625</f>
        <v>ERROR_COUNT</v>
      </c>
      <c r="C625" s="11" t="str">
        <f>IF(ISBLANK(ETLMetadata!$J625), "", ETLMetadata!$J625)</f>
        <v/>
      </c>
      <c r="D625" s="11" t="str">
        <f>ETLMetadata!$G625</f>
        <v>SMALLINT</v>
      </c>
      <c r="E625" s="12"/>
      <c r="F625" s="12"/>
      <c r="G625" s="12" t="str">
        <f t="shared" si="18"/>
        <v/>
      </c>
      <c r="H625" s="12"/>
      <c r="I625" s="12"/>
      <c r="J625" s="13">
        <v>45952</v>
      </c>
      <c r="K625" s="13">
        <v>2958465</v>
      </c>
      <c r="L625" s="11" t="str">
        <f t="shared" si="19"/>
        <v>INSERT INTO metadata_reference.file_schema VALUES('DETM_DETIS_ESDS','ERROR_COUNT',NULL,'SMALLINT',NULL,NULL,NULL,NULL,'2025-10-22','9999-12-31',USER, CURRENT_TIMESTAMP(0));</v>
      </c>
    </row>
    <row r="626" spans="1:12" ht="15" customHeight="1">
      <c r="A626" s="11" t="str">
        <f>ETLMetadata!$C626</f>
        <v>DETM_DETIS_ESDS</v>
      </c>
      <c r="B626" s="11" t="str">
        <f>ETLMetadata!$E626</f>
        <v>Start_Date</v>
      </c>
      <c r="C626" s="11" t="str">
        <f>IF(ISBLANK(ETLMetadata!$J626), "", ETLMetadata!$J626)</f>
        <v/>
      </c>
      <c r="D626" s="11" t="str">
        <f>ETLMetadata!$G626</f>
        <v>DATE</v>
      </c>
      <c r="E626" s="12"/>
      <c r="F626" s="12"/>
      <c r="G626" s="12" t="str">
        <f t="shared" si="18"/>
        <v/>
      </c>
      <c r="H626" s="12"/>
      <c r="I626" s="12"/>
      <c r="J626" s="13">
        <v>45952</v>
      </c>
      <c r="K626" s="13">
        <v>2958465</v>
      </c>
      <c r="L626" s="11" t="str">
        <f t="shared" si="19"/>
        <v>INSERT INTO metadata_reference.file_schema VALUES('DETM_DETIS_ESDS','Start_Date',NULL,'DATE',NULL,NULL,NULL,NULL,'2025-10-22','9999-12-31',USER, CURRENT_TIMESTAMP(0));</v>
      </c>
    </row>
    <row r="627" spans="1:12" ht="15" customHeight="1">
      <c r="A627" s="11" t="str">
        <f>ETLMetadata!$C627</f>
        <v>DETM_DETIS_ESDS</v>
      </c>
      <c r="B627" s="11" t="str">
        <f>ETLMetadata!$E627</f>
        <v>End_Date</v>
      </c>
      <c r="C627" s="11" t="str">
        <f>IF(ISBLANK(ETLMetadata!$J627), "", ETLMetadata!$J627)</f>
        <v/>
      </c>
      <c r="D627" s="11" t="str">
        <f>ETLMetadata!$G627</f>
        <v>DATE</v>
      </c>
      <c r="E627" s="12"/>
      <c r="F627" s="12"/>
      <c r="G627" s="12" t="str">
        <f t="shared" si="18"/>
        <v/>
      </c>
      <c r="H627" s="12"/>
      <c r="I627" s="12"/>
      <c r="J627" s="13">
        <v>45952</v>
      </c>
      <c r="K627" s="13">
        <v>2958465</v>
      </c>
      <c r="L627" s="11" t="str">
        <f t="shared" si="19"/>
        <v>INSERT INTO metadata_reference.file_schema VALUES('DETM_DETIS_ESDS','End_Date',NULL,'DATE',NULL,NULL,NULL,NULL,'2025-10-22','9999-12-31',USER, CURRENT_TIMESTAMP(0));</v>
      </c>
    </row>
    <row r="628" spans="1:12" ht="15" customHeight="1">
      <c r="A628" s="11" t="str">
        <f>ETLMetadata!$C628</f>
        <v>DETM_DETIS_ESDS</v>
      </c>
      <c r="B628" s="11" t="str">
        <f>ETLMetadata!$E628</f>
        <v>Record_Deleted_Flag</v>
      </c>
      <c r="C628" s="11" t="str">
        <f>IF(ISBLANK(ETLMetadata!$J628), "", ETLMetadata!$J628)</f>
        <v/>
      </c>
      <c r="D628" s="11" t="str">
        <f>ETLMetadata!$G628</f>
        <v>BYTEINT</v>
      </c>
      <c r="E628" s="12"/>
      <c r="F628" s="12"/>
      <c r="G628" s="12" t="str">
        <f t="shared" si="18"/>
        <v/>
      </c>
      <c r="H628" s="12"/>
      <c r="I628" s="12"/>
      <c r="J628" s="13">
        <v>45952</v>
      </c>
      <c r="K628" s="13">
        <v>2958465</v>
      </c>
      <c r="L628" s="11" t="str">
        <f t="shared" si="19"/>
        <v>INSERT INTO metadata_reference.file_schema VALUES('DETM_DETIS_ESDS','Record_Deleted_Flag',NULL,'BYTEINT',NULL,NULL,NULL,NULL,'2025-10-22','9999-12-31',USER, CURRENT_TIMESTAMP(0));</v>
      </c>
    </row>
    <row r="629" spans="1:12" ht="15" customHeight="1">
      <c r="A629" s="11" t="str">
        <f>ETLMetadata!$C629</f>
        <v>DETM_DETIS_F2DS</v>
      </c>
      <c r="B629" s="11" t="str">
        <f>ETLMetadata!$E629</f>
        <v>EXTRACT_DATE</v>
      </c>
      <c r="C629" s="11" t="str">
        <f>IF(ISBLANK(ETLMetadata!$J629), "", ETLMetadata!$J629)</f>
        <v/>
      </c>
      <c r="D629" s="11" t="str">
        <f>ETLMetadata!$G629</f>
        <v>DATE</v>
      </c>
      <c r="E629" s="12"/>
      <c r="F629" s="12"/>
      <c r="G629" s="12" t="str">
        <f t="shared" si="18"/>
        <v/>
      </c>
      <c r="H629" s="12"/>
      <c r="I629" s="12"/>
      <c r="J629" s="13">
        <v>45952</v>
      </c>
      <c r="K629" s="13">
        <v>2958465</v>
      </c>
      <c r="L629" s="11" t="str">
        <f t="shared" si="19"/>
        <v>INSERT INTO metadata_reference.file_schema VALUES('DETM_DETIS_F2DS','EXTRACT_DATE',NULL,'DATE',NULL,NULL,NULL,NULL,'2025-10-22','9999-12-31',USER, CURRENT_TIMESTAMP(0));</v>
      </c>
    </row>
    <row r="630" spans="1:12" ht="15" customHeight="1">
      <c r="A630" s="11" t="str">
        <f>ETLMetadata!$C630</f>
        <v>DETM_DETIS_F2DS</v>
      </c>
      <c r="B630" s="11" t="str">
        <f>ETLMetadata!$E630</f>
        <v>LOGICAL_DELETE_DATE</v>
      </c>
      <c r="C630" s="11" t="str">
        <f>IF(ISBLANK(ETLMetadata!$J630), "", ETLMetadata!$J630)</f>
        <v/>
      </c>
      <c r="D630" s="11" t="str">
        <f>ETLMetadata!$G630</f>
        <v>DATE</v>
      </c>
      <c r="E630" s="12"/>
      <c r="F630" s="12"/>
      <c r="G630" s="12" t="str">
        <f t="shared" si="18"/>
        <v/>
      </c>
      <c r="H630" s="12"/>
      <c r="I630" s="12"/>
      <c r="J630" s="13">
        <v>45952</v>
      </c>
      <c r="K630" s="13">
        <v>2958465</v>
      </c>
      <c r="L630" s="11" t="str">
        <f t="shared" si="19"/>
        <v>INSERT INTO metadata_reference.file_schema VALUES('DETM_DETIS_F2DS','LOGICAL_DELETE_DATE',NULL,'DATE',NULL,NULL,NULL,NULL,'2025-10-22','9999-12-31',USER, CURRENT_TIMESTAMP(0));</v>
      </c>
    </row>
    <row r="631" spans="1:12" ht="15" customHeight="1">
      <c r="A631" s="11" t="str">
        <f>ETLMetadata!$C631</f>
        <v>DETM_DETIS_F2DS</v>
      </c>
      <c r="B631" s="11" t="str">
        <f>ETLMetadata!$E631</f>
        <v>ENVIRONMENT_ID</v>
      </c>
      <c r="C631" s="11" t="str">
        <f>IF(ISBLANK(ETLMetadata!$J631), "", ETLMetadata!$J631)</f>
        <v>Y</v>
      </c>
      <c r="D631" s="11" t="str">
        <f>ETLMetadata!$G631</f>
        <v>CHAR(1)</v>
      </c>
      <c r="E631" s="12"/>
      <c r="F631" s="12"/>
      <c r="G631" s="12" t="str">
        <f t="shared" si="18"/>
        <v/>
      </c>
      <c r="H631" s="12"/>
      <c r="I631" s="12"/>
      <c r="J631" s="13">
        <v>45952</v>
      </c>
      <c r="K631" s="13">
        <v>2958465</v>
      </c>
      <c r="L631" s="11" t="str">
        <f t="shared" si="19"/>
        <v>INSERT INTO metadata_reference.file_schema VALUES('DETM_DETIS_F2DS','ENVIRONMENT_ID','Y','CHAR(1)',NULL,NULL,NULL,NULL,'2025-10-22','9999-12-31',USER, CURRENT_TIMESTAMP(0));</v>
      </c>
    </row>
    <row r="632" spans="1:12" ht="15" customHeight="1">
      <c r="A632" s="11" t="str">
        <f>ETLMetadata!$C632</f>
        <v>DETM_DETIS_F2DS</v>
      </c>
      <c r="B632" s="11" t="str">
        <f>ETLMetadata!$E632</f>
        <v>PERSON_ID</v>
      </c>
      <c r="C632" s="11" t="str">
        <f>IF(ISBLANK(ETLMetadata!$J632), "", ETLMetadata!$J632)</f>
        <v>Y</v>
      </c>
      <c r="D632" s="11" t="str">
        <f>ETLMetadata!$G632</f>
        <v>INTEGER</v>
      </c>
      <c r="E632" s="12"/>
      <c r="F632" s="12" t="s">
        <v>799</v>
      </c>
      <c r="G632" s="12" t="str">
        <f t="shared" si="18"/>
        <v>PERSONAL_IDENTITYINFOINDIRECT</v>
      </c>
      <c r="H632" s="12"/>
      <c r="I632" s="12"/>
      <c r="J632" s="13">
        <v>45952</v>
      </c>
      <c r="K632" s="13">
        <v>2958465</v>
      </c>
      <c r="L632" s="11" t="str">
        <f t="shared" si="19"/>
        <v>INSERT INTO metadata_reference.file_schema VALUES('DETM_DETIS_F2DS','PERSON_ID','Y','INTEGER',NULL,'PERSONAL_IDENTITYINFOINDIRECT',NULL,NULL,'2025-10-22','9999-12-31',USER, CURRENT_TIMESTAMP(0));</v>
      </c>
    </row>
    <row r="633" spans="1:12" ht="15" customHeight="1">
      <c r="A633" s="11" t="str">
        <f>ETLMetadata!$C633</f>
        <v>DETM_DETIS_F2DS</v>
      </c>
      <c r="B633" s="11" t="str">
        <f>ETLMetadata!$E633</f>
        <v>F2DS_DOE</v>
      </c>
      <c r="C633" s="11" t="str">
        <f>IF(ISBLANK(ETLMetadata!$J633), "", ETLMetadata!$J633)</f>
        <v/>
      </c>
      <c r="D633" s="11" t="str">
        <f>ETLMetadata!$G633</f>
        <v>DATE</v>
      </c>
      <c r="E633" s="12"/>
      <c r="F633" s="12"/>
      <c r="G633" s="12" t="str">
        <f t="shared" si="18"/>
        <v/>
      </c>
      <c r="H633" s="12"/>
      <c r="I633" s="12"/>
      <c r="J633" s="13">
        <v>45952</v>
      </c>
      <c r="K633" s="13">
        <v>2958465</v>
      </c>
      <c r="L633" s="11" t="str">
        <f t="shared" si="19"/>
        <v>INSERT INTO metadata_reference.file_schema VALUES('DETM_DETIS_F2DS','F2DS_DOE',NULL,'DATE',NULL,NULL,NULL,NULL,'2025-10-22','9999-12-31',USER, CURRENT_TIMESTAMP(0));</v>
      </c>
    </row>
    <row r="634" spans="1:12" ht="15" customHeight="1">
      <c r="A634" s="11" t="str">
        <f>ETLMetadata!$C634</f>
        <v>DETM_DETIS_F2DS</v>
      </c>
      <c r="B634" s="11" t="str">
        <f>ETLMetadata!$E634</f>
        <v>F2DS_DOE_ORIG</v>
      </c>
      <c r="C634" s="11" t="str">
        <f>IF(ISBLANK(ETLMetadata!$J634), "", ETLMetadata!$J634)</f>
        <v/>
      </c>
      <c r="D634" s="11" t="str">
        <f>ETLMetadata!$G634</f>
        <v>INTEGER</v>
      </c>
      <c r="E634" s="12"/>
      <c r="F634" s="12"/>
      <c r="G634" s="12" t="str">
        <f t="shared" si="18"/>
        <v/>
      </c>
      <c r="H634" s="12"/>
      <c r="I634" s="12"/>
      <c r="J634" s="13">
        <v>45952</v>
      </c>
      <c r="K634" s="13">
        <v>2958465</v>
      </c>
      <c r="L634" s="11" t="str">
        <f t="shared" si="19"/>
        <v>INSERT INTO metadata_reference.file_schema VALUES('DETM_DETIS_F2DS','F2DS_DOE_ORIG',NULL,'INTEGER',NULL,NULL,NULL,NULL,'2025-10-22','9999-12-31',USER, CURRENT_TIMESTAMP(0));</v>
      </c>
    </row>
    <row r="635" spans="1:12" ht="15" customHeight="1">
      <c r="A635" s="11" t="str">
        <f>ETLMetadata!$C635</f>
        <v>DETM_DETIS_F2DS</v>
      </c>
      <c r="B635" s="11" t="str">
        <f>ETLMetadata!$E635</f>
        <v>PROCESSING_SEQUENCE</v>
      </c>
      <c r="C635" s="11" t="str">
        <f>IF(ISBLANK(ETLMetadata!$J635), "", ETLMetadata!$J635)</f>
        <v>Y</v>
      </c>
      <c r="D635" s="11" t="str">
        <f>ETLMetadata!$G635</f>
        <v>SMALLINT</v>
      </c>
      <c r="E635" s="12"/>
      <c r="F635" s="12"/>
      <c r="G635" s="12" t="str">
        <f t="shared" si="18"/>
        <v/>
      </c>
      <c r="H635" s="12"/>
      <c r="I635" s="12"/>
      <c r="J635" s="13">
        <v>45952</v>
      </c>
      <c r="K635" s="13">
        <v>2958465</v>
      </c>
      <c r="L635" s="11" t="str">
        <f t="shared" si="19"/>
        <v>INSERT INTO metadata_reference.file_schema VALUES('DETM_DETIS_F2DS','PROCESSING_SEQUENCE','Y','SMALLINT',NULL,NULL,NULL,NULL,'2025-10-22','9999-12-31',USER, CURRENT_TIMESTAMP(0));</v>
      </c>
    </row>
    <row r="636" spans="1:12" ht="15" customHeight="1">
      <c r="A636" s="11" t="str">
        <f>ETLMetadata!$C636</f>
        <v>DETM_DETIS_F2DS</v>
      </c>
      <c r="B636" s="11" t="str">
        <f>ETLMetadata!$E636</f>
        <v>F2DS_AMR_1</v>
      </c>
      <c r="C636" s="11" t="str">
        <f>IF(ISBLANK(ETLMetadata!$J636), "", ETLMetadata!$J636)</f>
        <v/>
      </c>
      <c r="D636" s="11" t="str">
        <f>ETLMetadata!$G636</f>
        <v>CHAR(4)</v>
      </c>
      <c r="E636" s="12"/>
      <c r="F636" s="12"/>
      <c r="G636" s="12" t="str">
        <f t="shared" si="18"/>
        <v/>
      </c>
      <c r="H636" s="12"/>
      <c r="I636" s="12"/>
      <c r="J636" s="13">
        <v>45952</v>
      </c>
      <c r="K636" s="13">
        <v>2958465</v>
      </c>
      <c r="L636" s="11" t="str">
        <f t="shared" si="19"/>
        <v>INSERT INTO metadata_reference.file_schema VALUES('DETM_DETIS_F2DS','F2DS_AMR_1',NULL,'CHAR(4)',NULL,NULL,NULL,NULL,'2025-10-22','9999-12-31',USER, CURRENT_TIMESTAMP(0));</v>
      </c>
    </row>
    <row r="637" spans="1:12" ht="15" customHeight="1">
      <c r="A637" s="11" t="str">
        <f>ETLMetadata!$C637</f>
        <v>DETM_DETIS_F2DS</v>
      </c>
      <c r="B637" s="11" t="str">
        <f>ETLMetadata!$E637</f>
        <v>F2DS_AMR_2</v>
      </c>
      <c r="C637" s="11" t="str">
        <f>IF(ISBLANK(ETLMetadata!$J637), "", ETLMetadata!$J637)</f>
        <v/>
      </c>
      <c r="D637" s="11" t="str">
        <f>ETLMetadata!$G637</f>
        <v>CHAR(1)</v>
      </c>
      <c r="E637" s="12"/>
      <c r="F637" s="12"/>
      <c r="G637" s="12" t="str">
        <f t="shared" si="18"/>
        <v/>
      </c>
      <c r="H637" s="12"/>
      <c r="I637" s="12"/>
      <c r="J637" s="13">
        <v>45952</v>
      </c>
      <c r="K637" s="13">
        <v>2958465</v>
      </c>
      <c r="L637" s="11" t="str">
        <f t="shared" si="19"/>
        <v>INSERT INTO metadata_reference.file_schema VALUES('DETM_DETIS_F2DS','F2DS_AMR_2',NULL,'CHAR(1)',NULL,NULL,NULL,NULL,'2025-10-22','9999-12-31',USER, CURRENT_TIMESTAMP(0));</v>
      </c>
    </row>
    <row r="638" spans="1:12" ht="15" customHeight="1">
      <c r="A638" s="11" t="str">
        <f>ETLMetadata!$C638</f>
        <v>DETM_DETIS_F2DS</v>
      </c>
      <c r="B638" s="11" t="str">
        <f>ETLMetadata!$E638</f>
        <v>F2DS_AMR_3</v>
      </c>
      <c r="C638" s="11" t="str">
        <f>IF(ISBLANK(ETLMetadata!$J638), "", ETLMetadata!$J638)</f>
        <v/>
      </c>
      <c r="D638" s="11" t="str">
        <f>ETLMetadata!$G638</f>
        <v>CHAR(4)</v>
      </c>
      <c r="E638" s="12"/>
      <c r="F638" s="12"/>
      <c r="G638" s="12" t="str">
        <f t="shared" si="18"/>
        <v/>
      </c>
      <c r="H638" s="12"/>
      <c r="I638" s="12"/>
      <c r="J638" s="13">
        <v>45952</v>
      </c>
      <c r="K638" s="13">
        <v>2958465</v>
      </c>
      <c r="L638" s="11" t="str">
        <f t="shared" si="19"/>
        <v>INSERT INTO metadata_reference.file_schema VALUES('DETM_DETIS_F2DS','F2DS_AMR_3',NULL,'CHAR(4)',NULL,NULL,NULL,NULL,'2025-10-22','9999-12-31',USER, CURRENT_TIMESTAMP(0));</v>
      </c>
    </row>
    <row r="639" spans="1:12" ht="15" customHeight="1">
      <c r="A639" s="11" t="str">
        <f>ETLMetadata!$C639</f>
        <v>DETM_DETIS_F2DS</v>
      </c>
      <c r="B639" s="11" t="str">
        <f>ETLMetadata!$E639</f>
        <v>F2DS_BEN_TYPE_CODE</v>
      </c>
      <c r="C639" s="11" t="str">
        <f>IF(ISBLANK(ETLMetadata!$J639), "", ETLMetadata!$J639)</f>
        <v/>
      </c>
      <c r="D639" s="11" t="str">
        <f>ETLMetadata!$G639</f>
        <v>CHAR(3)</v>
      </c>
      <c r="E639" s="12"/>
      <c r="F639" s="12"/>
      <c r="G639" s="12" t="str">
        <f t="shared" si="18"/>
        <v/>
      </c>
      <c r="H639" s="12"/>
      <c r="I639" s="12"/>
      <c r="J639" s="13">
        <v>45952</v>
      </c>
      <c r="K639" s="13">
        <v>2958465</v>
      </c>
      <c r="L639" s="11" t="str">
        <f t="shared" si="19"/>
        <v>INSERT INTO metadata_reference.file_schema VALUES('DETM_DETIS_F2DS','F2DS_BEN_TYPE_CODE',NULL,'CHAR(3)',NULL,NULL,NULL,NULL,'2025-10-22','9999-12-31',USER, CURRENT_TIMESTAMP(0));</v>
      </c>
    </row>
    <row r="640" spans="1:12" ht="15" customHeight="1">
      <c r="A640" s="11" t="str">
        <f>ETLMetadata!$C640</f>
        <v>DETM_DETIS_F2DS</v>
      </c>
      <c r="B640" s="11" t="str">
        <f>ETLMetadata!$E640</f>
        <v>F2DS_STS_CODE</v>
      </c>
      <c r="C640" s="11" t="str">
        <f>IF(ISBLANK(ETLMetadata!$J640), "", ETLMetadata!$J640)</f>
        <v/>
      </c>
      <c r="D640" s="11" t="str">
        <f>ETLMetadata!$G640</f>
        <v>CHAR(3)</v>
      </c>
      <c r="E640" s="12"/>
      <c r="F640" s="12"/>
      <c r="G640" s="12" t="str">
        <f t="shared" si="18"/>
        <v/>
      </c>
      <c r="H640" s="12"/>
      <c r="I640" s="12"/>
      <c r="J640" s="13">
        <v>45952</v>
      </c>
      <c r="K640" s="13">
        <v>2958465</v>
      </c>
      <c r="L640" s="11" t="str">
        <f t="shared" si="19"/>
        <v>INSERT INTO metadata_reference.file_schema VALUES('DETM_DETIS_F2DS','F2DS_STS_CODE',NULL,'CHAR(3)',NULL,NULL,NULL,NULL,'2025-10-22','9999-12-31',USER, CURRENT_TIMESTAMP(0));</v>
      </c>
    </row>
    <row r="641" spans="1:12" ht="15" customHeight="1">
      <c r="A641" s="11" t="str">
        <f>ETLMetadata!$C641</f>
        <v>DETM_DETIS_F2DS</v>
      </c>
      <c r="B641" s="11" t="str">
        <f>ETLMetadata!$E641</f>
        <v>F2DS_RSN_CODE</v>
      </c>
      <c r="C641" s="11" t="str">
        <f>IF(ISBLANK(ETLMetadata!$J641), "", ETLMetadata!$J641)</f>
        <v/>
      </c>
      <c r="D641" s="11" t="str">
        <f>ETLMetadata!$G641</f>
        <v>CHAR(3)</v>
      </c>
      <c r="E641" s="12"/>
      <c r="F641" s="12"/>
      <c r="G641" s="12" t="str">
        <f t="shared" si="18"/>
        <v/>
      </c>
      <c r="H641" s="12"/>
      <c r="I641" s="12"/>
      <c r="J641" s="13">
        <v>45952</v>
      </c>
      <c r="K641" s="13">
        <v>2958465</v>
      </c>
      <c r="L641" s="11" t="str">
        <f t="shared" si="19"/>
        <v>INSERT INTO metadata_reference.file_schema VALUES('DETM_DETIS_F2DS','F2DS_RSN_CODE',NULL,'CHAR(3)',NULL,NULL,NULL,NULL,'2025-10-22','9999-12-31',USER, CURRENT_TIMESTAMP(0));</v>
      </c>
    </row>
    <row r="642" spans="1:12" ht="15" customHeight="1">
      <c r="A642" s="11" t="str">
        <f>ETLMetadata!$C642</f>
        <v>DETM_DETIS_F2DS</v>
      </c>
      <c r="B642" s="11" t="str">
        <f>ETLMetadata!$E642</f>
        <v>F2DS_UNIQ_ID</v>
      </c>
      <c r="C642" s="11" t="str">
        <f>IF(ISBLANK(ETLMetadata!$J642), "", ETLMetadata!$J642)</f>
        <v/>
      </c>
      <c r="D642" s="11" t="str">
        <f>ETLMetadata!$G642</f>
        <v>VARCHAR(8)</v>
      </c>
      <c r="E642" s="12"/>
      <c r="F642" s="12"/>
      <c r="G642" s="12" t="str">
        <f t="shared" si="18"/>
        <v/>
      </c>
      <c r="H642" s="12"/>
      <c r="I642" s="12"/>
      <c r="J642" s="13">
        <v>45952</v>
      </c>
      <c r="K642" s="13">
        <v>2958465</v>
      </c>
      <c r="L642" s="11" t="str">
        <f t="shared" si="19"/>
        <v>INSERT INTO metadata_reference.file_schema VALUES('DETM_DETIS_F2DS','F2DS_UNIQ_ID',NULL,'VARCHAR(8)',NULL,NULL,NULL,NULL,'2025-10-22','9999-12-31',USER, CURRENT_TIMESTAMP(0));</v>
      </c>
    </row>
    <row r="643" spans="1:12" ht="15" customHeight="1">
      <c r="A643" s="11" t="str">
        <f>ETLMetadata!$C643</f>
        <v>DETM_DETIS_F2DS</v>
      </c>
      <c r="B643" s="11" t="str">
        <f>ETLMetadata!$E643</f>
        <v>AMR1_RISL_DTS</v>
      </c>
      <c r="C643" s="11" t="str">
        <f>IF(ISBLANK(ETLMetadata!$J643), "", ETLMetadata!$J643)</f>
        <v/>
      </c>
      <c r="D643" s="11" t="str">
        <f>ETLMetadata!$G643</f>
        <v>TIMESTAMP(6)</v>
      </c>
      <c r="E643" s="12"/>
      <c r="F643" s="12"/>
      <c r="G643" s="12" t="str">
        <f t="shared" ref="G643:G706" si="20">UPPER($F643)</f>
        <v/>
      </c>
      <c r="H643" s="12"/>
      <c r="I643" s="12"/>
      <c r="J643" s="13">
        <v>45952</v>
      </c>
      <c r="K643" s="13">
        <v>2958465</v>
      </c>
      <c r="L643" s="11" t="str">
        <f t="shared" ref="L643:L706" si="21">CONCATENATE("INSERT INTO metadata_reference.file_schema VALUES('",TRIM(A643),"','",TRIM(B643),"',",IF(TRIM(C643)="","NULL","'"&amp;TRIM(C643)&amp;"'"),",'",TRIM(D643),"',",IF(TRIM(E643)="","NULL","'"&amp;TRIM(E643)&amp;"'"),",",IF(TRIM(G643)="","NULL","'"&amp;TRIM(G643)&amp;"'"),",",IF(TRIM(H643)="","NULL","'"&amp;TRIM(H643)&amp;"'"),",",
IF(TRIM(I643)="","NULL",TRIM(I643)),",",IF(TRIM(J643)="","NULL","'"&amp;TEXT(J643,"yyyy-mm-dd")&amp;"'"),",",IF(TRIM(K643)="","NULL","'"&amp;TEXT(K643,"yyyy-mm-dd")&amp;"'"),",","USER, CURRENT_TIMESTAMP(0));")</f>
        <v>INSERT INTO metadata_reference.file_schema VALUES('DETM_DETIS_F2DS','AMR1_RISL_DTS',NULL,'TIMESTAMP(6)',NULL,NULL,NULL,NULL,'2025-10-22','9999-12-31',USER, CURRENT_TIMESTAMP(0));</v>
      </c>
    </row>
    <row r="644" spans="1:12" ht="15" customHeight="1">
      <c r="A644" s="11" t="str">
        <f>ETLMetadata!$C644</f>
        <v>DETM_DETIS_F2DS</v>
      </c>
      <c r="B644" s="11" t="str">
        <f>ETLMetadata!$E644</f>
        <v>AMR3_RISL_DTS</v>
      </c>
      <c r="C644" s="11" t="str">
        <f>IF(ISBLANK(ETLMetadata!$J644), "", ETLMetadata!$J644)</f>
        <v/>
      </c>
      <c r="D644" s="11" t="str">
        <f>ETLMetadata!$G644</f>
        <v>TIMESTAMP(6)</v>
      </c>
      <c r="E644" s="12"/>
      <c r="F644" s="12"/>
      <c r="G644" s="12" t="str">
        <f t="shared" si="20"/>
        <v/>
      </c>
      <c r="H644" s="12"/>
      <c r="I644" s="12"/>
      <c r="J644" s="13">
        <v>45952</v>
      </c>
      <c r="K644" s="13">
        <v>2958465</v>
      </c>
      <c r="L644" s="11" t="str">
        <f t="shared" si="21"/>
        <v>INSERT INTO metadata_reference.file_schema VALUES('DETM_DETIS_F2DS','AMR3_RISL_DTS',NULL,'TIMESTAMP(6)',NULL,NULL,NULL,NULL,'2025-10-22','9999-12-31',USER, CURRENT_TIMESTAMP(0));</v>
      </c>
    </row>
    <row r="645" spans="1:12" ht="15" customHeight="1">
      <c r="A645" s="11" t="str">
        <f>ETLMetadata!$C645</f>
        <v>DETM_DETIS_F2DS</v>
      </c>
      <c r="B645" s="11" t="str">
        <f>ETLMetadata!$E645</f>
        <v>PARTY_ROLE_ID</v>
      </c>
      <c r="C645" s="11" t="str">
        <f>IF(ISBLANK(ETLMetadata!$J645), "", ETLMetadata!$J645)</f>
        <v/>
      </c>
      <c r="D645" s="11" t="str">
        <f>ETLMetadata!$G645</f>
        <v>INTEGER</v>
      </c>
      <c r="E645" s="12"/>
      <c r="F645" s="12"/>
      <c r="G645" s="12" t="str">
        <f t="shared" si="20"/>
        <v/>
      </c>
      <c r="H645" s="12"/>
      <c r="I645" s="12"/>
      <c r="J645" s="13">
        <v>45952</v>
      </c>
      <c r="K645" s="13">
        <v>2958465</v>
      </c>
      <c r="L645" s="11" t="str">
        <f t="shared" si="21"/>
        <v>INSERT INTO metadata_reference.file_schema VALUES('DETM_DETIS_F2DS','PARTY_ROLE_ID',NULL,'INTEGER',NULL,NULL,NULL,NULL,'2025-10-22','9999-12-31',USER, CURRENT_TIMESTAMP(0));</v>
      </c>
    </row>
    <row r="646" spans="1:12" ht="15" customHeight="1">
      <c r="A646" s="11" t="str">
        <f>ETLMetadata!$C646</f>
        <v>DETM_DETIS_F2DS</v>
      </c>
      <c r="B646" s="11" t="str">
        <f>ETLMetadata!$E646</f>
        <v>PAYMENT_TYPE_ID</v>
      </c>
      <c r="C646" s="11" t="str">
        <f>IF(ISBLANK(ETLMetadata!$J646), "", ETLMetadata!$J646)</f>
        <v/>
      </c>
      <c r="D646" s="11" t="str">
        <f>ETLMetadata!$G646</f>
        <v>INTEGER</v>
      </c>
      <c r="E646" s="12"/>
      <c r="F646" s="12"/>
      <c r="G646" s="12" t="str">
        <f t="shared" si="20"/>
        <v/>
      </c>
      <c r="H646" s="12"/>
      <c r="I646" s="12"/>
      <c r="J646" s="13">
        <v>45952</v>
      </c>
      <c r="K646" s="13">
        <v>2958465</v>
      </c>
      <c r="L646" s="11" t="str">
        <f t="shared" si="21"/>
        <v>INSERT INTO metadata_reference.file_schema VALUES('DETM_DETIS_F2DS','PAYMENT_TYPE_ID',NULL,'INTEGER',NULL,NULL,NULL,NULL,'2025-10-22','9999-12-31',USER, CURRENT_TIMESTAMP(0));</v>
      </c>
    </row>
    <row r="647" spans="1:12" ht="15" customHeight="1">
      <c r="A647" s="11" t="str">
        <f>ETLMetadata!$C647</f>
        <v>DETM_DETIS_F2DS</v>
      </c>
      <c r="B647" s="11" t="str">
        <f>ETLMetadata!$E647</f>
        <v>ERROR_COUNT</v>
      </c>
      <c r="C647" s="11" t="str">
        <f>IF(ISBLANK(ETLMetadata!$J647), "", ETLMetadata!$J647)</f>
        <v/>
      </c>
      <c r="D647" s="11" t="str">
        <f>ETLMetadata!$G647</f>
        <v>SMALLINT</v>
      </c>
      <c r="E647" s="12"/>
      <c r="F647" s="12"/>
      <c r="G647" s="12" t="str">
        <f t="shared" si="20"/>
        <v/>
      </c>
      <c r="H647" s="12"/>
      <c r="I647" s="12"/>
      <c r="J647" s="13">
        <v>45952</v>
      </c>
      <c r="K647" s="13">
        <v>2958465</v>
      </c>
      <c r="L647" s="11" t="str">
        <f t="shared" si="21"/>
        <v>INSERT INTO metadata_reference.file_schema VALUES('DETM_DETIS_F2DS','ERROR_COUNT',NULL,'SMALLINT',NULL,NULL,NULL,NULL,'2025-10-22','9999-12-31',USER, CURRENT_TIMESTAMP(0));</v>
      </c>
    </row>
    <row r="648" spans="1:12" ht="15" customHeight="1">
      <c r="A648" s="11" t="str">
        <f>ETLMetadata!$C648</f>
        <v>DETM_DETIS_F2DS</v>
      </c>
      <c r="B648" s="11" t="str">
        <f>ETLMetadata!$E648</f>
        <v>Start_Date</v>
      </c>
      <c r="C648" s="11" t="str">
        <f>IF(ISBLANK(ETLMetadata!$J648), "", ETLMetadata!$J648)</f>
        <v/>
      </c>
      <c r="D648" s="11" t="str">
        <f>ETLMetadata!$G648</f>
        <v>DATE</v>
      </c>
      <c r="E648" s="12"/>
      <c r="F648" s="12"/>
      <c r="G648" s="12" t="str">
        <f t="shared" si="20"/>
        <v/>
      </c>
      <c r="H648" s="12"/>
      <c r="I648" s="12"/>
      <c r="J648" s="13">
        <v>45952</v>
      </c>
      <c r="K648" s="13">
        <v>2958465</v>
      </c>
      <c r="L648" s="11" t="str">
        <f t="shared" si="21"/>
        <v>INSERT INTO metadata_reference.file_schema VALUES('DETM_DETIS_F2DS','Start_Date',NULL,'DATE',NULL,NULL,NULL,NULL,'2025-10-22','9999-12-31',USER, CURRENT_TIMESTAMP(0));</v>
      </c>
    </row>
    <row r="649" spans="1:12" ht="15" customHeight="1">
      <c r="A649" s="11" t="str">
        <f>ETLMetadata!$C649</f>
        <v>DETM_DETIS_F2DS</v>
      </c>
      <c r="B649" s="11" t="str">
        <f>ETLMetadata!$E649</f>
        <v>End_Date</v>
      </c>
      <c r="C649" s="11" t="str">
        <f>IF(ISBLANK(ETLMetadata!$J649), "", ETLMetadata!$J649)</f>
        <v/>
      </c>
      <c r="D649" s="11" t="str">
        <f>ETLMetadata!$G649</f>
        <v>DATE</v>
      </c>
      <c r="E649" s="12"/>
      <c r="F649" s="12"/>
      <c r="G649" s="12" t="str">
        <f t="shared" si="20"/>
        <v/>
      </c>
      <c r="H649" s="12"/>
      <c r="I649" s="12"/>
      <c r="J649" s="13">
        <v>45952</v>
      </c>
      <c r="K649" s="13">
        <v>2958465</v>
      </c>
      <c r="L649" s="11" t="str">
        <f t="shared" si="21"/>
        <v>INSERT INTO metadata_reference.file_schema VALUES('DETM_DETIS_F2DS','End_Date',NULL,'DATE',NULL,NULL,NULL,NULL,'2025-10-22','9999-12-31',USER, CURRENT_TIMESTAMP(0));</v>
      </c>
    </row>
    <row r="650" spans="1:12" ht="15" customHeight="1">
      <c r="A650" s="11" t="str">
        <f>ETLMetadata!$C650</f>
        <v>DETM_DETIS_F2DS</v>
      </c>
      <c r="B650" s="11" t="str">
        <f>ETLMetadata!$E650</f>
        <v>Record_Deleted_Flag</v>
      </c>
      <c r="C650" s="11" t="str">
        <f>IF(ISBLANK(ETLMetadata!$J650), "", ETLMetadata!$J650)</f>
        <v/>
      </c>
      <c r="D650" s="11" t="str">
        <f>ETLMetadata!$G650</f>
        <v>BYTEINT</v>
      </c>
      <c r="E650" s="12"/>
      <c r="F650" s="12"/>
      <c r="G650" s="12" t="str">
        <f t="shared" si="20"/>
        <v/>
      </c>
      <c r="H650" s="12"/>
      <c r="I650" s="12"/>
      <c r="J650" s="13">
        <v>45952</v>
      </c>
      <c r="K650" s="13">
        <v>2958465</v>
      </c>
      <c r="L650" s="11" t="str">
        <f t="shared" si="21"/>
        <v>INSERT INTO metadata_reference.file_schema VALUES('DETM_DETIS_F2DS','Record_Deleted_Flag',NULL,'BYTEINT',NULL,NULL,NULL,NULL,'2025-10-22','9999-12-31',USER, CURRENT_TIMESTAMP(0));</v>
      </c>
    </row>
    <row r="651" spans="1:12" ht="15" customHeight="1">
      <c r="A651" s="11" t="str">
        <f>ETLMetadata!$C651</f>
        <v>DETM_DETIS_FDDS</v>
      </c>
      <c r="B651" s="11" t="str">
        <f>ETLMetadata!$E651</f>
        <v>EXTRACT_DATE</v>
      </c>
      <c r="C651" s="11" t="str">
        <f>IF(ISBLANK(ETLMetadata!$J651), "", ETLMetadata!$J651)</f>
        <v/>
      </c>
      <c r="D651" s="11" t="str">
        <f>ETLMetadata!$G651</f>
        <v>DATE</v>
      </c>
      <c r="E651" s="12"/>
      <c r="F651" s="12"/>
      <c r="G651" s="12" t="str">
        <f t="shared" si="20"/>
        <v/>
      </c>
      <c r="H651" s="12"/>
      <c r="I651" s="12"/>
      <c r="J651" s="13">
        <v>45952</v>
      </c>
      <c r="K651" s="13">
        <v>2958465</v>
      </c>
      <c r="L651" s="11" t="str">
        <f t="shared" si="21"/>
        <v>INSERT INTO metadata_reference.file_schema VALUES('DETM_DETIS_FDDS','EXTRACT_DATE',NULL,'DATE',NULL,NULL,NULL,NULL,'2025-10-22','9999-12-31',USER, CURRENT_TIMESTAMP(0));</v>
      </c>
    </row>
    <row r="652" spans="1:12" ht="15" customHeight="1">
      <c r="A652" s="11" t="str">
        <f>ETLMetadata!$C652</f>
        <v>DETM_DETIS_FDDS</v>
      </c>
      <c r="B652" s="11" t="str">
        <f>ETLMetadata!$E652</f>
        <v>LOGICAL_DELETE_DATE</v>
      </c>
      <c r="C652" s="11" t="str">
        <f>IF(ISBLANK(ETLMetadata!$J652), "", ETLMetadata!$J652)</f>
        <v/>
      </c>
      <c r="D652" s="11" t="str">
        <f>ETLMetadata!$G652</f>
        <v>DATE</v>
      </c>
      <c r="E652" s="12"/>
      <c r="F652" s="12"/>
      <c r="G652" s="12" t="str">
        <f t="shared" si="20"/>
        <v/>
      </c>
      <c r="H652" s="12"/>
      <c r="I652" s="12"/>
      <c r="J652" s="13">
        <v>45952</v>
      </c>
      <c r="K652" s="13">
        <v>2958465</v>
      </c>
      <c r="L652" s="11" t="str">
        <f t="shared" si="21"/>
        <v>INSERT INTO metadata_reference.file_schema VALUES('DETM_DETIS_FDDS','LOGICAL_DELETE_DATE',NULL,'DATE',NULL,NULL,NULL,NULL,'2025-10-22','9999-12-31',USER, CURRENT_TIMESTAMP(0));</v>
      </c>
    </row>
    <row r="653" spans="1:12" ht="15" customHeight="1">
      <c r="A653" s="11" t="str">
        <f>ETLMetadata!$C653</f>
        <v>DETM_DETIS_FDDS</v>
      </c>
      <c r="B653" s="11" t="str">
        <f>ETLMetadata!$E653</f>
        <v>ENVIRONMENT_ID</v>
      </c>
      <c r="C653" s="11" t="str">
        <f>IF(ISBLANK(ETLMetadata!$J653), "", ETLMetadata!$J653)</f>
        <v>Y</v>
      </c>
      <c r="D653" s="11" t="str">
        <f>ETLMetadata!$G653</f>
        <v>CHAR(1)</v>
      </c>
      <c r="E653" s="12"/>
      <c r="F653" s="12"/>
      <c r="G653" s="12" t="str">
        <f t="shared" si="20"/>
        <v/>
      </c>
      <c r="H653" s="12"/>
      <c r="I653" s="12"/>
      <c r="J653" s="13">
        <v>45952</v>
      </c>
      <c r="K653" s="13">
        <v>2958465</v>
      </c>
      <c r="L653" s="11" t="str">
        <f t="shared" si="21"/>
        <v>INSERT INTO metadata_reference.file_schema VALUES('DETM_DETIS_FDDS','ENVIRONMENT_ID','Y','CHAR(1)',NULL,NULL,NULL,NULL,'2025-10-22','9999-12-31',USER, CURRENT_TIMESTAMP(0));</v>
      </c>
    </row>
    <row r="654" spans="1:12" ht="15" customHeight="1">
      <c r="A654" s="11" t="str">
        <f>ETLMetadata!$C654</f>
        <v>DETM_DETIS_FDDS</v>
      </c>
      <c r="B654" s="11" t="str">
        <f>ETLMetadata!$E654</f>
        <v>PERSON_ID</v>
      </c>
      <c r="C654" s="11" t="str">
        <f>IF(ISBLANK(ETLMetadata!$J654), "", ETLMetadata!$J654)</f>
        <v>Y</v>
      </c>
      <c r="D654" s="11" t="str">
        <f>ETLMetadata!$G654</f>
        <v>INTEGER</v>
      </c>
      <c r="E654" s="12"/>
      <c r="F654" s="12" t="s">
        <v>799</v>
      </c>
      <c r="G654" s="12" t="str">
        <f t="shared" si="20"/>
        <v>PERSONAL_IDENTITYINFOINDIRECT</v>
      </c>
      <c r="H654" s="12"/>
      <c r="I654" s="12"/>
      <c r="J654" s="13">
        <v>45952</v>
      </c>
      <c r="K654" s="13">
        <v>2958465</v>
      </c>
      <c r="L654" s="11" t="str">
        <f t="shared" si="21"/>
        <v>INSERT INTO metadata_reference.file_schema VALUES('DETM_DETIS_FDDS','PERSON_ID','Y','INTEGER',NULL,'PERSONAL_IDENTITYINFOINDIRECT',NULL,NULL,'2025-10-22','9999-12-31',USER, CURRENT_TIMESTAMP(0));</v>
      </c>
    </row>
    <row r="655" spans="1:12" ht="15" customHeight="1">
      <c r="A655" s="11" t="str">
        <f>ETLMetadata!$C655</f>
        <v>DETM_DETIS_FDDS</v>
      </c>
      <c r="B655" s="11" t="str">
        <f>ETLMetadata!$E655</f>
        <v>FDDS_DOE</v>
      </c>
      <c r="C655" s="11" t="str">
        <f>IF(ISBLANK(ETLMetadata!$J655), "", ETLMetadata!$J655)</f>
        <v/>
      </c>
      <c r="D655" s="11" t="str">
        <f>ETLMetadata!$G655</f>
        <v>DATE</v>
      </c>
      <c r="E655" s="12"/>
      <c r="F655" s="12"/>
      <c r="G655" s="12" t="str">
        <f t="shared" si="20"/>
        <v/>
      </c>
      <c r="H655" s="12"/>
      <c r="I655" s="12"/>
      <c r="J655" s="13">
        <v>45952</v>
      </c>
      <c r="K655" s="13">
        <v>2958465</v>
      </c>
      <c r="L655" s="11" t="str">
        <f t="shared" si="21"/>
        <v>INSERT INTO metadata_reference.file_schema VALUES('DETM_DETIS_FDDS','FDDS_DOE',NULL,'DATE',NULL,NULL,NULL,NULL,'2025-10-22','9999-12-31',USER, CURRENT_TIMESTAMP(0));</v>
      </c>
    </row>
    <row r="656" spans="1:12" ht="15" customHeight="1">
      <c r="A656" s="11" t="str">
        <f>ETLMetadata!$C656</f>
        <v>DETM_DETIS_FDDS</v>
      </c>
      <c r="B656" s="11" t="str">
        <f>ETLMetadata!$E656</f>
        <v>FDDS_DOE_ORIG</v>
      </c>
      <c r="C656" s="11" t="str">
        <f>IF(ISBLANK(ETLMetadata!$J656), "", ETLMetadata!$J656)</f>
        <v/>
      </c>
      <c r="D656" s="11" t="str">
        <f>ETLMetadata!$G656</f>
        <v>INTEGER</v>
      </c>
      <c r="E656" s="12"/>
      <c r="F656" s="12"/>
      <c r="G656" s="12" t="str">
        <f t="shared" si="20"/>
        <v/>
      </c>
      <c r="H656" s="12"/>
      <c r="I656" s="12"/>
      <c r="J656" s="13">
        <v>45952</v>
      </c>
      <c r="K656" s="13">
        <v>2958465</v>
      </c>
      <c r="L656" s="11" t="str">
        <f t="shared" si="21"/>
        <v>INSERT INTO metadata_reference.file_schema VALUES('DETM_DETIS_FDDS','FDDS_DOE_ORIG',NULL,'INTEGER',NULL,NULL,NULL,NULL,'2025-10-22','9999-12-31',USER, CURRENT_TIMESTAMP(0));</v>
      </c>
    </row>
    <row r="657" spans="1:12" ht="15" customHeight="1">
      <c r="A657" s="11" t="str">
        <f>ETLMetadata!$C657</f>
        <v>DETM_DETIS_FDDS</v>
      </c>
      <c r="B657" s="11" t="str">
        <f>ETLMetadata!$E657</f>
        <v>PROCESSING_SEQUENCE</v>
      </c>
      <c r="C657" s="11" t="str">
        <f>IF(ISBLANK(ETLMetadata!$J657), "", ETLMetadata!$J657)</f>
        <v>Y</v>
      </c>
      <c r="D657" s="11" t="str">
        <f>ETLMetadata!$G657</f>
        <v>SMALLINT</v>
      </c>
      <c r="E657" s="12"/>
      <c r="F657" s="12"/>
      <c r="G657" s="12" t="str">
        <f t="shared" si="20"/>
        <v/>
      </c>
      <c r="H657" s="12"/>
      <c r="I657" s="12"/>
      <c r="J657" s="13">
        <v>45952</v>
      </c>
      <c r="K657" s="13">
        <v>2958465</v>
      </c>
      <c r="L657" s="11" t="str">
        <f t="shared" si="21"/>
        <v>INSERT INTO metadata_reference.file_schema VALUES('DETM_DETIS_FDDS','PROCESSING_SEQUENCE','Y','SMALLINT',NULL,NULL,NULL,NULL,'2025-10-22','9999-12-31',USER, CURRENT_TIMESTAMP(0));</v>
      </c>
    </row>
    <row r="658" spans="1:12" ht="15" customHeight="1">
      <c r="A658" s="11" t="str">
        <f>ETLMetadata!$C658</f>
        <v>DETM_DETIS_FDDS</v>
      </c>
      <c r="B658" s="11" t="str">
        <f>ETLMetadata!$E658</f>
        <v>FDDS_AMR_1</v>
      </c>
      <c r="C658" s="11" t="str">
        <f>IF(ISBLANK(ETLMetadata!$J658), "", ETLMetadata!$J658)</f>
        <v/>
      </c>
      <c r="D658" s="11" t="str">
        <f>ETLMetadata!$G658</f>
        <v>CHAR(4)</v>
      </c>
      <c r="E658" s="12"/>
      <c r="F658" s="12"/>
      <c r="G658" s="12" t="str">
        <f t="shared" si="20"/>
        <v/>
      </c>
      <c r="H658" s="12"/>
      <c r="I658" s="12"/>
      <c r="J658" s="13">
        <v>45952</v>
      </c>
      <c r="K658" s="13">
        <v>2958465</v>
      </c>
      <c r="L658" s="11" t="str">
        <f t="shared" si="21"/>
        <v>INSERT INTO metadata_reference.file_schema VALUES('DETM_DETIS_FDDS','FDDS_AMR_1',NULL,'CHAR(4)',NULL,NULL,NULL,NULL,'2025-10-22','9999-12-31',USER, CURRENT_TIMESTAMP(0));</v>
      </c>
    </row>
    <row r="659" spans="1:12" ht="15" customHeight="1">
      <c r="A659" s="11" t="str">
        <f>ETLMetadata!$C659</f>
        <v>DETM_DETIS_FDDS</v>
      </c>
      <c r="B659" s="11" t="str">
        <f>ETLMetadata!$E659</f>
        <v>FDDS_AMR_2</v>
      </c>
      <c r="C659" s="11" t="str">
        <f>IF(ISBLANK(ETLMetadata!$J659), "", ETLMetadata!$J659)</f>
        <v/>
      </c>
      <c r="D659" s="11" t="str">
        <f>ETLMetadata!$G659</f>
        <v>CHAR(1)</v>
      </c>
      <c r="E659" s="12"/>
      <c r="F659" s="12"/>
      <c r="G659" s="12" t="str">
        <f t="shared" si="20"/>
        <v/>
      </c>
      <c r="H659" s="12"/>
      <c r="I659" s="12"/>
      <c r="J659" s="13">
        <v>45952</v>
      </c>
      <c r="K659" s="13">
        <v>2958465</v>
      </c>
      <c r="L659" s="11" t="str">
        <f t="shared" si="21"/>
        <v>INSERT INTO metadata_reference.file_schema VALUES('DETM_DETIS_FDDS','FDDS_AMR_2',NULL,'CHAR(1)',NULL,NULL,NULL,NULL,'2025-10-22','9999-12-31',USER, CURRENT_TIMESTAMP(0));</v>
      </c>
    </row>
    <row r="660" spans="1:12" ht="15" customHeight="1">
      <c r="A660" s="11" t="str">
        <f>ETLMetadata!$C660</f>
        <v>DETM_DETIS_FDDS</v>
      </c>
      <c r="B660" s="11" t="str">
        <f>ETLMetadata!$E660</f>
        <v>FDDS_AMR_3</v>
      </c>
      <c r="C660" s="11" t="str">
        <f>IF(ISBLANK(ETLMetadata!$J660), "", ETLMetadata!$J660)</f>
        <v/>
      </c>
      <c r="D660" s="11" t="str">
        <f>ETLMetadata!$G660</f>
        <v>CHAR(4)</v>
      </c>
      <c r="E660" s="12"/>
      <c r="F660" s="12"/>
      <c r="G660" s="12" t="str">
        <f t="shared" si="20"/>
        <v/>
      </c>
      <c r="H660" s="12"/>
      <c r="I660" s="12"/>
      <c r="J660" s="13">
        <v>45952</v>
      </c>
      <c r="K660" s="13">
        <v>2958465</v>
      </c>
      <c r="L660" s="11" t="str">
        <f t="shared" si="21"/>
        <v>INSERT INTO metadata_reference.file_schema VALUES('DETM_DETIS_FDDS','FDDS_AMR_3',NULL,'CHAR(4)',NULL,NULL,NULL,NULL,'2025-10-22','9999-12-31',USER, CURRENT_TIMESTAMP(0));</v>
      </c>
    </row>
    <row r="661" spans="1:12" ht="15" customHeight="1">
      <c r="A661" s="11" t="str">
        <f>ETLMetadata!$C661</f>
        <v>DETM_DETIS_FDDS</v>
      </c>
      <c r="B661" s="11" t="str">
        <f>ETLMetadata!$E661</f>
        <v>FDDS_BEN_TYPE_CODE</v>
      </c>
      <c r="C661" s="11" t="str">
        <f>IF(ISBLANK(ETLMetadata!$J661), "", ETLMetadata!$J661)</f>
        <v/>
      </c>
      <c r="D661" s="11" t="str">
        <f>ETLMetadata!$G661</f>
        <v>CHAR(3)</v>
      </c>
      <c r="E661" s="12"/>
      <c r="F661" s="12"/>
      <c r="G661" s="12" t="str">
        <f t="shared" si="20"/>
        <v/>
      </c>
      <c r="H661" s="12"/>
      <c r="I661" s="12"/>
      <c r="J661" s="13">
        <v>45952</v>
      </c>
      <c r="K661" s="13">
        <v>2958465</v>
      </c>
      <c r="L661" s="11" t="str">
        <f t="shared" si="21"/>
        <v>INSERT INTO metadata_reference.file_schema VALUES('DETM_DETIS_FDDS','FDDS_BEN_TYPE_CODE',NULL,'CHAR(3)',NULL,NULL,NULL,NULL,'2025-10-22','9999-12-31',USER, CURRENT_TIMESTAMP(0));</v>
      </c>
    </row>
    <row r="662" spans="1:12" ht="15" customHeight="1">
      <c r="A662" s="11" t="str">
        <f>ETLMetadata!$C662</f>
        <v>DETM_DETIS_FDDS</v>
      </c>
      <c r="B662" s="11" t="str">
        <f>ETLMetadata!$E662</f>
        <v>FDDS_STS_CODE</v>
      </c>
      <c r="C662" s="11" t="str">
        <f>IF(ISBLANK(ETLMetadata!$J662), "", ETLMetadata!$J662)</f>
        <v/>
      </c>
      <c r="D662" s="11" t="str">
        <f>ETLMetadata!$G662</f>
        <v>CHAR(3)</v>
      </c>
      <c r="E662" s="12"/>
      <c r="F662" s="12"/>
      <c r="G662" s="12" t="str">
        <f t="shared" si="20"/>
        <v/>
      </c>
      <c r="H662" s="12"/>
      <c r="I662" s="12"/>
      <c r="J662" s="13">
        <v>45952</v>
      </c>
      <c r="K662" s="13">
        <v>2958465</v>
      </c>
      <c r="L662" s="11" t="str">
        <f t="shared" si="21"/>
        <v>INSERT INTO metadata_reference.file_schema VALUES('DETM_DETIS_FDDS','FDDS_STS_CODE',NULL,'CHAR(3)',NULL,NULL,NULL,NULL,'2025-10-22','9999-12-31',USER, CURRENT_TIMESTAMP(0));</v>
      </c>
    </row>
    <row r="663" spans="1:12" ht="15" customHeight="1">
      <c r="A663" s="11" t="str">
        <f>ETLMetadata!$C663</f>
        <v>DETM_DETIS_FDDS</v>
      </c>
      <c r="B663" s="11" t="str">
        <f>ETLMetadata!$E663</f>
        <v>FDDS_RSN_CODE</v>
      </c>
      <c r="C663" s="11" t="str">
        <f>IF(ISBLANK(ETLMetadata!$J663), "", ETLMetadata!$J663)</f>
        <v/>
      </c>
      <c r="D663" s="11" t="str">
        <f>ETLMetadata!$G663</f>
        <v>CHAR(3)</v>
      </c>
      <c r="E663" s="12"/>
      <c r="F663" s="12"/>
      <c r="G663" s="12" t="str">
        <f t="shared" si="20"/>
        <v/>
      </c>
      <c r="H663" s="12"/>
      <c r="I663" s="12"/>
      <c r="J663" s="13">
        <v>45952</v>
      </c>
      <c r="K663" s="13">
        <v>2958465</v>
      </c>
      <c r="L663" s="11" t="str">
        <f t="shared" si="21"/>
        <v>INSERT INTO metadata_reference.file_schema VALUES('DETM_DETIS_FDDS','FDDS_RSN_CODE',NULL,'CHAR(3)',NULL,NULL,NULL,NULL,'2025-10-22','9999-12-31',USER, CURRENT_TIMESTAMP(0));</v>
      </c>
    </row>
    <row r="664" spans="1:12" ht="15" customHeight="1">
      <c r="A664" s="11" t="str">
        <f>ETLMetadata!$C664</f>
        <v>DETM_DETIS_FDDS</v>
      </c>
      <c r="B664" s="11" t="str">
        <f>ETLMetadata!$E664</f>
        <v>FDDS_UNIQ_ID</v>
      </c>
      <c r="C664" s="11" t="str">
        <f>IF(ISBLANK(ETLMetadata!$J664), "", ETLMetadata!$J664)</f>
        <v/>
      </c>
      <c r="D664" s="11" t="str">
        <f>ETLMetadata!$G664</f>
        <v>VARCHAR(8)</v>
      </c>
      <c r="E664" s="12"/>
      <c r="F664" s="12"/>
      <c r="G664" s="12" t="str">
        <f t="shared" si="20"/>
        <v/>
      </c>
      <c r="H664" s="12"/>
      <c r="I664" s="12"/>
      <c r="J664" s="13">
        <v>45952</v>
      </c>
      <c r="K664" s="13">
        <v>2958465</v>
      </c>
      <c r="L664" s="11" t="str">
        <f t="shared" si="21"/>
        <v>INSERT INTO metadata_reference.file_schema VALUES('DETM_DETIS_FDDS','FDDS_UNIQ_ID',NULL,'VARCHAR(8)',NULL,NULL,NULL,NULL,'2025-10-22','9999-12-31',USER, CURRENT_TIMESTAMP(0));</v>
      </c>
    </row>
    <row r="665" spans="1:12" ht="15" customHeight="1">
      <c r="A665" s="11" t="str">
        <f>ETLMetadata!$C665</f>
        <v>DETM_DETIS_FDDS</v>
      </c>
      <c r="B665" s="11" t="str">
        <f>ETLMetadata!$E665</f>
        <v>AMR1_RISL_DTS</v>
      </c>
      <c r="C665" s="11" t="str">
        <f>IF(ISBLANK(ETLMetadata!$J665), "", ETLMetadata!$J665)</f>
        <v/>
      </c>
      <c r="D665" s="11" t="str">
        <f>ETLMetadata!$G665</f>
        <v>TIMESTAMP(6)</v>
      </c>
      <c r="E665" s="12"/>
      <c r="F665" s="12"/>
      <c r="G665" s="12" t="str">
        <f t="shared" si="20"/>
        <v/>
      </c>
      <c r="H665" s="12"/>
      <c r="I665" s="12"/>
      <c r="J665" s="13">
        <v>45952</v>
      </c>
      <c r="K665" s="13">
        <v>2958465</v>
      </c>
      <c r="L665" s="11" t="str">
        <f t="shared" si="21"/>
        <v>INSERT INTO metadata_reference.file_schema VALUES('DETM_DETIS_FDDS','AMR1_RISL_DTS',NULL,'TIMESTAMP(6)',NULL,NULL,NULL,NULL,'2025-10-22','9999-12-31',USER, CURRENT_TIMESTAMP(0));</v>
      </c>
    </row>
    <row r="666" spans="1:12" ht="15" customHeight="1">
      <c r="A666" s="11" t="str">
        <f>ETLMetadata!$C666</f>
        <v>DETM_DETIS_FDDS</v>
      </c>
      <c r="B666" s="11" t="str">
        <f>ETLMetadata!$E666</f>
        <v>AMR3_RISL_DTS</v>
      </c>
      <c r="C666" s="11" t="str">
        <f>IF(ISBLANK(ETLMetadata!$J666), "", ETLMetadata!$J666)</f>
        <v/>
      </c>
      <c r="D666" s="11" t="str">
        <f>ETLMetadata!$G666</f>
        <v>TIMESTAMP(6)</v>
      </c>
      <c r="E666" s="12"/>
      <c r="F666" s="12"/>
      <c r="G666" s="12" t="str">
        <f t="shared" si="20"/>
        <v/>
      </c>
      <c r="H666" s="12"/>
      <c r="I666" s="12"/>
      <c r="J666" s="13">
        <v>45952</v>
      </c>
      <c r="K666" s="13">
        <v>2958465</v>
      </c>
      <c r="L666" s="11" t="str">
        <f t="shared" si="21"/>
        <v>INSERT INTO metadata_reference.file_schema VALUES('DETM_DETIS_FDDS','AMR3_RISL_DTS',NULL,'TIMESTAMP(6)',NULL,NULL,NULL,NULL,'2025-10-22','9999-12-31',USER, CURRENT_TIMESTAMP(0));</v>
      </c>
    </row>
    <row r="667" spans="1:12" ht="15" customHeight="1">
      <c r="A667" s="11" t="str">
        <f>ETLMetadata!$C667</f>
        <v>DETM_DETIS_FDDS</v>
      </c>
      <c r="B667" s="11" t="str">
        <f>ETLMetadata!$E667</f>
        <v>EPISODE_ID</v>
      </c>
      <c r="C667" s="11" t="str">
        <f>IF(ISBLANK(ETLMetadata!$J667), "", ETLMetadata!$J667)</f>
        <v/>
      </c>
      <c r="D667" s="11" t="str">
        <f>ETLMetadata!$G667</f>
        <v>INTEGER</v>
      </c>
      <c r="E667" s="12"/>
      <c r="F667" s="12"/>
      <c r="G667" s="12" t="str">
        <f t="shared" si="20"/>
        <v/>
      </c>
      <c r="H667" s="12"/>
      <c r="I667" s="12"/>
      <c r="J667" s="13">
        <v>45952</v>
      </c>
      <c r="K667" s="13">
        <v>2958465</v>
      </c>
      <c r="L667" s="11" t="str">
        <f t="shared" si="21"/>
        <v>INSERT INTO metadata_reference.file_schema VALUES('DETM_DETIS_FDDS','EPISODE_ID',NULL,'INTEGER',NULL,NULL,NULL,NULL,'2025-10-22','9999-12-31',USER, CURRENT_TIMESTAMP(0));</v>
      </c>
    </row>
    <row r="668" spans="1:12" ht="15" customHeight="1">
      <c r="A668" s="11" t="str">
        <f>ETLMetadata!$C668</f>
        <v>DETM_DETIS_FDDS</v>
      </c>
      <c r="B668" s="11" t="str">
        <f>ETLMetadata!$E668</f>
        <v>PARTY_ROLE_ID</v>
      </c>
      <c r="C668" s="11" t="str">
        <f>IF(ISBLANK(ETLMetadata!$J668), "", ETLMetadata!$J668)</f>
        <v/>
      </c>
      <c r="D668" s="11" t="str">
        <f>ETLMetadata!$G668</f>
        <v>INTEGER</v>
      </c>
      <c r="E668" s="12"/>
      <c r="F668" s="12"/>
      <c r="G668" s="12" t="str">
        <f t="shared" si="20"/>
        <v/>
      </c>
      <c r="H668" s="12"/>
      <c r="I668" s="12"/>
      <c r="J668" s="13">
        <v>45952</v>
      </c>
      <c r="K668" s="13">
        <v>2958465</v>
      </c>
      <c r="L668" s="11" t="str">
        <f t="shared" si="21"/>
        <v>INSERT INTO metadata_reference.file_schema VALUES('DETM_DETIS_FDDS','PARTY_ROLE_ID',NULL,'INTEGER',NULL,NULL,NULL,NULL,'2025-10-22','9999-12-31',USER, CURRENT_TIMESTAMP(0));</v>
      </c>
    </row>
    <row r="669" spans="1:12" ht="15" customHeight="1">
      <c r="A669" s="11" t="str">
        <f>ETLMetadata!$C669</f>
        <v>DETM_DETIS_FDDS</v>
      </c>
      <c r="B669" s="11" t="str">
        <f>ETLMetadata!$E669</f>
        <v>PAYMENT_TYPE_ID</v>
      </c>
      <c r="C669" s="11" t="str">
        <f>IF(ISBLANK(ETLMetadata!$J669), "", ETLMetadata!$J669)</f>
        <v/>
      </c>
      <c r="D669" s="11" t="str">
        <f>ETLMetadata!$G669</f>
        <v>INTEGER</v>
      </c>
      <c r="E669" s="12"/>
      <c r="F669" s="12"/>
      <c r="G669" s="12" t="str">
        <f t="shared" si="20"/>
        <v/>
      </c>
      <c r="H669" s="12"/>
      <c r="I669" s="12"/>
      <c r="J669" s="13">
        <v>45952</v>
      </c>
      <c r="K669" s="13">
        <v>2958465</v>
      </c>
      <c r="L669" s="11" t="str">
        <f t="shared" si="21"/>
        <v>INSERT INTO metadata_reference.file_schema VALUES('DETM_DETIS_FDDS','PAYMENT_TYPE_ID',NULL,'INTEGER',NULL,NULL,NULL,NULL,'2025-10-22','9999-12-31',USER, CURRENT_TIMESTAMP(0));</v>
      </c>
    </row>
    <row r="670" spans="1:12" ht="15" customHeight="1">
      <c r="A670" s="11" t="str">
        <f>ETLMetadata!$C670</f>
        <v>DETM_DETIS_FDDS</v>
      </c>
      <c r="B670" s="11" t="str">
        <f>ETLMetadata!$E670</f>
        <v>ERROR_COUNT</v>
      </c>
      <c r="C670" s="11" t="str">
        <f>IF(ISBLANK(ETLMetadata!$J670), "", ETLMetadata!$J670)</f>
        <v/>
      </c>
      <c r="D670" s="11" t="str">
        <f>ETLMetadata!$G670</f>
        <v>SMALLINT</v>
      </c>
      <c r="E670" s="12"/>
      <c r="F670" s="12"/>
      <c r="G670" s="12" t="str">
        <f t="shared" si="20"/>
        <v/>
      </c>
      <c r="H670" s="12"/>
      <c r="I670" s="12"/>
      <c r="J670" s="13">
        <v>45952</v>
      </c>
      <c r="K670" s="13">
        <v>2958465</v>
      </c>
      <c r="L670" s="11" t="str">
        <f t="shared" si="21"/>
        <v>INSERT INTO metadata_reference.file_schema VALUES('DETM_DETIS_FDDS','ERROR_COUNT',NULL,'SMALLINT',NULL,NULL,NULL,NULL,'2025-10-22','9999-12-31',USER, CURRENT_TIMESTAMP(0));</v>
      </c>
    </row>
    <row r="671" spans="1:12" ht="15" customHeight="1">
      <c r="A671" s="11" t="str">
        <f>ETLMetadata!$C671</f>
        <v>DETM_DETIS_FDDS</v>
      </c>
      <c r="B671" s="11" t="str">
        <f>ETLMetadata!$E671</f>
        <v>Start_Date</v>
      </c>
      <c r="C671" s="11" t="str">
        <f>IF(ISBLANK(ETLMetadata!$J671), "", ETLMetadata!$J671)</f>
        <v/>
      </c>
      <c r="D671" s="11" t="str">
        <f>ETLMetadata!$G671</f>
        <v>DATE</v>
      </c>
      <c r="E671" s="12"/>
      <c r="F671" s="12"/>
      <c r="G671" s="12" t="str">
        <f t="shared" si="20"/>
        <v/>
      </c>
      <c r="H671" s="12"/>
      <c r="I671" s="12"/>
      <c r="J671" s="13">
        <v>45952</v>
      </c>
      <c r="K671" s="13">
        <v>2958465</v>
      </c>
      <c r="L671" s="11" t="str">
        <f t="shared" si="21"/>
        <v>INSERT INTO metadata_reference.file_schema VALUES('DETM_DETIS_FDDS','Start_Date',NULL,'DATE',NULL,NULL,NULL,NULL,'2025-10-22','9999-12-31',USER, CURRENT_TIMESTAMP(0));</v>
      </c>
    </row>
    <row r="672" spans="1:12" ht="15" customHeight="1">
      <c r="A672" s="11" t="str">
        <f>ETLMetadata!$C672</f>
        <v>DETM_DETIS_FDDS</v>
      </c>
      <c r="B672" s="11" t="str">
        <f>ETLMetadata!$E672</f>
        <v>End_Date</v>
      </c>
      <c r="C672" s="11" t="str">
        <f>IF(ISBLANK(ETLMetadata!$J672), "", ETLMetadata!$J672)</f>
        <v/>
      </c>
      <c r="D672" s="11" t="str">
        <f>ETLMetadata!$G672</f>
        <v>DATE</v>
      </c>
      <c r="E672" s="12"/>
      <c r="F672" s="12"/>
      <c r="G672" s="12" t="str">
        <f t="shared" si="20"/>
        <v/>
      </c>
      <c r="H672" s="12"/>
      <c r="I672" s="12"/>
      <c r="J672" s="13">
        <v>45952</v>
      </c>
      <c r="K672" s="13">
        <v>2958465</v>
      </c>
      <c r="L672" s="11" t="str">
        <f t="shared" si="21"/>
        <v>INSERT INTO metadata_reference.file_schema VALUES('DETM_DETIS_FDDS','End_Date',NULL,'DATE',NULL,NULL,NULL,NULL,'2025-10-22','9999-12-31',USER, CURRENT_TIMESTAMP(0));</v>
      </c>
    </row>
    <row r="673" spans="1:12" ht="15" customHeight="1">
      <c r="A673" s="11" t="str">
        <f>ETLMetadata!$C673</f>
        <v>DETM_DETIS_FDDS</v>
      </c>
      <c r="B673" s="11" t="str">
        <f>ETLMetadata!$E673</f>
        <v>Record_Deleted_Flag</v>
      </c>
      <c r="C673" s="11" t="str">
        <f>IF(ISBLANK(ETLMetadata!$J673), "", ETLMetadata!$J673)</f>
        <v/>
      </c>
      <c r="D673" s="11" t="str">
        <f>ETLMetadata!$G673</f>
        <v>BYTEINT</v>
      </c>
      <c r="E673" s="12"/>
      <c r="F673" s="12"/>
      <c r="G673" s="12" t="str">
        <f t="shared" si="20"/>
        <v/>
      </c>
      <c r="H673" s="12"/>
      <c r="I673" s="12"/>
      <c r="J673" s="13">
        <v>45952</v>
      </c>
      <c r="K673" s="13">
        <v>2958465</v>
      </c>
      <c r="L673" s="11" t="str">
        <f t="shared" si="21"/>
        <v>INSERT INTO metadata_reference.file_schema VALUES('DETM_DETIS_FDDS','Record_Deleted_Flag',NULL,'BYTEINT',NULL,NULL,NULL,NULL,'2025-10-22','9999-12-31',USER, CURRENT_TIMESTAMP(0));</v>
      </c>
    </row>
    <row r="674" spans="1:12" ht="15" customHeight="1">
      <c r="A674" s="11" t="str">
        <f>ETLMetadata!$C674</f>
        <v>DETM_DETIS_FFDS</v>
      </c>
      <c r="B674" s="11" t="str">
        <f>ETLMetadata!$E674</f>
        <v>EXTRACT_DATE</v>
      </c>
      <c r="C674" s="11" t="str">
        <f>IF(ISBLANK(ETLMetadata!$J674), "", ETLMetadata!$J674)</f>
        <v/>
      </c>
      <c r="D674" s="11" t="str">
        <f>ETLMetadata!$G674</f>
        <v>DATE</v>
      </c>
      <c r="E674" s="12"/>
      <c r="F674" s="12"/>
      <c r="G674" s="12" t="str">
        <f t="shared" si="20"/>
        <v/>
      </c>
      <c r="H674" s="12"/>
      <c r="I674" s="12"/>
      <c r="J674" s="13">
        <v>45952</v>
      </c>
      <c r="K674" s="13">
        <v>2958465</v>
      </c>
      <c r="L674" s="11" t="str">
        <f t="shared" si="21"/>
        <v>INSERT INTO metadata_reference.file_schema VALUES('DETM_DETIS_FFDS','EXTRACT_DATE',NULL,'DATE',NULL,NULL,NULL,NULL,'2025-10-22','9999-12-31',USER, CURRENT_TIMESTAMP(0));</v>
      </c>
    </row>
    <row r="675" spans="1:12" ht="15" customHeight="1">
      <c r="A675" s="11" t="str">
        <f>ETLMetadata!$C675</f>
        <v>DETM_DETIS_FFDS</v>
      </c>
      <c r="B675" s="11" t="str">
        <f>ETLMetadata!$E675</f>
        <v>LOGICAL_DELETE_DATE</v>
      </c>
      <c r="C675" s="11" t="str">
        <f>IF(ISBLANK(ETLMetadata!$J675), "", ETLMetadata!$J675)</f>
        <v/>
      </c>
      <c r="D675" s="11" t="str">
        <f>ETLMetadata!$G675</f>
        <v>DATE</v>
      </c>
      <c r="E675" s="12"/>
      <c r="F675" s="12"/>
      <c r="G675" s="12" t="str">
        <f t="shared" si="20"/>
        <v/>
      </c>
      <c r="H675" s="12"/>
      <c r="I675" s="12"/>
      <c r="J675" s="13">
        <v>45952</v>
      </c>
      <c r="K675" s="13">
        <v>2958465</v>
      </c>
      <c r="L675" s="11" t="str">
        <f t="shared" si="21"/>
        <v>INSERT INTO metadata_reference.file_schema VALUES('DETM_DETIS_FFDS','LOGICAL_DELETE_DATE',NULL,'DATE',NULL,NULL,NULL,NULL,'2025-10-22','9999-12-31',USER, CURRENT_TIMESTAMP(0));</v>
      </c>
    </row>
    <row r="676" spans="1:12" ht="15" customHeight="1">
      <c r="A676" s="11" t="str">
        <f>ETLMetadata!$C676</f>
        <v>DETM_DETIS_FFDS</v>
      </c>
      <c r="B676" s="11" t="str">
        <f>ETLMetadata!$E676</f>
        <v>ENVIRONMENT_ID</v>
      </c>
      <c r="C676" s="11" t="str">
        <f>IF(ISBLANK(ETLMetadata!$J676), "", ETLMetadata!$J676)</f>
        <v>Y</v>
      </c>
      <c r="D676" s="11" t="str">
        <f>ETLMetadata!$G676</f>
        <v>CHAR(1)</v>
      </c>
      <c r="E676" s="12"/>
      <c r="F676" s="12"/>
      <c r="G676" s="12" t="str">
        <f t="shared" si="20"/>
        <v/>
      </c>
      <c r="H676" s="12"/>
      <c r="I676" s="12"/>
      <c r="J676" s="13">
        <v>45952</v>
      </c>
      <c r="K676" s="13">
        <v>2958465</v>
      </c>
      <c r="L676" s="11" t="str">
        <f t="shared" si="21"/>
        <v>INSERT INTO metadata_reference.file_schema VALUES('DETM_DETIS_FFDS','ENVIRONMENT_ID','Y','CHAR(1)',NULL,NULL,NULL,NULL,'2025-10-22','9999-12-31',USER, CURRENT_TIMESTAMP(0));</v>
      </c>
    </row>
    <row r="677" spans="1:12" ht="15" customHeight="1">
      <c r="A677" s="11" t="str">
        <f>ETLMetadata!$C677</f>
        <v>DETM_DETIS_FFDS</v>
      </c>
      <c r="B677" s="11" t="str">
        <f>ETLMetadata!$E677</f>
        <v>PERSON_ID</v>
      </c>
      <c r="C677" s="11" t="str">
        <f>IF(ISBLANK(ETLMetadata!$J677), "", ETLMetadata!$J677)</f>
        <v>Y</v>
      </c>
      <c r="D677" s="11" t="str">
        <f>ETLMetadata!$G677</f>
        <v>INTEGER</v>
      </c>
      <c r="E677" s="12"/>
      <c r="F677" s="12" t="s">
        <v>799</v>
      </c>
      <c r="G677" s="12" t="str">
        <f t="shared" si="20"/>
        <v>PERSONAL_IDENTITYINFOINDIRECT</v>
      </c>
      <c r="H677" s="12"/>
      <c r="I677" s="12"/>
      <c r="J677" s="13">
        <v>45952</v>
      </c>
      <c r="K677" s="13">
        <v>2958465</v>
      </c>
      <c r="L677" s="11" t="str">
        <f t="shared" si="21"/>
        <v>INSERT INTO metadata_reference.file_schema VALUES('DETM_DETIS_FFDS','PERSON_ID','Y','INTEGER',NULL,'PERSONAL_IDENTITYINFOINDIRECT',NULL,NULL,'2025-10-22','9999-12-31',USER, CURRENT_TIMESTAMP(0));</v>
      </c>
    </row>
    <row r="678" spans="1:12" ht="15" customHeight="1">
      <c r="A678" s="11" t="str">
        <f>ETLMetadata!$C678</f>
        <v>DETM_DETIS_FFDS</v>
      </c>
      <c r="B678" s="11" t="str">
        <f>ETLMetadata!$E678</f>
        <v>FFDS_DOE</v>
      </c>
      <c r="C678" s="11" t="str">
        <f>IF(ISBLANK(ETLMetadata!$J678), "", ETLMetadata!$J678)</f>
        <v/>
      </c>
      <c r="D678" s="11" t="str">
        <f>ETLMetadata!$G678</f>
        <v>DATE</v>
      </c>
      <c r="E678" s="12"/>
      <c r="F678" s="12"/>
      <c r="G678" s="12" t="str">
        <f t="shared" si="20"/>
        <v/>
      </c>
      <c r="H678" s="12"/>
      <c r="I678" s="12"/>
      <c r="J678" s="13">
        <v>45952</v>
      </c>
      <c r="K678" s="13">
        <v>2958465</v>
      </c>
      <c r="L678" s="11" t="str">
        <f t="shared" si="21"/>
        <v>INSERT INTO metadata_reference.file_schema VALUES('DETM_DETIS_FFDS','FFDS_DOE',NULL,'DATE',NULL,NULL,NULL,NULL,'2025-10-22','9999-12-31',USER, CURRENT_TIMESTAMP(0));</v>
      </c>
    </row>
    <row r="679" spans="1:12" ht="15" customHeight="1">
      <c r="A679" s="11" t="str">
        <f>ETLMetadata!$C679</f>
        <v>DETM_DETIS_FFDS</v>
      </c>
      <c r="B679" s="11" t="str">
        <f>ETLMetadata!$E679</f>
        <v>FFDS_DOE_ORIG</v>
      </c>
      <c r="C679" s="11" t="str">
        <f>IF(ISBLANK(ETLMetadata!$J679), "", ETLMetadata!$J679)</f>
        <v/>
      </c>
      <c r="D679" s="11" t="str">
        <f>ETLMetadata!$G679</f>
        <v>INTEGER</v>
      </c>
      <c r="E679" s="12"/>
      <c r="F679" s="12"/>
      <c r="G679" s="12" t="str">
        <f t="shared" si="20"/>
        <v/>
      </c>
      <c r="H679" s="12"/>
      <c r="I679" s="12"/>
      <c r="J679" s="13">
        <v>45952</v>
      </c>
      <c r="K679" s="13">
        <v>2958465</v>
      </c>
      <c r="L679" s="11" t="str">
        <f t="shared" si="21"/>
        <v>INSERT INTO metadata_reference.file_schema VALUES('DETM_DETIS_FFDS','FFDS_DOE_ORIG',NULL,'INTEGER',NULL,NULL,NULL,NULL,'2025-10-22','9999-12-31',USER, CURRENT_TIMESTAMP(0));</v>
      </c>
    </row>
    <row r="680" spans="1:12" ht="15" customHeight="1">
      <c r="A680" s="11" t="str">
        <f>ETLMetadata!$C680</f>
        <v>DETM_DETIS_FFDS</v>
      </c>
      <c r="B680" s="11" t="str">
        <f>ETLMetadata!$E680</f>
        <v>PROCESSING_SEQUENCE</v>
      </c>
      <c r="C680" s="11" t="str">
        <f>IF(ISBLANK(ETLMetadata!$J680), "", ETLMetadata!$J680)</f>
        <v>Y</v>
      </c>
      <c r="D680" s="11" t="str">
        <f>ETLMetadata!$G680</f>
        <v>SMALLINT</v>
      </c>
      <c r="E680" s="12"/>
      <c r="F680" s="12"/>
      <c r="G680" s="12" t="str">
        <f t="shared" si="20"/>
        <v/>
      </c>
      <c r="H680" s="12"/>
      <c r="I680" s="12"/>
      <c r="J680" s="13">
        <v>45952</v>
      </c>
      <c r="K680" s="13">
        <v>2958465</v>
      </c>
      <c r="L680" s="11" t="str">
        <f t="shared" si="21"/>
        <v>INSERT INTO metadata_reference.file_schema VALUES('DETM_DETIS_FFDS','PROCESSING_SEQUENCE','Y','SMALLINT',NULL,NULL,NULL,NULL,'2025-10-22','9999-12-31',USER, CURRENT_TIMESTAMP(0));</v>
      </c>
    </row>
    <row r="681" spans="1:12" ht="15" customHeight="1">
      <c r="A681" s="11" t="str">
        <f>ETLMetadata!$C681</f>
        <v>DETM_DETIS_FFDS</v>
      </c>
      <c r="B681" s="11" t="str">
        <f>ETLMetadata!$E681</f>
        <v>FFDS_AMR_1</v>
      </c>
      <c r="C681" s="11" t="str">
        <f>IF(ISBLANK(ETLMetadata!$J681), "", ETLMetadata!$J681)</f>
        <v/>
      </c>
      <c r="D681" s="11" t="str">
        <f>ETLMetadata!$G681</f>
        <v>CHAR(4)</v>
      </c>
      <c r="E681" s="12"/>
      <c r="F681" s="12"/>
      <c r="G681" s="12" t="str">
        <f t="shared" si="20"/>
        <v/>
      </c>
      <c r="H681" s="12"/>
      <c r="I681" s="12"/>
      <c r="J681" s="13">
        <v>45952</v>
      </c>
      <c r="K681" s="13">
        <v>2958465</v>
      </c>
      <c r="L681" s="11" t="str">
        <f t="shared" si="21"/>
        <v>INSERT INTO metadata_reference.file_schema VALUES('DETM_DETIS_FFDS','FFDS_AMR_1',NULL,'CHAR(4)',NULL,NULL,NULL,NULL,'2025-10-22','9999-12-31',USER, CURRENT_TIMESTAMP(0));</v>
      </c>
    </row>
    <row r="682" spans="1:12" ht="15" customHeight="1">
      <c r="A682" s="11" t="str">
        <f>ETLMetadata!$C682</f>
        <v>DETM_DETIS_FFDS</v>
      </c>
      <c r="B682" s="11" t="str">
        <f>ETLMetadata!$E682</f>
        <v>FFDS_AMR_2</v>
      </c>
      <c r="C682" s="11" t="str">
        <f>IF(ISBLANK(ETLMetadata!$J682), "", ETLMetadata!$J682)</f>
        <v/>
      </c>
      <c r="D682" s="11" t="str">
        <f>ETLMetadata!$G682</f>
        <v>CHAR(1)</v>
      </c>
      <c r="E682" s="12"/>
      <c r="F682" s="12"/>
      <c r="G682" s="12" t="str">
        <f t="shared" si="20"/>
        <v/>
      </c>
      <c r="H682" s="12"/>
      <c r="I682" s="12"/>
      <c r="J682" s="13">
        <v>45952</v>
      </c>
      <c r="K682" s="13">
        <v>2958465</v>
      </c>
      <c r="L682" s="11" t="str">
        <f t="shared" si="21"/>
        <v>INSERT INTO metadata_reference.file_schema VALUES('DETM_DETIS_FFDS','FFDS_AMR_2',NULL,'CHAR(1)',NULL,NULL,NULL,NULL,'2025-10-22','9999-12-31',USER, CURRENT_TIMESTAMP(0));</v>
      </c>
    </row>
    <row r="683" spans="1:12" ht="15" customHeight="1">
      <c r="A683" s="11" t="str">
        <f>ETLMetadata!$C683</f>
        <v>DETM_DETIS_FFDS</v>
      </c>
      <c r="B683" s="11" t="str">
        <f>ETLMetadata!$E683</f>
        <v>FFDS_AMR_3</v>
      </c>
      <c r="C683" s="11" t="str">
        <f>IF(ISBLANK(ETLMetadata!$J683), "", ETLMetadata!$J683)</f>
        <v/>
      </c>
      <c r="D683" s="11" t="str">
        <f>ETLMetadata!$G683</f>
        <v>CHAR(4)</v>
      </c>
      <c r="E683" s="12"/>
      <c r="F683" s="12"/>
      <c r="G683" s="12" t="str">
        <f t="shared" si="20"/>
        <v/>
      </c>
      <c r="H683" s="12"/>
      <c r="I683" s="12"/>
      <c r="J683" s="13">
        <v>45952</v>
      </c>
      <c r="K683" s="13">
        <v>2958465</v>
      </c>
      <c r="L683" s="11" t="str">
        <f t="shared" si="21"/>
        <v>INSERT INTO metadata_reference.file_schema VALUES('DETM_DETIS_FFDS','FFDS_AMR_3',NULL,'CHAR(4)',NULL,NULL,NULL,NULL,'2025-10-22','9999-12-31',USER, CURRENT_TIMESTAMP(0));</v>
      </c>
    </row>
    <row r="684" spans="1:12" ht="15" customHeight="1">
      <c r="A684" s="11" t="str">
        <f>ETLMetadata!$C684</f>
        <v>DETM_DETIS_FFDS</v>
      </c>
      <c r="B684" s="11" t="str">
        <f>ETLMetadata!$E684</f>
        <v>FFDS_BEN_TYPE_CODE</v>
      </c>
      <c r="C684" s="11" t="str">
        <f>IF(ISBLANK(ETLMetadata!$J684), "", ETLMetadata!$J684)</f>
        <v/>
      </c>
      <c r="D684" s="11" t="str">
        <f>ETLMetadata!$G684</f>
        <v>CHAR(3)</v>
      </c>
      <c r="E684" s="12"/>
      <c r="F684" s="12"/>
      <c r="G684" s="12" t="str">
        <f t="shared" si="20"/>
        <v/>
      </c>
      <c r="H684" s="12"/>
      <c r="I684" s="12"/>
      <c r="J684" s="13">
        <v>45952</v>
      </c>
      <c r="K684" s="13">
        <v>2958465</v>
      </c>
      <c r="L684" s="11" t="str">
        <f t="shared" si="21"/>
        <v>INSERT INTO metadata_reference.file_schema VALUES('DETM_DETIS_FFDS','FFDS_BEN_TYPE_CODE',NULL,'CHAR(3)',NULL,NULL,NULL,NULL,'2025-10-22','9999-12-31',USER, CURRENT_TIMESTAMP(0));</v>
      </c>
    </row>
    <row r="685" spans="1:12" ht="15" customHeight="1">
      <c r="A685" s="11" t="str">
        <f>ETLMetadata!$C685</f>
        <v>DETM_DETIS_FFDS</v>
      </c>
      <c r="B685" s="11" t="str">
        <f>ETLMetadata!$E685</f>
        <v>FFDS_STS_CODE</v>
      </c>
      <c r="C685" s="11" t="str">
        <f>IF(ISBLANK(ETLMetadata!$J685), "", ETLMetadata!$J685)</f>
        <v/>
      </c>
      <c r="D685" s="11" t="str">
        <f>ETLMetadata!$G685</f>
        <v>CHAR(3)</v>
      </c>
      <c r="E685" s="12"/>
      <c r="F685" s="12"/>
      <c r="G685" s="12" t="str">
        <f t="shared" si="20"/>
        <v/>
      </c>
      <c r="H685" s="12"/>
      <c r="I685" s="12"/>
      <c r="J685" s="13">
        <v>45952</v>
      </c>
      <c r="K685" s="13">
        <v>2958465</v>
      </c>
      <c r="L685" s="11" t="str">
        <f t="shared" si="21"/>
        <v>INSERT INTO metadata_reference.file_schema VALUES('DETM_DETIS_FFDS','FFDS_STS_CODE',NULL,'CHAR(3)',NULL,NULL,NULL,NULL,'2025-10-22','9999-12-31',USER, CURRENT_TIMESTAMP(0));</v>
      </c>
    </row>
    <row r="686" spans="1:12" ht="15" customHeight="1">
      <c r="A686" s="11" t="str">
        <f>ETLMetadata!$C686</f>
        <v>DETM_DETIS_FFDS</v>
      </c>
      <c r="B686" s="11" t="str">
        <f>ETLMetadata!$E686</f>
        <v>FFDS_RSN_CODE</v>
      </c>
      <c r="C686" s="11" t="str">
        <f>IF(ISBLANK(ETLMetadata!$J686), "", ETLMetadata!$J686)</f>
        <v/>
      </c>
      <c r="D686" s="11" t="str">
        <f>ETLMetadata!$G686</f>
        <v>CHAR(3)</v>
      </c>
      <c r="E686" s="12"/>
      <c r="F686" s="12"/>
      <c r="G686" s="12" t="str">
        <f t="shared" si="20"/>
        <v/>
      </c>
      <c r="H686" s="12"/>
      <c r="I686" s="12"/>
      <c r="J686" s="13">
        <v>45952</v>
      </c>
      <c r="K686" s="13">
        <v>2958465</v>
      </c>
      <c r="L686" s="11" t="str">
        <f t="shared" si="21"/>
        <v>INSERT INTO metadata_reference.file_schema VALUES('DETM_DETIS_FFDS','FFDS_RSN_CODE',NULL,'CHAR(3)',NULL,NULL,NULL,NULL,'2025-10-22','9999-12-31',USER, CURRENT_TIMESTAMP(0));</v>
      </c>
    </row>
    <row r="687" spans="1:12" ht="15" customHeight="1">
      <c r="A687" s="11" t="str">
        <f>ETLMetadata!$C687</f>
        <v>DETM_DETIS_FFDS</v>
      </c>
      <c r="B687" s="11" t="str">
        <f>ETLMetadata!$E687</f>
        <v>FFDS_UNIQ_ID</v>
      </c>
      <c r="C687" s="11" t="str">
        <f>IF(ISBLANK(ETLMetadata!$J687), "", ETLMetadata!$J687)</f>
        <v/>
      </c>
      <c r="D687" s="11" t="str">
        <f>ETLMetadata!$G687</f>
        <v>VARCHAR(8)</v>
      </c>
      <c r="E687" s="12"/>
      <c r="F687" s="12"/>
      <c r="G687" s="12" t="str">
        <f t="shared" si="20"/>
        <v/>
      </c>
      <c r="H687" s="12"/>
      <c r="I687" s="12"/>
      <c r="J687" s="13">
        <v>45952</v>
      </c>
      <c r="K687" s="13">
        <v>2958465</v>
      </c>
      <c r="L687" s="11" t="str">
        <f t="shared" si="21"/>
        <v>INSERT INTO metadata_reference.file_schema VALUES('DETM_DETIS_FFDS','FFDS_UNIQ_ID',NULL,'VARCHAR(8)',NULL,NULL,NULL,NULL,'2025-10-22','9999-12-31',USER, CURRENT_TIMESTAMP(0));</v>
      </c>
    </row>
    <row r="688" spans="1:12" ht="15" customHeight="1">
      <c r="A688" s="11" t="str">
        <f>ETLMetadata!$C688</f>
        <v>DETM_DETIS_FFDS</v>
      </c>
      <c r="B688" s="11" t="str">
        <f>ETLMetadata!$E688</f>
        <v>AMR1_RISL_DTS</v>
      </c>
      <c r="C688" s="11" t="str">
        <f>IF(ISBLANK(ETLMetadata!$J688), "", ETLMetadata!$J688)</f>
        <v/>
      </c>
      <c r="D688" s="11" t="str">
        <f>ETLMetadata!$G688</f>
        <v>TIMESTAMP(6)</v>
      </c>
      <c r="E688" s="12"/>
      <c r="F688" s="12"/>
      <c r="G688" s="12" t="str">
        <f t="shared" si="20"/>
        <v/>
      </c>
      <c r="H688" s="12"/>
      <c r="I688" s="12"/>
      <c r="J688" s="13">
        <v>45952</v>
      </c>
      <c r="K688" s="13">
        <v>2958465</v>
      </c>
      <c r="L688" s="11" t="str">
        <f t="shared" si="21"/>
        <v>INSERT INTO metadata_reference.file_schema VALUES('DETM_DETIS_FFDS','AMR1_RISL_DTS',NULL,'TIMESTAMP(6)',NULL,NULL,NULL,NULL,'2025-10-22','9999-12-31',USER, CURRENT_TIMESTAMP(0));</v>
      </c>
    </row>
    <row r="689" spans="1:12" ht="15" customHeight="1">
      <c r="A689" s="11" t="str">
        <f>ETLMetadata!$C689</f>
        <v>DETM_DETIS_FFDS</v>
      </c>
      <c r="B689" s="11" t="str">
        <f>ETLMetadata!$E689</f>
        <v>AMR3_RISL_DTS</v>
      </c>
      <c r="C689" s="11" t="str">
        <f>IF(ISBLANK(ETLMetadata!$J689), "", ETLMetadata!$J689)</f>
        <v/>
      </c>
      <c r="D689" s="11" t="str">
        <f>ETLMetadata!$G689</f>
        <v>TIMESTAMP(6)</v>
      </c>
      <c r="E689" s="12"/>
      <c r="F689" s="12"/>
      <c r="G689" s="12" t="str">
        <f t="shared" si="20"/>
        <v/>
      </c>
      <c r="H689" s="12"/>
      <c r="I689" s="12"/>
      <c r="J689" s="13">
        <v>45952</v>
      </c>
      <c r="K689" s="13">
        <v>2958465</v>
      </c>
      <c r="L689" s="11" t="str">
        <f t="shared" si="21"/>
        <v>INSERT INTO metadata_reference.file_schema VALUES('DETM_DETIS_FFDS','AMR3_RISL_DTS',NULL,'TIMESTAMP(6)',NULL,NULL,NULL,NULL,'2025-10-22','9999-12-31',USER, CURRENT_TIMESTAMP(0));</v>
      </c>
    </row>
    <row r="690" spans="1:12" ht="15" customHeight="1">
      <c r="A690" s="11" t="str">
        <f>ETLMetadata!$C690</f>
        <v>DETM_DETIS_FFDS</v>
      </c>
      <c r="B690" s="11" t="str">
        <f>ETLMetadata!$E690</f>
        <v>EPISODE_ID</v>
      </c>
      <c r="C690" s="11" t="str">
        <f>IF(ISBLANK(ETLMetadata!$J690), "", ETLMetadata!$J690)</f>
        <v/>
      </c>
      <c r="D690" s="11" t="str">
        <f>ETLMetadata!$G690</f>
        <v>INTEGER</v>
      </c>
      <c r="E690" s="12"/>
      <c r="F690" s="12"/>
      <c r="G690" s="12" t="str">
        <f t="shared" si="20"/>
        <v/>
      </c>
      <c r="H690" s="12"/>
      <c r="I690" s="12"/>
      <c r="J690" s="13">
        <v>45952</v>
      </c>
      <c r="K690" s="13">
        <v>2958465</v>
      </c>
      <c r="L690" s="11" t="str">
        <f t="shared" si="21"/>
        <v>INSERT INTO metadata_reference.file_schema VALUES('DETM_DETIS_FFDS','EPISODE_ID',NULL,'INTEGER',NULL,NULL,NULL,NULL,'2025-10-22','9999-12-31',USER, CURRENT_TIMESTAMP(0));</v>
      </c>
    </row>
    <row r="691" spans="1:12" ht="15" customHeight="1">
      <c r="A691" s="11" t="str">
        <f>ETLMetadata!$C691</f>
        <v>DETM_DETIS_FFDS</v>
      </c>
      <c r="B691" s="11" t="str">
        <f>ETLMetadata!$E691</f>
        <v>PARTY_ROLE_ID</v>
      </c>
      <c r="C691" s="11" t="str">
        <f>IF(ISBLANK(ETLMetadata!$J691), "", ETLMetadata!$J691)</f>
        <v/>
      </c>
      <c r="D691" s="11" t="str">
        <f>ETLMetadata!$G691</f>
        <v>INTEGER</v>
      </c>
      <c r="E691" s="12"/>
      <c r="F691" s="12"/>
      <c r="G691" s="12" t="str">
        <f t="shared" si="20"/>
        <v/>
      </c>
      <c r="H691" s="12"/>
      <c r="I691" s="12"/>
      <c r="J691" s="13">
        <v>45952</v>
      </c>
      <c r="K691" s="13">
        <v>2958465</v>
      </c>
      <c r="L691" s="11" t="str">
        <f t="shared" si="21"/>
        <v>INSERT INTO metadata_reference.file_schema VALUES('DETM_DETIS_FFDS','PARTY_ROLE_ID',NULL,'INTEGER',NULL,NULL,NULL,NULL,'2025-10-22','9999-12-31',USER, CURRENT_TIMESTAMP(0));</v>
      </c>
    </row>
    <row r="692" spans="1:12" ht="15" customHeight="1">
      <c r="A692" s="11" t="str">
        <f>ETLMetadata!$C692</f>
        <v>DETM_DETIS_FFDS</v>
      </c>
      <c r="B692" s="11" t="str">
        <f>ETLMetadata!$E692</f>
        <v>PAYMENT_TYPE_ID</v>
      </c>
      <c r="C692" s="11" t="str">
        <f>IF(ISBLANK(ETLMetadata!$J692), "", ETLMetadata!$J692)</f>
        <v/>
      </c>
      <c r="D692" s="11" t="str">
        <f>ETLMetadata!$G692</f>
        <v>INTEGER</v>
      </c>
      <c r="E692" s="12"/>
      <c r="F692" s="12"/>
      <c r="G692" s="12" t="str">
        <f t="shared" si="20"/>
        <v/>
      </c>
      <c r="H692" s="12"/>
      <c r="I692" s="12"/>
      <c r="J692" s="13">
        <v>45952</v>
      </c>
      <c r="K692" s="13">
        <v>2958465</v>
      </c>
      <c r="L692" s="11" t="str">
        <f t="shared" si="21"/>
        <v>INSERT INTO metadata_reference.file_schema VALUES('DETM_DETIS_FFDS','PAYMENT_TYPE_ID',NULL,'INTEGER',NULL,NULL,NULL,NULL,'2025-10-22','9999-12-31',USER, CURRENT_TIMESTAMP(0));</v>
      </c>
    </row>
    <row r="693" spans="1:12" ht="15" customHeight="1">
      <c r="A693" s="11" t="str">
        <f>ETLMetadata!$C693</f>
        <v>DETM_DETIS_FFDS</v>
      </c>
      <c r="B693" s="11" t="str">
        <f>ETLMetadata!$E693</f>
        <v>ERROR_COUNT</v>
      </c>
      <c r="C693" s="11" t="str">
        <f>IF(ISBLANK(ETLMetadata!$J693), "", ETLMetadata!$J693)</f>
        <v/>
      </c>
      <c r="D693" s="11" t="str">
        <f>ETLMetadata!$G693</f>
        <v>SMALLINT</v>
      </c>
      <c r="E693" s="12"/>
      <c r="F693" s="12"/>
      <c r="G693" s="12" t="str">
        <f t="shared" si="20"/>
        <v/>
      </c>
      <c r="H693" s="12"/>
      <c r="I693" s="12"/>
      <c r="J693" s="13">
        <v>45952</v>
      </c>
      <c r="K693" s="13">
        <v>2958465</v>
      </c>
      <c r="L693" s="11" t="str">
        <f t="shared" si="21"/>
        <v>INSERT INTO metadata_reference.file_schema VALUES('DETM_DETIS_FFDS','ERROR_COUNT',NULL,'SMALLINT',NULL,NULL,NULL,NULL,'2025-10-22','9999-12-31',USER, CURRENT_TIMESTAMP(0));</v>
      </c>
    </row>
    <row r="694" spans="1:12" ht="15" customHeight="1">
      <c r="A694" s="11" t="str">
        <f>ETLMetadata!$C694</f>
        <v>DETM_DETIS_FFDS</v>
      </c>
      <c r="B694" s="11" t="str">
        <f>ETLMetadata!$E694</f>
        <v>Start_Date</v>
      </c>
      <c r="C694" s="11" t="str">
        <f>IF(ISBLANK(ETLMetadata!$J694), "", ETLMetadata!$J694)</f>
        <v/>
      </c>
      <c r="D694" s="11" t="str">
        <f>ETLMetadata!$G694</f>
        <v>DATE</v>
      </c>
      <c r="E694" s="12"/>
      <c r="F694" s="12"/>
      <c r="G694" s="12" t="str">
        <f t="shared" si="20"/>
        <v/>
      </c>
      <c r="H694" s="12"/>
      <c r="I694" s="12"/>
      <c r="J694" s="13">
        <v>45952</v>
      </c>
      <c r="K694" s="13">
        <v>2958465</v>
      </c>
      <c r="L694" s="11" t="str">
        <f t="shared" si="21"/>
        <v>INSERT INTO metadata_reference.file_schema VALUES('DETM_DETIS_FFDS','Start_Date',NULL,'DATE',NULL,NULL,NULL,NULL,'2025-10-22','9999-12-31',USER, CURRENT_TIMESTAMP(0));</v>
      </c>
    </row>
    <row r="695" spans="1:12" ht="15" customHeight="1">
      <c r="A695" s="11" t="str">
        <f>ETLMetadata!$C695</f>
        <v>DETM_DETIS_FFDS</v>
      </c>
      <c r="B695" s="11" t="str">
        <f>ETLMetadata!$E695</f>
        <v>End_Date</v>
      </c>
      <c r="C695" s="11" t="str">
        <f>IF(ISBLANK(ETLMetadata!$J695), "", ETLMetadata!$J695)</f>
        <v/>
      </c>
      <c r="D695" s="11" t="str">
        <f>ETLMetadata!$G695</f>
        <v>DATE</v>
      </c>
      <c r="E695" s="12"/>
      <c r="F695" s="12"/>
      <c r="G695" s="12" t="str">
        <f t="shared" si="20"/>
        <v/>
      </c>
      <c r="H695" s="12"/>
      <c r="I695" s="12"/>
      <c r="J695" s="13">
        <v>45952</v>
      </c>
      <c r="K695" s="13">
        <v>2958465</v>
      </c>
      <c r="L695" s="11" t="str">
        <f t="shared" si="21"/>
        <v>INSERT INTO metadata_reference.file_schema VALUES('DETM_DETIS_FFDS','End_Date',NULL,'DATE',NULL,NULL,NULL,NULL,'2025-10-22','9999-12-31',USER, CURRENT_TIMESTAMP(0));</v>
      </c>
    </row>
    <row r="696" spans="1:12" ht="15" customHeight="1">
      <c r="A696" s="11" t="str">
        <f>ETLMetadata!$C696</f>
        <v>DETM_DETIS_FFDS</v>
      </c>
      <c r="B696" s="11" t="str">
        <f>ETLMetadata!$E696</f>
        <v>Record_Deleted_Flag</v>
      </c>
      <c r="C696" s="11" t="str">
        <f>IF(ISBLANK(ETLMetadata!$J696), "", ETLMetadata!$J696)</f>
        <v/>
      </c>
      <c r="D696" s="11" t="str">
        <f>ETLMetadata!$G696</f>
        <v>BYTEINT</v>
      </c>
      <c r="E696" s="12"/>
      <c r="F696" s="12"/>
      <c r="G696" s="12" t="str">
        <f t="shared" si="20"/>
        <v/>
      </c>
      <c r="H696" s="12"/>
      <c r="I696" s="12"/>
      <c r="J696" s="13">
        <v>45952</v>
      </c>
      <c r="K696" s="13">
        <v>2958465</v>
      </c>
      <c r="L696" s="11" t="str">
        <f t="shared" si="21"/>
        <v>INSERT INTO metadata_reference.file_schema VALUES('DETM_DETIS_FFDS','Record_Deleted_Flag',NULL,'BYTEINT',NULL,NULL,NULL,NULL,'2025-10-22','9999-12-31',USER, CURRENT_TIMESTAMP(0));</v>
      </c>
    </row>
    <row r="697" spans="1:12" ht="15" customHeight="1">
      <c r="A697" s="11" t="str">
        <f>ETLMetadata!$C697</f>
        <v>DETM_DETIS_FHDS</v>
      </c>
      <c r="B697" s="11" t="str">
        <f>ETLMetadata!$E697</f>
        <v>EXTRACT_DATE</v>
      </c>
      <c r="C697" s="11" t="str">
        <f>IF(ISBLANK(ETLMetadata!$J697), "", ETLMetadata!$J697)</f>
        <v/>
      </c>
      <c r="D697" s="11" t="str">
        <f>ETLMetadata!$G697</f>
        <v>DATE</v>
      </c>
      <c r="E697" s="12"/>
      <c r="F697" s="12"/>
      <c r="G697" s="12" t="str">
        <f t="shared" si="20"/>
        <v/>
      </c>
      <c r="H697" s="12"/>
      <c r="I697" s="12"/>
      <c r="J697" s="13">
        <v>45952</v>
      </c>
      <c r="K697" s="13">
        <v>2958465</v>
      </c>
      <c r="L697" s="11" t="str">
        <f t="shared" si="21"/>
        <v>INSERT INTO metadata_reference.file_schema VALUES('DETM_DETIS_FHDS','EXTRACT_DATE',NULL,'DATE',NULL,NULL,NULL,NULL,'2025-10-22','9999-12-31',USER, CURRENT_TIMESTAMP(0));</v>
      </c>
    </row>
    <row r="698" spans="1:12" ht="15" customHeight="1">
      <c r="A698" s="11" t="str">
        <f>ETLMetadata!$C698</f>
        <v>DETM_DETIS_FHDS</v>
      </c>
      <c r="B698" s="11" t="str">
        <f>ETLMetadata!$E698</f>
        <v>LOGICAL_DELETE_DATE</v>
      </c>
      <c r="C698" s="11" t="str">
        <f>IF(ISBLANK(ETLMetadata!$J698), "", ETLMetadata!$J698)</f>
        <v/>
      </c>
      <c r="D698" s="11" t="str">
        <f>ETLMetadata!$G698</f>
        <v>DATE</v>
      </c>
      <c r="E698" s="12"/>
      <c r="F698" s="12"/>
      <c r="G698" s="12" t="str">
        <f t="shared" si="20"/>
        <v/>
      </c>
      <c r="H698" s="12"/>
      <c r="I698" s="12"/>
      <c r="J698" s="13">
        <v>45952</v>
      </c>
      <c r="K698" s="13">
        <v>2958465</v>
      </c>
      <c r="L698" s="11" t="str">
        <f t="shared" si="21"/>
        <v>INSERT INTO metadata_reference.file_schema VALUES('DETM_DETIS_FHDS','LOGICAL_DELETE_DATE',NULL,'DATE',NULL,NULL,NULL,NULL,'2025-10-22','9999-12-31',USER, CURRENT_TIMESTAMP(0));</v>
      </c>
    </row>
    <row r="699" spans="1:12" ht="15" customHeight="1">
      <c r="A699" s="11" t="str">
        <f>ETLMetadata!$C699</f>
        <v>DETM_DETIS_FHDS</v>
      </c>
      <c r="B699" s="11" t="str">
        <f>ETLMetadata!$E699</f>
        <v>ENVIRONMENT_ID</v>
      </c>
      <c r="C699" s="11" t="str">
        <f>IF(ISBLANK(ETLMetadata!$J699), "", ETLMetadata!$J699)</f>
        <v>Y</v>
      </c>
      <c r="D699" s="11" t="str">
        <f>ETLMetadata!$G699</f>
        <v>CHAR(1)</v>
      </c>
      <c r="E699" s="12"/>
      <c r="F699" s="12"/>
      <c r="G699" s="12" t="str">
        <f t="shared" si="20"/>
        <v/>
      </c>
      <c r="H699" s="12"/>
      <c r="I699" s="12"/>
      <c r="J699" s="13">
        <v>45952</v>
      </c>
      <c r="K699" s="13">
        <v>2958465</v>
      </c>
      <c r="L699" s="11" t="str">
        <f t="shared" si="21"/>
        <v>INSERT INTO metadata_reference.file_schema VALUES('DETM_DETIS_FHDS','ENVIRONMENT_ID','Y','CHAR(1)',NULL,NULL,NULL,NULL,'2025-10-22','9999-12-31',USER, CURRENT_TIMESTAMP(0));</v>
      </c>
    </row>
    <row r="700" spans="1:12" ht="15" customHeight="1">
      <c r="A700" s="11" t="str">
        <f>ETLMetadata!$C700</f>
        <v>DETM_DETIS_FHDS</v>
      </c>
      <c r="B700" s="11" t="str">
        <f>ETLMetadata!$E700</f>
        <v>PERSON_ID</v>
      </c>
      <c r="C700" s="11" t="str">
        <f>IF(ISBLANK(ETLMetadata!$J700), "", ETLMetadata!$J700)</f>
        <v>Y</v>
      </c>
      <c r="D700" s="11" t="str">
        <f>ETLMetadata!$G700</f>
        <v>INTEGER</v>
      </c>
      <c r="E700" s="12"/>
      <c r="F700" s="12" t="s">
        <v>799</v>
      </c>
      <c r="G700" s="12" t="str">
        <f t="shared" si="20"/>
        <v>PERSONAL_IDENTITYINFOINDIRECT</v>
      </c>
      <c r="H700" s="12"/>
      <c r="I700" s="12"/>
      <c r="J700" s="13">
        <v>45952</v>
      </c>
      <c r="K700" s="13">
        <v>2958465</v>
      </c>
      <c r="L700" s="11" t="str">
        <f t="shared" si="21"/>
        <v>INSERT INTO metadata_reference.file_schema VALUES('DETM_DETIS_FHDS','PERSON_ID','Y','INTEGER',NULL,'PERSONAL_IDENTITYINFOINDIRECT',NULL,NULL,'2025-10-22','9999-12-31',USER, CURRENT_TIMESTAMP(0));</v>
      </c>
    </row>
    <row r="701" spans="1:12" ht="15" customHeight="1">
      <c r="A701" s="11" t="str">
        <f>ETLMetadata!$C701</f>
        <v>DETM_DETIS_FHDS</v>
      </c>
      <c r="B701" s="11" t="str">
        <f>ETLMetadata!$E701</f>
        <v>FHDS_DOE</v>
      </c>
      <c r="C701" s="11" t="str">
        <f>IF(ISBLANK(ETLMetadata!$J701), "", ETLMetadata!$J701)</f>
        <v/>
      </c>
      <c r="D701" s="11" t="str">
        <f>ETLMetadata!$G701</f>
        <v>DATE</v>
      </c>
      <c r="E701" s="12"/>
      <c r="F701" s="12"/>
      <c r="G701" s="12" t="str">
        <f t="shared" si="20"/>
        <v/>
      </c>
      <c r="H701" s="12"/>
      <c r="I701" s="12"/>
      <c r="J701" s="13">
        <v>45952</v>
      </c>
      <c r="K701" s="13">
        <v>2958465</v>
      </c>
      <c r="L701" s="11" t="str">
        <f t="shared" si="21"/>
        <v>INSERT INTO metadata_reference.file_schema VALUES('DETM_DETIS_FHDS','FHDS_DOE',NULL,'DATE',NULL,NULL,NULL,NULL,'2025-10-22','9999-12-31',USER, CURRENT_TIMESTAMP(0));</v>
      </c>
    </row>
    <row r="702" spans="1:12" ht="15" customHeight="1">
      <c r="A702" s="11" t="str">
        <f>ETLMetadata!$C702</f>
        <v>DETM_DETIS_FHDS</v>
      </c>
      <c r="B702" s="11" t="str">
        <f>ETLMetadata!$E702</f>
        <v>FHDS_DOE_ORIG</v>
      </c>
      <c r="C702" s="11" t="str">
        <f>IF(ISBLANK(ETLMetadata!$J702), "", ETLMetadata!$J702)</f>
        <v/>
      </c>
      <c r="D702" s="11" t="str">
        <f>ETLMetadata!$G702</f>
        <v>INTEGER</v>
      </c>
      <c r="E702" s="12"/>
      <c r="F702" s="12"/>
      <c r="G702" s="12" t="str">
        <f t="shared" si="20"/>
        <v/>
      </c>
      <c r="H702" s="12"/>
      <c r="I702" s="12"/>
      <c r="J702" s="13">
        <v>45952</v>
      </c>
      <c r="K702" s="13">
        <v>2958465</v>
      </c>
      <c r="L702" s="11" t="str">
        <f t="shared" si="21"/>
        <v>INSERT INTO metadata_reference.file_schema VALUES('DETM_DETIS_FHDS','FHDS_DOE_ORIG',NULL,'INTEGER',NULL,NULL,NULL,NULL,'2025-10-22','9999-12-31',USER, CURRENT_TIMESTAMP(0));</v>
      </c>
    </row>
    <row r="703" spans="1:12" ht="15" customHeight="1">
      <c r="A703" s="11" t="str">
        <f>ETLMetadata!$C703</f>
        <v>DETM_DETIS_FHDS</v>
      </c>
      <c r="B703" s="11" t="str">
        <f>ETLMetadata!$E703</f>
        <v>PROCESSING_SEQUENCE</v>
      </c>
      <c r="C703" s="11" t="str">
        <f>IF(ISBLANK(ETLMetadata!$J703), "", ETLMetadata!$J703)</f>
        <v>Y</v>
      </c>
      <c r="D703" s="11" t="str">
        <f>ETLMetadata!$G703</f>
        <v>SMALLINT</v>
      </c>
      <c r="E703" s="12"/>
      <c r="F703" s="12"/>
      <c r="G703" s="12" t="str">
        <f t="shared" si="20"/>
        <v/>
      </c>
      <c r="H703" s="12"/>
      <c r="I703" s="12"/>
      <c r="J703" s="13">
        <v>45952</v>
      </c>
      <c r="K703" s="13">
        <v>2958465</v>
      </c>
      <c r="L703" s="11" t="str">
        <f t="shared" si="21"/>
        <v>INSERT INTO metadata_reference.file_schema VALUES('DETM_DETIS_FHDS','PROCESSING_SEQUENCE','Y','SMALLINT',NULL,NULL,NULL,NULL,'2025-10-22','9999-12-31',USER, CURRENT_TIMESTAMP(0));</v>
      </c>
    </row>
    <row r="704" spans="1:12" ht="15" customHeight="1">
      <c r="A704" s="11" t="str">
        <f>ETLMetadata!$C704</f>
        <v>DETM_DETIS_FHDS</v>
      </c>
      <c r="B704" s="11" t="str">
        <f>ETLMetadata!$E704</f>
        <v>FHDS_AMR_1</v>
      </c>
      <c r="C704" s="11" t="str">
        <f>IF(ISBLANK(ETLMetadata!$J704), "", ETLMetadata!$J704)</f>
        <v/>
      </c>
      <c r="D704" s="11" t="str">
        <f>ETLMetadata!$G704</f>
        <v>CHAR(4)</v>
      </c>
      <c r="E704" s="12"/>
      <c r="F704" s="12"/>
      <c r="G704" s="12" t="str">
        <f t="shared" si="20"/>
        <v/>
      </c>
      <c r="H704" s="12"/>
      <c r="I704" s="12"/>
      <c r="J704" s="13">
        <v>45952</v>
      </c>
      <c r="K704" s="13">
        <v>2958465</v>
      </c>
      <c r="L704" s="11" t="str">
        <f t="shared" si="21"/>
        <v>INSERT INTO metadata_reference.file_schema VALUES('DETM_DETIS_FHDS','FHDS_AMR_1',NULL,'CHAR(4)',NULL,NULL,NULL,NULL,'2025-10-22','9999-12-31',USER, CURRENT_TIMESTAMP(0));</v>
      </c>
    </row>
    <row r="705" spans="1:12" ht="15" customHeight="1">
      <c r="A705" s="11" t="str">
        <f>ETLMetadata!$C705</f>
        <v>DETM_DETIS_FHDS</v>
      </c>
      <c r="B705" s="11" t="str">
        <f>ETLMetadata!$E705</f>
        <v>FHDS_AMR_2</v>
      </c>
      <c r="C705" s="11" t="str">
        <f>IF(ISBLANK(ETLMetadata!$J705), "", ETLMetadata!$J705)</f>
        <v/>
      </c>
      <c r="D705" s="11" t="str">
        <f>ETLMetadata!$G705</f>
        <v>CHAR(1)</v>
      </c>
      <c r="E705" s="12"/>
      <c r="F705" s="12"/>
      <c r="G705" s="12" t="str">
        <f t="shared" si="20"/>
        <v/>
      </c>
      <c r="H705" s="12"/>
      <c r="I705" s="12"/>
      <c r="J705" s="13">
        <v>45952</v>
      </c>
      <c r="K705" s="13">
        <v>2958465</v>
      </c>
      <c r="L705" s="11" t="str">
        <f t="shared" si="21"/>
        <v>INSERT INTO metadata_reference.file_schema VALUES('DETM_DETIS_FHDS','FHDS_AMR_2',NULL,'CHAR(1)',NULL,NULL,NULL,NULL,'2025-10-22','9999-12-31',USER, CURRENT_TIMESTAMP(0));</v>
      </c>
    </row>
    <row r="706" spans="1:12" ht="15" customHeight="1">
      <c r="A706" s="11" t="str">
        <f>ETLMetadata!$C706</f>
        <v>DETM_DETIS_FHDS</v>
      </c>
      <c r="B706" s="11" t="str">
        <f>ETLMetadata!$E706</f>
        <v>FHDS_AMR_3</v>
      </c>
      <c r="C706" s="11" t="str">
        <f>IF(ISBLANK(ETLMetadata!$J706), "", ETLMetadata!$J706)</f>
        <v/>
      </c>
      <c r="D706" s="11" t="str">
        <f>ETLMetadata!$G706</f>
        <v>CHAR(4)</v>
      </c>
      <c r="E706" s="12"/>
      <c r="F706" s="12"/>
      <c r="G706" s="12" t="str">
        <f t="shared" si="20"/>
        <v/>
      </c>
      <c r="H706" s="12"/>
      <c r="I706" s="12"/>
      <c r="J706" s="13">
        <v>45952</v>
      </c>
      <c r="K706" s="13">
        <v>2958465</v>
      </c>
      <c r="L706" s="11" t="str">
        <f t="shared" si="21"/>
        <v>INSERT INTO metadata_reference.file_schema VALUES('DETM_DETIS_FHDS','FHDS_AMR_3',NULL,'CHAR(4)',NULL,NULL,NULL,NULL,'2025-10-22','9999-12-31',USER, CURRENT_TIMESTAMP(0));</v>
      </c>
    </row>
    <row r="707" spans="1:12" ht="15" customHeight="1">
      <c r="A707" s="11" t="str">
        <f>ETLMetadata!$C707</f>
        <v>DETM_DETIS_FHDS</v>
      </c>
      <c r="B707" s="11" t="str">
        <f>ETLMetadata!$E707</f>
        <v>FHDS_BEN_TYPE_CODE</v>
      </c>
      <c r="C707" s="11" t="str">
        <f>IF(ISBLANK(ETLMetadata!$J707), "", ETLMetadata!$J707)</f>
        <v/>
      </c>
      <c r="D707" s="11" t="str">
        <f>ETLMetadata!$G707</f>
        <v>CHAR(3)</v>
      </c>
      <c r="E707" s="12"/>
      <c r="F707" s="12"/>
      <c r="G707" s="12" t="str">
        <f t="shared" ref="G707:G770" si="22">UPPER($F707)</f>
        <v/>
      </c>
      <c r="H707" s="12"/>
      <c r="I707" s="12"/>
      <c r="J707" s="13">
        <v>45952</v>
      </c>
      <c r="K707" s="13">
        <v>2958465</v>
      </c>
      <c r="L707" s="11" t="str">
        <f t="shared" ref="L707:L770" si="23">CONCATENATE("INSERT INTO metadata_reference.file_schema VALUES('",TRIM(A707),"','",TRIM(B707),"',",IF(TRIM(C707)="","NULL","'"&amp;TRIM(C707)&amp;"'"),",'",TRIM(D707),"',",IF(TRIM(E707)="","NULL","'"&amp;TRIM(E707)&amp;"'"),",",IF(TRIM(G707)="","NULL","'"&amp;TRIM(G707)&amp;"'"),",",IF(TRIM(H707)="","NULL","'"&amp;TRIM(H707)&amp;"'"),",",
IF(TRIM(I707)="","NULL",TRIM(I707)),",",IF(TRIM(J707)="","NULL","'"&amp;TEXT(J707,"yyyy-mm-dd")&amp;"'"),",",IF(TRIM(K707)="","NULL","'"&amp;TEXT(K707,"yyyy-mm-dd")&amp;"'"),",","USER, CURRENT_TIMESTAMP(0));")</f>
        <v>INSERT INTO metadata_reference.file_schema VALUES('DETM_DETIS_FHDS','FHDS_BEN_TYPE_CODE',NULL,'CHAR(3)',NULL,NULL,NULL,NULL,'2025-10-22','9999-12-31',USER, CURRENT_TIMESTAMP(0));</v>
      </c>
    </row>
    <row r="708" spans="1:12" ht="15" customHeight="1">
      <c r="A708" s="11" t="str">
        <f>ETLMetadata!$C708</f>
        <v>DETM_DETIS_FHDS</v>
      </c>
      <c r="B708" s="11" t="str">
        <f>ETLMetadata!$E708</f>
        <v>FHDS_RSN_CODE</v>
      </c>
      <c r="C708" s="11" t="str">
        <f>IF(ISBLANK(ETLMetadata!$J708), "", ETLMetadata!$J708)</f>
        <v/>
      </c>
      <c r="D708" s="11" t="str">
        <f>ETLMetadata!$G708</f>
        <v>CHAR(3)</v>
      </c>
      <c r="E708" s="12"/>
      <c r="F708" s="12"/>
      <c r="G708" s="12" t="str">
        <f t="shared" si="22"/>
        <v/>
      </c>
      <c r="H708" s="12"/>
      <c r="I708" s="12"/>
      <c r="J708" s="13">
        <v>45952</v>
      </c>
      <c r="K708" s="13">
        <v>2958465</v>
      </c>
      <c r="L708" s="11" t="str">
        <f t="shared" si="23"/>
        <v>INSERT INTO metadata_reference.file_schema VALUES('DETM_DETIS_FHDS','FHDS_RSN_CODE',NULL,'CHAR(3)',NULL,NULL,NULL,NULL,'2025-10-22','9999-12-31',USER, CURRENT_TIMESTAMP(0));</v>
      </c>
    </row>
    <row r="709" spans="1:12" ht="15" customHeight="1">
      <c r="A709" s="11" t="str">
        <f>ETLMetadata!$C709</f>
        <v>DETM_DETIS_FHDS</v>
      </c>
      <c r="B709" s="11" t="str">
        <f>ETLMetadata!$E709</f>
        <v>FHDS_STS_CODE</v>
      </c>
      <c r="C709" s="11" t="str">
        <f>IF(ISBLANK(ETLMetadata!$J709), "", ETLMetadata!$J709)</f>
        <v/>
      </c>
      <c r="D709" s="11" t="str">
        <f>ETLMetadata!$G709</f>
        <v>CHAR(3)</v>
      </c>
      <c r="E709" s="12"/>
      <c r="F709" s="12"/>
      <c r="G709" s="12" t="str">
        <f t="shared" si="22"/>
        <v/>
      </c>
      <c r="H709" s="12"/>
      <c r="I709" s="12"/>
      <c r="J709" s="13">
        <v>45952</v>
      </c>
      <c r="K709" s="13">
        <v>2958465</v>
      </c>
      <c r="L709" s="11" t="str">
        <f t="shared" si="23"/>
        <v>INSERT INTO metadata_reference.file_schema VALUES('DETM_DETIS_FHDS','FHDS_STS_CODE',NULL,'CHAR(3)',NULL,NULL,NULL,NULL,'2025-10-22','9999-12-31',USER, CURRENT_TIMESTAMP(0));</v>
      </c>
    </row>
    <row r="710" spans="1:12" ht="15" customHeight="1">
      <c r="A710" s="11" t="str">
        <f>ETLMetadata!$C710</f>
        <v>DETM_DETIS_FHDS</v>
      </c>
      <c r="B710" s="11" t="str">
        <f>ETLMetadata!$E710</f>
        <v>AMR1_RISL_DTS</v>
      </c>
      <c r="C710" s="11" t="str">
        <f>IF(ISBLANK(ETLMetadata!$J710), "", ETLMetadata!$J710)</f>
        <v/>
      </c>
      <c r="D710" s="11" t="str">
        <f>ETLMetadata!$G710</f>
        <v>TIMESTAMP(6)</v>
      </c>
      <c r="E710" s="12"/>
      <c r="F710" s="12"/>
      <c r="G710" s="12" t="str">
        <f t="shared" si="22"/>
        <v/>
      </c>
      <c r="H710" s="12"/>
      <c r="I710" s="12"/>
      <c r="J710" s="13">
        <v>45952</v>
      </c>
      <c r="K710" s="13">
        <v>2958465</v>
      </c>
      <c r="L710" s="11" t="str">
        <f t="shared" si="23"/>
        <v>INSERT INTO metadata_reference.file_schema VALUES('DETM_DETIS_FHDS','AMR1_RISL_DTS',NULL,'TIMESTAMP(6)',NULL,NULL,NULL,NULL,'2025-10-22','9999-12-31',USER, CURRENT_TIMESTAMP(0));</v>
      </c>
    </row>
    <row r="711" spans="1:12" ht="15" customHeight="1">
      <c r="A711" s="11" t="str">
        <f>ETLMetadata!$C711</f>
        <v>DETM_DETIS_FHDS</v>
      </c>
      <c r="B711" s="11" t="str">
        <f>ETLMetadata!$E711</f>
        <v>AMR3_RISL_DTS</v>
      </c>
      <c r="C711" s="11" t="str">
        <f>IF(ISBLANK(ETLMetadata!$J711), "", ETLMetadata!$J711)</f>
        <v/>
      </c>
      <c r="D711" s="11" t="str">
        <f>ETLMetadata!$G711</f>
        <v>TIMESTAMP(6)</v>
      </c>
      <c r="E711" s="12"/>
      <c r="F711" s="12"/>
      <c r="G711" s="12" t="str">
        <f t="shared" si="22"/>
        <v/>
      </c>
      <c r="H711" s="12"/>
      <c r="I711" s="12"/>
      <c r="J711" s="13">
        <v>45952</v>
      </c>
      <c r="K711" s="13">
        <v>2958465</v>
      </c>
      <c r="L711" s="11" t="str">
        <f t="shared" si="23"/>
        <v>INSERT INTO metadata_reference.file_schema VALUES('DETM_DETIS_FHDS','AMR3_RISL_DTS',NULL,'TIMESTAMP(6)',NULL,NULL,NULL,NULL,'2025-10-22','9999-12-31',USER, CURRENT_TIMESTAMP(0));</v>
      </c>
    </row>
    <row r="712" spans="1:12" ht="15" customHeight="1">
      <c r="A712" s="11" t="str">
        <f>ETLMetadata!$C712</f>
        <v>DETM_DETIS_FHDS</v>
      </c>
      <c r="B712" s="11" t="str">
        <f>ETLMetadata!$E712</f>
        <v>PARTY_ROLE_ID</v>
      </c>
      <c r="C712" s="11" t="str">
        <f>IF(ISBLANK(ETLMetadata!$J712), "", ETLMetadata!$J712)</f>
        <v/>
      </c>
      <c r="D712" s="11" t="str">
        <f>ETLMetadata!$G712</f>
        <v>INTEGER</v>
      </c>
      <c r="E712" s="12"/>
      <c r="F712" s="12"/>
      <c r="G712" s="12" t="str">
        <f t="shared" si="22"/>
        <v/>
      </c>
      <c r="H712" s="12"/>
      <c r="I712" s="12"/>
      <c r="J712" s="13">
        <v>45952</v>
      </c>
      <c r="K712" s="13">
        <v>2958465</v>
      </c>
      <c r="L712" s="11" t="str">
        <f t="shared" si="23"/>
        <v>INSERT INTO metadata_reference.file_schema VALUES('DETM_DETIS_FHDS','PARTY_ROLE_ID',NULL,'INTEGER',NULL,NULL,NULL,NULL,'2025-10-22','9999-12-31',USER, CURRENT_TIMESTAMP(0));</v>
      </c>
    </row>
    <row r="713" spans="1:12" ht="15" customHeight="1">
      <c r="A713" s="11" t="str">
        <f>ETLMetadata!$C713</f>
        <v>DETM_DETIS_FHDS</v>
      </c>
      <c r="B713" s="11" t="str">
        <f>ETLMetadata!$E713</f>
        <v>EPISODE_ID</v>
      </c>
      <c r="C713" s="11" t="str">
        <f>IF(ISBLANK(ETLMetadata!$J713), "", ETLMetadata!$J713)</f>
        <v/>
      </c>
      <c r="D713" s="11" t="str">
        <f>ETLMetadata!$G713</f>
        <v>INTEGER</v>
      </c>
      <c r="E713" s="12"/>
      <c r="F713" s="12"/>
      <c r="G713" s="12" t="str">
        <f t="shared" si="22"/>
        <v/>
      </c>
      <c r="H713" s="12"/>
      <c r="I713" s="12"/>
      <c r="J713" s="13">
        <v>45952</v>
      </c>
      <c r="K713" s="13">
        <v>2958465</v>
      </c>
      <c r="L713" s="11" t="str">
        <f t="shared" si="23"/>
        <v>INSERT INTO metadata_reference.file_schema VALUES('DETM_DETIS_FHDS','EPISODE_ID',NULL,'INTEGER',NULL,NULL,NULL,NULL,'2025-10-22','9999-12-31',USER, CURRENT_TIMESTAMP(0));</v>
      </c>
    </row>
    <row r="714" spans="1:12" ht="15" customHeight="1">
      <c r="A714" s="11" t="str">
        <f>ETLMetadata!$C714</f>
        <v>DETM_DETIS_FHDS</v>
      </c>
      <c r="B714" s="11" t="str">
        <f>ETLMetadata!$E714</f>
        <v>PAYMENT_TYPE_ID</v>
      </c>
      <c r="C714" s="11" t="str">
        <f>IF(ISBLANK(ETLMetadata!$J714), "", ETLMetadata!$J714)</f>
        <v/>
      </c>
      <c r="D714" s="11" t="str">
        <f>ETLMetadata!$G714</f>
        <v>INTEGER</v>
      </c>
      <c r="E714" s="12"/>
      <c r="F714" s="12"/>
      <c r="G714" s="12" t="str">
        <f t="shared" si="22"/>
        <v/>
      </c>
      <c r="H714" s="12"/>
      <c r="I714" s="12"/>
      <c r="J714" s="13">
        <v>45952</v>
      </c>
      <c r="K714" s="13">
        <v>2958465</v>
      </c>
      <c r="L714" s="11" t="str">
        <f t="shared" si="23"/>
        <v>INSERT INTO metadata_reference.file_schema VALUES('DETM_DETIS_FHDS','PAYMENT_TYPE_ID',NULL,'INTEGER',NULL,NULL,NULL,NULL,'2025-10-22','9999-12-31',USER, CURRENT_TIMESTAMP(0));</v>
      </c>
    </row>
    <row r="715" spans="1:12" ht="15" customHeight="1">
      <c r="A715" s="11" t="str">
        <f>ETLMetadata!$C715</f>
        <v>DETM_DETIS_FHDS</v>
      </c>
      <c r="B715" s="11" t="str">
        <f>ETLMetadata!$E715</f>
        <v>ERROR_COUNT</v>
      </c>
      <c r="C715" s="11" t="str">
        <f>IF(ISBLANK(ETLMetadata!$J715), "", ETLMetadata!$J715)</f>
        <v/>
      </c>
      <c r="D715" s="11" t="str">
        <f>ETLMetadata!$G715</f>
        <v>SMALLINT</v>
      </c>
      <c r="E715" s="12"/>
      <c r="F715" s="12"/>
      <c r="G715" s="12" t="str">
        <f t="shared" si="22"/>
        <v/>
      </c>
      <c r="H715" s="12"/>
      <c r="I715" s="12"/>
      <c r="J715" s="13">
        <v>45952</v>
      </c>
      <c r="K715" s="13">
        <v>2958465</v>
      </c>
      <c r="L715" s="11" t="str">
        <f t="shared" si="23"/>
        <v>INSERT INTO metadata_reference.file_schema VALUES('DETM_DETIS_FHDS','ERROR_COUNT',NULL,'SMALLINT',NULL,NULL,NULL,NULL,'2025-10-22','9999-12-31',USER, CURRENT_TIMESTAMP(0));</v>
      </c>
    </row>
    <row r="716" spans="1:12" ht="15" customHeight="1">
      <c r="A716" s="11" t="str">
        <f>ETLMetadata!$C716</f>
        <v>DETM_DETIS_FHDS</v>
      </c>
      <c r="B716" s="11" t="str">
        <f>ETLMetadata!$E716</f>
        <v>Start_Date</v>
      </c>
      <c r="C716" s="11" t="str">
        <f>IF(ISBLANK(ETLMetadata!$J716), "", ETLMetadata!$J716)</f>
        <v/>
      </c>
      <c r="D716" s="11" t="str">
        <f>ETLMetadata!$G716</f>
        <v>DATE</v>
      </c>
      <c r="E716" s="12"/>
      <c r="F716" s="12"/>
      <c r="G716" s="12" t="str">
        <f t="shared" si="22"/>
        <v/>
      </c>
      <c r="H716" s="12"/>
      <c r="I716" s="12"/>
      <c r="J716" s="13">
        <v>45952</v>
      </c>
      <c r="K716" s="13">
        <v>2958465</v>
      </c>
      <c r="L716" s="11" t="str">
        <f t="shared" si="23"/>
        <v>INSERT INTO metadata_reference.file_schema VALUES('DETM_DETIS_FHDS','Start_Date',NULL,'DATE',NULL,NULL,NULL,NULL,'2025-10-22','9999-12-31',USER, CURRENT_TIMESTAMP(0));</v>
      </c>
    </row>
    <row r="717" spans="1:12" ht="15" customHeight="1">
      <c r="A717" s="11" t="str">
        <f>ETLMetadata!$C717</f>
        <v>DETM_DETIS_FHDS</v>
      </c>
      <c r="B717" s="11" t="str">
        <f>ETLMetadata!$E717</f>
        <v>End_Date</v>
      </c>
      <c r="C717" s="11" t="str">
        <f>IF(ISBLANK(ETLMetadata!$J717), "", ETLMetadata!$J717)</f>
        <v/>
      </c>
      <c r="D717" s="11" t="str">
        <f>ETLMetadata!$G717</f>
        <v>DATE</v>
      </c>
      <c r="E717" s="12"/>
      <c r="F717" s="12"/>
      <c r="G717" s="12" t="str">
        <f t="shared" si="22"/>
        <v/>
      </c>
      <c r="H717" s="12"/>
      <c r="I717" s="12"/>
      <c r="J717" s="13">
        <v>45952</v>
      </c>
      <c r="K717" s="13">
        <v>2958465</v>
      </c>
      <c r="L717" s="11" t="str">
        <f t="shared" si="23"/>
        <v>INSERT INTO metadata_reference.file_schema VALUES('DETM_DETIS_FHDS','End_Date',NULL,'DATE',NULL,NULL,NULL,NULL,'2025-10-22','9999-12-31',USER, CURRENT_TIMESTAMP(0));</v>
      </c>
    </row>
    <row r="718" spans="1:12" ht="15" customHeight="1">
      <c r="A718" s="11" t="str">
        <f>ETLMetadata!$C718</f>
        <v>DETM_DETIS_FHDS</v>
      </c>
      <c r="B718" s="11" t="str">
        <f>ETLMetadata!$E718</f>
        <v>Record_Deleted_Flag</v>
      </c>
      <c r="C718" s="11" t="str">
        <f>IF(ISBLANK(ETLMetadata!$J718), "", ETLMetadata!$J718)</f>
        <v/>
      </c>
      <c r="D718" s="11" t="str">
        <f>ETLMetadata!$G718</f>
        <v>BYTEINT</v>
      </c>
      <c r="E718" s="12"/>
      <c r="F718" s="12"/>
      <c r="G718" s="12" t="str">
        <f t="shared" si="22"/>
        <v/>
      </c>
      <c r="H718" s="12"/>
      <c r="I718" s="12"/>
      <c r="J718" s="13">
        <v>45952</v>
      </c>
      <c r="K718" s="13">
        <v>2958465</v>
      </c>
      <c r="L718" s="11" t="str">
        <f t="shared" si="23"/>
        <v>INSERT INTO metadata_reference.file_schema VALUES('DETM_DETIS_FHDS','Record_Deleted_Flag',NULL,'BYTEINT',NULL,NULL,NULL,NULL,'2025-10-22','9999-12-31',USER, CURRENT_TIMESTAMP(0));</v>
      </c>
    </row>
    <row r="719" spans="1:12" ht="15" customHeight="1">
      <c r="A719" s="11" t="str">
        <f>ETLMetadata!$C719</f>
        <v>DETM_DETIS_FTDS</v>
      </c>
      <c r="B719" s="11" t="str">
        <f>ETLMetadata!$E719</f>
        <v>EXTRACT_DATE</v>
      </c>
      <c r="C719" s="11" t="str">
        <f>IF(ISBLANK(ETLMetadata!$J719), "", ETLMetadata!$J719)</f>
        <v/>
      </c>
      <c r="D719" s="11" t="str">
        <f>ETLMetadata!$G719</f>
        <v>DATE</v>
      </c>
      <c r="E719" s="12"/>
      <c r="F719" s="12"/>
      <c r="G719" s="12" t="str">
        <f t="shared" si="22"/>
        <v/>
      </c>
      <c r="H719" s="12"/>
      <c r="I719" s="12"/>
      <c r="J719" s="13">
        <v>45952</v>
      </c>
      <c r="K719" s="13">
        <v>2958465</v>
      </c>
      <c r="L719" s="11" t="str">
        <f t="shared" si="23"/>
        <v>INSERT INTO metadata_reference.file_schema VALUES('DETM_DETIS_FTDS','EXTRACT_DATE',NULL,'DATE',NULL,NULL,NULL,NULL,'2025-10-22','9999-12-31',USER, CURRENT_TIMESTAMP(0));</v>
      </c>
    </row>
    <row r="720" spans="1:12" ht="15" customHeight="1">
      <c r="A720" s="11" t="str">
        <f>ETLMetadata!$C720</f>
        <v>DETM_DETIS_FTDS</v>
      </c>
      <c r="B720" s="11" t="str">
        <f>ETLMetadata!$E720</f>
        <v>LOGICAL_DELETE_DATE</v>
      </c>
      <c r="C720" s="11" t="str">
        <f>IF(ISBLANK(ETLMetadata!$J720), "", ETLMetadata!$J720)</f>
        <v/>
      </c>
      <c r="D720" s="11" t="str">
        <f>ETLMetadata!$G720</f>
        <v>DATE</v>
      </c>
      <c r="E720" s="12"/>
      <c r="F720" s="12"/>
      <c r="G720" s="12" t="str">
        <f t="shared" si="22"/>
        <v/>
      </c>
      <c r="H720" s="12"/>
      <c r="I720" s="12"/>
      <c r="J720" s="13">
        <v>45952</v>
      </c>
      <c r="K720" s="13">
        <v>2958465</v>
      </c>
      <c r="L720" s="11" t="str">
        <f t="shared" si="23"/>
        <v>INSERT INTO metadata_reference.file_schema VALUES('DETM_DETIS_FTDS','LOGICAL_DELETE_DATE',NULL,'DATE',NULL,NULL,NULL,NULL,'2025-10-22','9999-12-31',USER, CURRENT_TIMESTAMP(0));</v>
      </c>
    </row>
    <row r="721" spans="1:12" ht="15" customHeight="1">
      <c r="A721" s="11" t="str">
        <f>ETLMetadata!$C721</f>
        <v>DETM_DETIS_FTDS</v>
      </c>
      <c r="B721" s="11" t="str">
        <f>ETLMetadata!$E721</f>
        <v>ENVIRONMENT_ID</v>
      </c>
      <c r="C721" s="11" t="str">
        <f>IF(ISBLANK(ETLMetadata!$J721), "", ETLMetadata!$J721)</f>
        <v>Y</v>
      </c>
      <c r="D721" s="11" t="str">
        <f>ETLMetadata!$G721</f>
        <v>CHAR(1)</v>
      </c>
      <c r="E721" s="12"/>
      <c r="F721" s="12"/>
      <c r="G721" s="12" t="str">
        <f t="shared" si="22"/>
        <v/>
      </c>
      <c r="H721" s="12"/>
      <c r="I721" s="12"/>
      <c r="J721" s="13">
        <v>45952</v>
      </c>
      <c r="K721" s="13">
        <v>2958465</v>
      </c>
      <c r="L721" s="11" t="str">
        <f t="shared" si="23"/>
        <v>INSERT INTO metadata_reference.file_schema VALUES('DETM_DETIS_FTDS','ENVIRONMENT_ID','Y','CHAR(1)',NULL,NULL,NULL,NULL,'2025-10-22','9999-12-31',USER, CURRENT_TIMESTAMP(0));</v>
      </c>
    </row>
    <row r="722" spans="1:12" ht="15" customHeight="1">
      <c r="A722" s="11" t="str">
        <f>ETLMetadata!$C722</f>
        <v>DETM_DETIS_FTDS</v>
      </c>
      <c r="B722" s="11" t="str">
        <f>ETLMetadata!$E722</f>
        <v>PERSON_ID</v>
      </c>
      <c r="C722" s="11" t="str">
        <f>IF(ISBLANK(ETLMetadata!$J722), "", ETLMetadata!$J722)</f>
        <v>Y</v>
      </c>
      <c r="D722" s="11" t="str">
        <f>ETLMetadata!$G722</f>
        <v>INTEGER</v>
      </c>
      <c r="E722" s="12"/>
      <c r="F722" s="12" t="s">
        <v>799</v>
      </c>
      <c r="G722" s="12" t="str">
        <f t="shared" si="22"/>
        <v>PERSONAL_IDENTITYINFOINDIRECT</v>
      </c>
      <c r="H722" s="12"/>
      <c r="I722" s="12"/>
      <c r="J722" s="13">
        <v>45952</v>
      </c>
      <c r="K722" s="13">
        <v>2958465</v>
      </c>
      <c r="L722" s="11" t="str">
        <f t="shared" si="23"/>
        <v>INSERT INTO metadata_reference.file_schema VALUES('DETM_DETIS_FTDS','PERSON_ID','Y','INTEGER',NULL,'PERSONAL_IDENTITYINFOINDIRECT',NULL,NULL,'2025-10-22','9999-12-31',USER, CURRENT_TIMESTAMP(0));</v>
      </c>
    </row>
    <row r="723" spans="1:12" ht="15" customHeight="1">
      <c r="A723" s="11" t="str">
        <f>ETLMetadata!$C723</f>
        <v>DETM_DETIS_FTDS</v>
      </c>
      <c r="B723" s="11" t="str">
        <f>ETLMetadata!$E723</f>
        <v>FTDS_DOE</v>
      </c>
      <c r="C723" s="11" t="str">
        <f>IF(ISBLANK(ETLMetadata!$J723), "", ETLMetadata!$J723)</f>
        <v/>
      </c>
      <c r="D723" s="11" t="str">
        <f>ETLMetadata!$G723</f>
        <v>DATE</v>
      </c>
      <c r="E723" s="12"/>
      <c r="F723" s="12"/>
      <c r="G723" s="12" t="str">
        <f t="shared" si="22"/>
        <v/>
      </c>
      <c r="H723" s="12"/>
      <c r="I723" s="12"/>
      <c r="J723" s="13">
        <v>45952</v>
      </c>
      <c r="K723" s="13">
        <v>2958465</v>
      </c>
      <c r="L723" s="11" t="str">
        <f t="shared" si="23"/>
        <v>INSERT INTO metadata_reference.file_schema VALUES('DETM_DETIS_FTDS','FTDS_DOE',NULL,'DATE',NULL,NULL,NULL,NULL,'2025-10-22','9999-12-31',USER, CURRENT_TIMESTAMP(0));</v>
      </c>
    </row>
    <row r="724" spans="1:12" ht="15" customHeight="1">
      <c r="A724" s="11" t="str">
        <f>ETLMetadata!$C724</f>
        <v>DETM_DETIS_FTDS</v>
      </c>
      <c r="B724" s="11" t="str">
        <f>ETLMetadata!$E724</f>
        <v>FTDS_DOE_ORIG</v>
      </c>
      <c r="C724" s="11" t="str">
        <f>IF(ISBLANK(ETLMetadata!$J724), "", ETLMetadata!$J724)</f>
        <v/>
      </c>
      <c r="D724" s="11" t="str">
        <f>ETLMetadata!$G724</f>
        <v>INTEGER</v>
      </c>
      <c r="E724" s="12"/>
      <c r="F724" s="12"/>
      <c r="G724" s="12" t="str">
        <f t="shared" si="22"/>
        <v/>
      </c>
      <c r="H724" s="12"/>
      <c r="I724" s="12"/>
      <c r="J724" s="13">
        <v>45952</v>
      </c>
      <c r="K724" s="13">
        <v>2958465</v>
      </c>
      <c r="L724" s="11" t="str">
        <f t="shared" si="23"/>
        <v>INSERT INTO metadata_reference.file_schema VALUES('DETM_DETIS_FTDS','FTDS_DOE_ORIG',NULL,'INTEGER',NULL,NULL,NULL,NULL,'2025-10-22','9999-12-31',USER, CURRENT_TIMESTAMP(0));</v>
      </c>
    </row>
    <row r="725" spans="1:12" ht="15" customHeight="1">
      <c r="A725" s="11" t="str">
        <f>ETLMetadata!$C725</f>
        <v>DETM_DETIS_FTDS</v>
      </c>
      <c r="B725" s="11" t="str">
        <f>ETLMetadata!$E725</f>
        <v>PROCESSING_SEQUENCE</v>
      </c>
      <c r="C725" s="11" t="str">
        <f>IF(ISBLANK(ETLMetadata!$J725), "", ETLMetadata!$J725)</f>
        <v>Y</v>
      </c>
      <c r="D725" s="11" t="str">
        <f>ETLMetadata!$G725</f>
        <v>SMALLINT</v>
      </c>
      <c r="E725" s="12"/>
      <c r="F725" s="12"/>
      <c r="G725" s="12" t="str">
        <f t="shared" si="22"/>
        <v/>
      </c>
      <c r="H725" s="12"/>
      <c r="I725" s="12"/>
      <c r="J725" s="13">
        <v>45952</v>
      </c>
      <c r="K725" s="13">
        <v>2958465</v>
      </c>
      <c r="L725" s="11" t="str">
        <f t="shared" si="23"/>
        <v>INSERT INTO metadata_reference.file_schema VALUES('DETM_DETIS_FTDS','PROCESSING_SEQUENCE','Y','SMALLINT',NULL,NULL,NULL,NULL,'2025-10-22','9999-12-31',USER, CURRENT_TIMESTAMP(0));</v>
      </c>
    </row>
    <row r="726" spans="1:12" ht="15" customHeight="1">
      <c r="A726" s="11" t="str">
        <f>ETLMetadata!$C726</f>
        <v>DETM_DETIS_FTDS</v>
      </c>
      <c r="B726" s="11" t="str">
        <f>ETLMetadata!$E726</f>
        <v>FTDS_AMR_1</v>
      </c>
      <c r="C726" s="11" t="str">
        <f>IF(ISBLANK(ETLMetadata!$J726), "", ETLMetadata!$J726)</f>
        <v/>
      </c>
      <c r="D726" s="11" t="str">
        <f>ETLMetadata!$G726</f>
        <v>CHAR(4)</v>
      </c>
      <c r="E726" s="12"/>
      <c r="F726" s="12"/>
      <c r="G726" s="12" t="str">
        <f t="shared" si="22"/>
        <v/>
      </c>
      <c r="H726" s="12"/>
      <c r="I726" s="12"/>
      <c r="J726" s="13">
        <v>45952</v>
      </c>
      <c r="K726" s="13">
        <v>2958465</v>
      </c>
      <c r="L726" s="11" t="str">
        <f t="shared" si="23"/>
        <v>INSERT INTO metadata_reference.file_schema VALUES('DETM_DETIS_FTDS','FTDS_AMR_1',NULL,'CHAR(4)',NULL,NULL,NULL,NULL,'2025-10-22','9999-12-31',USER, CURRENT_TIMESTAMP(0));</v>
      </c>
    </row>
    <row r="727" spans="1:12" ht="15" customHeight="1">
      <c r="A727" s="11" t="str">
        <f>ETLMetadata!$C727</f>
        <v>DETM_DETIS_FTDS</v>
      </c>
      <c r="B727" s="11" t="str">
        <f>ETLMetadata!$E727</f>
        <v>FTDS_AMR_2</v>
      </c>
      <c r="C727" s="11" t="str">
        <f>IF(ISBLANK(ETLMetadata!$J727), "", ETLMetadata!$J727)</f>
        <v/>
      </c>
      <c r="D727" s="11" t="str">
        <f>ETLMetadata!$G727</f>
        <v>CHAR(1)</v>
      </c>
      <c r="E727" s="12"/>
      <c r="F727" s="12"/>
      <c r="G727" s="12" t="str">
        <f t="shared" si="22"/>
        <v/>
      </c>
      <c r="H727" s="12"/>
      <c r="I727" s="12"/>
      <c r="J727" s="13">
        <v>45952</v>
      </c>
      <c r="K727" s="13">
        <v>2958465</v>
      </c>
      <c r="L727" s="11" t="str">
        <f t="shared" si="23"/>
        <v>INSERT INTO metadata_reference.file_schema VALUES('DETM_DETIS_FTDS','FTDS_AMR_2',NULL,'CHAR(1)',NULL,NULL,NULL,NULL,'2025-10-22','9999-12-31',USER, CURRENT_TIMESTAMP(0));</v>
      </c>
    </row>
    <row r="728" spans="1:12" ht="15" customHeight="1">
      <c r="A728" s="11" t="str">
        <f>ETLMetadata!$C728</f>
        <v>DETM_DETIS_FTDS</v>
      </c>
      <c r="B728" s="11" t="str">
        <f>ETLMetadata!$E728</f>
        <v>FTDS_AMR_3</v>
      </c>
      <c r="C728" s="11" t="str">
        <f>IF(ISBLANK(ETLMetadata!$J728), "", ETLMetadata!$J728)</f>
        <v/>
      </c>
      <c r="D728" s="11" t="str">
        <f>ETLMetadata!$G728</f>
        <v>CHAR(4)</v>
      </c>
      <c r="E728" s="12"/>
      <c r="F728" s="12"/>
      <c r="G728" s="12" t="str">
        <f t="shared" si="22"/>
        <v/>
      </c>
      <c r="H728" s="12"/>
      <c r="I728" s="12"/>
      <c r="J728" s="13">
        <v>45952</v>
      </c>
      <c r="K728" s="13">
        <v>2958465</v>
      </c>
      <c r="L728" s="11" t="str">
        <f t="shared" si="23"/>
        <v>INSERT INTO metadata_reference.file_schema VALUES('DETM_DETIS_FTDS','FTDS_AMR_3',NULL,'CHAR(4)',NULL,NULL,NULL,NULL,'2025-10-22','9999-12-31',USER, CURRENT_TIMESTAMP(0));</v>
      </c>
    </row>
    <row r="729" spans="1:12" ht="15" customHeight="1">
      <c r="A729" s="11" t="str">
        <f>ETLMetadata!$C729</f>
        <v>DETM_DETIS_FTDS</v>
      </c>
      <c r="B729" s="11" t="str">
        <f>ETLMetadata!$E729</f>
        <v>FTDS_BEN_TYPE_CODE</v>
      </c>
      <c r="C729" s="11" t="str">
        <f>IF(ISBLANK(ETLMetadata!$J729), "", ETLMetadata!$J729)</f>
        <v/>
      </c>
      <c r="D729" s="11" t="str">
        <f>ETLMetadata!$G729</f>
        <v>CHAR(3)</v>
      </c>
      <c r="E729" s="12"/>
      <c r="F729" s="12"/>
      <c r="G729" s="12" t="str">
        <f t="shared" si="22"/>
        <v/>
      </c>
      <c r="H729" s="12"/>
      <c r="I729" s="12"/>
      <c r="J729" s="13">
        <v>45952</v>
      </c>
      <c r="K729" s="13">
        <v>2958465</v>
      </c>
      <c r="L729" s="11" t="str">
        <f t="shared" si="23"/>
        <v>INSERT INTO metadata_reference.file_schema VALUES('DETM_DETIS_FTDS','FTDS_BEN_TYPE_CODE',NULL,'CHAR(3)',NULL,NULL,NULL,NULL,'2025-10-22','9999-12-31',USER, CURRENT_TIMESTAMP(0));</v>
      </c>
    </row>
    <row r="730" spans="1:12" ht="15" customHeight="1">
      <c r="A730" s="11" t="str">
        <f>ETLMetadata!$C730</f>
        <v>DETM_DETIS_FTDS</v>
      </c>
      <c r="B730" s="11" t="str">
        <f>ETLMetadata!$E730</f>
        <v>FTDS_STS_CODE</v>
      </c>
      <c r="C730" s="11" t="str">
        <f>IF(ISBLANK(ETLMetadata!$J730), "", ETLMetadata!$J730)</f>
        <v/>
      </c>
      <c r="D730" s="11" t="str">
        <f>ETLMetadata!$G730</f>
        <v>CHAR(3)</v>
      </c>
      <c r="E730" s="12"/>
      <c r="F730" s="12"/>
      <c r="G730" s="12" t="str">
        <f t="shared" si="22"/>
        <v/>
      </c>
      <c r="H730" s="12"/>
      <c r="I730" s="12"/>
      <c r="J730" s="13">
        <v>45952</v>
      </c>
      <c r="K730" s="13">
        <v>2958465</v>
      </c>
      <c r="L730" s="11" t="str">
        <f t="shared" si="23"/>
        <v>INSERT INTO metadata_reference.file_schema VALUES('DETM_DETIS_FTDS','FTDS_STS_CODE',NULL,'CHAR(3)',NULL,NULL,NULL,NULL,'2025-10-22','9999-12-31',USER, CURRENT_TIMESTAMP(0));</v>
      </c>
    </row>
    <row r="731" spans="1:12" ht="15" customHeight="1">
      <c r="A731" s="11" t="str">
        <f>ETLMetadata!$C731</f>
        <v>DETM_DETIS_FTDS</v>
      </c>
      <c r="B731" s="11" t="str">
        <f>ETLMetadata!$E731</f>
        <v>FTDS_RSN_CODE</v>
      </c>
      <c r="C731" s="11" t="str">
        <f>IF(ISBLANK(ETLMetadata!$J731), "", ETLMetadata!$J731)</f>
        <v/>
      </c>
      <c r="D731" s="11" t="str">
        <f>ETLMetadata!$G731</f>
        <v>CHAR(3)</v>
      </c>
      <c r="E731" s="12"/>
      <c r="F731" s="12"/>
      <c r="G731" s="12" t="str">
        <f t="shared" si="22"/>
        <v/>
      </c>
      <c r="H731" s="12"/>
      <c r="I731" s="12"/>
      <c r="J731" s="13">
        <v>45952</v>
      </c>
      <c r="K731" s="13">
        <v>2958465</v>
      </c>
      <c r="L731" s="11" t="str">
        <f t="shared" si="23"/>
        <v>INSERT INTO metadata_reference.file_schema VALUES('DETM_DETIS_FTDS','FTDS_RSN_CODE',NULL,'CHAR(3)',NULL,NULL,NULL,NULL,'2025-10-22','9999-12-31',USER, CURRENT_TIMESTAMP(0));</v>
      </c>
    </row>
    <row r="732" spans="1:12" ht="15" customHeight="1">
      <c r="A732" s="11" t="str">
        <f>ETLMetadata!$C732</f>
        <v>DETM_DETIS_FTDS</v>
      </c>
      <c r="B732" s="11" t="str">
        <f>ETLMetadata!$E732</f>
        <v>FTDS_UNIQ_ID</v>
      </c>
      <c r="C732" s="11" t="str">
        <f>IF(ISBLANK(ETLMetadata!$J732), "", ETLMetadata!$J732)</f>
        <v/>
      </c>
      <c r="D732" s="11" t="str">
        <f>ETLMetadata!$G732</f>
        <v>VARCHAR(8)</v>
      </c>
      <c r="E732" s="12"/>
      <c r="F732" s="12"/>
      <c r="G732" s="12" t="str">
        <f t="shared" si="22"/>
        <v/>
      </c>
      <c r="H732" s="12"/>
      <c r="I732" s="12"/>
      <c r="J732" s="13">
        <v>45952</v>
      </c>
      <c r="K732" s="13">
        <v>2958465</v>
      </c>
      <c r="L732" s="11" t="str">
        <f t="shared" si="23"/>
        <v>INSERT INTO metadata_reference.file_schema VALUES('DETM_DETIS_FTDS','FTDS_UNIQ_ID',NULL,'VARCHAR(8)',NULL,NULL,NULL,NULL,'2025-10-22','9999-12-31',USER, CURRENT_TIMESTAMP(0));</v>
      </c>
    </row>
    <row r="733" spans="1:12" ht="15" customHeight="1">
      <c r="A733" s="11" t="str">
        <f>ETLMetadata!$C733</f>
        <v>DETM_DETIS_FTDS</v>
      </c>
      <c r="B733" s="11" t="str">
        <f>ETLMetadata!$E733</f>
        <v>AMR1_RISL_DTS</v>
      </c>
      <c r="C733" s="11" t="str">
        <f>IF(ISBLANK(ETLMetadata!$J733), "", ETLMetadata!$J733)</f>
        <v/>
      </c>
      <c r="D733" s="11" t="str">
        <f>ETLMetadata!$G733</f>
        <v>TIMESTAMP(6)</v>
      </c>
      <c r="E733" s="12"/>
      <c r="F733" s="12"/>
      <c r="G733" s="12" t="str">
        <f t="shared" si="22"/>
        <v/>
      </c>
      <c r="H733" s="12"/>
      <c r="I733" s="12"/>
      <c r="J733" s="13">
        <v>45952</v>
      </c>
      <c r="K733" s="13">
        <v>2958465</v>
      </c>
      <c r="L733" s="11" t="str">
        <f t="shared" si="23"/>
        <v>INSERT INTO metadata_reference.file_schema VALUES('DETM_DETIS_FTDS','AMR1_RISL_DTS',NULL,'TIMESTAMP(6)',NULL,NULL,NULL,NULL,'2025-10-22','9999-12-31',USER, CURRENT_TIMESTAMP(0));</v>
      </c>
    </row>
    <row r="734" spans="1:12" ht="15" customHeight="1">
      <c r="A734" s="11" t="str">
        <f>ETLMetadata!$C734</f>
        <v>DETM_DETIS_FTDS</v>
      </c>
      <c r="B734" s="11" t="str">
        <f>ETLMetadata!$E734</f>
        <v>AMR3_RISL_DTS</v>
      </c>
      <c r="C734" s="11" t="str">
        <f>IF(ISBLANK(ETLMetadata!$J734), "", ETLMetadata!$J734)</f>
        <v/>
      </c>
      <c r="D734" s="11" t="str">
        <f>ETLMetadata!$G734</f>
        <v>TIMESTAMP(6)</v>
      </c>
      <c r="E734" s="12"/>
      <c r="F734" s="12"/>
      <c r="G734" s="12" t="str">
        <f t="shared" si="22"/>
        <v/>
      </c>
      <c r="H734" s="12"/>
      <c r="I734" s="12"/>
      <c r="J734" s="13">
        <v>45952</v>
      </c>
      <c r="K734" s="13">
        <v>2958465</v>
      </c>
      <c r="L734" s="11" t="str">
        <f t="shared" si="23"/>
        <v>INSERT INTO metadata_reference.file_schema VALUES('DETM_DETIS_FTDS','AMR3_RISL_DTS',NULL,'TIMESTAMP(6)',NULL,NULL,NULL,NULL,'2025-10-22','9999-12-31',USER, CURRENT_TIMESTAMP(0));</v>
      </c>
    </row>
    <row r="735" spans="1:12" ht="15" customHeight="1">
      <c r="A735" s="11" t="str">
        <f>ETLMetadata!$C735</f>
        <v>DETM_DETIS_FTDS</v>
      </c>
      <c r="B735" s="11" t="str">
        <f>ETLMetadata!$E735</f>
        <v>EPISODE_ID</v>
      </c>
      <c r="C735" s="11" t="str">
        <f>IF(ISBLANK(ETLMetadata!$J735), "", ETLMetadata!$J735)</f>
        <v/>
      </c>
      <c r="D735" s="11" t="str">
        <f>ETLMetadata!$G735</f>
        <v>INTEGER</v>
      </c>
      <c r="E735" s="12"/>
      <c r="F735" s="12"/>
      <c r="G735" s="12" t="str">
        <f t="shared" si="22"/>
        <v/>
      </c>
      <c r="H735" s="12"/>
      <c r="I735" s="12"/>
      <c r="J735" s="13">
        <v>45952</v>
      </c>
      <c r="K735" s="13">
        <v>2958465</v>
      </c>
      <c r="L735" s="11" t="str">
        <f t="shared" si="23"/>
        <v>INSERT INTO metadata_reference.file_schema VALUES('DETM_DETIS_FTDS','EPISODE_ID',NULL,'INTEGER',NULL,NULL,NULL,NULL,'2025-10-22','9999-12-31',USER, CURRENT_TIMESTAMP(0));</v>
      </c>
    </row>
    <row r="736" spans="1:12" ht="15" customHeight="1">
      <c r="A736" s="11" t="str">
        <f>ETLMetadata!$C736</f>
        <v>DETM_DETIS_FTDS</v>
      </c>
      <c r="B736" s="11" t="str">
        <f>ETLMetadata!$E736</f>
        <v>PARTY_ROLE_ID</v>
      </c>
      <c r="C736" s="11" t="str">
        <f>IF(ISBLANK(ETLMetadata!$J736), "", ETLMetadata!$J736)</f>
        <v/>
      </c>
      <c r="D736" s="11" t="str">
        <f>ETLMetadata!$G736</f>
        <v>INTEGER</v>
      </c>
      <c r="E736" s="12"/>
      <c r="F736" s="12"/>
      <c r="G736" s="12" t="str">
        <f t="shared" si="22"/>
        <v/>
      </c>
      <c r="H736" s="12"/>
      <c r="I736" s="12"/>
      <c r="J736" s="13">
        <v>45952</v>
      </c>
      <c r="K736" s="13">
        <v>2958465</v>
      </c>
      <c r="L736" s="11" t="str">
        <f t="shared" si="23"/>
        <v>INSERT INTO metadata_reference.file_schema VALUES('DETM_DETIS_FTDS','PARTY_ROLE_ID',NULL,'INTEGER',NULL,NULL,NULL,NULL,'2025-10-22','9999-12-31',USER, CURRENT_TIMESTAMP(0));</v>
      </c>
    </row>
    <row r="737" spans="1:12" ht="15" customHeight="1">
      <c r="A737" s="11" t="str">
        <f>ETLMetadata!$C737</f>
        <v>DETM_DETIS_FTDS</v>
      </c>
      <c r="B737" s="11" t="str">
        <f>ETLMetadata!$E737</f>
        <v>PAYMENT_TYPE_ID</v>
      </c>
      <c r="C737" s="11" t="str">
        <f>IF(ISBLANK(ETLMetadata!$J737), "", ETLMetadata!$J737)</f>
        <v/>
      </c>
      <c r="D737" s="11" t="str">
        <f>ETLMetadata!$G737</f>
        <v>INTEGER</v>
      </c>
      <c r="E737" s="12"/>
      <c r="F737" s="12"/>
      <c r="G737" s="12" t="str">
        <f t="shared" si="22"/>
        <v/>
      </c>
      <c r="H737" s="12"/>
      <c r="I737" s="12"/>
      <c r="J737" s="13">
        <v>45952</v>
      </c>
      <c r="K737" s="13">
        <v>2958465</v>
      </c>
      <c r="L737" s="11" t="str">
        <f t="shared" si="23"/>
        <v>INSERT INTO metadata_reference.file_schema VALUES('DETM_DETIS_FTDS','PAYMENT_TYPE_ID',NULL,'INTEGER',NULL,NULL,NULL,NULL,'2025-10-22','9999-12-31',USER, CURRENT_TIMESTAMP(0));</v>
      </c>
    </row>
    <row r="738" spans="1:12" ht="15" customHeight="1">
      <c r="A738" s="11" t="str">
        <f>ETLMetadata!$C738</f>
        <v>DETM_DETIS_FTDS</v>
      </c>
      <c r="B738" s="11" t="str">
        <f>ETLMetadata!$E738</f>
        <v>ERROR_COUNT</v>
      </c>
      <c r="C738" s="11" t="str">
        <f>IF(ISBLANK(ETLMetadata!$J738), "", ETLMetadata!$J738)</f>
        <v/>
      </c>
      <c r="D738" s="11" t="str">
        <f>ETLMetadata!$G738</f>
        <v>SMALLINT</v>
      </c>
      <c r="E738" s="12"/>
      <c r="F738" s="12"/>
      <c r="G738" s="12" t="str">
        <f t="shared" si="22"/>
        <v/>
      </c>
      <c r="H738" s="12"/>
      <c r="I738" s="12"/>
      <c r="J738" s="13">
        <v>45952</v>
      </c>
      <c r="K738" s="13">
        <v>2958465</v>
      </c>
      <c r="L738" s="11" t="str">
        <f t="shared" si="23"/>
        <v>INSERT INTO metadata_reference.file_schema VALUES('DETM_DETIS_FTDS','ERROR_COUNT',NULL,'SMALLINT',NULL,NULL,NULL,NULL,'2025-10-22','9999-12-31',USER, CURRENT_TIMESTAMP(0));</v>
      </c>
    </row>
    <row r="739" spans="1:12" ht="15" customHeight="1">
      <c r="A739" s="11" t="str">
        <f>ETLMetadata!$C739</f>
        <v>DETM_DETIS_FTDS</v>
      </c>
      <c r="B739" s="11" t="str">
        <f>ETLMetadata!$E739</f>
        <v>Start_Date</v>
      </c>
      <c r="C739" s="11" t="str">
        <f>IF(ISBLANK(ETLMetadata!$J739), "", ETLMetadata!$J739)</f>
        <v/>
      </c>
      <c r="D739" s="11" t="str">
        <f>ETLMetadata!$G739</f>
        <v>DATE</v>
      </c>
      <c r="E739" s="12"/>
      <c r="F739" s="12"/>
      <c r="G739" s="12" t="str">
        <f t="shared" si="22"/>
        <v/>
      </c>
      <c r="H739" s="12"/>
      <c r="I739" s="12"/>
      <c r="J739" s="13">
        <v>45952</v>
      </c>
      <c r="K739" s="13">
        <v>2958465</v>
      </c>
      <c r="L739" s="11" t="str">
        <f t="shared" si="23"/>
        <v>INSERT INTO metadata_reference.file_schema VALUES('DETM_DETIS_FTDS','Start_Date',NULL,'DATE',NULL,NULL,NULL,NULL,'2025-10-22','9999-12-31',USER, CURRENT_TIMESTAMP(0));</v>
      </c>
    </row>
    <row r="740" spans="1:12" ht="15" customHeight="1">
      <c r="A740" s="11" t="str">
        <f>ETLMetadata!$C740</f>
        <v>DETM_DETIS_FTDS</v>
      </c>
      <c r="B740" s="11" t="str">
        <f>ETLMetadata!$E740</f>
        <v>End_Date</v>
      </c>
      <c r="C740" s="11" t="str">
        <f>IF(ISBLANK(ETLMetadata!$J740), "", ETLMetadata!$J740)</f>
        <v/>
      </c>
      <c r="D740" s="11" t="str">
        <f>ETLMetadata!$G740</f>
        <v>DATE</v>
      </c>
      <c r="E740" s="12"/>
      <c r="F740" s="12"/>
      <c r="G740" s="12" t="str">
        <f t="shared" si="22"/>
        <v/>
      </c>
      <c r="H740" s="12"/>
      <c r="I740" s="12"/>
      <c r="J740" s="13">
        <v>45952</v>
      </c>
      <c r="K740" s="13">
        <v>2958465</v>
      </c>
      <c r="L740" s="11" t="str">
        <f t="shared" si="23"/>
        <v>INSERT INTO metadata_reference.file_schema VALUES('DETM_DETIS_FTDS','End_Date',NULL,'DATE',NULL,NULL,NULL,NULL,'2025-10-22','9999-12-31',USER, CURRENT_TIMESTAMP(0));</v>
      </c>
    </row>
    <row r="741" spans="1:12" ht="15" customHeight="1">
      <c r="A741" s="11" t="str">
        <f>ETLMetadata!$C741</f>
        <v>DETM_DETIS_FTDS</v>
      </c>
      <c r="B741" s="11" t="str">
        <f>ETLMetadata!$E741</f>
        <v>Record_Deleted_Flag</v>
      </c>
      <c r="C741" s="11" t="str">
        <f>IF(ISBLANK(ETLMetadata!$J741), "", ETLMetadata!$J741)</f>
        <v/>
      </c>
      <c r="D741" s="11" t="str">
        <f>ETLMetadata!$G741</f>
        <v>BYTEINT</v>
      </c>
      <c r="E741" s="12"/>
      <c r="F741" s="12"/>
      <c r="G741" s="12" t="str">
        <f t="shared" si="22"/>
        <v/>
      </c>
      <c r="H741" s="12"/>
      <c r="I741" s="12"/>
      <c r="J741" s="13">
        <v>45952</v>
      </c>
      <c r="K741" s="13">
        <v>2958465</v>
      </c>
      <c r="L741" s="11" t="str">
        <f t="shared" si="23"/>
        <v>INSERT INTO metadata_reference.file_schema VALUES('DETM_DETIS_FTDS','Record_Deleted_Flag',NULL,'BYTEINT',NULL,NULL,NULL,NULL,'2025-10-22','9999-12-31',USER, CURRENT_TIMESTAMP(0));</v>
      </c>
    </row>
    <row r="742" spans="1:12" ht="15" customHeight="1">
      <c r="A742" s="11" t="str">
        <f>ETLMetadata!$C742</f>
        <v>DETM_DETIS_FYDS</v>
      </c>
      <c r="B742" s="11" t="str">
        <f>ETLMetadata!$E742</f>
        <v>EXTRACT_DATE</v>
      </c>
      <c r="C742" s="11" t="str">
        <f>IF(ISBLANK(ETLMetadata!$J742), "", ETLMetadata!$J742)</f>
        <v/>
      </c>
      <c r="D742" s="11" t="str">
        <f>ETLMetadata!$G742</f>
        <v>DATE</v>
      </c>
      <c r="E742" s="12"/>
      <c r="F742" s="12"/>
      <c r="G742" s="12" t="str">
        <f t="shared" si="22"/>
        <v/>
      </c>
      <c r="H742" s="12"/>
      <c r="I742" s="12"/>
      <c r="J742" s="13">
        <v>45952</v>
      </c>
      <c r="K742" s="13">
        <v>2958465</v>
      </c>
      <c r="L742" s="11" t="str">
        <f t="shared" si="23"/>
        <v>INSERT INTO metadata_reference.file_schema VALUES('DETM_DETIS_FYDS','EXTRACT_DATE',NULL,'DATE',NULL,NULL,NULL,NULL,'2025-10-22','9999-12-31',USER, CURRENT_TIMESTAMP(0));</v>
      </c>
    </row>
    <row r="743" spans="1:12" ht="15" customHeight="1">
      <c r="A743" s="11" t="str">
        <f>ETLMetadata!$C743</f>
        <v>DETM_DETIS_FYDS</v>
      </c>
      <c r="B743" s="11" t="str">
        <f>ETLMetadata!$E743</f>
        <v>LOGICAL_DELETE_DATE</v>
      </c>
      <c r="C743" s="11" t="str">
        <f>IF(ISBLANK(ETLMetadata!$J743), "", ETLMetadata!$J743)</f>
        <v/>
      </c>
      <c r="D743" s="11" t="str">
        <f>ETLMetadata!$G743</f>
        <v>DATE</v>
      </c>
      <c r="E743" s="12"/>
      <c r="F743" s="12"/>
      <c r="G743" s="12" t="str">
        <f t="shared" si="22"/>
        <v/>
      </c>
      <c r="H743" s="12"/>
      <c r="I743" s="12"/>
      <c r="J743" s="13">
        <v>45952</v>
      </c>
      <c r="K743" s="13">
        <v>2958465</v>
      </c>
      <c r="L743" s="11" t="str">
        <f t="shared" si="23"/>
        <v>INSERT INTO metadata_reference.file_schema VALUES('DETM_DETIS_FYDS','LOGICAL_DELETE_DATE',NULL,'DATE',NULL,NULL,NULL,NULL,'2025-10-22','9999-12-31',USER, CURRENT_TIMESTAMP(0));</v>
      </c>
    </row>
    <row r="744" spans="1:12" ht="15" customHeight="1">
      <c r="A744" s="11" t="str">
        <f>ETLMetadata!$C744</f>
        <v>DETM_DETIS_FYDS</v>
      </c>
      <c r="B744" s="11" t="str">
        <f>ETLMetadata!$E744</f>
        <v>ENVIRONMENT_ID</v>
      </c>
      <c r="C744" s="11" t="str">
        <f>IF(ISBLANK(ETLMetadata!$J744), "", ETLMetadata!$J744)</f>
        <v>Y</v>
      </c>
      <c r="D744" s="11" t="str">
        <f>ETLMetadata!$G744</f>
        <v>CHAR(1)</v>
      </c>
      <c r="E744" s="12"/>
      <c r="F744" s="12"/>
      <c r="G744" s="12" t="str">
        <f t="shared" si="22"/>
        <v/>
      </c>
      <c r="H744" s="12"/>
      <c r="I744" s="12"/>
      <c r="J744" s="13">
        <v>45952</v>
      </c>
      <c r="K744" s="13">
        <v>2958465</v>
      </c>
      <c r="L744" s="11" t="str">
        <f t="shared" si="23"/>
        <v>INSERT INTO metadata_reference.file_schema VALUES('DETM_DETIS_FYDS','ENVIRONMENT_ID','Y','CHAR(1)',NULL,NULL,NULL,NULL,'2025-10-22','9999-12-31',USER, CURRENT_TIMESTAMP(0));</v>
      </c>
    </row>
    <row r="745" spans="1:12" ht="15" customHeight="1">
      <c r="A745" s="11" t="str">
        <f>ETLMetadata!$C745</f>
        <v>DETM_DETIS_FYDS</v>
      </c>
      <c r="B745" s="11" t="str">
        <f>ETLMetadata!$E745</f>
        <v>PERSON_ID</v>
      </c>
      <c r="C745" s="11" t="str">
        <f>IF(ISBLANK(ETLMetadata!$J745), "", ETLMetadata!$J745)</f>
        <v>Y</v>
      </c>
      <c r="D745" s="11" t="str">
        <f>ETLMetadata!$G745</f>
        <v>INTEGER</v>
      </c>
      <c r="E745" s="12"/>
      <c r="F745" s="12" t="s">
        <v>799</v>
      </c>
      <c r="G745" s="12" t="str">
        <f t="shared" si="22"/>
        <v>PERSONAL_IDENTITYINFOINDIRECT</v>
      </c>
      <c r="H745" s="12"/>
      <c r="I745" s="12"/>
      <c r="J745" s="13">
        <v>45952</v>
      </c>
      <c r="K745" s="13">
        <v>2958465</v>
      </c>
      <c r="L745" s="11" t="str">
        <f t="shared" si="23"/>
        <v>INSERT INTO metadata_reference.file_schema VALUES('DETM_DETIS_FYDS','PERSON_ID','Y','INTEGER',NULL,'PERSONAL_IDENTITYINFOINDIRECT',NULL,NULL,'2025-10-22','9999-12-31',USER, CURRENT_TIMESTAMP(0));</v>
      </c>
    </row>
    <row r="746" spans="1:12" ht="15" customHeight="1">
      <c r="A746" s="11" t="str">
        <f>ETLMetadata!$C746</f>
        <v>DETM_DETIS_FYDS</v>
      </c>
      <c r="B746" s="11" t="str">
        <f>ETLMetadata!$E746</f>
        <v>FYDS_DOE</v>
      </c>
      <c r="C746" s="11" t="str">
        <f>IF(ISBLANK(ETLMetadata!$J746), "", ETLMetadata!$J746)</f>
        <v/>
      </c>
      <c r="D746" s="11" t="str">
        <f>ETLMetadata!$G746</f>
        <v>DATE</v>
      </c>
      <c r="E746" s="12"/>
      <c r="F746" s="12"/>
      <c r="G746" s="12" t="str">
        <f t="shared" si="22"/>
        <v/>
      </c>
      <c r="H746" s="12"/>
      <c r="I746" s="12"/>
      <c r="J746" s="13">
        <v>45952</v>
      </c>
      <c r="K746" s="13">
        <v>2958465</v>
      </c>
      <c r="L746" s="11" t="str">
        <f t="shared" si="23"/>
        <v>INSERT INTO metadata_reference.file_schema VALUES('DETM_DETIS_FYDS','FYDS_DOE',NULL,'DATE',NULL,NULL,NULL,NULL,'2025-10-22','9999-12-31',USER, CURRENT_TIMESTAMP(0));</v>
      </c>
    </row>
    <row r="747" spans="1:12" ht="15" customHeight="1">
      <c r="A747" s="11" t="str">
        <f>ETLMetadata!$C747</f>
        <v>DETM_DETIS_FYDS</v>
      </c>
      <c r="B747" s="11" t="str">
        <f>ETLMetadata!$E747</f>
        <v>FYDS_DOE_ORIG</v>
      </c>
      <c r="C747" s="11" t="str">
        <f>IF(ISBLANK(ETLMetadata!$J747), "", ETLMetadata!$J747)</f>
        <v/>
      </c>
      <c r="D747" s="11" t="str">
        <f>ETLMetadata!$G747</f>
        <v>INTEGER</v>
      </c>
      <c r="E747" s="12"/>
      <c r="F747" s="12"/>
      <c r="G747" s="12" t="str">
        <f t="shared" si="22"/>
        <v/>
      </c>
      <c r="H747" s="12"/>
      <c r="I747" s="12"/>
      <c r="J747" s="13">
        <v>45952</v>
      </c>
      <c r="K747" s="13">
        <v>2958465</v>
      </c>
      <c r="L747" s="11" t="str">
        <f t="shared" si="23"/>
        <v>INSERT INTO metadata_reference.file_schema VALUES('DETM_DETIS_FYDS','FYDS_DOE_ORIG',NULL,'INTEGER',NULL,NULL,NULL,NULL,'2025-10-22','9999-12-31',USER, CURRENT_TIMESTAMP(0));</v>
      </c>
    </row>
    <row r="748" spans="1:12" ht="15" customHeight="1">
      <c r="A748" s="11" t="str">
        <f>ETLMetadata!$C748</f>
        <v>DETM_DETIS_FYDS</v>
      </c>
      <c r="B748" s="11" t="str">
        <f>ETLMetadata!$E748</f>
        <v>PROCESSING_SEQUENCE</v>
      </c>
      <c r="C748" s="11" t="str">
        <f>IF(ISBLANK(ETLMetadata!$J748), "", ETLMetadata!$J748)</f>
        <v>Y</v>
      </c>
      <c r="D748" s="11" t="str">
        <f>ETLMetadata!$G748</f>
        <v>SMALLINT</v>
      </c>
      <c r="E748" s="12"/>
      <c r="F748" s="12"/>
      <c r="G748" s="12" t="str">
        <f t="shared" si="22"/>
        <v/>
      </c>
      <c r="H748" s="12"/>
      <c r="I748" s="12"/>
      <c r="J748" s="13">
        <v>45952</v>
      </c>
      <c r="K748" s="13">
        <v>2958465</v>
      </c>
      <c r="L748" s="11" t="str">
        <f t="shared" si="23"/>
        <v>INSERT INTO metadata_reference.file_schema VALUES('DETM_DETIS_FYDS','PROCESSING_SEQUENCE','Y','SMALLINT',NULL,NULL,NULL,NULL,'2025-10-22','9999-12-31',USER, CURRENT_TIMESTAMP(0));</v>
      </c>
    </row>
    <row r="749" spans="1:12" ht="15" customHeight="1">
      <c r="A749" s="11" t="str">
        <f>ETLMetadata!$C749</f>
        <v>DETM_DETIS_FYDS</v>
      </c>
      <c r="B749" s="11" t="str">
        <f>ETLMetadata!$E749</f>
        <v>FYDS_AMR_1</v>
      </c>
      <c r="C749" s="11" t="str">
        <f>IF(ISBLANK(ETLMetadata!$J749), "", ETLMetadata!$J749)</f>
        <v/>
      </c>
      <c r="D749" s="11" t="str">
        <f>ETLMetadata!$G749</f>
        <v>CHAR(4)</v>
      </c>
      <c r="E749" s="12"/>
      <c r="F749" s="12"/>
      <c r="G749" s="12" t="str">
        <f t="shared" si="22"/>
        <v/>
      </c>
      <c r="H749" s="12"/>
      <c r="I749" s="12"/>
      <c r="J749" s="13">
        <v>45952</v>
      </c>
      <c r="K749" s="13">
        <v>2958465</v>
      </c>
      <c r="L749" s="11" t="str">
        <f t="shared" si="23"/>
        <v>INSERT INTO metadata_reference.file_schema VALUES('DETM_DETIS_FYDS','FYDS_AMR_1',NULL,'CHAR(4)',NULL,NULL,NULL,NULL,'2025-10-22','9999-12-31',USER, CURRENT_TIMESTAMP(0));</v>
      </c>
    </row>
    <row r="750" spans="1:12" ht="15" customHeight="1">
      <c r="A750" s="11" t="str">
        <f>ETLMetadata!$C750</f>
        <v>DETM_DETIS_FYDS</v>
      </c>
      <c r="B750" s="11" t="str">
        <f>ETLMetadata!$E750</f>
        <v>FYDS_AMR_2</v>
      </c>
      <c r="C750" s="11" t="str">
        <f>IF(ISBLANK(ETLMetadata!$J750), "", ETLMetadata!$J750)</f>
        <v/>
      </c>
      <c r="D750" s="11" t="str">
        <f>ETLMetadata!$G750</f>
        <v>CHAR(1)</v>
      </c>
      <c r="E750" s="12"/>
      <c r="F750" s="12"/>
      <c r="G750" s="12" t="str">
        <f t="shared" si="22"/>
        <v/>
      </c>
      <c r="H750" s="12"/>
      <c r="I750" s="12"/>
      <c r="J750" s="13">
        <v>45952</v>
      </c>
      <c r="K750" s="13">
        <v>2958465</v>
      </c>
      <c r="L750" s="11" t="str">
        <f t="shared" si="23"/>
        <v>INSERT INTO metadata_reference.file_schema VALUES('DETM_DETIS_FYDS','FYDS_AMR_2',NULL,'CHAR(1)',NULL,NULL,NULL,NULL,'2025-10-22','9999-12-31',USER, CURRENT_TIMESTAMP(0));</v>
      </c>
    </row>
    <row r="751" spans="1:12" ht="15" customHeight="1">
      <c r="A751" s="11" t="str">
        <f>ETLMetadata!$C751</f>
        <v>DETM_DETIS_FYDS</v>
      </c>
      <c r="B751" s="11" t="str">
        <f>ETLMetadata!$E751</f>
        <v>FYDS_AMR_3</v>
      </c>
      <c r="C751" s="11" t="str">
        <f>IF(ISBLANK(ETLMetadata!$J751), "", ETLMetadata!$J751)</f>
        <v/>
      </c>
      <c r="D751" s="11" t="str">
        <f>ETLMetadata!$G751</f>
        <v>CHAR(4)</v>
      </c>
      <c r="E751" s="12"/>
      <c r="F751" s="12"/>
      <c r="G751" s="12" t="str">
        <f t="shared" si="22"/>
        <v/>
      </c>
      <c r="H751" s="12"/>
      <c r="I751" s="12"/>
      <c r="J751" s="13">
        <v>45952</v>
      </c>
      <c r="K751" s="13">
        <v>2958465</v>
      </c>
      <c r="L751" s="11" t="str">
        <f t="shared" si="23"/>
        <v>INSERT INTO metadata_reference.file_schema VALUES('DETM_DETIS_FYDS','FYDS_AMR_3',NULL,'CHAR(4)',NULL,NULL,NULL,NULL,'2025-10-22','9999-12-31',USER, CURRENT_TIMESTAMP(0));</v>
      </c>
    </row>
    <row r="752" spans="1:12" ht="15" customHeight="1">
      <c r="A752" s="11" t="str">
        <f>ETLMetadata!$C752</f>
        <v>DETM_DETIS_FYDS</v>
      </c>
      <c r="B752" s="11" t="str">
        <f>ETLMetadata!$E752</f>
        <v>FYDS_BEN_TYPE_CODE</v>
      </c>
      <c r="C752" s="11" t="str">
        <f>IF(ISBLANK(ETLMetadata!$J752), "", ETLMetadata!$J752)</f>
        <v/>
      </c>
      <c r="D752" s="11" t="str">
        <f>ETLMetadata!$G752</f>
        <v>CHAR(3)</v>
      </c>
      <c r="E752" s="12"/>
      <c r="F752" s="12"/>
      <c r="G752" s="12" t="str">
        <f t="shared" si="22"/>
        <v/>
      </c>
      <c r="H752" s="12"/>
      <c r="I752" s="12"/>
      <c r="J752" s="13">
        <v>45952</v>
      </c>
      <c r="K752" s="13">
        <v>2958465</v>
      </c>
      <c r="L752" s="11" t="str">
        <f t="shared" si="23"/>
        <v>INSERT INTO metadata_reference.file_schema VALUES('DETM_DETIS_FYDS','FYDS_BEN_TYPE_CODE',NULL,'CHAR(3)',NULL,NULL,NULL,NULL,'2025-10-22','9999-12-31',USER, CURRENT_TIMESTAMP(0));</v>
      </c>
    </row>
    <row r="753" spans="1:12" ht="15" customHeight="1">
      <c r="A753" s="11" t="str">
        <f>ETLMetadata!$C753</f>
        <v>DETM_DETIS_FYDS</v>
      </c>
      <c r="B753" s="11" t="str">
        <f>ETLMetadata!$E753</f>
        <v>FYDS_STS_CODE</v>
      </c>
      <c r="C753" s="11" t="str">
        <f>IF(ISBLANK(ETLMetadata!$J753), "", ETLMetadata!$J753)</f>
        <v/>
      </c>
      <c r="D753" s="11" t="str">
        <f>ETLMetadata!$G753</f>
        <v>CHAR(3)</v>
      </c>
      <c r="E753" s="12"/>
      <c r="F753" s="12"/>
      <c r="G753" s="12" t="str">
        <f t="shared" si="22"/>
        <v/>
      </c>
      <c r="H753" s="12"/>
      <c r="I753" s="12"/>
      <c r="J753" s="13">
        <v>45952</v>
      </c>
      <c r="K753" s="13">
        <v>2958465</v>
      </c>
      <c r="L753" s="11" t="str">
        <f t="shared" si="23"/>
        <v>INSERT INTO metadata_reference.file_schema VALUES('DETM_DETIS_FYDS','FYDS_STS_CODE',NULL,'CHAR(3)',NULL,NULL,NULL,NULL,'2025-10-22','9999-12-31',USER, CURRENT_TIMESTAMP(0));</v>
      </c>
    </row>
    <row r="754" spans="1:12" ht="15" customHeight="1">
      <c r="A754" s="11" t="str">
        <f>ETLMetadata!$C754</f>
        <v>DETM_DETIS_FYDS</v>
      </c>
      <c r="B754" s="11" t="str">
        <f>ETLMetadata!$E754</f>
        <v>FYDS_RSN_CODE</v>
      </c>
      <c r="C754" s="11" t="str">
        <f>IF(ISBLANK(ETLMetadata!$J754), "", ETLMetadata!$J754)</f>
        <v/>
      </c>
      <c r="D754" s="11" t="str">
        <f>ETLMetadata!$G754</f>
        <v>CHAR(3)</v>
      </c>
      <c r="E754" s="12"/>
      <c r="F754" s="12"/>
      <c r="G754" s="12" t="str">
        <f t="shared" si="22"/>
        <v/>
      </c>
      <c r="H754" s="12"/>
      <c r="I754" s="12"/>
      <c r="J754" s="13">
        <v>45952</v>
      </c>
      <c r="K754" s="13">
        <v>2958465</v>
      </c>
      <c r="L754" s="11" t="str">
        <f t="shared" si="23"/>
        <v>INSERT INTO metadata_reference.file_schema VALUES('DETM_DETIS_FYDS','FYDS_RSN_CODE',NULL,'CHAR(3)',NULL,NULL,NULL,NULL,'2025-10-22','9999-12-31',USER, CURRENT_TIMESTAMP(0));</v>
      </c>
    </row>
    <row r="755" spans="1:12" ht="15" customHeight="1">
      <c r="A755" s="11" t="str">
        <f>ETLMetadata!$C755</f>
        <v>DETM_DETIS_FYDS</v>
      </c>
      <c r="B755" s="11" t="str">
        <f>ETLMetadata!$E755</f>
        <v>FYDS_UNIQ_ID</v>
      </c>
      <c r="C755" s="11" t="str">
        <f>IF(ISBLANK(ETLMetadata!$J755), "", ETLMetadata!$J755)</f>
        <v/>
      </c>
      <c r="D755" s="11" t="str">
        <f>ETLMetadata!$G755</f>
        <v>VARCHAR(8)</v>
      </c>
      <c r="E755" s="12"/>
      <c r="F755" s="12"/>
      <c r="G755" s="12" t="str">
        <f t="shared" si="22"/>
        <v/>
      </c>
      <c r="H755" s="12"/>
      <c r="I755" s="12"/>
      <c r="J755" s="13">
        <v>45952</v>
      </c>
      <c r="K755" s="13">
        <v>2958465</v>
      </c>
      <c r="L755" s="11" t="str">
        <f t="shared" si="23"/>
        <v>INSERT INTO metadata_reference.file_schema VALUES('DETM_DETIS_FYDS','FYDS_UNIQ_ID',NULL,'VARCHAR(8)',NULL,NULL,NULL,NULL,'2025-10-22','9999-12-31',USER, CURRENT_TIMESTAMP(0));</v>
      </c>
    </row>
    <row r="756" spans="1:12" ht="15" customHeight="1">
      <c r="A756" s="11" t="str">
        <f>ETLMetadata!$C756</f>
        <v>DETM_DETIS_FYDS</v>
      </c>
      <c r="B756" s="11" t="str">
        <f>ETLMetadata!$E756</f>
        <v>AMR1_RISL_DTS</v>
      </c>
      <c r="C756" s="11" t="str">
        <f>IF(ISBLANK(ETLMetadata!$J756), "", ETLMetadata!$J756)</f>
        <v/>
      </c>
      <c r="D756" s="11" t="str">
        <f>ETLMetadata!$G756</f>
        <v>TIMESTAMP(6)</v>
      </c>
      <c r="E756" s="12"/>
      <c r="F756" s="12"/>
      <c r="G756" s="12" t="str">
        <f t="shared" si="22"/>
        <v/>
      </c>
      <c r="H756" s="12"/>
      <c r="I756" s="12"/>
      <c r="J756" s="13">
        <v>45952</v>
      </c>
      <c r="K756" s="13">
        <v>2958465</v>
      </c>
      <c r="L756" s="11" t="str">
        <f t="shared" si="23"/>
        <v>INSERT INTO metadata_reference.file_schema VALUES('DETM_DETIS_FYDS','AMR1_RISL_DTS',NULL,'TIMESTAMP(6)',NULL,NULL,NULL,NULL,'2025-10-22','9999-12-31',USER, CURRENT_TIMESTAMP(0));</v>
      </c>
    </row>
    <row r="757" spans="1:12" ht="15" customHeight="1">
      <c r="A757" s="11" t="str">
        <f>ETLMetadata!$C757</f>
        <v>DETM_DETIS_FYDS</v>
      </c>
      <c r="B757" s="11" t="str">
        <f>ETLMetadata!$E757</f>
        <v>AMR3_RISL_DTS</v>
      </c>
      <c r="C757" s="11" t="str">
        <f>IF(ISBLANK(ETLMetadata!$J757), "", ETLMetadata!$J757)</f>
        <v/>
      </c>
      <c r="D757" s="11" t="str">
        <f>ETLMetadata!$G757</f>
        <v>TIMESTAMP(6)</v>
      </c>
      <c r="E757" s="12"/>
      <c r="F757" s="12"/>
      <c r="G757" s="12" t="str">
        <f t="shared" si="22"/>
        <v/>
      </c>
      <c r="H757" s="12"/>
      <c r="I757" s="12"/>
      <c r="J757" s="13">
        <v>45952</v>
      </c>
      <c r="K757" s="13">
        <v>2958465</v>
      </c>
      <c r="L757" s="11" t="str">
        <f t="shared" si="23"/>
        <v>INSERT INTO metadata_reference.file_schema VALUES('DETM_DETIS_FYDS','AMR3_RISL_DTS',NULL,'TIMESTAMP(6)',NULL,NULL,NULL,NULL,'2025-10-22','9999-12-31',USER, CURRENT_TIMESTAMP(0));</v>
      </c>
    </row>
    <row r="758" spans="1:12" ht="15" customHeight="1">
      <c r="A758" s="11" t="str">
        <f>ETLMetadata!$C758</f>
        <v>DETM_DETIS_FYDS</v>
      </c>
      <c r="B758" s="11" t="str">
        <f>ETLMetadata!$E758</f>
        <v>EPISODE_ID</v>
      </c>
      <c r="C758" s="11" t="str">
        <f>IF(ISBLANK(ETLMetadata!$J758), "", ETLMetadata!$J758)</f>
        <v/>
      </c>
      <c r="D758" s="11" t="str">
        <f>ETLMetadata!$G758</f>
        <v>INTEGER</v>
      </c>
      <c r="E758" s="12"/>
      <c r="F758" s="12"/>
      <c r="G758" s="12" t="str">
        <f t="shared" si="22"/>
        <v/>
      </c>
      <c r="H758" s="12"/>
      <c r="I758" s="12"/>
      <c r="J758" s="13">
        <v>45952</v>
      </c>
      <c r="K758" s="13">
        <v>2958465</v>
      </c>
      <c r="L758" s="11" t="str">
        <f t="shared" si="23"/>
        <v>INSERT INTO metadata_reference.file_schema VALUES('DETM_DETIS_FYDS','EPISODE_ID',NULL,'INTEGER',NULL,NULL,NULL,NULL,'2025-10-22','9999-12-31',USER, CURRENT_TIMESTAMP(0));</v>
      </c>
    </row>
    <row r="759" spans="1:12" ht="15" customHeight="1">
      <c r="A759" s="11" t="str">
        <f>ETLMetadata!$C759</f>
        <v>DETM_DETIS_FYDS</v>
      </c>
      <c r="B759" s="11" t="str">
        <f>ETLMetadata!$E759</f>
        <v>PARTY_ROLE_ID</v>
      </c>
      <c r="C759" s="11" t="str">
        <f>IF(ISBLANK(ETLMetadata!$J759), "", ETLMetadata!$J759)</f>
        <v/>
      </c>
      <c r="D759" s="11" t="str">
        <f>ETLMetadata!$G759</f>
        <v>INTEGER</v>
      </c>
      <c r="E759" s="12"/>
      <c r="F759" s="12"/>
      <c r="G759" s="12" t="str">
        <f t="shared" si="22"/>
        <v/>
      </c>
      <c r="H759" s="12"/>
      <c r="I759" s="12"/>
      <c r="J759" s="13">
        <v>45952</v>
      </c>
      <c r="K759" s="13">
        <v>2958465</v>
      </c>
      <c r="L759" s="11" t="str">
        <f t="shared" si="23"/>
        <v>INSERT INTO metadata_reference.file_schema VALUES('DETM_DETIS_FYDS','PARTY_ROLE_ID',NULL,'INTEGER',NULL,NULL,NULL,NULL,'2025-10-22','9999-12-31',USER, CURRENT_TIMESTAMP(0));</v>
      </c>
    </row>
    <row r="760" spans="1:12" ht="15" customHeight="1">
      <c r="A760" s="11" t="str">
        <f>ETLMetadata!$C760</f>
        <v>DETM_DETIS_FYDS</v>
      </c>
      <c r="B760" s="11" t="str">
        <f>ETLMetadata!$E760</f>
        <v>PAYMENT_TYPE_ID</v>
      </c>
      <c r="C760" s="11" t="str">
        <f>IF(ISBLANK(ETLMetadata!$J760), "", ETLMetadata!$J760)</f>
        <v/>
      </c>
      <c r="D760" s="11" t="str">
        <f>ETLMetadata!$G760</f>
        <v>INTEGER</v>
      </c>
      <c r="E760" s="12"/>
      <c r="F760" s="12"/>
      <c r="G760" s="12" t="str">
        <f t="shared" si="22"/>
        <v/>
      </c>
      <c r="H760" s="12"/>
      <c r="I760" s="12"/>
      <c r="J760" s="13">
        <v>45952</v>
      </c>
      <c r="K760" s="13">
        <v>2958465</v>
      </c>
      <c r="L760" s="11" t="str">
        <f t="shared" si="23"/>
        <v>INSERT INTO metadata_reference.file_schema VALUES('DETM_DETIS_FYDS','PAYMENT_TYPE_ID',NULL,'INTEGER',NULL,NULL,NULL,NULL,'2025-10-22','9999-12-31',USER, CURRENT_TIMESTAMP(0));</v>
      </c>
    </row>
    <row r="761" spans="1:12" ht="15" customHeight="1">
      <c r="A761" s="11" t="str">
        <f>ETLMetadata!$C761</f>
        <v>DETM_DETIS_FYDS</v>
      </c>
      <c r="B761" s="11" t="str">
        <f>ETLMetadata!$E761</f>
        <v>ERROR_COUNT</v>
      </c>
      <c r="C761" s="11" t="str">
        <f>IF(ISBLANK(ETLMetadata!$J761), "", ETLMetadata!$J761)</f>
        <v/>
      </c>
      <c r="D761" s="11" t="str">
        <f>ETLMetadata!$G761</f>
        <v>SMALLINT</v>
      </c>
      <c r="E761" s="12"/>
      <c r="F761" s="12"/>
      <c r="G761" s="12" t="str">
        <f t="shared" si="22"/>
        <v/>
      </c>
      <c r="H761" s="12"/>
      <c r="I761" s="12"/>
      <c r="J761" s="13">
        <v>45952</v>
      </c>
      <c r="K761" s="13">
        <v>2958465</v>
      </c>
      <c r="L761" s="11" t="str">
        <f t="shared" si="23"/>
        <v>INSERT INTO metadata_reference.file_schema VALUES('DETM_DETIS_FYDS','ERROR_COUNT',NULL,'SMALLINT',NULL,NULL,NULL,NULL,'2025-10-22','9999-12-31',USER, CURRENT_TIMESTAMP(0));</v>
      </c>
    </row>
    <row r="762" spans="1:12" ht="15" customHeight="1">
      <c r="A762" s="11" t="str">
        <f>ETLMetadata!$C762</f>
        <v>DETM_DETIS_FYDS</v>
      </c>
      <c r="B762" s="11" t="str">
        <f>ETLMetadata!$E762</f>
        <v>Start_Date</v>
      </c>
      <c r="C762" s="11" t="str">
        <f>IF(ISBLANK(ETLMetadata!$J762), "", ETLMetadata!$J762)</f>
        <v/>
      </c>
      <c r="D762" s="11" t="str">
        <f>ETLMetadata!$G762</f>
        <v>DATE</v>
      </c>
      <c r="E762" s="12"/>
      <c r="F762" s="12"/>
      <c r="G762" s="12" t="str">
        <f t="shared" si="22"/>
        <v/>
      </c>
      <c r="H762" s="12"/>
      <c r="I762" s="12"/>
      <c r="J762" s="13">
        <v>45952</v>
      </c>
      <c r="K762" s="13">
        <v>2958465</v>
      </c>
      <c r="L762" s="11" t="str">
        <f t="shared" si="23"/>
        <v>INSERT INTO metadata_reference.file_schema VALUES('DETM_DETIS_FYDS','Start_Date',NULL,'DATE',NULL,NULL,NULL,NULL,'2025-10-22','9999-12-31',USER, CURRENT_TIMESTAMP(0));</v>
      </c>
    </row>
    <row r="763" spans="1:12" ht="15" customHeight="1">
      <c r="A763" s="11" t="str">
        <f>ETLMetadata!$C763</f>
        <v>DETM_DETIS_FYDS</v>
      </c>
      <c r="B763" s="11" t="str">
        <f>ETLMetadata!$E763</f>
        <v>End_Date</v>
      </c>
      <c r="C763" s="11" t="str">
        <f>IF(ISBLANK(ETLMetadata!$J763), "", ETLMetadata!$J763)</f>
        <v/>
      </c>
      <c r="D763" s="11" t="str">
        <f>ETLMetadata!$G763</f>
        <v>DATE</v>
      </c>
      <c r="E763" s="12"/>
      <c r="F763" s="12"/>
      <c r="G763" s="12" t="str">
        <f t="shared" si="22"/>
        <v/>
      </c>
      <c r="H763" s="12"/>
      <c r="I763" s="12"/>
      <c r="J763" s="13">
        <v>45952</v>
      </c>
      <c r="K763" s="13">
        <v>2958465</v>
      </c>
      <c r="L763" s="11" t="str">
        <f t="shared" si="23"/>
        <v>INSERT INTO metadata_reference.file_schema VALUES('DETM_DETIS_FYDS','End_Date',NULL,'DATE',NULL,NULL,NULL,NULL,'2025-10-22','9999-12-31',USER, CURRENT_TIMESTAMP(0));</v>
      </c>
    </row>
    <row r="764" spans="1:12" ht="15" customHeight="1">
      <c r="A764" s="11" t="str">
        <f>ETLMetadata!$C764</f>
        <v>DETM_DETIS_FYDS</v>
      </c>
      <c r="B764" s="11" t="str">
        <f>ETLMetadata!$E764</f>
        <v>Record_Deleted_Flag</v>
      </c>
      <c r="C764" s="11" t="str">
        <f>IF(ISBLANK(ETLMetadata!$J764), "", ETLMetadata!$J764)</f>
        <v/>
      </c>
      <c r="D764" s="11" t="str">
        <f>ETLMetadata!$G764</f>
        <v>BYTEINT</v>
      </c>
      <c r="E764" s="12"/>
      <c r="F764" s="12"/>
      <c r="G764" s="12" t="str">
        <f t="shared" si="22"/>
        <v/>
      </c>
      <c r="H764" s="12"/>
      <c r="I764" s="12"/>
      <c r="J764" s="13">
        <v>45952</v>
      </c>
      <c r="K764" s="13">
        <v>2958465</v>
      </c>
      <c r="L764" s="11" t="str">
        <f t="shared" si="23"/>
        <v>INSERT INTO metadata_reference.file_schema VALUES('DETM_DETIS_FYDS','Record_Deleted_Flag',NULL,'BYTEINT',NULL,NULL,NULL,NULL,'2025-10-22','9999-12-31',USER, CURRENT_TIMESTAMP(0));</v>
      </c>
    </row>
    <row r="765" spans="1:12" ht="15" customHeight="1">
      <c r="A765" s="11" t="str">
        <f>ETLMetadata!$C765</f>
        <v>DETM_DETIS_GPDS</v>
      </c>
      <c r="B765" s="11" t="str">
        <f>ETLMetadata!$E765</f>
        <v>EXTRACT_DATE</v>
      </c>
      <c r="C765" s="11" t="str">
        <f>IF(ISBLANK(ETLMetadata!$J765), "", ETLMetadata!$J765)</f>
        <v/>
      </c>
      <c r="D765" s="11" t="str">
        <f>ETLMetadata!$G765</f>
        <v>DATE</v>
      </c>
      <c r="E765" s="12"/>
      <c r="F765" s="12"/>
      <c r="G765" s="12" t="str">
        <f t="shared" si="22"/>
        <v/>
      </c>
      <c r="H765" s="12"/>
      <c r="I765" s="12"/>
      <c r="J765" s="13">
        <v>45952</v>
      </c>
      <c r="K765" s="13">
        <v>2958465</v>
      </c>
      <c r="L765" s="11" t="str">
        <f t="shared" si="23"/>
        <v>INSERT INTO metadata_reference.file_schema VALUES('DETM_DETIS_GPDS','EXTRACT_DATE',NULL,'DATE',NULL,NULL,NULL,NULL,'2025-10-22','9999-12-31',USER, CURRENT_TIMESTAMP(0));</v>
      </c>
    </row>
    <row r="766" spans="1:12" ht="15" customHeight="1">
      <c r="A766" s="11" t="str">
        <f>ETLMetadata!$C766</f>
        <v>DETM_DETIS_GPDS</v>
      </c>
      <c r="B766" s="11" t="str">
        <f>ETLMetadata!$E766</f>
        <v>LOGICAL_DELETE_DATE</v>
      </c>
      <c r="C766" s="11" t="str">
        <f>IF(ISBLANK(ETLMetadata!$J766), "", ETLMetadata!$J766)</f>
        <v/>
      </c>
      <c r="D766" s="11" t="str">
        <f>ETLMetadata!$G766</f>
        <v>DATE</v>
      </c>
      <c r="E766" s="12"/>
      <c r="F766" s="12"/>
      <c r="G766" s="12" t="str">
        <f t="shared" si="22"/>
        <v/>
      </c>
      <c r="H766" s="12"/>
      <c r="I766" s="12"/>
      <c r="J766" s="13">
        <v>45952</v>
      </c>
      <c r="K766" s="13">
        <v>2958465</v>
      </c>
      <c r="L766" s="11" t="str">
        <f t="shared" si="23"/>
        <v>INSERT INTO metadata_reference.file_schema VALUES('DETM_DETIS_GPDS','LOGICAL_DELETE_DATE',NULL,'DATE',NULL,NULL,NULL,NULL,'2025-10-22','9999-12-31',USER, CURRENT_TIMESTAMP(0));</v>
      </c>
    </row>
    <row r="767" spans="1:12" ht="15" customHeight="1">
      <c r="A767" s="11" t="str">
        <f>ETLMetadata!$C767</f>
        <v>DETM_DETIS_GPDS</v>
      </c>
      <c r="B767" s="11" t="str">
        <f>ETLMetadata!$E767</f>
        <v>ENVIRONMENT_ID</v>
      </c>
      <c r="C767" s="11" t="str">
        <f>IF(ISBLANK(ETLMetadata!$J767), "", ETLMetadata!$J767)</f>
        <v>Y</v>
      </c>
      <c r="D767" s="11" t="str">
        <f>ETLMetadata!$G767</f>
        <v>CHAR(1)</v>
      </c>
      <c r="E767" s="12"/>
      <c r="F767" s="12"/>
      <c r="G767" s="12" t="str">
        <f t="shared" si="22"/>
        <v/>
      </c>
      <c r="H767" s="12"/>
      <c r="I767" s="12"/>
      <c r="J767" s="13">
        <v>45952</v>
      </c>
      <c r="K767" s="13">
        <v>2958465</v>
      </c>
      <c r="L767" s="11" t="str">
        <f t="shared" si="23"/>
        <v>INSERT INTO metadata_reference.file_schema VALUES('DETM_DETIS_GPDS','ENVIRONMENT_ID','Y','CHAR(1)',NULL,NULL,NULL,NULL,'2025-10-22','9999-12-31',USER, CURRENT_TIMESTAMP(0));</v>
      </c>
    </row>
    <row r="768" spans="1:12" ht="15" customHeight="1">
      <c r="A768" s="11" t="str">
        <f>ETLMetadata!$C768</f>
        <v>DETM_DETIS_GPDS</v>
      </c>
      <c r="B768" s="11" t="str">
        <f>ETLMetadata!$E768</f>
        <v>PERSON_ID</v>
      </c>
      <c r="C768" s="11" t="str">
        <f>IF(ISBLANK(ETLMetadata!$J768), "", ETLMetadata!$J768)</f>
        <v>Y</v>
      </c>
      <c r="D768" s="11" t="str">
        <f>ETLMetadata!$G768</f>
        <v>INTEGER</v>
      </c>
      <c r="E768" s="12"/>
      <c r="F768" s="12" t="s">
        <v>799</v>
      </c>
      <c r="G768" s="12" t="str">
        <f t="shared" si="22"/>
        <v>PERSONAL_IDENTITYINFOINDIRECT</v>
      </c>
      <c r="H768" s="12"/>
      <c r="I768" s="12"/>
      <c r="J768" s="13">
        <v>45952</v>
      </c>
      <c r="K768" s="13">
        <v>2958465</v>
      </c>
      <c r="L768" s="11" t="str">
        <f t="shared" si="23"/>
        <v>INSERT INTO metadata_reference.file_schema VALUES('DETM_DETIS_GPDS','PERSON_ID','Y','INTEGER',NULL,'PERSONAL_IDENTITYINFOINDIRECT',NULL,NULL,'2025-10-22','9999-12-31',USER, CURRENT_TIMESTAMP(0));</v>
      </c>
    </row>
    <row r="769" spans="1:12" ht="15" customHeight="1">
      <c r="A769" s="11" t="str">
        <f>ETLMetadata!$C769</f>
        <v>DETM_DETIS_GPDS</v>
      </c>
      <c r="B769" s="11" t="str">
        <f>ETLMetadata!$E769</f>
        <v>GPDS_AMR_1</v>
      </c>
      <c r="C769" s="11" t="str">
        <f>IF(ISBLANK(ETLMetadata!$J769), "", ETLMetadata!$J769)</f>
        <v/>
      </c>
      <c r="D769" s="11" t="str">
        <f>ETLMetadata!$G769</f>
        <v>CHAR(4)</v>
      </c>
      <c r="E769" s="12"/>
      <c r="F769" s="12"/>
      <c r="G769" s="12" t="str">
        <f t="shared" si="22"/>
        <v/>
      </c>
      <c r="H769" s="12"/>
      <c r="I769" s="12"/>
      <c r="J769" s="13">
        <v>45952</v>
      </c>
      <c r="K769" s="13">
        <v>2958465</v>
      </c>
      <c r="L769" s="11" t="str">
        <f t="shared" si="23"/>
        <v>INSERT INTO metadata_reference.file_schema VALUES('DETM_DETIS_GPDS','GPDS_AMR_1',NULL,'CHAR(4)',NULL,NULL,NULL,NULL,'2025-10-22','9999-12-31',USER, CURRENT_TIMESTAMP(0));</v>
      </c>
    </row>
    <row r="770" spans="1:12" ht="15" customHeight="1">
      <c r="A770" s="11" t="str">
        <f>ETLMetadata!$C770</f>
        <v>DETM_DETIS_GPDS</v>
      </c>
      <c r="B770" s="11" t="str">
        <f>ETLMetadata!$E770</f>
        <v>GPDS_AMR_2</v>
      </c>
      <c r="C770" s="11" t="str">
        <f>IF(ISBLANK(ETLMetadata!$J770), "", ETLMetadata!$J770)</f>
        <v/>
      </c>
      <c r="D770" s="11" t="str">
        <f>ETLMetadata!$G770</f>
        <v>CHAR(1)</v>
      </c>
      <c r="E770" s="12"/>
      <c r="F770" s="12"/>
      <c r="G770" s="12" t="str">
        <f t="shared" si="22"/>
        <v/>
      </c>
      <c r="H770" s="12"/>
      <c r="I770" s="12"/>
      <c r="J770" s="13">
        <v>45952</v>
      </c>
      <c r="K770" s="13">
        <v>2958465</v>
      </c>
      <c r="L770" s="11" t="str">
        <f t="shared" si="23"/>
        <v>INSERT INTO metadata_reference.file_schema VALUES('DETM_DETIS_GPDS','GPDS_AMR_2',NULL,'CHAR(1)',NULL,NULL,NULL,NULL,'2025-10-22','9999-12-31',USER, CURRENT_TIMESTAMP(0));</v>
      </c>
    </row>
    <row r="771" spans="1:12" ht="15" customHeight="1">
      <c r="A771" s="11" t="str">
        <f>ETLMetadata!$C771</f>
        <v>DETM_DETIS_GPDS</v>
      </c>
      <c r="B771" s="11" t="str">
        <f>ETLMetadata!$E771</f>
        <v>GPDS_AMR_3</v>
      </c>
      <c r="C771" s="11" t="str">
        <f>IF(ISBLANK(ETLMetadata!$J771), "", ETLMetadata!$J771)</f>
        <v/>
      </c>
      <c r="D771" s="11" t="str">
        <f>ETLMetadata!$G771</f>
        <v>CHAR(4)</v>
      </c>
      <c r="E771" s="12"/>
      <c r="F771" s="12"/>
      <c r="G771" s="12" t="str">
        <f t="shared" ref="G771:G834" si="24">UPPER($F771)</f>
        <v/>
      </c>
      <c r="H771" s="12"/>
      <c r="I771" s="12"/>
      <c r="J771" s="13">
        <v>45952</v>
      </c>
      <c r="K771" s="13">
        <v>2958465</v>
      </c>
      <c r="L771" s="11" t="str">
        <f t="shared" ref="L771:L834" si="25">CONCATENATE("INSERT INTO metadata_reference.file_schema VALUES('",TRIM(A771),"','",TRIM(B771),"',",IF(TRIM(C771)="","NULL","'"&amp;TRIM(C771)&amp;"'"),",'",TRIM(D771),"',",IF(TRIM(E771)="","NULL","'"&amp;TRIM(E771)&amp;"'"),",",IF(TRIM(G771)="","NULL","'"&amp;TRIM(G771)&amp;"'"),",",IF(TRIM(H771)="","NULL","'"&amp;TRIM(H771)&amp;"'"),",",
IF(TRIM(I771)="","NULL",TRIM(I771)),",",IF(TRIM(J771)="","NULL","'"&amp;TEXT(J771,"yyyy-mm-dd")&amp;"'"),",",IF(TRIM(K771)="","NULL","'"&amp;TEXT(K771,"yyyy-mm-dd")&amp;"'"),",","USER, CURRENT_TIMESTAMP(0));")</f>
        <v>INSERT INTO metadata_reference.file_schema VALUES('DETM_DETIS_GPDS','GPDS_AMR_3',NULL,'CHAR(4)',NULL,NULL,NULL,NULL,'2025-10-22','9999-12-31',USER, CURRENT_TIMESTAMP(0));</v>
      </c>
    </row>
    <row r="772" spans="1:12" ht="15" customHeight="1">
      <c r="A772" s="11" t="str">
        <f>ETLMetadata!$C772</f>
        <v>DETM_DETIS_GPDS</v>
      </c>
      <c r="B772" s="11" t="str">
        <f>ETLMetadata!$E772</f>
        <v>GPDS_DOE</v>
      </c>
      <c r="C772" s="11" t="str">
        <f>IF(ISBLANK(ETLMetadata!$J772), "", ETLMetadata!$J772)</f>
        <v/>
      </c>
      <c r="D772" s="11" t="str">
        <f>ETLMetadata!$G772</f>
        <v>DATE</v>
      </c>
      <c r="E772" s="12"/>
      <c r="F772" s="12"/>
      <c r="G772" s="12" t="str">
        <f t="shared" si="24"/>
        <v/>
      </c>
      <c r="H772" s="12"/>
      <c r="I772" s="12"/>
      <c r="J772" s="13">
        <v>45952</v>
      </c>
      <c r="K772" s="13">
        <v>2958465</v>
      </c>
      <c r="L772" s="11" t="str">
        <f t="shared" si="25"/>
        <v>INSERT INTO metadata_reference.file_schema VALUES('DETM_DETIS_GPDS','GPDS_DOE',NULL,'DATE',NULL,NULL,NULL,NULL,'2025-10-22','9999-12-31',USER, CURRENT_TIMESTAMP(0));</v>
      </c>
    </row>
    <row r="773" spans="1:12" ht="15" customHeight="1">
      <c r="A773" s="11" t="str">
        <f>ETLMetadata!$C773</f>
        <v>DETM_DETIS_GPDS</v>
      </c>
      <c r="B773" s="11" t="str">
        <f>ETLMetadata!$E773</f>
        <v>GPDS_DOE_ORIG</v>
      </c>
      <c r="C773" s="11" t="str">
        <f>IF(ISBLANK(ETLMetadata!$J773), "", ETLMetadata!$J773)</f>
        <v/>
      </c>
      <c r="D773" s="11" t="str">
        <f>ETLMetadata!$G773</f>
        <v>INTEGER</v>
      </c>
      <c r="E773" s="12"/>
      <c r="F773" s="12"/>
      <c r="G773" s="12" t="str">
        <f t="shared" si="24"/>
        <v/>
      </c>
      <c r="H773" s="12"/>
      <c r="I773" s="12"/>
      <c r="J773" s="13">
        <v>45952</v>
      </c>
      <c r="K773" s="13">
        <v>2958465</v>
      </c>
      <c r="L773" s="11" t="str">
        <f t="shared" si="25"/>
        <v>INSERT INTO metadata_reference.file_schema VALUES('DETM_DETIS_GPDS','GPDS_DOE_ORIG',NULL,'INTEGER',NULL,NULL,NULL,NULL,'2025-10-22','9999-12-31',USER, CURRENT_TIMESTAMP(0));</v>
      </c>
    </row>
    <row r="774" spans="1:12" ht="15" customHeight="1">
      <c r="A774" s="11" t="str">
        <f>ETLMetadata!$C774</f>
        <v>DETM_DETIS_GPDS</v>
      </c>
      <c r="B774" s="11" t="str">
        <f>ETLMetadata!$E774</f>
        <v>PROCESSING_SEQUENCE</v>
      </c>
      <c r="C774" s="11" t="str">
        <f>IF(ISBLANK(ETLMetadata!$J774), "", ETLMetadata!$J774)</f>
        <v>Y</v>
      </c>
      <c r="D774" s="11" t="str">
        <f>ETLMetadata!$G774</f>
        <v>SMALLINT</v>
      </c>
      <c r="E774" s="12"/>
      <c r="F774" s="12"/>
      <c r="G774" s="12" t="str">
        <f t="shared" si="24"/>
        <v/>
      </c>
      <c r="H774" s="12"/>
      <c r="I774" s="12"/>
      <c r="J774" s="13">
        <v>45952</v>
      </c>
      <c r="K774" s="13">
        <v>2958465</v>
      </c>
      <c r="L774" s="11" t="str">
        <f t="shared" si="25"/>
        <v>INSERT INTO metadata_reference.file_schema VALUES('DETM_DETIS_GPDS','PROCESSING_SEQUENCE','Y','SMALLINT',NULL,NULL,NULL,NULL,'2025-10-22','9999-12-31',USER, CURRENT_TIMESTAMP(0));</v>
      </c>
    </row>
    <row r="775" spans="1:12" ht="15" customHeight="1">
      <c r="A775" s="11" t="str">
        <f>ETLMetadata!$C775</f>
        <v>DETM_DETIS_GPDS</v>
      </c>
      <c r="B775" s="11" t="str">
        <f>ETLMetadata!$E775</f>
        <v>GPDS_BEN_TYPE_CODE</v>
      </c>
      <c r="C775" s="11" t="str">
        <f>IF(ISBLANK(ETLMetadata!$J775), "", ETLMetadata!$J775)</f>
        <v/>
      </c>
      <c r="D775" s="11" t="str">
        <f>ETLMetadata!$G775</f>
        <v>CHAR(3)</v>
      </c>
      <c r="E775" s="12"/>
      <c r="F775" s="12"/>
      <c r="G775" s="12" t="str">
        <f t="shared" si="24"/>
        <v/>
      </c>
      <c r="H775" s="12"/>
      <c r="I775" s="12"/>
      <c r="J775" s="13">
        <v>45952</v>
      </c>
      <c r="K775" s="13">
        <v>2958465</v>
      </c>
      <c r="L775" s="11" t="str">
        <f t="shared" si="25"/>
        <v>INSERT INTO metadata_reference.file_schema VALUES('DETM_DETIS_GPDS','GPDS_BEN_TYPE_CODE',NULL,'CHAR(3)',NULL,NULL,NULL,NULL,'2025-10-22','9999-12-31',USER, CURRENT_TIMESTAMP(0));</v>
      </c>
    </row>
    <row r="776" spans="1:12" ht="15" customHeight="1">
      <c r="A776" s="11" t="str">
        <f>ETLMetadata!$C776</f>
        <v>DETM_DETIS_GPDS</v>
      </c>
      <c r="B776" s="11" t="str">
        <f>ETLMetadata!$E776</f>
        <v>GPDS_RSN_CODE</v>
      </c>
      <c r="C776" s="11" t="str">
        <f>IF(ISBLANK(ETLMetadata!$J776), "", ETLMetadata!$J776)</f>
        <v/>
      </c>
      <c r="D776" s="11" t="str">
        <f>ETLMetadata!$G776</f>
        <v>CHAR(3)</v>
      </c>
      <c r="E776" s="12"/>
      <c r="F776" s="12"/>
      <c r="G776" s="12" t="str">
        <f t="shared" si="24"/>
        <v/>
      </c>
      <c r="H776" s="12"/>
      <c r="I776" s="12"/>
      <c r="J776" s="13">
        <v>45952</v>
      </c>
      <c r="K776" s="13">
        <v>2958465</v>
      </c>
      <c r="L776" s="11" t="str">
        <f t="shared" si="25"/>
        <v>INSERT INTO metadata_reference.file_schema VALUES('DETM_DETIS_GPDS','GPDS_RSN_CODE',NULL,'CHAR(3)',NULL,NULL,NULL,NULL,'2025-10-22','9999-12-31',USER, CURRENT_TIMESTAMP(0));</v>
      </c>
    </row>
    <row r="777" spans="1:12" ht="15" customHeight="1">
      <c r="A777" s="11" t="str">
        <f>ETLMetadata!$C777</f>
        <v>DETM_DETIS_GPDS</v>
      </c>
      <c r="B777" s="11" t="str">
        <f>ETLMetadata!$E777</f>
        <v>GPDS_STS_CODE</v>
      </c>
      <c r="C777" s="11" t="str">
        <f>IF(ISBLANK(ETLMetadata!$J777), "", ETLMetadata!$J777)</f>
        <v/>
      </c>
      <c r="D777" s="11" t="str">
        <f>ETLMetadata!$G777</f>
        <v>CHAR(3)</v>
      </c>
      <c r="E777" s="12"/>
      <c r="F777" s="12"/>
      <c r="G777" s="12" t="str">
        <f t="shared" si="24"/>
        <v/>
      </c>
      <c r="H777" s="12"/>
      <c r="I777" s="12"/>
      <c r="J777" s="13">
        <v>45952</v>
      </c>
      <c r="K777" s="13">
        <v>2958465</v>
      </c>
      <c r="L777" s="11" t="str">
        <f t="shared" si="25"/>
        <v>INSERT INTO metadata_reference.file_schema VALUES('DETM_DETIS_GPDS','GPDS_STS_CODE',NULL,'CHAR(3)',NULL,NULL,NULL,NULL,'2025-10-22','9999-12-31',USER, CURRENT_TIMESTAMP(0));</v>
      </c>
    </row>
    <row r="778" spans="1:12" ht="15" customHeight="1">
      <c r="A778" s="11" t="str">
        <f>ETLMetadata!$C778</f>
        <v>DETM_DETIS_GPDS</v>
      </c>
      <c r="B778" s="11" t="str">
        <f>ETLMetadata!$E778</f>
        <v>GPDS_TASK_CODE</v>
      </c>
      <c r="C778" s="11" t="str">
        <f>IF(ISBLANK(ETLMetadata!$J778), "", ETLMetadata!$J778)</f>
        <v/>
      </c>
      <c r="D778" s="11" t="str">
        <f>ETLMetadata!$G778</f>
        <v>VARCHAR(7)</v>
      </c>
      <c r="E778" s="12"/>
      <c r="F778" s="12"/>
      <c r="G778" s="12" t="str">
        <f t="shared" si="24"/>
        <v/>
      </c>
      <c r="H778" s="12"/>
      <c r="I778" s="12"/>
      <c r="J778" s="13">
        <v>45952</v>
      </c>
      <c r="K778" s="13">
        <v>2958465</v>
      </c>
      <c r="L778" s="11" t="str">
        <f t="shared" si="25"/>
        <v>INSERT INTO metadata_reference.file_schema VALUES('DETM_DETIS_GPDS','GPDS_TASK_CODE',NULL,'VARCHAR(7)',NULL,NULL,NULL,NULL,'2025-10-22','9999-12-31',USER, CURRENT_TIMESTAMP(0));</v>
      </c>
    </row>
    <row r="779" spans="1:12" ht="15" customHeight="1">
      <c r="A779" s="11" t="str">
        <f>ETLMetadata!$C779</f>
        <v>DETM_DETIS_GPDS</v>
      </c>
      <c r="B779" s="11" t="str">
        <f>ETLMetadata!$E779</f>
        <v>GPDS_UNIQ_ID</v>
      </c>
      <c r="C779" s="11" t="str">
        <f>IF(ISBLANK(ETLMetadata!$J779), "", ETLMetadata!$J779)</f>
        <v/>
      </c>
      <c r="D779" s="11" t="str">
        <f>ETLMetadata!$G779</f>
        <v>VARCHAR(8)</v>
      </c>
      <c r="E779" s="12"/>
      <c r="F779" s="12"/>
      <c r="G779" s="12" t="str">
        <f t="shared" si="24"/>
        <v/>
      </c>
      <c r="H779" s="12"/>
      <c r="I779" s="12"/>
      <c r="J779" s="13">
        <v>45952</v>
      </c>
      <c r="K779" s="13">
        <v>2958465</v>
      </c>
      <c r="L779" s="11" t="str">
        <f t="shared" si="25"/>
        <v>INSERT INTO metadata_reference.file_schema VALUES('DETM_DETIS_GPDS','GPDS_UNIQ_ID',NULL,'VARCHAR(8)',NULL,NULL,NULL,NULL,'2025-10-22','9999-12-31',USER, CURRENT_TIMESTAMP(0));</v>
      </c>
    </row>
    <row r="780" spans="1:12" ht="15" customHeight="1">
      <c r="A780" s="11" t="str">
        <f>ETLMetadata!$C780</f>
        <v>DETM_DETIS_GPDS</v>
      </c>
      <c r="B780" s="11" t="str">
        <f>ETLMetadata!$E780</f>
        <v>AMR1_RISL_DTS</v>
      </c>
      <c r="C780" s="11" t="str">
        <f>IF(ISBLANK(ETLMetadata!$J780), "", ETLMetadata!$J780)</f>
        <v/>
      </c>
      <c r="D780" s="11" t="str">
        <f>ETLMetadata!$G780</f>
        <v>TIMESTAMP(6)</v>
      </c>
      <c r="E780" s="12"/>
      <c r="F780" s="12"/>
      <c r="G780" s="12" t="str">
        <f t="shared" si="24"/>
        <v/>
      </c>
      <c r="H780" s="12"/>
      <c r="I780" s="12"/>
      <c r="J780" s="13">
        <v>45952</v>
      </c>
      <c r="K780" s="13">
        <v>2958465</v>
      </c>
      <c r="L780" s="11" t="str">
        <f t="shared" si="25"/>
        <v>INSERT INTO metadata_reference.file_schema VALUES('DETM_DETIS_GPDS','AMR1_RISL_DTS',NULL,'TIMESTAMP(6)',NULL,NULL,NULL,NULL,'2025-10-22','9999-12-31',USER, CURRENT_TIMESTAMP(0));</v>
      </c>
    </row>
    <row r="781" spans="1:12" ht="15" customHeight="1">
      <c r="A781" s="11" t="str">
        <f>ETLMetadata!$C781</f>
        <v>DETM_DETIS_GPDS</v>
      </c>
      <c r="B781" s="11" t="str">
        <f>ETLMetadata!$E781</f>
        <v>AMR3_RISL_DTS</v>
      </c>
      <c r="C781" s="11" t="str">
        <f>IF(ISBLANK(ETLMetadata!$J781), "", ETLMetadata!$J781)</f>
        <v/>
      </c>
      <c r="D781" s="11" t="str">
        <f>ETLMetadata!$G781</f>
        <v>TIMESTAMP(6)</v>
      </c>
      <c r="E781" s="12"/>
      <c r="F781" s="12"/>
      <c r="G781" s="12" t="str">
        <f t="shared" si="24"/>
        <v/>
      </c>
      <c r="H781" s="12"/>
      <c r="I781" s="12"/>
      <c r="J781" s="13">
        <v>45952</v>
      </c>
      <c r="K781" s="13">
        <v>2958465</v>
      </c>
      <c r="L781" s="11" t="str">
        <f t="shared" si="25"/>
        <v>INSERT INTO metadata_reference.file_schema VALUES('DETM_DETIS_GPDS','AMR3_RISL_DTS',NULL,'TIMESTAMP(6)',NULL,NULL,NULL,NULL,'2025-10-22','9999-12-31',USER, CURRENT_TIMESTAMP(0));</v>
      </c>
    </row>
    <row r="782" spans="1:12" ht="15" customHeight="1">
      <c r="A782" s="11" t="str">
        <f>ETLMetadata!$C782</f>
        <v>DETM_DETIS_GPDS</v>
      </c>
      <c r="B782" s="11" t="str">
        <f>ETLMetadata!$E782</f>
        <v>EPISODE_ID</v>
      </c>
      <c r="C782" s="11" t="str">
        <f>IF(ISBLANK(ETLMetadata!$J782), "", ETLMetadata!$J782)</f>
        <v/>
      </c>
      <c r="D782" s="11" t="str">
        <f>ETLMetadata!$G782</f>
        <v>INTEGER</v>
      </c>
      <c r="E782" s="12"/>
      <c r="F782" s="12"/>
      <c r="G782" s="12" t="str">
        <f t="shared" si="24"/>
        <v/>
      </c>
      <c r="H782" s="12"/>
      <c r="I782" s="12"/>
      <c r="J782" s="13">
        <v>45952</v>
      </c>
      <c r="K782" s="13">
        <v>2958465</v>
      </c>
      <c r="L782" s="11" t="str">
        <f t="shared" si="25"/>
        <v>INSERT INTO metadata_reference.file_schema VALUES('DETM_DETIS_GPDS','EPISODE_ID',NULL,'INTEGER',NULL,NULL,NULL,NULL,'2025-10-22','9999-12-31',USER, CURRENT_TIMESTAMP(0));</v>
      </c>
    </row>
    <row r="783" spans="1:12" ht="15" customHeight="1">
      <c r="A783" s="11" t="str">
        <f>ETLMetadata!$C783</f>
        <v>DETM_DETIS_GPDS</v>
      </c>
      <c r="B783" s="11" t="str">
        <f>ETLMetadata!$E783</f>
        <v>PARTY_ROLE_ID</v>
      </c>
      <c r="C783" s="11" t="str">
        <f>IF(ISBLANK(ETLMetadata!$J783), "", ETLMetadata!$J783)</f>
        <v/>
      </c>
      <c r="D783" s="11" t="str">
        <f>ETLMetadata!$G783</f>
        <v>INTEGER</v>
      </c>
      <c r="E783" s="12"/>
      <c r="F783" s="12"/>
      <c r="G783" s="12" t="str">
        <f t="shared" si="24"/>
        <v/>
      </c>
      <c r="H783" s="12"/>
      <c r="I783" s="12"/>
      <c r="J783" s="13">
        <v>45952</v>
      </c>
      <c r="K783" s="13">
        <v>2958465</v>
      </c>
      <c r="L783" s="11" t="str">
        <f t="shared" si="25"/>
        <v>INSERT INTO metadata_reference.file_schema VALUES('DETM_DETIS_GPDS','PARTY_ROLE_ID',NULL,'INTEGER',NULL,NULL,NULL,NULL,'2025-10-22','9999-12-31',USER, CURRENT_TIMESTAMP(0));</v>
      </c>
    </row>
    <row r="784" spans="1:12" ht="15" customHeight="1">
      <c r="A784" s="11" t="str">
        <f>ETLMetadata!$C784</f>
        <v>DETM_DETIS_GPDS</v>
      </c>
      <c r="B784" s="11" t="str">
        <f>ETLMetadata!$E784</f>
        <v>PAYMENT_TYPE_ID</v>
      </c>
      <c r="C784" s="11" t="str">
        <f>IF(ISBLANK(ETLMetadata!$J784), "", ETLMetadata!$J784)</f>
        <v/>
      </c>
      <c r="D784" s="11" t="str">
        <f>ETLMetadata!$G784</f>
        <v>INTEGER</v>
      </c>
      <c r="E784" s="12"/>
      <c r="F784" s="12"/>
      <c r="G784" s="12" t="str">
        <f t="shared" si="24"/>
        <v/>
      </c>
      <c r="H784" s="12"/>
      <c r="I784" s="12"/>
      <c r="J784" s="13">
        <v>45952</v>
      </c>
      <c r="K784" s="13">
        <v>2958465</v>
      </c>
      <c r="L784" s="11" t="str">
        <f t="shared" si="25"/>
        <v>INSERT INTO metadata_reference.file_schema VALUES('DETM_DETIS_GPDS','PAYMENT_TYPE_ID',NULL,'INTEGER',NULL,NULL,NULL,NULL,'2025-10-22','9999-12-31',USER, CURRENT_TIMESTAMP(0));</v>
      </c>
    </row>
    <row r="785" spans="1:12" ht="15" customHeight="1">
      <c r="A785" s="11" t="str">
        <f>ETLMetadata!$C785</f>
        <v>DETM_DETIS_GPDS</v>
      </c>
      <c r="B785" s="11" t="str">
        <f>ETLMetadata!$E785</f>
        <v>ERROR_COUNT</v>
      </c>
      <c r="C785" s="11" t="str">
        <f>IF(ISBLANK(ETLMetadata!$J785), "", ETLMetadata!$J785)</f>
        <v/>
      </c>
      <c r="D785" s="11" t="str">
        <f>ETLMetadata!$G785</f>
        <v>SMALLINT</v>
      </c>
      <c r="E785" s="12"/>
      <c r="F785" s="12"/>
      <c r="G785" s="12" t="str">
        <f t="shared" si="24"/>
        <v/>
      </c>
      <c r="H785" s="12"/>
      <c r="I785" s="12"/>
      <c r="J785" s="13">
        <v>45952</v>
      </c>
      <c r="K785" s="13">
        <v>2958465</v>
      </c>
      <c r="L785" s="11" t="str">
        <f t="shared" si="25"/>
        <v>INSERT INTO metadata_reference.file_schema VALUES('DETM_DETIS_GPDS','ERROR_COUNT',NULL,'SMALLINT',NULL,NULL,NULL,NULL,'2025-10-22','9999-12-31',USER, CURRENT_TIMESTAMP(0));</v>
      </c>
    </row>
    <row r="786" spans="1:12" ht="15" customHeight="1">
      <c r="A786" s="11" t="str">
        <f>ETLMetadata!$C786</f>
        <v>DETM_DETIS_GPDS</v>
      </c>
      <c r="B786" s="11" t="str">
        <f>ETLMetadata!$E786</f>
        <v>Start_Date</v>
      </c>
      <c r="C786" s="11" t="str">
        <f>IF(ISBLANK(ETLMetadata!$J786), "", ETLMetadata!$J786)</f>
        <v/>
      </c>
      <c r="D786" s="11" t="str">
        <f>ETLMetadata!$G786</f>
        <v>DATE</v>
      </c>
      <c r="E786" s="12"/>
      <c r="F786" s="12"/>
      <c r="G786" s="12" t="str">
        <f t="shared" si="24"/>
        <v/>
      </c>
      <c r="H786" s="12"/>
      <c r="I786" s="12"/>
      <c r="J786" s="13">
        <v>45952</v>
      </c>
      <c r="K786" s="13">
        <v>2958465</v>
      </c>
      <c r="L786" s="11" t="str">
        <f t="shared" si="25"/>
        <v>INSERT INTO metadata_reference.file_schema VALUES('DETM_DETIS_GPDS','Start_Date',NULL,'DATE',NULL,NULL,NULL,NULL,'2025-10-22','9999-12-31',USER, CURRENT_TIMESTAMP(0));</v>
      </c>
    </row>
    <row r="787" spans="1:12" ht="15" customHeight="1">
      <c r="A787" s="11" t="str">
        <f>ETLMetadata!$C787</f>
        <v>DETM_DETIS_GPDS</v>
      </c>
      <c r="B787" s="11" t="str">
        <f>ETLMetadata!$E787</f>
        <v>End_Date</v>
      </c>
      <c r="C787" s="11" t="str">
        <f>IF(ISBLANK(ETLMetadata!$J787), "", ETLMetadata!$J787)</f>
        <v/>
      </c>
      <c r="D787" s="11" t="str">
        <f>ETLMetadata!$G787</f>
        <v>DATE</v>
      </c>
      <c r="E787" s="12"/>
      <c r="F787" s="12"/>
      <c r="G787" s="12" t="str">
        <f t="shared" si="24"/>
        <v/>
      </c>
      <c r="H787" s="12"/>
      <c r="I787" s="12"/>
      <c r="J787" s="13">
        <v>45952</v>
      </c>
      <c r="K787" s="13">
        <v>2958465</v>
      </c>
      <c r="L787" s="11" t="str">
        <f t="shared" si="25"/>
        <v>INSERT INTO metadata_reference.file_schema VALUES('DETM_DETIS_GPDS','End_Date',NULL,'DATE',NULL,NULL,NULL,NULL,'2025-10-22','9999-12-31',USER, CURRENT_TIMESTAMP(0));</v>
      </c>
    </row>
    <row r="788" spans="1:12" ht="15" customHeight="1">
      <c r="A788" s="11" t="str">
        <f>ETLMetadata!$C788</f>
        <v>DETM_DETIS_GPDS</v>
      </c>
      <c r="B788" s="11" t="str">
        <f>ETLMetadata!$E788</f>
        <v>Record_Deleted_Flag</v>
      </c>
      <c r="C788" s="11" t="str">
        <f>IF(ISBLANK(ETLMetadata!$J788), "", ETLMetadata!$J788)</f>
        <v/>
      </c>
      <c r="D788" s="11" t="str">
        <f>ETLMetadata!$G788</f>
        <v>BYTEINT</v>
      </c>
      <c r="E788" s="12"/>
      <c r="F788" s="12"/>
      <c r="G788" s="12" t="str">
        <f t="shared" si="24"/>
        <v/>
      </c>
      <c r="H788" s="12"/>
      <c r="I788" s="12"/>
      <c r="J788" s="13">
        <v>45952</v>
      </c>
      <c r="K788" s="13">
        <v>2958465</v>
      </c>
      <c r="L788" s="11" t="str">
        <f t="shared" si="25"/>
        <v>INSERT INTO metadata_reference.file_schema VALUES('DETM_DETIS_GPDS','Record_Deleted_Flag',NULL,'BYTEINT',NULL,NULL,NULL,NULL,'2025-10-22','9999-12-31',USER, CURRENT_TIMESTAMP(0));</v>
      </c>
    </row>
    <row r="789" spans="1:12" ht="15" customHeight="1">
      <c r="A789" s="11" t="str">
        <f>ETLMetadata!$C789</f>
        <v>DETM_DETIS_HDDS</v>
      </c>
      <c r="B789" s="11" t="str">
        <f>ETLMetadata!$E789</f>
        <v>EXTRACT_DATE</v>
      </c>
      <c r="C789" s="11" t="str">
        <f>IF(ISBLANK(ETLMetadata!$J789), "", ETLMetadata!$J789)</f>
        <v/>
      </c>
      <c r="D789" s="11" t="str">
        <f>ETLMetadata!$G789</f>
        <v>DATE</v>
      </c>
      <c r="E789" s="12"/>
      <c r="F789" s="12"/>
      <c r="G789" s="12" t="str">
        <f t="shared" si="24"/>
        <v/>
      </c>
      <c r="H789" s="12"/>
      <c r="I789" s="12"/>
      <c r="J789" s="13">
        <v>45952</v>
      </c>
      <c r="K789" s="13">
        <v>2958465</v>
      </c>
      <c r="L789" s="11" t="str">
        <f t="shared" si="25"/>
        <v>INSERT INTO metadata_reference.file_schema VALUES('DETM_DETIS_HDDS','EXTRACT_DATE',NULL,'DATE',NULL,NULL,NULL,NULL,'2025-10-22','9999-12-31',USER, CURRENT_TIMESTAMP(0));</v>
      </c>
    </row>
    <row r="790" spans="1:12" ht="15" customHeight="1">
      <c r="A790" s="11" t="str">
        <f>ETLMetadata!$C790</f>
        <v>DETM_DETIS_HDDS</v>
      </c>
      <c r="B790" s="11" t="str">
        <f>ETLMetadata!$E790</f>
        <v>LOGICAL_DELETE_DATE</v>
      </c>
      <c r="C790" s="11" t="str">
        <f>IF(ISBLANK(ETLMetadata!$J790), "", ETLMetadata!$J790)</f>
        <v/>
      </c>
      <c r="D790" s="11" t="str">
        <f>ETLMetadata!$G790</f>
        <v>DATE</v>
      </c>
      <c r="E790" s="12"/>
      <c r="F790" s="12"/>
      <c r="G790" s="12" t="str">
        <f t="shared" si="24"/>
        <v/>
      </c>
      <c r="H790" s="12"/>
      <c r="I790" s="12"/>
      <c r="J790" s="13">
        <v>45952</v>
      </c>
      <c r="K790" s="13">
        <v>2958465</v>
      </c>
      <c r="L790" s="11" t="str">
        <f t="shared" si="25"/>
        <v>INSERT INTO metadata_reference.file_schema VALUES('DETM_DETIS_HDDS','LOGICAL_DELETE_DATE',NULL,'DATE',NULL,NULL,NULL,NULL,'2025-10-22','9999-12-31',USER, CURRENT_TIMESTAMP(0));</v>
      </c>
    </row>
    <row r="791" spans="1:12" ht="15" customHeight="1">
      <c r="A791" s="11" t="str">
        <f>ETLMetadata!$C791</f>
        <v>DETM_DETIS_HDDS</v>
      </c>
      <c r="B791" s="11" t="str">
        <f>ETLMetadata!$E791</f>
        <v>ENVIRONMENT_ID</v>
      </c>
      <c r="C791" s="11" t="str">
        <f>IF(ISBLANK(ETLMetadata!$J791), "", ETLMetadata!$J791)</f>
        <v>Y</v>
      </c>
      <c r="D791" s="11" t="str">
        <f>ETLMetadata!$G791</f>
        <v>CHAR(1)</v>
      </c>
      <c r="E791" s="12"/>
      <c r="F791" s="12"/>
      <c r="G791" s="12" t="str">
        <f t="shared" si="24"/>
        <v/>
      </c>
      <c r="H791" s="12"/>
      <c r="I791" s="12"/>
      <c r="J791" s="13">
        <v>45952</v>
      </c>
      <c r="K791" s="13">
        <v>2958465</v>
      </c>
      <c r="L791" s="11" t="str">
        <f t="shared" si="25"/>
        <v>INSERT INTO metadata_reference.file_schema VALUES('DETM_DETIS_HDDS','ENVIRONMENT_ID','Y','CHAR(1)',NULL,NULL,NULL,NULL,'2025-10-22','9999-12-31',USER, CURRENT_TIMESTAMP(0));</v>
      </c>
    </row>
    <row r="792" spans="1:12" ht="15" customHeight="1">
      <c r="A792" s="11" t="str">
        <f>ETLMetadata!$C792</f>
        <v>DETM_DETIS_HDDS</v>
      </c>
      <c r="B792" s="11" t="str">
        <f>ETLMetadata!$E792</f>
        <v>PERSON_ID</v>
      </c>
      <c r="C792" s="11" t="str">
        <f>IF(ISBLANK(ETLMetadata!$J792), "", ETLMetadata!$J792)</f>
        <v>Y</v>
      </c>
      <c r="D792" s="11" t="str">
        <f>ETLMetadata!$G792</f>
        <v>INTEGER</v>
      </c>
      <c r="E792" s="12"/>
      <c r="F792" s="12" t="s">
        <v>799</v>
      </c>
      <c r="G792" s="12" t="str">
        <f t="shared" si="24"/>
        <v>PERSONAL_IDENTITYINFOINDIRECT</v>
      </c>
      <c r="H792" s="12"/>
      <c r="I792" s="12"/>
      <c r="J792" s="13">
        <v>45952</v>
      </c>
      <c r="K792" s="13">
        <v>2958465</v>
      </c>
      <c r="L792" s="11" t="str">
        <f t="shared" si="25"/>
        <v>INSERT INTO metadata_reference.file_schema VALUES('DETM_DETIS_HDDS','PERSON_ID','Y','INTEGER',NULL,'PERSONAL_IDENTITYINFOINDIRECT',NULL,NULL,'2025-10-22','9999-12-31',USER, CURRENT_TIMESTAMP(0));</v>
      </c>
    </row>
    <row r="793" spans="1:12" ht="15" customHeight="1">
      <c r="A793" s="11" t="str">
        <f>ETLMetadata!$C793</f>
        <v>DETM_DETIS_HDDS</v>
      </c>
      <c r="B793" s="11" t="str">
        <f>ETLMetadata!$E793</f>
        <v>HDDS_DOE</v>
      </c>
      <c r="C793" s="11" t="str">
        <f>IF(ISBLANK(ETLMetadata!$J793), "", ETLMetadata!$J793)</f>
        <v/>
      </c>
      <c r="D793" s="11" t="str">
        <f>ETLMetadata!$G793</f>
        <v>DATE</v>
      </c>
      <c r="E793" s="12"/>
      <c r="F793" s="12"/>
      <c r="G793" s="12" t="str">
        <f t="shared" si="24"/>
        <v/>
      </c>
      <c r="H793" s="12"/>
      <c r="I793" s="12"/>
      <c r="J793" s="13">
        <v>45952</v>
      </c>
      <c r="K793" s="13">
        <v>2958465</v>
      </c>
      <c r="L793" s="11" t="str">
        <f t="shared" si="25"/>
        <v>INSERT INTO metadata_reference.file_schema VALUES('DETM_DETIS_HDDS','HDDS_DOE',NULL,'DATE',NULL,NULL,NULL,NULL,'2025-10-22','9999-12-31',USER, CURRENT_TIMESTAMP(0));</v>
      </c>
    </row>
    <row r="794" spans="1:12" ht="15" customHeight="1">
      <c r="A794" s="11" t="str">
        <f>ETLMetadata!$C794</f>
        <v>DETM_DETIS_HDDS</v>
      </c>
      <c r="B794" s="11" t="str">
        <f>ETLMetadata!$E794</f>
        <v>HDDS_DOE_ORIG</v>
      </c>
      <c r="C794" s="11" t="str">
        <f>IF(ISBLANK(ETLMetadata!$J794), "", ETLMetadata!$J794)</f>
        <v/>
      </c>
      <c r="D794" s="11" t="str">
        <f>ETLMetadata!$G794</f>
        <v>INTEGER</v>
      </c>
      <c r="E794" s="12"/>
      <c r="F794" s="12"/>
      <c r="G794" s="12" t="str">
        <f t="shared" si="24"/>
        <v/>
      </c>
      <c r="H794" s="12"/>
      <c r="I794" s="12"/>
      <c r="J794" s="13">
        <v>45952</v>
      </c>
      <c r="K794" s="13">
        <v>2958465</v>
      </c>
      <c r="L794" s="11" t="str">
        <f t="shared" si="25"/>
        <v>INSERT INTO metadata_reference.file_schema VALUES('DETM_DETIS_HDDS','HDDS_DOE_ORIG',NULL,'INTEGER',NULL,NULL,NULL,NULL,'2025-10-22','9999-12-31',USER, CURRENT_TIMESTAMP(0));</v>
      </c>
    </row>
    <row r="795" spans="1:12" ht="15" customHeight="1">
      <c r="A795" s="11" t="str">
        <f>ETLMetadata!$C795</f>
        <v>DETM_DETIS_HDDS</v>
      </c>
      <c r="B795" s="11" t="str">
        <f>ETLMetadata!$E795</f>
        <v>PROCESSING_SEQUENCE</v>
      </c>
      <c r="C795" s="11" t="str">
        <f>IF(ISBLANK(ETLMetadata!$J795), "", ETLMetadata!$J795)</f>
        <v>Y</v>
      </c>
      <c r="D795" s="11" t="str">
        <f>ETLMetadata!$G795</f>
        <v>SMALLINT</v>
      </c>
      <c r="E795" s="12"/>
      <c r="F795" s="12"/>
      <c r="G795" s="12" t="str">
        <f t="shared" si="24"/>
        <v/>
      </c>
      <c r="H795" s="12"/>
      <c r="I795" s="12"/>
      <c r="J795" s="13">
        <v>45952</v>
      </c>
      <c r="K795" s="13">
        <v>2958465</v>
      </c>
      <c r="L795" s="11" t="str">
        <f t="shared" si="25"/>
        <v>INSERT INTO metadata_reference.file_schema VALUES('DETM_DETIS_HDDS','PROCESSING_SEQUENCE','Y','SMALLINT',NULL,NULL,NULL,NULL,'2025-10-22','9999-12-31',USER, CURRENT_TIMESTAMP(0));</v>
      </c>
    </row>
    <row r="796" spans="1:12" ht="15" customHeight="1">
      <c r="A796" s="11" t="str">
        <f>ETLMetadata!$C796</f>
        <v>DETM_DETIS_HDDS</v>
      </c>
      <c r="B796" s="11" t="str">
        <f>ETLMetadata!$E796</f>
        <v>HDDS_AMR_1</v>
      </c>
      <c r="C796" s="11" t="str">
        <f>IF(ISBLANK(ETLMetadata!$J796), "", ETLMetadata!$J796)</f>
        <v/>
      </c>
      <c r="D796" s="11" t="str">
        <f>ETLMetadata!$G796</f>
        <v>CHAR(4)</v>
      </c>
      <c r="E796" s="12"/>
      <c r="F796" s="12"/>
      <c r="G796" s="12" t="str">
        <f t="shared" si="24"/>
        <v/>
      </c>
      <c r="H796" s="12"/>
      <c r="I796" s="12"/>
      <c r="J796" s="13">
        <v>45952</v>
      </c>
      <c r="K796" s="13">
        <v>2958465</v>
      </c>
      <c r="L796" s="11" t="str">
        <f t="shared" si="25"/>
        <v>INSERT INTO metadata_reference.file_schema VALUES('DETM_DETIS_HDDS','HDDS_AMR_1',NULL,'CHAR(4)',NULL,NULL,NULL,NULL,'2025-10-22','9999-12-31',USER, CURRENT_TIMESTAMP(0));</v>
      </c>
    </row>
    <row r="797" spans="1:12" ht="15" customHeight="1">
      <c r="A797" s="11" t="str">
        <f>ETLMetadata!$C797</f>
        <v>DETM_DETIS_HDDS</v>
      </c>
      <c r="B797" s="11" t="str">
        <f>ETLMetadata!$E797</f>
        <v>HDDS_AMR_2</v>
      </c>
      <c r="C797" s="11" t="str">
        <f>IF(ISBLANK(ETLMetadata!$J797), "", ETLMetadata!$J797)</f>
        <v/>
      </c>
      <c r="D797" s="11" t="str">
        <f>ETLMetadata!$G797</f>
        <v>CHAR(1)</v>
      </c>
      <c r="E797" s="12"/>
      <c r="F797" s="12"/>
      <c r="G797" s="12" t="str">
        <f t="shared" si="24"/>
        <v/>
      </c>
      <c r="H797" s="12"/>
      <c r="I797" s="12"/>
      <c r="J797" s="13">
        <v>45952</v>
      </c>
      <c r="K797" s="13">
        <v>2958465</v>
      </c>
      <c r="L797" s="11" t="str">
        <f t="shared" si="25"/>
        <v>INSERT INTO metadata_reference.file_schema VALUES('DETM_DETIS_HDDS','HDDS_AMR_2',NULL,'CHAR(1)',NULL,NULL,NULL,NULL,'2025-10-22','9999-12-31',USER, CURRENT_TIMESTAMP(0));</v>
      </c>
    </row>
    <row r="798" spans="1:12" ht="15" customHeight="1">
      <c r="A798" s="11" t="str">
        <f>ETLMetadata!$C798</f>
        <v>DETM_DETIS_HDDS</v>
      </c>
      <c r="B798" s="11" t="str">
        <f>ETLMetadata!$E798</f>
        <v>HDDS_AMR_3</v>
      </c>
      <c r="C798" s="11" t="str">
        <f>IF(ISBLANK(ETLMetadata!$J798), "", ETLMetadata!$J798)</f>
        <v/>
      </c>
      <c r="D798" s="11" t="str">
        <f>ETLMetadata!$G798</f>
        <v>CHAR(4)</v>
      </c>
      <c r="E798" s="12"/>
      <c r="F798" s="12"/>
      <c r="G798" s="12" t="str">
        <f t="shared" si="24"/>
        <v/>
      </c>
      <c r="H798" s="12"/>
      <c r="I798" s="12"/>
      <c r="J798" s="13">
        <v>45952</v>
      </c>
      <c r="K798" s="13">
        <v>2958465</v>
      </c>
      <c r="L798" s="11" t="str">
        <f t="shared" si="25"/>
        <v>INSERT INTO metadata_reference.file_schema VALUES('DETM_DETIS_HDDS','HDDS_AMR_3',NULL,'CHAR(4)',NULL,NULL,NULL,NULL,'2025-10-22','9999-12-31',USER, CURRENT_TIMESTAMP(0));</v>
      </c>
    </row>
    <row r="799" spans="1:12" ht="15" customHeight="1">
      <c r="A799" s="11" t="str">
        <f>ETLMetadata!$C799</f>
        <v>DETM_DETIS_HDDS</v>
      </c>
      <c r="B799" s="11" t="str">
        <f>ETLMetadata!$E799</f>
        <v>HDDS_BEN_TYPE_CODE</v>
      </c>
      <c r="C799" s="11" t="str">
        <f>IF(ISBLANK(ETLMetadata!$J799), "", ETLMetadata!$J799)</f>
        <v/>
      </c>
      <c r="D799" s="11" t="str">
        <f>ETLMetadata!$G799</f>
        <v>CHAR(3)</v>
      </c>
      <c r="E799" s="12"/>
      <c r="F799" s="12"/>
      <c r="G799" s="12" t="str">
        <f t="shared" si="24"/>
        <v/>
      </c>
      <c r="H799" s="12"/>
      <c r="I799" s="12"/>
      <c r="J799" s="13">
        <v>45952</v>
      </c>
      <c r="K799" s="13">
        <v>2958465</v>
      </c>
      <c r="L799" s="11" t="str">
        <f t="shared" si="25"/>
        <v>INSERT INTO metadata_reference.file_schema VALUES('DETM_DETIS_HDDS','HDDS_BEN_TYPE_CODE',NULL,'CHAR(3)',NULL,NULL,NULL,NULL,'2025-10-22','9999-12-31',USER, CURRENT_TIMESTAMP(0));</v>
      </c>
    </row>
    <row r="800" spans="1:12" ht="15" customHeight="1">
      <c r="A800" s="11" t="str">
        <f>ETLMetadata!$C800</f>
        <v>DETM_DETIS_HDDS</v>
      </c>
      <c r="B800" s="11" t="str">
        <f>ETLMetadata!$E800</f>
        <v>HDDS_RSN_CODE</v>
      </c>
      <c r="C800" s="11" t="str">
        <f>IF(ISBLANK(ETLMetadata!$J800), "", ETLMetadata!$J800)</f>
        <v/>
      </c>
      <c r="D800" s="11" t="str">
        <f>ETLMetadata!$G800</f>
        <v>CHAR(3)</v>
      </c>
      <c r="E800" s="12"/>
      <c r="F800" s="12"/>
      <c r="G800" s="12" t="str">
        <f t="shared" si="24"/>
        <v/>
      </c>
      <c r="H800" s="12"/>
      <c r="I800" s="12"/>
      <c r="J800" s="13">
        <v>45952</v>
      </c>
      <c r="K800" s="13">
        <v>2958465</v>
      </c>
      <c r="L800" s="11" t="str">
        <f t="shared" si="25"/>
        <v>INSERT INTO metadata_reference.file_schema VALUES('DETM_DETIS_HDDS','HDDS_RSN_CODE',NULL,'CHAR(3)',NULL,NULL,NULL,NULL,'2025-10-22','9999-12-31',USER, CURRENT_TIMESTAMP(0));</v>
      </c>
    </row>
    <row r="801" spans="1:12" ht="15" customHeight="1">
      <c r="A801" s="11" t="str">
        <f>ETLMetadata!$C801</f>
        <v>DETM_DETIS_HDDS</v>
      </c>
      <c r="B801" s="11" t="str">
        <f>ETLMetadata!$E801</f>
        <v>HDDS_LMT_DATE</v>
      </c>
      <c r="C801" s="11" t="str">
        <f>IF(ISBLANK(ETLMetadata!$J801), "", ETLMetadata!$J801)</f>
        <v/>
      </c>
      <c r="D801" s="11" t="str">
        <f>ETLMetadata!$G801</f>
        <v>DATE</v>
      </c>
      <c r="E801" s="12"/>
      <c r="F801" s="12"/>
      <c r="G801" s="12" t="str">
        <f t="shared" si="24"/>
        <v/>
      </c>
      <c r="H801" s="12"/>
      <c r="I801" s="12"/>
      <c r="J801" s="13">
        <v>45952</v>
      </c>
      <c r="K801" s="13">
        <v>2958465</v>
      </c>
      <c r="L801" s="11" t="str">
        <f t="shared" si="25"/>
        <v>INSERT INTO metadata_reference.file_schema VALUES('DETM_DETIS_HDDS','HDDS_LMT_DATE',NULL,'DATE',NULL,NULL,NULL,NULL,'2025-10-22','9999-12-31',USER, CURRENT_TIMESTAMP(0));</v>
      </c>
    </row>
    <row r="802" spans="1:12" ht="15" customHeight="1">
      <c r="A802" s="11" t="str">
        <f>ETLMetadata!$C802</f>
        <v>DETM_DETIS_HDDS</v>
      </c>
      <c r="B802" s="11" t="str">
        <f>ETLMetadata!$E802</f>
        <v>HDDS_LMT_DATE_ORIG</v>
      </c>
      <c r="C802" s="11" t="str">
        <f>IF(ISBLANK(ETLMetadata!$J802), "", ETLMetadata!$J802)</f>
        <v/>
      </c>
      <c r="D802" s="11" t="str">
        <f>ETLMetadata!$G802</f>
        <v>INTEGER</v>
      </c>
      <c r="E802" s="12"/>
      <c r="F802" s="12"/>
      <c r="G802" s="12" t="str">
        <f t="shared" si="24"/>
        <v/>
      </c>
      <c r="H802" s="12"/>
      <c r="I802" s="12"/>
      <c r="J802" s="13">
        <v>45952</v>
      </c>
      <c r="K802" s="13">
        <v>2958465</v>
      </c>
      <c r="L802" s="11" t="str">
        <f t="shared" si="25"/>
        <v>INSERT INTO metadata_reference.file_schema VALUES('DETM_DETIS_HDDS','HDDS_LMT_DATE_ORIG',NULL,'INTEGER',NULL,NULL,NULL,NULL,'2025-10-22','9999-12-31',USER, CURRENT_TIMESTAMP(0));</v>
      </c>
    </row>
    <row r="803" spans="1:12" ht="15" customHeight="1">
      <c r="A803" s="11" t="str">
        <f>ETLMetadata!$C803</f>
        <v>DETM_DETIS_HDDS</v>
      </c>
      <c r="B803" s="11" t="str">
        <f>ETLMetadata!$E803</f>
        <v>HDDS_STS_CODE</v>
      </c>
      <c r="C803" s="11" t="str">
        <f>IF(ISBLANK(ETLMetadata!$J803), "", ETLMetadata!$J803)</f>
        <v/>
      </c>
      <c r="D803" s="11" t="str">
        <f>ETLMetadata!$G803</f>
        <v>CHAR(3)</v>
      </c>
      <c r="E803" s="12"/>
      <c r="F803" s="12"/>
      <c r="G803" s="12" t="str">
        <f t="shared" si="24"/>
        <v/>
      </c>
      <c r="H803" s="12"/>
      <c r="I803" s="12"/>
      <c r="J803" s="13">
        <v>45952</v>
      </c>
      <c r="K803" s="13">
        <v>2958465</v>
      </c>
      <c r="L803" s="11" t="str">
        <f t="shared" si="25"/>
        <v>INSERT INTO metadata_reference.file_schema VALUES('DETM_DETIS_HDDS','HDDS_STS_CODE',NULL,'CHAR(3)',NULL,NULL,NULL,NULL,'2025-10-22','9999-12-31',USER, CURRENT_TIMESTAMP(0));</v>
      </c>
    </row>
    <row r="804" spans="1:12" ht="15" customHeight="1">
      <c r="A804" s="11" t="str">
        <f>ETLMetadata!$C804</f>
        <v>DETM_DETIS_HDDS</v>
      </c>
      <c r="B804" s="11" t="str">
        <f>ETLMetadata!$E804</f>
        <v>AMR1_RISL_DTS</v>
      </c>
      <c r="C804" s="11" t="str">
        <f>IF(ISBLANK(ETLMetadata!$J804), "", ETLMetadata!$J804)</f>
        <v/>
      </c>
      <c r="D804" s="11" t="str">
        <f>ETLMetadata!$G804</f>
        <v>TIMESTAMP(6)</v>
      </c>
      <c r="E804" s="12"/>
      <c r="F804" s="12"/>
      <c r="G804" s="12" t="str">
        <f t="shared" si="24"/>
        <v/>
      </c>
      <c r="H804" s="12"/>
      <c r="I804" s="12"/>
      <c r="J804" s="13">
        <v>45952</v>
      </c>
      <c r="K804" s="13">
        <v>2958465</v>
      </c>
      <c r="L804" s="11" t="str">
        <f t="shared" si="25"/>
        <v>INSERT INTO metadata_reference.file_schema VALUES('DETM_DETIS_HDDS','AMR1_RISL_DTS',NULL,'TIMESTAMP(6)',NULL,NULL,NULL,NULL,'2025-10-22','9999-12-31',USER, CURRENT_TIMESTAMP(0));</v>
      </c>
    </row>
    <row r="805" spans="1:12" ht="15" customHeight="1">
      <c r="A805" s="11" t="str">
        <f>ETLMetadata!$C805</f>
        <v>DETM_DETIS_HDDS</v>
      </c>
      <c r="B805" s="11" t="str">
        <f>ETLMetadata!$E805</f>
        <v>AMR3_RISL_DTS</v>
      </c>
      <c r="C805" s="11" t="str">
        <f>IF(ISBLANK(ETLMetadata!$J805), "", ETLMetadata!$J805)</f>
        <v/>
      </c>
      <c r="D805" s="11" t="str">
        <f>ETLMetadata!$G805</f>
        <v>TIMESTAMP(6)</v>
      </c>
      <c r="E805" s="12"/>
      <c r="F805" s="12"/>
      <c r="G805" s="12" t="str">
        <f t="shared" si="24"/>
        <v/>
      </c>
      <c r="H805" s="12"/>
      <c r="I805" s="12"/>
      <c r="J805" s="13">
        <v>45952</v>
      </c>
      <c r="K805" s="13">
        <v>2958465</v>
      </c>
      <c r="L805" s="11" t="str">
        <f t="shared" si="25"/>
        <v>INSERT INTO metadata_reference.file_schema VALUES('DETM_DETIS_HDDS','AMR3_RISL_DTS',NULL,'TIMESTAMP(6)',NULL,NULL,NULL,NULL,'2025-10-22','9999-12-31',USER, CURRENT_TIMESTAMP(0));</v>
      </c>
    </row>
    <row r="806" spans="1:12" ht="15" customHeight="1">
      <c r="A806" s="11" t="str">
        <f>ETLMetadata!$C806</f>
        <v>DETM_DETIS_HDDS</v>
      </c>
      <c r="B806" s="11" t="str">
        <f>ETLMetadata!$E806</f>
        <v>PARTY_ROLE_ID</v>
      </c>
      <c r="C806" s="11" t="str">
        <f>IF(ISBLANK(ETLMetadata!$J806), "", ETLMetadata!$J806)</f>
        <v/>
      </c>
      <c r="D806" s="11" t="str">
        <f>ETLMetadata!$G806</f>
        <v>INTEGER</v>
      </c>
      <c r="E806" s="12"/>
      <c r="F806" s="12"/>
      <c r="G806" s="12" t="str">
        <f t="shared" si="24"/>
        <v/>
      </c>
      <c r="H806" s="12"/>
      <c r="I806" s="12"/>
      <c r="J806" s="13">
        <v>45952</v>
      </c>
      <c r="K806" s="13">
        <v>2958465</v>
      </c>
      <c r="L806" s="11" t="str">
        <f t="shared" si="25"/>
        <v>INSERT INTO metadata_reference.file_schema VALUES('DETM_DETIS_HDDS','PARTY_ROLE_ID',NULL,'INTEGER',NULL,NULL,NULL,NULL,'2025-10-22','9999-12-31',USER, CURRENT_TIMESTAMP(0));</v>
      </c>
    </row>
    <row r="807" spans="1:12" ht="15" customHeight="1">
      <c r="A807" s="11" t="str">
        <f>ETLMetadata!$C807</f>
        <v>DETM_DETIS_HDDS</v>
      </c>
      <c r="B807" s="11" t="str">
        <f>ETLMetadata!$E807</f>
        <v>EPISODE_ID</v>
      </c>
      <c r="C807" s="11" t="str">
        <f>IF(ISBLANK(ETLMetadata!$J807), "", ETLMetadata!$J807)</f>
        <v/>
      </c>
      <c r="D807" s="11" t="str">
        <f>ETLMetadata!$G807</f>
        <v>INTEGER</v>
      </c>
      <c r="E807" s="12"/>
      <c r="F807" s="12"/>
      <c r="G807" s="12" t="str">
        <f t="shared" si="24"/>
        <v/>
      </c>
      <c r="H807" s="12"/>
      <c r="I807" s="12"/>
      <c r="J807" s="13">
        <v>45952</v>
      </c>
      <c r="K807" s="13">
        <v>2958465</v>
      </c>
      <c r="L807" s="11" t="str">
        <f t="shared" si="25"/>
        <v>INSERT INTO metadata_reference.file_schema VALUES('DETM_DETIS_HDDS','EPISODE_ID',NULL,'INTEGER',NULL,NULL,NULL,NULL,'2025-10-22','9999-12-31',USER, CURRENT_TIMESTAMP(0));</v>
      </c>
    </row>
    <row r="808" spans="1:12" ht="15" customHeight="1">
      <c r="A808" s="11" t="str">
        <f>ETLMetadata!$C808</f>
        <v>DETM_DETIS_HDDS</v>
      </c>
      <c r="B808" s="11" t="str">
        <f>ETLMetadata!$E808</f>
        <v>PAYMENT_TYPE_ID</v>
      </c>
      <c r="C808" s="11" t="str">
        <f>IF(ISBLANK(ETLMetadata!$J808), "", ETLMetadata!$J808)</f>
        <v/>
      </c>
      <c r="D808" s="11" t="str">
        <f>ETLMetadata!$G808</f>
        <v>INTEGER</v>
      </c>
      <c r="E808" s="12"/>
      <c r="F808" s="12"/>
      <c r="G808" s="12" t="str">
        <f t="shared" si="24"/>
        <v/>
      </c>
      <c r="H808" s="12"/>
      <c r="I808" s="12"/>
      <c r="J808" s="13">
        <v>45952</v>
      </c>
      <c r="K808" s="13">
        <v>2958465</v>
      </c>
      <c r="L808" s="11" t="str">
        <f t="shared" si="25"/>
        <v>INSERT INTO metadata_reference.file_schema VALUES('DETM_DETIS_HDDS','PAYMENT_TYPE_ID',NULL,'INTEGER',NULL,NULL,NULL,NULL,'2025-10-22','9999-12-31',USER, CURRENT_TIMESTAMP(0));</v>
      </c>
    </row>
    <row r="809" spans="1:12" ht="15" customHeight="1">
      <c r="A809" s="11" t="str">
        <f>ETLMetadata!$C809</f>
        <v>DETM_DETIS_HDDS</v>
      </c>
      <c r="B809" s="11" t="str">
        <f>ETLMetadata!$E809</f>
        <v>ERROR_COUNT</v>
      </c>
      <c r="C809" s="11" t="str">
        <f>IF(ISBLANK(ETLMetadata!$J809), "", ETLMetadata!$J809)</f>
        <v/>
      </c>
      <c r="D809" s="11" t="str">
        <f>ETLMetadata!$G809</f>
        <v>SMALLINT</v>
      </c>
      <c r="E809" s="12"/>
      <c r="F809" s="12"/>
      <c r="G809" s="12" t="str">
        <f t="shared" si="24"/>
        <v/>
      </c>
      <c r="H809" s="12"/>
      <c r="I809" s="12"/>
      <c r="J809" s="13">
        <v>45952</v>
      </c>
      <c r="K809" s="13">
        <v>2958465</v>
      </c>
      <c r="L809" s="11" t="str">
        <f t="shared" si="25"/>
        <v>INSERT INTO metadata_reference.file_schema VALUES('DETM_DETIS_HDDS','ERROR_COUNT',NULL,'SMALLINT',NULL,NULL,NULL,NULL,'2025-10-22','9999-12-31',USER, CURRENT_TIMESTAMP(0));</v>
      </c>
    </row>
    <row r="810" spans="1:12" ht="15" customHeight="1">
      <c r="A810" s="11" t="str">
        <f>ETLMetadata!$C810</f>
        <v>DETM_DETIS_HDDS</v>
      </c>
      <c r="B810" s="11" t="str">
        <f>ETLMetadata!$E810</f>
        <v>Start_Date</v>
      </c>
      <c r="C810" s="11" t="str">
        <f>IF(ISBLANK(ETLMetadata!$J810), "", ETLMetadata!$J810)</f>
        <v/>
      </c>
      <c r="D810" s="11" t="str">
        <f>ETLMetadata!$G810</f>
        <v>DATE</v>
      </c>
      <c r="E810" s="12"/>
      <c r="F810" s="12"/>
      <c r="G810" s="12" t="str">
        <f t="shared" si="24"/>
        <v/>
      </c>
      <c r="H810" s="12"/>
      <c r="I810" s="12"/>
      <c r="J810" s="13">
        <v>45952</v>
      </c>
      <c r="K810" s="13">
        <v>2958465</v>
      </c>
      <c r="L810" s="11" t="str">
        <f t="shared" si="25"/>
        <v>INSERT INTO metadata_reference.file_schema VALUES('DETM_DETIS_HDDS','Start_Date',NULL,'DATE',NULL,NULL,NULL,NULL,'2025-10-22','9999-12-31',USER, CURRENT_TIMESTAMP(0));</v>
      </c>
    </row>
    <row r="811" spans="1:12" ht="15" customHeight="1">
      <c r="A811" s="11" t="str">
        <f>ETLMetadata!$C811</f>
        <v>DETM_DETIS_HDDS</v>
      </c>
      <c r="B811" s="11" t="str">
        <f>ETLMetadata!$E811</f>
        <v>End_Date</v>
      </c>
      <c r="C811" s="11" t="str">
        <f>IF(ISBLANK(ETLMetadata!$J811), "", ETLMetadata!$J811)</f>
        <v/>
      </c>
      <c r="D811" s="11" t="str">
        <f>ETLMetadata!$G811</f>
        <v>DATE</v>
      </c>
      <c r="E811" s="12"/>
      <c r="F811" s="12"/>
      <c r="G811" s="12" t="str">
        <f t="shared" si="24"/>
        <v/>
      </c>
      <c r="H811" s="12"/>
      <c r="I811" s="12"/>
      <c r="J811" s="13">
        <v>45952</v>
      </c>
      <c r="K811" s="13">
        <v>2958465</v>
      </c>
      <c r="L811" s="11" t="str">
        <f t="shared" si="25"/>
        <v>INSERT INTO metadata_reference.file_schema VALUES('DETM_DETIS_HDDS','End_Date',NULL,'DATE',NULL,NULL,NULL,NULL,'2025-10-22','9999-12-31',USER, CURRENT_TIMESTAMP(0));</v>
      </c>
    </row>
    <row r="812" spans="1:12" ht="15" customHeight="1">
      <c r="A812" s="11" t="str">
        <f>ETLMetadata!$C812</f>
        <v>DETM_DETIS_HDDS</v>
      </c>
      <c r="B812" s="11" t="str">
        <f>ETLMetadata!$E812</f>
        <v>Record_Deleted_Flag</v>
      </c>
      <c r="C812" s="11" t="str">
        <f>IF(ISBLANK(ETLMetadata!$J812), "", ETLMetadata!$J812)</f>
        <v/>
      </c>
      <c r="D812" s="11" t="str">
        <f>ETLMetadata!$G812</f>
        <v>BYTEINT</v>
      </c>
      <c r="E812" s="12"/>
      <c r="F812" s="12"/>
      <c r="G812" s="12" t="str">
        <f t="shared" si="24"/>
        <v/>
      </c>
      <c r="H812" s="12"/>
      <c r="I812" s="12"/>
      <c r="J812" s="13">
        <v>45952</v>
      </c>
      <c r="K812" s="13">
        <v>2958465</v>
      </c>
      <c r="L812" s="11" t="str">
        <f t="shared" si="25"/>
        <v>INSERT INTO metadata_reference.file_schema VALUES('DETM_DETIS_HDDS','Record_Deleted_Flag',NULL,'BYTEINT',NULL,NULL,NULL,NULL,'2025-10-22','9999-12-31',USER, CURRENT_TIMESTAMP(0));</v>
      </c>
    </row>
    <row r="813" spans="1:12" ht="15" customHeight="1">
      <c r="A813" s="11" t="str">
        <f>ETLMetadata!$C813</f>
        <v>DETM_DETIS_JCDS</v>
      </c>
      <c r="B813" s="11" t="str">
        <f>ETLMetadata!$E813</f>
        <v>EXTRACT_DATE</v>
      </c>
      <c r="C813" s="11" t="str">
        <f>IF(ISBLANK(ETLMetadata!$J813), "", ETLMetadata!$J813)</f>
        <v/>
      </c>
      <c r="D813" s="11" t="str">
        <f>ETLMetadata!$G813</f>
        <v>DATE</v>
      </c>
      <c r="E813" s="12"/>
      <c r="F813" s="12"/>
      <c r="G813" s="12" t="str">
        <f t="shared" si="24"/>
        <v/>
      </c>
      <c r="H813" s="12"/>
      <c r="I813" s="12"/>
      <c r="J813" s="13">
        <v>45952</v>
      </c>
      <c r="K813" s="13">
        <v>2958465</v>
      </c>
      <c r="L813" s="11" t="str">
        <f t="shared" si="25"/>
        <v>INSERT INTO metadata_reference.file_schema VALUES('DETM_DETIS_JCDS','EXTRACT_DATE',NULL,'DATE',NULL,NULL,NULL,NULL,'2025-10-22','9999-12-31',USER, CURRENT_TIMESTAMP(0));</v>
      </c>
    </row>
    <row r="814" spans="1:12" ht="15" customHeight="1">
      <c r="A814" s="11" t="str">
        <f>ETLMetadata!$C814</f>
        <v>DETM_DETIS_JCDS</v>
      </c>
      <c r="B814" s="11" t="str">
        <f>ETLMetadata!$E814</f>
        <v>LOGICAL_DELETE_DATE</v>
      </c>
      <c r="C814" s="11" t="str">
        <f>IF(ISBLANK(ETLMetadata!$J814), "", ETLMetadata!$J814)</f>
        <v/>
      </c>
      <c r="D814" s="11" t="str">
        <f>ETLMetadata!$G814</f>
        <v>DATE</v>
      </c>
      <c r="E814" s="12"/>
      <c r="F814" s="12"/>
      <c r="G814" s="12" t="str">
        <f t="shared" si="24"/>
        <v/>
      </c>
      <c r="H814" s="12"/>
      <c r="I814" s="12"/>
      <c r="J814" s="13">
        <v>45952</v>
      </c>
      <c r="K814" s="13">
        <v>2958465</v>
      </c>
      <c r="L814" s="11" t="str">
        <f t="shared" si="25"/>
        <v>INSERT INTO metadata_reference.file_schema VALUES('DETM_DETIS_JCDS','LOGICAL_DELETE_DATE',NULL,'DATE',NULL,NULL,NULL,NULL,'2025-10-22','9999-12-31',USER, CURRENT_TIMESTAMP(0));</v>
      </c>
    </row>
    <row r="815" spans="1:12" ht="15" customHeight="1">
      <c r="A815" s="11" t="str">
        <f>ETLMetadata!$C815</f>
        <v>DETM_DETIS_JCDS</v>
      </c>
      <c r="B815" s="11" t="str">
        <f>ETLMetadata!$E815</f>
        <v>ENVIRONMENT_ID</v>
      </c>
      <c r="C815" s="11" t="str">
        <f>IF(ISBLANK(ETLMetadata!$J815), "", ETLMetadata!$J815)</f>
        <v>Y</v>
      </c>
      <c r="D815" s="11" t="str">
        <f>ETLMetadata!$G815</f>
        <v>CHAR(1)</v>
      </c>
      <c r="E815" s="12"/>
      <c r="F815" s="12"/>
      <c r="G815" s="12" t="str">
        <f t="shared" si="24"/>
        <v/>
      </c>
      <c r="H815" s="12"/>
      <c r="I815" s="12"/>
      <c r="J815" s="13">
        <v>45952</v>
      </c>
      <c r="K815" s="13">
        <v>2958465</v>
      </c>
      <c r="L815" s="11" t="str">
        <f t="shared" si="25"/>
        <v>INSERT INTO metadata_reference.file_schema VALUES('DETM_DETIS_JCDS','ENVIRONMENT_ID','Y','CHAR(1)',NULL,NULL,NULL,NULL,'2025-10-22','9999-12-31',USER, CURRENT_TIMESTAMP(0));</v>
      </c>
    </row>
    <row r="816" spans="1:12" ht="15" customHeight="1">
      <c r="A816" s="11" t="str">
        <f>ETLMetadata!$C816</f>
        <v>DETM_DETIS_JCDS</v>
      </c>
      <c r="B816" s="11" t="str">
        <f>ETLMetadata!$E816</f>
        <v>PERSON_ID</v>
      </c>
      <c r="C816" s="11" t="str">
        <f>IF(ISBLANK(ETLMetadata!$J816), "", ETLMetadata!$J816)</f>
        <v>Y</v>
      </c>
      <c r="D816" s="11" t="str">
        <f>ETLMetadata!$G816</f>
        <v>INTEGER</v>
      </c>
      <c r="E816" s="12"/>
      <c r="F816" s="12" t="s">
        <v>799</v>
      </c>
      <c r="G816" s="12" t="str">
        <f t="shared" si="24"/>
        <v>PERSONAL_IDENTITYINFOINDIRECT</v>
      </c>
      <c r="H816" s="12"/>
      <c r="I816" s="12"/>
      <c r="J816" s="13">
        <v>45952</v>
      </c>
      <c r="K816" s="13">
        <v>2958465</v>
      </c>
      <c r="L816" s="11" t="str">
        <f t="shared" si="25"/>
        <v>INSERT INTO metadata_reference.file_schema VALUES('DETM_DETIS_JCDS','PERSON_ID','Y','INTEGER',NULL,'PERSONAL_IDENTITYINFOINDIRECT',NULL,NULL,'2025-10-22','9999-12-31',USER, CURRENT_TIMESTAMP(0));</v>
      </c>
    </row>
    <row r="817" spans="1:12" ht="15" customHeight="1">
      <c r="A817" s="11" t="str">
        <f>ETLMetadata!$C817</f>
        <v>DETM_DETIS_JCDS</v>
      </c>
      <c r="B817" s="11" t="str">
        <f>ETLMetadata!$E817</f>
        <v>JCDS_DOE</v>
      </c>
      <c r="C817" s="11" t="str">
        <f>IF(ISBLANK(ETLMetadata!$J817), "", ETLMetadata!$J817)</f>
        <v/>
      </c>
      <c r="D817" s="11" t="str">
        <f>ETLMetadata!$G817</f>
        <v>DATE</v>
      </c>
      <c r="E817" s="12"/>
      <c r="F817" s="12"/>
      <c r="G817" s="12" t="str">
        <f t="shared" si="24"/>
        <v/>
      </c>
      <c r="H817" s="12"/>
      <c r="I817" s="12"/>
      <c r="J817" s="13">
        <v>45952</v>
      </c>
      <c r="K817" s="13">
        <v>2958465</v>
      </c>
      <c r="L817" s="11" t="str">
        <f t="shared" si="25"/>
        <v>INSERT INTO metadata_reference.file_schema VALUES('DETM_DETIS_JCDS','JCDS_DOE',NULL,'DATE',NULL,NULL,NULL,NULL,'2025-10-22','9999-12-31',USER, CURRENT_TIMESTAMP(0));</v>
      </c>
    </row>
    <row r="818" spans="1:12" ht="15" customHeight="1">
      <c r="A818" s="11" t="str">
        <f>ETLMetadata!$C818</f>
        <v>DETM_DETIS_JCDS</v>
      </c>
      <c r="B818" s="11" t="str">
        <f>ETLMetadata!$E818</f>
        <v>JCDS_DOE_ORIG</v>
      </c>
      <c r="C818" s="11" t="str">
        <f>IF(ISBLANK(ETLMetadata!$J818), "", ETLMetadata!$J818)</f>
        <v/>
      </c>
      <c r="D818" s="11" t="str">
        <f>ETLMetadata!$G818</f>
        <v>INTEGER</v>
      </c>
      <c r="E818" s="12"/>
      <c r="F818" s="12"/>
      <c r="G818" s="12" t="str">
        <f t="shared" si="24"/>
        <v/>
      </c>
      <c r="H818" s="12"/>
      <c r="I818" s="12"/>
      <c r="J818" s="13">
        <v>45952</v>
      </c>
      <c r="K818" s="13">
        <v>2958465</v>
      </c>
      <c r="L818" s="11" t="str">
        <f t="shared" si="25"/>
        <v>INSERT INTO metadata_reference.file_schema VALUES('DETM_DETIS_JCDS','JCDS_DOE_ORIG',NULL,'INTEGER',NULL,NULL,NULL,NULL,'2025-10-22','9999-12-31',USER, CURRENT_TIMESTAMP(0));</v>
      </c>
    </row>
    <row r="819" spans="1:12" ht="15" customHeight="1">
      <c r="A819" s="11" t="str">
        <f>ETLMetadata!$C819</f>
        <v>DETM_DETIS_JCDS</v>
      </c>
      <c r="B819" s="11" t="str">
        <f>ETLMetadata!$E819</f>
        <v>PROCESSING_SEQUENCE</v>
      </c>
      <c r="C819" s="11" t="str">
        <f>IF(ISBLANK(ETLMetadata!$J819), "", ETLMetadata!$J819)</f>
        <v>Y</v>
      </c>
      <c r="D819" s="11" t="str">
        <f>ETLMetadata!$G819</f>
        <v>SMALLINT</v>
      </c>
      <c r="E819" s="12"/>
      <c r="F819" s="12"/>
      <c r="G819" s="12" t="str">
        <f t="shared" si="24"/>
        <v/>
      </c>
      <c r="H819" s="12"/>
      <c r="I819" s="12"/>
      <c r="J819" s="13">
        <v>45952</v>
      </c>
      <c r="K819" s="13">
        <v>2958465</v>
      </c>
      <c r="L819" s="11" t="str">
        <f t="shared" si="25"/>
        <v>INSERT INTO metadata_reference.file_schema VALUES('DETM_DETIS_JCDS','PROCESSING_SEQUENCE','Y','SMALLINT',NULL,NULL,NULL,NULL,'2025-10-22','9999-12-31',USER, CURRENT_TIMESTAMP(0));</v>
      </c>
    </row>
    <row r="820" spans="1:12" ht="15" customHeight="1">
      <c r="A820" s="11" t="str">
        <f>ETLMetadata!$C820</f>
        <v>DETM_DETIS_JCDS</v>
      </c>
      <c r="B820" s="11" t="str">
        <f>ETLMetadata!$E820</f>
        <v>JCDS_AMR_1</v>
      </c>
      <c r="C820" s="11" t="str">
        <f>IF(ISBLANK(ETLMetadata!$J820), "", ETLMetadata!$J820)</f>
        <v/>
      </c>
      <c r="D820" s="11" t="str">
        <f>ETLMetadata!$G820</f>
        <v>CHAR(4)</v>
      </c>
      <c r="E820" s="12"/>
      <c r="F820" s="12"/>
      <c r="G820" s="12" t="str">
        <f t="shared" si="24"/>
        <v/>
      </c>
      <c r="H820" s="12"/>
      <c r="I820" s="12"/>
      <c r="J820" s="13">
        <v>45952</v>
      </c>
      <c r="K820" s="13">
        <v>2958465</v>
      </c>
      <c r="L820" s="11" t="str">
        <f t="shared" si="25"/>
        <v>INSERT INTO metadata_reference.file_schema VALUES('DETM_DETIS_JCDS','JCDS_AMR_1',NULL,'CHAR(4)',NULL,NULL,NULL,NULL,'2025-10-22','9999-12-31',USER, CURRENT_TIMESTAMP(0));</v>
      </c>
    </row>
    <row r="821" spans="1:12" ht="15" customHeight="1">
      <c r="A821" s="11" t="str">
        <f>ETLMetadata!$C821</f>
        <v>DETM_DETIS_JCDS</v>
      </c>
      <c r="B821" s="11" t="str">
        <f>ETLMetadata!$E821</f>
        <v>JCDS_AMR_2</v>
      </c>
      <c r="C821" s="11" t="str">
        <f>IF(ISBLANK(ETLMetadata!$J821), "", ETLMetadata!$J821)</f>
        <v/>
      </c>
      <c r="D821" s="11" t="str">
        <f>ETLMetadata!$G821</f>
        <v>CHAR(1)</v>
      </c>
      <c r="E821" s="12"/>
      <c r="F821" s="12"/>
      <c r="G821" s="12" t="str">
        <f t="shared" si="24"/>
        <v/>
      </c>
      <c r="H821" s="12"/>
      <c r="I821" s="12"/>
      <c r="J821" s="13">
        <v>45952</v>
      </c>
      <c r="K821" s="13">
        <v>2958465</v>
      </c>
      <c r="L821" s="11" t="str">
        <f t="shared" si="25"/>
        <v>INSERT INTO metadata_reference.file_schema VALUES('DETM_DETIS_JCDS','JCDS_AMR_2',NULL,'CHAR(1)',NULL,NULL,NULL,NULL,'2025-10-22','9999-12-31',USER, CURRENT_TIMESTAMP(0));</v>
      </c>
    </row>
    <row r="822" spans="1:12" ht="15" customHeight="1">
      <c r="A822" s="11" t="str">
        <f>ETLMetadata!$C822</f>
        <v>DETM_DETIS_JCDS</v>
      </c>
      <c r="B822" s="11" t="str">
        <f>ETLMetadata!$E822</f>
        <v>JCDS_AMR_3</v>
      </c>
      <c r="C822" s="11" t="str">
        <f>IF(ISBLANK(ETLMetadata!$J822), "", ETLMetadata!$J822)</f>
        <v/>
      </c>
      <c r="D822" s="11" t="str">
        <f>ETLMetadata!$G822</f>
        <v>CHAR(4)</v>
      </c>
      <c r="E822" s="12"/>
      <c r="F822" s="12"/>
      <c r="G822" s="12" t="str">
        <f t="shared" si="24"/>
        <v/>
      </c>
      <c r="H822" s="12"/>
      <c r="I822" s="12"/>
      <c r="J822" s="13">
        <v>45952</v>
      </c>
      <c r="K822" s="13">
        <v>2958465</v>
      </c>
      <c r="L822" s="11" t="str">
        <f t="shared" si="25"/>
        <v>INSERT INTO metadata_reference.file_schema VALUES('DETM_DETIS_JCDS','JCDS_AMR_3',NULL,'CHAR(4)',NULL,NULL,NULL,NULL,'2025-10-22','9999-12-31',USER, CURRENT_TIMESTAMP(0));</v>
      </c>
    </row>
    <row r="823" spans="1:12" ht="15" customHeight="1">
      <c r="A823" s="11" t="str">
        <f>ETLMetadata!$C823</f>
        <v>DETM_DETIS_JCDS</v>
      </c>
      <c r="B823" s="11" t="str">
        <f>ETLMetadata!$E823</f>
        <v>JCDS_BEN_TYPE_CODE</v>
      </c>
      <c r="C823" s="11" t="str">
        <f>IF(ISBLANK(ETLMetadata!$J823), "", ETLMetadata!$J823)</f>
        <v/>
      </c>
      <c r="D823" s="11" t="str">
        <f>ETLMetadata!$G823</f>
        <v>CHAR(3)</v>
      </c>
      <c r="E823" s="12"/>
      <c r="F823" s="12"/>
      <c r="G823" s="12" t="str">
        <f t="shared" si="24"/>
        <v/>
      </c>
      <c r="H823" s="12"/>
      <c r="I823" s="12"/>
      <c r="J823" s="13">
        <v>45952</v>
      </c>
      <c r="K823" s="13">
        <v>2958465</v>
      </c>
      <c r="L823" s="11" t="str">
        <f t="shared" si="25"/>
        <v>INSERT INTO metadata_reference.file_schema VALUES('DETM_DETIS_JCDS','JCDS_BEN_TYPE_CODE',NULL,'CHAR(3)',NULL,NULL,NULL,NULL,'2025-10-22','9999-12-31',USER, CURRENT_TIMESTAMP(0));</v>
      </c>
    </row>
    <row r="824" spans="1:12" ht="15" customHeight="1">
      <c r="A824" s="11" t="str">
        <f>ETLMetadata!$C824</f>
        <v>DETM_DETIS_JCDS</v>
      </c>
      <c r="B824" s="11" t="str">
        <f>ETLMetadata!$E824</f>
        <v>JCDS_STS_CODE</v>
      </c>
      <c r="C824" s="11" t="str">
        <f>IF(ISBLANK(ETLMetadata!$J824), "", ETLMetadata!$J824)</f>
        <v/>
      </c>
      <c r="D824" s="11" t="str">
        <f>ETLMetadata!$G824</f>
        <v>CHAR(3)</v>
      </c>
      <c r="E824" s="12"/>
      <c r="F824" s="12"/>
      <c r="G824" s="12" t="str">
        <f t="shared" si="24"/>
        <v/>
      </c>
      <c r="H824" s="12"/>
      <c r="I824" s="12"/>
      <c r="J824" s="13">
        <v>45952</v>
      </c>
      <c r="K824" s="13">
        <v>2958465</v>
      </c>
      <c r="L824" s="11" t="str">
        <f t="shared" si="25"/>
        <v>INSERT INTO metadata_reference.file_schema VALUES('DETM_DETIS_JCDS','JCDS_STS_CODE',NULL,'CHAR(3)',NULL,NULL,NULL,NULL,'2025-10-22','9999-12-31',USER, CURRENT_TIMESTAMP(0));</v>
      </c>
    </row>
    <row r="825" spans="1:12" ht="15" customHeight="1">
      <c r="A825" s="11" t="str">
        <f>ETLMetadata!$C825</f>
        <v>DETM_DETIS_JCDS</v>
      </c>
      <c r="B825" s="11" t="str">
        <f>ETLMetadata!$E825</f>
        <v>JCDS_RSN_CODE</v>
      </c>
      <c r="C825" s="11" t="str">
        <f>IF(ISBLANK(ETLMetadata!$J825), "", ETLMetadata!$J825)</f>
        <v/>
      </c>
      <c r="D825" s="11" t="str">
        <f>ETLMetadata!$G825</f>
        <v>CHAR(3)</v>
      </c>
      <c r="E825" s="12"/>
      <c r="F825" s="12"/>
      <c r="G825" s="12" t="str">
        <f t="shared" si="24"/>
        <v/>
      </c>
      <c r="H825" s="12"/>
      <c r="I825" s="12"/>
      <c r="J825" s="13">
        <v>45952</v>
      </c>
      <c r="K825" s="13">
        <v>2958465</v>
      </c>
      <c r="L825" s="11" t="str">
        <f t="shared" si="25"/>
        <v>INSERT INTO metadata_reference.file_schema VALUES('DETM_DETIS_JCDS','JCDS_RSN_CODE',NULL,'CHAR(3)',NULL,NULL,NULL,NULL,'2025-10-22','9999-12-31',USER, CURRENT_TIMESTAMP(0));</v>
      </c>
    </row>
    <row r="826" spans="1:12" ht="15" customHeight="1">
      <c r="A826" s="11" t="str">
        <f>ETLMetadata!$C826</f>
        <v>DETM_DETIS_JCDS</v>
      </c>
      <c r="B826" s="11" t="str">
        <f>ETLMetadata!$E826</f>
        <v>JCDS_UNIQ_ID</v>
      </c>
      <c r="C826" s="11" t="str">
        <f>IF(ISBLANK(ETLMetadata!$J826), "", ETLMetadata!$J826)</f>
        <v/>
      </c>
      <c r="D826" s="11" t="str">
        <f>ETLMetadata!$G826</f>
        <v>VARCHAR(8)</v>
      </c>
      <c r="E826" s="12"/>
      <c r="F826" s="12"/>
      <c r="G826" s="12" t="str">
        <f t="shared" si="24"/>
        <v/>
      </c>
      <c r="H826" s="12"/>
      <c r="I826" s="12"/>
      <c r="J826" s="13">
        <v>45952</v>
      </c>
      <c r="K826" s="13">
        <v>2958465</v>
      </c>
      <c r="L826" s="11" t="str">
        <f t="shared" si="25"/>
        <v>INSERT INTO metadata_reference.file_schema VALUES('DETM_DETIS_JCDS','JCDS_UNIQ_ID',NULL,'VARCHAR(8)',NULL,NULL,NULL,NULL,'2025-10-22','9999-12-31',USER, CURRENT_TIMESTAMP(0));</v>
      </c>
    </row>
    <row r="827" spans="1:12" ht="15" customHeight="1">
      <c r="A827" s="11" t="str">
        <f>ETLMetadata!$C827</f>
        <v>DETM_DETIS_JCDS</v>
      </c>
      <c r="B827" s="11" t="str">
        <f>ETLMetadata!$E827</f>
        <v>AMR1_RISL_DTS</v>
      </c>
      <c r="C827" s="11" t="str">
        <f>IF(ISBLANK(ETLMetadata!$J827), "", ETLMetadata!$J827)</f>
        <v/>
      </c>
      <c r="D827" s="11" t="str">
        <f>ETLMetadata!$G827</f>
        <v>TIMESTAMP(6)</v>
      </c>
      <c r="E827" s="12"/>
      <c r="F827" s="12"/>
      <c r="G827" s="12" t="str">
        <f t="shared" si="24"/>
        <v/>
      </c>
      <c r="H827" s="12"/>
      <c r="I827" s="12"/>
      <c r="J827" s="13">
        <v>45952</v>
      </c>
      <c r="K827" s="13">
        <v>2958465</v>
      </c>
      <c r="L827" s="11" t="str">
        <f t="shared" si="25"/>
        <v>INSERT INTO metadata_reference.file_schema VALUES('DETM_DETIS_JCDS','AMR1_RISL_DTS',NULL,'TIMESTAMP(6)',NULL,NULL,NULL,NULL,'2025-10-22','9999-12-31',USER, CURRENT_TIMESTAMP(0));</v>
      </c>
    </row>
    <row r="828" spans="1:12" ht="15" customHeight="1">
      <c r="A828" s="11" t="str">
        <f>ETLMetadata!$C828</f>
        <v>DETM_DETIS_JCDS</v>
      </c>
      <c r="B828" s="11" t="str">
        <f>ETLMetadata!$E828</f>
        <v>AMR3_RISL_DTS</v>
      </c>
      <c r="C828" s="11" t="str">
        <f>IF(ISBLANK(ETLMetadata!$J828), "", ETLMetadata!$J828)</f>
        <v/>
      </c>
      <c r="D828" s="11" t="str">
        <f>ETLMetadata!$G828</f>
        <v>TIMESTAMP(6)</v>
      </c>
      <c r="E828" s="12"/>
      <c r="F828" s="12"/>
      <c r="G828" s="12" t="str">
        <f t="shared" si="24"/>
        <v/>
      </c>
      <c r="H828" s="12"/>
      <c r="I828" s="12"/>
      <c r="J828" s="13">
        <v>45952</v>
      </c>
      <c r="K828" s="13">
        <v>2958465</v>
      </c>
      <c r="L828" s="11" t="str">
        <f t="shared" si="25"/>
        <v>INSERT INTO metadata_reference.file_schema VALUES('DETM_DETIS_JCDS','AMR3_RISL_DTS',NULL,'TIMESTAMP(6)',NULL,NULL,NULL,NULL,'2025-10-22','9999-12-31',USER, CURRENT_TIMESTAMP(0));</v>
      </c>
    </row>
    <row r="829" spans="1:12" ht="15" customHeight="1">
      <c r="A829" s="11" t="str">
        <f>ETLMetadata!$C829</f>
        <v>DETM_DETIS_JCDS</v>
      </c>
      <c r="B829" s="11" t="str">
        <f>ETLMetadata!$E829</f>
        <v>EPISODE_ID</v>
      </c>
      <c r="C829" s="11" t="str">
        <f>IF(ISBLANK(ETLMetadata!$J829), "", ETLMetadata!$J829)</f>
        <v/>
      </c>
      <c r="D829" s="11" t="str">
        <f>ETLMetadata!$G829</f>
        <v>INTEGER</v>
      </c>
      <c r="E829" s="12"/>
      <c r="F829" s="12"/>
      <c r="G829" s="12" t="str">
        <f t="shared" si="24"/>
        <v/>
      </c>
      <c r="H829" s="12"/>
      <c r="I829" s="12"/>
      <c r="J829" s="13">
        <v>45952</v>
      </c>
      <c r="K829" s="13">
        <v>2958465</v>
      </c>
      <c r="L829" s="11" t="str">
        <f t="shared" si="25"/>
        <v>INSERT INTO metadata_reference.file_schema VALUES('DETM_DETIS_JCDS','EPISODE_ID',NULL,'INTEGER',NULL,NULL,NULL,NULL,'2025-10-22','9999-12-31',USER, CURRENT_TIMESTAMP(0));</v>
      </c>
    </row>
    <row r="830" spans="1:12" ht="15" customHeight="1">
      <c r="A830" s="11" t="str">
        <f>ETLMetadata!$C830</f>
        <v>DETM_DETIS_JCDS</v>
      </c>
      <c r="B830" s="11" t="str">
        <f>ETLMetadata!$E830</f>
        <v>PARTY_ROLE_ID</v>
      </c>
      <c r="C830" s="11" t="str">
        <f>IF(ISBLANK(ETLMetadata!$J830), "", ETLMetadata!$J830)</f>
        <v/>
      </c>
      <c r="D830" s="11" t="str">
        <f>ETLMetadata!$G830</f>
        <v>INTEGER</v>
      </c>
      <c r="E830" s="12"/>
      <c r="F830" s="12"/>
      <c r="G830" s="12" t="str">
        <f t="shared" si="24"/>
        <v/>
      </c>
      <c r="H830" s="12"/>
      <c r="I830" s="12"/>
      <c r="J830" s="13">
        <v>45952</v>
      </c>
      <c r="K830" s="13">
        <v>2958465</v>
      </c>
      <c r="L830" s="11" t="str">
        <f t="shared" si="25"/>
        <v>INSERT INTO metadata_reference.file_schema VALUES('DETM_DETIS_JCDS','PARTY_ROLE_ID',NULL,'INTEGER',NULL,NULL,NULL,NULL,'2025-10-22','9999-12-31',USER, CURRENT_TIMESTAMP(0));</v>
      </c>
    </row>
    <row r="831" spans="1:12" ht="15" customHeight="1">
      <c r="A831" s="11" t="str">
        <f>ETLMetadata!$C831</f>
        <v>DETM_DETIS_JCDS</v>
      </c>
      <c r="B831" s="11" t="str">
        <f>ETLMetadata!$E831</f>
        <v>PAYMENT_TYPE_ID</v>
      </c>
      <c r="C831" s="11" t="str">
        <f>IF(ISBLANK(ETLMetadata!$J831), "", ETLMetadata!$J831)</f>
        <v/>
      </c>
      <c r="D831" s="11" t="str">
        <f>ETLMetadata!$G831</f>
        <v>INTEGER</v>
      </c>
      <c r="E831" s="12"/>
      <c r="F831" s="12"/>
      <c r="G831" s="12" t="str">
        <f t="shared" si="24"/>
        <v/>
      </c>
      <c r="H831" s="12"/>
      <c r="I831" s="12"/>
      <c r="J831" s="13">
        <v>45952</v>
      </c>
      <c r="K831" s="13">
        <v>2958465</v>
      </c>
      <c r="L831" s="11" t="str">
        <f t="shared" si="25"/>
        <v>INSERT INTO metadata_reference.file_schema VALUES('DETM_DETIS_JCDS','PAYMENT_TYPE_ID',NULL,'INTEGER',NULL,NULL,NULL,NULL,'2025-10-22','9999-12-31',USER, CURRENT_TIMESTAMP(0));</v>
      </c>
    </row>
    <row r="832" spans="1:12" ht="15" customHeight="1">
      <c r="A832" s="11" t="str">
        <f>ETLMetadata!$C832</f>
        <v>DETM_DETIS_JCDS</v>
      </c>
      <c r="B832" s="11" t="str">
        <f>ETLMetadata!$E832</f>
        <v>ERROR_COUNT</v>
      </c>
      <c r="C832" s="11" t="str">
        <f>IF(ISBLANK(ETLMetadata!$J832), "", ETLMetadata!$J832)</f>
        <v/>
      </c>
      <c r="D832" s="11" t="str">
        <f>ETLMetadata!$G832</f>
        <v>SMALLINT</v>
      </c>
      <c r="E832" s="12"/>
      <c r="F832" s="12"/>
      <c r="G832" s="12" t="str">
        <f t="shared" si="24"/>
        <v/>
      </c>
      <c r="H832" s="12"/>
      <c r="I832" s="12"/>
      <c r="J832" s="13">
        <v>45952</v>
      </c>
      <c r="K832" s="13">
        <v>2958465</v>
      </c>
      <c r="L832" s="11" t="str">
        <f t="shared" si="25"/>
        <v>INSERT INTO metadata_reference.file_schema VALUES('DETM_DETIS_JCDS','ERROR_COUNT',NULL,'SMALLINT',NULL,NULL,NULL,NULL,'2025-10-22','9999-12-31',USER, CURRENT_TIMESTAMP(0));</v>
      </c>
    </row>
    <row r="833" spans="1:12" ht="15" customHeight="1">
      <c r="A833" s="11" t="str">
        <f>ETLMetadata!$C833</f>
        <v>DETM_DETIS_JCDS</v>
      </c>
      <c r="B833" s="11" t="str">
        <f>ETLMetadata!$E833</f>
        <v>Start_Date</v>
      </c>
      <c r="C833" s="11" t="str">
        <f>IF(ISBLANK(ETLMetadata!$J833), "", ETLMetadata!$J833)</f>
        <v/>
      </c>
      <c r="D833" s="11" t="str">
        <f>ETLMetadata!$G833</f>
        <v>DATE</v>
      </c>
      <c r="E833" s="12"/>
      <c r="F833" s="12"/>
      <c r="G833" s="12" t="str">
        <f t="shared" si="24"/>
        <v/>
      </c>
      <c r="H833" s="12"/>
      <c r="I833" s="12"/>
      <c r="J833" s="13">
        <v>45952</v>
      </c>
      <c r="K833" s="13">
        <v>2958465</v>
      </c>
      <c r="L833" s="11" t="str">
        <f t="shared" si="25"/>
        <v>INSERT INTO metadata_reference.file_schema VALUES('DETM_DETIS_JCDS','Start_Date',NULL,'DATE',NULL,NULL,NULL,NULL,'2025-10-22','9999-12-31',USER, CURRENT_TIMESTAMP(0));</v>
      </c>
    </row>
    <row r="834" spans="1:12" ht="15" customHeight="1">
      <c r="A834" s="11" t="str">
        <f>ETLMetadata!$C834</f>
        <v>DETM_DETIS_JCDS</v>
      </c>
      <c r="B834" s="11" t="str">
        <f>ETLMetadata!$E834</f>
        <v>End_Date</v>
      </c>
      <c r="C834" s="11" t="str">
        <f>IF(ISBLANK(ETLMetadata!$J834), "", ETLMetadata!$J834)</f>
        <v/>
      </c>
      <c r="D834" s="11" t="str">
        <f>ETLMetadata!$G834</f>
        <v>DATE</v>
      </c>
      <c r="E834" s="12"/>
      <c r="F834" s="12"/>
      <c r="G834" s="12" t="str">
        <f t="shared" si="24"/>
        <v/>
      </c>
      <c r="H834" s="12"/>
      <c r="I834" s="12"/>
      <c r="J834" s="13">
        <v>45952</v>
      </c>
      <c r="K834" s="13">
        <v>2958465</v>
      </c>
      <c r="L834" s="11" t="str">
        <f t="shared" si="25"/>
        <v>INSERT INTO metadata_reference.file_schema VALUES('DETM_DETIS_JCDS','End_Date',NULL,'DATE',NULL,NULL,NULL,NULL,'2025-10-22','9999-12-31',USER, CURRENT_TIMESTAMP(0));</v>
      </c>
    </row>
    <row r="835" spans="1:12" ht="15" customHeight="1">
      <c r="A835" s="11" t="str">
        <f>ETLMetadata!$C835</f>
        <v>DETM_DETIS_JCDS</v>
      </c>
      <c r="B835" s="11" t="str">
        <f>ETLMetadata!$E835</f>
        <v>Record_Deleted_Flag</v>
      </c>
      <c r="C835" s="11" t="str">
        <f>IF(ISBLANK(ETLMetadata!$J835), "", ETLMetadata!$J835)</f>
        <v/>
      </c>
      <c r="D835" s="11" t="str">
        <f>ETLMetadata!$G835</f>
        <v>BYTEINT</v>
      </c>
      <c r="E835" s="12"/>
      <c r="F835" s="12"/>
      <c r="G835" s="12" t="str">
        <f t="shared" ref="G835:G898" si="26">UPPER($F835)</f>
        <v/>
      </c>
      <c r="H835" s="12"/>
      <c r="I835" s="12"/>
      <c r="J835" s="13">
        <v>45952</v>
      </c>
      <c r="K835" s="13">
        <v>2958465</v>
      </c>
      <c r="L835" s="11" t="str">
        <f t="shared" ref="L835:L898" si="27">CONCATENATE("INSERT INTO metadata_reference.file_schema VALUES('",TRIM(A835),"','",TRIM(B835),"',",IF(TRIM(C835)="","NULL","'"&amp;TRIM(C835)&amp;"'"),",'",TRIM(D835),"',",IF(TRIM(E835)="","NULL","'"&amp;TRIM(E835)&amp;"'"),",",IF(TRIM(G835)="","NULL","'"&amp;TRIM(G835)&amp;"'"),",",IF(TRIM(H835)="","NULL","'"&amp;TRIM(H835)&amp;"'"),",",
IF(TRIM(I835)="","NULL",TRIM(I835)),",",IF(TRIM(J835)="","NULL","'"&amp;TEXT(J835,"yyyy-mm-dd")&amp;"'"),",",IF(TRIM(K835)="","NULL","'"&amp;TEXT(K835,"yyyy-mm-dd")&amp;"'"),",","USER, CURRENT_TIMESTAMP(0));")</f>
        <v>INSERT INTO metadata_reference.file_schema VALUES('DETM_DETIS_JCDS','Record_Deleted_Flag',NULL,'BYTEINT',NULL,NULL,NULL,NULL,'2025-10-22','9999-12-31',USER, CURRENT_TIMESTAMP(0));</v>
      </c>
    </row>
    <row r="836" spans="1:12" ht="15" customHeight="1">
      <c r="A836" s="11" t="str">
        <f>ETLMetadata!$C836</f>
        <v>DETM_DETIS_JMDS</v>
      </c>
      <c r="B836" s="11" t="str">
        <f>ETLMetadata!$E836</f>
        <v>EXTRACT_DATE</v>
      </c>
      <c r="C836" s="11" t="str">
        <f>IF(ISBLANK(ETLMetadata!$J836), "", ETLMetadata!$J836)</f>
        <v/>
      </c>
      <c r="D836" s="11" t="str">
        <f>ETLMetadata!$G836</f>
        <v>DATE</v>
      </c>
      <c r="E836" s="12"/>
      <c r="F836" s="12"/>
      <c r="G836" s="12" t="str">
        <f t="shared" si="26"/>
        <v/>
      </c>
      <c r="H836" s="12"/>
      <c r="I836" s="12"/>
      <c r="J836" s="13">
        <v>45952</v>
      </c>
      <c r="K836" s="13">
        <v>2958465</v>
      </c>
      <c r="L836" s="11" t="str">
        <f t="shared" si="27"/>
        <v>INSERT INTO metadata_reference.file_schema VALUES('DETM_DETIS_JMDS','EXTRACT_DATE',NULL,'DATE',NULL,NULL,NULL,NULL,'2025-10-22','9999-12-31',USER, CURRENT_TIMESTAMP(0));</v>
      </c>
    </row>
    <row r="837" spans="1:12" ht="15" customHeight="1">
      <c r="A837" s="11" t="str">
        <f>ETLMetadata!$C837</f>
        <v>DETM_DETIS_JMDS</v>
      </c>
      <c r="B837" s="11" t="str">
        <f>ETLMetadata!$E837</f>
        <v>LOGICAL_DELETE_DATE</v>
      </c>
      <c r="C837" s="11" t="str">
        <f>IF(ISBLANK(ETLMetadata!$J837), "", ETLMetadata!$J837)</f>
        <v/>
      </c>
      <c r="D837" s="11" t="str">
        <f>ETLMetadata!$G837</f>
        <v>DATE</v>
      </c>
      <c r="E837" s="12"/>
      <c r="F837" s="12"/>
      <c r="G837" s="12" t="str">
        <f t="shared" si="26"/>
        <v/>
      </c>
      <c r="H837" s="12"/>
      <c r="I837" s="12"/>
      <c r="J837" s="13">
        <v>45952</v>
      </c>
      <c r="K837" s="13">
        <v>2958465</v>
      </c>
      <c r="L837" s="11" t="str">
        <f t="shared" si="27"/>
        <v>INSERT INTO metadata_reference.file_schema VALUES('DETM_DETIS_JMDS','LOGICAL_DELETE_DATE',NULL,'DATE',NULL,NULL,NULL,NULL,'2025-10-22','9999-12-31',USER, CURRENT_TIMESTAMP(0));</v>
      </c>
    </row>
    <row r="838" spans="1:12" ht="15" customHeight="1">
      <c r="A838" s="11" t="str">
        <f>ETLMetadata!$C838</f>
        <v>DETM_DETIS_JMDS</v>
      </c>
      <c r="B838" s="11" t="str">
        <f>ETLMetadata!$E838</f>
        <v>ENVIRONMENT_ID</v>
      </c>
      <c r="C838" s="11" t="str">
        <f>IF(ISBLANK(ETLMetadata!$J838), "", ETLMetadata!$J838)</f>
        <v>Y</v>
      </c>
      <c r="D838" s="11" t="str">
        <f>ETLMetadata!$G838</f>
        <v>CHAR(1)</v>
      </c>
      <c r="E838" s="12"/>
      <c r="F838" s="12"/>
      <c r="G838" s="12" t="str">
        <f t="shared" si="26"/>
        <v/>
      </c>
      <c r="H838" s="12"/>
      <c r="I838" s="12"/>
      <c r="J838" s="13">
        <v>45952</v>
      </c>
      <c r="K838" s="13">
        <v>2958465</v>
      </c>
      <c r="L838" s="11" t="str">
        <f t="shared" si="27"/>
        <v>INSERT INTO metadata_reference.file_schema VALUES('DETM_DETIS_JMDS','ENVIRONMENT_ID','Y','CHAR(1)',NULL,NULL,NULL,NULL,'2025-10-22','9999-12-31',USER, CURRENT_TIMESTAMP(0));</v>
      </c>
    </row>
    <row r="839" spans="1:12" ht="15" customHeight="1">
      <c r="A839" s="11" t="str">
        <f>ETLMetadata!$C839</f>
        <v>DETM_DETIS_JMDS</v>
      </c>
      <c r="B839" s="11" t="str">
        <f>ETLMetadata!$E839</f>
        <v>PERSON_ID</v>
      </c>
      <c r="C839" s="11" t="str">
        <f>IF(ISBLANK(ETLMetadata!$J839), "", ETLMetadata!$J839)</f>
        <v>Y</v>
      </c>
      <c r="D839" s="11" t="str">
        <f>ETLMetadata!$G839</f>
        <v>INTEGER</v>
      </c>
      <c r="E839" s="12"/>
      <c r="F839" s="12" t="s">
        <v>799</v>
      </c>
      <c r="G839" s="12" t="str">
        <f t="shared" si="26"/>
        <v>PERSONAL_IDENTITYINFOINDIRECT</v>
      </c>
      <c r="H839" s="12"/>
      <c r="I839" s="12"/>
      <c r="J839" s="13">
        <v>45952</v>
      </c>
      <c r="K839" s="13">
        <v>2958465</v>
      </c>
      <c r="L839" s="11" t="str">
        <f t="shared" si="27"/>
        <v>INSERT INTO metadata_reference.file_schema VALUES('DETM_DETIS_JMDS','PERSON_ID','Y','INTEGER',NULL,'PERSONAL_IDENTITYINFOINDIRECT',NULL,NULL,'2025-10-22','9999-12-31',USER, CURRENT_TIMESTAMP(0));</v>
      </c>
    </row>
    <row r="840" spans="1:12" ht="15" customHeight="1">
      <c r="A840" s="11" t="str">
        <f>ETLMetadata!$C840</f>
        <v>DETM_DETIS_JMDS</v>
      </c>
      <c r="B840" s="11" t="str">
        <f>ETLMetadata!$E840</f>
        <v>JMDS_DOE</v>
      </c>
      <c r="C840" s="11" t="str">
        <f>IF(ISBLANK(ETLMetadata!$J840), "", ETLMetadata!$J840)</f>
        <v/>
      </c>
      <c r="D840" s="11" t="str">
        <f>ETLMetadata!$G840</f>
        <v>DATE</v>
      </c>
      <c r="E840" s="12"/>
      <c r="F840" s="12"/>
      <c r="G840" s="12" t="str">
        <f t="shared" si="26"/>
        <v/>
      </c>
      <c r="H840" s="12"/>
      <c r="I840" s="12"/>
      <c r="J840" s="13">
        <v>45952</v>
      </c>
      <c r="K840" s="13">
        <v>2958465</v>
      </c>
      <c r="L840" s="11" t="str">
        <f t="shared" si="27"/>
        <v>INSERT INTO metadata_reference.file_schema VALUES('DETM_DETIS_JMDS','JMDS_DOE',NULL,'DATE',NULL,NULL,NULL,NULL,'2025-10-22','9999-12-31',USER, CURRENT_TIMESTAMP(0));</v>
      </c>
    </row>
    <row r="841" spans="1:12" ht="15" customHeight="1">
      <c r="A841" s="11" t="str">
        <f>ETLMetadata!$C841</f>
        <v>DETM_DETIS_JMDS</v>
      </c>
      <c r="B841" s="11" t="str">
        <f>ETLMetadata!$E841</f>
        <v>JMDS_DOE_ORIG</v>
      </c>
      <c r="C841" s="11" t="str">
        <f>IF(ISBLANK(ETLMetadata!$J841), "", ETLMetadata!$J841)</f>
        <v/>
      </c>
      <c r="D841" s="11" t="str">
        <f>ETLMetadata!$G841</f>
        <v>INTEGER</v>
      </c>
      <c r="E841" s="12"/>
      <c r="F841" s="12"/>
      <c r="G841" s="12" t="str">
        <f t="shared" si="26"/>
        <v/>
      </c>
      <c r="H841" s="12"/>
      <c r="I841" s="12"/>
      <c r="J841" s="13">
        <v>45952</v>
      </c>
      <c r="K841" s="13">
        <v>2958465</v>
      </c>
      <c r="L841" s="11" t="str">
        <f t="shared" si="27"/>
        <v>INSERT INTO metadata_reference.file_schema VALUES('DETM_DETIS_JMDS','JMDS_DOE_ORIG',NULL,'INTEGER',NULL,NULL,NULL,NULL,'2025-10-22','9999-12-31',USER, CURRENT_TIMESTAMP(0));</v>
      </c>
    </row>
    <row r="842" spans="1:12" ht="15" customHeight="1">
      <c r="A842" s="11" t="str">
        <f>ETLMetadata!$C842</f>
        <v>DETM_DETIS_JMDS</v>
      </c>
      <c r="B842" s="11" t="str">
        <f>ETLMetadata!$E842</f>
        <v>PROCESSING_SEQUENCE</v>
      </c>
      <c r="C842" s="11" t="str">
        <f>IF(ISBLANK(ETLMetadata!$J842), "", ETLMetadata!$J842)</f>
        <v>Y</v>
      </c>
      <c r="D842" s="11" t="str">
        <f>ETLMetadata!$G842</f>
        <v>SMALLINT</v>
      </c>
      <c r="E842" s="12"/>
      <c r="F842" s="12"/>
      <c r="G842" s="12" t="str">
        <f t="shared" si="26"/>
        <v/>
      </c>
      <c r="H842" s="12"/>
      <c r="I842" s="12"/>
      <c r="J842" s="13">
        <v>45952</v>
      </c>
      <c r="K842" s="13">
        <v>2958465</v>
      </c>
      <c r="L842" s="11" t="str">
        <f t="shared" si="27"/>
        <v>INSERT INTO metadata_reference.file_schema VALUES('DETM_DETIS_JMDS','PROCESSING_SEQUENCE','Y','SMALLINT',NULL,NULL,NULL,NULL,'2025-10-22','9999-12-31',USER, CURRENT_TIMESTAMP(0));</v>
      </c>
    </row>
    <row r="843" spans="1:12" ht="15" customHeight="1">
      <c r="A843" s="11" t="str">
        <f>ETLMetadata!$C843</f>
        <v>DETM_DETIS_JMDS</v>
      </c>
      <c r="B843" s="11" t="str">
        <f>ETLMetadata!$E843</f>
        <v>JMDS_AMR_1</v>
      </c>
      <c r="C843" s="11" t="str">
        <f>IF(ISBLANK(ETLMetadata!$J843), "", ETLMetadata!$J843)</f>
        <v/>
      </c>
      <c r="D843" s="11" t="str">
        <f>ETLMetadata!$G843</f>
        <v>CHAR(4)</v>
      </c>
      <c r="E843" s="12"/>
      <c r="F843" s="12"/>
      <c r="G843" s="12" t="str">
        <f t="shared" si="26"/>
        <v/>
      </c>
      <c r="H843" s="12"/>
      <c r="I843" s="12"/>
      <c r="J843" s="13">
        <v>45952</v>
      </c>
      <c r="K843" s="13">
        <v>2958465</v>
      </c>
      <c r="L843" s="11" t="str">
        <f t="shared" si="27"/>
        <v>INSERT INTO metadata_reference.file_schema VALUES('DETM_DETIS_JMDS','JMDS_AMR_1',NULL,'CHAR(4)',NULL,NULL,NULL,NULL,'2025-10-22','9999-12-31',USER, CURRENT_TIMESTAMP(0));</v>
      </c>
    </row>
    <row r="844" spans="1:12" ht="15" customHeight="1">
      <c r="A844" s="11" t="str">
        <f>ETLMetadata!$C844</f>
        <v>DETM_DETIS_JMDS</v>
      </c>
      <c r="B844" s="11" t="str">
        <f>ETLMetadata!$E844</f>
        <v>JMDS_AMR_2</v>
      </c>
      <c r="C844" s="11" t="str">
        <f>IF(ISBLANK(ETLMetadata!$J844), "", ETLMetadata!$J844)</f>
        <v/>
      </c>
      <c r="D844" s="11" t="str">
        <f>ETLMetadata!$G844</f>
        <v>CHAR(1)</v>
      </c>
      <c r="E844" s="12"/>
      <c r="F844" s="12"/>
      <c r="G844" s="12" t="str">
        <f t="shared" si="26"/>
        <v/>
      </c>
      <c r="H844" s="12"/>
      <c r="I844" s="12"/>
      <c r="J844" s="13">
        <v>45952</v>
      </c>
      <c r="K844" s="13">
        <v>2958465</v>
      </c>
      <c r="L844" s="11" t="str">
        <f t="shared" si="27"/>
        <v>INSERT INTO metadata_reference.file_schema VALUES('DETM_DETIS_JMDS','JMDS_AMR_2',NULL,'CHAR(1)',NULL,NULL,NULL,NULL,'2025-10-22','9999-12-31',USER, CURRENT_TIMESTAMP(0));</v>
      </c>
    </row>
    <row r="845" spans="1:12" ht="15" customHeight="1">
      <c r="A845" s="11" t="str">
        <f>ETLMetadata!$C845</f>
        <v>DETM_DETIS_JMDS</v>
      </c>
      <c r="B845" s="11" t="str">
        <f>ETLMetadata!$E845</f>
        <v>JMDS_AMR_3</v>
      </c>
      <c r="C845" s="11" t="str">
        <f>IF(ISBLANK(ETLMetadata!$J845), "", ETLMetadata!$J845)</f>
        <v/>
      </c>
      <c r="D845" s="11" t="str">
        <f>ETLMetadata!$G845</f>
        <v>CHAR(4)</v>
      </c>
      <c r="E845" s="12"/>
      <c r="F845" s="12"/>
      <c r="G845" s="12" t="str">
        <f t="shared" si="26"/>
        <v/>
      </c>
      <c r="H845" s="12"/>
      <c r="I845" s="12"/>
      <c r="J845" s="13">
        <v>45952</v>
      </c>
      <c r="K845" s="13">
        <v>2958465</v>
      </c>
      <c r="L845" s="11" t="str">
        <f t="shared" si="27"/>
        <v>INSERT INTO metadata_reference.file_schema VALUES('DETM_DETIS_JMDS','JMDS_AMR_3',NULL,'CHAR(4)',NULL,NULL,NULL,NULL,'2025-10-22','9999-12-31',USER, CURRENT_TIMESTAMP(0));</v>
      </c>
    </row>
    <row r="846" spans="1:12" ht="15" customHeight="1">
      <c r="A846" s="11" t="str">
        <f>ETLMetadata!$C846</f>
        <v>DETM_DETIS_JMDS</v>
      </c>
      <c r="B846" s="11" t="str">
        <f>ETLMetadata!$E846</f>
        <v>JMDS_BEN_TYPE_CODE</v>
      </c>
      <c r="C846" s="11" t="str">
        <f>IF(ISBLANK(ETLMetadata!$J846), "", ETLMetadata!$J846)</f>
        <v/>
      </c>
      <c r="D846" s="11" t="str">
        <f>ETLMetadata!$G846</f>
        <v>CHAR(3)</v>
      </c>
      <c r="E846" s="12"/>
      <c r="F846" s="12"/>
      <c r="G846" s="12" t="str">
        <f t="shared" si="26"/>
        <v/>
      </c>
      <c r="H846" s="12"/>
      <c r="I846" s="12"/>
      <c r="J846" s="13">
        <v>45952</v>
      </c>
      <c r="K846" s="13">
        <v>2958465</v>
      </c>
      <c r="L846" s="11" t="str">
        <f t="shared" si="27"/>
        <v>INSERT INTO metadata_reference.file_schema VALUES('DETM_DETIS_JMDS','JMDS_BEN_TYPE_CODE',NULL,'CHAR(3)',NULL,NULL,NULL,NULL,'2025-10-22','9999-12-31',USER, CURRENT_TIMESTAMP(0));</v>
      </c>
    </row>
    <row r="847" spans="1:12" ht="15" customHeight="1">
      <c r="A847" s="11" t="str">
        <f>ETLMetadata!$C847</f>
        <v>DETM_DETIS_JMDS</v>
      </c>
      <c r="B847" s="11" t="str">
        <f>ETLMetadata!$E847</f>
        <v>JMDS_STS_CODE</v>
      </c>
      <c r="C847" s="11" t="str">
        <f>IF(ISBLANK(ETLMetadata!$J847), "", ETLMetadata!$J847)</f>
        <v/>
      </c>
      <c r="D847" s="11" t="str">
        <f>ETLMetadata!$G847</f>
        <v>CHAR(3)</v>
      </c>
      <c r="E847" s="12"/>
      <c r="F847" s="12"/>
      <c r="G847" s="12" t="str">
        <f t="shared" si="26"/>
        <v/>
      </c>
      <c r="H847" s="12"/>
      <c r="I847" s="12"/>
      <c r="J847" s="13">
        <v>45952</v>
      </c>
      <c r="K847" s="13">
        <v>2958465</v>
      </c>
      <c r="L847" s="11" t="str">
        <f t="shared" si="27"/>
        <v>INSERT INTO metadata_reference.file_schema VALUES('DETM_DETIS_JMDS','JMDS_STS_CODE',NULL,'CHAR(3)',NULL,NULL,NULL,NULL,'2025-10-22','9999-12-31',USER, CURRENT_TIMESTAMP(0));</v>
      </c>
    </row>
    <row r="848" spans="1:12" ht="15" customHeight="1">
      <c r="A848" s="11" t="str">
        <f>ETLMetadata!$C848</f>
        <v>DETM_DETIS_JMDS</v>
      </c>
      <c r="B848" s="11" t="str">
        <f>ETLMetadata!$E848</f>
        <v>JMDS_RSN_CODE</v>
      </c>
      <c r="C848" s="11" t="str">
        <f>IF(ISBLANK(ETLMetadata!$J848), "", ETLMetadata!$J848)</f>
        <v/>
      </c>
      <c r="D848" s="11" t="str">
        <f>ETLMetadata!$G848</f>
        <v>CHAR(3)</v>
      </c>
      <c r="E848" s="12"/>
      <c r="F848" s="12"/>
      <c r="G848" s="12" t="str">
        <f t="shared" si="26"/>
        <v/>
      </c>
      <c r="H848" s="12"/>
      <c r="I848" s="12"/>
      <c r="J848" s="13">
        <v>45952</v>
      </c>
      <c r="K848" s="13">
        <v>2958465</v>
      </c>
      <c r="L848" s="11" t="str">
        <f t="shared" si="27"/>
        <v>INSERT INTO metadata_reference.file_schema VALUES('DETM_DETIS_JMDS','JMDS_RSN_CODE',NULL,'CHAR(3)',NULL,NULL,NULL,NULL,'2025-10-22','9999-12-31',USER, CURRENT_TIMESTAMP(0));</v>
      </c>
    </row>
    <row r="849" spans="1:12" ht="15" customHeight="1">
      <c r="A849" s="11" t="str">
        <f>ETLMetadata!$C849</f>
        <v>DETM_DETIS_JMDS</v>
      </c>
      <c r="B849" s="11" t="str">
        <f>ETLMetadata!$E849</f>
        <v>ERROR_COUNT</v>
      </c>
      <c r="C849" s="11" t="str">
        <f>IF(ISBLANK(ETLMetadata!$J849), "", ETLMetadata!$J849)</f>
        <v/>
      </c>
      <c r="D849" s="11" t="str">
        <f>ETLMetadata!$G849</f>
        <v>SMALLINT</v>
      </c>
      <c r="E849" s="12"/>
      <c r="F849" s="12"/>
      <c r="G849" s="12" t="str">
        <f t="shared" si="26"/>
        <v/>
      </c>
      <c r="H849" s="12"/>
      <c r="I849" s="12"/>
      <c r="J849" s="13">
        <v>45952</v>
      </c>
      <c r="K849" s="13">
        <v>2958465</v>
      </c>
      <c r="L849" s="11" t="str">
        <f t="shared" si="27"/>
        <v>INSERT INTO metadata_reference.file_schema VALUES('DETM_DETIS_JMDS','ERROR_COUNT',NULL,'SMALLINT',NULL,NULL,NULL,NULL,'2025-10-22','9999-12-31',USER, CURRENT_TIMESTAMP(0));</v>
      </c>
    </row>
    <row r="850" spans="1:12" ht="15" customHeight="1">
      <c r="A850" s="11" t="str">
        <f>ETLMetadata!$C850</f>
        <v>DETM_DETIS_JMDS</v>
      </c>
      <c r="B850" s="11" t="str">
        <f>ETLMetadata!$E850</f>
        <v>PARTY_ROLE_ID</v>
      </c>
      <c r="C850" s="11" t="str">
        <f>IF(ISBLANK(ETLMetadata!$J850), "", ETLMetadata!$J850)</f>
        <v/>
      </c>
      <c r="D850" s="11" t="str">
        <f>ETLMetadata!$G850</f>
        <v>INTEGER</v>
      </c>
      <c r="E850" s="12"/>
      <c r="F850" s="12"/>
      <c r="G850" s="12" t="str">
        <f t="shared" si="26"/>
        <v/>
      </c>
      <c r="H850" s="12"/>
      <c r="I850" s="12"/>
      <c r="J850" s="13">
        <v>45952</v>
      </c>
      <c r="K850" s="13">
        <v>2958465</v>
      </c>
      <c r="L850" s="11" t="str">
        <f t="shared" si="27"/>
        <v>INSERT INTO metadata_reference.file_schema VALUES('DETM_DETIS_JMDS','PARTY_ROLE_ID',NULL,'INTEGER',NULL,NULL,NULL,NULL,'2025-10-22','9999-12-31',USER, CURRENT_TIMESTAMP(0));</v>
      </c>
    </row>
    <row r="851" spans="1:12" ht="15" customHeight="1">
      <c r="A851" s="11" t="str">
        <f>ETLMetadata!$C851</f>
        <v>DETM_DETIS_JMDS</v>
      </c>
      <c r="B851" s="11" t="str">
        <f>ETLMetadata!$E851</f>
        <v>EPISODE_ID</v>
      </c>
      <c r="C851" s="11" t="str">
        <f>IF(ISBLANK(ETLMetadata!$J851), "", ETLMetadata!$J851)</f>
        <v/>
      </c>
      <c r="D851" s="11" t="str">
        <f>ETLMetadata!$G851</f>
        <v>INTEGER</v>
      </c>
      <c r="E851" s="12"/>
      <c r="F851" s="12"/>
      <c r="G851" s="12" t="str">
        <f t="shared" si="26"/>
        <v/>
      </c>
      <c r="H851" s="12"/>
      <c r="I851" s="12"/>
      <c r="J851" s="13">
        <v>45952</v>
      </c>
      <c r="K851" s="13">
        <v>2958465</v>
      </c>
      <c r="L851" s="11" t="str">
        <f t="shared" si="27"/>
        <v>INSERT INTO metadata_reference.file_schema VALUES('DETM_DETIS_JMDS','EPISODE_ID',NULL,'INTEGER',NULL,NULL,NULL,NULL,'2025-10-22','9999-12-31',USER, CURRENT_TIMESTAMP(0));</v>
      </c>
    </row>
    <row r="852" spans="1:12" ht="15" customHeight="1">
      <c r="A852" s="11" t="str">
        <f>ETLMetadata!$C852</f>
        <v>DETM_DETIS_JMDS</v>
      </c>
      <c r="B852" s="11" t="str">
        <f>ETLMetadata!$E852</f>
        <v>PAYMENT_TYPE_ID</v>
      </c>
      <c r="C852" s="11" t="str">
        <f>IF(ISBLANK(ETLMetadata!$J852), "", ETLMetadata!$J852)</f>
        <v/>
      </c>
      <c r="D852" s="11" t="str">
        <f>ETLMetadata!$G852</f>
        <v>INTEGER</v>
      </c>
      <c r="E852" s="12"/>
      <c r="F852" s="12"/>
      <c r="G852" s="12" t="str">
        <f t="shared" si="26"/>
        <v/>
      </c>
      <c r="H852" s="12"/>
      <c r="I852" s="12"/>
      <c r="J852" s="13">
        <v>45952</v>
      </c>
      <c r="K852" s="13">
        <v>2958465</v>
      </c>
      <c r="L852" s="11" t="str">
        <f t="shared" si="27"/>
        <v>INSERT INTO metadata_reference.file_schema VALUES('DETM_DETIS_JMDS','PAYMENT_TYPE_ID',NULL,'INTEGER',NULL,NULL,NULL,NULL,'2025-10-22','9999-12-31',USER, CURRENT_TIMESTAMP(0));</v>
      </c>
    </row>
    <row r="853" spans="1:12" ht="15" customHeight="1">
      <c r="A853" s="11" t="str">
        <f>ETLMetadata!$C853</f>
        <v>DETM_DETIS_JMDS</v>
      </c>
      <c r="B853" s="11" t="str">
        <f>ETLMetadata!$E853</f>
        <v>AMR1_RISL_DTS</v>
      </c>
      <c r="C853" s="11" t="str">
        <f>IF(ISBLANK(ETLMetadata!$J853), "", ETLMetadata!$J853)</f>
        <v/>
      </c>
      <c r="D853" s="11" t="str">
        <f>ETLMetadata!$G853</f>
        <v>TIMESTAMP(6)</v>
      </c>
      <c r="E853" s="12"/>
      <c r="F853" s="12"/>
      <c r="G853" s="12" t="str">
        <f t="shared" si="26"/>
        <v/>
      </c>
      <c r="H853" s="12"/>
      <c r="I853" s="12"/>
      <c r="J853" s="13">
        <v>45952</v>
      </c>
      <c r="K853" s="13">
        <v>2958465</v>
      </c>
      <c r="L853" s="11" t="str">
        <f t="shared" si="27"/>
        <v>INSERT INTO metadata_reference.file_schema VALUES('DETM_DETIS_JMDS','AMR1_RISL_DTS',NULL,'TIMESTAMP(6)',NULL,NULL,NULL,NULL,'2025-10-22','9999-12-31',USER, CURRENT_TIMESTAMP(0));</v>
      </c>
    </row>
    <row r="854" spans="1:12" ht="15" customHeight="1">
      <c r="A854" s="11" t="str">
        <f>ETLMetadata!$C854</f>
        <v>DETM_DETIS_JMDS</v>
      </c>
      <c r="B854" s="11" t="str">
        <f>ETLMetadata!$E854</f>
        <v>AMR3_RISL_DTS</v>
      </c>
      <c r="C854" s="11" t="str">
        <f>IF(ISBLANK(ETLMetadata!$J854), "", ETLMetadata!$J854)</f>
        <v/>
      </c>
      <c r="D854" s="11" t="str">
        <f>ETLMetadata!$G854</f>
        <v>TIMESTAMP(6)</v>
      </c>
      <c r="E854" s="12"/>
      <c r="F854" s="12"/>
      <c r="G854" s="12" t="str">
        <f t="shared" si="26"/>
        <v/>
      </c>
      <c r="H854" s="12"/>
      <c r="I854" s="12"/>
      <c r="J854" s="13">
        <v>45952</v>
      </c>
      <c r="K854" s="13">
        <v>2958465</v>
      </c>
      <c r="L854" s="11" t="str">
        <f t="shared" si="27"/>
        <v>INSERT INTO metadata_reference.file_schema VALUES('DETM_DETIS_JMDS','AMR3_RISL_DTS',NULL,'TIMESTAMP(6)',NULL,NULL,NULL,NULL,'2025-10-22','9999-12-31',USER, CURRENT_TIMESTAMP(0));</v>
      </c>
    </row>
    <row r="855" spans="1:12" ht="15" customHeight="1">
      <c r="A855" s="11" t="str">
        <f>ETLMetadata!$C855</f>
        <v>DETM_DETIS_JMDS</v>
      </c>
      <c r="B855" s="11" t="str">
        <f>ETLMetadata!$E855</f>
        <v>Start_Date</v>
      </c>
      <c r="C855" s="11" t="str">
        <f>IF(ISBLANK(ETLMetadata!$J855), "", ETLMetadata!$J855)</f>
        <v/>
      </c>
      <c r="D855" s="11" t="str">
        <f>ETLMetadata!$G855</f>
        <v>DATE</v>
      </c>
      <c r="E855" s="12"/>
      <c r="F855" s="12"/>
      <c r="G855" s="12" t="str">
        <f t="shared" si="26"/>
        <v/>
      </c>
      <c r="H855" s="12"/>
      <c r="I855" s="12"/>
      <c r="J855" s="13">
        <v>45952</v>
      </c>
      <c r="K855" s="13">
        <v>2958465</v>
      </c>
      <c r="L855" s="11" t="str">
        <f t="shared" si="27"/>
        <v>INSERT INTO metadata_reference.file_schema VALUES('DETM_DETIS_JMDS','Start_Date',NULL,'DATE',NULL,NULL,NULL,NULL,'2025-10-22','9999-12-31',USER, CURRENT_TIMESTAMP(0));</v>
      </c>
    </row>
    <row r="856" spans="1:12" ht="15" customHeight="1">
      <c r="A856" s="11" t="str">
        <f>ETLMetadata!$C856</f>
        <v>DETM_DETIS_JMDS</v>
      </c>
      <c r="B856" s="11" t="str">
        <f>ETLMetadata!$E856</f>
        <v>End_Date</v>
      </c>
      <c r="C856" s="11" t="str">
        <f>IF(ISBLANK(ETLMetadata!$J856), "", ETLMetadata!$J856)</f>
        <v/>
      </c>
      <c r="D856" s="11" t="str">
        <f>ETLMetadata!$G856</f>
        <v>DATE</v>
      </c>
      <c r="E856" s="12"/>
      <c r="F856" s="12"/>
      <c r="G856" s="12" t="str">
        <f t="shared" si="26"/>
        <v/>
      </c>
      <c r="H856" s="12"/>
      <c r="I856" s="12"/>
      <c r="J856" s="13">
        <v>45952</v>
      </c>
      <c r="K856" s="13">
        <v>2958465</v>
      </c>
      <c r="L856" s="11" t="str">
        <f t="shared" si="27"/>
        <v>INSERT INTO metadata_reference.file_schema VALUES('DETM_DETIS_JMDS','End_Date',NULL,'DATE',NULL,NULL,NULL,NULL,'2025-10-22','9999-12-31',USER, CURRENT_TIMESTAMP(0));</v>
      </c>
    </row>
    <row r="857" spans="1:12" ht="15" customHeight="1">
      <c r="A857" s="11" t="str">
        <f>ETLMetadata!$C857</f>
        <v>DETM_DETIS_JMDS</v>
      </c>
      <c r="B857" s="11" t="str">
        <f>ETLMetadata!$E857</f>
        <v>Record_Deleted_Flag</v>
      </c>
      <c r="C857" s="11" t="str">
        <f>IF(ISBLANK(ETLMetadata!$J857), "", ETLMetadata!$J857)</f>
        <v/>
      </c>
      <c r="D857" s="11" t="str">
        <f>ETLMetadata!$G857</f>
        <v>BYTEINT</v>
      </c>
      <c r="E857" s="12"/>
      <c r="F857" s="12"/>
      <c r="G857" s="12" t="str">
        <f t="shared" si="26"/>
        <v/>
      </c>
      <c r="H857" s="12"/>
      <c r="I857" s="12"/>
      <c r="J857" s="13">
        <v>45952</v>
      </c>
      <c r="K857" s="13">
        <v>2958465</v>
      </c>
      <c r="L857" s="11" t="str">
        <f t="shared" si="27"/>
        <v>INSERT INTO metadata_reference.file_schema VALUES('DETM_DETIS_JMDS','Record_Deleted_Flag',NULL,'BYTEINT',NULL,NULL,NULL,NULL,'2025-10-22','9999-12-31',USER, CURRENT_TIMESTAMP(0));</v>
      </c>
    </row>
    <row r="858" spans="1:12" ht="15" customHeight="1">
      <c r="A858" s="11" t="str">
        <f>ETLMetadata!$C858</f>
        <v>DETM_DETIS_K9DS</v>
      </c>
      <c r="B858" s="11" t="str">
        <f>ETLMetadata!$E858</f>
        <v>EXTRACT_DATE</v>
      </c>
      <c r="C858" s="11" t="str">
        <f>IF(ISBLANK(ETLMetadata!$J858), "", ETLMetadata!$J858)</f>
        <v/>
      </c>
      <c r="D858" s="11" t="str">
        <f>ETLMetadata!$G858</f>
        <v>DATE</v>
      </c>
      <c r="E858" s="12"/>
      <c r="F858" s="12"/>
      <c r="G858" s="12" t="str">
        <f t="shared" si="26"/>
        <v/>
      </c>
      <c r="H858" s="12"/>
      <c r="I858" s="12"/>
      <c r="J858" s="13">
        <v>45952</v>
      </c>
      <c r="K858" s="13">
        <v>2958465</v>
      </c>
      <c r="L858" s="11" t="str">
        <f t="shared" si="27"/>
        <v>INSERT INTO metadata_reference.file_schema VALUES('DETM_DETIS_K9DS','EXTRACT_DATE',NULL,'DATE',NULL,NULL,NULL,NULL,'2025-10-22','9999-12-31',USER, CURRENT_TIMESTAMP(0));</v>
      </c>
    </row>
    <row r="859" spans="1:12" ht="15" customHeight="1">
      <c r="A859" s="11" t="str">
        <f>ETLMetadata!$C859</f>
        <v>DETM_DETIS_K9DS</v>
      </c>
      <c r="B859" s="11" t="str">
        <f>ETLMetadata!$E859</f>
        <v>LOGICAL_DELETE_DATE</v>
      </c>
      <c r="C859" s="11" t="str">
        <f>IF(ISBLANK(ETLMetadata!$J859), "", ETLMetadata!$J859)</f>
        <v/>
      </c>
      <c r="D859" s="11" t="str">
        <f>ETLMetadata!$G859</f>
        <v>DATE</v>
      </c>
      <c r="E859" s="12"/>
      <c r="F859" s="12"/>
      <c r="G859" s="12" t="str">
        <f t="shared" si="26"/>
        <v/>
      </c>
      <c r="H859" s="12"/>
      <c r="I859" s="12"/>
      <c r="J859" s="13">
        <v>45952</v>
      </c>
      <c r="K859" s="13">
        <v>2958465</v>
      </c>
      <c r="L859" s="11" t="str">
        <f t="shared" si="27"/>
        <v>INSERT INTO metadata_reference.file_schema VALUES('DETM_DETIS_K9DS','LOGICAL_DELETE_DATE',NULL,'DATE',NULL,NULL,NULL,NULL,'2025-10-22','9999-12-31',USER, CURRENT_TIMESTAMP(0));</v>
      </c>
    </row>
    <row r="860" spans="1:12" ht="15" customHeight="1">
      <c r="A860" s="11" t="str">
        <f>ETLMetadata!$C860</f>
        <v>DETM_DETIS_K9DS</v>
      </c>
      <c r="B860" s="11" t="str">
        <f>ETLMetadata!$E860</f>
        <v>ENVIRONMENT_ID</v>
      </c>
      <c r="C860" s="11" t="str">
        <f>IF(ISBLANK(ETLMetadata!$J860), "", ETLMetadata!$J860)</f>
        <v>Y</v>
      </c>
      <c r="D860" s="11" t="str">
        <f>ETLMetadata!$G860</f>
        <v>CHAR(1)</v>
      </c>
      <c r="E860" s="12"/>
      <c r="F860" s="12"/>
      <c r="G860" s="12" t="str">
        <f t="shared" si="26"/>
        <v/>
      </c>
      <c r="H860" s="12"/>
      <c r="I860" s="12"/>
      <c r="J860" s="13">
        <v>45952</v>
      </c>
      <c r="K860" s="13">
        <v>2958465</v>
      </c>
      <c r="L860" s="11" t="str">
        <f t="shared" si="27"/>
        <v>INSERT INTO metadata_reference.file_schema VALUES('DETM_DETIS_K9DS','ENVIRONMENT_ID','Y','CHAR(1)',NULL,NULL,NULL,NULL,'2025-10-22','9999-12-31',USER, CURRENT_TIMESTAMP(0));</v>
      </c>
    </row>
    <row r="861" spans="1:12" ht="15" customHeight="1">
      <c r="A861" s="11" t="str">
        <f>ETLMetadata!$C861</f>
        <v>DETM_DETIS_K9DS</v>
      </c>
      <c r="B861" s="11" t="str">
        <f>ETLMetadata!$E861</f>
        <v>PERSON_ID</v>
      </c>
      <c r="C861" s="11" t="str">
        <f>IF(ISBLANK(ETLMetadata!$J861), "", ETLMetadata!$J861)</f>
        <v>Y</v>
      </c>
      <c r="D861" s="11" t="str">
        <f>ETLMetadata!$G861</f>
        <v>INTEGER</v>
      </c>
      <c r="E861" s="12"/>
      <c r="F861" s="12" t="s">
        <v>799</v>
      </c>
      <c r="G861" s="12" t="str">
        <f t="shared" si="26"/>
        <v>PERSONAL_IDENTITYINFOINDIRECT</v>
      </c>
      <c r="H861" s="12"/>
      <c r="I861" s="12"/>
      <c r="J861" s="13">
        <v>45952</v>
      </c>
      <c r="K861" s="13">
        <v>2958465</v>
      </c>
      <c r="L861" s="11" t="str">
        <f t="shared" si="27"/>
        <v>INSERT INTO metadata_reference.file_schema VALUES('DETM_DETIS_K9DS','PERSON_ID','Y','INTEGER',NULL,'PERSONAL_IDENTITYINFOINDIRECT',NULL,NULL,'2025-10-22','9999-12-31',USER, CURRENT_TIMESTAMP(0));</v>
      </c>
    </row>
    <row r="862" spans="1:12" ht="15" customHeight="1">
      <c r="A862" s="11" t="str">
        <f>ETLMetadata!$C862</f>
        <v>DETM_DETIS_K9DS</v>
      </c>
      <c r="B862" s="11" t="str">
        <f>ETLMetadata!$E862</f>
        <v>PROCESSING_SEQUENCE</v>
      </c>
      <c r="C862" s="11" t="str">
        <f>IF(ISBLANK(ETLMetadata!$J862), "", ETLMetadata!$J862)</f>
        <v>Y</v>
      </c>
      <c r="D862" s="11" t="str">
        <f>ETLMetadata!$G862</f>
        <v>SMALLINT</v>
      </c>
      <c r="E862" s="12"/>
      <c r="F862" s="12"/>
      <c r="G862" s="12" t="str">
        <f t="shared" si="26"/>
        <v/>
      </c>
      <c r="H862" s="12"/>
      <c r="I862" s="12"/>
      <c r="J862" s="13">
        <v>45952</v>
      </c>
      <c r="K862" s="13">
        <v>2958465</v>
      </c>
      <c r="L862" s="11" t="str">
        <f t="shared" si="27"/>
        <v>INSERT INTO metadata_reference.file_schema VALUES('DETM_DETIS_K9DS','PROCESSING_SEQUENCE','Y','SMALLINT',NULL,NULL,NULL,NULL,'2025-10-22','9999-12-31',USER, CURRENT_TIMESTAMP(0));</v>
      </c>
    </row>
    <row r="863" spans="1:12" ht="15" customHeight="1">
      <c r="A863" s="11" t="str">
        <f>ETLMetadata!$C863</f>
        <v>DETM_DETIS_K9DS</v>
      </c>
      <c r="B863" s="11" t="str">
        <f>ETLMetadata!$E863</f>
        <v>K9DS_AMR_1</v>
      </c>
      <c r="C863" s="11" t="str">
        <f>IF(ISBLANK(ETLMetadata!$J863), "", ETLMetadata!$J863)</f>
        <v/>
      </c>
      <c r="D863" s="11" t="str">
        <f>ETLMetadata!$G863</f>
        <v>CHAR(4)</v>
      </c>
      <c r="E863" s="12"/>
      <c r="F863" s="12"/>
      <c r="G863" s="12" t="str">
        <f t="shared" si="26"/>
        <v/>
      </c>
      <c r="H863" s="12"/>
      <c r="I863" s="12"/>
      <c r="J863" s="13">
        <v>45952</v>
      </c>
      <c r="K863" s="13">
        <v>2958465</v>
      </c>
      <c r="L863" s="11" t="str">
        <f t="shared" si="27"/>
        <v>INSERT INTO metadata_reference.file_schema VALUES('DETM_DETIS_K9DS','K9DS_AMR_1',NULL,'CHAR(4)',NULL,NULL,NULL,NULL,'2025-10-22','9999-12-31',USER, CURRENT_TIMESTAMP(0));</v>
      </c>
    </row>
    <row r="864" spans="1:12" ht="15" customHeight="1">
      <c r="A864" s="11" t="str">
        <f>ETLMetadata!$C864</f>
        <v>DETM_DETIS_K9DS</v>
      </c>
      <c r="B864" s="11" t="str">
        <f>ETLMetadata!$E864</f>
        <v>K9DS_AMR_2</v>
      </c>
      <c r="C864" s="11" t="str">
        <f>IF(ISBLANK(ETLMetadata!$J864), "", ETLMetadata!$J864)</f>
        <v/>
      </c>
      <c r="D864" s="11" t="str">
        <f>ETLMetadata!$G864</f>
        <v>CHAR(1)</v>
      </c>
      <c r="E864" s="12"/>
      <c r="F864" s="12"/>
      <c r="G864" s="12" t="str">
        <f t="shared" si="26"/>
        <v/>
      </c>
      <c r="H864" s="12"/>
      <c r="I864" s="12"/>
      <c r="J864" s="13">
        <v>45952</v>
      </c>
      <c r="K864" s="13">
        <v>2958465</v>
      </c>
      <c r="L864" s="11" t="str">
        <f t="shared" si="27"/>
        <v>INSERT INTO metadata_reference.file_schema VALUES('DETM_DETIS_K9DS','K9DS_AMR_2',NULL,'CHAR(1)',NULL,NULL,NULL,NULL,'2025-10-22','9999-12-31',USER, CURRENT_TIMESTAMP(0));</v>
      </c>
    </row>
    <row r="865" spans="1:12" ht="15" customHeight="1">
      <c r="A865" s="11" t="str">
        <f>ETLMetadata!$C865</f>
        <v>DETM_DETIS_K9DS</v>
      </c>
      <c r="B865" s="11" t="str">
        <f>ETLMetadata!$E865</f>
        <v>K9DS_AMR_3</v>
      </c>
      <c r="C865" s="11" t="str">
        <f>IF(ISBLANK(ETLMetadata!$J865), "", ETLMetadata!$J865)</f>
        <v/>
      </c>
      <c r="D865" s="11" t="str">
        <f>ETLMetadata!$G865</f>
        <v>CHAR(4)</v>
      </c>
      <c r="E865" s="12"/>
      <c r="F865" s="12"/>
      <c r="G865" s="12" t="str">
        <f t="shared" si="26"/>
        <v/>
      </c>
      <c r="H865" s="12"/>
      <c r="I865" s="12"/>
      <c r="J865" s="13">
        <v>45952</v>
      </c>
      <c r="K865" s="13">
        <v>2958465</v>
      </c>
      <c r="L865" s="11" t="str">
        <f t="shared" si="27"/>
        <v>INSERT INTO metadata_reference.file_schema VALUES('DETM_DETIS_K9DS','K9DS_AMR_3',NULL,'CHAR(4)',NULL,NULL,NULL,NULL,'2025-10-22','9999-12-31',USER, CURRENT_TIMESTAMP(0));</v>
      </c>
    </row>
    <row r="866" spans="1:12" ht="15" customHeight="1">
      <c r="A866" s="11" t="str">
        <f>ETLMetadata!$C866</f>
        <v>DETM_DETIS_K9DS</v>
      </c>
      <c r="B866" s="11" t="str">
        <f>ETLMetadata!$E866</f>
        <v>K9DS_DOE</v>
      </c>
      <c r="C866" s="11" t="str">
        <f>IF(ISBLANK(ETLMetadata!$J866), "", ETLMetadata!$J866)</f>
        <v/>
      </c>
      <c r="D866" s="11" t="str">
        <f>ETLMetadata!$G866</f>
        <v>DATE</v>
      </c>
      <c r="E866" s="12"/>
      <c r="F866" s="12"/>
      <c r="G866" s="12" t="str">
        <f t="shared" si="26"/>
        <v/>
      </c>
      <c r="H866" s="12"/>
      <c r="I866" s="12"/>
      <c r="J866" s="13">
        <v>45952</v>
      </c>
      <c r="K866" s="13">
        <v>2958465</v>
      </c>
      <c r="L866" s="11" t="str">
        <f t="shared" si="27"/>
        <v>INSERT INTO metadata_reference.file_schema VALUES('DETM_DETIS_K9DS','K9DS_DOE',NULL,'DATE',NULL,NULL,NULL,NULL,'2025-10-22','9999-12-31',USER, CURRENT_TIMESTAMP(0));</v>
      </c>
    </row>
    <row r="867" spans="1:12" ht="15" customHeight="1">
      <c r="A867" s="11" t="str">
        <f>ETLMetadata!$C867</f>
        <v>DETM_DETIS_K9DS</v>
      </c>
      <c r="B867" s="11" t="str">
        <f>ETLMetadata!$E867</f>
        <v>K9DS_DOE_ORIG</v>
      </c>
      <c r="C867" s="11" t="str">
        <f>IF(ISBLANK(ETLMetadata!$J867), "", ETLMetadata!$J867)</f>
        <v/>
      </c>
      <c r="D867" s="11" t="str">
        <f>ETLMetadata!$G867</f>
        <v>INTEGER</v>
      </c>
      <c r="E867" s="12"/>
      <c r="F867" s="12"/>
      <c r="G867" s="12" t="str">
        <f t="shared" si="26"/>
        <v/>
      </c>
      <c r="H867" s="12"/>
      <c r="I867" s="12"/>
      <c r="J867" s="13">
        <v>45952</v>
      </c>
      <c r="K867" s="13">
        <v>2958465</v>
      </c>
      <c r="L867" s="11" t="str">
        <f t="shared" si="27"/>
        <v>INSERT INTO metadata_reference.file_schema VALUES('DETM_DETIS_K9DS','K9DS_DOE_ORIG',NULL,'INTEGER',NULL,NULL,NULL,NULL,'2025-10-22','9999-12-31',USER, CURRENT_TIMESTAMP(0));</v>
      </c>
    </row>
    <row r="868" spans="1:12" ht="15" customHeight="1">
      <c r="A868" s="11" t="str">
        <f>ETLMetadata!$C868</f>
        <v>DETM_DETIS_K9DS</v>
      </c>
      <c r="B868" s="11" t="str">
        <f>ETLMetadata!$E868</f>
        <v>K9DS_BEN_TYPE_CODE</v>
      </c>
      <c r="C868" s="11" t="str">
        <f>IF(ISBLANK(ETLMetadata!$J868), "", ETLMetadata!$J868)</f>
        <v/>
      </c>
      <c r="D868" s="11" t="str">
        <f>ETLMetadata!$G868</f>
        <v>CHAR(3)</v>
      </c>
      <c r="E868" s="12"/>
      <c r="F868" s="12"/>
      <c r="G868" s="12" t="str">
        <f t="shared" si="26"/>
        <v/>
      </c>
      <c r="H868" s="12"/>
      <c r="I868" s="12"/>
      <c r="J868" s="13">
        <v>45952</v>
      </c>
      <c r="K868" s="13">
        <v>2958465</v>
      </c>
      <c r="L868" s="11" t="str">
        <f t="shared" si="27"/>
        <v>INSERT INTO metadata_reference.file_schema VALUES('DETM_DETIS_K9DS','K9DS_BEN_TYPE_CODE',NULL,'CHAR(3)',NULL,NULL,NULL,NULL,'2025-10-22','9999-12-31',USER, CURRENT_TIMESTAMP(0));</v>
      </c>
    </row>
    <row r="869" spans="1:12" ht="15" customHeight="1">
      <c r="A869" s="11" t="str">
        <f>ETLMetadata!$C869</f>
        <v>DETM_DETIS_K9DS</v>
      </c>
      <c r="B869" s="11" t="str">
        <f>ETLMetadata!$E869</f>
        <v>K9DS_STS_CODE</v>
      </c>
      <c r="C869" s="11" t="str">
        <f>IF(ISBLANK(ETLMetadata!$J869), "", ETLMetadata!$J869)</f>
        <v/>
      </c>
      <c r="D869" s="11" t="str">
        <f>ETLMetadata!$G869</f>
        <v>CHAR(3)</v>
      </c>
      <c r="E869" s="12"/>
      <c r="F869" s="12"/>
      <c r="G869" s="12" t="str">
        <f t="shared" si="26"/>
        <v/>
      </c>
      <c r="H869" s="12"/>
      <c r="I869" s="12"/>
      <c r="J869" s="13">
        <v>45952</v>
      </c>
      <c r="K869" s="13">
        <v>2958465</v>
      </c>
      <c r="L869" s="11" t="str">
        <f t="shared" si="27"/>
        <v>INSERT INTO metadata_reference.file_schema VALUES('DETM_DETIS_K9DS','K9DS_STS_CODE',NULL,'CHAR(3)',NULL,NULL,NULL,NULL,'2025-10-22','9999-12-31',USER, CURRENT_TIMESTAMP(0));</v>
      </c>
    </row>
    <row r="870" spans="1:12" ht="15" customHeight="1">
      <c r="A870" s="11" t="str">
        <f>ETLMetadata!$C870</f>
        <v>DETM_DETIS_K9DS</v>
      </c>
      <c r="B870" s="11" t="str">
        <f>ETLMetadata!$E870</f>
        <v>K9DS_RSN_CODE</v>
      </c>
      <c r="C870" s="11" t="str">
        <f>IF(ISBLANK(ETLMetadata!$J870), "", ETLMetadata!$J870)</f>
        <v/>
      </c>
      <c r="D870" s="11" t="str">
        <f>ETLMetadata!$G870</f>
        <v>CHAR(3)</v>
      </c>
      <c r="E870" s="12"/>
      <c r="F870" s="12"/>
      <c r="G870" s="12" t="str">
        <f t="shared" si="26"/>
        <v/>
      </c>
      <c r="H870" s="12"/>
      <c r="I870" s="12"/>
      <c r="J870" s="13">
        <v>45952</v>
      </c>
      <c r="K870" s="13">
        <v>2958465</v>
      </c>
      <c r="L870" s="11" t="str">
        <f t="shared" si="27"/>
        <v>INSERT INTO metadata_reference.file_schema VALUES('DETM_DETIS_K9DS','K9DS_RSN_CODE',NULL,'CHAR(3)',NULL,NULL,NULL,NULL,'2025-10-22','9999-12-31',USER, CURRENT_TIMESTAMP(0));</v>
      </c>
    </row>
    <row r="871" spans="1:12" ht="15" customHeight="1">
      <c r="A871" s="11" t="str">
        <f>ETLMetadata!$C871</f>
        <v>DETM_DETIS_K9DS</v>
      </c>
      <c r="B871" s="11" t="str">
        <f>ETLMetadata!$E871</f>
        <v>K9DS_UNIQ_ID</v>
      </c>
      <c r="C871" s="11" t="str">
        <f>IF(ISBLANK(ETLMetadata!$J871), "", ETLMetadata!$J871)</f>
        <v/>
      </c>
      <c r="D871" s="11" t="str">
        <f>ETLMetadata!$G871</f>
        <v>VARCHAR(8)</v>
      </c>
      <c r="E871" s="12"/>
      <c r="F871" s="12"/>
      <c r="G871" s="12" t="str">
        <f t="shared" si="26"/>
        <v/>
      </c>
      <c r="H871" s="12"/>
      <c r="I871" s="12"/>
      <c r="J871" s="13">
        <v>45952</v>
      </c>
      <c r="K871" s="13">
        <v>2958465</v>
      </c>
      <c r="L871" s="11" t="str">
        <f t="shared" si="27"/>
        <v>INSERT INTO metadata_reference.file_schema VALUES('DETM_DETIS_K9DS','K9DS_UNIQ_ID',NULL,'VARCHAR(8)',NULL,NULL,NULL,NULL,'2025-10-22','9999-12-31',USER, CURRENT_TIMESTAMP(0));</v>
      </c>
    </row>
    <row r="872" spans="1:12" ht="15" customHeight="1">
      <c r="A872" s="11" t="str">
        <f>ETLMetadata!$C872</f>
        <v>DETM_DETIS_K9DS</v>
      </c>
      <c r="B872" s="11" t="str">
        <f>ETLMetadata!$E872</f>
        <v>AMR1_RISL_DTS</v>
      </c>
      <c r="C872" s="11" t="str">
        <f>IF(ISBLANK(ETLMetadata!$J872), "", ETLMetadata!$J872)</f>
        <v/>
      </c>
      <c r="D872" s="11" t="str">
        <f>ETLMetadata!$G872</f>
        <v>TIMESTAMP(6)</v>
      </c>
      <c r="E872" s="12"/>
      <c r="F872" s="12"/>
      <c r="G872" s="12" t="str">
        <f t="shared" si="26"/>
        <v/>
      </c>
      <c r="H872" s="12"/>
      <c r="I872" s="12"/>
      <c r="J872" s="13">
        <v>45952</v>
      </c>
      <c r="K872" s="13">
        <v>2958465</v>
      </c>
      <c r="L872" s="11" t="str">
        <f t="shared" si="27"/>
        <v>INSERT INTO metadata_reference.file_schema VALUES('DETM_DETIS_K9DS','AMR1_RISL_DTS',NULL,'TIMESTAMP(6)',NULL,NULL,NULL,NULL,'2025-10-22','9999-12-31',USER, CURRENT_TIMESTAMP(0));</v>
      </c>
    </row>
    <row r="873" spans="1:12" ht="15" customHeight="1">
      <c r="A873" s="11" t="str">
        <f>ETLMetadata!$C873</f>
        <v>DETM_DETIS_K9DS</v>
      </c>
      <c r="B873" s="11" t="str">
        <f>ETLMetadata!$E873</f>
        <v>AMR3_RISL_DTS</v>
      </c>
      <c r="C873" s="11" t="str">
        <f>IF(ISBLANK(ETLMetadata!$J873), "", ETLMetadata!$J873)</f>
        <v/>
      </c>
      <c r="D873" s="11" t="str">
        <f>ETLMetadata!$G873</f>
        <v>TIMESTAMP(6)</v>
      </c>
      <c r="E873" s="12"/>
      <c r="F873" s="12"/>
      <c r="G873" s="12" t="str">
        <f t="shared" si="26"/>
        <v/>
      </c>
      <c r="H873" s="12"/>
      <c r="I873" s="12"/>
      <c r="J873" s="13">
        <v>45952</v>
      </c>
      <c r="K873" s="13">
        <v>2958465</v>
      </c>
      <c r="L873" s="11" t="str">
        <f t="shared" si="27"/>
        <v>INSERT INTO metadata_reference.file_schema VALUES('DETM_DETIS_K9DS','AMR3_RISL_DTS',NULL,'TIMESTAMP(6)',NULL,NULL,NULL,NULL,'2025-10-22','9999-12-31',USER, CURRENT_TIMESTAMP(0));</v>
      </c>
    </row>
    <row r="874" spans="1:12" ht="15" customHeight="1">
      <c r="A874" s="11" t="str">
        <f>ETLMetadata!$C874</f>
        <v>DETM_DETIS_K9DS</v>
      </c>
      <c r="B874" s="11" t="str">
        <f>ETLMetadata!$E874</f>
        <v>EPISODE_ID</v>
      </c>
      <c r="C874" s="11" t="str">
        <f>IF(ISBLANK(ETLMetadata!$J874), "", ETLMetadata!$J874)</f>
        <v/>
      </c>
      <c r="D874" s="11" t="str">
        <f>ETLMetadata!$G874</f>
        <v>INTEGER</v>
      </c>
      <c r="E874" s="12"/>
      <c r="F874" s="12"/>
      <c r="G874" s="12" t="str">
        <f t="shared" si="26"/>
        <v/>
      </c>
      <c r="H874" s="12"/>
      <c r="I874" s="12"/>
      <c r="J874" s="13">
        <v>45952</v>
      </c>
      <c r="K874" s="13">
        <v>2958465</v>
      </c>
      <c r="L874" s="11" t="str">
        <f t="shared" si="27"/>
        <v>INSERT INTO metadata_reference.file_schema VALUES('DETM_DETIS_K9DS','EPISODE_ID',NULL,'INTEGER',NULL,NULL,NULL,NULL,'2025-10-22','9999-12-31',USER, CURRENT_TIMESTAMP(0));</v>
      </c>
    </row>
    <row r="875" spans="1:12" ht="15" customHeight="1">
      <c r="A875" s="11" t="str">
        <f>ETLMetadata!$C875</f>
        <v>DETM_DETIS_K9DS</v>
      </c>
      <c r="B875" s="11" t="str">
        <f>ETLMetadata!$E875</f>
        <v>PARTY_ROLE_ID</v>
      </c>
      <c r="C875" s="11" t="str">
        <f>IF(ISBLANK(ETLMetadata!$J875), "", ETLMetadata!$J875)</f>
        <v/>
      </c>
      <c r="D875" s="11" t="str">
        <f>ETLMetadata!$G875</f>
        <v>INTEGER</v>
      </c>
      <c r="E875" s="12"/>
      <c r="F875" s="12"/>
      <c r="G875" s="12" t="str">
        <f t="shared" si="26"/>
        <v/>
      </c>
      <c r="H875" s="12"/>
      <c r="I875" s="12"/>
      <c r="J875" s="13">
        <v>45952</v>
      </c>
      <c r="K875" s="13">
        <v>2958465</v>
      </c>
      <c r="L875" s="11" t="str">
        <f t="shared" si="27"/>
        <v>INSERT INTO metadata_reference.file_schema VALUES('DETM_DETIS_K9DS','PARTY_ROLE_ID',NULL,'INTEGER',NULL,NULL,NULL,NULL,'2025-10-22','9999-12-31',USER, CURRENT_TIMESTAMP(0));</v>
      </c>
    </row>
    <row r="876" spans="1:12" ht="15" customHeight="1">
      <c r="A876" s="11" t="str">
        <f>ETLMetadata!$C876</f>
        <v>DETM_DETIS_K9DS</v>
      </c>
      <c r="B876" s="11" t="str">
        <f>ETLMetadata!$E876</f>
        <v>PAYMENT_TYPE_ID</v>
      </c>
      <c r="C876" s="11" t="str">
        <f>IF(ISBLANK(ETLMetadata!$J876), "", ETLMetadata!$J876)</f>
        <v/>
      </c>
      <c r="D876" s="11" t="str">
        <f>ETLMetadata!$G876</f>
        <v>INTEGER</v>
      </c>
      <c r="E876" s="12"/>
      <c r="F876" s="12"/>
      <c r="G876" s="12" t="str">
        <f t="shared" si="26"/>
        <v/>
      </c>
      <c r="H876" s="12"/>
      <c r="I876" s="12"/>
      <c r="J876" s="13">
        <v>45952</v>
      </c>
      <c r="K876" s="13">
        <v>2958465</v>
      </c>
      <c r="L876" s="11" t="str">
        <f t="shared" si="27"/>
        <v>INSERT INTO metadata_reference.file_schema VALUES('DETM_DETIS_K9DS','PAYMENT_TYPE_ID',NULL,'INTEGER',NULL,NULL,NULL,NULL,'2025-10-22','9999-12-31',USER, CURRENT_TIMESTAMP(0));</v>
      </c>
    </row>
    <row r="877" spans="1:12" ht="15" customHeight="1">
      <c r="A877" s="11" t="str">
        <f>ETLMetadata!$C877</f>
        <v>DETM_DETIS_K9DS</v>
      </c>
      <c r="B877" s="11" t="str">
        <f>ETLMetadata!$E877</f>
        <v>ERROR_COUNT</v>
      </c>
      <c r="C877" s="11" t="str">
        <f>IF(ISBLANK(ETLMetadata!$J877), "", ETLMetadata!$J877)</f>
        <v/>
      </c>
      <c r="D877" s="11" t="str">
        <f>ETLMetadata!$G877</f>
        <v>SMALLINT</v>
      </c>
      <c r="E877" s="12"/>
      <c r="F877" s="12"/>
      <c r="G877" s="12" t="str">
        <f t="shared" si="26"/>
        <v/>
      </c>
      <c r="H877" s="12"/>
      <c r="I877" s="12"/>
      <c r="J877" s="13">
        <v>45952</v>
      </c>
      <c r="K877" s="13">
        <v>2958465</v>
      </c>
      <c r="L877" s="11" t="str">
        <f t="shared" si="27"/>
        <v>INSERT INTO metadata_reference.file_schema VALUES('DETM_DETIS_K9DS','ERROR_COUNT',NULL,'SMALLINT',NULL,NULL,NULL,NULL,'2025-10-22','9999-12-31',USER, CURRENT_TIMESTAMP(0));</v>
      </c>
    </row>
    <row r="878" spans="1:12" ht="15" customHeight="1">
      <c r="A878" s="11" t="str">
        <f>ETLMetadata!$C878</f>
        <v>DETM_DETIS_K9DS</v>
      </c>
      <c r="B878" s="11" t="str">
        <f>ETLMetadata!$E878</f>
        <v>Start_Date</v>
      </c>
      <c r="C878" s="11" t="str">
        <f>IF(ISBLANK(ETLMetadata!$J878), "", ETLMetadata!$J878)</f>
        <v/>
      </c>
      <c r="D878" s="11" t="str">
        <f>ETLMetadata!$G878</f>
        <v>DATE</v>
      </c>
      <c r="E878" s="12"/>
      <c r="F878" s="12"/>
      <c r="G878" s="12" t="str">
        <f t="shared" si="26"/>
        <v/>
      </c>
      <c r="H878" s="12"/>
      <c r="I878" s="12"/>
      <c r="J878" s="13">
        <v>45952</v>
      </c>
      <c r="K878" s="13">
        <v>2958465</v>
      </c>
      <c r="L878" s="11" t="str">
        <f t="shared" si="27"/>
        <v>INSERT INTO metadata_reference.file_schema VALUES('DETM_DETIS_K9DS','Start_Date',NULL,'DATE',NULL,NULL,NULL,NULL,'2025-10-22','9999-12-31',USER, CURRENT_TIMESTAMP(0));</v>
      </c>
    </row>
    <row r="879" spans="1:12" ht="15" customHeight="1">
      <c r="A879" s="11" t="str">
        <f>ETLMetadata!$C879</f>
        <v>DETM_DETIS_K9DS</v>
      </c>
      <c r="B879" s="11" t="str">
        <f>ETLMetadata!$E879</f>
        <v>End_Date</v>
      </c>
      <c r="C879" s="11" t="str">
        <f>IF(ISBLANK(ETLMetadata!$J879), "", ETLMetadata!$J879)</f>
        <v/>
      </c>
      <c r="D879" s="11" t="str">
        <f>ETLMetadata!$G879</f>
        <v>DATE</v>
      </c>
      <c r="E879" s="12"/>
      <c r="F879" s="12"/>
      <c r="G879" s="12" t="str">
        <f t="shared" si="26"/>
        <v/>
      </c>
      <c r="H879" s="12"/>
      <c r="I879" s="12"/>
      <c r="J879" s="13">
        <v>45952</v>
      </c>
      <c r="K879" s="13">
        <v>2958465</v>
      </c>
      <c r="L879" s="11" t="str">
        <f t="shared" si="27"/>
        <v>INSERT INTO metadata_reference.file_schema VALUES('DETM_DETIS_K9DS','End_Date',NULL,'DATE',NULL,NULL,NULL,NULL,'2025-10-22','9999-12-31',USER, CURRENT_TIMESTAMP(0));</v>
      </c>
    </row>
    <row r="880" spans="1:12" ht="15" customHeight="1">
      <c r="A880" s="11" t="str">
        <f>ETLMetadata!$C880</f>
        <v>DETM_DETIS_K9DS</v>
      </c>
      <c r="B880" s="11" t="str">
        <f>ETLMetadata!$E880</f>
        <v>Record_Deleted_Flag</v>
      </c>
      <c r="C880" s="11" t="str">
        <f>IF(ISBLANK(ETLMetadata!$J880), "", ETLMetadata!$J880)</f>
        <v/>
      </c>
      <c r="D880" s="11" t="str">
        <f>ETLMetadata!$G880</f>
        <v>BYTEINT</v>
      </c>
      <c r="E880" s="12"/>
      <c r="F880" s="12"/>
      <c r="G880" s="12" t="str">
        <f t="shared" si="26"/>
        <v/>
      </c>
      <c r="H880" s="12"/>
      <c r="I880" s="12"/>
      <c r="J880" s="13">
        <v>45952</v>
      </c>
      <c r="K880" s="13">
        <v>2958465</v>
      </c>
      <c r="L880" s="11" t="str">
        <f t="shared" si="27"/>
        <v>INSERT INTO metadata_reference.file_schema VALUES('DETM_DETIS_K9DS','Record_Deleted_Flag',NULL,'BYTEINT',NULL,NULL,NULL,NULL,'2025-10-22','9999-12-31',USER, CURRENT_TIMESTAMP(0));</v>
      </c>
    </row>
    <row r="881" spans="1:12" ht="15" customHeight="1">
      <c r="A881" s="11" t="str">
        <f>ETLMetadata!$C881</f>
        <v>DETM_DETIS_LIDS</v>
      </c>
      <c r="B881" s="11" t="str">
        <f>ETLMetadata!$E881</f>
        <v>EXTRACT_DATE</v>
      </c>
      <c r="C881" s="11" t="str">
        <f>IF(ISBLANK(ETLMetadata!$J881), "", ETLMetadata!$J881)</f>
        <v/>
      </c>
      <c r="D881" s="11" t="str">
        <f>ETLMetadata!$G881</f>
        <v>DATE</v>
      </c>
      <c r="E881" s="12"/>
      <c r="F881" s="12"/>
      <c r="G881" s="12" t="str">
        <f t="shared" si="26"/>
        <v/>
      </c>
      <c r="H881" s="12"/>
      <c r="I881" s="12"/>
      <c r="J881" s="13">
        <v>45952</v>
      </c>
      <c r="K881" s="13">
        <v>2958465</v>
      </c>
      <c r="L881" s="11" t="str">
        <f t="shared" si="27"/>
        <v>INSERT INTO metadata_reference.file_schema VALUES('DETM_DETIS_LIDS','EXTRACT_DATE',NULL,'DATE',NULL,NULL,NULL,NULL,'2025-10-22','9999-12-31',USER, CURRENT_TIMESTAMP(0));</v>
      </c>
    </row>
    <row r="882" spans="1:12" ht="15" customHeight="1">
      <c r="A882" s="11" t="str">
        <f>ETLMetadata!$C882</f>
        <v>DETM_DETIS_LIDS</v>
      </c>
      <c r="B882" s="11" t="str">
        <f>ETLMetadata!$E882</f>
        <v>LOGICAL_DELETE_DATE</v>
      </c>
      <c r="C882" s="11" t="str">
        <f>IF(ISBLANK(ETLMetadata!$J882), "", ETLMetadata!$J882)</f>
        <v/>
      </c>
      <c r="D882" s="11" t="str">
        <f>ETLMetadata!$G882</f>
        <v>DATE</v>
      </c>
      <c r="E882" s="12"/>
      <c r="F882" s="12"/>
      <c r="G882" s="12" t="str">
        <f t="shared" si="26"/>
        <v/>
      </c>
      <c r="H882" s="12"/>
      <c r="I882" s="12"/>
      <c r="J882" s="13">
        <v>45952</v>
      </c>
      <c r="K882" s="13">
        <v>2958465</v>
      </c>
      <c r="L882" s="11" t="str">
        <f t="shared" si="27"/>
        <v>INSERT INTO metadata_reference.file_schema VALUES('DETM_DETIS_LIDS','LOGICAL_DELETE_DATE',NULL,'DATE',NULL,NULL,NULL,NULL,'2025-10-22','9999-12-31',USER, CURRENT_TIMESTAMP(0));</v>
      </c>
    </row>
    <row r="883" spans="1:12" ht="15" customHeight="1">
      <c r="A883" s="11" t="str">
        <f>ETLMetadata!$C883</f>
        <v>DETM_DETIS_LIDS</v>
      </c>
      <c r="B883" s="11" t="str">
        <f>ETLMetadata!$E883</f>
        <v>ENVIRONMENT_ID</v>
      </c>
      <c r="C883" s="11" t="str">
        <f>IF(ISBLANK(ETLMetadata!$J883), "", ETLMetadata!$J883)</f>
        <v>Y</v>
      </c>
      <c r="D883" s="11" t="str">
        <f>ETLMetadata!$G883</f>
        <v>CHAR(1)</v>
      </c>
      <c r="E883" s="12"/>
      <c r="F883" s="12"/>
      <c r="G883" s="12" t="str">
        <f t="shared" si="26"/>
        <v/>
      </c>
      <c r="H883" s="12"/>
      <c r="I883" s="12"/>
      <c r="J883" s="13">
        <v>45952</v>
      </c>
      <c r="K883" s="13">
        <v>2958465</v>
      </c>
      <c r="L883" s="11" t="str">
        <f t="shared" si="27"/>
        <v>INSERT INTO metadata_reference.file_schema VALUES('DETM_DETIS_LIDS','ENVIRONMENT_ID','Y','CHAR(1)',NULL,NULL,NULL,NULL,'2025-10-22','9999-12-31',USER, CURRENT_TIMESTAMP(0));</v>
      </c>
    </row>
    <row r="884" spans="1:12" ht="15" customHeight="1">
      <c r="A884" s="11" t="str">
        <f>ETLMetadata!$C884</f>
        <v>DETM_DETIS_LIDS</v>
      </c>
      <c r="B884" s="11" t="str">
        <f>ETLMetadata!$E884</f>
        <v>PERSON_ID</v>
      </c>
      <c r="C884" s="11" t="str">
        <f>IF(ISBLANK(ETLMetadata!$J884), "", ETLMetadata!$J884)</f>
        <v>Y</v>
      </c>
      <c r="D884" s="11" t="str">
        <f>ETLMetadata!$G884</f>
        <v>INTEGER</v>
      </c>
      <c r="E884" s="12"/>
      <c r="F884" s="12" t="s">
        <v>799</v>
      </c>
      <c r="G884" s="12" t="str">
        <f t="shared" si="26"/>
        <v>PERSONAL_IDENTITYINFOINDIRECT</v>
      </c>
      <c r="H884" s="12"/>
      <c r="I884" s="12"/>
      <c r="J884" s="13">
        <v>45952</v>
      </c>
      <c r="K884" s="13">
        <v>2958465</v>
      </c>
      <c r="L884" s="11" t="str">
        <f t="shared" si="27"/>
        <v>INSERT INTO metadata_reference.file_schema VALUES('DETM_DETIS_LIDS','PERSON_ID','Y','INTEGER',NULL,'PERSONAL_IDENTITYINFOINDIRECT',NULL,NULL,'2025-10-22','9999-12-31',USER, CURRENT_TIMESTAMP(0));</v>
      </c>
    </row>
    <row r="885" spans="1:12" ht="15" customHeight="1">
      <c r="A885" s="11" t="str">
        <f>ETLMetadata!$C885</f>
        <v>DETM_DETIS_LIDS</v>
      </c>
      <c r="B885" s="11" t="str">
        <f>ETLMetadata!$E885</f>
        <v>LIDS_DOE</v>
      </c>
      <c r="C885" s="11" t="str">
        <f>IF(ISBLANK(ETLMetadata!$J885), "", ETLMetadata!$J885)</f>
        <v/>
      </c>
      <c r="D885" s="11" t="str">
        <f>ETLMetadata!$G885</f>
        <v>DATE</v>
      </c>
      <c r="E885" s="12"/>
      <c r="F885" s="12"/>
      <c r="G885" s="12" t="str">
        <f t="shared" si="26"/>
        <v/>
      </c>
      <c r="H885" s="12"/>
      <c r="I885" s="12"/>
      <c r="J885" s="13">
        <v>45952</v>
      </c>
      <c r="K885" s="13">
        <v>2958465</v>
      </c>
      <c r="L885" s="11" t="str">
        <f t="shared" si="27"/>
        <v>INSERT INTO metadata_reference.file_schema VALUES('DETM_DETIS_LIDS','LIDS_DOE',NULL,'DATE',NULL,NULL,NULL,NULL,'2025-10-22','9999-12-31',USER, CURRENT_TIMESTAMP(0));</v>
      </c>
    </row>
    <row r="886" spans="1:12" ht="15" customHeight="1">
      <c r="A886" s="11" t="str">
        <f>ETLMetadata!$C886</f>
        <v>DETM_DETIS_LIDS</v>
      </c>
      <c r="B886" s="11" t="str">
        <f>ETLMetadata!$E886</f>
        <v>LIDS_DOE_ORIG</v>
      </c>
      <c r="C886" s="11" t="str">
        <f>IF(ISBLANK(ETLMetadata!$J886), "", ETLMetadata!$J886)</f>
        <v/>
      </c>
      <c r="D886" s="11" t="str">
        <f>ETLMetadata!$G886</f>
        <v>INTEGER</v>
      </c>
      <c r="E886" s="12"/>
      <c r="F886" s="12"/>
      <c r="G886" s="12" t="str">
        <f t="shared" si="26"/>
        <v/>
      </c>
      <c r="H886" s="12"/>
      <c r="I886" s="12"/>
      <c r="J886" s="13">
        <v>45952</v>
      </c>
      <c r="K886" s="13">
        <v>2958465</v>
      </c>
      <c r="L886" s="11" t="str">
        <f t="shared" si="27"/>
        <v>INSERT INTO metadata_reference.file_schema VALUES('DETM_DETIS_LIDS','LIDS_DOE_ORIG',NULL,'INTEGER',NULL,NULL,NULL,NULL,'2025-10-22','9999-12-31',USER, CURRENT_TIMESTAMP(0));</v>
      </c>
    </row>
    <row r="887" spans="1:12" ht="15" customHeight="1">
      <c r="A887" s="11" t="str">
        <f>ETLMetadata!$C887</f>
        <v>DETM_DETIS_LIDS</v>
      </c>
      <c r="B887" s="11" t="str">
        <f>ETLMetadata!$E887</f>
        <v>LIDS_STS_CODE</v>
      </c>
      <c r="C887" s="11" t="str">
        <f>IF(ISBLANK(ETLMetadata!$J887), "", ETLMetadata!$J887)</f>
        <v/>
      </c>
      <c r="D887" s="11" t="str">
        <f>ETLMetadata!$G887</f>
        <v>CHAR(3)</v>
      </c>
      <c r="E887" s="12"/>
      <c r="F887" s="12"/>
      <c r="G887" s="12" t="str">
        <f t="shared" si="26"/>
        <v/>
      </c>
      <c r="H887" s="12"/>
      <c r="I887" s="12"/>
      <c r="J887" s="13">
        <v>45952</v>
      </c>
      <c r="K887" s="13">
        <v>2958465</v>
      </c>
      <c r="L887" s="11" t="str">
        <f t="shared" si="27"/>
        <v>INSERT INTO metadata_reference.file_schema VALUES('DETM_DETIS_LIDS','LIDS_STS_CODE',NULL,'CHAR(3)',NULL,NULL,NULL,NULL,'2025-10-22','9999-12-31',USER, CURRENT_TIMESTAMP(0));</v>
      </c>
    </row>
    <row r="888" spans="1:12" ht="15" customHeight="1">
      <c r="A888" s="11" t="str">
        <f>ETLMetadata!$C888</f>
        <v>DETM_DETIS_LIDS</v>
      </c>
      <c r="B888" s="11" t="str">
        <f>ETLMetadata!$E888</f>
        <v>PROCESSING_SEQUENCE</v>
      </c>
      <c r="C888" s="11" t="str">
        <f>IF(ISBLANK(ETLMetadata!$J888), "", ETLMetadata!$J888)</f>
        <v>Y</v>
      </c>
      <c r="D888" s="11" t="str">
        <f>ETLMetadata!$G888</f>
        <v>SMALLINT</v>
      </c>
      <c r="E888" s="12"/>
      <c r="F888" s="12"/>
      <c r="G888" s="12" t="str">
        <f t="shared" si="26"/>
        <v/>
      </c>
      <c r="H888" s="12"/>
      <c r="I888" s="12"/>
      <c r="J888" s="13">
        <v>45952</v>
      </c>
      <c r="K888" s="13">
        <v>2958465</v>
      </c>
      <c r="L888" s="11" t="str">
        <f t="shared" si="27"/>
        <v>INSERT INTO metadata_reference.file_schema VALUES('DETM_DETIS_LIDS','PROCESSING_SEQUENCE','Y','SMALLINT',NULL,NULL,NULL,NULL,'2025-10-22','9999-12-31',USER, CURRENT_TIMESTAMP(0));</v>
      </c>
    </row>
    <row r="889" spans="1:12" ht="15" customHeight="1">
      <c r="A889" s="11" t="str">
        <f>ETLMetadata!$C889</f>
        <v>DETM_DETIS_LIDS</v>
      </c>
      <c r="B889" s="11" t="str">
        <f>ETLMetadata!$E889</f>
        <v>LIDS_AMR_1</v>
      </c>
      <c r="C889" s="11" t="str">
        <f>IF(ISBLANK(ETLMetadata!$J889), "", ETLMetadata!$J889)</f>
        <v/>
      </c>
      <c r="D889" s="11" t="str">
        <f>ETLMetadata!$G889</f>
        <v>CHAR(4)</v>
      </c>
      <c r="E889" s="12"/>
      <c r="F889" s="12"/>
      <c r="G889" s="12" t="str">
        <f t="shared" si="26"/>
        <v/>
      </c>
      <c r="H889" s="12"/>
      <c r="I889" s="12"/>
      <c r="J889" s="13">
        <v>45952</v>
      </c>
      <c r="K889" s="13">
        <v>2958465</v>
      </c>
      <c r="L889" s="11" t="str">
        <f t="shared" si="27"/>
        <v>INSERT INTO metadata_reference.file_schema VALUES('DETM_DETIS_LIDS','LIDS_AMR_1',NULL,'CHAR(4)',NULL,NULL,NULL,NULL,'2025-10-22','9999-12-31',USER, CURRENT_TIMESTAMP(0));</v>
      </c>
    </row>
    <row r="890" spans="1:12" ht="15" customHeight="1">
      <c r="A890" s="11" t="str">
        <f>ETLMetadata!$C890</f>
        <v>DETM_DETIS_LIDS</v>
      </c>
      <c r="B890" s="11" t="str">
        <f>ETLMetadata!$E890</f>
        <v>LIDS_AMR_2</v>
      </c>
      <c r="C890" s="11" t="str">
        <f>IF(ISBLANK(ETLMetadata!$J890), "", ETLMetadata!$J890)</f>
        <v/>
      </c>
      <c r="D890" s="11" t="str">
        <f>ETLMetadata!$G890</f>
        <v>CHAR(1)</v>
      </c>
      <c r="E890" s="12"/>
      <c r="F890" s="12"/>
      <c r="G890" s="12" t="str">
        <f t="shared" si="26"/>
        <v/>
      </c>
      <c r="H890" s="12"/>
      <c r="I890" s="12"/>
      <c r="J890" s="13">
        <v>45952</v>
      </c>
      <c r="K890" s="13">
        <v>2958465</v>
      </c>
      <c r="L890" s="11" t="str">
        <f t="shared" si="27"/>
        <v>INSERT INTO metadata_reference.file_schema VALUES('DETM_DETIS_LIDS','LIDS_AMR_2',NULL,'CHAR(1)',NULL,NULL,NULL,NULL,'2025-10-22','9999-12-31',USER, CURRENT_TIMESTAMP(0));</v>
      </c>
    </row>
    <row r="891" spans="1:12" ht="15" customHeight="1">
      <c r="A891" s="11" t="str">
        <f>ETLMetadata!$C891</f>
        <v>DETM_DETIS_LIDS</v>
      </c>
      <c r="B891" s="11" t="str">
        <f>ETLMetadata!$E891</f>
        <v>LIDS_AMR_3</v>
      </c>
      <c r="C891" s="11" t="str">
        <f>IF(ISBLANK(ETLMetadata!$J891), "", ETLMetadata!$J891)</f>
        <v/>
      </c>
      <c r="D891" s="11" t="str">
        <f>ETLMetadata!$G891</f>
        <v>CHAR(4)</v>
      </c>
      <c r="E891" s="12"/>
      <c r="F891" s="12"/>
      <c r="G891" s="12" t="str">
        <f t="shared" si="26"/>
        <v/>
      </c>
      <c r="H891" s="12"/>
      <c r="I891" s="12"/>
      <c r="J891" s="13">
        <v>45952</v>
      </c>
      <c r="K891" s="13">
        <v>2958465</v>
      </c>
      <c r="L891" s="11" t="str">
        <f t="shared" si="27"/>
        <v>INSERT INTO metadata_reference.file_schema VALUES('DETM_DETIS_LIDS','LIDS_AMR_3',NULL,'CHAR(4)',NULL,NULL,NULL,NULL,'2025-10-22','9999-12-31',USER, CURRENT_TIMESTAMP(0));</v>
      </c>
    </row>
    <row r="892" spans="1:12" ht="15" customHeight="1">
      <c r="A892" s="11" t="str">
        <f>ETLMetadata!$C892</f>
        <v>DETM_DETIS_LIDS</v>
      </c>
      <c r="B892" s="11" t="str">
        <f>ETLMetadata!$E892</f>
        <v>LIDS_BEN_TYPE_CODE</v>
      </c>
      <c r="C892" s="11" t="str">
        <f>IF(ISBLANK(ETLMetadata!$J892), "", ETLMetadata!$J892)</f>
        <v/>
      </c>
      <c r="D892" s="11" t="str">
        <f>ETLMetadata!$G892</f>
        <v>CHAR(3)</v>
      </c>
      <c r="E892" s="12"/>
      <c r="F892" s="12"/>
      <c r="G892" s="12" t="str">
        <f t="shared" si="26"/>
        <v/>
      </c>
      <c r="H892" s="12"/>
      <c r="I892" s="12"/>
      <c r="J892" s="13">
        <v>45952</v>
      </c>
      <c r="K892" s="13">
        <v>2958465</v>
      </c>
      <c r="L892" s="11" t="str">
        <f t="shared" si="27"/>
        <v>INSERT INTO metadata_reference.file_schema VALUES('DETM_DETIS_LIDS','LIDS_BEN_TYPE_CODE',NULL,'CHAR(3)',NULL,NULL,NULL,NULL,'2025-10-22','9999-12-31',USER, CURRENT_TIMESTAMP(0));</v>
      </c>
    </row>
    <row r="893" spans="1:12" ht="15" customHeight="1">
      <c r="A893" s="11" t="str">
        <f>ETLMetadata!$C893</f>
        <v>DETM_DETIS_LIDS</v>
      </c>
      <c r="B893" s="11" t="str">
        <f>ETLMetadata!$E893</f>
        <v>LIDS_RSN_CODE</v>
      </c>
      <c r="C893" s="11" t="str">
        <f>IF(ISBLANK(ETLMetadata!$J893), "", ETLMetadata!$J893)</f>
        <v/>
      </c>
      <c r="D893" s="11" t="str">
        <f>ETLMetadata!$G893</f>
        <v>CHAR(3)</v>
      </c>
      <c r="E893" s="12"/>
      <c r="F893" s="12"/>
      <c r="G893" s="12" t="str">
        <f t="shared" si="26"/>
        <v/>
      </c>
      <c r="H893" s="12"/>
      <c r="I893" s="12"/>
      <c r="J893" s="13">
        <v>45952</v>
      </c>
      <c r="K893" s="13">
        <v>2958465</v>
      </c>
      <c r="L893" s="11" t="str">
        <f t="shared" si="27"/>
        <v>INSERT INTO metadata_reference.file_schema VALUES('DETM_DETIS_LIDS','LIDS_RSN_CODE',NULL,'CHAR(3)',NULL,NULL,NULL,NULL,'2025-10-22','9999-12-31',USER, CURRENT_TIMESTAMP(0));</v>
      </c>
    </row>
    <row r="894" spans="1:12" ht="15" customHeight="1">
      <c r="A894" s="11" t="str">
        <f>ETLMetadata!$C894</f>
        <v>DETM_DETIS_LIDS</v>
      </c>
      <c r="B894" s="11" t="str">
        <f>ETLMetadata!$E894</f>
        <v>ERROR_COUNT</v>
      </c>
      <c r="C894" s="11" t="str">
        <f>IF(ISBLANK(ETLMetadata!$J894), "", ETLMetadata!$J894)</f>
        <v/>
      </c>
      <c r="D894" s="11" t="str">
        <f>ETLMetadata!$G894</f>
        <v>SMALLINT</v>
      </c>
      <c r="E894" s="12"/>
      <c r="F894" s="12"/>
      <c r="G894" s="12" t="str">
        <f t="shared" si="26"/>
        <v/>
      </c>
      <c r="H894" s="12"/>
      <c r="I894" s="12"/>
      <c r="J894" s="13">
        <v>45952</v>
      </c>
      <c r="K894" s="13">
        <v>2958465</v>
      </c>
      <c r="L894" s="11" t="str">
        <f t="shared" si="27"/>
        <v>INSERT INTO metadata_reference.file_schema VALUES('DETM_DETIS_LIDS','ERROR_COUNT',NULL,'SMALLINT',NULL,NULL,NULL,NULL,'2025-10-22','9999-12-31',USER, CURRENT_TIMESTAMP(0));</v>
      </c>
    </row>
    <row r="895" spans="1:12" ht="15" customHeight="1">
      <c r="A895" s="11" t="str">
        <f>ETLMetadata!$C895</f>
        <v>DETM_DETIS_LIDS</v>
      </c>
      <c r="B895" s="11" t="str">
        <f>ETLMetadata!$E895</f>
        <v>AMR1_RISL_DTS</v>
      </c>
      <c r="C895" s="11" t="str">
        <f>IF(ISBLANK(ETLMetadata!$J895), "", ETLMetadata!$J895)</f>
        <v/>
      </c>
      <c r="D895" s="11" t="str">
        <f>ETLMetadata!$G895</f>
        <v>TIMESTAMP(6)</v>
      </c>
      <c r="E895" s="12"/>
      <c r="F895" s="12"/>
      <c r="G895" s="12" t="str">
        <f t="shared" si="26"/>
        <v/>
      </c>
      <c r="H895" s="12"/>
      <c r="I895" s="12"/>
      <c r="J895" s="13">
        <v>45952</v>
      </c>
      <c r="K895" s="13">
        <v>2958465</v>
      </c>
      <c r="L895" s="11" t="str">
        <f t="shared" si="27"/>
        <v>INSERT INTO metadata_reference.file_schema VALUES('DETM_DETIS_LIDS','AMR1_RISL_DTS',NULL,'TIMESTAMP(6)',NULL,NULL,NULL,NULL,'2025-10-22','9999-12-31',USER, CURRENT_TIMESTAMP(0));</v>
      </c>
    </row>
    <row r="896" spans="1:12" ht="15" customHeight="1">
      <c r="A896" s="11" t="str">
        <f>ETLMetadata!$C896</f>
        <v>DETM_DETIS_LIDS</v>
      </c>
      <c r="B896" s="11" t="str">
        <f>ETLMetadata!$E896</f>
        <v>AMR3_RISL_DTS</v>
      </c>
      <c r="C896" s="11" t="str">
        <f>IF(ISBLANK(ETLMetadata!$J896), "", ETLMetadata!$J896)</f>
        <v/>
      </c>
      <c r="D896" s="11" t="str">
        <f>ETLMetadata!$G896</f>
        <v>TIMESTAMP(6)</v>
      </c>
      <c r="E896" s="12"/>
      <c r="F896" s="12"/>
      <c r="G896" s="12" t="str">
        <f t="shared" si="26"/>
        <v/>
      </c>
      <c r="H896" s="12"/>
      <c r="I896" s="12"/>
      <c r="J896" s="13">
        <v>45952</v>
      </c>
      <c r="K896" s="13">
        <v>2958465</v>
      </c>
      <c r="L896" s="11" t="str">
        <f t="shared" si="27"/>
        <v>INSERT INTO metadata_reference.file_schema VALUES('DETM_DETIS_LIDS','AMR3_RISL_DTS',NULL,'TIMESTAMP(6)',NULL,NULL,NULL,NULL,'2025-10-22','9999-12-31',USER, CURRENT_TIMESTAMP(0));</v>
      </c>
    </row>
    <row r="897" spans="1:12" ht="15" customHeight="1">
      <c r="A897" s="11" t="str">
        <f>ETLMetadata!$C897</f>
        <v>DETM_DETIS_LIDS</v>
      </c>
      <c r="B897" s="11" t="str">
        <f>ETLMetadata!$E897</f>
        <v>PARTY_ROLE_ID</v>
      </c>
      <c r="C897" s="11" t="str">
        <f>IF(ISBLANK(ETLMetadata!$J897), "", ETLMetadata!$J897)</f>
        <v/>
      </c>
      <c r="D897" s="11" t="str">
        <f>ETLMetadata!$G897</f>
        <v>INTEGER</v>
      </c>
      <c r="E897" s="12"/>
      <c r="F897" s="12"/>
      <c r="G897" s="12" t="str">
        <f t="shared" si="26"/>
        <v/>
      </c>
      <c r="H897" s="12"/>
      <c r="I897" s="12"/>
      <c r="J897" s="13">
        <v>45952</v>
      </c>
      <c r="K897" s="13">
        <v>2958465</v>
      </c>
      <c r="L897" s="11" t="str">
        <f t="shared" si="27"/>
        <v>INSERT INTO metadata_reference.file_schema VALUES('DETM_DETIS_LIDS','PARTY_ROLE_ID',NULL,'INTEGER',NULL,NULL,NULL,NULL,'2025-10-22','9999-12-31',USER, CURRENT_TIMESTAMP(0));</v>
      </c>
    </row>
    <row r="898" spans="1:12" ht="15" customHeight="1">
      <c r="A898" s="11" t="str">
        <f>ETLMetadata!$C898</f>
        <v>DETM_DETIS_LIDS</v>
      </c>
      <c r="B898" s="11" t="str">
        <f>ETLMetadata!$E898</f>
        <v>EPISODE_ID</v>
      </c>
      <c r="C898" s="11" t="str">
        <f>IF(ISBLANK(ETLMetadata!$J898), "", ETLMetadata!$J898)</f>
        <v/>
      </c>
      <c r="D898" s="11" t="str">
        <f>ETLMetadata!$G898</f>
        <v>INTEGER</v>
      </c>
      <c r="E898" s="12"/>
      <c r="F898" s="12"/>
      <c r="G898" s="12" t="str">
        <f t="shared" si="26"/>
        <v/>
      </c>
      <c r="H898" s="12"/>
      <c r="I898" s="12"/>
      <c r="J898" s="13">
        <v>45952</v>
      </c>
      <c r="K898" s="13">
        <v>2958465</v>
      </c>
      <c r="L898" s="11" t="str">
        <f t="shared" si="27"/>
        <v>INSERT INTO metadata_reference.file_schema VALUES('DETM_DETIS_LIDS','EPISODE_ID',NULL,'INTEGER',NULL,NULL,NULL,NULL,'2025-10-22','9999-12-31',USER, CURRENT_TIMESTAMP(0));</v>
      </c>
    </row>
    <row r="899" spans="1:12" ht="15" customHeight="1">
      <c r="A899" s="11" t="str">
        <f>ETLMetadata!$C899</f>
        <v>DETM_DETIS_LIDS</v>
      </c>
      <c r="B899" s="11" t="str">
        <f>ETLMetadata!$E899</f>
        <v>PAYMENT_TYPE_ID</v>
      </c>
      <c r="C899" s="11" t="str">
        <f>IF(ISBLANK(ETLMetadata!$J899), "", ETLMetadata!$J899)</f>
        <v/>
      </c>
      <c r="D899" s="11" t="str">
        <f>ETLMetadata!$G899</f>
        <v>INTEGER</v>
      </c>
      <c r="E899" s="12"/>
      <c r="F899" s="12"/>
      <c r="G899" s="12" t="str">
        <f t="shared" ref="G899:G962" si="28">UPPER($F899)</f>
        <v/>
      </c>
      <c r="H899" s="12"/>
      <c r="I899" s="12"/>
      <c r="J899" s="13">
        <v>45952</v>
      </c>
      <c r="K899" s="13">
        <v>2958465</v>
      </c>
      <c r="L899" s="11" t="str">
        <f t="shared" ref="L899:L962" si="29">CONCATENATE("INSERT INTO metadata_reference.file_schema VALUES('",TRIM(A899),"','",TRIM(B899),"',",IF(TRIM(C899)="","NULL","'"&amp;TRIM(C899)&amp;"'"),",'",TRIM(D899),"',",IF(TRIM(E899)="","NULL","'"&amp;TRIM(E899)&amp;"'"),",",IF(TRIM(G899)="","NULL","'"&amp;TRIM(G899)&amp;"'"),",",IF(TRIM(H899)="","NULL","'"&amp;TRIM(H899)&amp;"'"),",",
IF(TRIM(I899)="","NULL",TRIM(I899)),",",IF(TRIM(J899)="","NULL","'"&amp;TEXT(J899,"yyyy-mm-dd")&amp;"'"),",",IF(TRIM(K899)="","NULL","'"&amp;TEXT(K899,"yyyy-mm-dd")&amp;"'"),",","USER, CURRENT_TIMESTAMP(0));")</f>
        <v>INSERT INTO metadata_reference.file_schema VALUES('DETM_DETIS_LIDS','PAYMENT_TYPE_ID',NULL,'INTEGER',NULL,NULL,NULL,NULL,'2025-10-22','9999-12-31',USER, CURRENT_TIMESTAMP(0));</v>
      </c>
    </row>
    <row r="900" spans="1:12" ht="15" customHeight="1">
      <c r="A900" s="11" t="str">
        <f>ETLMetadata!$C900</f>
        <v>DETM_DETIS_LIDS</v>
      </c>
      <c r="B900" s="11" t="str">
        <f>ETLMetadata!$E900</f>
        <v>Start_Date</v>
      </c>
      <c r="C900" s="11" t="str">
        <f>IF(ISBLANK(ETLMetadata!$J900), "", ETLMetadata!$J900)</f>
        <v/>
      </c>
      <c r="D900" s="11" t="str">
        <f>ETLMetadata!$G900</f>
        <v>DATE</v>
      </c>
      <c r="E900" s="12"/>
      <c r="F900" s="12"/>
      <c r="G900" s="12" t="str">
        <f t="shared" si="28"/>
        <v/>
      </c>
      <c r="H900" s="12"/>
      <c r="I900" s="12"/>
      <c r="J900" s="13">
        <v>45952</v>
      </c>
      <c r="K900" s="13">
        <v>2958465</v>
      </c>
      <c r="L900" s="11" t="str">
        <f t="shared" si="29"/>
        <v>INSERT INTO metadata_reference.file_schema VALUES('DETM_DETIS_LIDS','Start_Date',NULL,'DATE',NULL,NULL,NULL,NULL,'2025-10-22','9999-12-31',USER, CURRENT_TIMESTAMP(0));</v>
      </c>
    </row>
    <row r="901" spans="1:12" ht="15" customHeight="1">
      <c r="A901" s="11" t="str">
        <f>ETLMetadata!$C901</f>
        <v>DETM_DETIS_LIDS</v>
      </c>
      <c r="B901" s="11" t="str">
        <f>ETLMetadata!$E901</f>
        <v>End_Date</v>
      </c>
      <c r="C901" s="11" t="str">
        <f>IF(ISBLANK(ETLMetadata!$J901), "", ETLMetadata!$J901)</f>
        <v/>
      </c>
      <c r="D901" s="11" t="str">
        <f>ETLMetadata!$G901</f>
        <v>DATE</v>
      </c>
      <c r="E901" s="12"/>
      <c r="F901" s="12"/>
      <c r="G901" s="12" t="str">
        <f t="shared" si="28"/>
        <v/>
      </c>
      <c r="H901" s="12"/>
      <c r="I901" s="12"/>
      <c r="J901" s="13">
        <v>45952</v>
      </c>
      <c r="K901" s="13">
        <v>2958465</v>
      </c>
      <c r="L901" s="11" t="str">
        <f t="shared" si="29"/>
        <v>INSERT INTO metadata_reference.file_schema VALUES('DETM_DETIS_LIDS','End_Date',NULL,'DATE',NULL,NULL,NULL,NULL,'2025-10-22','9999-12-31',USER, CURRENT_TIMESTAMP(0));</v>
      </c>
    </row>
    <row r="902" spans="1:12" ht="15" customHeight="1">
      <c r="A902" s="11" t="str">
        <f>ETLMetadata!$C902</f>
        <v>DETM_DETIS_LIDS</v>
      </c>
      <c r="B902" s="11" t="str">
        <f>ETLMetadata!$E902</f>
        <v>Record_Deleted_Flag</v>
      </c>
      <c r="C902" s="11" t="str">
        <f>IF(ISBLANK(ETLMetadata!$J902), "", ETLMetadata!$J902)</f>
        <v/>
      </c>
      <c r="D902" s="11" t="str">
        <f>ETLMetadata!$G902</f>
        <v>BYTEINT</v>
      </c>
      <c r="E902" s="12"/>
      <c r="F902" s="12"/>
      <c r="G902" s="12" t="str">
        <f t="shared" si="28"/>
        <v/>
      </c>
      <c r="H902" s="12"/>
      <c r="I902" s="12"/>
      <c r="J902" s="13">
        <v>45952</v>
      </c>
      <c r="K902" s="13">
        <v>2958465</v>
      </c>
      <c r="L902" s="11" t="str">
        <f t="shared" si="29"/>
        <v>INSERT INTO metadata_reference.file_schema VALUES('DETM_DETIS_LIDS','Record_Deleted_Flag',NULL,'BYTEINT',NULL,NULL,NULL,NULL,'2025-10-22','9999-12-31',USER, CURRENT_TIMESTAMP(0));</v>
      </c>
    </row>
    <row r="903" spans="1:12" ht="15" customHeight="1">
      <c r="A903" s="11" t="str">
        <f>ETLMetadata!$C903</f>
        <v>DETM_DETIS_LSDS</v>
      </c>
      <c r="B903" s="11" t="str">
        <f>ETLMetadata!$E903</f>
        <v>EXTRACT_DATE</v>
      </c>
      <c r="C903" s="11" t="str">
        <f>IF(ISBLANK(ETLMetadata!$J903), "", ETLMetadata!$J903)</f>
        <v/>
      </c>
      <c r="D903" s="11" t="str">
        <f>ETLMetadata!$G903</f>
        <v>DATE</v>
      </c>
      <c r="E903" s="12"/>
      <c r="F903" s="12"/>
      <c r="G903" s="12" t="str">
        <f t="shared" si="28"/>
        <v/>
      </c>
      <c r="H903" s="12"/>
      <c r="I903" s="12"/>
      <c r="J903" s="13">
        <v>45952</v>
      </c>
      <c r="K903" s="13">
        <v>2958465</v>
      </c>
      <c r="L903" s="11" t="str">
        <f t="shared" si="29"/>
        <v>INSERT INTO metadata_reference.file_schema VALUES('DETM_DETIS_LSDS','EXTRACT_DATE',NULL,'DATE',NULL,NULL,NULL,NULL,'2025-10-22','9999-12-31',USER, CURRENT_TIMESTAMP(0));</v>
      </c>
    </row>
    <row r="904" spans="1:12" ht="15" customHeight="1">
      <c r="A904" s="11" t="str">
        <f>ETLMetadata!$C904</f>
        <v>DETM_DETIS_LSDS</v>
      </c>
      <c r="B904" s="11" t="str">
        <f>ETLMetadata!$E904</f>
        <v>LOGICAL_DELETE_DATE</v>
      </c>
      <c r="C904" s="11" t="str">
        <f>IF(ISBLANK(ETLMetadata!$J904), "", ETLMetadata!$J904)</f>
        <v/>
      </c>
      <c r="D904" s="11" t="str">
        <f>ETLMetadata!$G904</f>
        <v>DATE</v>
      </c>
      <c r="E904" s="12"/>
      <c r="F904" s="12"/>
      <c r="G904" s="12" t="str">
        <f t="shared" si="28"/>
        <v/>
      </c>
      <c r="H904" s="12"/>
      <c r="I904" s="12"/>
      <c r="J904" s="13">
        <v>45952</v>
      </c>
      <c r="K904" s="13">
        <v>2958465</v>
      </c>
      <c r="L904" s="11" t="str">
        <f t="shared" si="29"/>
        <v>INSERT INTO metadata_reference.file_schema VALUES('DETM_DETIS_LSDS','LOGICAL_DELETE_DATE',NULL,'DATE',NULL,NULL,NULL,NULL,'2025-10-22','9999-12-31',USER, CURRENT_TIMESTAMP(0));</v>
      </c>
    </row>
    <row r="905" spans="1:12" ht="15" customHeight="1">
      <c r="A905" s="11" t="str">
        <f>ETLMetadata!$C905</f>
        <v>DETM_DETIS_LSDS</v>
      </c>
      <c r="B905" s="11" t="str">
        <f>ETLMetadata!$E905</f>
        <v>ENVIRONMENT_ID</v>
      </c>
      <c r="C905" s="11" t="str">
        <f>IF(ISBLANK(ETLMetadata!$J905), "", ETLMetadata!$J905)</f>
        <v>Y</v>
      </c>
      <c r="D905" s="11" t="str">
        <f>ETLMetadata!$G905</f>
        <v>CHAR(1)</v>
      </c>
      <c r="E905" s="12"/>
      <c r="F905" s="12"/>
      <c r="G905" s="12" t="str">
        <f t="shared" si="28"/>
        <v/>
      </c>
      <c r="H905" s="12"/>
      <c r="I905" s="12"/>
      <c r="J905" s="13">
        <v>45952</v>
      </c>
      <c r="K905" s="13">
        <v>2958465</v>
      </c>
      <c r="L905" s="11" t="str">
        <f t="shared" si="29"/>
        <v>INSERT INTO metadata_reference.file_schema VALUES('DETM_DETIS_LSDS','ENVIRONMENT_ID','Y','CHAR(1)',NULL,NULL,NULL,NULL,'2025-10-22','9999-12-31',USER, CURRENT_TIMESTAMP(0));</v>
      </c>
    </row>
    <row r="906" spans="1:12" ht="15" customHeight="1">
      <c r="A906" s="11" t="str">
        <f>ETLMetadata!$C906</f>
        <v>DETM_DETIS_LSDS</v>
      </c>
      <c r="B906" s="11" t="str">
        <f>ETLMetadata!$E906</f>
        <v>PERSON_ID</v>
      </c>
      <c r="C906" s="11" t="str">
        <f>IF(ISBLANK(ETLMetadata!$J906), "", ETLMetadata!$J906)</f>
        <v>Y</v>
      </c>
      <c r="D906" s="11" t="str">
        <f>ETLMetadata!$G906</f>
        <v>INTEGER</v>
      </c>
      <c r="E906" s="12"/>
      <c r="F906" s="12" t="s">
        <v>799</v>
      </c>
      <c r="G906" s="12" t="str">
        <f t="shared" si="28"/>
        <v>PERSONAL_IDENTITYINFOINDIRECT</v>
      </c>
      <c r="H906" s="12"/>
      <c r="I906" s="12"/>
      <c r="J906" s="13">
        <v>45952</v>
      </c>
      <c r="K906" s="13">
        <v>2958465</v>
      </c>
      <c r="L906" s="11" t="str">
        <f t="shared" si="29"/>
        <v>INSERT INTO metadata_reference.file_schema VALUES('DETM_DETIS_LSDS','PERSON_ID','Y','INTEGER',NULL,'PERSONAL_IDENTITYINFOINDIRECT',NULL,NULL,'2025-10-22','9999-12-31',USER, CURRENT_TIMESTAMP(0));</v>
      </c>
    </row>
    <row r="907" spans="1:12" ht="15" customHeight="1">
      <c r="A907" s="11" t="str">
        <f>ETLMetadata!$C907</f>
        <v>DETM_DETIS_LSDS</v>
      </c>
      <c r="B907" s="11" t="str">
        <f>ETLMetadata!$E907</f>
        <v>LSDS_DOE</v>
      </c>
      <c r="C907" s="11" t="str">
        <f>IF(ISBLANK(ETLMetadata!$J907), "", ETLMetadata!$J907)</f>
        <v/>
      </c>
      <c r="D907" s="11" t="str">
        <f>ETLMetadata!$G907</f>
        <v>DATE</v>
      </c>
      <c r="E907" s="12"/>
      <c r="F907" s="12"/>
      <c r="G907" s="12" t="str">
        <f t="shared" si="28"/>
        <v/>
      </c>
      <c r="H907" s="12"/>
      <c r="I907" s="12"/>
      <c r="J907" s="13">
        <v>45952</v>
      </c>
      <c r="K907" s="13">
        <v>2958465</v>
      </c>
      <c r="L907" s="11" t="str">
        <f t="shared" si="29"/>
        <v>INSERT INTO metadata_reference.file_schema VALUES('DETM_DETIS_LSDS','LSDS_DOE',NULL,'DATE',NULL,NULL,NULL,NULL,'2025-10-22','9999-12-31',USER, CURRENT_TIMESTAMP(0));</v>
      </c>
    </row>
    <row r="908" spans="1:12" ht="15" customHeight="1">
      <c r="A908" s="11" t="str">
        <f>ETLMetadata!$C908</f>
        <v>DETM_DETIS_LSDS</v>
      </c>
      <c r="B908" s="11" t="str">
        <f>ETLMetadata!$E908</f>
        <v>LSDS_DOE_ORIG</v>
      </c>
      <c r="C908" s="11" t="str">
        <f>IF(ISBLANK(ETLMetadata!$J908), "", ETLMetadata!$J908)</f>
        <v/>
      </c>
      <c r="D908" s="11" t="str">
        <f>ETLMetadata!$G908</f>
        <v>INTEGER</v>
      </c>
      <c r="E908" s="12"/>
      <c r="F908" s="12"/>
      <c r="G908" s="12" t="str">
        <f t="shared" si="28"/>
        <v/>
      </c>
      <c r="H908" s="12"/>
      <c r="I908" s="12"/>
      <c r="J908" s="13">
        <v>45952</v>
      </c>
      <c r="K908" s="13">
        <v>2958465</v>
      </c>
      <c r="L908" s="11" t="str">
        <f t="shared" si="29"/>
        <v>INSERT INTO metadata_reference.file_schema VALUES('DETM_DETIS_LSDS','LSDS_DOE_ORIG',NULL,'INTEGER',NULL,NULL,NULL,NULL,'2025-10-22','9999-12-31',USER, CURRENT_TIMESTAMP(0));</v>
      </c>
    </row>
    <row r="909" spans="1:12" ht="15" customHeight="1">
      <c r="A909" s="11" t="str">
        <f>ETLMetadata!$C909</f>
        <v>DETM_DETIS_LSDS</v>
      </c>
      <c r="B909" s="11" t="str">
        <f>ETLMetadata!$E909</f>
        <v>PROCESSING_SEQUENCE</v>
      </c>
      <c r="C909" s="11" t="str">
        <f>IF(ISBLANK(ETLMetadata!$J909), "", ETLMetadata!$J909)</f>
        <v>Y</v>
      </c>
      <c r="D909" s="11" t="str">
        <f>ETLMetadata!$G909</f>
        <v>SMALLINT</v>
      </c>
      <c r="E909" s="12"/>
      <c r="F909" s="12"/>
      <c r="G909" s="12" t="str">
        <f t="shared" si="28"/>
        <v/>
      </c>
      <c r="H909" s="12"/>
      <c r="I909" s="12"/>
      <c r="J909" s="13">
        <v>45952</v>
      </c>
      <c r="K909" s="13">
        <v>2958465</v>
      </c>
      <c r="L909" s="11" t="str">
        <f t="shared" si="29"/>
        <v>INSERT INTO metadata_reference.file_schema VALUES('DETM_DETIS_LSDS','PROCESSING_SEQUENCE','Y','SMALLINT',NULL,NULL,NULL,NULL,'2025-10-22','9999-12-31',USER, CURRENT_TIMESTAMP(0));</v>
      </c>
    </row>
    <row r="910" spans="1:12" ht="15" customHeight="1">
      <c r="A910" s="11" t="str">
        <f>ETLMetadata!$C910</f>
        <v>DETM_DETIS_LSDS</v>
      </c>
      <c r="B910" s="11" t="str">
        <f>ETLMetadata!$E910</f>
        <v>LSDS_AMR_1</v>
      </c>
      <c r="C910" s="11" t="str">
        <f>IF(ISBLANK(ETLMetadata!$J910), "", ETLMetadata!$J910)</f>
        <v/>
      </c>
      <c r="D910" s="11" t="str">
        <f>ETLMetadata!$G910</f>
        <v>CHAR(4)</v>
      </c>
      <c r="E910" s="12"/>
      <c r="F910" s="12"/>
      <c r="G910" s="12" t="str">
        <f t="shared" si="28"/>
        <v/>
      </c>
      <c r="H910" s="12"/>
      <c r="I910" s="12"/>
      <c r="J910" s="13">
        <v>45952</v>
      </c>
      <c r="K910" s="13">
        <v>2958465</v>
      </c>
      <c r="L910" s="11" t="str">
        <f t="shared" si="29"/>
        <v>INSERT INTO metadata_reference.file_schema VALUES('DETM_DETIS_LSDS','LSDS_AMR_1',NULL,'CHAR(4)',NULL,NULL,NULL,NULL,'2025-10-22','9999-12-31',USER, CURRENT_TIMESTAMP(0));</v>
      </c>
    </row>
    <row r="911" spans="1:12" ht="15" customHeight="1">
      <c r="A911" s="11" t="str">
        <f>ETLMetadata!$C911</f>
        <v>DETM_DETIS_LSDS</v>
      </c>
      <c r="B911" s="11" t="str">
        <f>ETLMetadata!$E911</f>
        <v>LSDS_AMR_2</v>
      </c>
      <c r="C911" s="11" t="str">
        <f>IF(ISBLANK(ETLMetadata!$J911), "", ETLMetadata!$J911)</f>
        <v/>
      </c>
      <c r="D911" s="11" t="str">
        <f>ETLMetadata!$G911</f>
        <v>CHAR(1)</v>
      </c>
      <c r="E911" s="12"/>
      <c r="F911" s="12"/>
      <c r="G911" s="12" t="str">
        <f t="shared" si="28"/>
        <v/>
      </c>
      <c r="H911" s="12"/>
      <c r="I911" s="12"/>
      <c r="J911" s="13">
        <v>45952</v>
      </c>
      <c r="K911" s="13">
        <v>2958465</v>
      </c>
      <c r="L911" s="11" t="str">
        <f t="shared" si="29"/>
        <v>INSERT INTO metadata_reference.file_schema VALUES('DETM_DETIS_LSDS','LSDS_AMR_2',NULL,'CHAR(1)',NULL,NULL,NULL,NULL,'2025-10-22','9999-12-31',USER, CURRENT_TIMESTAMP(0));</v>
      </c>
    </row>
    <row r="912" spans="1:12" ht="15" customHeight="1">
      <c r="A912" s="11" t="str">
        <f>ETLMetadata!$C912</f>
        <v>DETM_DETIS_LSDS</v>
      </c>
      <c r="B912" s="11" t="str">
        <f>ETLMetadata!$E912</f>
        <v>LSDS_AMR_3</v>
      </c>
      <c r="C912" s="11" t="str">
        <f>IF(ISBLANK(ETLMetadata!$J912), "", ETLMetadata!$J912)</f>
        <v/>
      </c>
      <c r="D912" s="11" t="str">
        <f>ETLMetadata!$G912</f>
        <v>CHAR(4)</v>
      </c>
      <c r="E912" s="12"/>
      <c r="F912" s="12"/>
      <c r="G912" s="12" t="str">
        <f t="shared" si="28"/>
        <v/>
      </c>
      <c r="H912" s="12"/>
      <c r="I912" s="12"/>
      <c r="J912" s="13">
        <v>45952</v>
      </c>
      <c r="K912" s="13">
        <v>2958465</v>
      </c>
      <c r="L912" s="11" t="str">
        <f t="shared" si="29"/>
        <v>INSERT INTO metadata_reference.file_schema VALUES('DETM_DETIS_LSDS','LSDS_AMR_3',NULL,'CHAR(4)',NULL,NULL,NULL,NULL,'2025-10-22','9999-12-31',USER, CURRENT_TIMESTAMP(0));</v>
      </c>
    </row>
    <row r="913" spans="1:12" ht="15" customHeight="1">
      <c r="A913" s="11" t="str">
        <f>ETLMetadata!$C913</f>
        <v>DETM_DETIS_LSDS</v>
      </c>
      <c r="B913" s="11" t="str">
        <f>ETLMetadata!$E913</f>
        <v>LSDS_BEN_TYPE_CODE</v>
      </c>
      <c r="C913" s="11" t="str">
        <f>IF(ISBLANK(ETLMetadata!$J913), "", ETLMetadata!$J913)</f>
        <v/>
      </c>
      <c r="D913" s="11" t="str">
        <f>ETLMetadata!$G913</f>
        <v>CHAR(3)</v>
      </c>
      <c r="E913" s="12"/>
      <c r="F913" s="12"/>
      <c r="G913" s="12" t="str">
        <f t="shared" si="28"/>
        <v/>
      </c>
      <c r="H913" s="12"/>
      <c r="I913" s="12"/>
      <c r="J913" s="13">
        <v>45952</v>
      </c>
      <c r="K913" s="13">
        <v>2958465</v>
      </c>
      <c r="L913" s="11" t="str">
        <f t="shared" si="29"/>
        <v>INSERT INTO metadata_reference.file_schema VALUES('DETM_DETIS_LSDS','LSDS_BEN_TYPE_CODE',NULL,'CHAR(3)',NULL,NULL,NULL,NULL,'2025-10-22','9999-12-31',USER, CURRENT_TIMESTAMP(0));</v>
      </c>
    </row>
    <row r="914" spans="1:12" ht="15" customHeight="1">
      <c r="A914" s="11" t="str">
        <f>ETLMetadata!$C914</f>
        <v>DETM_DETIS_LSDS</v>
      </c>
      <c r="B914" s="11" t="str">
        <f>ETLMetadata!$E914</f>
        <v>LSDS_STS_CODE</v>
      </c>
      <c r="C914" s="11" t="str">
        <f>IF(ISBLANK(ETLMetadata!$J914), "", ETLMetadata!$J914)</f>
        <v/>
      </c>
      <c r="D914" s="11" t="str">
        <f>ETLMetadata!$G914</f>
        <v>CHAR(3)</v>
      </c>
      <c r="E914" s="12"/>
      <c r="F914" s="12"/>
      <c r="G914" s="12" t="str">
        <f t="shared" si="28"/>
        <v/>
      </c>
      <c r="H914" s="12"/>
      <c r="I914" s="12"/>
      <c r="J914" s="13">
        <v>45952</v>
      </c>
      <c r="K914" s="13">
        <v>2958465</v>
      </c>
      <c r="L914" s="11" t="str">
        <f t="shared" si="29"/>
        <v>INSERT INTO metadata_reference.file_schema VALUES('DETM_DETIS_LSDS','LSDS_STS_CODE',NULL,'CHAR(3)',NULL,NULL,NULL,NULL,'2025-10-22','9999-12-31',USER, CURRENT_TIMESTAMP(0));</v>
      </c>
    </row>
    <row r="915" spans="1:12" ht="15" customHeight="1">
      <c r="A915" s="11" t="str">
        <f>ETLMetadata!$C915</f>
        <v>DETM_DETIS_LSDS</v>
      </c>
      <c r="B915" s="11" t="str">
        <f>ETLMetadata!$E915</f>
        <v>LSDS_RSN_CODE</v>
      </c>
      <c r="C915" s="11" t="str">
        <f>IF(ISBLANK(ETLMetadata!$J915), "", ETLMetadata!$J915)</f>
        <v/>
      </c>
      <c r="D915" s="11" t="str">
        <f>ETLMetadata!$G915</f>
        <v>CHAR(3)</v>
      </c>
      <c r="E915" s="12"/>
      <c r="F915" s="12"/>
      <c r="G915" s="12" t="str">
        <f t="shared" si="28"/>
        <v/>
      </c>
      <c r="H915" s="12"/>
      <c r="I915" s="12"/>
      <c r="J915" s="13">
        <v>45952</v>
      </c>
      <c r="K915" s="13">
        <v>2958465</v>
      </c>
      <c r="L915" s="11" t="str">
        <f t="shared" si="29"/>
        <v>INSERT INTO metadata_reference.file_schema VALUES('DETM_DETIS_LSDS','LSDS_RSN_CODE',NULL,'CHAR(3)',NULL,NULL,NULL,NULL,'2025-10-22','9999-12-31',USER, CURRENT_TIMESTAMP(0));</v>
      </c>
    </row>
    <row r="916" spans="1:12" ht="15" customHeight="1">
      <c r="A916" s="11" t="str">
        <f>ETLMetadata!$C916</f>
        <v>DETM_DETIS_LSDS</v>
      </c>
      <c r="B916" s="11" t="str">
        <f>ETLMetadata!$E916</f>
        <v>PARTY_ROLE_ID</v>
      </c>
      <c r="C916" s="11" t="str">
        <f>IF(ISBLANK(ETLMetadata!$J916), "", ETLMetadata!$J916)</f>
        <v/>
      </c>
      <c r="D916" s="11" t="str">
        <f>ETLMetadata!$G916</f>
        <v>INTEGER</v>
      </c>
      <c r="E916" s="12"/>
      <c r="F916" s="12"/>
      <c r="G916" s="12" t="str">
        <f t="shared" si="28"/>
        <v/>
      </c>
      <c r="H916" s="12"/>
      <c r="I916" s="12"/>
      <c r="J916" s="13">
        <v>45952</v>
      </c>
      <c r="K916" s="13">
        <v>2958465</v>
      </c>
      <c r="L916" s="11" t="str">
        <f t="shared" si="29"/>
        <v>INSERT INTO metadata_reference.file_schema VALUES('DETM_DETIS_LSDS','PARTY_ROLE_ID',NULL,'INTEGER',NULL,NULL,NULL,NULL,'2025-10-22','9999-12-31',USER, CURRENT_TIMESTAMP(0));</v>
      </c>
    </row>
    <row r="917" spans="1:12" ht="15" customHeight="1">
      <c r="A917" s="11" t="str">
        <f>ETLMetadata!$C917</f>
        <v>DETM_DETIS_LSDS</v>
      </c>
      <c r="B917" s="11" t="str">
        <f>ETLMetadata!$E917</f>
        <v>PAYMENT_TYPE_ID</v>
      </c>
      <c r="C917" s="11" t="str">
        <f>IF(ISBLANK(ETLMetadata!$J917), "", ETLMetadata!$J917)</f>
        <v/>
      </c>
      <c r="D917" s="11" t="str">
        <f>ETLMetadata!$G917</f>
        <v>INTEGER</v>
      </c>
      <c r="E917" s="12"/>
      <c r="F917" s="12"/>
      <c r="G917" s="12" t="str">
        <f t="shared" si="28"/>
        <v/>
      </c>
      <c r="H917" s="12"/>
      <c r="I917" s="12"/>
      <c r="J917" s="13">
        <v>45952</v>
      </c>
      <c r="K917" s="13">
        <v>2958465</v>
      </c>
      <c r="L917" s="11" t="str">
        <f t="shared" si="29"/>
        <v>INSERT INTO metadata_reference.file_schema VALUES('DETM_DETIS_LSDS','PAYMENT_TYPE_ID',NULL,'INTEGER',NULL,NULL,NULL,NULL,'2025-10-22','9999-12-31',USER, CURRENT_TIMESTAMP(0));</v>
      </c>
    </row>
    <row r="918" spans="1:12" ht="15" customHeight="1">
      <c r="A918" s="11" t="str">
        <f>ETLMetadata!$C918</f>
        <v>DETM_DETIS_LSDS</v>
      </c>
      <c r="B918" s="11" t="str">
        <f>ETLMetadata!$E918</f>
        <v>AMR1_RISL_DTS</v>
      </c>
      <c r="C918" s="11" t="str">
        <f>IF(ISBLANK(ETLMetadata!$J918), "", ETLMetadata!$J918)</f>
        <v/>
      </c>
      <c r="D918" s="11" t="str">
        <f>ETLMetadata!$G918</f>
        <v>TIMESTAMP(6)</v>
      </c>
      <c r="E918" s="12"/>
      <c r="F918" s="12"/>
      <c r="G918" s="12" t="str">
        <f t="shared" si="28"/>
        <v/>
      </c>
      <c r="H918" s="12"/>
      <c r="I918" s="12"/>
      <c r="J918" s="13">
        <v>45952</v>
      </c>
      <c r="K918" s="13">
        <v>2958465</v>
      </c>
      <c r="L918" s="11" t="str">
        <f t="shared" si="29"/>
        <v>INSERT INTO metadata_reference.file_schema VALUES('DETM_DETIS_LSDS','AMR1_RISL_DTS',NULL,'TIMESTAMP(6)',NULL,NULL,NULL,NULL,'2025-10-22','9999-12-31',USER, CURRENT_TIMESTAMP(0));</v>
      </c>
    </row>
    <row r="919" spans="1:12" ht="15" customHeight="1">
      <c r="A919" s="11" t="str">
        <f>ETLMetadata!$C919</f>
        <v>DETM_DETIS_LSDS</v>
      </c>
      <c r="B919" s="11" t="str">
        <f>ETLMetadata!$E919</f>
        <v>AMR3_RISL_DTS</v>
      </c>
      <c r="C919" s="11" t="str">
        <f>IF(ISBLANK(ETLMetadata!$J919), "", ETLMetadata!$J919)</f>
        <v/>
      </c>
      <c r="D919" s="11" t="str">
        <f>ETLMetadata!$G919</f>
        <v>TIMESTAMP(6)</v>
      </c>
      <c r="E919" s="12"/>
      <c r="F919" s="12"/>
      <c r="G919" s="12" t="str">
        <f t="shared" si="28"/>
        <v/>
      </c>
      <c r="H919" s="12"/>
      <c r="I919" s="12"/>
      <c r="J919" s="13">
        <v>45952</v>
      </c>
      <c r="K919" s="13">
        <v>2958465</v>
      </c>
      <c r="L919" s="11" t="str">
        <f t="shared" si="29"/>
        <v>INSERT INTO metadata_reference.file_schema VALUES('DETM_DETIS_LSDS','AMR3_RISL_DTS',NULL,'TIMESTAMP(6)',NULL,NULL,NULL,NULL,'2025-10-22','9999-12-31',USER, CURRENT_TIMESTAMP(0));</v>
      </c>
    </row>
    <row r="920" spans="1:12" ht="15" customHeight="1">
      <c r="A920" s="11" t="str">
        <f>ETLMetadata!$C920</f>
        <v>DETM_DETIS_LSDS</v>
      </c>
      <c r="B920" s="11" t="str">
        <f>ETLMetadata!$E920</f>
        <v>ERROR_COUNT</v>
      </c>
      <c r="C920" s="11" t="str">
        <f>IF(ISBLANK(ETLMetadata!$J920), "", ETLMetadata!$J920)</f>
        <v/>
      </c>
      <c r="D920" s="11" t="str">
        <f>ETLMetadata!$G920</f>
        <v>SMALLINT</v>
      </c>
      <c r="E920" s="12"/>
      <c r="F920" s="12"/>
      <c r="G920" s="12" t="str">
        <f t="shared" si="28"/>
        <v/>
      </c>
      <c r="H920" s="12"/>
      <c r="I920" s="12"/>
      <c r="J920" s="13">
        <v>45952</v>
      </c>
      <c r="K920" s="13">
        <v>2958465</v>
      </c>
      <c r="L920" s="11" t="str">
        <f t="shared" si="29"/>
        <v>INSERT INTO metadata_reference.file_schema VALUES('DETM_DETIS_LSDS','ERROR_COUNT',NULL,'SMALLINT',NULL,NULL,NULL,NULL,'2025-10-22','9999-12-31',USER, CURRENT_TIMESTAMP(0));</v>
      </c>
    </row>
    <row r="921" spans="1:12" ht="15" customHeight="1">
      <c r="A921" s="11" t="str">
        <f>ETLMetadata!$C921</f>
        <v>DETM_DETIS_LSDS</v>
      </c>
      <c r="B921" s="11" t="str">
        <f>ETLMetadata!$E921</f>
        <v>Start_Date</v>
      </c>
      <c r="C921" s="11" t="str">
        <f>IF(ISBLANK(ETLMetadata!$J921), "", ETLMetadata!$J921)</f>
        <v/>
      </c>
      <c r="D921" s="11" t="str">
        <f>ETLMetadata!$G921</f>
        <v>DATE</v>
      </c>
      <c r="E921" s="12"/>
      <c r="F921" s="12"/>
      <c r="G921" s="12" t="str">
        <f t="shared" si="28"/>
        <v/>
      </c>
      <c r="H921" s="12"/>
      <c r="I921" s="12"/>
      <c r="J921" s="13">
        <v>45952</v>
      </c>
      <c r="K921" s="13">
        <v>2958465</v>
      </c>
      <c r="L921" s="11" t="str">
        <f t="shared" si="29"/>
        <v>INSERT INTO metadata_reference.file_schema VALUES('DETM_DETIS_LSDS','Start_Date',NULL,'DATE',NULL,NULL,NULL,NULL,'2025-10-22','9999-12-31',USER, CURRENT_TIMESTAMP(0));</v>
      </c>
    </row>
    <row r="922" spans="1:12" ht="15" customHeight="1">
      <c r="A922" s="11" t="str">
        <f>ETLMetadata!$C922</f>
        <v>DETM_DETIS_LSDS</v>
      </c>
      <c r="B922" s="11" t="str">
        <f>ETLMetadata!$E922</f>
        <v>End_Date</v>
      </c>
      <c r="C922" s="11" t="str">
        <f>IF(ISBLANK(ETLMetadata!$J922), "", ETLMetadata!$J922)</f>
        <v/>
      </c>
      <c r="D922" s="11" t="str">
        <f>ETLMetadata!$G922</f>
        <v>DATE</v>
      </c>
      <c r="E922" s="12"/>
      <c r="F922" s="12"/>
      <c r="G922" s="12" t="str">
        <f t="shared" si="28"/>
        <v/>
      </c>
      <c r="H922" s="12"/>
      <c r="I922" s="12"/>
      <c r="J922" s="13">
        <v>45952</v>
      </c>
      <c r="K922" s="13">
        <v>2958465</v>
      </c>
      <c r="L922" s="11" t="str">
        <f t="shared" si="29"/>
        <v>INSERT INTO metadata_reference.file_schema VALUES('DETM_DETIS_LSDS','End_Date',NULL,'DATE',NULL,NULL,NULL,NULL,'2025-10-22','9999-12-31',USER, CURRENT_TIMESTAMP(0));</v>
      </c>
    </row>
    <row r="923" spans="1:12" ht="15" customHeight="1">
      <c r="A923" s="11" t="str">
        <f>ETLMetadata!$C923</f>
        <v>DETM_DETIS_LSDS</v>
      </c>
      <c r="B923" s="11" t="str">
        <f>ETLMetadata!$E923</f>
        <v>Record_Deleted_Flag</v>
      </c>
      <c r="C923" s="11" t="str">
        <f>IF(ISBLANK(ETLMetadata!$J923), "", ETLMetadata!$J923)</f>
        <v/>
      </c>
      <c r="D923" s="11" t="str">
        <f>ETLMetadata!$G923</f>
        <v>BYTEINT</v>
      </c>
      <c r="E923" s="12"/>
      <c r="F923" s="12"/>
      <c r="G923" s="12" t="str">
        <f t="shared" si="28"/>
        <v/>
      </c>
      <c r="H923" s="12"/>
      <c r="I923" s="12"/>
      <c r="J923" s="13">
        <v>45952</v>
      </c>
      <c r="K923" s="13">
        <v>2958465</v>
      </c>
      <c r="L923" s="11" t="str">
        <f t="shared" si="29"/>
        <v>INSERT INTO metadata_reference.file_schema VALUES('DETM_DETIS_LSDS','Record_Deleted_Flag',NULL,'BYTEINT',NULL,NULL,NULL,NULL,'2025-10-22','9999-12-31',USER, CURRENT_TIMESTAMP(0));</v>
      </c>
    </row>
    <row r="924" spans="1:12" ht="15" customHeight="1">
      <c r="A924" s="11" t="str">
        <f>ETLMetadata!$C924</f>
        <v>DETM_DETIS_M9DS</v>
      </c>
      <c r="B924" s="11" t="str">
        <f>ETLMetadata!$E924</f>
        <v>EXTRACT_DATE</v>
      </c>
      <c r="C924" s="11" t="str">
        <f>IF(ISBLANK(ETLMetadata!$J924), "", ETLMetadata!$J924)</f>
        <v/>
      </c>
      <c r="D924" s="11" t="str">
        <f>ETLMetadata!$G924</f>
        <v>DATE</v>
      </c>
      <c r="E924" s="12"/>
      <c r="F924" s="12"/>
      <c r="G924" s="12" t="str">
        <f t="shared" si="28"/>
        <v/>
      </c>
      <c r="H924" s="12"/>
      <c r="I924" s="12"/>
      <c r="J924" s="13">
        <v>45952</v>
      </c>
      <c r="K924" s="13">
        <v>2958465</v>
      </c>
      <c r="L924" s="11" t="str">
        <f t="shared" si="29"/>
        <v>INSERT INTO metadata_reference.file_schema VALUES('DETM_DETIS_M9DS','EXTRACT_DATE',NULL,'DATE',NULL,NULL,NULL,NULL,'2025-10-22','9999-12-31',USER, CURRENT_TIMESTAMP(0));</v>
      </c>
    </row>
    <row r="925" spans="1:12" ht="15" customHeight="1">
      <c r="A925" s="11" t="str">
        <f>ETLMetadata!$C925</f>
        <v>DETM_DETIS_M9DS</v>
      </c>
      <c r="B925" s="11" t="str">
        <f>ETLMetadata!$E925</f>
        <v>LOGICAL_DELETE_DATE</v>
      </c>
      <c r="C925" s="11" t="str">
        <f>IF(ISBLANK(ETLMetadata!$J925), "", ETLMetadata!$J925)</f>
        <v/>
      </c>
      <c r="D925" s="11" t="str">
        <f>ETLMetadata!$G925</f>
        <v>DATE</v>
      </c>
      <c r="E925" s="12"/>
      <c r="F925" s="12"/>
      <c r="G925" s="12" t="str">
        <f t="shared" si="28"/>
        <v/>
      </c>
      <c r="H925" s="12"/>
      <c r="I925" s="12"/>
      <c r="J925" s="13">
        <v>45952</v>
      </c>
      <c r="K925" s="13">
        <v>2958465</v>
      </c>
      <c r="L925" s="11" t="str">
        <f t="shared" si="29"/>
        <v>INSERT INTO metadata_reference.file_schema VALUES('DETM_DETIS_M9DS','LOGICAL_DELETE_DATE',NULL,'DATE',NULL,NULL,NULL,NULL,'2025-10-22','9999-12-31',USER, CURRENT_TIMESTAMP(0));</v>
      </c>
    </row>
    <row r="926" spans="1:12" ht="15" customHeight="1">
      <c r="A926" s="11" t="str">
        <f>ETLMetadata!$C926</f>
        <v>DETM_DETIS_M9DS</v>
      </c>
      <c r="B926" s="11" t="str">
        <f>ETLMetadata!$E926</f>
        <v>ENVIRONMENT_ID</v>
      </c>
      <c r="C926" s="11" t="str">
        <f>IF(ISBLANK(ETLMetadata!$J926), "", ETLMetadata!$J926)</f>
        <v>Y</v>
      </c>
      <c r="D926" s="11" t="str">
        <f>ETLMetadata!$G926</f>
        <v>CHAR(1)</v>
      </c>
      <c r="E926" s="12"/>
      <c r="F926" s="12"/>
      <c r="G926" s="12" t="str">
        <f t="shared" si="28"/>
        <v/>
      </c>
      <c r="H926" s="12"/>
      <c r="I926" s="12"/>
      <c r="J926" s="13">
        <v>45952</v>
      </c>
      <c r="K926" s="13">
        <v>2958465</v>
      </c>
      <c r="L926" s="11" t="str">
        <f t="shared" si="29"/>
        <v>INSERT INTO metadata_reference.file_schema VALUES('DETM_DETIS_M9DS','ENVIRONMENT_ID','Y','CHAR(1)',NULL,NULL,NULL,NULL,'2025-10-22','9999-12-31',USER, CURRENT_TIMESTAMP(0));</v>
      </c>
    </row>
    <row r="927" spans="1:12" ht="15" customHeight="1">
      <c r="A927" s="11" t="str">
        <f>ETLMetadata!$C927</f>
        <v>DETM_DETIS_M9DS</v>
      </c>
      <c r="B927" s="11" t="str">
        <f>ETLMetadata!$E927</f>
        <v>PERSON_ID</v>
      </c>
      <c r="C927" s="11" t="str">
        <f>IF(ISBLANK(ETLMetadata!$J927), "", ETLMetadata!$J927)</f>
        <v>Y</v>
      </c>
      <c r="D927" s="11" t="str">
        <f>ETLMetadata!$G927</f>
        <v>INTEGER</v>
      </c>
      <c r="E927" s="12"/>
      <c r="F927" s="12" t="s">
        <v>799</v>
      </c>
      <c r="G927" s="12" t="str">
        <f t="shared" si="28"/>
        <v>PERSONAL_IDENTITYINFOINDIRECT</v>
      </c>
      <c r="H927" s="12"/>
      <c r="I927" s="12"/>
      <c r="J927" s="13">
        <v>45952</v>
      </c>
      <c r="K927" s="13">
        <v>2958465</v>
      </c>
      <c r="L927" s="11" t="str">
        <f t="shared" si="29"/>
        <v>INSERT INTO metadata_reference.file_schema VALUES('DETM_DETIS_M9DS','PERSON_ID','Y','INTEGER',NULL,'PERSONAL_IDENTITYINFOINDIRECT',NULL,NULL,'2025-10-22','9999-12-31',USER, CURRENT_TIMESTAMP(0));</v>
      </c>
    </row>
    <row r="928" spans="1:12" ht="15" customHeight="1">
      <c r="A928" s="11" t="str">
        <f>ETLMetadata!$C928</f>
        <v>DETM_DETIS_M9DS</v>
      </c>
      <c r="B928" s="11" t="str">
        <f>ETLMetadata!$E928</f>
        <v>M9DS_DOE</v>
      </c>
      <c r="C928" s="11" t="str">
        <f>IF(ISBLANK(ETLMetadata!$J928), "", ETLMetadata!$J928)</f>
        <v/>
      </c>
      <c r="D928" s="11" t="str">
        <f>ETLMetadata!$G928</f>
        <v>DATE</v>
      </c>
      <c r="E928" s="12"/>
      <c r="F928" s="12"/>
      <c r="G928" s="12" t="str">
        <f t="shared" si="28"/>
        <v/>
      </c>
      <c r="H928" s="12"/>
      <c r="I928" s="12"/>
      <c r="J928" s="13">
        <v>45952</v>
      </c>
      <c r="K928" s="13">
        <v>2958465</v>
      </c>
      <c r="L928" s="11" t="str">
        <f t="shared" si="29"/>
        <v>INSERT INTO metadata_reference.file_schema VALUES('DETM_DETIS_M9DS','M9DS_DOE',NULL,'DATE',NULL,NULL,NULL,NULL,'2025-10-22','9999-12-31',USER, CURRENT_TIMESTAMP(0));</v>
      </c>
    </row>
    <row r="929" spans="1:12" ht="15" customHeight="1">
      <c r="A929" s="11" t="str">
        <f>ETLMetadata!$C929</f>
        <v>DETM_DETIS_M9DS</v>
      </c>
      <c r="B929" s="11" t="str">
        <f>ETLMetadata!$E929</f>
        <v>M9DS_DOE_ORIG</v>
      </c>
      <c r="C929" s="11" t="str">
        <f>IF(ISBLANK(ETLMetadata!$J929), "", ETLMetadata!$J929)</f>
        <v/>
      </c>
      <c r="D929" s="11" t="str">
        <f>ETLMetadata!$G929</f>
        <v>INTEGER</v>
      </c>
      <c r="E929" s="12"/>
      <c r="F929" s="12"/>
      <c r="G929" s="12" t="str">
        <f t="shared" si="28"/>
        <v/>
      </c>
      <c r="H929" s="12"/>
      <c r="I929" s="12"/>
      <c r="J929" s="13">
        <v>45952</v>
      </c>
      <c r="K929" s="13">
        <v>2958465</v>
      </c>
      <c r="L929" s="11" t="str">
        <f t="shared" si="29"/>
        <v>INSERT INTO metadata_reference.file_schema VALUES('DETM_DETIS_M9DS','M9DS_DOE_ORIG',NULL,'INTEGER',NULL,NULL,NULL,NULL,'2025-10-22','9999-12-31',USER, CURRENT_TIMESTAMP(0));</v>
      </c>
    </row>
    <row r="930" spans="1:12" ht="15" customHeight="1">
      <c r="A930" s="11" t="str">
        <f>ETLMetadata!$C930</f>
        <v>DETM_DETIS_M9DS</v>
      </c>
      <c r="B930" s="11" t="str">
        <f>ETLMetadata!$E930</f>
        <v>PROCESSING_SEQUENCE</v>
      </c>
      <c r="C930" s="11" t="str">
        <f>IF(ISBLANK(ETLMetadata!$J930), "", ETLMetadata!$J930)</f>
        <v>Y</v>
      </c>
      <c r="D930" s="11" t="str">
        <f>ETLMetadata!$G930</f>
        <v>SMALLINT</v>
      </c>
      <c r="E930" s="12"/>
      <c r="F930" s="12"/>
      <c r="G930" s="12" t="str">
        <f t="shared" si="28"/>
        <v/>
      </c>
      <c r="H930" s="12"/>
      <c r="I930" s="12"/>
      <c r="J930" s="13">
        <v>45952</v>
      </c>
      <c r="K930" s="13">
        <v>2958465</v>
      </c>
      <c r="L930" s="11" t="str">
        <f t="shared" si="29"/>
        <v>INSERT INTO metadata_reference.file_schema VALUES('DETM_DETIS_M9DS','PROCESSING_SEQUENCE','Y','SMALLINT',NULL,NULL,NULL,NULL,'2025-10-22','9999-12-31',USER, CURRENT_TIMESTAMP(0));</v>
      </c>
    </row>
    <row r="931" spans="1:12" ht="15" customHeight="1">
      <c r="A931" s="11" t="str">
        <f>ETLMetadata!$C931</f>
        <v>DETM_DETIS_M9DS</v>
      </c>
      <c r="B931" s="11" t="str">
        <f>ETLMetadata!$E931</f>
        <v>M9DS_AMR_1</v>
      </c>
      <c r="C931" s="11" t="str">
        <f>IF(ISBLANK(ETLMetadata!$J931), "", ETLMetadata!$J931)</f>
        <v/>
      </c>
      <c r="D931" s="11" t="str">
        <f>ETLMetadata!$G931</f>
        <v>CHAR(4)</v>
      </c>
      <c r="E931" s="12"/>
      <c r="F931" s="12"/>
      <c r="G931" s="12" t="str">
        <f t="shared" si="28"/>
        <v/>
      </c>
      <c r="H931" s="12"/>
      <c r="I931" s="12"/>
      <c r="J931" s="13">
        <v>45952</v>
      </c>
      <c r="K931" s="13">
        <v>2958465</v>
      </c>
      <c r="L931" s="11" t="str">
        <f t="shared" si="29"/>
        <v>INSERT INTO metadata_reference.file_schema VALUES('DETM_DETIS_M9DS','M9DS_AMR_1',NULL,'CHAR(4)',NULL,NULL,NULL,NULL,'2025-10-22','9999-12-31',USER, CURRENT_TIMESTAMP(0));</v>
      </c>
    </row>
    <row r="932" spans="1:12" ht="15" customHeight="1">
      <c r="A932" s="11" t="str">
        <f>ETLMetadata!$C932</f>
        <v>DETM_DETIS_M9DS</v>
      </c>
      <c r="B932" s="11" t="str">
        <f>ETLMetadata!$E932</f>
        <v>M9DS_AMR_2</v>
      </c>
      <c r="C932" s="11" t="str">
        <f>IF(ISBLANK(ETLMetadata!$J932), "", ETLMetadata!$J932)</f>
        <v/>
      </c>
      <c r="D932" s="11" t="str">
        <f>ETLMetadata!$G932</f>
        <v>CHAR(1)</v>
      </c>
      <c r="E932" s="12"/>
      <c r="F932" s="12"/>
      <c r="G932" s="12" t="str">
        <f t="shared" si="28"/>
        <v/>
      </c>
      <c r="H932" s="12"/>
      <c r="I932" s="12"/>
      <c r="J932" s="13">
        <v>45952</v>
      </c>
      <c r="K932" s="13">
        <v>2958465</v>
      </c>
      <c r="L932" s="11" t="str">
        <f t="shared" si="29"/>
        <v>INSERT INTO metadata_reference.file_schema VALUES('DETM_DETIS_M9DS','M9DS_AMR_2',NULL,'CHAR(1)',NULL,NULL,NULL,NULL,'2025-10-22','9999-12-31',USER, CURRENT_TIMESTAMP(0));</v>
      </c>
    </row>
    <row r="933" spans="1:12" ht="15" customHeight="1">
      <c r="A933" s="11" t="str">
        <f>ETLMetadata!$C933</f>
        <v>DETM_DETIS_M9DS</v>
      </c>
      <c r="B933" s="11" t="str">
        <f>ETLMetadata!$E933</f>
        <v>M9DS_AMR_3</v>
      </c>
      <c r="C933" s="11" t="str">
        <f>IF(ISBLANK(ETLMetadata!$J933), "", ETLMetadata!$J933)</f>
        <v/>
      </c>
      <c r="D933" s="11" t="str">
        <f>ETLMetadata!$G933</f>
        <v>CHAR(4)</v>
      </c>
      <c r="E933" s="12"/>
      <c r="F933" s="12"/>
      <c r="G933" s="12" t="str">
        <f t="shared" si="28"/>
        <v/>
      </c>
      <c r="H933" s="12"/>
      <c r="I933" s="12"/>
      <c r="J933" s="13">
        <v>45952</v>
      </c>
      <c r="K933" s="13">
        <v>2958465</v>
      </c>
      <c r="L933" s="11" t="str">
        <f t="shared" si="29"/>
        <v>INSERT INTO metadata_reference.file_schema VALUES('DETM_DETIS_M9DS','M9DS_AMR_3',NULL,'CHAR(4)',NULL,NULL,NULL,NULL,'2025-10-22','9999-12-31',USER, CURRENT_TIMESTAMP(0));</v>
      </c>
    </row>
    <row r="934" spans="1:12" ht="15" customHeight="1">
      <c r="A934" s="11" t="str">
        <f>ETLMetadata!$C934</f>
        <v>DETM_DETIS_M9DS</v>
      </c>
      <c r="B934" s="11" t="str">
        <f>ETLMetadata!$E934</f>
        <v>M9DS_BEN_TYPE_CODE</v>
      </c>
      <c r="C934" s="11" t="str">
        <f>IF(ISBLANK(ETLMetadata!$J934), "", ETLMetadata!$J934)</f>
        <v/>
      </c>
      <c r="D934" s="11" t="str">
        <f>ETLMetadata!$G934</f>
        <v>CHAR(3)</v>
      </c>
      <c r="E934" s="12"/>
      <c r="F934" s="12"/>
      <c r="G934" s="12" t="str">
        <f t="shared" si="28"/>
        <v/>
      </c>
      <c r="H934" s="12"/>
      <c r="I934" s="12"/>
      <c r="J934" s="13">
        <v>45952</v>
      </c>
      <c r="K934" s="13">
        <v>2958465</v>
      </c>
      <c r="L934" s="11" t="str">
        <f t="shared" si="29"/>
        <v>INSERT INTO metadata_reference.file_schema VALUES('DETM_DETIS_M9DS','M9DS_BEN_TYPE_CODE',NULL,'CHAR(3)',NULL,NULL,NULL,NULL,'2025-10-22','9999-12-31',USER, CURRENT_TIMESTAMP(0));</v>
      </c>
    </row>
    <row r="935" spans="1:12" ht="15" customHeight="1">
      <c r="A935" s="11" t="str">
        <f>ETLMetadata!$C935</f>
        <v>DETM_DETIS_M9DS</v>
      </c>
      <c r="B935" s="11" t="str">
        <f>ETLMetadata!$E935</f>
        <v>M9DS_STS_CODE</v>
      </c>
      <c r="C935" s="11" t="str">
        <f>IF(ISBLANK(ETLMetadata!$J935), "", ETLMetadata!$J935)</f>
        <v/>
      </c>
      <c r="D935" s="11" t="str">
        <f>ETLMetadata!$G935</f>
        <v>CHAR(3)</v>
      </c>
      <c r="E935" s="12"/>
      <c r="F935" s="12"/>
      <c r="G935" s="12" t="str">
        <f t="shared" si="28"/>
        <v/>
      </c>
      <c r="H935" s="12"/>
      <c r="I935" s="12"/>
      <c r="J935" s="13">
        <v>45952</v>
      </c>
      <c r="K935" s="13">
        <v>2958465</v>
      </c>
      <c r="L935" s="11" t="str">
        <f t="shared" si="29"/>
        <v>INSERT INTO metadata_reference.file_schema VALUES('DETM_DETIS_M9DS','M9DS_STS_CODE',NULL,'CHAR(3)',NULL,NULL,NULL,NULL,'2025-10-22','9999-12-31',USER, CURRENT_TIMESTAMP(0));</v>
      </c>
    </row>
    <row r="936" spans="1:12" ht="15" customHeight="1">
      <c r="A936" s="11" t="str">
        <f>ETLMetadata!$C936</f>
        <v>DETM_DETIS_M9DS</v>
      </c>
      <c r="B936" s="11" t="str">
        <f>ETLMetadata!$E936</f>
        <v>M9DS_RSN_CODE</v>
      </c>
      <c r="C936" s="11" t="str">
        <f>IF(ISBLANK(ETLMetadata!$J936), "", ETLMetadata!$J936)</f>
        <v/>
      </c>
      <c r="D936" s="11" t="str">
        <f>ETLMetadata!$G936</f>
        <v>CHAR(3)</v>
      </c>
      <c r="E936" s="12"/>
      <c r="F936" s="12"/>
      <c r="G936" s="12" t="str">
        <f t="shared" si="28"/>
        <v/>
      </c>
      <c r="H936" s="12"/>
      <c r="I936" s="12"/>
      <c r="J936" s="13">
        <v>45952</v>
      </c>
      <c r="K936" s="13">
        <v>2958465</v>
      </c>
      <c r="L936" s="11" t="str">
        <f t="shared" si="29"/>
        <v>INSERT INTO metadata_reference.file_schema VALUES('DETM_DETIS_M9DS','M9DS_RSN_CODE',NULL,'CHAR(3)',NULL,NULL,NULL,NULL,'2025-10-22','9999-12-31',USER, CURRENT_TIMESTAMP(0));</v>
      </c>
    </row>
    <row r="937" spans="1:12" ht="15" customHeight="1">
      <c r="A937" s="11" t="str">
        <f>ETLMetadata!$C937</f>
        <v>DETM_DETIS_M9DS</v>
      </c>
      <c r="B937" s="11" t="str">
        <f>ETLMetadata!$E937</f>
        <v>M9DS_UNIQ_ID</v>
      </c>
      <c r="C937" s="11" t="str">
        <f>IF(ISBLANK(ETLMetadata!$J937), "", ETLMetadata!$J937)</f>
        <v/>
      </c>
      <c r="D937" s="11" t="str">
        <f>ETLMetadata!$G937</f>
        <v>VARCHAR(8)</v>
      </c>
      <c r="E937" s="12"/>
      <c r="F937" s="12"/>
      <c r="G937" s="12" t="str">
        <f t="shared" si="28"/>
        <v/>
      </c>
      <c r="H937" s="12"/>
      <c r="I937" s="12"/>
      <c r="J937" s="13">
        <v>45952</v>
      </c>
      <c r="K937" s="13">
        <v>2958465</v>
      </c>
      <c r="L937" s="11" t="str">
        <f t="shared" si="29"/>
        <v>INSERT INTO metadata_reference.file_schema VALUES('DETM_DETIS_M9DS','M9DS_UNIQ_ID',NULL,'VARCHAR(8)',NULL,NULL,NULL,NULL,'2025-10-22','9999-12-31',USER, CURRENT_TIMESTAMP(0));</v>
      </c>
    </row>
    <row r="938" spans="1:12" ht="15" customHeight="1">
      <c r="A938" s="11" t="str">
        <f>ETLMetadata!$C938</f>
        <v>DETM_DETIS_M9DS</v>
      </c>
      <c r="B938" s="11" t="str">
        <f>ETLMetadata!$E938</f>
        <v>AMR1_RISL_DTS</v>
      </c>
      <c r="C938" s="11" t="str">
        <f>IF(ISBLANK(ETLMetadata!$J938), "", ETLMetadata!$J938)</f>
        <v/>
      </c>
      <c r="D938" s="11" t="str">
        <f>ETLMetadata!$G938</f>
        <v>TIMESTAMP(6)</v>
      </c>
      <c r="E938" s="12"/>
      <c r="F938" s="12"/>
      <c r="G938" s="12" t="str">
        <f t="shared" si="28"/>
        <v/>
      </c>
      <c r="H938" s="12"/>
      <c r="I938" s="12"/>
      <c r="J938" s="13">
        <v>45952</v>
      </c>
      <c r="K938" s="13">
        <v>2958465</v>
      </c>
      <c r="L938" s="11" t="str">
        <f t="shared" si="29"/>
        <v>INSERT INTO metadata_reference.file_schema VALUES('DETM_DETIS_M9DS','AMR1_RISL_DTS',NULL,'TIMESTAMP(6)',NULL,NULL,NULL,NULL,'2025-10-22','9999-12-31',USER, CURRENT_TIMESTAMP(0));</v>
      </c>
    </row>
    <row r="939" spans="1:12" ht="15" customHeight="1">
      <c r="A939" s="11" t="str">
        <f>ETLMetadata!$C939</f>
        <v>DETM_DETIS_M9DS</v>
      </c>
      <c r="B939" s="11" t="str">
        <f>ETLMetadata!$E939</f>
        <v>AMR3_RISL_DTS</v>
      </c>
      <c r="C939" s="11" t="str">
        <f>IF(ISBLANK(ETLMetadata!$J939), "", ETLMetadata!$J939)</f>
        <v/>
      </c>
      <c r="D939" s="11" t="str">
        <f>ETLMetadata!$G939</f>
        <v>TIMESTAMP(6)</v>
      </c>
      <c r="E939" s="12"/>
      <c r="F939" s="12"/>
      <c r="G939" s="12" t="str">
        <f t="shared" si="28"/>
        <v/>
      </c>
      <c r="H939" s="12"/>
      <c r="I939" s="12"/>
      <c r="J939" s="13">
        <v>45952</v>
      </c>
      <c r="K939" s="13">
        <v>2958465</v>
      </c>
      <c r="L939" s="11" t="str">
        <f t="shared" si="29"/>
        <v>INSERT INTO metadata_reference.file_schema VALUES('DETM_DETIS_M9DS','AMR3_RISL_DTS',NULL,'TIMESTAMP(6)',NULL,NULL,NULL,NULL,'2025-10-22','9999-12-31',USER, CURRENT_TIMESTAMP(0));</v>
      </c>
    </row>
    <row r="940" spans="1:12" ht="15" customHeight="1">
      <c r="A940" s="11" t="str">
        <f>ETLMetadata!$C940</f>
        <v>DETM_DETIS_M9DS</v>
      </c>
      <c r="B940" s="11" t="str">
        <f>ETLMetadata!$E940</f>
        <v>EPISODE_ID</v>
      </c>
      <c r="C940" s="11" t="str">
        <f>IF(ISBLANK(ETLMetadata!$J940), "", ETLMetadata!$J940)</f>
        <v/>
      </c>
      <c r="D940" s="11" t="str">
        <f>ETLMetadata!$G940</f>
        <v>INTEGER</v>
      </c>
      <c r="E940" s="12"/>
      <c r="F940" s="12"/>
      <c r="G940" s="12" t="str">
        <f t="shared" si="28"/>
        <v/>
      </c>
      <c r="H940" s="12"/>
      <c r="I940" s="12"/>
      <c r="J940" s="13">
        <v>45952</v>
      </c>
      <c r="K940" s="13">
        <v>2958465</v>
      </c>
      <c r="L940" s="11" t="str">
        <f t="shared" si="29"/>
        <v>INSERT INTO metadata_reference.file_schema VALUES('DETM_DETIS_M9DS','EPISODE_ID',NULL,'INTEGER',NULL,NULL,NULL,NULL,'2025-10-22','9999-12-31',USER, CURRENT_TIMESTAMP(0));</v>
      </c>
    </row>
    <row r="941" spans="1:12" ht="15" customHeight="1">
      <c r="A941" s="11" t="str">
        <f>ETLMetadata!$C941</f>
        <v>DETM_DETIS_M9DS</v>
      </c>
      <c r="B941" s="11" t="str">
        <f>ETLMetadata!$E941</f>
        <v>PARTY_ROLE_ID</v>
      </c>
      <c r="C941" s="11" t="str">
        <f>IF(ISBLANK(ETLMetadata!$J941), "", ETLMetadata!$J941)</f>
        <v/>
      </c>
      <c r="D941" s="11" t="str">
        <f>ETLMetadata!$G941</f>
        <v>INTEGER</v>
      </c>
      <c r="E941" s="12"/>
      <c r="F941" s="12"/>
      <c r="G941" s="12" t="str">
        <f t="shared" si="28"/>
        <v/>
      </c>
      <c r="H941" s="12"/>
      <c r="I941" s="12"/>
      <c r="J941" s="13">
        <v>45952</v>
      </c>
      <c r="K941" s="13">
        <v>2958465</v>
      </c>
      <c r="L941" s="11" t="str">
        <f t="shared" si="29"/>
        <v>INSERT INTO metadata_reference.file_schema VALUES('DETM_DETIS_M9DS','PARTY_ROLE_ID',NULL,'INTEGER',NULL,NULL,NULL,NULL,'2025-10-22','9999-12-31',USER, CURRENT_TIMESTAMP(0));</v>
      </c>
    </row>
    <row r="942" spans="1:12" ht="15" customHeight="1">
      <c r="A942" s="11" t="str">
        <f>ETLMetadata!$C942</f>
        <v>DETM_DETIS_M9DS</v>
      </c>
      <c r="B942" s="11" t="str">
        <f>ETLMetadata!$E942</f>
        <v>PAYMENT_TYPE_ID</v>
      </c>
      <c r="C942" s="11" t="str">
        <f>IF(ISBLANK(ETLMetadata!$J942), "", ETLMetadata!$J942)</f>
        <v/>
      </c>
      <c r="D942" s="11" t="str">
        <f>ETLMetadata!$G942</f>
        <v>INTEGER</v>
      </c>
      <c r="E942" s="12"/>
      <c r="F942" s="12"/>
      <c r="G942" s="12" t="str">
        <f t="shared" si="28"/>
        <v/>
      </c>
      <c r="H942" s="12"/>
      <c r="I942" s="12"/>
      <c r="J942" s="13">
        <v>45952</v>
      </c>
      <c r="K942" s="13">
        <v>2958465</v>
      </c>
      <c r="L942" s="11" t="str">
        <f t="shared" si="29"/>
        <v>INSERT INTO metadata_reference.file_schema VALUES('DETM_DETIS_M9DS','PAYMENT_TYPE_ID',NULL,'INTEGER',NULL,NULL,NULL,NULL,'2025-10-22','9999-12-31',USER, CURRENT_TIMESTAMP(0));</v>
      </c>
    </row>
    <row r="943" spans="1:12" ht="15" customHeight="1">
      <c r="A943" s="11" t="str">
        <f>ETLMetadata!$C943</f>
        <v>DETM_DETIS_M9DS</v>
      </c>
      <c r="B943" s="11" t="str">
        <f>ETLMetadata!$E943</f>
        <v>ERROR_COUNT</v>
      </c>
      <c r="C943" s="11" t="str">
        <f>IF(ISBLANK(ETLMetadata!$J943), "", ETLMetadata!$J943)</f>
        <v/>
      </c>
      <c r="D943" s="11" t="str">
        <f>ETLMetadata!$G943</f>
        <v>SMALLINT</v>
      </c>
      <c r="E943" s="12"/>
      <c r="F943" s="12"/>
      <c r="G943" s="12" t="str">
        <f t="shared" si="28"/>
        <v/>
      </c>
      <c r="H943" s="12"/>
      <c r="I943" s="12"/>
      <c r="J943" s="13">
        <v>45952</v>
      </c>
      <c r="K943" s="13">
        <v>2958465</v>
      </c>
      <c r="L943" s="11" t="str">
        <f t="shared" si="29"/>
        <v>INSERT INTO metadata_reference.file_schema VALUES('DETM_DETIS_M9DS','ERROR_COUNT',NULL,'SMALLINT',NULL,NULL,NULL,NULL,'2025-10-22','9999-12-31',USER, CURRENT_TIMESTAMP(0));</v>
      </c>
    </row>
    <row r="944" spans="1:12" ht="15" customHeight="1">
      <c r="A944" s="11" t="str">
        <f>ETLMetadata!$C944</f>
        <v>DETM_DETIS_M9DS</v>
      </c>
      <c r="B944" s="11" t="str">
        <f>ETLMetadata!$E944</f>
        <v>Start_Date</v>
      </c>
      <c r="C944" s="11" t="str">
        <f>IF(ISBLANK(ETLMetadata!$J944), "", ETLMetadata!$J944)</f>
        <v/>
      </c>
      <c r="D944" s="11" t="str">
        <f>ETLMetadata!$G944</f>
        <v>DATE</v>
      </c>
      <c r="E944" s="12"/>
      <c r="F944" s="12"/>
      <c r="G944" s="12" t="str">
        <f t="shared" si="28"/>
        <v/>
      </c>
      <c r="H944" s="12"/>
      <c r="I944" s="12"/>
      <c r="J944" s="13">
        <v>45952</v>
      </c>
      <c r="K944" s="13">
        <v>2958465</v>
      </c>
      <c r="L944" s="11" t="str">
        <f t="shared" si="29"/>
        <v>INSERT INTO metadata_reference.file_schema VALUES('DETM_DETIS_M9DS','Start_Date',NULL,'DATE',NULL,NULL,NULL,NULL,'2025-10-22','9999-12-31',USER, CURRENT_TIMESTAMP(0));</v>
      </c>
    </row>
    <row r="945" spans="1:12" ht="15" customHeight="1">
      <c r="A945" s="11" t="str">
        <f>ETLMetadata!$C945</f>
        <v>DETM_DETIS_M9DS</v>
      </c>
      <c r="B945" s="11" t="str">
        <f>ETLMetadata!$E945</f>
        <v>End_Date</v>
      </c>
      <c r="C945" s="11" t="str">
        <f>IF(ISBLANK(ETLMetadata!$J945), "", ETLMetadata!$J945)</f>
        <v/>
      </c>
      <c r="D945" s="11" t="str">
        <f>ETLMetadata!$G945</f>
        <v>DATE</v>
      </c>
      <c r="E945" s="12"/>
      <c r="F945" s="12"/>
      <c r="G945" s="12" t="str">
        <f t="shared" si="28"/>
        <v/>
      </c>
      <c r="H945" s="12"/>
      <c r="I945" s="12"/>
      <c r="J945" s="13">
        <v>45952</v>
      </c>
      <c r="K945" s="13">
        <v>2958465</v>
      </c>
      <c r="L945" s="11" t="str">
        <f t="shared" si="29"/>
        <v>INSERT INTO metadata_reference.file_schema VALUES('DETM_DETIS_M9DS','End_Date',NULL,'DATE',NULL,NULL,NULL,NULL,'2025-10-22','9999-12-31',USER, CURRENT_TIMESTAMP(0));</v>
      </c>
    </row>
    <row r="946" spans="1:12" ht="15" customHeight="1">
      <c r="A946" s="11" t="str">
        <f>ETLMetadata!$C946</f>
        <v>DETM_DETIS_M9DS</v>
      </c>
      <c r="B946" s="11" t="str">
        <f>ETLMetadata!$E946</f>
        <v>Record_Deleted_Flag</v>
      </c>
      <c r="C946" s="11" t="str">
        <f>IF(ISBLANK(ETLMetadata!$J946), "", ETLMetadata!$J946)</f>
        <v/>
      </c>
      <c r="D946" s="11" t="str">
        <f>ETLMetadata!$G946</f>
        <v>BYTEINT</v>
      </c>
      <c r="E946" s="12"/>
      <c r="F946" s="12"/>
      <c r="G946" s="12" t="str">
        <f t="shared" si="28"/>
        <v/>
      </c>
      <c r="H946" s="12"/>
      <c r="I946" s="12"/>
      <c r="J946" s="13">
        <v>45952</v>
      </c>
      <c r="K946" s="13">
        <v>2958465</v>
      </c>
      <c r="L946" s="11" t="str">
        <f t="shared" si="29"/>
        <v>INSERT INTO metadata_reference.file_schema VALUES('DETM_DETIS_M9DS','Record_Deleted_Flag',NULL,'BYTEINT',NULL,NULL,NULL,NULL,'2025-10-22','9999-12-31',USER, CURRENT_TIMESTAMP(0));</v>
      </c>
    </row>
    <row r="947" spans="1:12" ht="15" customHeight="1">
      <c r="A947" s="11" t="str">
        <f>ETLMetadata!$C947</f>
        <v>DETM_DETIS_MODS</v>
      </c>
      <c r="B947" s="11" t="str">
        <f>ETLMetadata!$E947</f>
        <v>EXTRACT_DATE</v>
      </c>
      <c r="C947" s="11" t="str">
        <f>IF(ISBLANK(ETLMetadata!$J947), "", ETLMetadata!$J947)</f>
        <v/>
      </c>
      <c r="D947" s="11" t="str">
        <f>ETLMetadata!$G947</f>
        <v>DATE</v>
      </c>
      <c r="E947" s="12"/>
      <c r="F947" s="12"/>
      <c r="G947" s="12" t="str">
        <f t="shared" si="28"/>
        <v/>
      </c>
      <c r="H947" s="12"/>
      <c r="I947" s="12"/>
      <c r="J947" s="13">
        <v>45952</v>
      </c>
      <c r="K947" s="13">
        <v>2958465</v>
      </c>
      <c r="L947" s="11" t="str">
        <f t="shared" si="29"/>
        <v>INSERT INTO metadata_reference.file_schema VALUES('DETM_DETIS_MODS','EXTRACT_DATE',NULL,'DATE',NULL,NULL,NULL,NULL,'2025-10-22','9999-12-31',USER, CURRENT_TIMESTAMP(0));</v>
      </c>
    </row>
    <row r="948" spans="1:12" ht="15" customHeight="1">
      <c r="A948" s="11" t="str">
        <f>ETLMetadata!$C948</f>
        <v>DETM_DETIS_MODS</v>
      </c>
      <c r="B948" s="11" t="str">
        <f>ETLMetadata!$E948</f>
        <v>LOGICAL_DELETE_DATE</v>
      </c>
      <c r="C948" s="11" t="str">
        <f>IF(ISBLANK(ETLMetadata!$J948), "", ETLMetadata!$J948)</f>
        <v/>
      </c>
      <c r="D948" s="11" t="str">
        <f>ETLMetadata!$G948</f>
        <v>DATE</v>
      </c>
      <c r="E948" s="12"/>
      <c r="F948" s="12"/>
      <c r="G948" s="12" t="str">
        <f t="shared" si="28"/>
        <v/>
      </c>
      <c r="H948" s="12"/>
      <c r="I948" s="12"/>
      <c r="J948" s="13">
        <v>45952</v>
      </c>
      <c r="K948" s="13">
        <v>2958465</v>
      </c>
      <c r="L948" s="11" t="str">
        <f t="shared" si="29"/>
        <v>INSERT INTO metadata_reference.file_schema VALUES('DETM_DETIS_MODS','LOGICAL_DELETE_DATE',NULL,'DATE',NULL,NULL,NULL,NULL,'2025-10-22','9999-12-31',USER, CURRENT_TIMESTAMP(0));</v>
      </c>
    </row>
    <row r="949" spans="1:12" ht="15" customHeight="1">
      <c r="A949" s="11" t="str">
        <f>ETLMetadata!$C949</f>
        <v>DETM_DETIS_MODS</v>
      </c>
      <c r="B949" s="11" t="str">
        <f>ETLMetadata!$E949</f>
        <v>ENVIRONMENT_ID</v>
      </c>
      <c r="C949" s="11" t="str">
        <f>IF(ISBLANK(ETLMetadata!$J949), "", ETLMetadata!$J949)</f>
        <v>Y</v>
      </c>
      <c r="D949" s="11" t="str">
        <f>ETLMetadata!$G949</f>
        <v>CHAR(1)</v>
      </c>
      <c r="E949" s="12"/>
      <c r="F949" s="12"/>
      <c r="G949" s="12" t="str">
        <f t="shared" si="28"/>
        <v/>
      </c>
      <c r="H949" s="12"/>
      <c r="I949" s="12"/>
      <c r="J949" s="13">
        <v>45952</v>
      </c>
      <c r="K949" s="13">
        <v>2958465</v>
      </c>
      <c r="L949" s="11" t="str">
        <f t="shared" si="29"/>
        <v>INSERT INTO metadata_reference.file_schema VALUES('DETM_DETIS_MODS','ENVIRONMENT_ID','Y','CHAR(1)',NULL,NULL,NULL,NULL,'2025-10-22','9999-12-31',USER, CURRENT_TIMESTAMP(0));</v>
      </c>
    </row>
    <row r="950" spans="1:12" ht="15" customHeight="1">
      <c r="A950" s="11" t="str">
        <f>ETLMetadata!$C950</f>
        <v>DETM_DETIS_MODS</v>
      </c>
      <c r="B950" s="11" t="str">
        <f>ETLMetadata!$E950</f>
        <v>PERSON_ID</v>
      </c>
      <c r="C950" s="11" t="str">
        <f>IF(ISBLANK(ETLMetadata!$J950), "", ETLMetadata!$J950)</f>
        <v>Y</v>
      </c>
      <c r="D950" s="11" t="str">
        <f>ETLMetadata!$G950</f>
        <v>INTEGER</v>
      </c>
      <c r="E950" s="12"/>
      <c r="F950" s="12" t="s">
        <v>799</v>
      </c>
      <c r="G950" s="12" t="str">
        <f t="shared" si="28"/>
        <v>PERSONAL_IDENTITYINFOINDIRECT</v>
      </c>
      <c r="H950" s="12"/>
      <c r="I950" s="12"/>
      <c r="J950" s="13">
        <v>45952</v>
      </c>
      <c r="K950" s="13">
        <v>2958465</v>
      </c>
      <c r="L950" s="11" t="str">
        <f t="shared" si="29"/>
        <v>INSERT INTO metadata_reference.file_schema VALUES('DETM_DETIS_MODS','PERSON_ID','Y','INTEGER',NULL,'PERSONAL_IDENTITYINFOINDIRECT',NULL,NULL,'2025-10-22','9999-12-31',USER, CURRENT_TIMESTAMP(0));</v>
      </c>
    </row>
    <row r="951" spans="1:12" ht="15" customHeight="1">
      <c r="A951" s="11" t="str">
        <f>ETLMetadata!$C951</f>
        <v>DETM_DETIS_MODS</v>
      </c>
      <c r="B951" s="11" t="str">
        <f>ETLMetadata!$E951</f>
        <v>MODS_DOE</v>
      </c>
      <c r="C951" s="11" t="str">
        <f>IF(ISBLANK(ETLMetadata!$J951), "", ETLMetadata!$J951)</f>
        <v/>
      </c>
      <c r="D951" s="11" t="str">
        <f>ETLMetadata!$G951</f>
        <v>DATE</v>
      </c>
      <c r="E951" s="12"/>
      <c r="F951" s="12"/>
      <c r="G951" s="12" t="str">
        <f t="shared" si="28"/>
        <v/>
      </c>
      <c r="H951" s="12"/>
      <c r="I951" s="12"/>
      <c r="J951" s="13">
        <v>45952</v>
      </c>
      <c r="K951" s="13">
        <v>2958465</v>
      </c>
      <c r="L951" s="11" t="str">
        <f t="shared" si="29"/>
        <v>INSERT INTO metadata_reference.file_schema VALUES('DETM_DETIS_MODS','MODS_DOE',NULL,'DATE',NULL,NULL,NULL,NULL,'2025-10-22','9999-12-31',USER, CURRENT_TIMESTAMP(0));</v>
      </c>
    </row>
    <row r="952" spans="1:12" ht="15" customHeight="1">
      <c r="A952" s="11" t="str">
        <f>ETLMetadata!$C952</f>
        <v>DETM_DETIS_MODS</v>
      </c>
      <c r="B952" s="11" t="str">
        <f>ETLMetadata!$E952</f>
        <v>MODS_DOE_ORIG</v>
      </c>
      <c r="C952" s="11" t="str">
        <f>IF(ISBLANK(ETLMetadata!$J952), "", ETLMetadata!$J952)</f>
        <v/>
      </c>
      <c r="D952" s="11" t="str">
        <f>ETLMetadata!$G952</f>
        <v>INTEGER</v>
      </c>
      <c r="E952" s="12"/>
      <c r="F952" s="12"/>
      <c r="G952" s="12" t="str">
        <f t="shared" si="28"/>
        <v/>
      </c>
      <c r="H952" s="12"/>
      <c r="I952" s="12"/>
      <c r="J952" s="13">
        <v>45952</v>
      </c>
      <c r="K952" s="13">
        <v>2958465</v>
      </c>
      <c r="L952" s="11" t="str">
        <f t="shared" si="29"/>
        <v>INSERT INTO metadata_reference.file_schema VALUES('DETM_DETIS_MODS','MODS_DOE_ORIG',NULL,'INTEGER',NULL,NULL,NULL,NULL,'2025-10-22','9999-12-31',USER, CURRENT_TIMESTAMP(0));</v>
      </c>
    </row>
    <row r="953" spans="1:12" ht="15" customHeight="1">
      <c r="A953" s="11" t="str">
        <f>ETLMetadata!$C953</f>
        <v>DETM_DETIS_MODS</v>
      </c>
      <c r="B953" s="11" t="str">
        <f>ETLMetadata!$E953</f>
        <v>PROCESSING_SEQUENCE</v>
      </c>
      <c r="C953" s="11" t="str">
        <f>IF(ISBLANK(ETLMetadata!$J953), "", ETLMetadata!$J953)</f>
        <v>Y</v>
      </c>
      <c r="D953" s="11" t="str">
        <f>ETLMetadata!$G953</f>
        <v>SMALLINT</v>
      </c>
      <c r="E953" s="12"/>
      <c r="F953" s="12"/>
      <c r="G953" s="12" t="str">
        <f t="shared" si="28"/>
        <v/>
      </c>
      <c r="H953" s="12"/>
      <c r="I953" s="12"/>
      <c r="J953" s="13">
        <v>45952</v>
      </c>
      <c r="K953" s="13">
        <v>2958465</v>
      </c>
      <c r="L953" s="11" t="str">
        <f t="shared" si="29"/>
        <v>INSERT INTO metadata_reference.file_schema VALUES('DETM_DETIS_MODS','PROCESSING_SEQUENCE','Y','SMALLINT',NULL,NULL,NULL,NULL,'2025-10-22','9999-12-31',USER, CURRENT_TIMESTAMP(0));</v>
      </c>
    </row>
    <row r="954" spans="1:12" ht="15" customHeight="1">
      <c r="A954" s="11" t="str">
        <f>ETLMetadata!$C954</f>
        <v>DETM_DETIS_MODS</v>
      </c>
      <c r="B954" s="11" t="str">
        <f>ETLMetadata!$E954</f>
        <v>MODS_AMR_1</v>
      </c>
      <c r="C954" s="11" t="str">
        <f>IF(ISBLANK(ETLMetadata!$J954), "", ETLMetadata!$J954)</f>
        <v/>
      </c>
      <c r="D954" s="11" t="str">
        <f>ETLMetadata!$G954</f>
        <v>CHAR(4)</v>
      </c>
      <c r="E954" s="12"/>
      <c r="F954" s="12"/>
      <c r="G954" s="12" t="str">
        <f t="shared" si="28"/>
        <v/>
      </c>
      <c r="H954" s="12"/>
      <c r="I954" s="12"/>
      <c r="J954" s="13">
        <v>45952</v>
      </c>
      <c r="K954" s="13">
        <v>2958465</v>
      </c>
      <c r="L954" s="11" t="str">
        <f t="shared" si="29"/>
        <v>INSERT INTO metadata_reference.file_schema VALUES('DETM_DETIS_MODS','MODS_AMR_1',NULL,'CHAR(4)',NULL,NULL,NULL,NULL,'2025-10-22','9999-12-31',USER, CURRENT_TIMESTAMP(0));</v>
      </c>
    </row>
    <row r="955" spans="1:12" ht="15" customHeight="1">
      <c r="A955" s="11" t="str">
        <f>ETLMetadata!$C955</f>
        <v>DETM_DETIS_MODS</v>
      </c>
      <c r="B955" s="11" t="str">
        <f>ETLMetadata!$E955</f>
        <v>MODS_AMR_2</v>
      </c>
      <c r="C955" s="11" t="str">
        <f>IF(ISBLANK(ETLMetadata!$J955), "", ETLMetadata!$J955)</f>
        <v/>
      </c>
      <c r="D955" s="11" t="str">
        <f>ETLMetadata!$G955</f>
        <v>CHAR(1)</v>
      </c>
      <c r="E955" s="12"/>
      <c r="F955" s="12"/>
      <c r="G955" s="12" t="str">
        <f t="shared" si="28"/>
        <v/>
      </c>
      <c r="H955" s="12"/>
      <c r="I955" s="12"/>
      <c r="J955" s="13">
        <v>45952</v>
      </c>
      <c r="K955" s="13">
        <v>2958465</v>
      </c>
      <c r="L955" s="11" t="str">
        <f t="shared" si="29"/>
        <v>INSERT INTO metadata_reference.file_schema VALUES('DETM_DETIS_MODS','MODS_AMR_2',NULL,'CHAR(1)',NULL,NULL,NULL,NULL,'2025-10-22','9999-12-31',USER, CURRENT_TIMESTAMP(0));</v>
      </c>
    </row>
    <row r="956" spans="1:12" ht="15" customHeight="1">
      <c r="A956" s="11" t="str">
        <f>ETLMetadata!$C956</f>
        <v>DETM_DETIS_MODS</v>
      </c>
      <c r="B956" s="11" t="str">
        <f>ETLMetadata!$E956</f>
        <v>MODS_AMR_3</v>
      </c>
      <c r="C956" s="11" t="str">
        <f>IF(ISBLANK(ETLMetadata!$J956), "", ETLMetadata!$J956)</f>
        <v/>
      </c>
      <c r="D956" s="11" t="str">
        <f>ETLMetadata!$G956</f>
        <v>CHAR(4)</v>
      </c>
      <c r="E956" s="12"/>
      <c r="F956" s="12"/>
      <c r="G956" s="12" t="str">
        <f t="shared" si="28"/>
        <v/>
      </c>
      <c r="H956" s="12"/>
      <c r="I956" s="12"/>
      <c r="J956" s="13">
        <v>45952</v>
      </c>
      <c r="K956" s="13">
        <v>2958465</v>
      </c>
      <c r="L956" s="11" t="str">
        <f t="shared" si="29"/>
        <v>INSERT INTO metadata_reference.file_schema VALUES('DETM_DETIS_MODS','MODS_AMR_3',NULL,'CHAR(4)',NULL,NULL,NULL,NULL,'2025-10-22','9999-12-31',USER, CURRENT_TIMESTAMP(0));</v>
      </c>
    </row>
    <row r="957" spans="1:12" ht="15" customHeight="1">
      <c r="A957" s="11" t="str">
        <f>ETLMetadata!$C957</f>
        <v>DETM_DETIS_MODS</v>
      </c>
      <c r="B957" s="11" t="str">
        <f>ETLMetadata!$E957</f>
        <v>MODS_BEN_TYPE_CODE</v>
      </c>
      <c r="C957" s="11" t="str">
        <f>IF(ISBLANK(ETLMetadata!$J957), "", ETLMetadata!$J957)</f>
        <v/>
      </c>
      <c r="D957" s="11" t="str">
        <f>ETLMetadata!$G957</f>
        <v>CHAR(3)</v>
      </c>
      <c r="E957" s="12"/>
      <c r="F957" s="12"/>
      <c r="G957" s="12" t="str">
        <f t="shared" si="28"/>
        <v/>
      </c>
      <c r="H957" s="12"/>
      <c r="I957" s="12"/>
      <c r="J957" s="13">
        <v>45952</v>
      </c>
      <c r="K957" s="13">
        <v>2958465</v>
      </c>
      <c r="L957" s="11" t="str">
        <f t="shared" si="29"/>
        <v>INSERT INTO metadata_reference.file_schema VALUES('DETM_DETIS_MODS','MODS_BEN_TYPE_CODE',NULL,'CHAR(3)',NULL,NULL,NULL,NULL,'2025-10-22','9999-12-31',USER, CURRENT_TIMESTAMP(0));</v>
      </c>
    </row>
    <row r="958" spans="1:12" ht="15" customHeight="1">
      <c r="A958" s="11" t="str">
        <f>ETLMetadata!$C958</f>
        <v>DETM_DETIS_MODS</v>
      </c>
      <c r="B958" s="11" t="str">
        <f>ETLMetadata!$E958</f>
        <v>MODS_RSN_CODE</v>
      </c>
      <c r="C958" s="11" t="str">
        <f>IF(ISBLANK(ETLMetadata!$J958), "", ETLMetadata!$J958)</f>
        <v/>
      </c>
      <c r="D958" s="11" t="str">
        <f>ETLMetadata!$G958</f>
        <v>CHAR(3)</v>
      </c>
      <c r="E958" s="12"/>
      <c r="F958" s="12"/>
      <c r="G958" s="12" t="str">
        <f t="shared" si="28"/>
        <v/>
      </c>
      <c r="H958" s="12"/>
      <c r="I958" s="12"/>
      <c r="J958" s="13">
        <v>45952</v>
      </c>
      <c r="K958" s="13">
        <v>2958465</v>
      </c>
      <c r="L958" s="11" t="str">
        <f t="shared" si="29"/>
        <v>INSERT INTO metadata_reference.file_schema VALUES('DETM_DETIS_MODS','MODS_RSN_CODE',NULL,'CHAR(3)',NULL,NULL,NULL,NULL,'2025-10-22','9999-12-31',USER, CURRENT_TIMESTAMP(0));</v>
      </c>
    </row>
    <row r="959" spans="1:12" ht="15" customHeight="1">
      <c r="A959" s="11" t="str">
        <f>ETLMetadata!$C959</f>
        <v>DETM_DETIS_MODS</v>
      </c>
      <c r="B959" s="11" t="str">
        <f>ETLMetadata!$E959</f>
        <v>MODS_STS_CODE</v>
      </c>
      <c r="C959" s="11" t="str">
        <f>IF(ISBLANK(ETLMetadata!$J959), "", ETLMetadata!$J959)</f>
        <v/>
      </c>
      <c r="D959" s="11" t="str">
        <f>ETLMetadata!$G959</f>
        <v>CHAR(3)</v>
      </c>
      <c r="E959" s="12"/>
      <c r="F959" s="12"/>
      <c r="G959" s="12" t="str">
        <f t="shared" si="28"/>
        <v/>
      </c>
      <c r="H959" s="12"/>
      <c r="I959" s="12"/>
      <c r="J959" s="13">
        <v>45952</v>
      </c>
      <c r="K959" s="13">
        <v>2958465</v>
      </c>
      <c r="L959" s="11" t="str">
        <f t="shared" si="29"/>
        <v>INSERT INTO metadata_reference.file_schema VALUES('DETM_DETIS_MODS','MODS_STS_CODE',NULL,'CHAR(3)',NULL,NULL,NULL,NULL,'2025-10-22','9999-12-31',USER, CURRENT_TIMESTAMP(0));</v>
      </c>
    </row>
    <row r="960" spans="1:12" ht="15" customHeight="1">
      <c r="A960" s="11" t="str">
        <f>ETLMetadata!$C960</f>
        <v>DETM_DETIS_MODS</v>
      </c>
      <c r="B960" s="11" t="str">
        <f>ETLMetadata!$E960</f>
        <v>ERROR_COUNT</v>
      </c>
      <c r="C960" s="11" t="str">
        <f>IF(ISBLANK(ETLMetadata!$J960), "", ETLMetadata!$J960)</f>
        <v/>
      </c>
      <c r="D960" s="11" t="str">
        <f>ETLMetadata!$G960</f>
        <v>SMALLINT</v>
      </c>
      <c r="E960" s="12"/>
      <c r="F960" s="12"/>
      <c r="G960" s="12" t="str">
        <f t="shared" si="28"/>
        <v/>
      </c>
      <c r="H960" s="12"/>
      <c r="I960" s="12"/>
      <c r="J960" s="13">
        <v>45952</v>
      </c>
      <c r="K960" s="13">
        <v>2958465</v>
      </c>
      <c r="L960" s="11" t="str">
        <f t="shared" si="29"/>
        <v>INSERT INTO metadata_reference.file_schema VALUES('DETM_DETIS_MODS','ERROR_COUNT',NULL,'SMALLINT',NULL,NULL,NULL,NULL,'2025-10-22','9999-12-31',USER, CURRENT_TIMESTAMP(0));</v>
      </c>
    </row>
    <row r="961" spans="1:12" ht="15" customHeight="1">
      <c r="A961" s="11" t="str">
        <f>ETLMetadata!$C961</f>
        <v>DETM_DETIS_MODS</v>
      </c>
      <c r="B961" s="11" t="str">
        <f>ETLMetadata!$E961</f>
        <v>AMR1_RISL_DTS</v>
      </c>
      <c r="C961" s="11" t="str">
        <f>IF(ISBLANK(ETLMetadata!$J961), "", ETLMetadata!$J961)</f>
        <v/>
      </c>
      <c r="D961" s="11" t="str">
        <f>ETLMetadata!$G961</f>
        <v>TIMESTAMP(6)</v>
      </c>
      <c r="E961" s="12"/>
      <c r="F961" s="12"/>
      <c r="G961" s="12" t="str">
        <f t="shared" si="28"/>
        <v/>
      </c>
      <c r="H961" s="12"/>
      <c r="I961" s="12"/>
      <c r="J961" s="13">
        <v>45952</v>
      </c>
      <c r="K961" s="13">
        <v>2958465</v>
      </c>
      <c r="L961" s="11" t="str">
        <f t="shared" si="29"/>
        <v>INSERT INTO metadata_reference.file_schema VALUES('DETM_DETIS_MODS','AMR1_RISL_DTS',NULL,'TIMESTAMP(6)',NULL,NULL,NULL,NULL,'2025-10-22','9999-12-31',USER, CURRENT_TIMESTAMP(0));</v>
      </c>
    </row>
    <row r="962" spans="1:12" ht="15" customHeight="1">
      <c r="A962" s="11" t="str">
        <f>ETLMetadata!$C962</f>
        <v>DETM_DETIS_MODS</v>
      </c>
      <c r="B962" s="11" t="str">
        <f>ETLMetadata!$E962</f>
        <v>AMR3_RISL_DTS</v>
      </c>
      <c r="C962" s="11" t="str">
        <f>IF(ISBLANK(ETLMetadata!$J962), "", ETLMetadata!$J962)</f>
        <v/>
      </c>
      <c r="D962" s="11" t="str">
        <f>ETLMetadata!$G962</f>
        <v>TIMESTAMP(6)</v>
      </c>
      <c r="E962" s="12"/>
      <c r="F962" s="12"/>
      <c r="G962" s="12" t="str">
        <f t="shared" si="28"/>
        <v/>
      </c>
      <c r="H962" s="12"/>
      <c r="I962" s="12"/>
      <c r="J962" s="13">
        <v>45952</v>
      </c>
      <c r="K962" s="13">
        <v>2958465</v>
      </c>
      <c r="L962" s="11" t="str">
        <f t="shared" si="29"/>
        <v>INSERT INTO metadata_reference.file_schema VALUES('DETM_DETIS_MODS','AMR3_RISL_DTS',NULL,'TIMESTAMP(6)',NULL,NULL,NULL,NULL,'2025-10-22','9999-12-31',USER, CURRENT_TIMESTAMP(0));</v>
      </c>
    </row>
    <row r="963" spans="1:12" ht="15" customHeight="1">
      <c r="A963" s="11" t="str">
        <f>ETLMetadata!$C963</f>
        <v>DETM_DETIS_MODS</v>
      </c>
      <c r="B963" s="11" t="str">
        <f>ETLMetadata!$E963</f>
        <v>PARTY_ROLE_ID</v>
      </c>
      <c r="C963" s="11" t="str">
        <f>IF(ISBLANK(ETLMetadata!$J963), "", ETLMetadata!$J963)</f>
        <v/>
      </c>
      <c r="D963" s="11" t="str">
        <f>ETLMetadata!$G963</f>
        <v>INTEGER</v>
      </c>
      <c r="E963" s="12"/>
      <c r="F963" s="12"/>
      <c r="G963" s="12" t="str">
        <f t="shared" ref="G963:G1026" si="30">UPPER($F963)</f>
        <v/>
      </c>
      <c r="H963" s="12"/>
      <c r="I963" s="12"/>
      <c r="J963" s="13">
        <v>45952</v>
      </c>
      <c r="K963" s="13">
        <v>2958465</v>
      </c>
      <c r="L963" s="11" t="str">
        <f t="shared" ref="L963:L1026" si="31">CONCATENATE("INSERT INTO metadata_reference.file_schema VALUES('",TRIM(A963),"','",TRIM(B963),"',",IF(TRIM(C963)="","NULL","'"&amp;TRIM(C963)&amp;"'"),",'",TRIM(D963),"',",IF(TRIM(E963)="","NULL","'"&amp;TRIM(E963)&amp;"'"),",",IF(TRIM(G963)="","NULL","'"&amp;TRIM(G963)&amp;"'"),",",IF(TRIM(H963)="","NULL","'"&amp;TRIM(H963)&amp;"'"),",",
IF(TRIM(I963)="","NULL",TRIM(I963)),",",IF(TRIM(J963)="","NULL","'"&amp;TEXT(J963,"yyyy-mm-dd")&amp;"'"),",",IF(TRIM(K963)="","NULL","'"&amp;TEXT(K963,"yyyy-mm-dd")&amp;"'"),",","USER, CURRENT_TIMESTAMP(0));")</f>
        <v>INSERT INTO metadata_reference.file_schema VALUES('DETM_DETIS_MODS','PARTY_ROLE_ID',NULL,'INTEGER',NULL,NULL,NULL,NULL,'2025-10-22','9999-12-31',USER, CURRENT_TIMESTAMP(0));</v>
      </c>
    </row>
    <row r="964" spans="1:12" ht="15" customHeight="1">
      <c r="A964" s="11" t="str">
        <f>ETLMetadata!$C964</f>
        <v>DETM_DETIS_MODS</v>
      </c>
      <c r="B964" s="11" t="str">
        <f>ETLMetadata!$E964</f>
        <v>EPISODE_ID</v>
      </c>
      <c r="C964" s="11" t="str">
        <f>IF(ISBLANK(ETLMetadata!$J964), "", ETLMetadata!$J964)</f>
        <v/>
      </c>
      <c r="D964" s="11" t="str">
        <f>ETLMetadata!$G964</f>
        <v>INTEGER</v>
      </c>
      <c r="E964" s="12"/>
      <c r="F964" s="12"/>
      <c r="G964" s="12" t="str">
        <f t="shared" si="30"/>
        <v/>
      </c>
      <c r="H964" s="12"/>
      <c r="I964" s="12"/>
      <c r="J964" s="13">
        <v>45952</v>
      </c>
      <c r="K964" s="13">
        <v>2958465</v>
      </c>
      <c r="L964" s="11" t="str">
        <f t="shared" si="31"/>
        <v>INSERT INTO metadata_reference.file_schema VALUES('DETM_DETIS_MODS','EPISODE_ID',NULL,'INTEGER',NULL,NULL,NULL,NULL,'2025-10-22','9999-12-31',USER, CURRENT_TIMESTAMP(0));</v>
      </c>
    </row>
    <row r="965" spans="1:12" ht="15" customHeight="1">
      <c r="A965" s="11" t="str">
        <f>ETLMetadata!$C965</f>
        <v>DETM_DETIS_MODS</v>
      </c>
      <c r="B965" s="11" t="str">
        <f>ETLMetadata!$E965</f>
        <v>PAYMENT_TYPE_ID</v>
      </c>
      <c r="C965" s="11" t="str">
        <f>IF(ISBLANK(ETLMetadata!$J965), "", ETLMetadata!$J965)</f>
        <v/>
      </c>
      <c r="D965" s="11" t="str">
        <f>ETLMetadata!$G965</f>
        <v>INTEGER</v>
      </c>
      <c r="E965" s="12"/>
      <c r="F965" s="12"/>
      <c r="G965" s="12" t="str">
        <f t="shared" si="30"/>
        <v/>
      </c>
      <c r="H965" s="12"/>
      <c r="I965" s="12"/>
      <c r="J965" s="13">
        <v>45952</v>
      </c>
      <c r="K965" s="13">
        <v>2958465</v>
      </c>
      <c r="L965" s="11" t="str">
        <f t="shared" si="31"/>
        <v>INSERT INTO metadata_reference.file_schema VALUES('DETM_DETIS_MODS','PAYMENT_TYPE_ID',NULL,'INTEGER',NULL,NULL,NULL,NULL,'2025-10-22','9999-12-31',USER, CURRENT_TIMESTAMP(0));</v>
      </c>
    </row>
    <row r="966" spans="1:12" ht="15" customHeight="1">
      <c r="A966" s="11" t="str">
        <f>ETLMetadata!$C966</f>
        <v>DETM_DETIS_MODS</v>
      </c>
      <c r="B966" s="11" t="str">
        <f>ETLMetadata!$E966</f>
        <v>Start_Date</v>
      </c>
      <c r="C966" s="11" t="str">
        <f>IF(ISBLANK(ETLMetadata!$J966), "", ETLMetadata!$J966)</f>
        <v/>
      </c>
      <c r="D966" s="11" t="str">
        <f>ETLMetadata!$G966</f>
        <v>DATE</v>
      </c>
      <c r="E966" s="12"/>
      <c r="F966" s="12"/>
      <c r="G966" s="12" t="str">
        <f t="shared" si="30"/>
        <v/>
      </c>
      <c r="H966" s="12"/>
      <c r="I966" s="12"/>
      <c r="J966" s="13">
        <v>45952</v>
      </c>
      <c r="K966" s="13">
        <v>2958465</v>
      </c>
      <c r="L966" s="11" t="str">
        <f t="shared" si="31"/>
        <v>INSERT INTO metadata_reference.file_schema VALUES('DETM_DETIS_MODS','Start_Date',NULL,'DATE',NULL,NULL,NULL,NULL,'2025-10-22','9999-12-31',USER, CURRENT_TIMESTAMP(0));</v>
      </c>
    </row>
    <row r="967" spans="1:12" ht="15" customHeight="1">
      <c r="A967" s="11" t="str">
        <f>ETLMetadata!$C967</f>
        <v>DETM_DETIS_MODS</v>
      </c>
      <c r="B967" s="11" t="str">
        <f>ETLMetadata!$E967</f>
        <v>End_Date</v>
      </c>
      <c r="C967" s="11" t="str">
        <f>IF(ISBLANK(ETLMetadata!$J967), "", ETLMetadata!$J967)</f>
        <v/>
      </c>
      <c r="D967" s="11" t="str">
        <f>ETLMetadata!$G967</f>
        <v>DATE</v>
      </c>
      <c r="E967" s="12"/>
      <c r="F967" s="12"/>
      <c r="G967" s="12" t="str">
        <f t="shared" si="30"/>
        <v/>
      </c>
      <c r="H967" s="12"/>
      <c r="I967" s="12"/>
      <c r="J967" s="13">
        <v>45952</v>
      </c>
      <c r="K967" s="13">
        <v>2958465</v>
      </c>
      <c r="L967" s="11" t="str">
        <f t="shared" si="31"/>
        <v>INSERT INTO metadata_reference.file_schema VALUES('DETM_DETIS_MODS','End_Date',NULL,'DATE',NULL,NULL,NULL,NULL,'2025-10-22','9999-12-31',USER, CURRENT_TIMESTAMP(0));</v>
      </c>
    </row>
    <row r="968" spans="1:12" ht="15" customHeight="1">
      <c r="A968" s="11" t="str">
        <f>ETLMetadata!$C968</f>
        <v>DETM_DETIS_MODS</v>
      </c>
      <c r="B968" s="11" t="str">
        <f>ETLMetadata!$E968</f>
        <v>Record_Deleted_Flag</v>
      </c>
      <c r="C968" s="11" t="str">
        <f>IF(ISBLANK(ETLMetadata!$J968), "", ETLMetadata!$J968)</f>
        <v/>
      </c>
      <c r="D968" s="11" t="str">
        <f>ETLMetadata!$G968</f>
        <v>BYTEINT</v>
      </c>
      <c r="E968" s="12"/>
      <c r="F968" s="12"/>
      <c r="G968" s="12" t="str">
        <f t="shared" si="30"/>
        <v/>
      </c>
      <c r="H968" s="12"/>
      <c r="I968" s="12"/>
      <c r="J968" s="13">
        <v>45952</v>
      </c>
      <c r="K968" s="13">
        <v>2958465</v>
      </c>
      <c r="L968" s="11" t="str">
        <f t="shared" si="31"/>
        <v>INSERT INTO metadata_reference.file_schema VALUES('DETM_DETIS_MODS','Record_Deleted_Flag',NULL,'BYTEINT',NULL,NULL,NULL,NULL,'2025-10-22','9999-12-31',USER, CURRENT_TIMESTAMP(0));</v>
      </c>
    </row>
    <row r="969" spans="1:12" ht="15" customHeight="1">
      <c r="A969" s="11" t="str">
        <f>ETLMetadata!$C969</f>
        <v>DETM_DETIS_MPDS</v>
      </c>
      <c r="B969" s="11" t="str">
        <f>ETLMetadata!$E969</f>
        <v>EXTRACT_DATE</v>
      </c>
      <c r="C969" s="11" t="str">
        <f>IF(ISBLANK(ETLMetadata!$J969), "", ETLMetadata!$J969)</f>
        <v/>
      </c>
      <c r="D969" s="11" t="str">
        <f>ETLMetadata!$G969</f>
        <v>DATE</v>
      </c>
      <c r="E969" s="12"/>
      <c r="F969" s="12"/>
      <c r="G969" s="12" t="str">
        <f t="shared" si="30"/>
        <v/>
      </c>
      <c r="H969" s="12"/>
      <c r="I969" s="12"/>
      <c r="J969" s="13">
        <v>45952</v>
      </c>
      <c r="K969" s="13">
        <v>2958465</v>
      </c>
      <c r="L969" s="11" t="str">
        <f t="shared" si="31"/>
        <v>INSERT INTO metadata_reference.file_schema VALUES('DETM_DETIS_MPDS','EXTRACT_DATE',NULL,'DATE',NULL,NULL,NULL,NULL,'2025-10-22','9999-12-31',USER, CURRENT_TIMESTAMP(0));</v>
      </c>
    </row>
    <row r="970" spans="1:12" ht="15" customHeight="1">
      <c r="A970" s="11" t="str">
        <f>ETLMetadata!$C970</f>
        <v>DETM_DETIS_MPDS</v>
      </c>
      <c r="B970" s="11" t="str">
        <f>ETLMetadata!$E970</f>
        <v>LOGICAL_DELETE_DATE</v>
      </c>
      <c r="C970" s="11" t="str">
        <f>IF(ISBLANK(ETLMetadata!$J970), "", ETLMetadata!$J970)</f>
        <v/>
      </c>
      <c r="D970" s="11" t="str">
        <f>ETLMetadata!$G970</f>
        <v>DATE</v>
      </c>
      <c r="E970" s="12"/>
      <c r="F970" s="12"/>
      <c r="G970" s="12" t="str">
        <f t="shared" si="30"/>
        <v/>
      </c>
      <c r="H970" s="12"/>
      <c r="I970" s="12"/>
      <c r="J970" s="13">
        <v>45952</v>
      </c>
      <c r="K970" s="13">
        <v>2958465</v>
      </c>
      <c r="L970" s="11" t="str">
        <f t="shared" si="31"/>
        <v>INSERT INTO metadata_reference.file_schema VALUES('DETM_DETIS_MPDS','LOGICAL_DELETE_DATE',NULL,'DATE',NULL,NULL,NULL,NULL,'2025-10-22','9999-12-31',USER, CURRENT_TIMESTAMP(0));</v>
      </c>
    </row>
    <row r="971" spans="1:12" ht="15" customHeight="1">
      <c r="A971" s="11" t="str">
        <f>ETLMetadata!$C971</f>
        <v>DETM_DETIS_MPDS</v>
      </c>
      <c r="B971" s="11" t="str">
        <f>ETLMetadata!$E971</f>
        <v>ENVIRONMENT_ID</v>
      </c>
      <c r="C971" s="11" t="str">
        <f>IF(ISBLANK(ETLMetadata!$J971), "", ETLMetadata!$J971)</f>
        <v>Y</v>
      </c>
      <c r="D971" s="11" t="str">
        <f>ETLMetadata!$G971</f>
        <v>CHAR(1)</v>
      </c>
      <c r="E971" s="12"/>
      <c r="F971" s="12"/>
      <c r="G971" s="12" t="str">
        <f t="shared" si="30"/>
        <v/>
      </c>
      <c r="H971" s="12"/>
      <c r="I971" s="12"/>
      <c r="J971" s="13">
        <v>45952</v>
      </c>
      <c r="K971" s="13">
        <v>2958465</v>
      </c>
      <c r="L971" s="11" t="str">
        <f t="shared" si="31"/>
        <v>INSERT INTO metadata_reference.file_schema VALUES('DETM_DETIS_MPDS','ENVIRONMENT_ID','Y','CHAR(1)',NULL,NULL,NULL,NULL,'2025-10-22','9999-12-31',USER, CURRENT_TIMESTAMP(0));</v>
      </c>
    </row>
    <row r="972" spans="1:12" ht="15" customHeight="1">
      <c r="A972" s="11" t="str">
        <f>ETLMetadata!$C972</f>
        <v>DETM_DETIS_MPDS</v>
      </c>
      <c r="B972" s="11" t="str">
        <f>ETLMetadata!$E972</f>
        <v>PERSON_ID</v>
      </c>
      <c r="C972" s="11" t="str">
        <f>IF(ISBLANK(ETLMetadata!$J972), "", ETLMetadata!$J972)</f>
        <v>Y</v>
      </c>
      <c r="D972" s="11" t="str">
        <f>ETLMetadata!$G972</f>
        <v>INTEGER</v>
      </c>
      <c r="E972" s="12"/>
      <c r="F972" s="12" t="s">
        <v>799</v>
      </c>
      <c r="G972" s="12" t="str">
        <f t="shared" si="30"/>
        <v>PERSONAL_IDENTITYINFOINDIRECT</v>
      </c>
      <c r="H972" s="12"/>
      <c r="I972" s="12"/>
      <c r="J972" s="13">
        <v>45952</v>
      </c>
      <c r="K972" s="13">
        <v>2958465</v>
      </c>
      <c r="L972" s="11" t="str">
        <f t="shared" si="31"/>
        <v>INSERT INTO metadata_reference.file_schema VALUES('DETM_DETIS_MPDS','PERSON_ID','Y','INTEGER',NULL,'PERSONAL_IDENTITYINFOINDIRECT',NULL,NULL,'2025-10-22','9999-12-31',USER, CURRENT_TIMESTAMP(0));</v>
      </c>
    </row>
    <row r="973" spans="1:12" ht="15" customHeight="1">
      <c r="A973" s="11" t="str">
        <f>ETLMetadata!$C973</f>
        <v>DETM_DETIS_MPDS</v>
      </c>
      <c r="B973" s="11" t="str">
        <f>ETLMetadata!$E973</f>
        <v>MPDS_DOE</v>
      </c>
      <c r="C973" s="11" t="str">
        <f>IF(ISBLANK(ETLMetadata!$J973), "", ETLMetadata!$J973)</f>
        <v/>
      </c>
      <c r="D973" s="11" t="str">
        <f>ETLMetadata!$G973</f>
        <v>DATE</v>
      </c>
      <c r="E973" s="12"/>
      <c r="F973" s="12"/>
      <c r="G973" s="12" t="str">
        <f t="shared" si="30"/>
        <v/>
      </c>
      <c r="H973" s="12"/>
      <c r="I973" s="12"/>
      <c r="J973" s="13">
        <v>45952</v>
      </c>
      <c r="K973" s="13">
        <v>2958465</v>
      </c>
      <c r="L973" s="11" t="str">
        <f t="shared" si="31"/>
        <v>INSERT INTO metadata_reference.file_schema VALUES('DETM_DETIS_MPDS','MPDS_DOE',NULL,'DATE',NULL,NULL,NULL,NULL,'2025-10-22','9999-12-31',USER, CURRENT_TIMESTAMP(0));</v>
      </c>
    </row>
    <row r="974" spans="1:12" ht="15" customHeight="1">
      <c r="A974" s="11" t="str">
        <f>ETLMetadata!$C974</f>
        <v>DETM_DETIS_MPDS</v>
      </c>
      <c r="B974" s="11" t="str">
        <f>ETLMetadata!$E974</f>
        <v>MPDS_DOE_ORIG</v>
      </c>
      <c r="C974" s="11" t="str">
        <f>IF(ISBLANK(ETLMetadata!$J974), "", ETLMetadata!$J974)</f>
        <v/>
      </c>
      <c r="D974" s="11" t="str">
        <f>ETLMetadata!$G974</f>
        <v>INTEGER</v>
      </c>
      <c r="E974" s="12"/>
      <c r="F974" s="12"/>
      <c r="G974" s="12" t="str">
        <f t="shared" si="30"/>
        <v/>
      </c>
      <c r="H974" s="12"/>
      <c r="I974" s="12"/>
      <c r="J974" s="13">
        <v>45952</v>
      </c>
      <c r="K974" s="13">
        <v>2958465</v>
      </c>
      <c r="L974" s="11" t="str">
        <f t="shared" si="31"/>
        <v>INSERT INTO metadata_reference.file_schema VALUES('DETM_DETIS_MPDS','MPDS_DOE_ORIG',NULL,'INTEGER',NULL,NULL,NULL,NULL,'2025-10-22','9999-12-31',USER, CURRENT_TIMESTAMP(0));</v>
      </c>
    </row>
    <row r="975" spans="1:12" ht="15" customHeight="1">
      <c r="A975" s="11" t="str">
        <f>ETLMetadata!$C975</f>
        <v>DETM_DETIS_MPDS</v>
      </c>
      <c r="B975" s="11" t="str">
        <f>ETLMetadata!$E975</f>
        <v>PROCESSING_SEQUENCE</v>
      </c>
      <c r="C975" s="11" t="str">
        <f>IF(ISBLANK(ETLMetadata!$J975), "", ETLMetadata!$J975)</f>
        <v>Y</v>
      </c>
      <c r="D975" s="11" t="str">
        <f>ETLMetadata!$G975</f>
        <v>SMALLINT</v>
      </c>
      <c r="E975" s="12"/>
      <c r="F975" s="12"/>
      <c r="G975" s="12" t="str">
        <f t="shared" si="30"/>
        <v/>
      </c>
      <c r="H975" s="12"/>
      <c r="I975" s="12"/>
      <c r="J975" s="13">
        <v>45952</v>
      </c>
      <c r="K975" s="13">
        <v>2958465</v>
      </c>
      <c r="L975" s="11" t="str">
        <f t="shared" si="31"/>
        <v>INSERT INTO metadata_reference.file_schema VALUES('DETM_DETIS_MPDS','PROCESSING_SEQUENCE','Y','SMALLINT',NULL,NULL,NULL,NULL,'2025-10-22','9999-12-31',USER, CURRENT_TIMESTAMP(0));</v>
      </c>
    </row>
    <row r="976" spans="1:12" ht="15" customHeight="1">
      <c r="A976" s="11" t="str">
        <f>ETLMetadata!$C976</f>
        <v>DETM_DETIS_MPDS</v>
      </c>
      <c r="B976" s="11" t="str">
        <f>ETLMetadata!$E976</f>
        <v>MPDS_AMR_1</v>
      </c>
      <c r="C976" s="11" t="str">
        <f>IF(ISBLANK(ETLMetadata!$J976), "", ETLMetadata!$J976)</f>
        <v/>
      </c>
      <c r="D976" s="11" t="str">
        <f>ETLMetadata!$G976</f>
        <v>CHAR(4)</v>
      </c>
      <c r="E976" s="12"/>
      <c r="F976" s="12"/>
      <c r="G976" s="12" t="str">
        <f t="shared" si="30"/>
        <v/>
      </c>
      <c r="H976" s="12"/>
      <c r="I976" s="12"/>
      <c r="J976" s="13">
        <v>45952</v>
      </c>
      <c r="K976" s="13">
        <v>2958465</v>
      </c>
      <c r="L976" s="11" t="str">
        <f t="shared" si="31"/>
        <v>INSERT INTO metadata_reference.file_schema VALUES('DETM_DETIS_MPDS','MPDS_AMR_1',NULL,'CHAR(4)',NULL,NULL,NULL,NULL,'2025-10-22','9999-12-31',USER, CURRENT_TIMESTAMP(0));</v>
      </c>
    </row>
    <row r="977" spans="1:12" ht="15" customHeight="1">
      <c r="A977" s="11" t="str">
        <f>ETLMetadata!$C977</f>
        <v>DETM_DETIS_MPDS</v>
      </c>
      <c r="B977" s="11" t="str">
        <f>ETLMetadata!$E977</f>
        <v>MPDS_AMR_2</v>
      </c>
      <c r="C977" s="11" t="str">
        <f>IF(ISBLANK(ETLMetadata!$J977), "", ETLMetadata!$J977)</f>
        <v/>
      </c>
      <c r="D977" s="11" t="str">
        <f>ETLMetadata!$G977</f>
        <v>CHAR(1)</v>
      </c>
      <c r="E977" s="12"/>
      <c r="F977" s="12"/>
      <c r="G977" s="12" t="str">
        <f t="shared" si="30"/>
        <v/>
      </c>
      <c r="H977" s="12"/>
      <c r="I977" s="12"/>
      <c r="J977" s="13">
        <v>45952</v>
      </c>
      <c r="K977" s="13">
        <v>2958465</v>
      </c>
      <c r="L977" s="11" t="str">
        <f t="shared" si="31"/>
        <v>INSERT INTO metadata_reference.file_schema VALUES('DETM_DETIS_MPDS','MPDS_AMR_2',NULL,'CHAR(1)',NULL,NULL,NULL,NULL,'2025-10-22','9999-12-31',USER, CURRENT_TIMESTAMP(0));</v>
      </c>
    </row>
    <row r="978" spans="1:12" ht="15" customHeight="1">
      <c r="A978" s="11" t="str">
        <f>ETLMetadata!$C978</f>
        <v>DETM_DETIS_MPDS</v>
      </c>
      <c r="B978" s="11" t="str">
        <f>ETLMetadata!$E978</f>
        <v>MPDS_AMR_3</v>
      </c>
      <c r="C978" s="11" t="str">
        <f>IF(ISBLANK(ETLMetadata!$J978), "", ETLMetadata!$J978)</f>
        <v/>
      </c>
      <c r="D978" s="11" t="str">
        <f>ETLMetadata!$G978</f>
        <v>CHAR(4)</v>
      </c>
      <c r="E978" s="12"/>
      <c r="F978" s="12"/>
      <c r="G978" s="12" t="str">
        <f t="shared" si="30"/>
        <v/>
      </c>
      <c r="H978" s="12"/>
      <c r="I978" s="12"/>
      <c r="J978" s="13">
        <v>45952</v>
      </c>
      <c r="K978" s="13">
        <v>2958465</v>
      </c>
      <c r="L978" s="11" t="str">
        <f t="shared" si="31"/>
        <v>INSERT INTO metadata_reference.file_schema VALUES('DETM_DETIS_MPDS','MPDS_AMR_3',NULL,'CHAR(4)',NULL,NULL,NULL,NULL,'2025-10-22','9999-12-31',USER, CURRENT_TIMESTAMP(0));</v>
      </c>
    </row>
    <row r="979" spans="1:12" ht="15" customHeight="1">
      <c r="A979" s="11" t="str">
        <f>ETLMetadata!$C979</f>
        <v>DETM_DETIS_MPDS</v>
      </c>
      <c r="B979" s="11" t="str">
        <f>ETLMetadata!$E979</f>
        <v>MPDS_BEN_TYPE_CODE</v>
      </c>
      <c r="C979" s="11" t="str">
        <f>IF(ISBLANK(ETLMetadata!$J979), "", ETLMetadata!$J979)</f>
        <v/>
      </c>
      <c r="D979" s="11" t="str">
        <f>ETLMetadata!$G979</f>
        <v>CHAR(3)</v>
      </c>
      <c r="E979" s="12"/>
      <c r="F979" s="12"/>
      <c r="G979" s="12" t="str">
        <f t="shared" si="30"/>
        <v/>
      </c>
      <c r="H979" s="12"/>
      <c r="I979" s="12"/>
      <c r="J979" s="13">
        <v>45952</v>
      </c>
      <c r="K979" s="13">
        <v>2958465</v>
      </c>
      <c r="L979" s="11" t="str">
        <f t="shared" si="31"/>
        <v>INSERT INTO metadata_reference.file_schema VALUES('DETM_DETIS_MPDS','MPDS_BEN_TYPE_CODE',NULL,'CHAR(3)',NULL,NULL,NULL,NULL,'2025-10-22','9999-12-31',USER, CURRENT_TIMESTAMP(0));</v>
      </c>
    </row>
    <row r="980" spans="1:12" ht="15" customHeight="1">
      <c r="A980" s="11" t="str">
        <f>ETLMetadata!$C980</f>
        <v>DETM_DETIS_MPDS</v>
      </c>
      <c r="B980" s="11" t="str">
        <f>ETLMetadata!$E980</f>
        <v>MPDS_STS_CODE</v>
      </c>
      <c r="C980" s="11" t="str">
        <f>IF(ISBLANK(ETLMetadata!$J980), "", ETLMetadata!$J980)</f>
        <v/>
      </c>
      <c r="D980" s="11" t="str">
        <f>ETLMetadata!$G980</f>
        <v>CHAR(3)</v>
      </c>
      <c r="E980" s="12"/>
      <c r="F980" s="12"/>
      <c r="G980" s="12" t="str">
        <f t="shared" si="30"/>
        <v/>
      </c>
      <c r="H980" s="12"/>
      <c r="I980" s="12"/>
      <c r="J980" s="13">
        <v>45952</v>
      </c>
      <c r="K980" s="13">
        <v>2958465</v>
      </c>
      <c r="L980" s="11" t="str">
        <f t="shared" si="31"/>
        <v>INSERT INTO metadata_reference.file_schema VALUES('DETM_DETIS_MPDS','MPDS_STS_CODE',NULL,'CHAR(3)',NULL,NULL,NULL,NULL,'2025-10-22','9999-12-31',USER, CURRENT_TIMESTAMP(0));</v>
      </c>
    </row>
    <row r="981" spans="1:12" ht="15" customHeight="1">
      <c r="A981" s="11" t="str">
        <f>ETLMetadata!$C981</f>
        <v>DETM_DETIS_MPDS</v>
      </c>
      <c r="B981" s="11" t="str">
        <f>ETLMetadata!$E981</f>
        <v>MPDS_RSN_CODE</v>
      </c>
      <c r="C981" s="11" t="str">
        <f>IF(ISBLANK(ETLMetadata!$J981), "", ETLMetadata!$J981)</f>
        <v/>
      </c>
      <c r="D981" s="11" t="str">
        <f>ETLMetadata!$G981</f>
        <v>CHAR(3)</v>
      </c>
      <c r="E981" s="12"/>
      <c r="F981" s="12"/>
      <c r="G981" s="12" t="str">
        <f t="shared" si="30"/>
        <v/>
      </c>
      <c r="H981" s="12"/>
      <c r="I981" s="12"/>
      <c r="J981" s="13">
        <v>45952</v>
      </c>
      <c r="K981" s="13">
        <v>2958465</v>
      </c>
      <c r="L981" s="11" t="str">
        <f t="shared" si="31"/>
        <v>INSERT INTO metadata_reference.file_schema VALUES('DETM_DETIS_MPDS','MPDS_RSN_CODE',NULL,'CHAR(3)',NULL,NULL,NULL,NULL,'2025-10-22','9999-12-31',USER, CURRENT_TIMESTAMP(0));</v>
      </c>
    </row>
    <row r="982" spans="1:12" ht="15" customHeight="1">
      <c r="A982" s="11" t="str">
        <f>ETLMetadata!$C982</f>
        <v>DETM_DETIS_MPDS</v>
      </c>
      <c r="B982" s="11" t="str">
        <f>ETLMetadata!$E982</f>
        <v>MPDS_UNIQ_ID</v>
      </c>
      <c r="C982" s="11" t="str">
        <f>IF(ISBLANK(ETLMetadata!$J982), "", ETLMetadata!$J982)</f>
        <v/>
      </c>
      <c r="D982" s="11" t="str">
        <f>ETLMetadata!$G982</f>
        <v>VARCHAR(8)</v>
      </c>
      <c r="E982" s="12"/>
      <c r="F982" s="12"/>
      <c r="G982" s="12" t="str">
        <f t="shared" si="30"/>
        <v/>
      </c>
      <c r="H982" s="12"/>
      <c r="I982" s="12"/>
      <c r="J982" s="13">
        <v>45952</v>
      </c>
      <c r="K982" s="13">
        <v>2958465</v>
      </c>
      <c r="L982" s="11" t="str">
        <f t="shared" si="31"/>
        <v>INSERT INTO metadata_reference.file_schema VALUES('DETM_DETIS_MPDS','MPDS_UNIQ_ID',NULL,'VARCHAR(8)',NULL,NULL,NULL,NULL,'2025-10-22','9999-12-31',USER, CURRENT_TIMESTAMP(0));</v>
      </c>
    </row>
    <row r="983" spans="1:12" ht="15" customHeight="1">
      <c r="A983" s="11" t="str">
        <f>ETLMetadata!$C983</f>
        <v>DETM_DETIS_MPDS</v>
      </c>
      <c r="B983" s="11" t="str">
        <f>ETLMetadata!$E983</f>
        <v>AMR1_RISL_DTS</v>
      </c>
      <c r="C983" s="11" t="str">
        <f>IF(ISBLANK(ETLMetadata!$J983), "", ETLMetadata!$J983)</f>
        <v/>
      </c>
      <c r="D983" s="11" t="str">
        <f>ETLMetadata!$G983</f>
        <v>TIMESTAMP(6)</v>
      </c>
      <c r="E983" s="12"/>
      <c r="F983" s="12"/>
      <c r="G983" s="12" t="str">
        <f t="shared" si="30"/>
        <v/>
      </c>
      <c r="H983" s="12"/>
      <c r="I983" s="12"/>
      <c r="J983" s="13">
        <v>45952</v>
      </c>
      <c r="K983" s="13">
        <v>2958465</v>
      </c>
      <c r="L983" s="11" t="str">
        <f t="shared" si="31"/>
        <v>INSERT INTO metadata_reference.file_schema VALUES('DETM_DETIS_MPDS','AMR1_RISL_DTS',NULL,'TIMESTAMP(6)',NULL,NULL,NULL,NULL,'2025-10-22','9999-12-31',USER, CURRENT_TIMESTAMP(0));</v>
      </c>
    </row>
    <row r="984" spans="1:12" ht="15" customHeight="1">
      <c r="A984" s="11" t="str">
        <f>ETLMetadata!$C984</f>
        <v>DETM_DETIS_MPDS</v>
      </c>
      <c r="B984" s="11" t="str">
        <f>ETLMetadata!$E984</f>
        <v>AMR3_RISL_DTS</v>
      </c>
      <c r="C984" s="11" t="str">
        <f>IF(ISBLANK(ETLMetadata!$J984), "", ETLMetadata!$J984)</f>
        <v/>
      </c>
      <c r="D984" s="11" t="str">
        <f>ETLMetadata!$G984</f>
        <v>TIMESTAMP(6)</v>
      </c>
      <c r="E984" s="12"/>
      <c r="F984" s="12"/>
      <c r="G984" s="12" t="str">
        <f t="shared" si="30"/>
        <v/>
      </c>
      <c r="H984" s="12"/>
      <c r="I984" s="12"/>
      <c r="J984" s="13">
        <v>45952</v>
      </c>
      <c r="K984" s="13">
        <v>2958465</v>
      </c>
      <c r="L984" s="11" t="str">
        <f t="shared" si="31"/>
        <v>INSERT INTO metadata_reference.file_schema VALUES('DETM_DETIS_MPDS','AMR3_RISL_DTS',NULL,'TIMESTAMP(6)',NULL,NULL,NULL,NULL,'2025-10-22','9999-12-31',USER, CURRENT_TIMESTAMP(0));</v>
      </c>
    </row>
    <row r="985" spans="1:12" ht="15" customHeight="1">
      <c r="A985" s="11" t="str">
        <f>ETLMetadata!$C985</f>
        <v>DETM_DETIS_MPDS</v>
      </c>
      <c r="B985" s="11" t="str">
        <f>ETLMetadata!$E985</f>
        <v>EPISODE_ID</v>
      </c>
      <c r="C985" s="11" t="str">
        <f>IF(ISBLANK(ETLMetadata!$J985), "", ETLMetadata!$J985)</f>
        <v/>
      </c>
      <c r="D985" s="11" t="str">
        <f>ETLMetadata!$G985</f>
        <v>INTEGER</v>
      </c>
      <c r="E985" s="12"/>
      <c r="F985" s="12"/>
      <c r="G985" s="12" t="str">
        <f t="shared" si="30"/>
        <v/>
      </c>
      <c r="H985" s="12"/>
      <c r="I985" s="12"/>
      <c r="J985" s="13">
        <v>45952</v>
      </c>
      <c r="K985" s="13">
        <v>2958465</v>
      </c>
      <c r="L985" s="11" t="str">
        <f t="shared" si="31"/>
        <v>INSERT INTO metadata_reference.file_schema VALUES('DETM_DETIS_MPDS','EPISODE_ID',NULL,'INTEGER',NULL,NULL,NULL,NULL,'2025-10-22','9999-12-31',USER, CURRENT_TIMESTAMP(0));</v>
      </c>
    </row>
    <row r="986" spans="1:12" ht="15" customHeight="1">
      <c r="A986" s="11" t="str">
        <f>ETLMetadata!$C986</f>
        <v>DETM_DETIS_MPDS</v>
      </c>
      <c r="B986" s="11" t="str">
        <f>ETLMetadata!$E986</f>
        <v>PARTY_ROLE_ID</v>
      </c>
      <c r="C986" s="11" t="str">
        <f>IF(ISBLANK(ETLMetadata!$J986), "", ETLMetadata!$J986)</f>
        <v/>
      </c>
      <c r="D986" s="11" t="str">
        <f>ETLMetadata!$G986</f>
        <v>INTEGER</v>
      </c>
      <c r="E986" s="12"/>
      <c r="F986" s="12"/>
      <c r="G986" s="12" t="str">
        <f t="shared" si="30"/>
        <v/>
      </c>
      <c r="H986" s="12"/>
      <c r="I986" s="12"/>
      <c r="J986" s="13">
        <v>45952</v>
      </c>
      <c r="K986" s="13">
        <v>2958465</v>
      </c>
      <c r="L986" s="11" t="str">
        <f t="shared" si="31"/>
        <v>INSERT INTO metadata_reference.file_schema VALUES('DETM_DETIS_MPDS','PARTY_ROLE_ID',NULL,'INTEGER',NULL,NULL,NULL,NULL,'2025-10-22','9999-12-31',USER, CURRENT_TIMESTAMP(0));</v>
      </c>
    </row>
    <row r="987" spans="1:12" ht="15" customHeight="1">
      <c r="A987" s="11" t="str">
        <f>ETLMetadata!$C987</f>
        <v>DETM_DETIS_MPDS</v>
      </c>
      <c r="B987" s="11" t="str">
        <f>ETLMetadata!$E987</f>
        <v>PAYMENT_TYPE_ID</v>
      </c>
      <c r="C987" s="11" t="str">
        <f>IF(ISBLANK(ETLMetadata!$J987), "", ETLMetadata!$J987)</f>
        <v/>
      </c>
      <c r="D987" s="11" t="str">
        <f>ETLMetadata!$G987</f>
        <v>INTEGER</v>
      </c>
      <c r="E987" s="12"/>
      <c r="F987" s="12"/>
      <c r="G987" s="12" t="str">
        <f t="shared" si="30"/>
        <v/>
      </c>
      <c r="H987" s="12"/>
      <c r="I987" s="12"/>
      <c r="J987" s="13">
        <v>45952</v>
      </c>
      <c r="K987" s="13">
        <v>2958465</v>
      </c>
      <c r="L987" s="11" t="str">
        <f t="shared" si="31"/>
        <v>INSERT INTO metadata_reference.file_schema VALUES('DETM_DETIS_MPDS','PAYMENT_TYPE_ID',NULL,'INTEGER',NULL,NULL,NULL,NULL,'2025-10-22','9999-12-31',USER, CURRENT_TIMESTAMP(0));</v>
      </c>
    </row>
    <row r="988" spans="1:12" ht="15" customHeight="1">
      <c r="A988" s="11" t="str">
        <f>ETLMetadata!$C988</f>
        <v>DETM_DETIS_MPDS</v>
      </c>
      <c r="B988" s="11" t="str">
        <f>ETLMetadata!$E988</f>
        <v>ERROR_COUNT</v>
      </c>
      <c r="C988" s="11" t="str">
        <f>IF(ISBLANK(ETLMetadata!$J988), "", ETLMetadata!$J988)</f>
        <v/>
      </c>
      <c r="D988" s="11" t="str">
        <f>ETLMetadata!$G988</f>
        <v>SMALLINT</v>
      </c>
      <c r="E988" s="12"/>
      <c r="F988" s="12"/>
      <c r="G988" s="12" t="str">
        <f t="shared" si="30"/>
        <v/>
      </c>
      <c r="H988" s="12"/>
      <c r="I988" s="12"/>
      <c r="J988" s="13">
        <v>45952</v>
      </c>
      <c r="K988" s="13">
        <v>2958465</v>
      </c>
      <c r="L988" s="11" t="str">
        <f t="shared" si="31"/>
        <v>INSERT INTO metadata_reference.file_schema VALUES('DETM_DETIS_MPDS','ERROR_COUNT',NULL,'SMALLINT',NULL,NULL,NULL,NULL,'2025-10-22','9999-12-31',USER, CURRENT_TIMESTAMP(0));</v>
      </c>
    </row>
    <row r="989" spans="1:12" ht="15" customHeight="1">
      <c r="A989" s="11" t="str">
        <f>ETLMetadata!$C989</f>
        <v>DETM_DETIS_MPDS</v>
      </c>
      <c r="B989" s="11" t="str">
        <f>ETLMetadata!$E989</f>
        <v>Start_Date</v>
      </c>
      <c r="C989" s="11" t="str">
        <f>IF(ISBLANK(ETLMetadata!$J989), "", ETLMetadata!$J989)</f>
        <v/>
      </c>
      <c r="D989" s="11" t="str">
        <f>ETLMetadata!$G989</f>
        <v>DATE</v>
      </c>
      <c r="E989" s="12"/>
      <c r="F989" s="12"/>
      <c r="G989" s="12" t="str">
        <f t="shared" si="30"/>
        <v/>
      </c>
      <c r="H989" s="12"/>
      <c r="I989" s="12"/>
      <c r="J989" s="13">
        <v>45952</v>
      </c>
      <c r="K989" s="13">
        <v>2958465</v>
      </c>
      <c r="L989" s="11" t="str">
        <f t="shared" si="31"/>
        <v>INSERT INTO metadata_reference.file_schema VALUES('DETM_DETIS_MPDS','Start_Date',NULL,'DATE',NULL,NULL,NULL,NULL,'2025-10-22','9999-12-31',USER, CURRENT_TIMESTAMP(0));</v>
      </c>
    </row>
    <row r="990" spans="1:12" ht="15" customHeight="1">
      <c r="A990" s="11" t="str">
        <f>ETLMetadata!$C990</f>
        <v>DETM_DETIS_MPDS</v>
      </c>
      <c r="B990" s="11" t="str">
        <f>ETLMetadata!$E990</f>
        <v>End_Date</v>
      </c>
      <c r="C990" s="11" t="str">
        <f>IF(ISBLANK(ETLMetadata!$J990), "", ETLMetadata!$J990)</f>
        <v/>
      </c>
      <c r="D990" s="11" t="str">
        <f>ETLMetadata!$G990</f>
        <v>DATE</v>
      </c>
      <c r="E990" s="12"/>
      <c r="F990" s="12"/>
      <c r="G990" s="12" t="str">
        <f t="shared" si="30"/>
        <v/>
      </c>
      <c r="H990" s="12"/>
      <c r="I990" s="12"/>
      <c r="J990" s="13">
        <v>45952</v>
      </c>
      <c r="K990" s="13">
        <v>2958465</v>
      </c>
      <c r="L990" s="11" t="str">
        <f t="shared" si="31"/>
        <v>INSERT INTO metadata_reference.file_schema VALUES('DETM_DETIS_MPDS','End_Date',NULL,'DATE',NULL,NULL,NULL,NULL,'2025-10-22','9999-12-31',USER, CURRENT_TIMESTAMP(0));</v>
      </c>
    </row>
    <row r="991" spans="1:12" ht="15" customHeight="1">
      <c r="A991" s="11" t="str">
        <f>ETLMetadata!$C991</f>
        <v>DETM_DETIS_MPDS</v>
      </c>
      <c r="B991" s="11" t="str">
        <f>ETLMetadata!$E991</f>
        <v>Record_Deleted_Flag</v>
      </c>
      <c r="C991" s="11" t="str">
        <f>IF(ISBLANK(ETLMetadata!$J991), "", ETLMetadata!$J991)</f>
        <v/>
      </c>
      <c r="D991" s="11" t="str">
        <f>ETLMetadata!$G991</f>
        <v>BYTEINT</v>
      </c>
      <c r="E991" s="12"/>
      <c r="F991" s="12"/>
      <c r="G991" s="12" t="str">
        <f t="shared" si="30"/>
        <v/>
      </c>
      <c r="H991" s="12"/>
      <c r="I991" s="12"/>
      <c r="J991" s="13">
        <v>45952</v>
      </c>
      <c r="K991" s="13">
        <v>2958465</v>
      </c>
      <c r="L991" s="11" t="str">
        <f t="shared" si="31"/>
        <v>INSERT INTO metadata_reference.file_schema VALUES('DETM_DETIS_MPDS','Record_Deleted_Flag',NULL,'BYTEINT',NULL,NULL,NULL,NULL,'2025-10-22','9999-12-31',USER, CURRENT_TIMESTAMP(0));</v>
      </c>
    </row>
    <row r="992" spans="1:12" ht="15" customHeight="1">
      <c r="A992" s="11" t="str">
        <f>ETLMetadata!$C992</f>
        <v>DETM_DETIS_MYDS</v>
      </c>
      <c r="B992" s="11" t="str">
        <f>ETLMetadata!$E992</f>
        <v>EXTRACT_DATE</v>
      </c>
      <c r="C992" s="11" t="str">
        <f>IF(ISBLANK(ETLMetadata!$J992), "", ETLMetadata!$J992)</f>
        <v/>
      </c>
      <c r="D992" s="11" t="str">
        <f>ETLMetadata!$G992</f>
        <v>DATE</v>
      </c>
      <c r="E992" s="12"/>
      <c r="F992" s="12"/>
      <c r="G992" s="12" t="str">
        <f t="shared" si="30"/>
        <v/>
      </c>
      <c r="H992" s="12"/>
      <c r="I992" s="12"/>
      <c r="J992" s="13">
        <v>45952</v>
      </c>
      <c r="K992" s="13">
        <v>2958465</v>
      </c>
      <c r="L992" s="11" t="str">
        <f t="shared" si="31"/>
        <v>INSERT INTO metadata_reference.file_schema VALUES('DETM_DETIS_MYDS','EXTRACT_DATE',NULL,'DATE',NULL,NULL,NULL,NULL,'2025-10-22','9999-12-31',USER, CURRENT_TIMESTAMP(0));</v>
      </c>
    </row>
    <row r="993" spans="1:12" ht="15" customHeight="1">
      <c r="A993" s="11" t="str">
        <f>ETLMetadata!$C993</f>
        <v>DETM_DETIS_MYDS</v>
      </c>
      <c r="B993" s="11" t="str">
        <f>ETLMetadata!$E993</f>
        <v>LOGICAL_DELETE_DATE</v>
      </c>
      <c r="C993" s="11" t="str">
        <f>IF(ISBLANK(ETLMetadata!$J993), "", ETLMetadata!$J993)</f>
        <v/>
      </c>
      <c r="D993" s="11" t="str">
        <f>ETLMetadata!$G993</f>
        <v>DATE</v>
      </c>
      <c r="E993" s="12"/>
      <c r="F993" s="12"/>
      <c r="G993" s="12" t="str">
        <f t="shared" si="30"/>
        <v/>
      </c>
      <c r="H993" s="12"/>
      <c r="I993" s="12"/>
      <c r="J993" s="13">
        <v>45952</v>
      </c>
      <c r="K993" s="13">
        <v>2958465</v>
      </c>
      <c r="L993" s="11" t="str">
        <f t="shared" si="31"/>
        <v>INSERT INTO metadata_reference.file_schema VALUES('DETM_DETIS_MYDS','LOGICAL_DELETE_DATE',NULL,'DATE',NULL,NULL,NULL,NULL,'2025-10-22','9999-12-31',USER, CURRENT_TIMESTAMP(0));</v>
      </c>
    </row>
    <row r="994" spans="1:12" ht="15" customHeight="1">
      <c r="A994" s="11" t="str">
        <f>ETLMetadata!$C994</f>
        <v>DETM_DETIS_MYDS</v>
      </c>
      <c r="B994" s="11" t="str">
        <f>ETLMetadata!$E994</f>
        <v>ENVIRONMENT_ID</v>
      </c>
      <c r="C994" s="11" t="str">
        <f>IF(ISBLANK(ETLMetadata!$J994), "", ETLMetadata!$J994)</f>
        <v>Y</v>
      </c>
      <c r="D994" s="11" t="str">
        <f>ETLMetadata!$G994</f>
        <v>CHAR(1)</v>
      </c>
      <c r="E994" s="12"/>
      <c r="F994" s="12"/>
      <c r="G994" s="12" t="str">
        <f t="shared" si="30"/>
        <v/>
      </c>
      <c r="H994" s="12"/>
      <c r="I994" s="12"/>
      <c r="J994" s="13">
        <v>45952</v>
      </c>
      <c r="K994" s="13">
        <v>2958465</v>
      </c>
      <c r="L994" s="11" t="str">
        <f t="shared" si="31"/>
        <v>INSERT INTO metadata_reference.file_schema VALUES('DETM_DETIS_MYDS','ENVIRONMENT_ID','Y','CHAR(1)',NULL,NULL,NULL,NULL,'2025-10-22','9999-12-31',USER, CURRENT_TIMESTAMP(0));</v>
      </c>
    </row>
    <row r="995" spans="1:12" ht="15" customHeight="1">
      <c r="A995" s="11" t="str">
        <f>ETLMetadata!$C995</f>
        <v>DETM_DETIS_MYDS</v>
      </c>
      <c r="B995" s="11" t="str">
        <f>ETLMetadata!$E995</f>
        <v>PERSON_ID</v>
      </c>
      <c r="C995" s="11" t="str">
        <f>IF(ISBLANK(ETLMetadata!$J995), "", ETLMetadata!$J995)</f>
        <v>Y</v>
      </c>
      <c r="D995" s="11" t="str">
        <f>ETLMetadata!$G995</f>
        <v>INTEGER</v>
      </c>
      <c r="E995" s="12"/>
      <c r="F995" s="12" t="s">
        <v>799</v>
      </c>
      <c r="G995" s="12" t="str">
        <f t="shared" si="30"/>
        <v>PERSONAL_IDENTITYINFOINDIRECT</v>
      </c>
      <c r="H995" s="12"/>
      <c r="I995" s="12"/>
      <c r="J995" s="13">
        <v>45952</v>
      </c>
      <c r="K995" s="13">
        <v>2958465</v>
      </c>
      <c r="L995" s="11" t="str">
        <f t="shared" si="31"/>
        <v>INSERT INTO metadata_reference.file_schema VALUES('DETM_DETIS_MYDS','PERSON_ID','Y','INTEGER',NULL,'PERSONAL_IDENTITYINFOINDIRECT',NULL,NULL,'2025-10-22','9999-12-31',USER, CURRENT_TIMESTAMP(0));</v>
      </c>
    </row>
    <row r="996" spans="1:12" ht="15" customHeight="1">
      <c r="A996" s="11" t="str">
        <f>ETLMetadata!$C996</f>
        <v>DETM_DETIS_MYDS</v>
      </c>
      <c r="B996" s="11" t="str">
        <f>ETLMetadata!$E996</f>
        <v>MYDS_DOE</v>
      </c>
      <c r="C996" s="11" t="str">
        <f>IF(ISBLANK(ETLMetadata!$J996), "", ETLMetadata!$J996)</f>
        <v/>
      </c>
      <c r="D996" s="11" t="str">
        <f>ETLMetadata!$G996</f>
        <v>DATE</v>
      </c>
      <c r="E996" s="12"/>
      <c r="F996" s="12"/>
      <c r="G996" s="12" t="str">
        <f t="shared" si="30"/>
        <v/>
      </c>
      <c r="H996" s="12"/>
      <c r="I996" s="12"/>
      <c r="J996" s="13">
        <v>45952</v>
      </c>
      <c r="K996" s="13">
        <v>2958465</v>
      </c>
      <c r="L996" s="11" t="str">
        <f t="shared" si="31"/>
        <v>INSERT INTO metadata_reference.file_schema VALUES('DETM_DETIS_MYDS','MYDS_DOE',NULL,'DATE',NULL,NULL,NULL,NULL,'2025-10-22','9999-12-31',USER, CURRENT_TIMESTAMP(0));</v>
      </c>
    </row>
    <row r="997" spans="1:12" ht="15" customHeight="1">
      <c r="A997" s="11" t="str">
        <f>ETLMetadata!$C997</f>
        <v>DETM_DETIS_MYDS</v>
      </c>
      <c r="B997" s="11" t="str">
        <f>ETLMetadata!$E997</f>
        <v>MYDS_DOE_ORIG</v>
      </c>
      <c r="C997" s="11" t="str">
        <f>IF(ISBLANK(ETLMetadata!$J997), "", ETLMetadata!$J997)</f>
        <v/>
      </c>
      <c r="D997" s="11" t="str">
        <f>ETLMetadata!$G997</f>
        <v>INTEGER</v>
      </c>
      <c r="E997" s="12"/>
      <c r="F997" s="12"/>
      <c r="G997" s="12" t="str">
        <f t="shared" si="30"/>
        <v/>
      </c>
      <c r="H997" s="12"/>
      <c r="I997" s="12"/>
      <c r="J997" s="13">
        <v>45952</v>
      </c>
      <c r="K997" s="13">
        <v>2958465</v>
      </c>
      <c r="L997" s="11" t="str">
        <f t="shared" si="31"/>
        <v>INSERT INTO metadata_reference.file_schema VALUES('DETM_DETIS_MYDS','MYDS_DOE_ORIG',NULL,'INTEGER',NULL,NULL,NULL,NULL,'2025-10-22','9999-12-31',USER, CURRENT_TIMESTAMP(0));</v>
      </c>
    </row>
    <row r="998" spans="1:12" ht="15" customHeight="1">
      <c r="A998" s="11" t="str">
        <f>ETLMetadata!$C998</f>
        <v>DETM_DETIS_MYDS</v>
      </c>
      <c r="B998" s="11" t="str">
        <f>ETLMetadata!$E998</f>
        <v>PROCESSING_SEQUENCE</v>
      </c>
      <c r="C998" s="11" t="str">
        <f>IF(ISBLANK(ETLMetadata!$J998), "", ETLMetadata!$J998)</f>
        <v>Y</v>
      </c>
      <c r="D998" s="11" t="str">
        <f>ETLMetadata!$G998</f>
        <v>SMALLINT</v>
      </c>
      <c r="E998" s="12"/>
      <c r="F998" s="12"/>
      <c r="G998" s="12" t="str">
        <f t="shared" si="30"/>
        <v/>
      </c>
      <c r="H998" s="12"/>
      <c r="I998" s="12"/>
      <c r="J998" s="13">
        <v>45952</v>
      </c>
      <c r="K998" s="13">
        <v>2958465</v>
      </c>
      <c r="L998" s="11" t="str">
        <f t="shared" si="31"/>
        <v>INSERT INTO metadata_reference.file_schema VALUES('DETM_DETIS_MYDS','PROCESSING_SEQUENCE','Y','SMALLINT',NULL,NULL,NULL,NULL,'2025-10-22','9999-12-31',USER, CURRENT_TIMESTAMP(0));</v>
      </c>
    </row>
    <row r="999" spans="1:12" ht="15" customHeight="1">
      <c r="A999" s="11" t="str">
        <f>ETLMetadata!$C999</f>
        <v>DETM_DETIS_MYDS</v>
      </c>
      <c r="B999" s="11" t="str">
        <f>ETLMetadata!$E999</f>
        <v>MYDS_AMR_1</v>
      </c>
      <c r="C999" s="11" t="str">
        <f>IF(ISBLANK(ETLMetadata!$J999), "", ETLMetadata!$J999)</f>
        <v/>
      </c>
      <c r="D999" s="11" t="str">
        <f>ETLMetadata!$G999</f>
        <v>CHAR(4)</v>
      </c>
      <c r="E999" s="12"/>
      <c r="F999" s="12"/>
      <c r="G999" s="12" t="str">
        <f t="shared" si="30"/>
        <v/>
      </c>
      <c r="H999" s="12"/>
      <c r="I999" s="12"/>
      <c r="J999" s="13">
        <v>45952</v>
      </c>
      <c r="K999" s="13">
        <v>2958465</v>
      </c>
      <c r="L999" s="11" t="str">
        <f t="shared" si="31"/>
        <v>INSERT INTO metadata_reference.file_schema VALUES('DETM_DETIS_MYDS','MYDS_AMR_1',NULL,'CHAR(4)',NULL,NULL,NULL,NULL,'2025-10-22','9999-12-31',USER, CURRENT_TIMESTAMP(0));</v>
      </c>
    </row>
    <row r="1000" spans="1:12" ht="15" customHeight="1">
      <c r="A1000" s="11" t="str">
        <f>ETLMetadata!$C1000</f>
        <v>DETM_DETIS_MYDS</v>
      </c>
      <c r="B1000" s="11" t="str">
        <f>ETLMetadata!$E1000</f>
        <v>MYDS_AMR_2</v>
      </c>
      <c r="C1000" s="11" t="str">
        <f>IF(ISBLANK(ETLMetadata!$J1000), "", ETLMetadata!$J1000)</f>
        <v/>
      </c>
      <c r="D1000" s="11" t="str">
        <f>ETLMetadata!$G1000</f>
        <v>CHAR(1)</v>
      </c>
      <c r="E1000" s="12"/>
      <c r="F1000" s="12"/>
      <c r="G1000" s="12" t="str">
        <f t="shared" si="30"/>
        <v/>
      </c>
      <c r="H1000" s="12"/>
      <c r="I1000" s="12"/>
      <c r="J1000" s="13">
        <v>45952</v>
      </c>
      <c r="K1000" s="13">
        <v>2958465</v>
      </c>
      <c r="L1000" s="11" t="str">
        <f t="shared" si="31"/>
        <v>INSERT INTO metadata_reference.file_schema VALUES('DETM_DETIS_MYDS','MYDS_AMR_2',NULL,'CHAR(1)',NULL,NULL,NULL,NULL,'2025-10-22','9999-12-31',USER, CURRENT_TIMESTAMP(0));</v>
      </c>
    </row>
    <row r="1001" spans="1:12" ht="15" customHeight="1">
      <c r="A1001" s="11" t="str">
        <f>ETLMetadata!$C1001</f>
        <v>DETM_DETIS_MYDS</v>
      </c>
      <c r="B1001" s="11" t="str">
        <f>ETLMetadata!$E1001</f>
        <v>MYDS_AMR_3</v>
      </c>
      <c r="C1001" s="11" t="str">
        <f>IF(ISBLANK(ETLMetadata!$J1001), "", ETLMetadata!$J1001)</f>
        <v/>
      </c>
      <c r="D1001" s="11" t="str">
        <f>ETLMetadata!$G1001</f>
        <v>CHAR(4)</v>
      </c>
      <c r="E1001" s="12"/>
      <c r="F1001" s="12"/>
      <c r="G1001" s="12" t="str">
        <f t="shared" si="30"/>
        <v/>
      </c>
      <c r="H1001" s="12"/>
      <c r="I1001" s="12"/>
      <c r="J1001" s="13">
        <v>45952</v>
      </c>
      <c r="K1001" s="13">
        <v>2958465</v>
      </c>
      <c r="L1001" s="11" t="str">
        <f t="shared" si="31"/>
        <v>INSERT INTO metadata_reference.file_schema VALUES('DETM_DETIS_MYDS','MYDS_AMR_3',NULL,'CHAR(4)',NULL,NULL,NULL,NULL,'2025-10-22','9999-12-31',USER, CURRENT_TIMESTAMP(0));</v>
      </c>
    </row>
    <row r="1002" spans="1:12" ht="15" customHeight="1">
      <c r="A1002" s="11" t="str">
        <f>ETLMetadata!$C1002</f>
        <v>DETM_DETIS_MYDS</v>
      </c>
      <c r="B1002" s="11" t="str">
        <f>ETLMetadata!$E1002</f>
        <v>MYDS_BEN_TYPE_CODE</v>
      </c>
      <c r="C1002" s="11" t="str">
        <f>IF(ISBLANK(ETLMetadata!$J1002), "", ETLMetadata!$J1002)</f>
        <v/>
      </c>
      <c r="D1002" s="11" t="str">
        <f>ETLMetadata!$G1002</f>
        <v>CHAR(3)</v>
      </c>
      <c r="E1002" s="12"/>
      <c r="F1002" s="12"/>
      <c r="G1002" s="12" t="str">
        <f t="shared" si="30"/>
        <v/>
      </c>
      <c r="H1002" s="12"/>
      <c r="I1002" s="12"/>
      <c r="J1002" s="13">
        <v>45952</v>
      </c>
      <c r="K1002" s="13">
        <v>2958465</v>
      </c>
      <c r="L1002" s="11" t="str">
        <f t="shared" si="31"/>
        <v>INSERT INTO metadata_reference.file_schema VALUES('DETM_DETIS_MYDS','MYDS_BEN_TYPE_CODE',NULL,'CHAR(3)',NULL,NULL,NULL,NULL,'2025-10-22','9999-12-31',USER, CURRENT_TIMESTAMP(0));</v>
      </c>
    </row>
    <row r="1003" spans="1:12" ht="15" customHeight="1">
      <c r="A1003" s="11" t="str">
        <f>ETLMetadata!$C1003</f>
        <v>DETM_DETIS_MYDS</v>
      </c>
      <c r="B1003" s="11" t="str">
        <f>ETLMetadata!$E1003</f>
        <v>MYDS_STS_CODE</v>
      </c>
      <c r="C1003" s="11" t="str">
        <f>IF(ISBLANK(ETLMetadata!$J1003), "", ETLMetadata!$J1003)</f>
        <v/>
      </c>
      <c r="D1003" s="11" t="str">
        <f>ETLMetadata!$G1003</f>
        <v>CHAR(3)</v>
      </c>
      <c r="E1003" s="12"/>
      <c r="F1003" s="12"/>
      <c r="G1003" s="12" t="str">
        <f t="shared" si="30"/>
        <v/>
      </c>
      <c r="H1003" s="12"/>
      <c r="I1003" s="12"/>
      <c r="J1003" s="13">
        <v>45952</v>
      </c>
      <c r="K1003" s="13">
        <v>2958465</v>
      </c>
      <c r="L1003" s="11" t="str">
        <f t="shared" si="31"/>
        <v>INSERT INTO metadata_reference.file_schema VALUES('DETM_DETIS_MYDS','MYDS_STS_CODE',NULL,'CHAR(3)',NULL,NULL,NULL,NULL,'2025-10-22','9999-12-31',USER, CURRENT_TIMESTAMP(0));</v>
      </c>
    </row>
    <row r="1004" spans="1:12" ht="15" customHeight="1">
      <c r="A1004" s="11" t="str">
        <f>ETLMetadata!$C1004</f>
        <v>DETM_DETIS_MYDS</v>
      </c>
      <c r="B1004" s="11" t="str">
        <f>ETLMetadata!$E1004</f>
        <v>MYDS_RSN_CODE</v>
      </c>
      <c r="C1004" s="11" t="str">
        <f>IF(ISBLANK(ETLMetadata!$J1004), "", ETLMetadata!$J1004)</f>
        <v/>
      </c>
      <c r="D1004" s="11" t="str">
        <f>ETLMetadata!$G1004</f>
        <v>CHAR(3)</v>
      </c>
      <c r="E1004" s="12"/>
      <c r="F1004" s="12"/>
      <c r="G1004" s="12" t="str">
        <f t="shared" si="30"/>
        <v/>
      </c>
      <c r="H1004" s="12"/>
      <c r="I1004" s="12"/>
      <c r="J1004" s="13">
        <v>45952</v>
      </c>
      <c r="K1004" s="13">
        <v>2958465</v>
      </c>
      <c r="L1004" s="11" t="str">
        <f t="shared" si="31"/>
        <v>INSERT INTO metadata_reference.file_schema VALUES('DETM_DETIS_MYDS','MYDS_RSN_CODE',NULL,'CHAR(3)',NULL,NULL,NULL,NULL,'2025-10-22','9999-12-31',USER, CURRENT_TIMESTAMP(0));</v>
      </c>
    </row>
    <row r="1005" spans="1:12" ht="15" customHeight="1">
      <c r="A1005" s="11" t="str">
        <f>ETLMetadata!$C1005</f>
        <v>DETM_DETIS_MYDS</v>
      </c>
      <c r="B1005" s="11" t="str">
        <f>ETLMetadata!$E1005</f>
        <v>MYDS_UNIQ_ID</v>
      </c>
      <c r="C1005" s="11" t="str">
        <f>IF(ISBLANK(ETLMetadata!$J1005), "", ETLMetadata!$J1005)</f>
        <v/>
      </c>
      <c r="D1005" s="11" t="str">
        <f>ETLMetadata!$G1005</f>
        <v>VARCHAR(8)</v>
      </c>
      <c r="E1005" s="12"/>
      <c r="F1005" s="12"/>
      <c r="G1005" s="12" t="str">
        <f t="shared" si="30"/>
        <v/>
      </c>
      <c r="H1005" s="12"/>
      <c r="I1005" s="12"/>
      <c r="J1005" s="13">
        <v>45952</v>
      </c>
      <c r="K1005" s="13">
        <v>2958465</v>
      </c>
      <c r="L1005" s="11" t="str">
        <f t="shared" si="31"/>
        <v>INSERT INTO metadata_reference.file_schema VALUES('DETM_DETIS_MYDS','MYDS_UNIQ_ID',NULL,'VARCHAR(8)',NULL,NULL,NULL,NULL,'2025-10-22','9999-12-31',USER, CURRENT_TIMESTAMP(0));</v>
      </c>
    </row>
    <row r="1006" spans="1:12" ht="15" customHeight="1">
      <c r="A1006" s="11" t="str">
        <f>ETLMetadata!$C1006</f>
        <v>DETM_DETIS_MYDS</v>
      </c>
      <c r="B1006" s="11" t="str">
        <f>ETLMetadata!$E1006</f>
        <v>AMR1_RISL_DTS</v>
      </c>
      <c r="C1006" s="11" t="str">
        <f>IF(ISBLANK(ETLMetadata!$J1006), "", ETLMetadata!$J1006)</f>
        <v/>
      </c>
      <c r="D1006" s="11" t="str">
        <f>ETLMetadata!$G1006</f>
        <v>TIMESTAMP(6)</v>
      </c>
      <c r="E1006" s="12"/>
      <c r="F1006" s="12"/>
      <c r="G1006" s="12" t="str">
        <f t="shared" si="30"/>
        <v/>
      </c>
      <c r="H1006" s="12"/>
      <c r="I1006" s="12"/>
      <c r="J1006" s="13">
        <v>45952</v>
      </c>
      <c r="K1006" s="13">
        <v>2958465</v>
      </c>
      <c r="L1006" s="11" t="str">
        <f t="shared" si="31"/>
        <v>INSERT INTO metadata_reference.file_schema VALUES('DETM_DETIS_MYDS','AMR1_RISL_DTS',NULL,'TIMESTAMP(6)',NULL,NULL,NULL,NULL,'2025-10-22','9999-12-31',USER, CURRENT_TIMESTAMP(0));</v>
      </c>
    </row>
    <row r="1007" spans="1:12" ht="15" customHeight="1">
      <c r="A1007" s="11" t="str">
        <f>ETLMetadata!$C1007</f>
        <v>DETM_DETIS_MYDS</v>
      </c>
      <c r="B1007" s="11" t="str">
        <f>ETLMetadata!$E1007</f>
        <v>AMR3_RISL_DTS</v>
      </c>
      <c r="C1007" s="11" t="str">
        <f>IF(ISBLANK(ETLMetadata!$J1007), "", ETLMetadata!$J1007)</f>
        <v/>
      </c>
      <c r="D1007" s="11" t="str">
        <f>ETLMetadata!$G1007</f>
        <v>TIMESTAMP(6)</v>
      </c>
      <c r="E1007" s="12"/>
      <c r="F1007" s="12"/>
      <c r="G1007" s="12" t="str">
        <f t="shared" si="30"/>
        <v/>
      </c>
      <c r="H1007" s="12"/>
      <c r="I1007" s="12"/>
      <c r="J1007" s="13">
        <v>45952</v>
      </c>
      <c r="K1007" s="13">
        <v>2958465</v>
      </c>
      <c r="L1007" s="11" t="str">
        <f t="shared" si="31"/>
        <v>INSERT INTO metadata_reference.file_schema VALUES('DETM_DETIS_MYDS','AMR3_RISL_DTS',NULL,'TIMESTAMP(6)',NULL,NULL,NULL,NULL,'2025-10-22','9999-12-31',USER, CURRENT_TIMESTAMP(0));</v>
      </c>
    </row>
    <row r="1008" spans="1:12" ht="15" customHeight="1">
      <c r="A1008" s="11" t="str">
        <f>ETLMetadata!$C1008</f>
        <v>DETM_DETIS_MYDS</v>
      </c>
      <c r="B1008" s="11" t="str">
        <f>ETLMetadata!$E1008</f>
        <v>EPISODE_ID</v>
      </c>
      <c r="C1008" s="11" t="str">
        <f>IF(ISBLANK(ETLMetadata!$J1008), "", ETLMetadata!$J1008)</f>
        <v/>
      </c>
      <c r="D1008" s="11" t="str">
        <f>ETLMetadata!$G1008</f>
        <v>INTEGER</v>
      </c>
      <c r="E1008" s="12"/>
      <c r="F1008" s="12"/>
      <c r="G1008" s="12" t="str">
        <f t="shared" si="30"/>
        <v/>
      </c>
      <c r="H1008" s="12"/>
      <c r="I1008" s="12"/>
      <c r="J1008" s="13">
        <v>45952</v>
      </c>
      <c r="K1008" s="13">
        <v>2958465</v>
      </c>
      <c r="L1008" s="11" t="str">
        <f t="shared" si="31"/>
        <v>INSERT INTO metadata_reference.file_schema VALUES('DETM_DETIS_MYDS','EPISODE_ID',NULL,'INTEGER',NULL,NULL,NULL,NULL,'2025-10-22','9999-12-31',USER, CURRENT_TIMESTAMP(0));</v>
      </c>
    </row>
    <row r="1009" spans="1:12" ht="15" customHeight="1">
      <c r="A1009" s="11" t="str">
        <f>ETLMetadata!$C1009</f>
        <v>DETM_DETIS_MYDS</v>
      </c>
      <c r="B1009" s="11" t="str">
        <f>ETLMetadata!$E1009</f>
        <v>PARTY_ROLE_ID</v>
      </c>
      <c r="C1009" s="11" t="str">
        <f>IF(ISBLANK(ETLMetadata!$J1009), "", ETLMetadata!$J1009)</f>
        <v/>
      </c>
      <c r="D1009" s="11" t="str">
        <f>ETLMetadata!$G1009</f>
        <v>INTEGER</v>
      </c>
      <c r="E1009" s="12"/>
      <c r="F1009" s="12"/>
      <c r="G1009" s="12" t="str">
        <f t="shared" si="30"/>
        <v/>
      </c>
      <c r="H1009" s="12"/>
      <c r="I1009" s="12"/>
      <c r="J1009" s="13">
        <v>45952</v>
      </c>
      <c r="K1009" s="13">
        <v>2958465</v>
      </c>
      <c r="L1009" s="11" t="str">
        <f t="shared" si="31"/>
        <v>INSERT INTO metadata_reference.file_schema VALUES('DETM_DETIS_MYDS','PARTY_ROLE_ID',NULL,'INTEGER',NULL,NULL,NULL,NULL,'2025-10-22','9999-12-31',USER, CURRENT_TIMESTAMP(0));</v>
      </c>
    </row>
    <row r="1010" spans="1:12" ht="15" customHeight="1">
      <c r="A1010" s="11" t="str">
        <f>ETLMetadata!$C1010</f>
        <v>DETM_DETIS_MYDS</v>
      </c>
      <c r="B1010" s="11" t="str">
        <f>ETLMetadata!$E1010</f>
        <v>PAYMENT_TYPE_ID</v>
      </c>
      <c r="C1010" s="11" t="str">
        <f>IF(ISBLANK(ETLMetadata!$J1010), "", ETLMetadata!$J1010)</f>
        <v/>
      </c>
      <c r="D1010" s="11" t="str">
        <f>ETLMetadata!$G1010</f>
        <v>INTEGER</v>
      </c>
      <c r="E1010" s="12"/>
      <c r="F1010" s="12"/>
      <c r="G1010" s="12" t="str">
        <f t="shared" si="30"/>
        <v/>
      </c>
      <c r="H1010" s="12"/>
      <c r="I1010" s="12"/>
      <c r="J1010" s="13">
        <v>45952</v>
      </c>
      <c r="K1010" s="13">
        <v>2958465</v>
      </c>
      <c r="L1010" s="11" t="str">
        <f t="shared" si="31"/>
        <v>INSERT INTO metadata_reference.file_schema VALUES('DETM_DETIS_MYDS','PAYMENT_TYPE_ID',NULL,'INTEGER',NULL,NULL,NULL,NULL,'2025-10-22','9999-12-31',USER, CURRENT_TIMESTAMP(0));</v>
      </c>
    </row>
    <row r="1011" spans="1:12" ht="15" customHeight="1">
      <c r="A1011" s="11" t="str">
        <f>ETLMetadata!$C1011</f>
        <v>DETM_DETIS_MYDS</v>
      </c>
      <c r="B1011" s="11" t="str">
        <f>ETLMetadata!$E1011</f>
        <v>ERROR_COUNT</v>
      </c>
      <c r="C1011" s="11" t="str">
        <f>IF(ISBLANK(ETLMetadata!$J1011), "", ETLMetadata!$J1011)</f>
        <v/>
      </c>
      <c r="D1011" s="11" t="str">
        <f>ETLMetadata!$G1011</f>
        <v>SMALLINT</v>
      </c>
      <c r="E1011" s="12"/>
      <c r="F1011" s="12"/>
      <c r="G1011" s="12" t="str">
        <f t="shared" si="30"/>
        <v/>
      </c>
      <c r="H1011" s="12"/>
      <c r="I1011" s="12"/>
      <c r="J1011" s="13">
        <v>45952</v>
      </c>
      <c r="K1011" s="13">
        <v>2958465</v>
      </c>
      <c r="L1011" s="11" t="str">
        <f t="shared" si="31"/>
        <v>INSERT INTO metadata_reference.file_schema VALUES('DETM_DETIS_MYDS','ERROR_COUNT',NULL,'SMALLINT',NULL,NULL,NULL,NULL,'2025-10-22','9999-12-31',USER, CURRENT_TIMESTAMP(0));</v>
      </c>
    </row>
    <row r="1012" spans="1:12" ht="15" customHeight="1">
      <c r="A1012" s="11" t="str">
        <f>ETLMetadata!$C1012</f>
        <v>DETM_DETIS_MYDS</v>
      </c>
      <c r="B1012" s="11" t="str">
        <f>ETLMetadata!$E1012</f>
        <v>Start_Date</v>
      </c>
      <c r="C1012" s="11" t="str">
        <f>IF(ISBLANK(ETLMetadata!$J1012), "", ETLMetadata!$J1012)</f>
        <v/>
      </c>
      <c r="D1012" s="11" t="str">
        <f>ETLMetadata!$G1012</f>
        <v>DATE</v>
      </c>
      <c r="E1012" s="12"/>
      <c r="F1012" s="12"/>
      <c r="G1012" s="12" t="str">
        <f t="shared" si="30"/>
        <v/>
      </c>
      <c r="H1012" s="12"/>
      <c r="I1012" s="12"/>
      <c r="J1012" s="13">
        <v>45952</v>
      </c>
      <c r="K1012" s="13">
        <v>2958465</v>
      </c>
      <c r="L1012" s="11" t="str">
        <f t="shared" si="31"/>
        <v>INSERT INTO metadata_reference.file_schema VALUES('DETM_DETIS_MYDS','Start_Date',NULL,'DATE',NULL,NULL,NULL,NULL,'2025-10-22','9999-12-31',USER, CURRENT_TIMESTAMP(0));</v>
      </c>
    </row>
    <row r="1013" spans="1:12" ht="15" customHeight="1">
      <c r="A1013" s="11" t="str">
        <f>ETLMetadata!$C1013</f>
        <v>DETM_DETIS_MYDS</v>
      </c>
      <c r="B1013" s="11" t="str">
        <f>ETLMetadata!$E1013</f>
        <v>End_Date</v>
      </c>
      <c r="C1013" s="11" t="str">
        <f>IF(ISBLANK(ETLMetadata!$J1013), "", ETLMetadata!$J1013)</f>
        <v/>
      </c>
      <c r="D1013" s="11" t="str">
        <f>ETLMetadata!$G1013</f>
        <v>DATE</v>
      </c>
      <c r="E1013" s="12"/>
      <c r="F1013" s="12"/>
      <c r="G1013" s="12" t="str">
        <f t="shared" si="30"/>
        <v/>
      </c>
      <c r="H1013" s="12"/>
      <c r="I1013" s="12"/>
      <c r="J1013" s="13">
        <v>45952</v>
      </c>
      <c r="K1013" s="13">
        <v>2958465</v>
      </c>
      <c r="L1013" s="11" t="str">
        <f t="shared" si="31"/>
        <v>INSERT INTO metadata_reference.file_schema VALUES('DETM_DETIS_MYDS','End_Date',NULL,'DATE',NULL,NULL,NULL,NULL,'2025-10-22','9999-12-31',USER, CURRENT_TIMESTAMP(0));</v>
      </c>
    </row>
    <row r="1014" spans="1:12" ht="15" customHeight="1">
      <c r="A1014" s="11" t="str">
        <f>ETLMetadata!$C1014</f>
        <v>DETM_DETIS_MYDS</v>
      </c>
      <c r="B1014" s="11" t="str">
        <f>ETLMetadata!$E1014</f>
        <v>Record_Deleted_Flag</v>
      </c>
      <c r="C1014" s="11" t="str">
        <f>IF(ISBLANK(ETLMetadata!$J1014), "", ETLMetadata!$J1014)</f>
        <v/>
      </c>
      <c r="D1014" s="11" t="str">
        <f>ETLMetadata!$G1014</f>
        <v>BYTEINT</v>
      </c>
      <c r="E1014" s="12"/>
      <c r="F1014" s="12"/>
      <c r="G1014" s="12" t="str">
        <f t="shared" si="30"/>
        <v/>
      </c>
      <c r="H1014" s="12"/>
      <c r="I1014" s="12"/>
      <c r="J1014" s="13">
        <v>45952</v>
      </c>
      <c r="K1014" s="13">
        <v>2958465</v>
      </c>
      <c r="L1014" s="11" t="str">
        <f t="shared" si="31"/>
        <v>INSERT INTO metadata_reference.file_schema VALUES('DETM_DETIS_MYDS','Record_Deleted_Flag',NULL,'BYTEINT',NULL,NULL,NULL,NULL,'2025-10-22','9999-12-31',USER, CURRENT_TIMESTAMP(0));</v>
      </c>
    </row>
    <row r="1015" spans="1:12" ht="15" customHeight="1">
      <c r="A1015" s="11" t="str">
        <f>ETLMetadata!$C1015</f>
        <v>DETM_DETIS_N9DS</v>
      </c>
      <c r="B1015" s="11" t="str">
        <f>ETLMetadata!$E1015</f>
        <v>EXTRACT_DATE</v>
      </c>
      <c r="C1015" s="11" t="str">
        <f>IF(ISBLANK(ETLMetadata!$J1015), "", ETLMetadata!$J1015)</f>
        <v/>
      </c>
      <c r="D1015" s="11" t="str">
        <f>ETLMetadata!$G1015</f>
        <v>DATE</v>
      </c>
      <c r="E1015" s="12"/>
      <c r="F1015" s="12"/>
      <c r="G1015" s="12" t="str">
        <f t="shared" si="30"/>
        <v/>
      </c>
      <c r="H1015" s="12"/>
      <c r="I1015" s="12"/>
      <c r="J1015" s="13">
        <v>45952</v>
      </c>
      <c r="K1015" s="13">
        <v>2958465</v>
      </c>
      <c r="L1015" s="11" t="str">
        <f t="shared" si="31"/>
        <v>INSERT INTO metadata_reference.file_schema VALUES('DETM_DETIS_N9DS','EXTRACT_DATE',NULL,'DATE',NULL,NULL,NULL,NULL,'2025-10-22','9999-12-31',USER, CURRENT_TIMESTAMP(0));</v>
      </c>
    </row>
    <row r="1016" spans="1:12" ht="15" customHeight="1">
      <c r="A1016" s="11" t="str">
        <f>ETLMetadata!$C1016</f>
        <v>DETM_DETIS_N9DS</v>
      </c>
      <c r="B1016" s="11" t="str">
        <f>ETLMetadata!$E1016</f>
        <v>LOGICAL_DELETE_DATE</v>
      </c>
      <c r="C1016" s="11" t="str">
        <f>IF(ISBLANK(ETLMetadata!$J1016), "", ETLMetadata!$J1016)</f>
        <v/>
      </c>
      <c r="D1016" s="11" t="str">
        <f>ETLMetadata!$G1016</f>
        <v>DATE</v>
      </c>
      <c r="E1016" s="12"/>
      <c r="F1016" s="12"/>
      <c r="G1016" s="12" t="str">
        <f t="shared" si="30"/>
        <v/>
      </c>
      <c r="H1016" s="12"/>
      <c r="I1016" s="12"/>
      <c r="J1016" s="13">
        <v>45952</v>
      </c>
      <c r="K1016" s="13">
        <v>2958465</v>
      </c>
      <c r="L1016" s="11" t="str">
        <f t="shared" si="31"/>
        <v>INSERT INTO metadata_reference.file_schema VALUES('DETM_DETIS_N9DS','LOGICAL_DELETE_DATE',NULL,'DATE',NULL,NULL,NULL,NULL,'2025-10-22','9999-12-31',USER, CURRENT_TIMESTAMP(0));</v>
      </c>
    </row>
    <row r="1017" spans="1:12" ht="15" customHeight="1">
      <c r="A1017" s="11" t="str">
        <f>ETLMetadata!$C1017</f>
        <v>DETM_DETIS_N9DS</v>
      </c>
      <c r="B1017" s="11" t="str">
        <f>ETLMetadata!$E1017</f>
        <v>ENVIRONMENT_ID</v>
      </c>
      <c r="C1017" s="11" t="str">
        <f>IF(ISBLANK(ETLMetadata!$J1017), "", ETLMetadata!$J1017)</f>
        <v>Y</v>
      </c>
      <c r="D1017" s="11" t="str">
        <f>ETLMetadata!$G1017</f>
        <v>CHAR(1)</v>
      </c>
      <c r="E1017" s="12"/>
      <c r="F1017" s="12"/>
      <c r="G1017" s="12" t="str">
        <f t="shared" si="30"/>
        <v/>
      </c>
      <c r="H1017" s="12"/>
      <c r="I1017" s="12"/>
      <c r="J1017" s="13">
        <v>45952</v>
      </c>
      <c r="K1017" s="13">
        <v>2958465</v>
      </c>
      <c r="L1017" s="11" t="str">
        <f t="shared" si="31"/>
        <v>INSERT INTO metadata_reference.file_schema VALUES('DETM_DETIS_N9DS','ENVIRONMENT_ID','Y','CHAR(1)',NULL,NULL,NULL,NULL,'2025-10-22','9999-12-31',USER, CURRENT_TIMESTAMP(0));</v>
      </c>
    </row>
    <row r="1018" spans="1:12" ht="15" customHeight="1">
      <c r="A1018" s="11" t="str">
        <f>ETLMetadata!$C1018</f>
        <v>DETM_DETIS_N9DS</v>
      </c>
      <c r="B1018" s="11" t="str">
        <f>ETLMetadata!$E1018</f>
        <v>PERSON_ID</v>
      </c>
      <c r="C1018" s="11" t="str">
        <f>IF(ISBLANK(ETLMetadata!$J1018), "", ETLMetadata!$J1018)</f>
        <v>Y</v>
      </c>
      <c r="D1018" s="11" t="str">
        <f>ETLMetadata!$G1018</f>
        <v>INTEGER</v>
      </c>
      <c r="E1018" s="12"/>
      <c r="F1018" s="18" t="s">
        <v>799</v>
      </c>
      <c r="G1018" s="12" t="str">
        <f>UPPER($F1018)</f>
        <v>PERSONAL_IDENTITYINFOINDIRECT</v>
      </c>
      <c r="H1018" s="12"/>
      <c r="I1018" s="12"/>
      <c r="J1018" s="13">
        <v>45952</v>
      </c>
      <c r="K1018" s="13">
        <v>2958465</v>
      </c>
      <c r="L1018" s="11" t="str">
        <f t="shared" si="31"/>
        <v>INSERT INTO metadata_reference.file_schema VALUES('DETM_DETIS_N9DS','PERSON_ID','Y','INTEGER',NULL,'PERSONAL_IDENTITYINFOINDIRECT',NULL,NULL,'2025-10-22','9999-12-31',USER, CURRENT_TIMESTAMP(0));</v>
      </c>
    </row>
    <row r="1019" spans="1:12" ht="15" customHeight="1">
      <c r="A1019" s="11" t="str">
        <f>ETLMetadata!$C1019</f>
        <v>DETM_DETIS_N9DS</v>
      </c>
      <c r="B1019" s="11" t="str">
        <f>ETLMetadata!$E1019</f>
        <v>N9DS_DOE</v>
      </c>
      <c r="C1019" s="11" t="str">
        <f>IF(ISBLANK(ETLMetadata!$J1019), "", ETLMetadata!$J1019)</f>
        <v/>
      </c>
      <c r="D1019" s="11" t="str">
        <f>ETLMetadata!$G1019</f>
        <v>DATE</v>
      </c>
      <c r="E1019" s="12"/>
      <c r="F1019" s="12"/>
      <c r="G1019" s="12" t="str">
        <f t="shared" si="30"/>
        <v/>
      </c>
      <c r="H1019" s="12"/>
      <c r="I1019" s="12"/>
      <c r="J1019" s="13">
        <v>45952</v>
      </c>
      <c r="K1019" s="13">
        <v>2958465</v>
      </c>
      <c r="L1019" s="11" t="str">
        <f t="shared" si="31"/>
        <v>INSERT INTO metadata_reference.file_schema VALUES('DETM_DETIS_N9DS','N9DS_DOE',NULL,'DATE',NULL,NULL,NULL,NULL,'2025-10-22','9999-12-31',USER, CURRENT_TIMESTAMP(0));</v>
      </c>
    </row>
    <row r="1020" spans="1:12" ht="15" customHeight="1">
      <c r="A1020" s="11" t="str">
        <f>ETLMetadata!$C1020</f>
        <v>DETM_DETIS_N9DS</v>
      </c>
      <c r="B1020" s="11" t="str">
        <f>ETLMetadata!$E1020</f>
        <v>N9DS_DOE_ORIG</v>
      </c>
      <c r="C1020" s="11" t="str">
        <f>IF(ISBLANK(ETLMetadata!$J1020), "", ETLMetadata!$J1020)</f>
        <v/>
      </c>
      <c r="D1020" s="11" t="str">
        <f>ETLMetadata!$G1020</f>
        <v>INTEGER</v>
      </c>
      <c r="E1020" s="12"/>
      <c r="F1020" s="12"/>
      <c r="G1020" s="12" t="str">
        <f t="shared" si="30"/>
        <v/>
      </c>
      <c r="H1020" s="12"/>
      <c r="I1020" s="12"/>
      <c r="J1020" s="13">
        <v>45952</v>
      </c>
      <c r="K1020" s="13">
        <v>2958465</v>
      </c>
      <c r="L1020" s="11" t="str">
        <f t="shared" si="31"/>
        <v>INSERT INTO metadata_reference.file_schema VALUES('DETM_DETIS_N9DS','N9DS_DOE_ORIG',NULL,'INTEGER',NULL,NULL,NULL,NULL,'2025-10-22','9999-12-31',USER, CURRENT_TIMESTAMP(0));</v>
      </c>
    </row>
    <row r="1021" spans="1:12" ht="15" customHeight="1">
      <c r="A1021" s="11" t="str">
        <f>ETLMetadata!$C1021</f>
        <v>DETM_DETIS_N9DS</v>
      </c>
      <c r="B1021" s="11" t="str">
        <f>ETLMetadata!$E1021</f>
        <v>PROCESSING_SEQUENCE</v>
      </c>
      <c r="C1021" s="11" t="str">
        <f>IF(ISBLANK(ETLMetadata!$J1021), "", ETLMetadata!$J1021)</f>
        <v>Y</v>
      </c>
      <c r="D1021" s="11" t="str">
        <f>ETLMetadata!$G1021</f>
        <v>SMALLINT</v>
      </c>
      <c r="E1021" s="12"/>
      <c r="F1021" s="12"/>
      <c r="G1021" s="12" t="str">
        <f t="shared" si="30"/>
        <v/>
      </c>
      <c r="H1021" s="12"/>
      <c r="I1021" s="12"/>
      <c r="J1021" s="13">
        <v>45952</v>
      </c>
      <c r="K1021" s="13">
        <v>2958465</v>
      </c>
      <c r="L1021" s="11" t="str">
        <f t="shared" si="31"/>
        <v>INSERT INTO metadata_reference.file_schema VALUES('DETM_DETIS_N9DS','PROCESSING_SEQUENCE','Y','SMALLINT',NULL,NULL,NULL,NULL,'2025-10-22','9999-12-31',USER, CURRENT_TIMESTAMP(0));</v>
      </c>
    </row>
    <row r="1022" spans="1:12" ht="15" customHeight="1">
      <c r="A1022" s="11" t="str">
        <f>ETLMetadata!$C1022</f>
        <v>DETM_DETIS_N9DS</v>
      </c>
      <c r="B1022" s="11" t="str">
        <f>ETLMetadata!$E1022</f>
        <v>N9DS_AMR_1</v>
      </c>
      <c r="C1022" s="11" t="str">
        <f>IF(ISBLANK(ETLMetadata!$J1022), "", ETLMetadata!$J1022)</f>
        <v/>
      </c>
      <c r="D1022" s="11" t="str">
        <f>ETLMetadata!$G1022</f>
        <v>CHAR(4)</v>
      </c>
      <c r="E1022" s="12"/>
      <c r="F1022" s="12"/>
      <c r="G1022" s="12" t="str">
        <f t="shared" si="30"/>
        <v/>
      </c>
      <c r="H1022" s="12"/>
      <c r="I1022" s="12"/>
      <c r="J1022" s="13">
        <v>45952</v>
      </c>
      <c r="K1022" s="13">
        <v>2958465</v>
      </c>
      <c r="L1022" s="11" t="str">
        <f t="shared" si="31"/>
        <v>INSERT INTO metadata_reference.file_schema VALUES('DETM_DETIS_N9DS','N9DS_AMR_1',NULL,'CHAR(4)',NULL,NULL,NULL,NULL,'2025-10-22','9999-12-31',USER, CURRENT_TIMESTAMP(0));</v>
      </c>
    </row>
    <row r="1023" spans="1:12" ht="15" customHeight="1">
      <c r="A1023" s="11" t="str">
        <f>ETLMetadata!$C1023</f>
        <v>DETM_DETIS_N9DS</v>
      </c>
      <c r="B1023" s="11" t="str">
        <f>ETLMetadata!$E1023</f>
        <v>N9DS_AMR_2</v>
      </c>
      <c r="C1023" s="11" t="str">
        <f>IF(ISBLANK(ETLMetadata!$J1023), "", ETLMetadata!$J1023)</f>
        <v/>
      </c>
      <c r="D1023" s="11" t="str">
        <f>ETLMetadata!$G1023</f>
        <v>CHAR(1)</v>
      </c>
      <c r="E1023" s="12"/>
      <c r="F1023" s="12"/>
      <c r="G1023" s="12" t="str">
        <f t="shared" si="30"/>
        <v/>
      </c>
      <c r="H1023" s="12"/>
      <c r="I1023" s="12"/>
      <c r="J1023" s="13">
        <v>45952</v>
      </c>
      <c r="K1023" s="13">
        <v>2958465</v>
      </c>
      <c r="L1023" s="11" t="str">
        <f t="shared" si="31"/>
        <v>INSERT INTO metadata_reference.file_schema VALUES('DETM_DETIS_N9DS','N9DS_AMR_2',NULL,'CHAR(1)',NULL,NULL,NULL,NULL,'2025-10-22','9999-12-31',USER, CURRENT_TIMESTAMP(0));</v>
      </c>
    </row>
    <row r="1024" spans="1:12" ht="15" customHeight="1">
      <c r="A1024" s="11" t="str">
        <f>ETLMetadata!$C1024</f>
        <v>DETM_DETIS_N9DS</v>
      </c>
      <c r="B1024" s="11" t="str">
        <f>ETLMetadata!$E1024</f>
        <v>N9DS_AMR_3</v>
      </c>
      <c r="C1024" s="11" t="str">
        <f>IF(ISBLANK(ETLMetadata!$J1024), "", ETLMetadata!$J1024)</f>
        <v/>
      </c>
      <c r="D1024" s="11" t="str">
        <f>ETLMetadata!$G1024</f>
        <v>CHAR(4)</v>
      </c>
      <c r="E1024" s="12"/>
      <c r="F1024" s="12"/>
      <c r="G1024" s="12" t="str">
        <f t="shared" si="30"/>
        <v/>
      </c>
      <c r="H1024" s="12"/>
      <c r="I1024" s="12"/>
      <c r="J1024" s="13">
        <v>45952</v>
      </c>
      <c r="K1024" s="13">
        <v>2958465</v>
      </c>
      <c r="L1024" s="11" t="str">
        <f t="shared" si="31"/>
        <v>INSERT INTO metadata_reference.file_schema VALUES('DETM_DETIS_N9DS','N9DS_AMR_3',NULL,'CHAR(4)',NULL,NULL,NULL,NULL,'2025-10-22','9999-12-31',USER, CURRENT_TIMESTAMP(0));</v>
      </c>
    </row>
    <row r="1025" spans="1:12" ht="15" customHeight="1">
      <c r="A1025" s="11" t="str">
        <f>ETLMetadata!$C1025</f>
        <v>DETM_DETIS_N9DS</v>
      </c>
      <c r="B1025" s="11" t="str">
        <f>ETLMetadata!$E1025</f>
        <v>N9DS_BEN_TYPE_CODE</v>
      </c>
      <c r="C1025" s="11" t="str">
        <f>IF(ISBLANK(ETLMetadata!$J1025), "", ETLMetadata!$J1025)</f>
        <v/>
      </c>
      <c r="D1025" s="11" t="str">
        <f>ETLMetadata!$G1025</f>
        <v>CHAR(3)</v>
      </c>
      <c r="E1025" s="12"/>
      <c r="F1025" s="12"/>
      <c r="G1025" s="12" t="str">
        <f t="shared" si="30"/>
        <v/>
      </c>
      <c r="H1025" s="12"/>
      <c r="I1025" s="12"/>
      <c r="J1025" s="13">
        <v>45952</v>
      </c>
      <c r="K1025" s="13">
        <v>2958465</v>
      </c>
      <c r="L1025" s="11" t="str">
        <f t="shared" si="31"/>
        <v>INSERT INTO metadata_reference.file_schema VALUES('DETM_DETIS_N9DS','N9DS_BEN_TYPE_CODE',NULL,'CHAR(3)',NULL,NULL,NULL,NULL,'2025-10-22','9999-12-31',USER, CURRENT_TIMESTAMP(0));</v>
      </c>
    </row>
    <row r="1026" spans="1:12" ht="15" customHeight="1">
      <c r="A1026" s="11" t="str">
        <f>ETLMetadata!$C1026</f>
        <v>DETM_DETIS_N9DS</v>
      </c>
      <c r="B1026" s="11" t="str">
        <f>ETLMetadata!$E1026</f>
        <v>N9DS_STS_CODE</v>
      </c>
      <c r="C1026" s="11" t="str">
        <f>IF(ISBLANK(ETLMetadata!$J1026), "", ETLMetadata!$J1026)</f>
        <v/>
      </c>
      <c r="D1026" s="11" t="str">
        <f>ETLMetadata!$G1026</f>
        <v>CHAR(3)</v>
      </c>
      <c r="E1026" s="12"/>
      <c r="F1026" s="12"/>
      <c r="G1026" s="12" t="str">
        <f t="shared" si="30"/>
        <v/>
      </c>
      <c r="H1026" s="12"/>
      <c r="I1026" s="12"/>
      <c r="J1026" s="13">
        <v>45952</v>
      </c>
      <c r="K1026" s="13">
        <v>2958465</v>
      </c>
      <c r="L1026" s="11" t="str">
        <f t="shared" si="31"/>
        <v>INSERT INTO metadata_reference.file_schema VALUES('DETM_DETIS_N9DS','N9DS_STS_CODE',NULL,'CHAR(3)',NULL,NULL,NULL,NULL,'2025-10-22','9999-12-31',USER, CURRENT_TIMESTAMP(0));</v>
      </c>
    </row>
    <row r="1027" spans="1:12" ht="15" customHeight="1">
      <c r="A1027" s="11" t="str">
        <f>ETLMetadata!$C1027</f>
        <v>DETM_DETIS_N9DS</v>
      </c>
      <c r="B1027" s="11" t="str">
        <f>ETLMetadata!$E1027</f>
        <v>N9DS_RSN_CODE</v>
      </c>
      <c r="C1027" s="11" t="str">
        <f>IF(ISBLANK(ETLMetadata!$J1027), "", ETLMetadata!$J1027)</f>
        <v/>
      </c>
      <c r="D1027" s="11" t="str">
        <f>ETLMetadata!$G1027</f>
        <v>CHAR(3)</v>
      </c>
      <c r="E1027" s="12"/>
      <c r="F1027" s="12"/>
      <c r="G1027" s="12" t="str">
        <f t="shared" ref="G1027:G1090" si="32">UPPER($F1027)</f>
        <v/>
      </c>
      <c r="H1027" s="12"/>
      <c r="I1027" s="12"/>
      <c r="J1027" s="13">
        <v>45952</v>
      </c>
      <c r="K1027" s="13">
        <v>2958465</v>
      </c>
      <c r="L1027" s="11" t="str">
        <f t="shared" ref="L1027:L1090" si="33">CONCATENATE("INSERT INTO metadata_reference.file_schema VALUES('",TRIM(A1027),"','",TRIM(B1027),"',",IF(TRIM(C1027)="","NULL","'"&amp;TRIM(C1027)&amp;"'"),",'",TRIM(D1027),"',",IF(TRIM(E1027)="","NULL","'"&amp;TRIM(E1027)&amp;"'"),",",IF(TRIM(G1027)="","NULL","'"&amp;TRIM(G1027)&amp;"'"),",",IF(TRIM(H1027)="","NULL","'"&amp;TRIM(H1027)&amp;"'"),",",
IF(TRIM(I1027)="","NULL",TRIM(I1027)),",",IF(TRIM(J1027)="","NULL","'"&amp;TEXT(J1027,"yyyy-mm-dd")&amp;"'"),",",IF(TRIM(K1027)="","NULL","'"&amp;TEXT(K1027,"yyyy-mm-dd")&amp;"'"),",","USER, CURRENT_TIMESTAMP(0));")</f>
        <v>INSERT INTO metadata_reference.file_schema VALUES('DETM_DETIS_N9DS','N9DS_RSN_CODE',NULL,'CHAR(3)',NULL,NULL,NULL,NULL,'2025-10-22','9999-12-31',USER, CURRENT_TIMESTAMP(0));</v>
      </c>
    </row>
    <row r="1028" spans="1:12" ht="15" customHeight="1">
      <c r="A1028" s="11" t="str">
        <f>ETLMetadata!$C1028</f>
        <v>DETM_DETIS_N9DS</v>
      </c>
      <c r="B1028" s="11" t="str">
        <f>ETLMetadata!$E1028</f>
        <v>N9DS_UNIQ_ID</v>
      </c>
      <c r="C1028" s="11" t="str">
        <f>IF(ISBLANK(ETLMetadata!$J1028), "", ETLMetadata!$J1028)</f>
        <v/>
      </c>
      <c r="D1028" s="11" t="str">
        <f>ETLMetadata!$G1028</f>
        <v>VARCHAR(8)</v>
      </c>
      <c r="E1028" s="12"/>
      <c r="F1028" s="12"/>
      <c r="G1028" s="12" t="str">
        <f t="shared" si="32"/>
        <v/>
      </c>
      <c r="H1028" s="12"/>
      <c r="I1028" s="12"/>
      <c r="J1028" s="13">
        <v>45952</v>
      </c>
      <c r="K1028" s="13">
        <v>2958465</v>
      </c>
      <c r="L1028" s="11" t="str">
        <f t="shared" si="33"/>
        <v>INSERT INTO metadata_reference.file_schema VALUES('DETM_DETIS_N9DS','N9DS_UNIQ_ID',NULL,'VARCHAR(8)',NULL,NULL,NULL,NULL,'2025-10-22','9999-12-31',USER, CURRENT_TIMESTAMP(0));</v>
      </c>
    </row>
    <row r="1029" spans="1:12" ht="15" customHeight="1">
      <c r="A1029" s="11" t="str">
        <f>ETLMetadata!$C1029</f>
        <v>DETM_DETIS_N9DS</v>
      </c>
      <c r="B1029" s="11" t="str">
        <f>ETLMetadata!$E1029</f>
        <v>AMR1_RISL_DTS</v>
      </c>
      <c r="C1029" s="11" t="str">
        <f>IF(ISBLANK(ETLMetadata!$J1029), "", ETLMetadata!$J1029)</f>
        <v/>
      </c>
      <c r="D1029" s="11" t="str">
        <f>ETLMetadata!$G1029</f>
        <v>TIMESTAMP(6)</v>
      </c>
      <c r="E1029" s="12"/>
      <c r="F1029" s="12"/>
      <c r="G1029" s="12" t="str">
        <f t="shared" si="32"/>
        <v/>
      </c>
      <c r="H1029" s="12"/>
      <c r="I1029" s="12"/>
      <c r="J1029" s="13">
        <v>45952</v>
      </c>
      <c r="K1029" s="13">
        <v>2958465</v>
      </c>
      <c r="L1029" s="11" t="str">
        <f t="shared" si="33"/>
        <v>INSERT INTO metadata_reference.file_schema VALUES('DETM_DETIS_N9DS','AMR1_RISL_DTS',NULL,'TIMESTAMP(6)',NULL,NULL,NULL,NULL,'2025-10-22','9999-12-31',USER, CURRENT_TIMESTAMP(0));</v>
      </c>
    </row>
    <row r="1030" spans="1:12" ht="15" customHeight="1">
      <c r="A1030" s="11" t="str">
        <f>ETLMetadata!$C1030</f>
        <v>DETM_DETIS_N9DS</v>
      </c>
      <c r="B1030" s="11" t="str">
        <f>ETLMetadata!$E1030</f>
        <v>AMR3_RISL_DTS</v>
      </c>
      <c r="C1030" s="11" t="str">
        <f>IF(ISBLANK(ETLMetadata!$J1030), "", ETLMetadata!$J1030)</f>
        <v/>
      </c>
      <c r="D1030" s="11" t="str">
        <f>ETLMetadata!$G1030</f>
        <v>TIMESTAMP(6)</v>
      </c>
      <c r="E1030" s="12"/>
      <c r="F1030" s="12"/>
      <c r="G1030" s="12" t="str">
        <f t="shared" si="32"/>
        <v/>
      </c>
      <c r="H1030" s="12"/>
      <c r="I1030" s="12"/>
      <c r="J1030" s="13">
        <v>45952</v>
      </c>
      <c r="K1030" s="13">
        <v>2958465</v>
      </c>
      <c r="L1030" s="11" t="str">
        <f t="shared" si="33"/>
        <v>INSERT INTO metadata_reference.file_schema VALUES('DETM_DETIS_N9DS','AMR3_RISL_DTS',NULL,'TIMESTAMP(6)',NULL,NULL,NULL,NULL,'2025-10-22','9999-12-31',USER, CURRENT_TIMESTAMP(0));</v>
      </c>
    </row>
    <row r="1031" spans="1:12" ht="15" customHeight="1">
      <c r="A1031" s="11" t="str">
        <f>ETLMetadata!$C1031</f>
        <v>DETM_DETIS_N9DS</v>
      </c>
      <c r="B1031" s="11" t="str">
        <f>ETLMetadata!$E1031</f>
        <v>EPISODE_ID</v>
      </c>
      <c r="C1031" s="11" t="str">
        <f>IF(ISBLANK(ETLMetadata!$J1031), "", ETLMetadata!$J1031)</f>
        <v/>
      </c>
      <c r="D1031" s="11" t="str">
        <f>ETLMetadata!$G1031</f>
        <v>INTEGER</v>
      </c>
      <c r="E1031" s="12"/>
      <c r="F1031" s="12"/>
      <c r="G1031" s="12" t="str">
        <f t="shared" si="32"/>
        <v/>
      </c>
      <c r="H1031" s="12"/>
      <c r="I1031" s="12"/>
      <c r="J1031" s="13">
        <v>45952</v>
      </c>
      <c r="K1031" s="13">
        <v>2958465</v>
      </c>
      <c r="L1031" s="11" t="str">
        <f t="shared" si="33"/>
        <v>INSERT INTO metadata_reference.file_schema VALUES('DETM_DETIS_N9DS','EPISODE_ID',NULL,'INTEGER',NULL,NULL,NULL,NULL,'2025-10-22','9999-12-31',USER, CURRENT_TIMESTAMP(0));</v>
      </c>
    </row>
    <row r="1032" spans="1:12" ht="15" customHeight="1">
      <c r="A1032" s="11" t="str">
        <f>ETLMetadata!$C1032</f>
        <v>DETM_DETIS_N9DS</v>
      </c>
      <c r="B1032" s="11" t="str">
        <f>ETLMetadata!$E1032</f>
        <v>PARTY_ROLE_ID</v>
      </c>
      <c r="C1032" s="11" t="str">
        <f>IF(ISBLANK(ETLMetadata!$J1032), "", ETLMetadata!$J1032)</f>
        <v/>
      </c>
      <c r="D1032" s="11" t="str">
        <f>ETLMetadata!$G1032</f>
        <v>INTEGER</v>
      </c>
      <c r="E1032" s="12"/>
      <c r="F1032" s="12"/>
      <c r="G1032" s="12" t="str">
        <f t="shared" si="32"/>
        <v/>
      </c>
      <c r="H1032" s="12"/>
      <c r="I1032" s="12"/>
      <c r="J1032" s="13">
        <v>45952</v>
      </c>
      <c r="K1032" s="13">
        <v>2958465</v>
      </c>
      <c r="L1032" s="11" t="str">
        <f t="shared" si="33"/>
        <v>INSERT INTO metadata_reference.file_schema VALUES('DETM_DETIS_N9DS','PARTY_ROLE_ID',NULL,'INTEGER',NULL,NULL,NULL,NULL,'2025-10-22','9999-12-31',USER, CURRENT_TIMESTAMP(0));</v>
      </c>
    </row>
    <row r="1033" spans="1:12" ht="15" customHeight="1">
      <c r="A1033" s="11" t="str">
        <f>ETLMetadata!$C1033</f>
        <v>DETM_DETIS_N9DS</v>
      </c>
      <c r="B1033" s="11" t="str">
        <f>ETLMetadata!$E1033</f>
        <v>PAYMENT_TYPE_ID</v>
      </c>
      <c r="C1033" s="11" t="str">
        <f>IF(ISBLANK(ETLMetadata!$J1033), "", ETLMetadata!$J1033)</f>
        <v/>
      </c>
      <c r="D1033" s="11" t="str">
        <f>ETLMetadata!$G1033</f>
        <v>INTEGER</v>
      </c>
      <c r="E1033" s="12"/>
      <c r="F1033" s="12"/>
      <c r="G1033" s="12" t="str">
        <f t="shared" si="32"/>
        <v/>
      </c>
      <c r="H1033" s="12"/>
      <c r="I1033" s="12"/>
      <c r="J1033" s="13">
        <v>45952</v>
      </c>
      <c r="K1033" s="13">
        <v>2958465</v>
      </c>
      <c r="L1033" s="11" t="str">
        <f t="shared" si="33"/>
        <v>INSERT INTO metadata_reference.file_schema VALUES('DETM_DETIS_N9DS','PAYMENT_TYPE_ID',NULL,'INTEGER',NULL,NULL,NULL,NULL,'2025-10-22','9999-12-31',USER, CURRENT_TIMESTAMP(0));</v>
      </c>
    </row>
    <row r="1034" spans="1:12" ht="15" customHeight="1">
      <c r="A1034" s="11" t="str">
        <f>ETLMetadata!$C1034</f>
        <v>DETM_DETIS_N9DS</v>
      </c>
      <c r="B1034" s="11" t="str">
        <f>ETLMetadata!$E1034</f>
        <v>ERROR_COUNT</v>
      </c>
      <c r="C1034" s="11" t="str">
        <f>IF(ISBLANK(ETLMetadata!$J1034), "", ETLMetadata!$J1034)</f>
        <v/>
      </c>
      <c r="D1034" s="11" t="str">
        <f>ETLMetadata!$G1034</f>
        <v>SMALLINT</v>
      </c>
      <c r="E1034" s="12"/>
      <c r="F1034" s="12"/>
      <c r="G1034" s="12" t="str">
        <f t="shared" si="32"/>
        <v/>
      </c>
      <c r="H1034" s="12"/>
      <c r="I1034" s="12"/>
      <c r="J1034" s="13">
        <v>45952</v>
      </c>
      <c r="K1034" s="13">
        <v>2958465</v>
      </c>
      <c r="L1034" s="11" t="str">
        <f t="shared" si="33"/>
        <v>INSERT INTO metadata_reference.file_schema VALUES('DETM_DETIS_N9DS','ERROR_COUNT',NULL,'SMALLINT',NULL,NULL,NULL,NULL,'2025-10-22','9999-12-31',USER, CURRENT_TIMESTAMP(0));</v>
      </c>
    </row>
    <row r="1035" spans="1:12" ht="15" customHeight="1">
      <c r="A1035" s="11" t="str">
        <f>ETLMetadata!$C1035</f>
        <v>DETM_DETIS_N9DS</v>
      </c>
      <c r="B1035" s="11" t="str">
        <f>ETLMetadata!$E1035</f>
        <v>Start_Date</v>
      </c>
      <c r="C1035" s="11" t="str">
        <f>IF(ISBLANK(ETLMetadata!$J1035), "", ETLMetadata!$J1035)</f>
        <v/>
      </c>
      <c r="D1035" s="11" t="str">
        <f>ETLMetadata!$G1035</f>
        <v>DATE</v>
      </c>
      <c r="E1035" s="12"/>
      <c r="F1035" s="12"/>
      <c r="G1035" s="12" t="str">
        <f t="shared" si="32"/>
        <v/>
      </c>
      <c r="H1035" s="12"/>
      <c r="I1035" s="12"/>
      <c r="J1035" s="13">
        <v>45952</v>
      </c>
      <c r="K1035" s="13">
        <v>2958465</v>
      </c>
      <c r="L1035" s="11" t="str">
        <f t="shared" si="33"/>
        <v>INSERT INTO metadata_reference.file_schema VALUES('DETM_DETIS_N9DS','Start_Date',NULL,'DATE',NULL,NULL,NULL,NULL,'2025-10-22','9999-12-31',USER, CURRENT_TIMESTAMP(0));</v>
      </c>
    </row>
    <row r="1036" spans="1:12" ht="15" customHeight="1">
      <c r="A1036" s="11" t="str">
        <f>ETLMetadata!$C1036</f>
        <v>DETM_DETIS_N9DS</v>
      </c>
      <c r="B1036" s="11" t="str">
        <f>ETLMetadata!$E1036</f>
        <v>End_Date</v>
      </c>
      <c r="C1036" s="11" t="str">
        <f>IF(ISBLANK(ETLMetadata!$J1036), "", ETLMetadata!$J1036)</f>
        <v/>
      </c>
      <c r="D1036" s="11" t="str">
        <f>ETLMetadata!$G1036</f>
        <v>DATE</v>
      </c>
      <c r="E1036" s="12"/>
      <c r="F1036" s="12"/>
      <c r="G1036" s="12" t="str">
        <f t="shared" si="32"/>
        <v/>
      </c>
      <c r="H1036" s="12"/>
      <c r="I1036" s="12"/>
      <c r="J1036" s="13">
        <v>45952</v>
      </c>
      <c r="K1036" s="13">
        <v>2958465</v>
      </c>
      <c r="L1036" s="11" t="str">
        <f t="shared" si="33"/>
        <v>INSERT INTO metadata_reference.file_schema VALUES('DETM_DETIS_N9DS','End_Date',NULL,'DATE',NULL,NULL,NULL,NULL,'2025-10-22','9999-12-31',USER, CURRENT_TIMESTAMP(0));</v>
      </c>
    </row>
    <row r="1037" spans="1:12" ht="15" customHeight="1">
      <c r="A1037" s="11" t="str">
        <f>ETLMetadata!$C1037</f>
        <v>DETM_DETIS_N9DS</v>
      </c>
      <c r="B1037" s="11" t="str">
        <f>ETLMetadata!$E1037</f>
        <v>Record_Deleted_Flag</v>
      </c>
      <c r="C1037" s="11" t="str">
        <f>IF(ISBLANK(ETLMetadata!$J1037), "", ETLMetadata!$J1037)</f>
        <v/>
      </c>
      <c r="D1037" s="11" t="str">
        <f>ETLMetadata!$G1037</f>
        <v>BYTEINT</v>
      </c>
      <c r="E1037" s="12"/>
      <c r="F1037" s="12"/>
      <c r="G1037" s="12" t="str">
        <f t="shared" si="32"/>
        <v/>
      </c>
      <c r="H1037" s="12"/>
      <c r="I1037" s="12"/>
      <c r="J1037" s="13">
        <v>45952</v>
      </c>
      <c r="K1037" s="13">
        <v>2958465</v>
      </c>
      <c r="L1037" s="11" t="str">
        <f t="shared" si="33"/>
        <v>INSERT INTO metadata_reference.file_schema VALUES('DETM_DETIS_N9DS','Record_Deleted_Flag',NULL,'BYTEINT',NULL,NULL,NULL,NULL,'2025-10-22','9999-12-31',USER, CURRENT_TIMESTAMP(0));</v>
      </c>
    </row>
    <row r="1038" spans="1:12" ht="15" customHeight="1">
      <c r="A1038" s="11" t="str">
        <f>ETLMetadata!$C1038</f>
        <v>DETM_DETIS_NRDS</v>
      </c>
      <c r="B1038" s="11" t="str">
        <f>ETLMetadata!$E1038</f>
        <v>EXTRACT_DATE</v>
      </c>
      <c r="C1038" s="11" t="str">
        <f>IF(ISBLANK(ETLMetadata!$J1038), "", ETLMetadata!$J1038)</f>
        <v/>
      </c>
      <c r="D1038" s="11" t="str">
        <f>ETLMetadata!$G1038</f>
        <v>DATE</v>
      </c>
      <c r="E1038" s="12"/>
      <c r="F1038" s="12"/>
      <c r="G1038" s="12" t="str">
        <f t="shared" si="32"/>
        <v/>
      </c>
      <c r="H1038" s="12"/>
      <c r="I1038" s="12"/>
      <c r="J1038" s="13">
        <v>45952</v>
      </c>
      <c r="K1038" s="13">
        <v>2958465</v>
      </c>
      <c r="L1038" s="11" t="str">
        <f t="shared" si="33"/>
        <v>INSERT INTO metadata_reference.file_schema VALUES('DETM_DETIS_NRDS','EXTRACT_DATE',NULL,'DATE',NULL,NULL,NULL,NULL,'2025-10-22','9999-12-31',USER, CURRENT_TIMESTAMP(0));</v>
      </c>
    </row>
    <row r="1039" spans="1:12" ht="15" customHeight="1">
      <c r="A1039" s="11" t="str">
        <f>ETLMetadata!$C1039</f>
        <v>DETM_DETIS_NRDS</v>
      </c>
      <c r="B1039" s="11" t="str">
        <f>ETLMetadata!$E1039</f>
        <v>LOGICAL_DELETE_DATE</v>
      </c>
      <c r="C1039" s="11" t="str">
        <f>IF(ISBLANK(ETLMetadata!$J1039), "", ETLMetadata!$J1039)</f>
        <v/>
      </c>
      <c r="D1039" s="11" t="str">
        <f>ETLMetadata!$G1039</f>
        <v>DATE</v>
      </c>
      <c r="E1039" s="12"/>
      <c r="F1039" s="12"/>
      <c r="G1039" s="12" t="str">
        <f t="shared" si="32"/>
        <v/>
      </c>
      <c r="H1039" s="12"/>
      <c r="I1039" s="12"/>
      <c r="J1039" s="13">
        <v>45952</v>
      </c>
      <c r="K1039" s="13">
        <v>2958465</v>
      </c>
      <c r="L1039" s="11" t="str">
        <f t="shared" si="33"/>
        <v>INSERT INTO metadata_reference.file_schema VALUES('DETM_DETIS_NRDS','LOGICAL_DELETE_DATE',NULL,'DATE',NULL,NULL,NULL,NULL,'2025-10-22','9999-12-31',USER, CURRENT_TIMESTAMP(0));</v>
      </c>
    </row>
    <row r="1040" spans="1:12" ht="15" customHeight="1">
      <c r="A1040" s="11" t="str">
        <f>ETLMetadata!$C1040</f>
        <v>DETM_DETIS_NRDS</v>
      </c>
      <c r="B1040" s="11" t="str">
        <f>ETLMetadata!$E1040</f>
        <v>ENVIRONMENT_ID</v>
      </c>
      <c r="C1040" s="11" t="str">
        <f>IF(ISBLANK(ETLMetadata!$J1040), "", ETLMetadata!$J1040)</f>
        <v>Y</v>
      </c>
      <c r="D1040" s="11" t="str">
        <f>ETLMetadata!$G1040</f>
        <v>CHAR(1)</v>
      </c>
      <c r="E1040" s="12"/>
      <c r="F1040" s="12"/>
      <c r="G1040" s="12" t="str">
        <f t="shared" si="32"/>
        <v/>
      </c>
      <c r="H1040" s="12"/>
      <c r="I1040" s="12"/>
      <c r="J1040" s="13">
        <v>45952</v>
      </c>
      <c r="K1040" s="13">
        <v>2958465</v>
      </c>
      <c r="L1040" s="11" t="str">
        <f t="shared" si="33"/>
        <v>INSERT INTO metadata_reference.file_schema VALUES('DETM_DETIS_NRDS','ENVIRONMENT_ID','Y','CHAR(1)',NULL,NULL,NULL,NULL,'2025-10-22','9999-12-31',USER, CURRENT_TIMESTAMP(0));</v>
      </c>
    </row>
    <row r="1041" spans="1:12" ht="15" customHeight="1">
      <c r="A1041" s="11" t="str">
        <f>ETLMetadata!$C1041</f>
        <v>DETM_DETIS_NRDS</v>
      </c>
      <c r="B1041" s="11" t="str">
        <f>ETLMetadata!$E1041</f>
        <v>PERSON_ID</v>
      </c>
      <c r="C1041" s="11" t="str">
        <f>IF(ISBLANK(ETLMetadata!$J1041), "", ETLMetadata!$J1041)</f>
        <v>Y</v>
      </c>
      <c r="D1041" s="11" t="str">
        <f>ETLMetadata!$G1041</f>
        <v>INTEGER</v>
      </c>
      <c r="E1041" s="12"/>
      <c r="F1041" s="12" t="s">
        <v>799</v>
      </c>
      <c r="G1041" s="12" t="str">
        <f t="shared" si="32"/>
        <v>PERSONAL_IDENTITYINFOINDIRECT</v>
      </c>
      <c r="H1041" s="12"/>
      <c r="I1041" s="12"/>
      <c r="J1041" s="13">
        <v>45952</v>
      </c>
      <c r="K1041" s="13">
        <v>2958465</v>
      </c>
      <c r="L1041" s="11" t="str">
        <f t="shared" si="33"/>
        <v>INSERT INTO metadata_reference.file_schema VALUES('DETM_DETIS_NRDS','PERSON_ID','Y','INTEGER',NULL,'PERSONAL_IDENTITYINFOINDIRECT',NULL,NULL,'2025-10-22','9999-12-31',USER, CURRENT_TIMESTAMP(0));</v>
      </c>
    </row>
    <row r="1042" spans="1:12" ht="15" customHeight="1">
      <c r="A1042" s="11" t="str">
        <f>ETLMetadata!$C1042</f>
        <v>DETM_DETIS_NRDS</v>
      </c>
      <c r="B1042" s="11" t="str">
        <f>ETLMetadata!$E1042</f>
        <v>NRDS_DOE</v>
      </c>
      <c r="C1042" s="11" t="str">
        <f>IF(ISBLANK(ETLMetadata!$J1042), "", ETLMetadata!$J1042)</f>
        <v/>
      </c>
      <c r="D1042" s="11" t="str">
        <f>ETLMetadata!$G1042</f>
        <v>DATE</v>
      </c>
      <c r="E1042" s="12"/>
      <c r="F1042" s="12"/>
      <c r="G1042" s="12" t="str">
        <f t="shared" si="32"/>
        <v/>
      </c>
      <c r="H1042" s="12"/>
      <c r="I1042" s="12"/>
      <c r="J1042" s="13">
        <v>45952</v>
      </c>
      <c r="K1042" s="13">
        <v>2958465</v>
      </c>
      <c r="L1042" s="11" t="str">
        <f t="shared" si="33"/>
        <v>INSERT INTO metadata_reference.file_schema VALUES('DETM_DETIS_NRDS','NRDS_DOE',NULL,'DATE',NULL,NULL,NULL,NULL,'2025-10-22','9999-12-31',USER, CURRENT_TIMESTAMP(0));</v>
      </c>
    </row>
    <row r="1043" spans="1:12" ht="15" customHeight="1">
      <c r="A1043" s="11" t="str">
        <f>ETLMetadata!$C1043</f>
        <v>DETM_DETIS_NRDS</v>
      </c>
      <c r="B1043" s="11" t="str">
        <f>ETLMetadata!$E1043</f>
        <v>NRDS_DOE_ORIG</v>
      </c>
      <c r="C1043" s="11" t="str">
        <f>IF(ISBLANK(ETLMetadata!$J1043), "", ETLMetadata!$J1043)</f>
        <v/>
      </c>
      <c r="D1043" s="11" t="str">
        <f>ETLMetadata!$G1043</f>
        <v>INTEGER</v>
      </c>
      <c r="E1043" s="12"/>
      <c r="F1043" s="12"/>
      <c r="G1043" s="12" t="str">
        <f t="shared" si="32"/>
        <v/>
      </c>
      <c r="H1043" s="12"/>
      <c r="I1043" s="12"/>
      <c r="J1043" s="13">
        <v>45952</v>
      </c>
      <c r="K1043" s="13">
        <v>2958465</v>
      </c>
      <c r="L1043" s="11" t="str">
        <f t="shared" si="33"/>
        <v>INSERT INTO metadata_reference.file_schema VALUES('DETM_DETIS_NRDS','NRDS_DOE_ORIG',NULL,'INTEGER',NULL,NULL,NULL,NULL,'2025-10-22','9999-12-31',USER, CURRENT_TIMESTAMP(0));</v>
      </c>
    </row>
    <row r="1044" spans="1:12" ht="15" customHeight="1">
      <c r="A1044" s="11" t="str">
        <f>ETLMetadata!$C1044</f>
        <v>DETM_DETIS_NRDS</v>
      </c>
      <c r="B1044" s="11" t="str">
        <f>ETLMetadata!$E1044</f>
        <v>PROCESSING_SEQUENCE</v>
      </c>
      <c r="C1044" s="11" t="str">
        <f>IF(ISBLANK(ETLMetadata!$J1044), "", ETLMetadata!$J1044)</f>
        <v>Y</v>
      </c>
      <c r="D1044" s="11" t="str">
        <f>ETLMetadata!$G1044</f>
        <v>SMALLINT</v>
      </c>
      <c r="E1044" s="12"/>
      <c r="F1044" s="12"/>
      <c r="G1044" s="12" t="str">
        <f t="shared" si="32"/>
        <v/>
      </c>
      <c r="H1044" s="12"/>
      <c r="I1044" s="12"/>
      <c r="J1044" s="13">
        <v>45952</v>
      </c>
      <c r="K1044" s="13">
        <v>2958465</v>
      </c>
      <c r="L1044" s="11" t="str">
        <f t="shared" si="33"/>
        <v>INSERT INTO metadata_reference.file_schema VALUES('DETM_DETIS_NRDS','PROCESSING_SEQUENCE','Y','SMALLINT',NULL,NULL,NULL,NULL,'2025-10-22','9999-12-31',USER, CURRENT_TIMESTAMP(0));</v>
      </c>
    </row>
    <row r="1045" spans="1:12" ht="15" customHeight="1">
      <c r="A1045" s="11" t="str">
        <f>ETLMetadata!$C1045</f>
        <v>DETM_DETIS_NRDS</v>
      </c>
      <c r="B1045" s="11" t="str">
        <f>ETLMetadata!$E1045</f>
        <v>NRDS_AMR_1</v>
      </c>
      <c r="C1045" s="11" t="str">
        <f>IF(ISBLANK(ETLMetadata!$J1045), "", ETLMetadata!$J1045)</f>
        <v/>
      </c>
      <c r="D1045" s="11" t="str">
        <f>ETLMetadata!$G1045</f>
        <v>CHAR(4)</v>
      </c>
      <c r="E1045" s="12"/>
      <c r="F1045" s="12"/>
      <c r="G1045" s="12" t="str">
        <f t="shared" si="32"/>
        <v/>
      </c>
      <c r="H1045" s="12"/>
      <c r="I1045" s="12"/>
      <c r="J1045" s="13">
        <v>45952</v>
      </c>
      <c r="K1045" s="13">
        <v>2958465</v>
      </c>
      <c r="L1045" s="11" t="str">
        <f t="shared" si="33"/>
        <v>INSERT INTO metadata_reference.file_schema VALUES('DETM_DETIS_NRDS','NRDS_AMR_1',NULL,'CHAR(4)',NULL,NULL,NULL,NULL,'2025-10-22','9999-12-31',USER, CURRENT_TIMESTAMP(0));</v>
      </c>
    </row>
    <row r="1046" spans="1:12" ht="15" customHeight="1">
      <c r="A1046" s="11" t="str">
        <f>ETLMetadata!$C1046</f>
        <v>DETM_DETIS_NRDS</v>
      </c>
      <c r="B1046" s="11" t="str">
        <f>ETLMetadata!$E1046</f>
        <v>NRDS_AMR_2</v>
      </c>
      <c r="C1046" s="11" t="str">
        <f>IF(ISBLANK(ETLMetadata!$J1046), "", ETLMetadata!$J1046)</f>
        <v/>
      </c>
      <c r="D1046" s="11" t="str">
        <f>ETLMetadata!$G1046</f>
        <v>CHAR(1)</v>
      </c>
      <c r="E1046" s="12"/>
      <c r="F1046" s="12"/>
      <c r="G1046" s="12" t="str">
        <f t="shared" si="32"/>
        <v/>
      </c>
      <c r="H1046" s="12"/>
      <c r="I1046" s="12"/>
      <c r="J1046" s="13">
        <v>45952</v>
      </c>
      <c r="K1046" s="13">
        <v>2958465</v>
      </c>
      <c r="L1046" s="11" t="str">
        <f t="shared" si="33"/>
        <v>INSERT INTO metadata_reference.file_schema VALUES('DETM_DETIS_NRDS','NRDS_AMR_2',NULL,'CHAR(1)',NULL,NULL,NULL,NULL,'2025-10-22','9999-12-31',USER, CURRENT_TIMESTAMP(0));</v>
      </c>
    </row>
    <row r="1047" spans="1:12" ht="15" customHeight="1">
      <c r="A1047" s="11" t="str">
        <f>ETLMetadata!$C1047</f>
        <v>DETM_DETIS_NRDS</v>
      </c>
      <c r="B1047" s="11" t="str">
        <f>ETLMetadata!$E1047</f>
        <v>NRDS_AMR_3</v>
      </c>
      <c r="C1047" s="11" t="str">
        <f>IF(ISBLANK(ETLMetadata!$J1047), "", ETLMetadata!$J1047)</f>
        <v/>
      </c>
      <c r="D1047" s="11" t="str">
        <f>ETLMetadata!$G1047</f>
        <v>CHAR(4)</v>
      </c>
      <c r="E1047" s="12"/>
      <c r="F1047" s="12"/>
      <c r="G1047" s="12" t="str">
        <f t="shared" si="32"/>
        <v/>
      </c>
      <c r="H1047" s="12"/>
      <c r="I1047" s="12"/>
      <c r="J1047" s="13">
        <v>45952</v>
      </c>
      <c r="K1047" s="13">
        <v>2958465</v>
      </c>
      <c r="L1047" s="11" t="str">
        <f t="shared" si="33"/>
        <v>INSERT INTO metadata_reference.file_schema VALUES('DETM_DETIS_NRDS','NRDS_AMR_3',NULL,'CHAR(4)',NULL,NULL,NULL,NULL,'2025-10-22','9999-12-31',USER, CURRENT_TIMESTAMP(0));</v>
      </c>
    </row>
    <row r="1048" spans="1:12" ht="15" customHeight="1">
      <c r="A1048" s="11" t="str">
        <f>ETLMetadata!$C1048</f>
        <v>DETM_DETIS_NRDS</v>
      </c>
      <c r="B1048" s="11" t="str">
        <f>ETLMetadata!$E1048</f>
        <v>NRDS_BEN_TYPE_CODE</v>
      </c>
      <c r="C1048" s="11" t="str">
        <f>IF(ISBLANK(ETLMetadata!$J1048), "", ETLMetadata!$J1048)</f>
        <v/>
      </c>
      <c r="D1048" s="11" t="str">
        <f>ETLMetadata!$G1048</f>
        <v>CHAR(3)</v>
      </c>
      <c r="E1048" s="12"/>
      <c r="F1048" s="12"/>
      <c r="G1048" s="12" t="str">
        <f t="shared" si="32"/>
        <v/>
      </c>
      <c r="H1048" s="12"/>
      <c r="I1048" s="12"/>
      <c r="J1048" s="13">
        <v>45952</v>
      </c>
      <c r="K1048" s="13">
        <v>2958465</v>
      </c>
      <c r="L1048" s="11" t="str">
        <f t="shared" si="33"/>
        <v>INSERT INTO metadata_reference.file_schema VALUES('DETM_DETIS_NRDS','NRDS_BEN_TYPE_CODE',NULL,'CHAR(3)',NULL,NULL,NULL,NULL,'2025-10-22','9999-12-31',USER, CURRENT_TIMESTAMP(0));</v>
      </c>
    </row>
    <row r="1049" spans="1:12" ht="15" customHeight="1">
      <c r="A1049" s="11" t="str">
        <f>ETLMetadata!$C1049</f>
        <v>DETM_DETIS_NRDS</v>
      </c>
      <c r="B1049" s="11" t="str">
        <f>ETLMetadata!$E1049</f>
        <v>NRDS_STS_CODE</v>
      </c>
      <c r="C1049" s="11" t="str">
        <f>IF(ISBLANK(ETLMetadata!$J1049), "", ETLMetadata!$J1049)</f>
        <v/>
      </c>
      <c r="D1049" s="11" t="str">
        <f>ETLMetadata!$G1049</f>
        <v>CHAR(3)</v>
      </c>
      <c r="E1049" s="12"/>
      <c r="F1049" s="12"/>
      <c r="G1049" s="12" t="str">
        <f t="shared" si="32"/>
        <v/>
      </c>
      <c r="H1049" s="12"/>
      <c r="I1049" s="12"/>
      <c r="J1049" s="13">
        <v>45952</v>
      </c>
      <c r="K1049" s="13">
        <v>2958465</v>
      </c>
      <c r="L1049" s="11" t="str">
        <f t="shared" si="33"/>
        <v>INSERT INTO metadata_reference.file_schema VALUES('DETM_DETIS_NRDS','NRDS_STS_CODE',NULL,'CHAR(3)',NULL,NULL,NULL,NULL,'2025-10-22','9999-12-31',USER, CURRENT_TIMESTAMP(0));</v>
      </c>
    </row>
    <row r="1050" spans="1:12" ht="15" customHeight="1">
      <c r="A1050" s="11" t="str">
        <f>ETLMetadata!$C1050</f>
        <v>DETM_DETIS_NRDS</v>
      </c>
      <c r="B1050" s="11" t="str">
        <f>ETLMetadata!$E1050</f>
        <v>NRDS_RSN_CODE</v>
      </c>
      <c r="C1050" s="11" t="str">
        <f>IF(ISBLANK(ETLMetadata!$J1050), "", ETLMetadata!$J1050)</f>
        <v/>
      </c>
      <c r="D1050" s="11" t="str">
        <f>ETLMetadata!$G1050</f>
        <v>CHAR(3)</v>
      </c>
      <c r="E1050" s="12"/>
      <c r="F1050" s="12"/>
      <c r="G1050" s="12" t="str">
        <f t="shared" si="32"/>
        <v/>
      </c>
      <c r="H1050" s="12"/>
      <c r="I1050" s="12"/>
      <c r="J1050" s="13">
        <v>45952</v>
      </c>
      <c r="K1050" s="13">
        <v>2958465</v>
      </c>
      <c r="L1050" s="11" t="str">
        <f t="shared" si="33"/>
        <v>INSERT INTO metadata_reference.file_schema VALUES('DETM_DETIS_NRDS','NRDS_RSN_CODE',NULL,'CHAR(3)',NULL,NULL,NULL,NULL,'2025-10-22','9999-12-31',USER, CURRENT_TIMESTAMP(0));</v>
      </c>
    </row>
    <row r="1051" spans="1:12" ht="15" customHeight="1">
      <c r="A1051" s="11" t="str">
        <f>ETLMetadata!$C1051</f>
        <v>DETM_DETIS_NRDS</v>
      </c>
      <c r="B1051" s="11" t="str">
        <f>ETLMetadata!$E1051</f>
        <v>NRDS_UNIQ_ID</v>
      </c>
      <c r="C1051" s="11" t="str">
        <f>IF(ISBLANK(ETLMetadata!$J1051), "", ETLMetadata!$J1051)</f>
        <v/>
      </c>
      <c r="D1051" s="11" t="str">
        <f>ETLMetadata!$G1051</f>
        <v>VARCHAR(8)</v>
      </c>
      <c r="E1051" s="12"/>
      <c r="F1051" s="12"/>
      <c r="G1051" s="12" t="str">
        <f t="shared" si="32"/>
        <v/>
      </c>
      <c r="H1051" s="12"/>
      <c r="I1051" s="12"/>
      <c r="J1051" s="13">
        <v>45952</v>
      </c>
      <c r="K1051" s="13">
        <v>2958465</v>
      </c>
      <c r="L1051" s="11" t="str">
        <f t="shared" si="33"/>
        <v>INSERT INTO metadata_reference.file_schema VALUES('DETM_DETIS_NRDS','NRDS_UNIQ_ID',NULL,'VARCHAR(8)',NULL,NULL,NULL,NULL,'2025-10-22','9999-12-31',USER, CURRENT_TIMESTAMP(0));</v>
      </c>
    </row>
    <row r="1052" spans="1:12" ht="15" customHeight="1">
      <c r="A1052" s="11" t="str">
        <f>ETLMetadata!$C1052</f>
        <v>DETM_DETIS_NRDS</v>
      </c>
      <c r="B1052" s="11" t="str">
        <f>ETLMetadata!$E1052</f>
        <v>AMR1_RISL_DTS</v>
      </c>
      <c r="C1052" s="11" t="str">
        <f>IF(ISBLANK(ETLMetadata!$J1052), "", ETLMetadata!$J1052)</f>
        <v/>
      </c>
      <c r="D1052" s="11" t="str">
        <f>ETLMetadata!$G1052</f>
        <v>TIMESTAMP(6)</v>
      </c>
      <c r="E1052" s="12"/>
      <c r="F1052" s="12"/>
      <c r="G1052" s="12" t="str">
        <f t="shared" si="32"/>
        <v/>
      </c>
      <c r="H1052" s="12"/>
      <c r="I1052" s="12"/>
      <c r="J1052" s="13">
        <v>45952</v>
      </c>
      <c r="K1052" s="13">
        <v>2958465</v>
      </c>
      <c r="L1052" s="11" t="str">
        <f t="shared" si="33"/>
        <v>INSERT INTO metadata_reference.file_schema VALUES('DETM_DETIS_NRDS','AMR1_RISL_DTS',NULL,'TIMESTAMP(6)',NULL,NULL,NULL,NULL,'2025-10-22','9999-12-31',USER, CURRENT_TIMESTAMP(0));</v>
      </c>
    </row>
    <row r="1053" spans="1:12" ht="15" customHeight="1">
      <c r="A1053" s="11" t="str">
        <f>ETLMetadata!$C1053</f>
        <v>DETM_DETIS_NRDS</v>
      </c>
      <c r="B1053" s="11" t="str">
        <f>ETLMetadata!$E1053</f>
        <v>AMR3_RISL_DTS</v>
      </c>
      <c r="C1053" s="11" t="str">
        <f>IF(ISBLANK(ETLMetadata!$J1053), "", ETLMetadata!$J1053)</f>
        <v/>
      </c>
      <c r="D1053" s="11" t="str">
        <f>ETLMetadata!$G1053</f>
        <v>TIMESTAMP(6)</v>
      </c>
      <c r="E1053" s="12"/>
      <c r="F1053" s="12"/>
      <c r="G1053" s="12" t="str">
        <f t="shared" si="32"/>
        <v/>
      </c>
      <c r="H1053" s="12"/>
      <c r="I1053" s="12"/>
      <c r="J1053" s="13">
        <v>45952</v>
      </c>
      <c r="K1053" s="13">
        <v>2958465</v>
      </c>
      <c r="L1053" s="11" t="str">
        <f t="shared" si="33"/>
        <v>INSERT INTO metadata_reference.file_schema VALUES('DETM_DETIS_NRDS','AMR3_RISL_DTS',NULL,'TIMESTAMP(6)',NULL,NULL,NULL,NULL,'2025-10-22','9999-12-31',USER, CURRENT_TIMESTAMP(0));</v>
      </c>
    </row>
    <row r="1054" spans="1:12" ht="15" customHeight="1">
      <c r="A1054" s="11" t="str">
        <f>ETLMetadata!$C1054</f>
        <v>DETM_DETIS_NRDS</v>
      </c>
      <c r="B1054" s="11" t="str">
        <f>ETLMetadata!$E1054</f>
        <v>PARTY_ROLE_ID</v>
      </c>
      <c r="C1054" s="11" t="str">
        <f>IF(ISBLANK(ETLMetadata!$J1054), "", ETLMetadata!$J1054)</f>
        <v/>
      </c>
      <c r="D1054" s="11" t="str">
        <f>ETLMetadata!$G1054</f>
        <v>INTEGER</v>
      </c>
      <c r="E1054" s="12"/>
      <c r="F1054" s="12"/>
      <c r="G1054" s="12" t="str">
        <f t="shared" si="32"/>
        <v/>
      </c>
      <c r="H1054" s="12"/>
      <c r="I1054" s="12"/>
      <c r="J1054" s="13">
        <v>45952</v>
      </c>
      <c r="K1054" s="13">
        <v>2958465</v>
      </c>
      <c r="L1054" s="11" t="str">
        <f t="shared" si="33"/>
        <v>INSERT INTO metadata_reference.file_schema VALUES('DETM_DETIS_NRDS','PARTY_ROLE_ID',NULL,'INTEGER',NULL,NULL,NULL,NULL,'2025-10-22','9999-12-31',USER, CURRENT_TIMESTAMP(0));</v>
      </c>
    </row>
    <row r="1055" spans="1:12" ht="15" customHeight="1">
      <c r="A1055" s="11" t="str">
        <f>ETLMetadata!$C1055</f>
        <v>DETM_DETIS_NRDS</v>
      </c>
      <c r="B1055" s="11" t="str">
        <f>ETLMetadata!$E1055</f>
        <v>PAYMENT_TYPE_ID</v>
      </c>
      <c r="C1055" s="11" t="str">
        <f>IF(ISBLANK(ETLMetadata!$J1055), "", ETLMetadata!$J1055)</f>
        <v/>
      </c>
      <c r="D1055" s="11" t="str">
        <f>ETLMetadata!$G1055</f>
        <v>INTEGER</v>
      </c>
      <c r="E1055" s="12"/>
      <c r="F1055" s="12"/>
      <c r="G1055" s="12" t="str">
        <f t="shared" si="32"/>
        <v/>
      </c>
      <c r="H1055" s="12"/>
      <c r="I1055" s="12"/>
      <c r="J1055" s="13">
        <v>45952</v>
      </c>
      <c r="K1055" s="13">
        <v>2958465</v>
      </c>
      <c r="L1055" s="11" t="str">
        <f t="shared" si="33"/>
        <v>INSERT INTO metadata_reference.file_schema VALUES('DETM_DETIS_NRDS','PAYMENT_TYPE_ID',NULL,'INTEGER',NULL,NULL,NULL,NULL,'2025-10-22','9999-12-31',USER, CURRENT_TIMESTAMP(0));</v>
      </c>
    </row>
    <row r="1056" spans="1:12" ht="15" customHeight="1">
      <c r="A1056" s="11" t="str">
        <f>ETLMetadata!$C1056</f>
        <v>DETM_DETIS_NRDS</v>
      </c>
      <c r="B1056" s="11" t="str">
        <f>ETLMetadata!$E1056</f>
        <v>ERROR_COUNT</v>
      </c>
      <c r="C1056" s="11" t="str">
        <f>IF(ISBLANK(ETLMetadata!$J1056), "", ETLMetadata!$J1056)</f>
        <v/>
      </c>
      <c r="D1056" s="11" t="str">
        <f>ETLMetadata!$G1056</f>
        <v>SMALLINT</v>
      </c>
      <c r="E1056" s="12"/>
      <c r="F1056" s="12"/>
      <c r="G1056" s="12" t="str">
        <f t="shared" si="32"/>
        <v/>
      </c>
      <c r="H1056" s="12"/>
      <c r="I1056" s="12"/>
      <c r="J1056" s="13">
        <v>45952</v>
      </c>
      <c r="K1056" s="13">
        <v>2958465</v>
      </c>
      <c r="L1056" s="11" t="str">
        <f t="shared" si="33"/>
        <v>INSERT INTO metadata_reference.file_schema VALUES('DETM_DETIS_NRDS','ERROR_COUNT',NULL,'SMALLINT',NULL,NULL,NULL,NULL,'2025-10-22','9999-12-31',USER, CURRENT_TIMESTAMP(0));</v>
      </c>
    </row>
    <row r="1057" spans="1:12" ht="15" customHeight="1">
      <c r="A1057" s="11" t="str">
        <f>ETLMetadata!$C1057</f>
        <v>DETM_DETIS_NRDS</v>
      </c>
      <c r="B1057" s="11" t="str">
        <f>ETLMetadata!$E1057</f>
        <v>Start_Date</v>
      </c>
      <c r="C1057" s="11" t="str">
        <f>IF(ISBLANK(ETLMetadata!$J1057), "", ETLMetadata!$J1057)</f>
        <v/>
      </c>
      <c r="D1057" s="11" t="str">
        <f>ETLMetadata!$G1057</f>
        <v>DATE</v>
      </c>
      <c r="E1057" s="12"/>
      <c r="F1057" s="12"/>
      <c r="G1057" s="12" t="str">
        <f t="shared" si="32"/>
        <v/>
      </c>
      <c r="H1057" s="12"/>
      <c r="I1057" s="12"/>
      <c r="J1057" s="13">
        <v>45952</v>
      </c>
      <c r="K1057" s="13">
        <v>2958465</v>
      </c>
      <c r="L1057" s="11" t="str">
        <f t="shared" si="33"/>
        <v>INSERT INTO metadata_reference.file_schema VALUES('DETM_DETIS_NRDS','Start_Date',NULL,'DATE',NULL,NULL,NULL,NULL,'2025-10-22','9999-12-31',USER, CURRENT_TIMESTAMP(0));</v>
      </c>
    </row>
    <row r="1058" spans="1:12" ht="15" customHeight="1">
      <c r="A1058" s="11" t="str">
        <f>ETLMetadata!$C1058</f>
        <v>DETM_DETIS_NRDS</v>
      </c>
      <c r="B1058" s="11" t="str">
        <f>ETLMetadata!$E1058</f>
        <v>End_Date</v>
      </c>
      <c r="C1058" s="11" t="str">
        <f>IF(ISBLANK(ETLMetadata!$J1058), "", ETLMetadata!$J1058)</f>
        <v/>
      </c>
      <c r="D1058" s="11" t="str">
        <f>ETLMetadata!$G1058</f>
        <v>DATE</v>
      </c>
      <c r="E1058" s="12"/>
      <c r="F1058" s="12"/>
      <c r="G1058" s="12" t="str">
        <f t="shared" si="32"/>
        <v/>
      </c>
      <c r="H1058" s="12"/>
      <c r="I1058" s="12"/>
      <c r="J1058" s="13">
        <v>45952</v>
      </c>
      <c r="K1058" s="13">
        <v>2958465</v>
      </c>
      <c r="L1058" s="11" t="str">
        <f t="shared" si="33"/>
        <v>INSERT INTO metadata_reference.file_schema VALUES('DETM_DETIS_NRDS','End_Date',NULL,'DATE',NULL,NULL,NULL,NULL,'2025-10-22','9999-12-31',USER, CURRENT_TIMESTAMP(0));</v>
      </c>
    </row>
    <row r="1059" spans="1:12" ht="15" customHeight="1">
      <c r="A1059" s="11" t="str">
        <f>ETLMetadata!$C1059</f>
        <v>DETM_DETIS_NRDS</v>
      </c>
      <c r="B1059" s="11" t="str">
        <f>ETLMetadata!$E1059</f>
        <v>Record_Deleted_Flag</v>
      </c>
      <c r="C1059" s="11" t="str">
        <f>IF(ISBLANK(ETLMetadata!$J1059), "", ETLMetadata!$J1059)</f>
        <v/>
      </c>
      <c r="D1059" s="11" t="str">
        <f>ETLMetadata!$G1059</f>
        <v>BYTEINT</v>
      </c>
      <c r="E1059" s="12"/>
      <c r="F1059" s="12"/>
      <c r="G1059" s="12" t="str">
        <f t="shared" si="32"/>
        <v/>
      </c>
      <c r="H1059" s="12"/>
      <c r="I1059" s="12"/>
      <c r="J1059" s="13">
        <v>45952</v>
      </c>
      <c r="K1059" s="13">
        <v>2958465</v>
      </c>
      <c r="L1059" s="11" t="str">
        <f t="shared" si="33"/>
        <v>INSERT INTO metadata_reference.file_schema VALUES('DETM_DETIS_NRDS','Record_Deleted_Flag',NULL,'BYTEINT',NULL,NULL,NULL,NULL,'2025-10-22','9999-12-31',USER, CURRENT_TIMESTAMP(0));</v>
      </c>
    </row>
    <row r="1060" spans="1:12" ht="15" customHeight="1">
      <c r="A1060" s="11" t="str">
        <f>ETLMetadata!$C1060</f>
        <v>DETM_DETIS_NSDS</v>
      </c>
      <c r="B1060" s="11" t="str">
        <f>ETLMetadata!$E1060</f>
        <v>EXTRACT_DATE</v>
      </c>
      <c r="C1060" s="11" t="str">
        <f>IF(ISBLANK(ETLMetadata!$J1060), "", ETLMetadata!$J1060)</f>
        <v/>
      </c>
      <c r="D1060" s="11" t="str">
        <f>ETLMetadata!$G1060</f>
        <v>DATE</v>
      </c>
      <c r="E1060" s="12"/>
      <c r="F1060" s="12"/>
      <c r="G1060" s="12" t="str">
        <f t="shared" si="32"/>
        <v/>
      </c>
      <c r="H1060" s="12"/>
      <c r="I1060" s="12"/>
      <c r="J1060" s="13">
        <v>45952</v>
      </c>
      <c r="K1060" s="13">
        <v>2958465</v>
      </c>
      <c r="L1060" s="11" t="str">
        <f t="shared" si="33"/>
        <v>INSERT INTO metadata_reference.file_schema VALUES('DETM_DETIS_NSDS','EXTRACT_DATE',NULL,'DATE',NULL,NULL,NULL,NULL,'2025-10-22','9999-12-31',USER, CURRENT_TIMESTAMP(0));</v>
      </c>
    </row>
    <row r="1061" spans="1:12" ht="15" customHeight="1">
      <c r="A1061" s="11" t="str">
        <f>ETLMetadata!$C1061</f>
        <v>DETM_DETIS_NSDS</v>
      </c>
      <c r="B1061" s="11" t="str">
        <f>ETLMetadata!$E1061</f>
        <v>LOGICAL_DELETE_DATE</v>
      </c>
      <c r="C1061" s="11" t="str">
        <f>IF(ISBLANK(ETLMetadata!$J1061), "", ETLMetadata!$J1061)</f>
        <v/>
      </c>
      <c r="D1061" s="11" t="str">
        <f>ETLMetadata!$G1061</f>
        <v>DATE</v>
      </c>
      <c r="E1061" s="12"/>
      <c r="F1061" s="12"/>
      <c r="G1061" s="12" t="str">
        <f t="shared" si="32"/>
        <v/>
      </c>
      <c r="H1061" s="12"/>
      <c r="I1061" s="12"/>
      <c r="J1061" s="13">
        <v>45952</v>
      </c>
      <c r="K1061" s="13">
        <v>2958465</v>
      </c>
      <c r="L1061" s="11" t="str">
        <f t="shared" si="33"/>
        <v>INSERT INTO metadata_reference.file_schema VALUES('DETM_DETIS_NSDS','LOGICAL_DELETE_DATE',NULL,'DATE',NULL,NULL,NULL,NULL,'2025-10-22','9999-12-31',USER, CURRENT_TIMESTAMP(0));</v>
      </c>
    </row>
    <row r="1062" spans="1:12" ht="15" customHeight="1">
      <c r="A1062" s="11" t="str">
        <f>ETLMetadata!$C1062</f>
        <v>DETM_DETIS_NSDS</v>
      </c>
      <c r="B1062" s="11" t="str">
        <f>ETLMetadata!$E1062</f>
        <v>ENVIRONMENT_ID</v>
      </c>
      <c r="C1062" s="11" t="str">
        <f>IF(ISBLANK(ETLMetadata!$J1062), "", ETLMetadata!$J1062)</f>
        <v>Y</v>
      </c>
      <c r="D1062" s="11" t="str">
        <f>ETLMetadata!$G1062</f>
        <v>CHAR(1)</v>
      </c>
      <c r="E1062" s="12"/>
      <c r="F1062" s="12"/>
      <c r="G1062" s="12" t="str">
        <f t="shared" si="32"/>
        <v/>
      </c>
      <c r="H1062" s="12"/>
      <c r="I1062" s="12"/>
      <c r="J1062" s="13">
        <v>45952</v>
      </c>
      <c r="K1062" s="13">
        <v>2958465</v>
      </c>
      <c r="L1062" s="11" t="str">
        <f t="shared" si="33"/>
        <v>INSERT INTO metadata_reference.file_schema VALUES('DETM_DETIS_NSDS','ENVIRONMENT_ID','Y','CHAR(1)',NULL,NULL,NULL,NULL,'2025-10-22','9999-12-31',USER, CURRENT_TIMESTAMP(0));</v>
      </c>
    </row>
    <row r="1063" spans="1:12" ht="15" customHeight="1">
      <c r="A1063" s="11" t="str">
        <f>ETLMetadata!$C1063</f>
        <v>DETM_DETIS_NSDS</v>
      </c>
      <c r="B1063" s="11" t="str">
        <f>ETLMetadata!$E1063</f>
        <v>PERSON_ID</v>
      </c>
      <c r="C1063" s="11" t="str">
        <f>IF(ISBLANK(ETLMetadata!$J1063), "", ETLMetadata!$J1063)</f>
        <v>Y</v>
      </c>
      <c r="D1063" s="11" t="str">
        <f>ETLMetadata!$G1063</f>
        <v>INTEGER</v>
      </c>
      <c r="E1063" s="12"/>
      <c r="F1063" s="12" t="s">
        <v>799</v>
      </c>
      <c r="G1063" s="12" t="str">
        <f t="shared" si="32"/>
        <v>PERSONAL_IDENTITYINFOINDIRECT</v>
      </c>
      <c r="H1063" s="12"/>
      <c r="I1063" s="12"/>
      <c r="J1063" s="13">
        <v>45952</v>
      </c>
      <c r="K1063" s="13">
        <v>2958465</v>
      </c>
      <c r="L1063" s="11" t="str">
        <f t="shared" si="33"/>
        <v>INSERT INTO metadata_reference.file_schema VALUES('DETM_DETIS_NSDS','PERSON_ID','Y','INTEGER',NULL,'PERSONAL_IDENTITYINFOINDIRECT',NULL,NULL,'2025-10-22','9999-12-31',USER, CURRENT_TIMESTAMP(0));</v>
      </c>
    </row>
    <row r="1064" spans="1:12" ht="15" customHeight="1">
      <c r="A1064" s="11" t="str">
        <f>ETLMetadata!$C1064</f>
        <v>DETM_DETIS_NSDS</v>
      </c>
      <c r="B1064" s="11" t="str">
        <f>ETLMetadata!$E1064</f>
        <v>NSDS_DOE</v>
      </c>
      <c r="C1064" s="11" t="str">
        <f>IF(ISBLANK(ETLMetadata!$J1064), "", ETLMetadata!$J1064)</f>
        <v/>
      </c>
      <c r="D1064" s="11" t="str">
        <f>ETLMetadata!$G1064</f>
        <v>DATE</v>
      </c>
      <c r="E1064" s="12"/>
      <c r="F1064" s="12"/>
      <c r="G1064" s="12" t="str">
        <f t="shared" si="32"/>
        <v/>
      </c>
      <c r="H1064" s="12"/>
      <c r="I1064" s="12"/>
      <c r="J1064" s="13">
        <v>45952</v>
      </c>
      <c r="K1064" s="13">
        <v>2958465</v>
      </c>
      <c r="L1064" s="11" t="str">
        <f t="shared" si="33"/>
        <v>INSERT INTO metadata_reference.file_schema VALUES('DETM_DETIS_NSDS','NSDS_DOE',NULL,'DATE',NULL,NULL,NULL,NULL,'2025-10-22','9999-12-31',USER, CURRENT_TIMESTAMP(0));</v>
      </c>
    </row>
    <row r="1065" spans="1:12" ht="15" customHeight="1">
      <c r="A1065" s="11" t="str">
        <f>ETLMetadata!$C1065</f>
        <v>DETM_DETIS_NSDS</v>
      </c>
      <c r="B1065" s="11" t="str">
        <f>ETLMetadata!$E1065</f>
        <v>NSDS_DOE_ORIG</v>
      </c>
      <c r="C1065" s="11" t="str">
        <f>IF(ISBLANK(ETLMetadata!$J1065), "", ETLMetadata!$J1065)</f>
        <v/>
      </c>
      <c r="D1065" s="11" t="str">
        <f>ETLMetadata!$G1065</f>
        <v>INTEGER</v>
      </c>
      <c r="E1065" s="12"/>
      <c r="F1065" s="12"/>
      <c r="G1065" s="12" t="str">
        <f t="shared" si="32"/>
        <v/>
      </c>
      <c r="H1065" s="12"/>
      <c r="I1065" s="12"/>
      <c r="J1065" s="13">
        <v>45952</v>
      </c>
      <c r="K1065" s="13">
        <v>2958465</v>
      </c>
      <c r="L1065" s="11" t="str">
        <f t="shared" si="33"/>
        <v>INSERT INTO metadata_reference.file_schema VALUES('DETM_DETIS_NSDS','NSDS_DOE_ORIG',NULL,'INTEGER',NULL,NULL,NULL,NULL,'2025-10-22','9999-12-31',USER, CURRENT_TIMESTAMP(0));</v>
      </c>
    </row>
    <row r="1066" spans="1:12" ht="15" customHeight="1">
      <c r="A1066" s="11" t="str">
        <f>ETLMetadata!$C1066</f>
        <v>DETM_DETIS_NSDS</v>
      </c>
      <c r="B1066" s="11" t="str">
        <f>ETLMetadata!$E1066</f>
        <v>NSDS_BEN_TYPE_CODE</v>
      </c>
      <c r="C1066" s="11" t="str">
        <f>IF(ISBLANK(ETLMetadata!$J1066), "", ETLMetadata!$J1066)</f>
        <v/>
      </c>
      <c r="D1066" s="11" t="str">
        <f>ETLMetadata!$G1066</f>
        <v>CHAR(3)</v>
      </c>
      <c r="E1066" s="12"/>
      <c r="F1066" s="12"/>
      <c r="G1066" s="12" t="str">
        <f t="shared" si="32"/>
        <v/>
      </c>
      <c r="H1066" s="12"/>
      <c r="I1066" s="12"/>
      <c r="J1066" s="13">
        <v>45952</v>
      </c>
      <c r="K1066" s="13">
        <v>2958465</v>
      </c>
      <c r="L1066" s="11" t="str">
        <f t="shared" si="33"/>
        <v>INSERT INTO metadata_reference.file_schema VALUES('DETM_DETIS_NSDS','NSDS_BEN_TYPE_CODE',NULL,'CHAR(3)',NULL,NULL,NULL,NULL,'2025-10-22','9999-12-31',USER, CURRENT_TIMESTAMP(0));</v>
      </c>
    </row>
    <row r="1067" spans="1:12" ht="15" customHeight="1">
      <c r="A1067" s="11" t="str">
        <f>ETLMetadata!$C1067</f>
        <v>DETM_DETIS_NSDS</v>
      </c>
      <c r="B1067" s="11" t="str">
        <f>ETLMetadata!$E1067</f>
        <v>PROCESSING_SEQUENCE</v>
      </c>
      <c r="C1067" s="11" t="str">
        <f>IF(ISBLANK(ETLMetadata!$J1067), "", ETLMetadata!$J1067)</f>
        <v>Y</v>
      </c>
      <c r="D1067" s="11" t="str">
        <f>ETLMetadata!$G1067</f>
        <v>SMALLINT</v>
      </c>
      <c r="E1067" s="12"/>
      <c r="F1067" s="12"/>
      <c r="G1067" s="12" t="str">
        <f t="shared" si="32"/>
        <v/>
      </c>
      <c r="H1067" s="12"/>
      <c r="I1067" s="12"/>
      <c r="J1067" s="13">
        <v>45952</v>
      </c>
      <c r="K1067" s="13">
        <v>2958465</v>
      </c>
      <c r="L1067" s="11" t="str">
        <f t="shared" si="33"/>
        <v>INSERT INTO metadata_reference.file_schema VALUES('DETM_DETIS_NSDS','PROCESSING_SEQUENCE','Y','SMALLINT',NULL,NULL,NULL,NULL,'2025-10-22','9999-12-31',USER, CURRENT_TIMESTAMP(0));</v>
      </c>
    </row>
    <row r="1068" spans="1:12" ht="15" customHeight="1">
      <c r="A1068" s="11" t="str">
        <f>ETLMetadata!$C1068</f>
        <v>DETM_DETIS_NSDS</v>
      </c>
      <c r="B1068" s="11" t="str">
        <f>ETLMetadata!$E1068</f>
        <v>NSDS_AMR_1</v>
      </c>
      <c r="C1068" s="11" t="str">
        <f>IF(ISBLANK(ETLMetadata!$J1068), "", ETLMetadata!$J1068)</f>
        <v/>
      </c>
      <c r="D1068" s="11" t="str">
        <f>ETLMetadata!$G1068</f>
        <v>CHAR(4)</v>
      </c>
      <c r="E1068" s="12"/>
      <c r="F1068" s="12"/>
      <c r="G1068" s="12" t="str">
        <f t="shared" si="32"/>
        <v/>
      </c>
      <c r="H1068" s="12"/>
      <c r="I1068" s="12"/>
      <c r="J1068" s="13">
        <v>45952</v>
      </c>
      <c r="K1068" s="13">
        <v>2958465</v>
      </c>
      <c r="L1068" s="11" t="str">
        <f t="shared" si="33"/>
        <v>INSERT INTO metadata_reference.file_schema VALUES('DETM_DETIS_NSDS','NSDS_AMR_1',NULL,'CHAR(4)',NULL,NULL,NULL,NULL,'2025-10-22','9999-12-31',USER, CURRENT_TIMESTAMP(0));</v>
      </c>
    </row>
    <row r="1069" spans="1:12" ht="15" customHeight="1">
      <c r="A1069" s="11" t="str">
        <f>ETLMetadata!$C1069</f>
        <v>DETM_DETIS_NSDS</v>
      </c>
      <c r="B1069" s="11" t="str">
        <f>ETLMetadata!$E1069</f>
        <v>NSDS_AMR_2</v>
      </c>
      <c r="C1069" s="11" t="str">
        <f>IF(ISBLANK(ETLMetadata!$J1069), "", ETLMetadata!$J1069)</f>
        <v/>
      </c>
      <c r="D1069" s="11" t="str">
        <f>ETLMetadata!$G1069</f>
        <v>CHAR(1)</v>
      </c>
      <c r="E1069" s="12"/>
      <c r="F1069" s="12"/>
      <c r="G1069" s="12" t="str">
        <f t="shared" si="32"/>
        <v/>
      </c>
      <c r="H1069" s="12"/>
      <c r="I1069" s="12"/>
      <c r="J1069" s="13">
        <v>45952</v>
      </c>
      <c r="K1069" s="13">
        <v>2958465</v>
      </c>
      <c r="L1069" s="11" t="str">
        <f t="shared" si="33"/>
        <v>INSERT INTO metadata_reference.file_schema VALUES('DETM_DETIS_NSDS','NSDS_AMR_2',NULL,'CHAR(1)',NULL,NULL,NULL,NULL,'2025-10-22','9999-12-31',USER, CURRENT_TIMESTAMP(0));</v>
      </c>
    </row>
    <row r="1070" spans="1:12" ht="15" customHeight="1">
      <c r="A1070" s="11" t="str">
        <f>ETLMetadata!$C1070</f>
        <v>DETM_DETIS_NSDS</v>
      </c>
      <c r="B1070" s="11" t="str">
        <f>ETLMetadata!$E1070</f>
        <v>NSDS_AMR_3</v>
      </c>
      <c r="C1070" s="11" t="str">
        <f>IF(ISBLANK(ETLMetadata!$J1070), "", ETLMetadata!$J1070)</f>
        <v/>
      </c>
      <c r="D1070" s="11" t="str">
        <f>ETLMetadata!$G1070</f>
        <v>CHAR(4)</v>
      </c>
      <c r="E1070" s="12"/>
      <c r="F1070" s="12"/>
      <c r="G1070" s="12" t="str">
        <f t="shared" si="32"/>
        <v/>
      </c>
      <c r="H1070" s="12"/>
      <c r="I1070" s="12"/>
      <c r="J1070" s="13">
        <v>45952</v>
      </c>
      <c r="K1070" s="13">
        <v>2958465</v>
      </c>
      <c r="L1070" s="11" t="str">
        <f t="shared" si="33"/>
        <v>INSERT INTO metadata_reference.file_schema VALUES('DETM_DETIS_NSDS','NSDS_AMR_3',NULL,'CHAR(4)',NULL,NULL,NULL,NULL,'2025-10-22','9999-12-31',USER, CURRENT_TIMESTAMP(0));</v>
      </c>
    </row>
    <row r="1071" spans="1:12" ht="15" customHeight="1">
      <c r="A1071" s="11" t="str">
        <f>ETLMetadata!$C1071</f>
        <v>DETM_DETIS_NSDS</v>
      </c>
      <c r="B1071" s="11" t="str">
        <f>ETLMetadata!$E1071</f>
        <v>NSDS_STS_CODE</v>
      </c>
      <c r="C1071" s="11" t="str">
        <f>IF(ISBLANK(ETLMetadata!$J1071), "", ETLMetadata!$J1071)</f>
        <v/>
      </c>
      <c r="D1071" s="11" t="str">
        <f>ETLMetadata!$G1071</f>
        <v>CHAR(3)</v>
      </c>
      <c r="E1071" s="12"/>
      <c r="F1071" s="12"/>
      <c r="G1071" s="12" t="str">
        <f t="shared" si="32"/>
        <v/>
      </c>
      <c r="H1071" s="12"/>
      <c r="I1071" s="12"/>
      <c r="J1071" s="13">
        <v>45952</v>
      </c>
      <c r="K1071" s="13">
        <v>2958465</v>
      </c>
      <c r="L1071" s="11" t="str">
        <f t="shared" si="33"/>
        <v>INSERT INTO metadata_reference.file_schema VALUES('DETM_DETIS_NSDS','NSDS_STS_CODE',NULL,'CHAR(3)',NULL,NULL,NULL,NULL,'2025-10-22','9999-12-31',USER, CURRENT_TIMESTAMP(0));</v>
      </c>
    </row>
    <row r="1072" spans="1:12" ht="15" customHeight="1">
      <c r="A1072" s="11" t="str">
        <f>ETLMetadata!$C1072</f>
        <v>DETM_DETIS_NSDS</v>
      </c>
      <c r="B1072" s="11" t="str">
        <f>ETLMetadata!$E1072</f>
        <v>NSDS_RSN_CODE</v>
      </c>
      <c r="C1072" s="11" t="str">
        <f>IF(ISBLANK(ETLMetadata!$J1072), "", ETLMetadata!$J1072)</f>
        <v/>
      </c>
      <c r="D1072" s="11" t="str">
        <f>ETLMetadata!$G1072</f>
        <v>CHAR(3)</v>
      </c>
      <c r="E1072" s="12"/>
      <c r="F1072" s="12"/>
      <c r="G1072" s="12" t="str">
        <f t="shared" si="32"/>
        <v/>
      </c>
      <c r="H1072" s="12"/>
      <c r="I1072" s="12"/>
      <c r="J1072" s="13">
        <v>45952</v>
      </c>
      <c r="K1072" s="13">
        <v>2958465</v>
      </c>
      <c r="L1072" s="11" t="str">
        <f t="shared" si="33"/>
        <v>INSERT INTO metadata_reference.file_schema VALUES('DETM_DETIS_NSDS','NSDS_RSN_CODE',NULL,'CHAR(3)',NULL,NULL,NULL,NULL,'2025-10-22','9999-12-31',USER, CURRENT_TIMESTAMP(0));</v>
      </c>
    </row>
    <row r="1073" spans="1:12" ht="15" customHeight="1">
      <c r="A1073" s="11" t="str">
        <f>ETLMetadata!$C1073</f>
        <v>DETM_DETIS_NSDS</v>
      </c>
      <c r="B1073" s="11" t="str">
        <f>ETLMetadata!$E1073</f>
        <v>NSDS_UNIQ_ID</v>
      </c>
      <c r="C1073" s="11" t="str">
        <f>IF(ISBLANK(ETLMetadata!$J1073), "", ETLMetadata!$J1073)</f>
        <v/>
      </c>
      <c r="D1073" s="11" t="str">
        <f>ETLMetadata!$G1073</f>
        <v>VARCHAR(8)</v>
      </c>
      <c r="E1073" s="12"/>
      <c r="F1073" s="12"/>
      <c r="G1073" s="12" t="str">
        <f t="shared" si="32"/>
        <v/>
      </c>
      <c r="H1073" s="12"/>
      <c r="I1073" s="12"/>
      <c r="J1073" s="13">
        <v>45952</v>
      </c>
      <c r="K1073" s="13">
        <v>2958465</v>
      </c>
      <c r="L1073" s="11" t="str">
        <f t="shared" si="33"/>
        <v>INSERT INTO metadata_reference.file_schema VALUES('DETM_DETIS_NSDS','NSDS_UNIQ_ID',NULL,'VARCHAR(8)',NULL,NULL,NULL,NULL,'2025-10-22','9999-12-31',USER, CURRENT_TIMESTAMP(0));</v>
      </c>
    </row>
    <row r="1074" spans="1:12" ht="15" customHeight="1">
      <c r="A1074" s="11" t="str">
        <f>ETLMetadata!$C1074</f>
        <v>DETM_DETIS_NSDS</v>
      </c>
      <c r="B1074" s="11" t="str">
        <f>ETLMetadata!$E1074</f>
        <v>AMR1_RISL_DTS</v>
      </c>
      <c r="C1074" s="11" t="str">
        <f>IF(ISBLANK(ETLMetadata!$J1074), "", ETLMetadata!$J1074)</f>
        <v/>
      </c>
      <c r="D1074" s="11" t="str">
        <f>ETLMetadata!$G1074</f>
        <v>TIMESTAMP(6)</v>
      </c>
      <c r="E1074" s="12"/>
      <c r="F1074" s="12"/>
      <c r="G1074" s="12" t="str">
        <f t="shared" si="32"/>
        <v/>
      </c>
      <c r="H1074" s="12"/>
      <c r="I1074" s="12"/>
      <c r="J1074" s="13">
        <v>45952</v>
      </c>
      <c r="K1074" s="13">
        <v>2958465</v>
      </c>
      <c r="L1074" s="11" t="str">
        <f t="shared" si="33"/>
        <v>INSERT INTO metadata_reference.file_schema VALUES('DETM_DETIS_NSDS','AMR1_RISL_DTS',NULL,'TIMESTAMP(6)',NULL,NULL,NULL,NULL,'2025-10-22','9999-12-31',USER, CURRENT_TIMESTAMP(0));</v>
      </c>
    </row>
    <row r="1075" spans="1:12" ht="15" customHeight="1">
      <c r="A1075" s="11" t="str">
        <f>ETLMetadata!$C1075</f>
        <v>DETM_DETIS_NSDS</v>
      </c>
      <c r="B1075" s="11" t="str">
        <f>ETLMetadata!$E1075</f>
        <v>AMR3_RISL_DTS</v>
      </c>
      <c r="C1075" s="11" t="str">
        <f>IF(ISBLANK(ETLMetadata!$J1075), "", ETLMetadata!$J1075)</f>
        <v/>
      </c>
      <c r="D1075" s="11" t="str">
        <f>ETLMetadata!$G1075</f>
        <v>TIMESTAMP(6)</v>
      </c>
      <c r="E1075" s="12"/>
      <c r="F1075" s="12"/>
      <c r="G1075" s="12" t="str">
        <f t="shared" si="32"/>
        <v/>
      </c>
      <c r="H1075" s="12"/>
      <c r="I1075" s="12"/>
      <c r="J1075" s="13">
        <v>45952</v>
      </c>
      <c r="K1075" s="13">
        <v>2958465</v>
      </c>
      <c r="L1075" s="11" t="str">
        <f t="shared" si="33"/>
        <v>INSERT INTO metadata_reference.file_schema VALUES('DETM_DETIS_NSDS','AMR3_RISL_DTS',NULL,'TIMESTAMP(6)',NULL,NULL,NULL,NULL,'2025-10-22','9999-12-31',USER, CURRENT_TIMESTAMP(0));</v>
      </c>
    </row>
    <row r="1076" spans="1:12" ht="15" customHeight="1">
      <c r="A1076" s="11" t="str">
        <f>ETLMetadata!$C1076</f>
        <v>DETM_DETIS_NSDS</v>
      </c>
      <c r="B1076" s="11" t="str">
        <f>ETLMetadata!$E1076</f>
        <v>EPISODE_ID</v>
      </c>
      <c r="C1076" s="11" t="str">
        <f>IF(ISBLANK(ETLMetadata!$J1076), "", ETLMetadata!$J1076)</f>
        <v/>
      </c>
      <c r="D1076" s="11" t="str">
        <f>ETLMetadata!$G1076</f>
        <v>INTEGER</v>
      </c>
      <c r="E1076" s="12"/>
      <c r="F1076" s="12"/>
      <c r="G1076" s="12" t="str">
        <f t="shared" si="32"/>
        <v/>
      </c>
      <c r="H1076" s="12"/>
      <c r="I1076" s="12"/>
      <c r="J1076" s="13">
        <v>45952</v>
      </c>
      <c r="K1076" s="13">
        <v>2958465</v>
      </c>
      <c r="L1076" s="11" t="str">
        <f t="shared" si="33"/>
        <v>INSERT INTO metadata_reference.file_schema VALUES('DETM_DETIS_NSDS','EPISODE_ID',NULL,'INTEGER',NULL,NULL,NULL,NULL,'2025-10-22','9999-12-31',USER, CURRENT_TIMESTAMP(0));</v>
      </c>
    </row>
    <row r="1077" spans="1:12" ht="15" customHeight="1">
      <c r="A1077" s="11" t="str">
        <f>ETLMetadata!$C1077</f>
        <v>DETM_DETIS_NSDS</v>
      </c>
      <c r="B1077" s="11" t="str">
        <f>ETLMetadata!$E1077</f>
        <v>PARTY_ROLE_ID</v>
      </c>
      <c r="C1077" s="11" t="str">
        <f>IF(ISBLANK(ETLMetadata!$J1077), "", ETLMetadata!$J1077)</f>
        <v/>
      </c>
      <c r="D1077" s="11" t="str">
        <f>ETLMetadata!$G1077</f>
        <v>INTEGER</v>
      </c>
      <c r="E1077" s="12"/>
      <c r="F1077" s="12"/>
      <c r="G1077" s="12" t="str">
        <f t="shared" si="32"/>
        <v/>
      </c>
      <c r="H1077" s="12"/>
      <c r="I1077" s="12"/>
      <c r="J1077" s="13">
        <v>45952</v>
      </c>
      <c r="K1077" s="13">
        <v>2958465</v>
      </c>
      <c r="L1077" s="11" t="str">
        <f t="shared" si="33"/>
        <v>INSERT INTO metadata_reference.file_schema VALUES('DETM_DETIS_NSDS','PARTY_ROLE_ID',NULL,'INTEGER',NULL,NULL,NULL,NULL,'2025-10-22','9999-12-31',USER, CURRENT_TIMESTAMP(0));</v>
      </c>
    </row>
    <row r="1078" spans="1:12" ht="15" customHeight="1">
      <c r="A1078" s="11" t="str">
        <f>ETLMetadata!$C1078</f>
        <v>DETM_DETIS_NSDS</v>
      </c>
      <c r="B1078" s="11" t="str">
        <f>ETLMetadata!$E1078</f>
        <v>PAYMENT_TYPE_ID</v>
      </c>
      <c r="C1078" s="11" t="str">
        <f>IF(ISBLANK(ETLMetadata!$J1078), "", ETLMetadata!$J1078)</f>
        <v/>
      </c>
      <c r="D1078" s="11" t="str">
        <f>ETLMetadata!$G1078</f>
        <v>INTEGER</v>
      </c>
      <c r="E1078" s="12"/>
      <c r="F1078" s="12"/>
      <c r="G1078" s="12" t="str">
        <f t="shared" si="32"/>
        <v/>
      </c>
      <c r="H1078" s="12"/>
      <c r="I1078" s="12"/>
      <c r="J1078" s="13">
        <v>45952</v>
      </c>
      <c r="K1078" s="13">
        <v>2958465</v>
      </c>
      <c r="L1078" s="11" t="str">
        <f t="shared" si="33"/>
        <v>INSERT INTO metadata_reference.file_schema VALUES('DETM_DETIS_NSDS','PAYMENT_TYPE_ID',NULL,'INTEGER',NULL,NULL,NULL,NULL,'2025-10-22','9999-12-31',USER, CURRENT_TIMESTAMP(0));</v>
      </c>
    </row>
    <row r="1079" spans="1:12" ht="15" customHeight="1">
      <c r="A1079" s="11" t="str">
        <f>ETLMetadata!$C1079</f>
        <v>DETM_DETIS_NSDS</v>
      </c>
      <c r="B1079" s="11" t="str">
        <f>ETLMetadata!$E1079</f>
        <v>ERROR_COUNT</v>
      </c>
      <c r="C1079" s="11" t="str">
        <f>IF(ISBLANK(ETLMetadata!$J1079), "", ETLMetadata!$J1079)</f>
        <v/>
      </c>
      <c r="D1079" s="11" t="str">
        <f>ETLMetadata!$G1079</f>
        <v>SMALLINT</v>
      </c>
      <c r="E1079" s="12"/>
      <c r="F1079" s="12"/>
      <c r="G1079" s="12" t="str">
        <f t="shared" si="32"/>
        <v/>
      </c>
      <c r="H1079" s="12"/>
      <c r="I1079" s="12"/>
      <c r="J1079" s="13">
        <v>45952</v>
      </c>
      <c r="K1079" s="13">
        <v>2958465</v>
      </c>
      <c r="L1079" s="11" t="str">
        <f t="shared" si="33"/>
        <v>INSERT INTO metadata_reference.file_schema VALUES('DETM_DETIS_NSDS','ERROR_COUNT',NULL,'SMALLINT',NULL,NULL,NULL,NULL,'2025-10-22','9999-12-31',USER, CURRENT_TIMESTAMP(0));</v>
      </c>
    </row>
    <row r="1080" spans="1:12" ht="15" customHeight="1">
      <c r="A1080" s="11" t="str">
        <f>ETLMetadata!$C1080</f>
        <v>DETM_DETIS_NSDS</v>
      </c>
      <c r="B1080" s="11" t="str">
        <f>ETLMetadata!$E1080</f>
        <v>Start_Date</v>
      </c>
      <c r="C1080" s="11" t="str">
        <f>IF(ISBLANK(ETLMetadata!$J1080), "", ETLMetadata!$J1080)</f>
        <v/>
      </c>
      <c r="D1080" s="11" t="str">
        <f>ETLMetadata!$G1080</f>
        <v>DATE</v>
      </c>
      <c r="E1080" s="12"/>
      <c r="F1080" s="12"/>
      <c r="G1080" s="12" t="str">
        <f t="shared" si="32"/>
        <v/>
      </c>
      <c r="H1080" s="12"/>
      <c r="I1080" s="12"/>
      <c r="J1080" s="13">
        <v>45952</v>
      </c>
      <c r="K1080" s="13">
        <v>2958465</v>
      </c>
      <c r="L1080" s="11" t="str">
        <f t="shared" si="33"/>
        <v>INSERT INTO metadata_reference.file_schema VALUES('DETM_DETIS_NSDS','Start_Date',NULL,'DATE',NULL,NULL,NULL,NULL,'2025-10-22','9999-12-31',USER, CURRENT_TIMESTAMP(0));</v>
      </c>
    </row>
    <row r="1081" spans="1:12" ht="15" customHeight="1">
      <c r="A1081" s="11" t="str">
        <f>ETLMetadata!$C1081</f>
        <v>DETM_DETIS_NSDS</v>
      </c>
      <c r="B1081" s="11" t="str">
        <f>ETLMetadata!$E1081</f>
        <v>End_Date</v>
      </c>
      <c r="C1081" s="11" t="str">
        <f>IF(ISBLANK(ETLMetadata!$J1081), "", ETLMetadata!$J1081)</f>
        <v/>
      </c>
      <c r="D1081" s="11" t="str">
        <f>ETLMetadata!$G1081</f>
        <v>DATE</v>
      </c>
      <c r="E1081" s="12"/>
      <c r="F1081" s="12"/>
      <c r="G1081" s="12" t="str">
        <f t="shared" si="32"/>
        <v/>
      </c>
      <c r="H1081" s="12"/>
      <c r="I1081" s="12"/>
      <c r="J1081" s="13">
        <v>45952</v>
      </c>
      <c r="K1081" s="13">
        <v>2958465</v>
      </c>
      <c r="L1081" s="11" t="str">
        <f t="shared" si="33"/>
        <v>INSERT INTO metadata_reference.file_schema VALUES('DETM_DETIS_NSDS','End_Date',NULL,'DATE',NULL,NULL,NULL,NULL,'2025-10-22','9999-12-31',USER, CURRENT_TIMESTAMP(0));</v>
      </c>
    </row>
    <row r="1082" spans="1:12" ht="15" customHeight="1">
      <c r="A1082" s="11" t="str">
        <f>ETLMetadata!$C1082</f>
        <v>DETM_DETIS_NSDS</v>
      </c>
      <c r="B1082" s="11" t="str">
        <f>ETLMetadata!$E1082</f>
        <v>Record_Deleted_Flag</v>
      </c>
      <c r="C1082" s="11" t="str">
        <f>IF(ISBLANK(ETLMetadata!$J1082), "", ETLMetadata!$J1082)</f>
        <v/>
      </c>
      <c r="D1082" s="11" t="str">
        <f>ETLMetadata!$G1082</f>
        <v>BYTEINT</v>
      </c>
      <c r="E1082" s="12"/>
      <c r="F1082" s="12"/>
      <c r="G1082" s="12" t="str">
        <f t="shared" si="32"/>
        <v/>
      </c>
      <c r="H1082" s="12"/>
      <c r="I1082" s="12"/>
      <c r="J1082" s="13">
        <v>45952</v>
      </c>
      <c r="K1082" s="13">
        <v>2958465</v>
      </c>
      <c r="L1082" s="11" t="str">
        <f t="shared" si="33"/>
        <v>INSERT INTO metadata_reference.file_schema VALUES('DETM_DETIS_NSDS','Record_Deleted_Flag',NULL,'BYTEINT',NULL,NULL,NULL,NULL,'2025-10-22','9999-12-31',USER, CURRENT_TIMESTAMP(0));</v>
      </c>
    </row>
    <row r="1083" spans="1:12" ht="15" customHeight="1">
      <c r="A1083" s="11" t="str">
        <f>ETLMetadata!$C1083</f>
        <v>DETM_DETIS_P1DS</v>
      </c>
      <c r="B1083" s="11" t="str">
        <f>ETLMetadata!$E1083</f>
        <v>EXTRACT_DATE</v>
      </c>
      <c r="C1083" s="11" t="str">
        <f>IF(ISBLANK(ETLMetadata!$J1083), "", ETLMetadata!$J1083)</f>
        <v/>
      </c>
      <c r="D1083" s="11" t="str">
        <f>ETLMetadata!$G1083</f>
        <v>DATE</v>
      </c>
      <c r="E1083" s="12"/>
      <c r="F1083" s="12"/>
      <c r="G1083" s="12" t="str">
        <f t="shared" si="32"/>
        <v/>
      </c>
      <c r="H1083" s="12"/>
      <c r="I1083" s="12"/>
      <c r="J1083" s="13">
        <v>45952</v>
      </c>
      <c r="K1083" s="13">
        <v>2958465</v>
      </c>
      <c r="L1083" s="11" t="str">
        <f t="shared" si="33"/>
        <v>INSERT INTO metadata_reference.file_schema VALUES('DETM_DETIS_P1DS','EXTRACT_DATE',NULL,'DATE',NULL,NULL,NULL,NULL,'2025-10-22','9999-12-31',USER, CURRENT_TIMESTAMP(0));</v>
      </c>
    </row>
    <row r="1084" spans="1:12" ht="15" customHeight="1">
      <c r="A1084" s="11" t="str">
        <f>ETLMetadata!$C1084</f>
        <v>DETM_DETIS_P1DS</v>
      </c>
      <c r="B1084" s="11" t="str">
        <f>ETLMetadata!$E1084</f>
        <v>LOGICAL_DELETE_DATE</v>
      </c>
      <c r="C1084" s="11" t="str">
        <f>IF(ISBLANK(ETLMetadata!$J1084), "", ETLMetadata!$J1084)</f>
        <v/>
      </c>
      <c r="D1084" s="11" t="str">
        <f>ETLMetadata!$G1084</f>
        <v>DATE</v>
      </c>
      <c r="E1084" s="12"/>
      <c r="F1084" s="12"/>
      <c r="G1084" s="12" t="str">
        <f t="shared" si="32"/>
        <v/>
      </c>
      <c r="H1084" s="12"/>
      <c r="I1084" s="12"/>
      <c r="J1084" s="13">
        <v>45952</v>
      </c>
      <c r="K1084" s="13">
        <v>2958465</v>
      </c>
      <c r="L1084" s="11" t="str">
        <f t="shared" si="33"/>
        <v>INSERT INTO metadata_reference.file_schema VALUES('DETM_DETIS_P1DS','LOGICAL_DELETE_DATE',NULL,'DATE',NULL,NULL,NULL,NULL,'2025-10-22','9999-12-31',USER, CURRENT_TIMESTAMP(0));</v>
      </c>
    </row>
    <row r="1085" spans="1:12" ht="15" customHeight="1">
      <c r="A1085" s="11" t="str">
        <f>ETLMetadata!$C1085</f>
        <v>DETM_DETIS_P1DS</v>
      </c>
      <c r="B1085" s="11" t="str">
        <f>ETLMetadata!$E1085</f>
        <v>ENVIRONMENT_ID</v>
      </c>
      <c r="C1085" s="11" t="str">
        <f>IF(ISBLANK(ETLMetadata!$J1085), "", ETLMetadata!$J1085)</f>
        <v>Y</v>
      </c>
      <c r="D1085" s="11" t="str">
        <f>ETLMetadata!$G1085</f>
        <v>CHAR(1)</v>
      </c>
      <c r="E1085" s="12"/>
      <c r="F1085" s="12"/>
      <c r="G1085" s="12" t="str">
        <f t="shared" si="32"/>
        <v/>
      </c>
      <c r="H1085" s="12"/>
      <c r="I1085" s="12"/>
      <c r="J1085" s="13">
        <v>45952</v>
      </c>
      <c r="K1085" s="13">
        <v>2958465</v>
      </c>
      <c r="L1085" s="11" t="str">
        <f t="shared" si="33"/>
        <v>INSERT INTO metadata_reference.file_schema VALUES('DETM_DETIS_P1DS','ENVIRONMENT_ID','Y','CHAR(1)',NULL,NULL,NULL,NULL,'2025-10-22','9999-12-31',USER, CURRENT_TIMESTAMP(0));</v>
      </c>
    </row>
    <row r="1086" spans="1:12" ht="15" customHeight="1">
      <c r="A1086" s="11" t="str">
        <f>ETLMetadata!$C1086</f>
        <v>DETM_DETIS_P1DS</v>
      </c>
      <c r="B1086" s="11" t="str">
        <f>ETLMetadata!$E1086</f>
        <v>PERSON_ID</v>
      </c>
      <c r="C1086" s="11" t="str">
        <f>IF(ISBLANK(ETLMetadata!$J1086), "", ETLMetadata!$J1086)</f>
        <v>Y</v>
      </c>
      <c r="D1086" s="11" t="str">
        <f>ETLMetadata!$G1086</f>
        <v>INTEGER</v>
      </c>
      <c r="E1086" s="12"/>
      <c r="F1086" s="12" t="s">
        <v>799</v>
      </c>
      <c r="G1086" s="12" t="str">
        <f t="shared" si="32"/>
        <v>PERSONAL_IDENTITYINFOINDIRECT</v>
      </c>
      <c r="H1086" s="12"/>
      <c r="I1086" s="12"/>
      <c r="J1086" s="13">
        <v>45952</v>
      </c>
      <c r="K1086" s="13">
        <v>2958465</v>
      </c>
      <c r="L1086" s="11" t="str">
        <f t="shared" si="33"/>
        <v>INSERT INTO metadata_reference.file_schema VALUES('DETM_DETIS_P1DS','PERSON_ID','Y','INTEGER',NULL,'PERSONAL_IDENTITYINFOINDIRECT',NULL,NULL,'2025-10-22','9999-12-31',USER, CURRENT_TIMESTAMP(0));</v>
      </c>
    </row>
    <row r="1087" spans="1:12" ht="15" customHeight="1">
      <c r="A1087" s="11" t="str">
        <f>ETLMetadata!$C1087</f>
        <v>DETM_DETIS_P1DS</v>
      </c>
      <c r="B1087" s="11" t="str">
        <f>ETLMetadata!$E1087</f>
        <v>P1DS_DOE</v>
      </c>
      <c r="C1087" s="11" t="str">
        <f>IF(ISBLANK(ETLMetadata!$J1087), "", ETLMetadata!$J1087)</f>
        <v/>
      </c>
      <c r="D1087" s="11" t="str">
        <f>ETLMetadata!$G1087</f>
        <v>DATE</v>
      </c>
      <c r="E1087" s="12"/>
      <c r="F1087" s="12"/>
      <c r="G1087" s="12" t="str">
        <f t="shared" si="32"/>
        <v/>
      </c>
      <c r="H1087" s="12"/>
      <c r="I1087" s="12"/>
      <c r="J1087" s="13">
        <v>45952</v>
      </c>
      <c r="K1087" s="13">
        <v>2958465</v>
      </c>
      <c r="L1087" s="11" t="str">
        <f t="shared" si="33"/>
        <v>INSERT INTO metadata_reference.file_schema VALUES('DETM_DETIS_P1DS','P1DS_DOE',NULL,'DATE',NULL,NULL,NULL,NULL,'2025-10-22','9999-12-31',USER, CURRENT_TIMESTAMP(0));</v>
      </c>
    </row>
    <row r="1088" spans="1:12" ht="15" customHeight="1">
      <c r="A1088" s="11" t="str">
        <f>ETLMetadata!$C1088</f>
        <v>DETM_DETIS_P1DS</v>
      </c>
      <c r="B1088" s="11" t="str">
        <f>ETLMetadata!$E1088</f>
        <v>P1DS_DOE_ORIG</v>
      </c>
      <c r="C1088" s="11" t="str">
        <f>IF(ISBLANK(ETLMetadata!$J1088), "", ETLMetadata!$J1088)</f>
        <v/>
      </c>
      <c r="D1088" s="11" t="str">
        <f>ETLMetadata!$G1088</f>
        <v>INTEGER</v>
      </c>
      <c r="E1088" s="12"/>
      <c r="F1088" s="12"/>
      <c r="G1088" s="12" t="str">
        <f t="shared" si="32"/>
        <v/>
      </c>
      <c r="H1088" s="12"/>
      <c r="I1088" s="12"/>
      <c r="J1088" s="13">
        <v>45952</v>
      </c>
      <c r="K1088" s="13">
        <v>2958465</v>
      </c>
      <c r="L1088" s="11" t="str">
        <f t="shared" si="33"/>
        <v>INSERT INTO metadata_reference.file_schema VALUES('DETM_DETIS_P1DS','P1DS_DOE_ORIG',NULL,'INTEGER',NULL,NULL,NULL,NULL,'2025-10-22','9999-12-31',USER, CURRENT_TIMESTAMP(0));</v>
      </c>
    </row>
    <row r="1089" spans="1:12" ht="15" customHeight="1">
      <c r="A1089" s="11" t="str">
        <f>ETLMetadata!$C1089</f>
        <v>DETM_DETIS_P1DS</v>
      </c>
      <c r="B1089" s="11" t="str">
        <f>ETLMetadata!$E1089</f>
        <v>PROCESSING_SEQUENCE</v>
      </c>
      <c r="C1089" s="11" t="str">
        <f>IF(ISBLANK(ETLMetadata!$J1089), "", ETLMetadata!$J1089)</f>
        <v>Y</v>
      </c>
      <c r="D1089" s="11" t="str">
        <f>ETLMetadata!$G1089</f>
        <v>SMALLINT</v>
      </c>
      <c r="E1089" s="12"/>
      <c r="F1089" s="12"/>
      <c r="G1089" s="12" t="str">
        <f t="shared" si="32"/>
        <v/>
      </c>
      <c r="H1089" s="12"/>
      <c r="I1089" s="12"/>
      <c r="J1089" s="13">
        <v>45952</v>
      </c>
      <c r="K1089" s="13">
        <v>2958465</v>
      </c>
      <c r="L1089" s="11" t="str">
        <f t="shared" si="33"/>
        <v>INSERT INTO metadata_reference.file_schema VALUES('DETM_DETIS_P1DS','PROCESSING_SEQUENCE','Y','SMALLINT',NULL,NULL,NULL,NULL,'2025-10-22','9999-12-31',USER, CURRENT_TIMESTAMP(0));</v>
      </c>
    </row>
    <row r="1090" spans="1:12" ht="15" customHeight="1">
      <c r="A1090" s="11" t="str">
        <f>ETLMetadata!$C1090</f>
        <v>DETM_DETIS_P1DS</v>
      </c>
      <c r="B1090" s="11" t="str">
        <f>ETLMetadata!$E1090</f>
        <v>P1DS_AMR_1</v>
      </c>
      <c r="C1090" s="11" t="str">
        <f>IF(ISBLANK(ETLMetadata!$J1090), "", ETLMetadata!$J1090)</f>
        <v/>
      </c>
      <c r="D1090" s="11" t="str">
        <f>ETLMetadata!$G1090</f>
        <v>CHAR(4)</v>
      </c>
      <c r="E1090" s="12"/>
      <c r="F1090" s="12"/>
      <c r="G1090" s="12" t="str">
        <f t="shared" si="32"/>
        <v/>
      </c>
      <c r="H1090" s="12"/>
      <c r="I1090" s="12"/>
      <c r="J1090" s="13">
        <v>45952</v>
      </c>
      <c r="K1090" s="13">
        <v>2958465</v>
      </c>
      <c r="L1090" s="11" t="str">
        <f t="shared" si="33"/>
        <v>INSERT INTO metadata_reference.file_schema VALUES('DETM_DETIS_P1DS','P1DS_AMR_1',NULL,'CHAR(4)',NULL,NULL,NULL,NULL,'2025-10-22','9999-12-31',USER, CURRENT_TIMESTAMP(0));</v>
      </c>
    </row>
    <row r="1091" spans="1:12" ht="15" customHeight="1">
      <c r="A1091" s="11" t="str">
        <f>ETLMetadata!$C1091</f>
        <v>DETM_DETIS_P1DS</v>
      </c>
      <c r="B1091" s="11" t="str">
        <f>ETLMetadata!$E1091</f>
        <v>P1DS_AMR_2</v>
      </c>
      <c r="C1091" s="11" t="str">
        <f>IF(ISBLANK(ETLMetadata!$J1091), "", ETLMetadata!$J1091)</f>
        <v/>
      </c>
      <c r="D1091" s="11" t="str">
        <f>ETLMetadata!$G1091</f>
        <v>CHAR(1)</v>
      </c>
      <c r="E1091" s="12"/>
      <c r="F1091" s="12"/>
      <c r="G1091" s="12" t="str">
        <f t="shared" ref="G1091:G1154" si="34">UPPER($F1091)</f>
        <v/>
      </c>
      <c r="H1091" s="12"/>
      <c r="I1091" s="12"/>
      <c r="J1091" s="13">
        <v>45952</v>
      </c>
      <c r="K1091" s="13">
        <v>2958465</v>
      </c>
      <c r="L1091" s="11" t="str">
        <f t="shared" ref="L1091:L1154" si="35">CONCATENATE("INSERT INTO metadata_reference.file_schema VALUES('",TRIM(A1091),"','",TRIM(B1091),"',",IF(TRIM(C1091)="","NULL","'"&amp;TRIM(C1091)&amp;"'"),",'",TRIM(D1091),"',",IF(TRIM(E1091)="","NULL","'"&amp;TRIM(E1091)&amp;"'"),",",IF(TRIM(G1091)="","NULL","'"&amp;TRIM(G1091)&amp;"'"),",",IF(TRIM(H1091)="","NULL","'"&amp;TRIM(H1091)&amp;"'"),",",
IF(TRIM(I1091)="","NULL",TRIM(I1091)),",",IF(TRIM(J1091)="","NULL","'"&amp;TEXT(J1091,"yyyy-mm-dd")&amp;"'"),",",IF(TRIM(K1091)="","NULL","'"&amp;TEXT(K1091,"yyyy-mm-dd")&amp;"'"),",","USER, CURRENT_TIMESTAMP(0));")</f>
        <v>INSERT INTO metadata_reference.file_schema VALUES('DETM_DETIS_P1DS','P1DS_AMR_2',NULL,'CHAR(1)',NULL,NULL,NULL,NULL,'2025-10-22','9999-12-31',USER, CURRENT_TIMESTAMP(0));</v>
      </c>
    </row>
    <row r="1092" spans="1:12" ht="15" customHeight="1">
      <c r="A1092" s="11" t="str">
        <f>ETLMetadata!$C1092</f>
        <v>DETM_DETIS_P1DS</v>
      </c>
      <c r="B1092" s="11" t="str">
        <f>ETLMetadata!$E1092</f>
        <v>P1DS_AMR_3</v>
      </c>
      <c r="C1092" s="11" t="str">
        <f>IF(ISBLANK(ETLMetadata!$J1092), "", ETLMetadata!$J1092)</f>
        <v/>
      </c>
      <c r="D1092" s="11" t="str">
        <f>ETLMetadata!$G1092</f>
        <v>CHAR(4)</v>
      </c>
      <c r="E1092" s="12"/>
      <c r="F1092" s="12"/>
      <c r="G1092" s="12" t="str">
        <f t="shared" si="34"/>
        <v/>
      </c>
      <c r="H1092" s="12"/>
      <c r="I1092" s="12"/>
      <c r="J1092" s="13">
        <v>45952</v>
      </c>
      <c r="K1092" s="13">
        <v>2958465</v>
      </c>
      <c r="L1092" s="11" t="str">
        <f t="shared" si="35"/>
        <v>INSERT INTO metadata_reference.file_schema VALUES('DETM_DETIS_P1DS','P1DS_AMR_3',NULL,'CHAR(4)',NULL,NULL,NULL,NULL,'2025-10-22','9999-12-31',USER, CURRENT_TIMESTAMP(0));</v>
      </c>
    </row>
    <row r="1093" spans="1:12" ht="15" customHeight="1">
      <c r="A1093" s="11" t="str">
        <f>ETLMetadata!$C1093</f>
        <v>DETM_DETIS_P1DS</v>
      </c>
      <c r="B1093" s="11" t="str">
        <f>ETLMetadata!$E1093</f>
        <v>P1DS_BEN_TYPE_CODE</v>
      </c>
      <c r="C1093" s="11" t="str">
        <f>IF(ISBLANK(ETLMetadata!$J1093), "", ETLMetadata!$J1093)</f>
        <v/>
      </c>
      <c r="D1093" s="11" t="str">
        <f>ETLMetadata!$G1093</f>
        <v>CHAR(3)</v>
      </c>
      <c r="E1093" s="12"/>
      <c r="F1093" s="12"/>
      <c r="G1093" s="12" t="str">
        <f t="shared" si="34"/>
        <v/>
      </c>
      <c r="H1093" s="12"/>
      <c r="I1093" s="12"/>
      <c r="J1093" s="13">
        <v>45952</v>
      </c>
      <c r="K1093" s="13">
        <v>2958465</v>
      </c>
      <c r="L1093" s="11" t="str">
        <f t="shared" si="35"/>
        <v>INSERT INTO metadata_reference.file_schema VALUES('DETM_DETIS_P1DS','P1DS_BEN_TYPE_CODE',NULL,'CHAR(3)',NULL,NULL,NULL,NULL,'2025-10-22','9999-12-31',USER, CURRENT_TIMESTAMP(0));</v>
      </c>
    </row>
    <row r="1094" spans="1:12" ht="15" customHeight="1">
      <c r="A1094" s="11" t="str">
        <f>ETLMetadata!$C1094</f>
        <v>DETM_DETIS_P1DS</v>
      </c>
      <c r="B1094" s="11" t="str">
        <f>ETLMetadata!$E1094</f>
        <v>P1DS_STS_CODE</v>
      </c>
      <c r="C1094" s="11" t="str">
        <f>IF(ISBLANK(ETLMetadata!$J1094), "", ETLMetadata!$J1094)</f>
        <v/>
      </c>
      <c r="D1094" s="11" t="str">
        <f>ETLMetadata!$G1094</f>
        <v>CHAR(3)</v>
      </c>
      <c r="E1094" s="12"/>
      <c r="F1094" s="12"/>
      <c r="G1094" s="12" t="str">
        <f t="shared" si="34"/>
        <v/>
      </c>
      <c r="H1094" s="12"/>
      <c r="I1094" s="12"/>
      <c r="J1094" s="13">
        <v>45952</v>
      </c>
      <c r="K1094" s="13">
        <v>2958465</v>
      </c>
      <c r="L1094" s="11" t="str">
        <f t="shared" si="35"/>
        <v>INSERT INTO metadata_reference.file_schema VALUES('DETM_DETIS_P1DS','P1DS_STS_CODE',NULL,'CHAR(3)',NULL,NULL,NULL,NULL,'2025-10-22','9999-12-31',USER, CURRENT_TIMESTAMP(0));</v>
      </c>
    </row>
    <row r="1095" spans="1:12" ht="15" customHeight="1">
      <c r="A1095" s="11" t="str">
        <f>ETLMetadata!$C1095</f>
        <v>DETM_DETIS_P1DS</v>
      </c>
      <c r="B1095" s="11" t="str">
        <f>ETLMetadata!$E1095</f>
        <v>P1DS_RSN_CODE</v>
      </c>
      <c r="C1095" s="11" t="str">
        <f>IF(ISBLANK(ETLMetadata!$J1095), "", ETLMetadata!$J1095)</f>
        <v/>
      </c>
      <c r="D1095" s="11" t="str">
        <f>ETLMetadata!$G1095</f>
        <v>CHAR(3)</v>
      </c>
      <c r="E1095" s="12"/>
      <c r="F1095" s="12"/>
      <c r="G1095" s="12" t="str">
        <f t="shared" si="34"/>
        <v/>
      </c>
      <c r="H1095" s="12"/>
      <c r="I1095" s="12"/>
      <c r="J1095" s="13">
        <v>45952</v>
      </c>
      <c r="K1095" s="13">
        <v>2958465</v>
      </c>
      <c r="L1095" s="11" t="str">
        <f t="shared" si="35"/>
        <v>INSERT INTO metadata_reference.file_schema VALUES('DETM_DETIS_P1DS','P1DS_RSN_CODE',NULL,'CHAR(3)',NULL,NULL,NULL,NULL,'2025-10-22','9999-12-31',USER, CURRENT_TIMESTAMP(0));</v>
      </c>
    </row>
    <row r="1096" spans="1:12" ht="15" customHeight="1">
      <c r="A1096" s="11" t="str">
        <f>ETLMetadata!$C1096</f>
        <v>DETM_DETIS_P1DS</v>
      </c>
      <c r="B1096" s="11" t="str">
        <f>ETLMetadata!$E1096</f>
        <v>P1DS_UNIQ_ID</v>
      </c>
      <c r="C1096" s="11" t="str">
        <f>IF(ISBLANK(ETLMetadata!$J1096), "", ETLMetadata!$J1096)</f>
        <v/>
      </c>
      <c r="D1096" s="11" t="str">
        <f>ETLMetadata!$G1096</f>
        <v>VARCHAR(8)</v>
      </c>
      <c r="E1096" s="12"/>
      <c r="F1096" s="12"/>
      <c r="G1096" s="12" t="str">
        <f t="shared" si="34"/>
        <v/>
      </c>
      <c r="H1096" s="12"/>
      <c r="I1096" s="12"/>
      <c r="J1096" s="13">
        <v>45952</v>
      </c>
      <c r="K1096" s="13">
        <v>2958465</v>
      </c>
      <c r="L1096" s="11" t="str">
        <f t="shared" si="35"/>
        <v>INSERT INTO metadata_reference.file_schema VALUES('DETM_DETIS_P1DS','P1DS_UNIQ_ID',NULL,'VARCHAR(8)',NULL,NULL,NULL,NULL,'2025-10-22','9999-12-31',USER, CURRENT_TIMESTAMP(0));</v>
      </c>
    </row>
    <row r="1097" spans="1:12" ht="15" customHeight="1">
      <c r="A1097" s="11" t="str">
        <f>ETLMetadata!$C1097</f>
        <v>DETM_DETIS_P1DS</v>
      </c>
      <c r="B1097" s="11" t="str">
        <f>ETLMetadata!$E1097</f>
        <v>AMR1_RISL_DTS</v>
      </c>
      <c r="C1097" s="11" t="str">
        <f>IF(ISBLANK(ETLMetadata!$J1097), "", ETLMetadata!$J1097)</f>
        <v/>
      </c>
      <c r="D1097" s="11" t="str">
        <f>ETLMetadata!$G1097</f>
        <v>TIMESTAMP(6)</v>
      </c>
      <c r="E1097" s="12"/>
      <c r="F1097" s="12"/>
      <c r="G1097" s="12" t="str">
        <f t="shared" si="34"/>
        <v/>
      </c>
      <c r="H1097" s="12"/>
      <c r="I1097" s="12"/>
      <c r="J1097" s="13">
        <v>45952</v>
      </c>
      <c r="K1097" s="13">
        <v>2958465</v>
      </c>
      <c r="L1097" s="11" t="str">
        <f t="shared" si="35"/>
        <v>INSERT INTO metadata_reference.file_schema VALUES('DETM_DETIS_P1DS','AMR1_RISL_DTS',NULL,'TIMESTAMP(6)',NULL,NULL,NULL,NULL,'2025-10-22','9999-12-31',USER, CURRENT_TIMESTAMP(0));</v>
      </c>
    </row>
    <row r="1098" spans="1:12" ht="15" customHeight="1">
      <c r="A1098" s="11" t="str">
        <f>ETLMetadata!$C1098</f>
        <v>DETM_DETIS_P1DS</v>
      </c>
      <c r="B1098" s="11" t="str">
        <f>ETLMetadata!$E1098</f>
        <v>AMR3_RISL_DTS</v>
      </c>
      <c r="C1098" s="11" t="str">
        <f>IF(ISBLANK(ETLMetadata!$J1098), "", ETLMetadata!$J1098)</f>
        <v/>
      </c>
      <c r="D1098" s="11" t="str">
        <f>ETLMetadata!$G1098</f>
        <v>TIMESTAMP(6)</v>
      </c>
      <c r="E1098" s="12"/>
      <c r="F1098" s="12"/>
      <c r="G1098" s="12" t="str">
        <f t="shared" si="34"/>
        <v/>
      </c>
      <c r="H1098" s="12"/>
      <c r="I1098" s="12"/>
      <c r="J1098" s="13">
        <v>45952</v>
      </c>
      <c r="K1098" s="13">
        <v>2958465</v>
      </c>
      <c r="L1098" s="11" t="str">
        <f t="shared" si="35"/>
        <v>INSERT INTO metadata_reference.file_schema VALUES('DETM_DETIS_P1DS','AMR3_RISL_DTS',NULL,'TIMESTAMP(6)',NULL,NULL,NULL,NULL,'2025-10-22','9999-12-31',USER, CURRENT_TIMESTAMP(0));</v>
      </c>
    </row>
    <row r="1099" spans="1:12" ht="15" customHeight="1">
      <c r="A1099" s="11" t="str">
        <f>ETLMetadata!$C1099</f>
        <v>DETM_DETIS_P1DS</v>
      </c>
      <c r="B1099" s="11" t="str">
        <f>ETLMetadata!$E1099</f>
        <v>PARTY_ROLE_ID</v>
      </c>
      <c r="C1099" s="11" t="str">
        <f>IF(ISBLANK(ETLMetadata!$J1099), "", ETLMetadata!$J1099)</f>
        <v/>
      </c>
      <c r="D1099" s="11" t="str">
        <f>ETLMetadata!$G1099</f>
        <v>INTEGER</v>
      </c>
      <c r="E1099" s="12"/>
      <c r="F1099" s="12"/>
      <c r="G1099" s="12" t="str">
        <f t="shared" si="34"/>
        <v/>
      </c>
      <c r="H1099" s="12"/>
      <c r="I1099" s="12"/>
      <c r="J1099" s="13">
        <v>45952</v>
      </c>
      <c r="K1099" s="13">
        <v>2958465</v>
      </c>
      <c r="L1099" s="11" t="str">
        <f t="shared" si="35"/>
        <v>INSERT INTO metadata_reference.file_schema VALUES('DETM_DETIS_P1DS','PARTY_ROLE_ID',NULL,'INTEGER',NULL,NULL,NULL,NULL,'2025-10-22','9999-12-31',USER, CURRENT_TIMESTAMP(0));</v>
      </c>
    </row>
    <row r="1100" spans="1:12" ht="15" customHeight="1">
      <c r="A1100" s="11" t="str">
        <f>ETLMetadata!$C1100</f>
        <v>DETM_DETIS_P1DS</v>
      </c>
      <c r="B1100" s="11" t="str">
        <f>ETLMetadata!$E1100</f>
        <v>PAYMENT_TYPE_ID</v>
      </c>
      <c r="C1100" s="11" t="str">
        <f>IF(ISBLANK(ETLMetadata!$J1100), "", ETLMetadata!$J1100)</f>
        <v/>
      </c>
      <c r="D1100" s="11" t="str">
        <f>ETLMetadata!$G1100</f>
        <v>INTEGER</v>
      </c>
      <c r="E1100" s="12"/>
      <c r="F1100" s="12"/>
      <c r="G1100" s="12" t="str">
        <f t="shared" si="34"/>
        <v/>
      </c>
      <c r="H1100" s="12"/>
      <c r="I1100" s="12"/>
      <c r="J1100" s="13">
        <v>45952</v>
      </c>
      <c r="K1100" s="13">
        <v>2958465</v>
      </c>
      <c r="L1100" s="11" t="str">
        <f t="shared" si="35"/>
        <v>INSERT INTO metadata_reference.file_schema VALUES('DETM_DETIS_P1DS','PAYMENT_TYPE_ID',NULL,'INTEGER',NULL,NULL,NULL,NULL,'2025-10-22','9999-12-31',USER, CURRENT_TIMESTAMP(0));</v>
      </c>
    </row>
    <row r="1101" spans="1:12" ht="15" customHeight="1">
      <c r="A1101" s="11" t="str">
        <f>ETLMetadata!$C1101</f>
        <v>DETM_DETIS_P1DS</v>
      </c>
      <c r="B1101" s="11" t="str">
        <f>ETLMetadata!$E1101</f>
        <v>ERROR_COUNT</v>
      </c>
      <c r="C1101" s="11" t="str">
        <f>IF(ISBLANK(ETLMetadata!$J1101), "", ETLMetadata!$J1101)</f>
        <v/>
      </c>
      <c r="D1101" s="11" t="str">
        <f>ETLMetadata!$G1101</f>
        <v>SMALLINT</v>
      </c>
      <c r="E1101" s="12"/>
      <c r="F1101" s="12"/>
      <c r="G1101" s="12" t="str">
        <f t="shared" si="34"/>
        <v/>
      </c>
      <c r="H1101" s="12"/>
      <c r="I1101" s="12"/>
      <c r="J1101" s="13">
        <v>45952</v>
      </c>
      <c r="K1101" s="13">
        <v>2958465</v>
      </c>
      <c r="L1101" s="11" t="str">
        <f t="shared" si="35"/>
        <v>INSERT INTO metadata_reference.file_schema VALUES('DETM_DETIS_P1DS','ERROR_COUNT',NULL,'SMALLINT',NULL,NULL,NULL,NULL,'2025-10-22','9999-12-31',USER, CURRENT_TIMESTAMP(0));</v>
      </c>
    </row>
    <row r="1102" spans="1:12" ht="15" customHeight="1">
      <c r="A1102" s="11" t="str">
        <f>ETLMetadata!$C1102</f>
        <v>DETM_DETIS_P1DS</v>
      </c>
      <c r="B1102" s="11" t="str">
        <f>ETLMetadata!$E1102</f>
        <v>Start_Date</v>
      </c>
      <c r="C1102" s="11" t="str">
        <f>IF(ISBLANK(ETLMetadata!$J1102), "", ETLMetadata!$J1102)</f>
        <v/>
      </c>
      <c r="D1102" s="11" t="str">
        <f>ETLMetadata!$G1102</f>
        <v>DATE</v>
      </c>
      <c r="E1102" s="12"/>
      <c r="F1102" s="12"/>
      <c r="G1102" s="12" t="str">
        <f t="shared" si="34"/>
        <v/>
      </c>
      <c r="H1102" s="12"/>
      <c r="I1102" s="12"/>
      <c r="J1102" s="13">
        <v>45952</v>
      </c>
      <c r="K1102" s="13">
        <v>2958465</v>
      </c>
      <c r="L1102" s="11" t="str">
        <f t="shared" si="35"/>
        <v>INSERT INTO metadata_reference.file_schema VALUES('DETM_DETIS_P1DS','Start_Date',NULL,'DATE',NULL,NULL,NULL,NULL,'2025-10-22','9999-12-31',USER, CURRENT_TIMESTAMP(0));</v>
      </c>
    </row>
    <row r="1103" spans="1:12" ht="15" customHeight="1">
      <c r="A1103" s="11" t="str">
        <f>ETLMetadata!$C1103</f>
        <v>DETM_DETIS_P1DS</v>
      </c>
      <c r="B1103" s="11" t="str">
        <f>ETLMetadata!$E1103</f>
        <v>End_Date</v>
      </c>
      <c r="C1103" s="11" t="str">
        <f>IF(ISBLANK(ETLMetadata!$J1103), "", ETLMetadata!$J1103)</f>
        <v/>
      </c>
      <c r="D1103" s="11" t="str">
        <f>ETLMetadata!$G1103</f>
        <v>DATE</v>
      </c>
      <c r="E1103" s="12"/>
      <c r="F1103" s="12"/>
      <c r="G1103" s="12" t="str">
        <f t="shared" si="34"/>
        <v/>
      </c>
      <c r="H1103" s="12"/>
      <c r="I1103" s="12"/>
      <c r="J1103" s="13">
        <v>45952</v>
      </c>
      <c r="K1103" s="13">
        <v>2958465</v>
      </c>
      <c r="L1103" s="11" t="str">
        <f t="shared" si="35"/>
        <v>INSERT INTO metadata_reference.file_schema VALUES('DETM_DETIS_P1DS','End_Date',NULL,'DATE',NULL,NULL,NULL,NULL,'2025-10-22','9999-12-31',USER, CURRENT_TIMESTAMP(0));</v>
      </c>
    </row>
    <row r="1104" spans="1:12" ht="15" customHeight="1">
      <c r="A1104" s="11" t="str">
        <f>ETLMetadata!$C1104</f>
        <v>DETM_DETIS_P1DS</v>
      </c>
      <c r="B1104" s="11" t="str">
        <f>ETLMetadata!$E1104</f>
        <v>Record_Deleted_Flag</v>
      </c>
      <c r="C1104" s="11" t="str">
        <f>IF(ISBLANK(ETLMetadata!$J1104), "", ETLMetadata!$J1104)</f>
        <v/>
      </c>
      <c r="D1104" s="11" t="str">
        <f>ETLMetadata!$G1104</f>
        <v>BYTEINT</v>
      </c>
      <c r="E1104" s="12"/>
      <c r="F1104" s="12"/>
      <c r="G1104" s="12" t="str">
        <f t="shared" si="34"/>
        <v/>
      </c>
      <c r="H1104" s="12"/>
      <c r="I1104" s="12"/>
      <c r="J1104" s="13">
        <v>45952</v>
      </c>
      <c r="K1104" s="13">
        <v>2958465</v>
      </c>
      <c r="L1104" s="11" t="str">
        <f t="shared" si="35"/>
        <v>INSERT INTO metadata_reference.file_schema VALUES('DETM_DETIS_P1DS','Record_Deleted_Flag',NULL,'BYTEINT',NULL,NULL,NULL,NULL,'2025-10-22','9999-12-31',USER, CURRENT_TIMESTAMP(0));</v>
      </c>
    </row>
    <row r="1105" spans="1:12" ht="15" customHeight="1">
      <c r="A1105" s="11" t="str">
        <f>ETLMetadata!$C1105</f>
        <v>DETM_DETIS_PGDS</v>
      </c>
      <c r="B1105" s="11" t="str">
        <f>ETLMetadata!$E1105</f>
        <v>EXTRACT_DATE</v>
      </c>
      <c r="C1105" s="11" t="str">
        <f>IF(ISBLANK(ETLMetadata!$J1105), "", ETLMetadata!$J1105)</f>
        <v/>
      </c>
      <c r="D1105" s="11" t="str">
        <f>ETLMetadata!$G1105</f>
        <v>DATE</v>
      </c>
      <c r="E1105" s="12"/>
      <c r="F1105" s="12"/>
      <c r="G1105" s="12" t="str">
        <f t="shared" si="34"/>
        <v/>
      </c>
      <c r="H1105" s="12"/>
      <c r="I1105" s="12"/>
      <c r="J1105" s="13">
        <v>45952</v>
      </c>
      <c r="K1105" s="13">
        <v>2958465</v>
      </c>
      <c r="L1105" s="11" t="str">
        <f t="shared" si="35"/>
        <v>INSERT INTO metadata_reference.file_schema VALUES('DETM_DETIS_PGDS','EXTRACT_DATE',NULL,'DATE',NULL,NULL,NULL,NULL,'2025-10-22','9999-12-31',USER, CURRENT_TIMESTAMP(0));</v>
      </c>
    </row>
    <row r="1106" spans="1:12" ht="15" customHeight="1">
      <c r="A1106" s="11" t="str">
        <f>ETLMetadata!$C1106</f>
        <v>DETM_DETIS_PGDS</v>
      </c>
      <c r="B1106" s="11" t="str">
        <f>ETLMetadata!$E1106</f>
        <v>LOGICAL_DELETE_DATE</v>
      </c>
      <c r="C1106" s="11" t="str">
        <f>IF(ISBLANK(ETLMetadata!$J1106), "", ETLMetadata!$J1106)</f>
        <v/>
      </c>
      <c r="D1106" s="11" t="str">
        <f>ETLMetadata!$G1106</f>
        <v>DATE</v>
      </c>
      <c r="E1106" s="12"/>
      <c r="F1106" s="12"/>
      <c r="G1106" s="12" t="str">
        <f t="shared" si="34"/>
        <v/>
      </c>
      <c r="H1106" s="12"/>
      <c r="I1106" s="12"/>
      <c r="J1106" s="13">
        <v>45952</v>
      </c>
      <c r="K1106" s="13">
        <v>2958465</v>
      </c>
      <c r="L1106" s="11" t="str">
        <f t="shared" si="35"/>
        <v>INSERT INTO metadata_reference.file_schema VALUES('DETM_DETIS_PGDS','LOGICAL_DELETE_DATE',NULL,'DATE',NULL,NULL,NULL,NULL,'2025-10-22','9999-12-31',USER, CURRENT_TIMESTAMP(0));</v>
      </c>
    </row>
    <row r="1107" spans="1:12" ht="15" customHeight="1">
      <c r="A1107" s="11" t="str">
        <f>ETLMetadata!$C1107</f>
        <v>DETM_DETIS_PGDS</v>
      </c>
      <c r="B1107" s="11" t="str">
        <f>ETLMetadata!$E1107</f>
        <v>ENVIRONMENT_ID</v>
      </c>
      <c r="C1107" s="11" t="str">
        <f>IF(ISBLANK(ETLMetadata!$J1107), "", ETLMetadata!$J1107)</f>
        <v>Y</v>
      </c>
      <c r="D1107" s="11" t="str">
        <f>ETLMetadata!$G1107</f>
        <v>CHAR(1)</v>
      </c>
      <c r="E1107" s="12"/>
      <c r="F1107" s="12"/>
      <c r="G1107" s="12" t="str">
        <f t="shared" si="34"/>
        <v/>
      </c>
      <c r="H1107" s="12"/>
      <c r="I1107" s="12"/>
      <c r="J1107" s="13">
        <v>45952</v>
      </c>
      <c r="K1107" s="13">
        <v>2958465</v>
      </c>
      <c r="L1107" s="11" t="str">
        <f t="shared" si="35"/>
        <v>INSERT INTO metadata_reference.file_schema VALUES('DETM_DETIS_PGDS','ENVIRONMENT_ID','Y','CHAR(1)',NULL,NULL,NULL,NULL,'2025-10-22','9999-12-31',USER, CURRENT_TIMESTAMP(0));</v>
      </c>
    </row>
    <row r="1108" spans="1:12" ht="15" customHeight="1">
      <c r="A1108" s="11" t="str">
        <f>ETLMetadata!$C1108</f>
        <v>DETM_DETIS_PGDS</v>
      </c>
      <c r="B1108" s="11" t="str">
        <f>ETLMetadata!$E1108</f>
        <v>PERSON_ID</v>
      </c>
      <c r="C1108" s="11" t="str">
        <f>IF(ISBLANK(ETLMetadata!$J1108), "", ETLMetadata!$J1108)</f>
        <v>Y</v>
      </c>
      <c r="D1108" s="11" t="str">
        <f>ETLMetadata!$G1108</f>
        <v>INTEGER</v>
      </c>
      <c r="E1108" s="12"/>
      <c r="F1108" s="12" t="s">
        <v>799</v>
      </c>
      <c r="G1108" s="12" t="str">
        <f t="shared" si="34"/>
        <v>PERSONAL_IDENTITYINFOINDIRECT</v>
      </c>
      <c r="H1108" s="12"/>
      <c r="I1108" s="12"/>
      <c r="J1108" s="13">
        <v>45952</v>
      </c>
      <c r="K1108" s="13">
        <v>2958465</v>
      </c>
      <c r="L1108" s="11" t="str">
        <f t="shared" si="35"/>
        <v>INSERT INTO metadata_reference.file_schema VALUES('DETM_DETIS_PGDS','PERSON_ID','Y','INTEGER',NULL,'PERSONAL_IDENTITYINFOINDIRECT',NULL,NULL,'2025-10-22','9999-12-31',USER, CURRENT_TIMESTAMP(0));</v>
      </c>
    </row>
    <row r="1109" spans="1:12" ht="15" customHeight="1">
      <c r="A1109" s="11" t="str">
        <f>ETLMetadata!$C1109</f>
        <v>DETM_DETIS_PGDS</v>
      </c>
      <c r="B1109" s="11" t="str">
        <f>ETLMetadata!$E1109</f>
        <v>PGDS_DOE</v>
      </c>
      <c r="C1109" s="11" t="str">
        <f>IF(ISBLANK(ETLMetadata!$J1109), "", ETLMetadata!$J1109)</f>
        <v/>
      </c>
      <c r="D1109" s="11" t="str">
        <f>ETLMetadata!$G1109</f>
        <v>DATE</v>
      </c>
      <c r="E1109" s="12"/>
      <c r="F1109" s="12"/>
      <c r="G1109" s="12" t="str">
        <f t="shared" si="34"/>
        <v/>
      </c>
      <c r="H1109" s="12"/>
      <c r="I1109" s="12"/>
      <c r="J1109" s="13">
        <v>45952</v>
      </c>
      <c r="K1109" s="13">
        <v>2958465</v>
      </c>
      <c r="L1109" s="11" t="str">
        <f t="shared" si="35"/>
        <v>INSERT INTO metadata_reference.file_schema VALUES('DETM_DETIS_PGDS','PGDS_DOE',NULL,'DATE',NULL,NULL,NULL,NULL,'2025-10-22','9999-12-31',USER, CURRENT_TIMESTAMP(0));</v>
      </c>
    </row>
    <row r="1110" spans="1:12" ht="15" customHeight="1">
      <c r="A1110" s="11" t="str">
        <f>ETLMetadata!$C1110</f>
        <v>DETM_DETIS_PGDS</v>
      </c>
      <c r="B1110" s="11" t="str">
        <f>ETLMetadata!$E1110</f>
        <v>PGDS_DOE_ORIG</v>
      </c>
      <c r="C1110" s="11" t="str">
        <f>IF(ISBLANK(ETLMetadata!$J1110), "", ETLMetadata!$J1110)</f>
        <v/>
      </c>
      <c r="D1110" s="11" t="str">
        <f>ETLMetadata!$G1110</f>
        <v>INTEGER</v>
      </c>
      <c r="E1110" s="12"/>
      <c r="F1110" s="12"/>
      <c r="G1110" s="12" t="str">
        <f t="shared" si="34"/>
        <v/>
      </c>
      <c r="H1110" s="12"/>
      <c r="I1110" s="12"/>
      <c r="J1110" s="13">
        <v>45952</v>
      </c>
      <c r="K1110" s="13">
        <v>2958465</v>
      </c>
      <c r="L1110" s="11" t="str">
        <f t="shared" si="35"/>
        <v>INSERT INTO metadata_reference.file_schema VALUES('DETM_DETIS_PGDS','PGDS_DOE_ORIG',NULL,'INTEGER',NULL,NULL,NULL,NULL,'2025-10-22','9999-12-31',USER, CURRENT_TIMESTAMP(0));</v>
      </c>
    </row>
    <row r="1111" spans="1:12" ht="15" customHeight="1">
      <c r="A1111" s="11" t="str">
        <f>ETLMetadata!$C1111</f>
        <v>DETM_DETIS_PGDS</v>
      </c>
      <c r="B1111" s="11" t="str">
        <f>ETLMetadata!$E1111</f>
        <v>PROCESSING_SEQUENCE</v>
      </c>
      <c r="C1111" s="11" t="str">
        <f>IF(ISBLANK(ETLMetadata!$J1111), "", ETLMetadata!$J1111)</f>
        <v>Y</v>
      </c>
      <c r="D1111" s="11" t="str">
        <f>ETLMetadata!$G1111</f>
        <v>SMALLINT</v>
      </c>
      <c r="E1111" s="12"/>
      <c r="F1111" s="12"/>
      <c r="G1111" s="12" t="str">
        <f t="shared" si="34"/>
        <v/>
      </c>
      <c r="H1111" s="12"/>
      <c r="I1111" s="12"/>
      <c r="J1111" s="13">
        <v>45952</v>
      </c>
      <c r="K1111" s="13">
        <v>2958465</v>
      </c>
      <c r="L1111" s="11" t="str">
        <f t="shared" si="35"/>
        <v>INSERT INTO metadata_reference.file_schema VALUES('DETM_DETIS_PGDS','PROCESSING_SEQUENCE','Y','SMALLINT',NULL,NULL,NULL,NULL,'2025-10-22','9999-12-31',USER, CURRENT_TIMESTAMP(0));</v>
      </c>
    </row>
    <row r="1112" spans="1:12" ht="15" customHeight="1">
      <c r="A1112" s="11" t="str">
        <f>ETLMetadata!$C1112</f>
        <v>DETM_DETIS_PGDS</v>
      </c>
      <c r="B1112" s="11" t="str">
        <f>ETLMetadata!$E1112</f>
        <v>PGDS_AMR_1</v>
      </c>
      <c r="C1112" s="11" t="str">
        <f>IF(ISBLANK(ETLMetadata!$J1112), "", ETLMetadata!$J1112)</f>
        <v/>
      </c>
      <c r="D1112" s="11" t="str">
        <f>ETLMetadata!$G1112</f>
        <v>CHAR(4)</v>
      </c>
      <c r="E1112" s="12"/>
      <c r="F1112" s="12"/>
      <c r="G1112" s="12" t="str">
        <f t="shared" si="34"/>
        <v/>
      </c>
      <c r="H1112" s="12"/>
      <c r="I1112" s="12"/>
      <c r="J1112" s="13">
        <v>45952</v>
      </c>
      <c r="K1112" s="13">
        <v>2958465</v>
      </c>
      <c r="L1112" s="11" t="str">
        <f t="shared" si="35"/>
        <v>INSERT INTO metadata_reference.file_schema VALUES('DETM_DETIS_PGDS','PGDS_AMR_1',NULL,'CHAR(4)',NULL,NULL,NULL,NULL,'2025-10-22','9999-12-31',USER, CURRENT_TIMESTAMP(0));</v>
      </c>
    </row>
    <row r="1113" spans="1:12" ht="15" customHeight="1">
      <c r="A1113" s="11" t="str">
        <f>ETLMetadata!$C1113</f>
        <v>DETM_DETIS_PGDS</v>
      </c>
      <c r="B1113" s="11" t="str">
        <f>ETLMetadata!$E1113</f>
        <v>PGDS_AMR_2</v>
      </c>
      <c r="C1113" s="11" t="str">
        <f>IF(ISBLANK(ETLMetadata!$J1113), "", ETLMetadata!$J1113)</f>
        <v/>
      </c>
      <c r="D1113" s="11" t="str">
        <f>ETLMetadata!$G1113</f>
        <v>CHAR(1)</v>
      </c>
      <c r="E1113" s="12"/>
      <c r="F1113" s="12"/>
      <c r="G1113" s="12" t="str">
        <f t="shared" si="34"/>
        <v/>
      </c>
      <c r="H1113" s="12"/>
      <c r="I1113" s="12"/>
      <c r="J1113" s="13">
        <v>45952</v>
      </c>
      <c r="K1113" s="13">
        <v>2958465</v>
      </c>
      <c r="L1113" s="11" t="str">
        <f t="shared" si="35"/>
        <v>INSERT INTO metadata_reference.file_schema VALUES('DETM_DETIS_PGDS','PGDS_AMR_2',NULL,'CHAR(1)',NULL,NULL,NULL,NULL,'2025-10-22','9999-12-31',USER, CURRENT_TIMESTAMP(0));</v>
      </c>
    </row>
    <row r="1114" spans="1:12" ht="15" customHeight="1">
      <c r="A1114" s="11" t="str">
        <f>ETLMetadata!$C1114</f>
        <v>DETM_DETIS_PGDS</v>
      </c>
      <c r="B1114" s="11" t="str">
        <f>ETLMetadata!$E1114</f>
        <v>PGDS_AMR_3</v>
      </c>
      <c r="C1114" s="11" t="str">
        <f>IF(ISBLANK(ETLMetadata!$J1114), "", ETLMetadata!$J1114)</f>
        <v/>
      </c>
      <c r="D1114" s="11" t="str">
        <f>ETLMetadata!$G1114</f>
        <v>CHAR(4)</v>
      </c>
      <c r="E1114" s="12"/>
      <c r="F1114" s="12"/>
      <c r="G1114" s="12" t="str">
        <f t="shared" si="34"/>
        <v/>
      </c>
      <c r="H1114" s="12"/>
      <c r="I1114" s="12"/>
      <c r="J1114" s="13">
        <v>45952</v>
      </c>
      <c r="K1114" s="13">
        <v>2958465</v>
      </c>
      <c r="L1114" s="11" t="str">
        <f t="shared" si="35"/>
        <v>INSERT INTO metadata_reference.file_schema VALUES('DETM_DETIS_PGDS','PGDS_AMR_3',NULL,'CHAR(4)',NULL,NULL,NULL,NULL,'2025-10-22','9999-12-31',USER, CURRENT_TIMESTAMP(0));</v>
      </c>
    </row>
    <row r="1115" spans="1:12" ht="15" customHeight="1">
      <c r="A1115" s="11" t="str">
        <f>ETLMetadata!$C1115</f>
        <v>DETM_DETIS_PGDS</v>
      </c>
      <c r="B1115" s="11" t="str">
        <f>ETLMetadata!$E1115</f>
        <v>PGDS_BEN_TYPE_CODE</v>
      </c>
      <c r="C1115" s="11" t="str">
        <f>IF(ISBLANK(ETLMetadata!$J1115), "", ETLMetadata!$J1115)</f>
        <v/>
      </c>
      <c r="D1115" s="11" t="str">
        <f>ETLMetadata!$G1115</f>
        <v>CHAR(3)</v>
      </c>
      <c r="E1115" s="12"/>
      <c r="F1115" s="12"/>
      <c r="G1115" s="12" t="str">
        <f t="shared" si="34"/>
        <v/>
      </c>
      <c r="H1115" s="12"/>
      <c r="I1115" s="12"/>
      <c r="J1115" s="13">
        <v>45952</v>
      </c>
      <c r="K1115" s="13">
        <v>2958465</v>
      </c>
      <c r="L1115" s="11" t="str">
        <f t="shared" si="35"/>
        <v>INSERT INTO metadata_reference.file_schema VALUES('DETM_DETIS_PGDS','PGDS_BEN_TYPE_CODE',NULL,'CHAR(3)',NULL,NULL,NULL,NULL,'2025-10-22','9999-12-31',USER, CURRENT_TIMESTAMP(0));</v>
      </c>
    </row>
    <row r="1116" spans="1:12" ht="15" customHeight="1">
      <c r="A1116" s="11" t="str">
        <f>ETLMetadata!$C1116</f>
        <v>DETM_DETIS_PGDS</v>
      </c>
      <c r="B1116" s="11" t="str">
        <f>ETLMetadata!$E1116</f>
        <v>PGDS_STS_CODE</v>
      </c>
      <c r="C1116" s="11" t="str">
        <f>IF(ISBLANK(ETLMetadata!$J1116), "", ETLMetadata!$J1116)</f>
        <v/>
      </c>
      <c r="D1116" s="11" t="str">
        <f>ETLMetadata!$G1116</f>
        <v>CHAR(3)</v>
      </c>
      <c r="E1116" s="12"/>
      <c r="F1116" s="12"/>
      <c r="G1116" s="12" t="str">
        <f t="shared" si="34"/>
        <v/>
      </c>
      <c r="H1116" s="12"/>
      <c r="I1116" s="12"/>
      <c r="J1116" s="13">
        <v>45952</v>
      </c>
      <c r="K1116" s="13">
        <v>2958465</v>
      </c>
      <c r="L1116" s="11" t="str">
        <f t="shared" si="35"/>
        <v>INSERT INTO metadata_reference.file_schema VALUES('DETM_DETIS_PGDS','PGDS_STS_CODE',NULL,'CHAR(3)',NULL,NULL,NULL,NULL,'2025-10-22','9999-12-31',USER, CURRENT_TIMESTAMP(0));</v>
      </c>
    </row>
    <row r="1117" spans="1:12" ht="15" customHeight="1">
      <c r="A1117" s="11" t="str">
        <f>ETLMetadata!$C1117</f>
        <v>DETM_DETIS_PGDS</v>
      </c>
      <c r="B1117" s="11" t="str">
        <f>ETLMetadata!$E1117</f>
        <v>PGDS_RSN_CODE</v>
      </c>
      <c r="C1117" s="11" t="str">
        <f>IF(ISBLANK(ETLMetadata!$J1117), "", ETLMetadata!$J1117)</f>
        <v/>
      </c>
      <c r="D1117" s="11" t="str">
        <f>ETLMetadata!$G1117</f>
        <v>CHAR(3)</v>
      </c>
      <c r="E1117" s="12"/>
      <c r="F1117" s="12"/>
      <c r="G1117" s="12" t="str">
        <f t="shared" si="34"/>
        <v/>
      </c>
      <c r="H1117" s="12"/>
      <c r="I1117" s="12"/>
      <c r="J1117" s="13">
        <v>45952</v>
      </c>
      <c r="K1117" s="13">
        <v>2958465</v>
      </c>
      <c r="L1117" s="11" t="str">
        <f t="shared" si="35"/>
        <v>INSERT INTO metadata_reference.file_schema VALUES('DETM_DETIS_PGDS','PGDS_RSN_CODE',NULL,'CHAR(3)',NULL,NULL,NULL,NULL,'2025-10-22','9999-12-31',USER, CURRENT_TIMESTAMP(0));</v>
      </c>
    </row>
    <row r="1118" spans="1:12" ht="15" customHeight="1">
      <c r="A1118" s="11" t="str">
        <f>ETLMetadata!$C1118</f>
        <v>DETM_DETIS_PGDS</v>
      </c>
      <c r="B1118" s="11" t="str">
        <f>ETLMetadata!$E1118</f>
        <v>PGDS_UNIQ_ID</v>
      </c>
      <c r="C1118" s="11" t="str">
        <f>IF(ISBLANK(ETLMetadata!$J1118), "", ETLMetadata!$J1118)</f>
        <v/>
      </c>
      <c r="D1118" s="11" t="str">
        <f>ETLMetadata!$G1118</f>
        <v>VARCHAR(8)</v>
      </c>
      <c r="E1118" s="12"/>
      <c r="F1118" s="12"/>
      <c r="G1118" s="12" t="str">
        <f t="shared" si="34"/>
        <v/>
      </c>
      <c r="H1118" s="12"/>
      <c r="I1118" s="12"/>
      <c r="J1118" s="13">
        <v>45952</v>
      </c>
      <c r="K1118" s="13">
        <v>2958465</v>
      </c>
      <c r="L1118" s="11" t="str">
        <f t="shared" si="35"/>
        <v>INSERT INTO metadata_reference.file_schema VALUES('DETM_DETIS_PGDS','PGDS_UNIQ_ID',NULL,'VARCHAR(8)',NULL,NULL,NULL,NULL,'2025-10-22','9999-12-31',USER, CURRENT_TIMESTAMP(0));</v>
      </c>
    </row>
    <row r="1119" spans="1:12" ht="15" customHeight="1">
      <c r="A1119" s="11" t="str">
        <f>ETLMetadata!$C1119</f>
        <v>DETM_DETIS_PGDS</v>
      </c>
      <c r="B1119" s="11" t="str">
        <f>ETLMetadata!$E1119</f>
        <v>AMR1_RISL_DTS</v>
      </c>
      <c r="C1119" s="11" t="str">
        <f>IF(ISBLANK(ETLMetadata!$J1119), "", ETLMetadata!$J1119)</f>
        <v/>
      </c>
      <c r="D1119" s="11" t="str">
        <f>ETLMetadata!$G1119</f>
        <v>TIMESTAMP(6)</v>
      </c>
      <c r="E1119" s="12"/>
      <c r="F1119" s="12"/>
      <c r="G1119" s="12" t="str">
        <f t="shared" si="34"/>
        <v/>
      </c>
      <c r="H1119" s="12"/>
      <c r="I1119" s="12"/>
      <c r="J1119" s="13">
        <v>45952</v>
      </c>
      <c r="K1119" s="13">
        <v>2958465</v>
      </c>
      <c r="L1119" s="11" t="str">
        <f t="shared" si="35"/>
        <v>INSERT INTO metadata_reference.file_schema VALUES('DETM_DETIS_PGDS','AMR1_RISL_DTS',NULL,'TIMESTAMP(6)',NULL,NULL,NULL,NULL,'2025-10-22','9999-12-31',USER, CURRENT_TIMESTAMP(0));</v>
      </c>
    </row>
    <row r="1120" spans="1:12" ht="15" customHeight="1">
      <c r="A1120" s="11" t="str">
        <f>ETLMetadata!$C1120</f>
        <v>DETM_DETIS_PGDS</v>
      </c>
      <c r="B1120" s="11" t="str">
        <f>ETLMetadata!$E1120</f>
        <v>AMR3_RISL_DTS</v>
      </c>
      <c r="C1120" s="11" t="str">
        <f>IF(ISBLANK(ETLMetadata!$J1120), "", ETLMetadata!$J1120)</f>
        <v/>
      </c>
      <c r="D1120" s="11" t="str">
        <f>ETLMetadata!$G1120</f>
        <v>TIMESTAMP(6)</v>
      </c>
      <c r="E1120" s="12"/>
      <c r="F1120" s="12"/>
      <c r="G1120" s="12" t="str">
        <f t="shared" si="34"/>
        <v/>
      </c>
      <c r="H1120" s="12"/>
      <c r="I1120" s="12"/>
      <c r="J1120" s="13">
        <v>45952</v>
      </c>
      <c r="K1120" s="13">
        <v>2958465</v>
      </c>
      <c r="L1120" s="11" t="str">
        <f t="shared" si="35"/>
        <v>INSERT INTO metadata_reference.file_schema VALUES('DETM_DETIS_PGDS','AMR3_RISL_DTS',NULL,'TIMESTAMP(6)',NULL,NULL,NULL,NULL,'2025-10-22','9999-12-31',USER, CURRENT_TIMESTAMP(0));</v>
      </c>
    </row>
    <row r="1121" spans="1:12" ht="15" customHeight="1">
      <c r="A1121" s="11" t="str">
        <f>ETLMetadata!$C1121</f>
        <v>DETM_DETIS_PGDS</v>
      </c>
      <c r="B1121" s="11" t="str">
        <f>ETLMetadata!$E1121</f>
        <v>EPISODE_ID</v>
      </c>
      <c r="C1121" s="11" t="str">
        <f>IF(ISBLANK(ETLMetadata!$J1121), "", ETLMetadata!$J1121)</f>
        <v/>
      </c>
      <c r="D1121" s="11" t="str">
        <f>ETLMetadata!$G1121</f>
        <v>INTEGER</v>
      </c>
      <c r="E1121" s="12"/>
      <c r="F1121" s="12"/>
      <c r="G1121" s="12" t="str">
        <f t="shared" si="34"/>
        <v/>
      </c>
      <c r="H1121" s="12"/>
      <c r="I1121" s="12"/>
      <c r="J1121" s="13">
        <v>45952</v>
      </c>
      <c r="K1121" s="13">
        <v>2958465</v>
      </c>
      <c r="L1121" s="11" t="str">
        <f t="shared" si="35"/>
        <v>INSERT INTO metadata_reference.file_schema VALUES('DETM_DETIS_PGDS','EPISODE_ID',NULL,'INTEGER',NULL,NULL,NULL,NULL,'2025-10-22','9999-12-31',USER, CURRENT_TIMESTAMP(0));</v>
      </c>
    </row>
    <row r="1122" spans="1:12" ht="15" customHeight="1">
      <c r="A1122" s="11" t="str">
        <f>ETLMetadata!$C1122</f>
        <v>DETM_DETIS_PGDS</v>
      </c>
      <c r="B1122" s="11" t="str">
        <f>ETLMetadata!$E1122</f>
        <v>PARTY_ROLE_ID</v>
      </c>
      <c r="C1122" s="11" t="str">
        <f>IF(ISBLANK(ETLMetadata!$J1122), "", ETLMetadata!$J1122)</f>
        <v/>
      </c>
      <c r="D1122" s="11" t="str">
        <f>ETLMetadata!$G1122</f>
        <v>INTEGER</v>
      </c>
      <c r="E1122" s="12"/>
      <c r="F1122" s="12"/>
      <c r="G1122" s="12" t="str">
        <f t="shared" si="34"/>
        <v/>
      </c>
      <c r="H1122" s="12"/>
      <c r="I1122" s="12"/>
      <c r="J1122" s="13">
        <v>45952</v>
      </c>
      <c r="K1122" s="13">
        <v>2958465</v>
      </c>
      <c r="L1122" s="11" t="str">
        <f t="shared" si="35"/>
        <v>INSERT INTO metadata_reference.file_schema VALUES('DETM_DETIS_PGDS','PARTY_ROLE_ID',NULL,'INTEGER',NULL,NULL,NULL,NULL,'2025-10-22','9999-12-31',USER, CURRENT_TIMESTAMP(0));</v>
      </c>
    </row>
    <row r="1123" spans="1:12" ht="15" customHeight="1">
      <c r="A1123" s="11" t="str">
        <f>ETLMetadata!$C1123</f>
        <v>DETM_DETIS_PGDS</v>
      </c>
      <c r="B1123" s="11" t="str">
        <f>ETLMetadata!$E1123</f>
        <v>PAYMENT_TYPE_ID</v>
      </c>
      <c r="C1123" s="11" t="str">
        <f>IF(ISBLANK(ETLMetadata!$J1123), "", ETLMetadata!$J1123)</f>
        <v/>
      </c>
      <c r="D1123" s="11" t="str">
        <f>ETLMetadata!$G1123</f>
        <v>INTEGER</v>
      </c>
      <c r="E1123" s="12"/>
      <c r="F1123" s="12"/>
      <c r="G1123" s="12" t="str">
        <f t="shared" si="34"/>
        <v/>
      </c>
      <c r="H1123" s="12"/>
      <c r="I1123" s="12"/>
      <c r="J1123" s="13">
        <v>45952</v>
      </c>
      <c r="K1123" s="13">
        <v>2958465</v>
      </c>
      <c r="L1123" s="11" t="str">
        <f t="shared" si="35"/>
        <v>INSERT INTO metadata_reference.file_schema VALUES('DETM_DETIS_PGDS','PAYMENT_TYPE_ID',NULL,'INTEGER',NULL,NULL,NULL,NULL,'2025-10-22','9999-12-31',USER, CURRENT_TIMESTAMP(0));</v>
      </c>
    </row>
    <row r="1124" spans="1:12" ht="15" customHeight="1">
      <c r="A1124" s="11" t="str">
        <f>ETLMetadata!$C1124</f>
        <v>DETM_DETIS_PGDS</v>
      </c>
      <c r="B1124" s="11" t="str">
        <f>ETLMetadata!$E1124</f>
        <v>ERROR_COUNT</v>
      </c>
      <c r="C1124" s="11" t="str">
        <f>IF(ISBLANK(ETLMetadata!$J1124), "", ETLMetadata!$J1124)</f>
        <v/>
      </c>
      <c r="D1124" s="11" t="str">
        <f>ETLMetadata!$G1124</f>
        <v>SMALLINT</v>
      </c>
      <c r="E1124" s="12"/>
      <c r="F1124" s="12"/>
      <c r="G1124" s="12" t="str">
        <f t="shared" si="34"/>
        <v/>
      </c>
      <c r="H1124" s="12"/>
      <c r="I1124" s="12"/>
      <c r="J1124" s="13">
        <v>45952</v>
      </c>
      <c r="K1124" s="13">
        <v>2958465</v>
      </c>
      <c r="L1124" s="11" t="str">
        <f t="shared" si="35"/>
        <v>INSERT INTO metadata_reference.file_schema VALUES('DETM_DETIS_PGDS','ERROR_COUNT',NULL,'SMALLINT',NULL,NULL,NULL,NULL,'2025-10-22','9999-12-31',USER, CURRENT_TIMESTAMP(0));</v>
      </c>
    </row>
    <row r="1125" spans="1:12" ht="15" customHeight="1">
      <c r="A1125" s="11" t="str">
        <f>ETLMetadata!$C1125</f>
        <v>DETM_DETIS_PGDS</v>
      </c>
      <c r="B1125" s="11" t="str">
        <f>ETLMetadata!$E1125</f>
        <v>Start_Date</v>
      </c>
      <c r="C1125" s="11" t="str">
        <f>IF(ISBLANK(ETLMetadata!$J1125), "", ETLMetadata!$J1125)</f>
        <v/>
      </c>
      <c r="D1125" s="11" t="str">
        <f>ETLMetadata!$G1125</f>
        <v>DATE</v>
      </c>
      <c r="E1125" s="12"/>
      <c r="F1125" s="12"/>
      <c r="G1125" s="12" t="str">
        <f t="shared" si="34"/>
        <v/>
      </c>
      <c r="H1125" s="12"/>
      <c r="I1125" s="12"/>
      <c r="J1125" s="13">
        <v>45952</v>
      </c>
      <c r="K1125" s="13">
        <v>2958465</v>
      </c>
      <c r="L1125" s="11" t="str">
        <f t="shared" si="35"/>
        <v>INSERT INTO metadata_reference.file_schema VALUES('DETM_DETIS_PGDS','Start_Date',NULL,'DATE',NULL,NULL,NULL,NULL,'2025-10-22','9999-12-31',USER, CURRENT_TIMESTAMP(0));</v>
      </c>
    </row>
    <row r="1126" spans="1:12" ht="15" customHeight="1">
      <c r="A1126" s="11" t="str">
        <f>ETLMetadata!$C1126</f>
        <v>DETM_DETIS_PGDS</v>
      </c>
      <c r="B1126" s="11" t="str">
        <f>ETLMetadata!$E1126</f>
        <v>End_Date</v>
      </c>
      <c r="C1126" s="11" t="str">
        <f>IF(ISBLANK(ETLMetadata!$J1126), "", ETLMetadata!$J1126)</f>
        <v/>
      </c>
      <c r="D1126" s="11" t="str">
        <f>ETLMetadata!$G1126</f>
        <v>DATE</v>
      </c>
      <c r="E1126" s="12"/>
      <c r="F1126" s="12"/>
      <c r="G1126" s="12" t="str">
        <f t="shared" si="34"/>
        <v/>
      </c>
      <c r="H1126" s="12"/>
      <c r="I1126" s="12"/>
      <c r="J1126" s="13">
        <v>45952</v>
      </c>
      <c r="K1126" s="13">
        <v>2958465</v>
      </c>
      <c r="L1126" s="11" t="str">
        <f t="shared" si="35"/>
        <v>INSERT INTO metadata_reference.file_schema VALUES('DETM_DETIS_PGDS','End_Date',NULL,'DATE',NULL,NULL,NULL,NULL,'2025-10-22','9999-12-31',USER, CURRENT_TIMESTAMP(0));</v>
      </c>
    </row>
    <row r="1127" spans="1:12" ht="15" customHeight="1">
      <c r="A1127" s="11" t="str">
        <f>ETLMetadata!$C1127</f>
        <v>DETM_DETIS_PGDS</v>
      </c>
      <c r="B1127" s="11" t="str">
        <f>ETLMetadata!$E1127</f>
        <v>Record_Deleted_Flag</v>
      </c>
      <c r="C1127" s="11" t="str">
        <f>IF(ISBLANK(ETLMetadata!$J1127), "", ETLMetadata!$J1127)</f>
        <v/>
      </c>
      <c r="D1127" s="11" t="str">
        <f>ETLMetadata!$G1127</f>
        <v>BYTEINT</v>
      </c>
      <c r="E1127" s="12"/>
      <c r="F1127" s="12"/>
      <c r="G1127" s="12" t="str">
        <f t="shared" si="34"/>
        <v/>
      </c>
      <c r="H1127" s="12"/>
      <c r="I1127" s="12"/>
      <c r="J1127" s="13">
        <v>45952</v>
      </c>
      <c r="K1127" s="13">
        <v>2958465</v>
      </c>
      <c r="L1127" s="11" t="str">
        <f t="shared" si="35"/>
        <v>INSERT INTO metadata_reference.file_schema VALUES('DETM_DETIS_PGDS','Record_Deleted_Flag',NULL,'BYTEINT',NULL,NULL,NULL,NULL,'2025-10-22','9999-12-31',USER, CURRENT_TIMESTAMP(0));</v>
      </c>
    </row>
    <row r="1128" spans="1:12" ht="15" customHeight="1">
      <c r="A1128" s="11" t="str">
        <f>ETLMetadata!$C1128</f>
        <v>DETM_DETIS_PJDS</v>
      </c>
      <c r="B1128" s="11" t="str">
        <f>ETLMetadata!$E1128</f>
        <v>EXTRACT_DATE</v>
      </c>
      <c r="C1128" s="11" t="str">
        <f>IF(ISBLANK(ETLMetadata!$J1128), "", ETLMetadata!$J1128)</f>
        <v/>
      </c>
      <c r="D1128" s="11" t="str">
        <f>ETLMetadata!$G1128</f>
        <v>DATE</v>
      </c>
      <c r="E1128" s="12"/>
      <c r="F1128" s="12"/>
      <c r="G1128" s="12" t="str">
        <f t="shared" si="34"/>
        <v/>
      </c>
      <c r="H1128" s="12"/>
      <c r="I1128" s="12"/>
      <c r="J1128" s="13">
        <v>45952</v>
      </c>
      <c r="K1128" s="13">
        <v>2958465</v>
      </c>
      <c r="L1128" s="11" t="str">
        <f t="shared" si="35"/>
        <v>INSERT INTO metadata_reference.file_schema VALUES('DETM_DETIS_PJDS','EXTRACT_DATE',NULL,'DATE',NULL,NULL,NULL,NULL,'2025-10-22','9999-12-31',USER, CURRENT_TIMESTAMP(0));</v>
      </c>
    </row>
    <row r="1129" spans="1:12" ht="15" customHeight="1">
      <c r="A1129" s="11" t="str">
        <f>ETLMetadata!$C1129</f>
        <v>DETM_DETIS_PJDS</v>
      </c>
      <c r="B1129" s="11" t="str">
        <f>ETLMetadata!$E1129</f>
        <v>LOGICAL_DELETE_DATE</v>
      </c>
      <c r="C1129" s="11" t="str">
        <f>IF(ISBLANK(ETLMetadata!$J1129), "", ETLMetadata!$J1129)</f>
        <v/>
      </c>
      <c r="D1129" s="11" t="str">
        <f>ETLMetadata!$G1129</f>
        <v>DATE</v>
      </c>
      <c r="E1129" s="12"/>
      <c r="F1129" s="12"/>
      <c r="G1129" s="12" t="str">
        <f t="shared" si="34"/>
        <v/>
      </c>
      <c r="H1129" s="12"/>
      <c r="I1129" s="12"/>
      <c r="J1129" s="13">
        <v>45952</v>
      </c>
      <c r="K1129" s="13">
        <v>2958465</v>
      </c>
      <c r="L1129" s="11" t="str">
        <f t="shared" si="35"/>
        <v>INSERT INTO metadata_reference.file_schema VALUES('DETM_DETIS_PJDS','LOGICAL_DELETE_DATE',NULL,'DATE',NULL,NULL,NULL,NULL,'2025-10-22','9999-12-31',USER, CURRENT_TIMESTAMP(0));</v>
      </c>
    </row>
    <row r="1130" spans="1:12" ht="15" customHeight="1">
      <c r="A1130" s="11" t="str">
        <f>ETLMetadata!$C1130</f>
        <v>DETM_DETIS_PJDS</v>
      </c>
      <c r="B1130" s="11" t="str">
        <f>ETLMetadata!$E1130</f>
        <v>ENVIRONMENT_ID</v>
      </c>
      <c r="C1130" s="11" t="str">
        <f>IF(ISBLANK(ETLMetadata!$J1130), "", ETLMetadata!$J1130)</f>
        <v>Y</v>
      </c>
      <c r="D1130" s="11" t="str">
        <f>ETLMetadata!$G1130</f>
        <v>CHAR(1)</v>
      </c>
      <c r="E1130" s="12"/>
      <c r="F1130" s="12"/>
      <c r="G1130" s="12" t="str">
        <f t="shared" si="34"/>
        <v/>
      </c>
      <c r="H1130" s="12"/>
      <c r="I1130" s="12"/>
      <c r="J1130" s="13">
        <v>45952</v>
      </c>
      <c r="K1130" s="13">
        <v>2958465</v>
      </c>
      <c r="L1130" s="11" t="str">
        <f t="shared" si="35"/>
        <v>INSERT INTO metadata_reference.file_schema VALUES('DETM_DETIS_PJDS','ENVIRONMENT_ID','Y','CHAR(1)',NULL,NULL,NULL,NULL,'2025-10-22','9999-12-31',USER, CURRENT_TIMESTAMP(0));</v>
      </c>
    </row>
    <row r="1131" spans="1:12" ht="15" customHeight="1">
      <c r="A1131" s="11" t="str">
        <f>ETLMetadata!$C1131</f>
        <v>DETM_DETIS_PJDS</v>
      </c>
      <c r="B1131" s="11" t="str">
        <f>ETLMetadata!$E1131</f>
        <v>PERSON_ID</v>
      </c>
      <c r="C1131" s="11" t="str">
        <f>IF(ISBLANK(ETLMetadata!$J1131), "", ETLMetadata!$J1131)</f>
        <v>Y</v>
      </c>
      <c r="D1131" s="11" t="str">
        <f>ETLMetadata!$G1131</f>
        <v>INTEGER</v>
      </c>
      <c r="E1131" s="12"/>
      <c r="F1131" s="12" t="s">
        <v>799</v>
      </c>
      <c r="G1131" s="12" t="str">
        <f t="shared" si="34"/>
        <v>PERSONAL_IDENTITYINFOINDIRECT</v>
      </c>
      <c r="H1131" s="12"/>
      <c r="I1131" s="12"/>
      <c r="J1131" s="13">
        <v>45952</v>
      </c>
      <c r="K1131" s="13">
        <v>2958465</v>
      </c>
      <c r="L1131" s="11" t="str">
        <f t="shared" si="35"/>
        <v>INSERT INTO metadata_reference.file_schema VALUES('DETM_DETIS_PJDS','PERSON_ID','Y','INTEGER',NULL,'PERSONAL_IDENTITYINFOINDIRECT',NULL,NULL,'2025-10-22','9999-12-31',USER, CURRENT_TIMESTAMP(0));</v>
      </c>
    </row>
    <row r="1132" spans="1:12" ht="15" customHeight="1">
      <c r="A1132" s="11" t="str">
        <f>ETLMetadata!$C1132</f>
        <v>DETM_DETIS_PJDS</v>
      </c>
      <c r="B1132" s="11" t="str">
        <f>ETLMetadata!$E1132</f>
        <v>PJDS_DOE</v>
      </c>
      <c r="C1132" s="11" t="str">
        <f>IF(ISBLANK(ETLMetadata!$J1132), "", ETLMetadata!$J1132)</f>
        <v/>
      </c>
      <c r="D1132" s="11" t="str">
        <f>ETLMetadata!$G1132</f>
        <v>DATE</v>
      </c>
      <c r="E1132" s="12"/>
      <c r="F1132" s="12"/>
      <c r="G1132" s="12" t="str">
        <f t="shared" si="34"/>
        <v/>
      </c>
      <c r="H1132" s="12"/>
      <c r="I1132" s="12"/>
      <c r="J1132" s="13">
        <v>45952</v>
      </c>
      <c r="K1132" s="13">
        <v>2958465</v>
      </c>
      <c r="L1132" s="11" t="str">
        <f t="shared" si="35"/>
        <v>INSERT INTO metadata_reference.file_schema VALUES('DETM_DETIS_PJDS','PJDS_DOE',NULL,'DATE',NULL,NULL,NULL,NULL,'2025-10-22','9999-12-31',USER, CURRENT_TIMESTAMP(0));</v>
      </c>
    </row>
    <row r="1133" spans="1:12" ht="15" customHeight="1">
      <c r="A1133" s="11" t="str">
        <f>ETLMetadata!$C1133</f>
        <v>DETM_DETIS_PJDS</v>
      </c>
      <c r="B1133" s="11" t="str">
        <f>ETLMetadata!$E1133</f>
        <v>PJDS_DOE_ORIG</v>
      </c>
      <c r="C1133" s="11" t="str">
        <f>IF(ISBLANK(ETLMetadata!$J1133), "", ETLMetadata!$J1133)</f>
        <v/>
      </c>
      <c r="D1133" s="11" t="str">
        <f>ETLMetadata!$G1133</f>
        <v>INTEGER</v>
      </c>
      <c r="E1133" s="12"/>
      <c r="F1133" s="12"/>
      <c r="G1133" s="12" t="str">
        <f t="shared" si="34"/>
        <v/>
      </c>
      <c r="H1133" s="12"/>
      <c r="I1133" s="12"/>
      <c r="J1133" s="13">
        <v>45952</v>
      </c>
      <c r="K1133" s="13">
        <v>2958465</v>
      </c>
      <c r="L1133" s="11" t="str">
        <f t="shared" si="35"/>
        <v>INSERT INTO metadata_reference.file_schema VALUES('DETM_DETIS_PJDS','PJDS_DOE_ORIG',NULL,'INTEGER',NULL,NULL,NULL,NULL,'2025-10-22','9999-12-31',USER, CURRENT_TIMESTAMP(0));</v>
      </c>
    </row>
    <row r="1134" spans="1:12" ht="15" customHeight="1">
      <c r="A1134" s="11" t="str">
        <f>ETLMetadata!$C1134</f>
        <v>DETM_DETIS_PJDS</v>
      </c>
      <c r="B1134" s="11" t="str">
        <f>ETLMetadata!$E1134</f>
        <v>PROCESSING_SEQUENCE</v>
      </c>
      <c r="C1134" s="11" t="str">
        <f>IF(ISBLANK(ETLMetadata!$J1134), "", ETLMetadata!$J1134)</f>
        <v>Y</v>
      </c>
      <c r="D1134" s="11" t="str">
        <f>ETLMetadata!$G1134</f>
        <v>SMALLINT</v>
      </c>
      <c r="E1134" s="12"/>
      <c r="F1134" s="12"/>
      <c r="G1134" s="12" t="str">
        <f t="shared" si="34"/>
        <v/>
      </c>
      <c r="H1134" s="12"/>
      <c r="I1134" s="12"/>
      <c r="J1134" s="13">
        <v>45952</v>
      </c>
      <c r="K1134" s="13">
        <v>2958465</v>
      </c>
      <c r="L1134" s="11" t="str">
        <f t="shared" si="35"/>
        <v>INSERT INTO metadata_reference.file_schema VALUES('DETM_DETIS_PJDS','PROCESSING_SEQUENCE','Y','SMALLINT',NULL,NULL,NULL,NULL,'2025-10-22','9999-12-31',USER, CURRENT_TIMESTAMP(0));</v>
      </c>
    </row>
    <row r="1135" spans="1:12" ht="15" customHeight="1">
      <c r="A1135" s="11" t="str">
        <f>ETLMetadata!$C1135</f>
        <v>DETM_DETIS_PJDS</v>
      </c>
      <c r="B1135" s="11" t="str">
        <f>ETLMetadata!$E1135</f>
        <v>PJDS_AMR_1</v>
      </c>
      <c r="C1135" s="11" t="str">
        <f>IF(ISBLANK(ETLMetadata!$J1135), "", ETLMetadata!$J1135)</f>
        <v/>
      </c>
      <c r="D1135" s="11" t="str">
        <f>ETLMetadata!$G1135</f>
        <v>CHAR(4)</v>
      </c>
      <c r="E1135" s="12"/>
      <c r="F1135" s="12"/>
      <c r="G1135" s="12" t="str">
        <f t="shared" si="34"/>
        <v/>
      </c>
      <c r="H1135" s="12"/>
      <c r="I1135" s="12"/>
      <c r="J1135" s="13">
        <v>45952</v>
      </c>
      <c r="K1135" s="13">
        <v>2958465</v>
      </c>
      <c r="L1135" s="11" t="str">
        <f t="shared" si="35"/>
        <v>INSERT INTO metadata_reference.file_schema VALUES('DETM_DETIS_PJDS','PJDS_AMR_1',NULL,'CHAR(4)',NULL,NULL,NULL,NULL,'2025-10-22','9999-12-31',USER, CURRENT_TIMESTAMP(0));</v>
      </c>
    </row>
    <row r="1136" spans="1:12" ht="15" customHeight="1">
      <c r="A1136" s="11" t="str">
        <f>ETLMetadata!$C1136</f>
        <v>DETM_DETIS_PJDS</v>
      </c>
      <c r="B1136" s="11" t="str">
        <f>ETLMetadata!$E1136</f>
        <v>PJDS_AMR_2</v>
      </c>
      <c r="C1136" s="11" t="str">
        <f>IF(ISBLANK(ETLMetadata!$J1136), "", ETLMetadata!$J1136)</f>
        <v/>
      </c>
      <c r="D1136" s="11" t="str">
        <f>ETLMetadata!$G1136</f>
        <v>CHAR(1)</v>
      </c>
      <c r="E1136" s="12"/>
      <c r="F1136" s="12"/>
      <c r="G1136" s="12" t="str">
        <f t="shared" si="34"/>
        <v/>
      </c>
      <c r="H1136" s="12"/>
      <c r="I1136" s="12"/>
      <c r="J1136" s="13">
        <v>45952</v>
      </c>
      <c r="K1136" s="13">
        <v>2958465</v>
      </c>
      <c r="L1136" s="11" t="str">
        <f t="shared" si="35"/>
        <v>INSERT INTO metadata_reference.file_schema VALUES('DETM_DETIS_PJDS','PJDS_AMR_2',NULL,'CHAR(1)',NULL,NULL,NULL,NULL,'2025-10-22','9999-12-31',USER, CURRENT_TIMESTAMP(0));</v>
      </c>
    </row>
    <row r="1137" spans="1:12" ht="15" customHeight="1">
      <c r="A1137" s="11" t="str">
        <f>ETLMetadata!$C1137</f>
        <v>DETM_DETIS_PJDS</v>
      </c>
      <c r="B1137" s="11" t="str">
        <f>ETLMetadata!$E1137</f>
        <v>PJDS_AMR_3</v>
      </c>
      <c r="C1137" s="11" t="str">
        <f>IF(ISBLANK(ETLMetadata!$J1137), "", ETLMetadata!$J1137)</f>
        <v/>
      </c>
      <c r="D1137" s="11" t="str">
        <f>ETLMetadata!$G1137</f>
        <v>CHAR(4)</v>
      </c>
      <c r="E1137" s="12"/>
      <c r="F1137" s="12"/>
      <c r="G1137" s="12" t="str">
        <f t="shared" si="34"/>
        <v/>
      </c>
      <c r="H1137" s="12"/>
      <c r="I1137" s="12"/>
      <c r="J1137" s="13">
        <v>45952</v>
      </c>
      <c r="K1137" s="13">
        <v>2958465</v>
      </c>
      <c r="L1137" s="11" t="str">
        <f t="shared" si="35"/>
        <v>INSERT INTO metadata_reference.file_schema VALUES('DETM_DETIS_PJDS','PJDS_AMR_3',NULL,'CHAR(4)',NULL,NULL,NULL,NULL,'2025-10-22','9999-12-31',USER, CURRENT_TIMESTAMP(0));</v>
      </c>
    </row>
    <row r="1138" spans="1:12" ht="15" customHeight="1">
      <c r="A1138" s="11" t="str">
        <f>ETLMetadata!$C1138</f>
        <v>DETM_DETIS_PJDS</v>
      </c>
      <c r="B1138" s="11" t="str">
        <f>ETLMetadata!$E1138</f>
        <v>PJDS_BEN_TYPE_CODE</v>
      </c>
      <c r="C1138" s="11" t="str">
        <f>IF(ISBLANK(ETLMetadata!$J1138), "", ETLMetadata!$J1138)</f>
        <v/>
      </c>
      <c r="D1138" s="11" t="str">
        <f>ETLMetadata!$G1138</f>
        <v>CHAR(3)</v>
      </c>
      <c r="E1138" s="12"/>
      <c r="F1138" s="12"/>
      <c r="G1138" s="12" t="str">
        <f t="shared" si="34"/>
        <v/>
      </c>
      <c r="H1138" s="12"/>
      <c r="I1138" s="12"/>
      <c r="J1138" s="13">
        <v>45952</v>
      </c>
      <c r="K1138" s="13">
        <v>2958465</v>
      </c>
      <c r="L1138" s="11" t="str">
        <f t="shared" si="35"/>
        <v>INSERT INTO metadata_reference.file_schema VALUES('DETM_DETIS_PJDS','PJDS_BEN_TYPE_CODE',NULL,'CHAR(3)',NULL,NULL,NULL,NULL,'2025-10-22','9999-12-31',USER, CURRENT_TIMESTAMP(0));</v>
      </c>
    </row>
    <row r="1139" spans="1:12" ht="15" customHeight="1">
      <c r="A1139" s="11" t="str">
        <f>ETLMetadata!$C1139</f>
        <v>DETM_DETIS_PJDS</v>
      </c>
      <c r="B1139" s="11" t="str">
        <f>ETLMetadata!$E1139</f>
        <v>PJDS_RSN_CODE</v>
      </c>
      <c r="C1139" s="11" t="str">
        <f>IF(ISBLANK(ETLMetadata!$J1139), "", ETLMetadata!$J1139)</f>
        <v/>
      </c>
      <c r="D1139" s="11" t="str">
        <f>ETLMetadata!$G1139</f>
        <v>CHAR(3)</v>
      </c>
      <c r="E1139" s="12"/>
      <c r="F1139" s="12"/>
      <c r="G1139" s="12" t="str">
        <f t="shared" si="34"/>
        <v/>
      </c>
      <c r="H1139" s="12"/>
      <c r="I1139" s="12"/>
      <c r="J1139" s="13">
        <v>45952</v>
      </c>
      <c r="K1139" s="13">
        <v>2958465</v>
      </c>
      <c r="L1139" s="11" t="str">
        <f t="shared" si="35"/>
        <v>INSERT INTO metadata_reference.file_schema VALUES('DETM_DETIS_PJDS','PJDS_RSN_CODE',NULL,'CHAR(3)',NULL,NULL,NULL,NULL,'2025-10-22','9999-12-31',USER, CURRENT_TIMESTAMP(0));</v>
      </c>
    </row>
    <row r="1140" spans="1:12" ht="15" customHeight="1">
      <c r="A1140" s="11" t="str">
        <f>ETLMetadata!$C1140</f>
        <v>DETM_DETIS_PJDS</v>
      </c>
      <c r="B1140" s="11" t="str">
        <f>ETLMetadata!$E1140</f>
        <v>PJDS_STS_CODE</v>
      </c>
      <c r="C1140" s="11" t="str">
        <f>IF(ISBLANK(ETLMetadata!$J1140), "", ETLMetadata!$J1140)</f>
        <v/>
      </c>
      <c r="D1140" s="11" t="str">
        <f>ETLMetadata!$G1140</f>
        <v>CHAR(3)</v>
      </c>
      <c r="E1140" s="12"/>
      <c r="F1140" s="12"/>
      <c r="G1140" s="12" t="str">
        <f t="shared" si="34"/>
        <v/>
      </c>
      <c r="H1140" s="12"/>
      <c r="I1140" s="12"/>
      <c r="J1140" s="13">
        <v>45952</v>
      </c>
      <c r="K1140" s="13">
        <v>2958465</v>
      </c>
      <c r="L1140" s="11" t="str">
        <f t="shared" si="35"/>
        <v>INSERT INTO metadata_reference.file_schema VALUES('DETM_DETIS_PJDS','PJDS_STS_CODE',NULL,'CHAR(3)',NULL,NULL,NULL,NULL,'2025-10-22','9999-12-31',USER, CURRENT_TIMESTAMP(0));</v>
      </c>
    </row>
    <row r="1141" spans="1:12" ht="15" customHeight="1">
      <c r="A1141" s="11" t="str">
        <f>ETLMetadata!$C1141</f>
        <v>DETM_DETIS_PJDS</v>
      </c>
      <c r="B1141" s="11" t="str">
        <f>ETLMetadata!$E1141</f>
        <v>PJDS_UNIQ_ID</v>
      </c>
      <c r="C1141" s="11" t="str">
        <f>IF(ISBLANK(ETLMetadata!$J1141), "", ETLMetadata!$J1141)</f>
        <v/>
      </c>
      <c r="D1141" s="11" t="str">
        <f>ETLMetadata!$G1141</f>
        <v>VARCHAR(8)</v>
      </c>
      <c r="E1141" s="12"/>
      <c r="F1141" s="12"/>
      <c r="G1141" s="12" t="str">
        <f t="shared" si="34"/>
        <v/>
      </c>
      <c r="H1141" s="12"/>
      <c r="I1141" s="12"/>
      <c r="J1141" s="13">
        <v>45952</v>
      </c>
      <c r="K1141" s="13">
        <v>2958465</v>
      </c>
      <c r="L1141" s="11" t="str">
        <f t="shared" si="35"/>
        <v>INSERT INTO metadata_reference.file_schema VALUES('DETM_DETIS_PJDS','PJDS_UNIQ_ID',NULL,'VARCHAR(8)',NULL,NULL,NULL,NULL,'2025-10-22','9999-12-31',USER, CURRENT_TIMESTAMP(0));</v>
      </c>
    </row>
    <row r="1142" spans="1:12" ht="15" customHeight="1">
      <c r="A1142" s="11" t="str">
        <f>ETLMetadata!$C1142</f>
        <v>DETM_DETIS_PJDS</v>
      </c>
      <c r="B1142" s="11" t="str">
        <f>ETLMetadata!$E1142</f>
        <v>AMR1_RISL_DTS</v>
      </c>
      <c r="C1142" s="11" t="str">
        <f>IF(ISBLANK(ETLMetadata!$J1142), "", ETLMetadata!$J1142)</f>
        <v/>
      </c>
      <c r="D1142" s="11" t="str">
        <f>ETLMetadata!$G1142</f>
        <v>TIMESTAMP(6)</v>
      </c>
      <c r="E1142" s="12"/>
      <c r="F1142" s="12"/>
      <c r="G1142" s="12" t="str">
        <f t="shared" si="34"/>
        <v/>
      </c>
      <c r="H1142" s="12"/>
      <c r="I1142" s="12"/>
      <c r="J1142" s="13">
        <v>45952</v>
      </c>
      <c r="K1142" s="13">
        <v>2958465</v>
      </c>
      <c r="L1142" s="11" t="str">
        <f t="shared" si="35"/>
        <v>INSERT INTO metadata_reference.file_schema VALUES('DETM_DETIS_PJDS','AMR1_RISL_DTS',NULL,'TIMESTAMP(6)',NULL,NULL,NULL,NULL,'2025-10-22','9999-12-31',USER, CURRENT_TIMESTAMP(0));</v>
      </c>
    </row>
    <row r="1143" spans="1:12" ht="15" customHeight="1">
      <c r="A1143" s="11" t="str">
        <f>ETLMetadata!$C1143</f>
        <v>DETM_DETIS_PJDS</v>
      </c>
      <c r="B1143" s="11" t="str">
        <f>ETLMetadata!$E1143</f>
        <v>AMR3_RISL_DTS</v>
      </c>
      <c r="C1143" s="11" t="str">
        <f>IF(ISBLANK(ETLMetadata!$J1143), "", ETLMetadata!$J1143)</f>
        <v/>
      </c>
      <c r="D1143" s="11" t="str">
        <f>ETLMetadata!$G1143</f>
        <v>TIMESTAMP(6)</v>
      </c>
      <c r="E1143" s="12"/>
      <c r="F1143" s="12"/>
      <c r="G1143" s="12" t="str">
        <f t="shared" si="34"/>
        <v/>
      </c>
      <c r="H1143" s="12"/>
      <c r="I1143" s="12"/>
      <c r="J1143" s="13">
        <v>45952</v>
      </c>
      <c r="K1143" s="13">
        <v>2958465</v>
      </c>
      <c r="L1143" s="11" t="str">
        <f t="shared" si="35"/>
        <v>INSERT INTO metadata_reference.file_schema VALUES('DETM_DETIS_PJDS','AMR3_RISL_DTS',NULL,'TIMESTAMP(6)',NULL,NULL,NULL,NULL,'2025-10-22','9999-12-31',USER, CURRENT_TIMESTAMP(0));</v>
      </c>
    </row>
    <row r="1144" spans="1:12" ht="15" customHeight="1">
      <c r="A1144" s="11" t="str">
        <f>ETLMetadata!$C1144</f>
        <v>DETM_DETIS_PJDS</v>
      </c>
      <c r="B1144" s="11" t="str">
        <f>ETLMetadata!$E1144</f>
        <v>EPISODE_ID</v>
      </c>
      <c r="C1144" s="11" t="str">
        <f>IF(ISBLANK(ETLMetadata!$J1144), "", ETLMetadata!$J1144)</f>
        <v/>
      </c>
      <c r="D1144" s="11" t="str">
        <f>ETLMetadata!$G1144</f>
        <v>INTEGER</v>
      </c>
      <c r="E1144" s="12"/>
      <c r="F1144" s="12"/>
      <c r="G1144" s="12" t="str">
        <f t="shared" si="34"/>
        <v/>
      </c>
      <c r="H1144" s="12"/>
      <c r="I1144" s="12"/>
      <c r="J1144" s="13">
        <v>45952</v>
      </c>
      <c r="K1144" s="13">
        <v>2958465</v>
      </c>
      <c r="L1144" s="11" t="str">
        <f t="shared" si="35"/>
        <v>INSERT INTO metadata_reference.file_schema VALUES('DETM_DETIS_PJDS','EPISODE_ID',NULL,'INTEGER',NULL,NULL,NULL,NULL,'2025-10-22','9999-12-31',USER, CURRENT_TIMESTAMP(0));</v>
      </c>
    </row>
    <row r="1145" spans="1:12" ht="15" customHeight="1">
      <c r="A1145" s="11" t="str">
        <f>ETLMetadata!$C1145</f>
        <v>DETM_DETIS_PJDS</v>
      </c>
      <c r="B1145" s="11" t="str">
        <f>ETLMetadata!$E1145</f>
        <v>PARTY_ROLE_ID</v>
      </c>
      <c r="C1145" s="11" t="str">
        <f>IF(ISBLANK(ETLMetadata!$J1145), "", ETLMetadata!$J1145)</f>
        <v/>
      </c>
      <c r="D1145" s="11" t="str">
        <f>ETLMetadata!$G1145</f>
        <v>INTEGER</v>
      </c>
      <c r="E1145" s="12"/>
      <c r="F1145" s="12"/>
      <c r="G1145" s="12" t="str">
        <f t="shared" si="34"/>
        <v/>
      </c>
      <c r="H1145" s="12"/>
      <c r="I1145" s="12"/>
      <c r="J1145" s="13">
        <v>45952</v>
      </c>
      <c r="K1145" s="13">
        <v>2958465</v>
      </c>
      <c r="L1145" s="11" t="str">
        <f t="shared" si="35"/>
        <v>INSERT INTO metadata_reference.file_schema VALUES('DETM_DETIS_PJDS','PARTY_ROLE_ID',NULL,'INTEGER',NULL,NULL,NULL,NULL,'2025-10-22','9999-12-31',USER, CURRENT_TIMESTAMP(0));</v>
      </c>
    </row>
    <row r="1146" spans="1:12" ht="15" customHeight="1">
      <c r="A1146" s="11" t="str">
        <f>ETLMetadata!$C1146</f>
        <v>DETM_DETIS_PJDS</v>
      </c>
      <c r="B1146" s="11" t="str">
        <f>ETLMetadata!$E1146</f>
        <v>PAYMENT_TYPE_ID</v>
      </c>
      <c r="C1146" s="11" t="str">
        <f>IF(ISBLANK(ETLMetadata!$J1146), "", ETLMetadata!$J1146)</f>
        <v/>
      </c>
      <c r="D1146" s="11" t="str">
        <f>ETLMetadata!$G1146</f>
        <v>INTEGER</v>
      </c>
      <c r="E1146" s="12"/>
      <c r="F1146" s="12"/>
      <c r="G1146" s="12" t="str">
        <f t="shared" si="34"/>
        <v/>
      </c>
      <c r="H1146" s="12"/>
      <c r="I1146" s="12"/>
      <c r="J1146" s="13">
        <v>45952</v>
      </c>
      <c r="K1146" s="13">
        <v>2958465</v>
      </c>
      <c r="L1146" s="11" t="str">
        <f t="shared" si="35"/>
        <v>INSERT INTO metadata_reference.file_schema VALUES('DETM_DETIS_PJDS','PAYMENT_TYPE_ID',NULL,'INTEGER',NULL,NULL,NULL,NULL,'2025-10-22','9999-12-31',USER, CURRENT_TIMESTAMP(0));</v>
      </c>
    </row>
    <row r="1147" spans="1:12" ht="15" customHeight="1">
      <c r="A1147" s="11" t="str">
        <f>ETLMetadata!$C1147</f>
        <v>DETM_DETIS_PJDS</v>
      </c>
      <c r="B1147" s="11" t="str">
        <f>ETLMetadata!$E1147</f>
        <v>ERROR_COUNT</v>
      </c>
      <c r="C1147" s="11" t="str">
        <f>IF(ISBLANK(ETLMetadata!$J1147), "", ETLMetadata!$J1147)</f>
        <v/>
      </c>
      <c r="D1147" s="11" t="str">
        <f>ETLMetadata!$G1147</f>
        <v>SMALLINT</v>
      </c>
      <c r="E1147" s="12"/>
      <c r="F1147" s="12"/>
      <c r="G1147" s="12" t="str">
        <f t="shared" si="34"/>
        <v/>
      </c>
      <c r="H1147" s="12"/>
      <c r="I1147" s="12"/>
      <c r="J1147" s="13">
        <v>45952</v>
      </c>
      <c r="K1147" s="13">
        <v>2958465</v>
      </c>
      <c r="L1147" s="11" t="str">
        <f t="shared" si="35"/>
        <v>INSERT INTO metadata_reference.file_schema VALUES('DETM_DETIS_PJDS','ERROR_COUNT',NULL,'SMALLINT',NULL,NULL,NULL,NULL,'2025-10-22','9999-12-31',USER, CURRENT_TIMESTAMP(0));</v>
      </c>
    </row>
    <row r="1148" spans="1:12" ht="15" customHeight="1">
      <c r="A1148" s="11" t="str">
        <f>ETLMetadata!$C1148</f>
        <v>DETM_DETIS_PJDS</v>
      </c>
      <c r="B1148" s="11" t="str">
        <f>ETLMetadata!$E1148</f>
        <v>Start_Date</v>
      </c>
      <c r="C1148" s="11" t="str">
        <f>IF(ISBLANK(ETLMetadata!$J1148), "", ETLMetadata!$J1148)</f>
        <v/>
      </c>
      <c r="D1148" s="11" t="str">
        <f>ETLMetadata!$G1148</f>
        <v>DATE</v>
      </c>
      <c r="E1148" s="12"/>
      <c r="F1148" s="12"/>
      <c r="G1148" s="12" t="str">
        <f t="shared" si="34"/>
        <v/>
      </c>
      <c r="H1148" s="12"/>
      <c r="I1148" s="12"/>
      <c r="J1148" s="13">
        <v>45952</v>
      </c>
      <c r="K1148" s="13">
        <v>2958465</v>
      </c>
      <c r="L1148" s="11" t="str">
        <f t="shared" si="35"/>
        <v>INSERT INTO metadata_reference.file_schema VALUES('DETM_DETIS_PJDS','Start_Date',NULL,'DATE',NULL,NULL,NULL,NULL,'2025-10-22','9999-12-31',USER, CURRENT_TIMESTAMP(0));</v>
      </c>
    </row>
    <row r="1149" spans="1:12" ht="15" customHeight="1">
      <c r="A1149" s="11" t="str">
        <f>ETLMetadata!$C1149</f>
        <v>DETM_DETIS_PJDS</v>
      </c>
      <c r="B1149" s="11" t="str">
        <f>ETLMetadata!$E1149</f>
        <v>End_Date</v>
      </c>
      <c r="C1149" s="11" t="str">
        <f>IF(ISBLANK(ETLMetadata!$J1149), "", ETLMetadata!$J1149)</f>
        <v/>
      </c>
      <c r="D1149" s="11" t="str">
        <f>ETLMetadata!$G1149</f>
        <v>DATE</v>
      </c>
      <c r="E1149" s="12"/>
      <c r="F1149" s="12"/>
      <c r="G1149" s="12" t="str">
        <f t="shared" si="34"/>
        <v/>
      </c>
      <c r="H1149" s="12"/>
      <c r="I1149" s="12"/>
      <c r="J1149" s="13">
        <v>45952</v>
      </c>
      <c r="K1149" s="13">
        <v>2958465</v>
      </c>
      <c r="L1149" s="11" t="str">
        <f t="shared" si="35"/>
        <v>INSERT INTO metadata_reference.file_schema VALUES('DETM_DETIS_PJDS','End_Date',NULL,'DATE',NULL,NULL,NULL,NULL,'2025-10-22','9999-12-31',USER, CURRENT_TIMESTAMP(0));</v>
      </c>
    </row>
    <row r="1150" spans="1:12" ht="15" customHeight="1">
      <c r="A1150" s="11" t="str">
        <f>ETLMetadata!$C1150</f>
        <v>DETM_DETIS_PJDS</v>
      </c>
      <c r="B1150" s="11" t="str">
        <f>ETLMetadata!$E1150</f>
        <v>Record_Deleted_Flag</v>
      </c>
      <c r="C1150" s="11" t="str">
        <f>IF(ISBLANK(ETLMetadata!$J1150), "", ETLMetadata!$J1150)</f>
        <v/>
      </c>
      <c r="D1150" s="11" t="str">
        <f>ETLMetadata!$G1150</f>
        <v>BYTEINT</v>
      </c>
      <c r="E1150" s="12"/>
      <c r="F1150" s="12"/>
      <c r="G1150" s="12" t="str">
        <f t="shared" si="34"/>
        <v/>
      </c>
      <c r="H1150" s="12"/>
      <c r="I1150" s="12"/>
      <c r="J1150" s="13">
        <v>45952</v>
      </c>
      <c r="K1150" s="13">
        <v>2958465</v>
      </c>
      <c r="L1150" s="11" t="str">
        <f t="shared" si="35"/>
        <v>INSERT INTO metadata_reference.file_schema VALUES('DETM_DETIS_PJDS','Record_Deleted_Flag',NULL,'BYTEINT',NULL,NULL,NULL,NULL,'2025-10-22','9999-12-31',USER, CURRENT_TIMESTAMP(0));</v>
      </c>
    </row>
    <row r="1151" spans="1:12" ht="15" customHeight="1">
      <c r="A1151" s="11" t="str">
        <f>ETLMetadata!$C1151</f>
        <v>DETM_DETIS_PNDS</v>
      </c>
      <c r="B1151" s="11" t="str">
        <f>ETLMetadata!$E1151</f>
        <v>EXTRACT_DATE</v>
      </c>
      <c r="C1151" s="11" t="str">
        <f>IF(ISBLANK(ETLMetadata!$J1151), "", ETLMetadata!$J1151)</f>
        <v/>
      </c>
      <c r="D1151" s="11" t="str">
        <f>ETLMetadata!$G1151</f>
        <v>DATE</v>
      </c>
      <c r="E1151" s="12"/>
      <c r="F1151" s="12"/>
      <c r="G1151" s="12" t="str">
        <f t="shared" si="34"/>
        <v/>
      </c>
      <c r="H1151" s="12"/>
      <c r="I1151" s="12"/>
      <c r="J1151" s="13">
        <v>45952</v>
      </c>
      <c r="K1151" s="13">
        <v>2958465</v>
      </c>
      <c r="L1151" s="11" t="str">
        <f t="shared" si="35"/>
        <v>INSERT INTO metadata_reference.file_schema VALUES('DETM_DETIS_PNDS','EXTRACT_DATE',NULL,'DATE',NULL,NULL,NULL,NULL,'2025-10-22','9999-12-31',USER, CURRENT_TIMESTAMP(0));</v>
      </c>
    </row>
    <row r="1152" spans="1:12" ht="15" customHeight="1">
      <c r="A1152" s="11" t="str">
        <f>ETLMetadata!$C1152</f>
        <v>DETM_DETIS_PNDS</v>
      </c>
      <c r="B1152" s="11" t="str">
        <f>ETLMetadata!$E1152</f>
        <v>LOGICAL_DELETE_DATE</v>
      </c>
      <c r="C1152" s="11" t="str">
        <f>IF(ISBLANK(ETLMetadata!$J1152), "", ETLMetadata!$J1152)</f>
        <v/>
      </c>
      <c r="D1152" s="11" t="str">
        <f>ETLMetadata!$G1152</f>
        <v>DATE</v>
      </c>
      <c r="E1152" s="12"/>
      <c r="F1152" s="12"/>
      <c r="G1152" s="12" t="str">
        <f t="shared" si="34"/>
        <v/>
      </c>
      <c r="H1152" s="12"/>
      <c r="I1152" s="12"/>
      <c r="J1152" s="13">
        <v>45952</v>
      </c>
      <c r="K1152" s="13">
        <v>2958465</v>
      </c>
      <c r="L1152" s="11" t="str">
        <f t="shared" si="35"/>
        <v>INSERT INTO metadata_reference.file_schema VALUES('DETM_DETIS_PNDS','LOGICAL_DELETE_DATE',NULL,'DATE',NULL,NULL,NULL,NULL,'2025-10-22','9999-12-31',USER, CURRENT_TIMESTAMP(0));</v>
      </c>
    </row>
    <row r="1153" spans="1:12" ht="15" customHeight="1">
      <c r="A1153" s="11" t="str">
        <f>ETLMetadata!$C1153</f>
        <v>DETM_DETIS_PNDS</v>
      </c>
      <c r="B1153" s="11" t="str">
        <f>ETLMetadata!$E1153</f>
        <v>ENVIRONMENT_ID</v>
      </c>
      <c r="C1153" s="11" t="str">
        <f>IF(ISBLANK(ETLMetadata!$J1153), "", ETLMetadata!$J1153)</f>
        <v>Y</v>
      </c>
      <c r="D1153" s="11" t="str">
        <f>ETLMetadata!$G1153</f>
        <v>CHAR(1)</v>
      </c>
      <c r="E1153" s="12"/>
      <c r="F1153" s="12"/>
      <c r="G1153" s="12" t="str">
        <f t="shared" si="34"/>
        <v/>
      </c>
      <c r="H1153" s="12"/>
      <c r="I1153" s="12"/>
      <c r="J1153" s="13">
        <v>45952</v>
      </c>
      <c r="K1153" s="13">
        <v>2958465</v>
      </c>
      <c r="L1153" s="11" t="str">
        <f t="shared" si="35"/>
        <v>INSERT INTO metadata_reference.file_schema VALUES('DETM_DETIS_PNDS','ENVIRONMENT_ID','Y','CHAR(1)',NULL,NULL,NULL,NULL,'2025-10-22','9999-12-31',USER, CURRENT_TIMESTAMP(0));</v>
      </c>
    </row>
    <row r="1154" spans="1:12" ht="15" customHeight="1">
      <c r="A1154" s="11" t="str">
        <f>ETLMetadata!$C1154</f>
        <v>DETM_DETIS_PNDS</v>
      </c>
      <c r="B1154" s="11" t="str">
        <f>ETLMetadata!$E1154</f>
        <v>PERSON_ID</v>
      </c>
      <c r="C1154" s="11" t="str">
        <f>IF(ISBLANK(ETLMetadata!$J1154), "", ETLMetadata!$J1154)</f>
        <v>Y</v>
      </c>
      <c r="D1154" s="11" t="str">
        <f>ETLMetadata!$G1154</f>
        <v>INTEGER</v>
      </c>
      <c r="E1154" s="12"/>
      <c r="F1154" s="12" t="s">
        <v>799</v>
      </c>
      <c r="G1154" s="12" t="str">
        <f t="shared" si="34"/>
        <v>PERSONAL_IDENTITYINFOINDIRECT</v>
      </c>
      <c r="H1154" s="12"/>
      <c r="I1154" s="12"/>
      <c r="J1154" s="13">
        <v>45952</v>
      </c>
      <c r="K1154" s="13">
        <v>2958465</v>
      </c>
      <c r="L1154" s="11" t="str">
        <f t="shared" si="35"/>
        <v>INSERT INTO metadata_reference.file_schema VALUES('DETM_DETIS_PNDS','PERSON_ID','Y','INTEGER',NULL,'PERSONAL_IDENTITYINFOINDIRECT',NULL,NULL,'2025-10-22','9999-12-31',USER, CURRENT_TIMESTAMP(0));</v>
      </c>
    </row>
    <row r="1155" spans="1:12" ht="15" customHeight="1">
      <c r="A1155" s="11" t="str">
        <f>ETLMetadata!$C1155</f>
        <v>DETM_DETIS_PNDS</v>
      </c>
      <c r="B1155" s="11" t="str">
        <f>ETLMetadata!$E1155</f>
        <v>PNDS_DOE</v>
      </c>
      <c r="C1155" s="11" t="str">
        <f>IF(ISBLANK(ETLMetadata!$J1155), "", ETLMetadata!$J1155)</f>
        <v/>
      </c>
      <c r="D1155" s="11" t="str">
        <f>ETLMetadata!$G1155</f>
        <v>DATE</v>
      </c>
      <c r="E1155" s="12"/>
      <c r="F1155" s="12"/>
      <c r="G1155" s="12" t="str">
        <f t="shared" ref="G1155:G1218" si="36">UPPER($F1155)</f>
        <v/>
      </c>
      <c r="H1155" s="12"/>
      <c r="I1155" s="12"/>
      <c r="J1155" s="13">
        <v>45952</v>
      </c>
      <c r="K1155" s="13">
        <v>2958465</v>
      </c>
      <c r="L1155" s="11" t="str">
        <f t="shared" ref="L1155:L1218" si="37">CONCATENATE("INSERT INTO metadata_reference.file_schema VALUES('",TRIM(A1155),"','",TRIM(B1155),"',",IF(TRIM(C1155)="","NULL","'"&amp;TRIM(C1155)&amp;"'"),",'",TRIM(D1155),"',",IF(TRIM(E1155)="","NULL","'"&amp;TRIM(E1155)&amp;"'"),",",IF(TRIM(G1155)="","NULL","'"&amp;TRIM(G1155)&amp;"'"),",",IF(TRIM(H1155)="","NULL","'"&amp;TRIM(H1155)&amp;"'"),",",
IF(TRIM(I1155)="","NULL",TRIM(I1155)),",",IF(TRIM(J1155)="","NULL","'"&amp;TEXT(J1155,"yyyy-mm-dd")&amp;"'"),",",IF(TRIM(K1155)="","NULL","'"&amp;TEXT(K1155,"yyyy-mm-dd")&amp;"'"),",","USER, CURRENT_TIMESTAMP(0));")</f>
        <v>INSERT INTO metadata_reference.file_schema VALUES('DETM_DETIS_PNDS','PNDS_DOE',NULL,'DATE',NULL,NULL,NULL,NULL,'2025-10-22','9999-12-31',USER, CURRENT_TIMESTAMP(0));</v>
      </c>
    </row>
    <row r="1156" spans="1:12" ht="15" customHeight="1">
      <c r="A1156" s="11" t="str">
        <f>ETLMetadata!$C1156</f>
        <v>DETM_DETIS_PNDS</v>
      </c>
      <c r="B1156" s="11" t="str">
        <f>ETLMetadata!$E1156</f>
        <v>PNDS_DOE_ORIG</v>
      </c>
      <c r="C1156" s="11" t="str">
        <f>IF(ISBLANK(ETLMetadata!$J1156), "", ETLMetadata!$J1156)</f>
        <v/>
      </c>
      <c r="D1156" s="11" t="str">
        <f>ETLMetadata!$G1156</f>
        <v>INTEGER</v>
      </c>
      <c r="E1156" s="12"/>
      <c r="F1156" s="12"/>
      <c r="G1156" s="12" t="str">
        <f t="shared" si="36"/>
        <v/>
      </c>
      <c r="H1156" s="12"/>
      <c r="I1156" s="12"/>
      <c r="J1156" s="13">
        <v>45952</v>
      </c>
      <c r="K1156" s="13">
        <v>2958465</v>
      </c>
      <c r="L1156" s="11" t="str">
        <f t="shared" si="37"/>
        <v>INSERT INTO metadata_reference.file_schema VALUES('DETM_DETIS_PNDS','PNDS_DOE_ORIG',NULL,'INTEGER',NULL,NULL,NULL,NULL,'2025-10-22','9999-12-31',USER, CURRENT_TIMESTAMP(0));</v>
      </c>
    </row>
    <row r="1157" spans="1:12" ht="15" customHeight="1">
      <c r="A1157" s="11" t="str">
        <f>ETLMetadata!$C1157</f>
        <v>DETM_DETIS_PNDS</v>
      </c>
      <c r="B1157" s="11" t="str">
        <f>ETLMetadata!$E1157</f>
        <v>PROCESSING_SEQUENCE</v>
      </c>
      <c r="C1157" s="11" t="str">
        <f>IF(ISBLANK(ETLMetadata!$J1157), "", ETLMetadata!$J1157)</f>
        <v>Y</v>
      </c>
      <c r="D1157" s="11" t="str">
        <f>ETLMetadata!$G1157</f>
        <v>SMALLINT</v>
      </c>
      <c r="E1157" s="12"/>
      <c r="F1157" s="12"/>
      <c r="G1157" s="12" t="str">
        <f t="shared" si="36"/>
        <v/>
      </c>
      <c r="H1157" s="12"/>
      <c r="I1157" s="12"/>
      <c r="J1157" s="13">
        <v>45952</v>
      </c>
      <c r="K1157" s="13">
        <v>2958465</v>
      </c>
      <c r="L1157" s="11" t="str">
        <f t="shared" si="37"/>
        <v>INSERT INTO metadata_reference.file_schema VALUES('DETM_DETIS_PNDS','PROCESSING_SEQUENCE','Y','SMALLINT',NULL,NULL,NULL,NULL,'2025-10-22','9999-12-31',USER, CURRENT_TIMESTAMP(0));</v>
      </c>
    </row>
    <row r="1158" spans="1:12" ht="15" customHeight="1">
      <c r="A1158" s="11" t="str">
        <f>ETLMetadata!$C1158</f>
        <v>DETM_DETIS_PNDS</v>
      </c>
      <c r="B1158" s="11" t="str">
        <f>ETLMetadata!$E1158</f>
        <v>PNDS_AMR_1</v>
      </c>
      <c r="C1158" s="11" t="str">
        <f>IF(ISBLANK(ETLMetadata!$J1158), "", ETLMetadata!$J1158)</f>
        <v/>
      </c>
      <c r="D1158" s="11" t="str">
        <f>ETLMetadata!$G1158</f>
        <v>CHAR(4)</v>
      </c>
      <c r="E1158" s="12"/>
      <c r="F1158" s="12"/>
      <c r="G1158" s="12" t="str">
        <f t="shared" si="36"/>
        <v/>
      </c>
      <c r="H1158" s="12"/>
      <c r="I1158" s="12"/>
      <c r="J1158" s="13">
        <v>45952</v>
      </c>
      <c r="K1158" s="13">
        <v>2958465</v>
      </c>
      <c r="L1158" s="11" t="str">
        <f t="shared" si="37"/>
        <v>INSERT INTO metadata_reference.file_schema VALUES('DETM_DETIS_PNDS','PNDS_AMR_1',NULL,'CHAR(4)',NULL,NULL,NULL,NULL,'2025-10-22','9999-12-31',USER, CURRENT_TIMESTAMP(0));</v>
      </c>
    </row>
    <row r="1159" spans="1:12" ht="15" customHeight="1">
      <c r="A1159" s="11" t="str">
        <f>ETLMetadata!$C1159</f>
        <v>DETM_DETIS_PNDS</v>
      </c>
      <c r="B1159" s="11" t="str">
        <f>ETLMetadata!$E1159</f>
        <v>PNDS_AMR_2</v>
      </c>
      <c r="C1159" s="11" t="str">
        <f>IF(ISBLANK(ETLMetadata!$J1159), "", ETLMetadata!$J1159)</f>
        <v/>
      </c>
      <c r="D1159" s="11" t="str">
        <f>ETLMetadata!$G1159</f>
        <v>CHAR(1)</v>
      </c>
      <c r="E1159" s="12"/>
      <c r="F1159" s="12"/>
      <c r="G1159" s="12" t="str">
        <f t="shared" si="36"/>
        <v/>
      </c>
      <c r="H1159" s="12"/>
      <c r="I1159" s="12"/>
      <c r="J1159" s="13">
        <v>45952</v>
      </c>
      <c r="K1159" s="13">
        <v>2958465</v>
      </c>
      <c r="L1159" s="11" t="str">
        <f t="shared" si="37"/>
        <v>INSERT INTO metadata_reference.file_schema VALUES('DETM_DETIS_PNDS','PNDS_AMR_2',NULL,'CHAR(1)',NULL,NULL,NULL,NULL,'2025-10-22','9999-12-31',USER, CURRENT_TIMESTAMP(0));</v>
      </c>
    </row>
    <row r="1160" spans="1:12" ht="15" customHeight="1">
      <c r="A1160" s="11" t="str">
        <f>ETLMetadata!$C1160</f>
        <v>DETM_DETIS_PNDS</v>
      </c>
      <c r="B1160" s="11" t="str">
        <f>ETLMetadata!$E1160</f>
        <v>PNDS_AMR_3</v>
      </c>
      <c r="C1160" s="11" t="str">
        <f>IF(ISBLANK(ETLMetadata!$J1160), "", ETLMetadata!$J1160)</f>
        <v/>
      </c>
      <c r="D1160" s="11" t="str">
        <f>ETLMetadata!$G1160</f>
        <v>CHAR(4)</v>
      </c>
      <c r="E1160" s="12"/>
      <c r="F1160" s="12"/>
      <c r="G1160" s="12" t="str">
        <f t="shared" si="36"/>
        <v/>
      </c>
      <c r="H1160" s="12"/>
      <c r="I1160" s="12"/>
      <c r="J1160" s="13">
        <v>45952</v>
      </c>
      <c r="K1160" s="13">
        <v>2958465</v>
      </c>
      <c r="L1160" s="11" t="str">
        <f t="shared" si="37"/>
        <v>INSERT INTO metadata_reference.file_schema VALUES('DETM_DETIS_PNDS','PNDS_AMR_3',NULL,'CHAR(4)',NULL,NULL,NULL,NULL,'2025-10-22','9999-12-31',USER, CURRENT_TIMESTAMP(0));</v>
      </c>
    </row>
    <row r="1161" spans="1:12" ht="15" customHeight="1">
      <c r="A1161" s="11" t="str">
        <f>ETLMetadata!$C1161</f>
        <v>DETM_DETIS_PNDS</v>
      </c>
      <c r="B1161" s="11" t="str">
        <f>ETLMetadata!$E1161</f>
        <v>PNDS_BEN_TYPE_CODE</v>
      </c>
      <c r="C1161" s="11" t="str">
        <f>IF(ISBLANK(ETLMetadata!$J1161), "", ETLMetadata!$J1161)</f>
        <v/>
      </c>
      <c r="D1161" s="11" t="str">
        <f>ETLMetadata!$G1161</f>
        <v>CHAR(3)</v>
      </c>
      <c r="E1161" s="12"/>
      <c r="F1161" s="12"/>
      <c r="G1161" s="12" t="str">
        <f t="shared" si="36"/>
        <v/>
      </c>
      <c r="H1161" s="12"/>
      <c r="I1161" s="12"/>
      <c r="J1161" s="13">
        <v>45952</v>
      </c>
      <c r="K1161" s="13">
        <v>2958465</v>
      </c>
      <c r="L1161" s="11" t="str">
        <f t="shared" si="37"/>
        <v>INSERT INTO metadata_reference.file_schema VALUES('DETM_DETIS_PNDS','PNDS_BEN_TYPE_CODE',NULL,'CHAR(3)',NULL,NULL,NULL,NULL,'2025-10-22','9999-12-31',USER, CURRENT_TIMESTAMP(0));</v>
      </c>
    </row>
    <row r="1162" spans="1:12" ht="15" customHeight="1">
      <c r="A1162" s="11" t="str">
        <f>ETLMetadata!$C1162</f>
        <v>DETM_DETIS_PNDS</v>
      </c>
      <c r="B1162" s="11" t="str">
        <f>ETLMetadata!$E1162</f>
        <v>PNDS_PRCL_END_DATE</v>
      </c>
      <c r="C1162" s="11" t="str">
        <f>IF(ISBLANK(ETLMetadata!$J1162), "", ETLMetadata!$J1162)</f>
        <v/>
      </c>
      <c r="D1162" s="11" t="str">
        <f>ETLMetadata!$G1162</f>
        <v>DATE</v>
      </c>
      <c r="E1162" s="12"/>
      <c r="F1162" s="12"/>
      <c r="G1162" s="12" t="str">
        <f t="shared" si="36"/>
        <v/>
      </c>
      <c r="H1162" s="12"/>
      <c r="I1162" s="12"/>
      <c r="J1162" s="13">
        <v>45952</v>
      </c>
      <c r="K1162" s="13">
        <v>2958465</v>
      </c>
      <c r="L1162" s="11" t="str">
        <f t="shared" si="37"/>
        <v>INSERT INTO metadata_reference.file_schema VALUES('DETM_DETIS_PNDS','PNDS_PRCL_END_DATE',NULL,'DATE',NULL,NULL,NULL,NULL,'2025-10-22','9999-12-31',USER, CURRENT_TIMESTAMP(0));</v>
      </c>
    </row>
    <row r="1163" spans="1:12" ht="15" customHeight="1">
      <c r="A1163" s="11" t="str">
        <f>ETLMetadata!$C1163</f>
        <v>DETM_DETIS_PNDS</v>
      </c>
      <c r="B1163" s="11" t="str">
        <f>ETLMetadata!$E1163</f>
        <v>PNDS_PRCL_END_DATE_ORIG</v>
      </c>
      <c r="C1163" s="11" t="str">
        <f>IF(ISBLANK(ETLMetadata!$J1163), "", ETLMetadata!$J1163)</f>
        <v/>
      </c>
      <c r="D1163" s="11" t="str">
        <f>ETLMetadata!$G1163</f>
        <v>INTEGER</v>
      </c>
      <c r="E1163" s="12"/>
      <c r="F1163" s="12"/>
      <c r="G1163" s="12" t="str">
        <f t="shared" si="36"/>
        <v/>
      </c>
      <c r="H1163" s="12"/>
      <c r="I1163" s="12"/>
      <c r="J1163" s="13">
        <v>45952</v>
      </c>
      <c r="K1163" s="13">
        <v>2958465</v>
      </c>
      <c r="L1163" s="11" t="str">
        <f t="shared" si="37"/>
        <v>INSERT INTO metadata_reference.file_schema VALUES('DETM_DETIS_PNDS','PNDS_PRCL_END_DATE_ORIG',NULL,'INTEGER',NULL,NULL,NULL,NULL,'2025-10-22','9999-12-31',USER, CURRENT_TIMESTAMP(0));</v>
      </c>
    </row>
    <row r="1164" spans="1:12" ht="15" customHeight="1">
      <c r="A1164" s="11" t="str">
        <f>ETLMetadata!$C1164</f>
        <v>DETM_DETIS_PNDS</v>
      </c>
      <c r="B1164" s="11" t="str">
        <f>ETLMetadata!$E1164</f>
        <v>PNDS_RSN_CODE</v>
      </c>
      <c r="C1164" s="11" t="str">
        <f>IF(ISBLANK(ETLMetadata!$J1164), "", ETLMetadata!$J1164)</f>
        <v/>
      </c>
      <c r="D1164" s="11" t="str">
        <f>ETLMetadata!$G1164</f>
        <v>CHAR(3)</v>
      </c>
      <c r="E1164" s="12"/>
      <c r="F1164" s="12"/>
      <c r="G1164" s="12" t="str">
        <f t="shared" si="36"/>
        <v/>
      </c>
      <c r="H1164" s="12"/>
      <c r="I1164" s="12"/>
      <c r="J1164" s="13">
        <v>45952</v>
      </c>
      <c r="K1164" s="13">
        <v>2958465</v>
      </c>
      <c r="L1164" s="11" t="str">
        <f t="shared" si="37"/>
        <v>INSERT INTO metadata_reference.file_schema VALUES('DETM_DETIS_PNDS','PNDS_RSN_CODE',NULL,'CHAR(3)',NULL,NULL,NULL,NULL,'2025-10-22','9999-12-31',USER, CURRENT_TIMESTAMP(0));</v>
      </c>
    </row>
    <row r="1165" spans="1:12" ht="15" customHeight="1">
      <c r="A1165" s="11" t="str">
        <f>ETLMetadata!$C1165</f>
        <v>DETM_DETIS_PNDS</v>
      </c>
      <c r="B1165" s="11" t="str">
        <f>ETLMetadata!$E1165</f>
        <v>PNDS_STS_CODE</v>
      </c>
      <c r="C1165" s="11" t="str">
        <f>IF(ISBLANK(ETLMetadata!$J1165), "", ETLMetadata!$J1165)</f>
        <v/>
      </c>
      <c r="D1165" s="11" t="str">
        <f>ETLMetadata!$G1165</f>
        <v>CHAR(3)</v>
      </c>
      <c r="E1165" s="12"/>
      <c r="F1165" s="12"/>
      <c r="G1165" s="12" t="str">
        <f t="shared" si="36"/>
        <v/>
      </c>
      <c r="H1165" s="12"/>
      <c r="I1165" s="12"/>
      <c r="J1165" s="13">
        <v>45952</v>
      </c>
      <c r="K1165" s="13">
        <v>2958465</v>
      </c>
      <c r="L1165" s="11" t="str">
        <f t="shared" si="37"/>
        <v>INSERT INTO metadata_reference.file_schema VALUES('DETM_DETIS_PNDS','PNDS_STS_CODE',NULL,'CHAR(3)',NULL,NULL,NULL,NULL,'2025-10-22','9999-12-31',USER, CURRENT_TIMESTAMP(0));</v>
      </c>
    </row>
    <row r="1166" spans="1:12" ht="15" customHeight="1">
      <c r="A1166" s="11" t="str">
        <f>ETLMetadata!$C1166</f>
        <v>DETM_DETIS_PNDS</v>
      </c>
      <c r="B1166" s="11" t="str">
        <f>ETLMetadata!$E1166</f>
        <v>AMR1_RISL_DTS</v>
      </c>
      <c r="C1166" s="11" t="str">
        <f>IF(ISBLANK(ETLMetadata!$J1166), "", ETLMetadata!$J1166)</f>
        <v/>
      </c>
      <c r="D1166" s="11" t="str">
        <f>ETLMetadata!$G1166</f>
        <v>TIMESTAMP(6)</v>
      </c>
      <c r="E1166" s="12"/>
      <c r="F1166" s="12"/>
      <c r="G1166" s="12" t="str">
        <f t="shared" si="36"/>
        <v/>
      </c>
      <c r="H1166" s="12"/>
      <c r="I1166" s="12"/>
      <c r="J1166" s="13">
        <v>45952</v>
      </c>
      <c r="K1166" s="13">
        <v>2958465</v>
      </c>
      <c r="L1166" s="11" t="str">
        <f t="shared" si="37"/>
        <v>INSERT INTO metadata_reference.file_schema VALUES('DETM_DETIS_PNDS','AMR1_RISL_DTS',NULL,'TIMESTAMP(6)',NULL,NULL,NULL,NULL,'2025-10-22','9999-12-31',USER, CURRENT_TIMESTAMP(0));</v>
      </c>
    </row>
    <row r="1167" spans="1:12" ht="15" customHeight="1">
      <c r="A1167" s="11" t="str">
        <f>ETLMetadata!$C1167</f>
        <v>DETM_DETIS_PNDS</v>
      </c>
      <c r="B1167" s="11" t="str">
        <f>ETLMetadata!$E1167</f>
        <v>AMR3_RISL_DTS</v>
      </c>
      <c r="C1167" s="11" t="str">
        <f>IF(ISBLANK(ETLMetadata!$J1167), "", ETLMetadata!$J1167)</f>
        <v/>
      </c>
      <c r="D1167" s="11" t="str">
        <f>ETLMetadata!$G1167</f>
        <v>TIMESTAMP(6)</v>
      </c>
      <c r="E1167" s="12"/>
      <c r="F1167" s="12"/>
      <c r="G1167" s="12" t="str">
        <f t="shared" si="36"/>
        <v/>
      </c>
      <c r="H1167" s="12"/>
      <c r="I1167" s="12"/>
      <c r="J1167" s="13">
        <v>45952</v>
      </c>
      <c r="K1167" s="13">
        <v>2958465</v>
      </c>
      <c r="L1167" s="11" t="str">
        <f t="shared" si="37"/>
        <v>INSERT INTO metadata_reference.file_schema VALUES('DETM_DETIS_PNDS','AMR3_RISL_DTS',NULL,'TIMESTAMP(6)',NULL,NULL,NULL,NULL,'2025-10-22','9999-12-31',USER, CURRENT_TIMESTAMP(0));</v>
      </c>
    </row>
    <row r="1168" spans="1:12" ht="15" customHeight="1">
      <c r="A1168" s="11" t="str">
        <f>ETLMetadata!$C1168</f>
        <v>DETM_DETIS_PNDS</v>
      </c>
      <c r="B1168" s="11" t="str">
        <f>ETLMetadata!$E1168</f>
        <v>PARTY_ROLE_ID</v>
      </c>
      <c r="C1168" s="11" t="str">
        <f>IF(ISBLANK(ETLMetadata!$J1168), "", ETLMetadata!$J1168)</f>
        <v/>
      </c>
      <c r="D1168" s="11" t="str">
        <f>ETLMetadata!$G1168</f>
        <v>INTEGER</v>
      </c>
      <c r="E1168" s="12"/>
      <c r="F1168" s="12"/>
      <c r="G1168" s="12" t="str">
        <f t="shared" si="36"/>
        <v/>
      </c>
      <c r="H1168" s="12"/>
      <c r="I1168" s="12"/>
      <c r="J1168" s="13">
        <v>45952</v>
      </c>
      <c r="K1168" s="13">
        <v>2958465</v>
      </c>
      <c r="L1168" s="11" t="str">
        <f t="shared" si="37"/>
        <v>INSERT INTO metadata_reference.file_schema VALUES('DETM_DETIS_PNDS','PARTY_ROLE_ID',NULL,'INTEGER',NULL,NULL,NULL,NULL,'2025-10-22','9999-12-31',USER, CURRENT_TIMESTAMP(0));</v>
      </c>
    </row>
    <row r="1169" spans="1:12" ht="15" customHeight="1">
      <c r="A1169" s="11" t="str">
        <f>ETLMetadata!$C1169</f>
        <v>DETM_DETIS_PNDS</v>
      </c>
      <c r="B1169" s="11" t="str">
        <f>ETLMetadata!$E1169</f>
        <v>EPISODE_ID</v>
      </c>
      <c r="C1169" s="11" t="str">
        <f>IF(ISBLANK(ETLMetadata!$J1169), "", ETLMetadata!$J1169)</f>
        <v/>
      </c>
      <c r="D1169" s="11" t="str">
        <f>ETLMetadata!$G1169</f>
        <v>INTEGER</v>
      </c>
      <c r="E1169" s="12"/>
      <c r="F1169" s="12"/>
      <c r="G1169" s="12" t="str">
        <f t="shared" si="36"/>
        <v/>
      </c>
      <c r="H1169" s="12"/>
      <c r="I1169" s="12"/>
      <c r="J1169" s="13">
        <v>45952</v>
      </c>
      <c r="K1169" s="13">
        <v>2958465</v>
      </c>
      <c r="L1169" s="11" t="str">
        <f t="shared" si="37"/>
        <v>INSERT INTO metadata_reference.file_schema VALUES('DETM_DETIS_PNDS','EPISODE_ID',NULL,'INTEGER',NULL,NULL,NULL,NULL,'2025-10-22','9999-12-31',USER, CURRENT_TIMESTAMP(0));</v>
      </c>
    </row>
    <row r="1170" spans="1:12" ht="15" customHeight="1">
      <c r="A1170" s="11" t="str">
        <f>ETLMetadata!$C1170</f>
        <v>DETM_DETIS_PNDS</v>
      </c>
      <c r="B1170" s="11" t="str">
        <f>ETLMetadata!$E1170</f>
        <v>PAYMENT_TYPE_ID</v>
      </c>
      <c r="C1170" s="11" t="str">
        <f>IF(ISBLANK(ETLMetadata!$J1170), "", ETLMetadata!$J1170)</f>
        <v/>
      </c>
      <c r="D1170" s="11" t="str">
        <f>ETLMetadata!$G1170</f>
        <v>INTEGER</v>
      </c>
      <c r="E1170" s="12"/>
      <c r="F1170" s="12"/>
      <c r="G1170" s="12" t="str">
        <f t="shared" si="36"/>
        <v/>
      </c>
      <c r="H1170" s="12"/>
      <c r="I1170" s="12"/>
      <c r="J1170" s="13">
        <v>45952</v>
      </c>
      <c r="K1170" s="13">
        <v>2958465</v>
      </c>
      <c r="L1170" s="11" t="str">
        <f t="shared" si="37"/>
        <v>INSERT INTO metadata_reference.file_schema VALUES('DETM_DETIS_PNDS','PAYMENT_TYPE_ID',NULL,'INTEGER',NULL,NULL,NULL,NULL,'2025-10-22','9999-12-31',USER, CURRENT_TIMESTAMP(0));</v>
      </c>
    </row>
    <row r="1171" spans="1:12" ht="15" customHeight="1">
      <c r="A1171" s="11" t="str">
        <f>ETLMetadata!$C1171</f>
        <v>DETM_DETIS_PNDS</v>
      </c>
      <c r="B1171" s="11" t="str">
        <f>ETLMetadata!$E1171</f>
        <v>ERROR_COUNT</v>
      </c>
      <c r="C1171" s="11" t="str">
        <f>IF(ISBLANK(ETLMetadata!$J1171), "", ETLMetadata!$J1171)</f>
        <v/>
      </c>
      <c r="D1171" s="11" t="str">
        <f>ETLMetadata!$G1171</f>
        <v>SMALLINT</v>
      </c>
      <c r="E1171" s="12"/>
      <c r="F1171" s="12"/>
      <c r="G1171" s="12" t="str">
        <f t="shared" si="36"/>
        <v/>
      </c>
      <c r="H1171" s="12"/>
      <c r="I1171" s="12"/>
      <c r="J1171" s="13">
        <v>45952</v>
      </c>
      <c r="K1171" s="13">
        <v>2958465</v>
      </c>
      <c r="L1171" s="11" t="str">
        <f t="shared" si="37"/>
        <v>INSERT INTO metadata_reference.file_schema VALUES('DETM_DETIS_PNDS','ERROR_COUNT',NULL,'SMALLINT',NULL,NULL,NULL,NULL,'2025-10-22','9999-12-31',USER, CURRENT_TIMESTAMP(0));</v>
      </c>
    </row>
    <row r="1172" spans="1:12" ht="15" customHeight="1">
      <c r="A1172" s="11" t="str">
        <f>ETLMetadata!$C1172</f>
        <v>DETM_DETIS_PNDS</v>
      </c>
      <c r="B1172" s="11" t="str">
        <f>ETLMetadata!$E1172</f>
        <v>Start_Date</v>
      </c>
      <c r="C1172" s="11" t="str">
        <f>IF(ISBLANK(ETLMetadata!$J1172), "", ETLMetadata!$J1172)</f>
        <v/>
      </c>
      <c r="D1172" s="11" t="str">
        <f>ETLMetadata!$G1172</f>
        <v>DATE</v>
      </c>
      <c r="E1172" s="12"/>
      <c r="F1172" s="12"/>
      <c r="G1172" s="12" t="str">
        <f t="shared" si="36"/>
        <v/>
      </c>
      <c r="H1172" s="12"/>
      <c r="I1172" s="12"/>
      <c r="J1172" s="13">
        <v>45952</v>
      </c>
      <c r="K1172" s="13">
        <v>2958465</v>
      </c>
      <c r="L1172" s="11" t="str">
        <f t="shared" si="37"/>
        <v>INSERT INTO metadata_reference.file_schema VALUES('DETM_DETIS_PNDS','Start_Date',NULL,'DATE',NULL,NULL,NULL,NULL,'2025-10-22','9999-12-31',USER, CURRENT_TIMESTAMP(0));</v>
      </c>
    </row>
    <row r="1173" spans="1:12" ht="15" customHeight="1">
      <c r="A1173" s="11" t="str">
        <f>ETLMetadata!$C1173</f>
        <v>DETM_DETIS_PNDS</v>
      </c>
      <c r="B1173" s="11" t="str">
        <f>ETLMetadata!$E1173</f>
        <v>End_Date</v>
      </c>
      <c r="C1173" s="11" t="str">
        <f>IF(ISBLANK(ETLMetadata!$J1173), "", ETLMetadata!$J1173)</f>
        <v/>
      </c>
      <c r="D1173" s="11" t="str">
        <f>ETLMetadata!$G1173</f>
        <v>DATE</v>
      </c>
      <c r="E1173" s="12"/>
      <c r="F1173" s="12"/>
      <c r="G1173" s="12" t="str">
        <f t="shared" si="36"/>
        <v/>
      </c>
      <c r="H1173" s="12"/>
      <c r="I1173" s="12"/>
      <c r="J1173" s="13">
        <v>45952</v>
      </c>
      <c r="K1173" s="13">
        <v>2958465</v>
      </c>
      <c r="L1173" s="11" t="str">
        <f t="shared" si="37"/>
        <v>INSERT INTO metadata_reference.file_schema VALUES('DETM_DETIS_PNDS','End_Date',NULL,'DATE',NULL,NULL,NULL,NULL,'2025-10-22','9999-12-31',USER, CURRENT_TIMESTAMP(0));</v>
      </c>
    </row>
    <row r="1174" spans="1:12" ht="15" customHeight="1">
      <c r="A1174" s="11" t="str">
        <f>ETLMetadata!$C1174</f>
        <v>DETM_DETIS_PNDS</v>
      </c>
      <c r="B1174" s="11" t="str">
        <f>ETLMetadata!$E1174</f>
        <v>Record_Deleted_Flag</v>
      </c>
      <c r="C1174" s="11" t="str">
        <f>IF(ISBLANK(ETLMetadata!$J1174), "", ETLMetadata!$J1174)</f>
        <v/>
      </c>
      <c r="D1174" s="11" t="str">
        <f>ETLMetadata!$G1174</f>
        <v>BYTEINT</v>
      </c>
      <c r="E1174" s="12"/>
      <c r="F1174" s="12"/>
      <c r="G1174" s="12" t="str">
        <f t="shared" si="36"/>
        <v/>
      </c>
      <c r="H1174" s="12"/>
      <c r="I1174" s="12"/>
      <c r="J1174" s="13">
        <v>45952</v>
      </c>
      <c r="K1174" s="13">
        <v>2958465</v>
      </c>
      <c r="L1174" s="11" t="str">
        <f t="shared" si="37"/>
        <v>INSERT INTO metadata_reference.file_schema VALUES('DETM_DETIS_PNDS','Record_Deleted_Flag',NULL,'BYTEINT',NULL,NULL,NULL,NULL,'2025-10-22','9999-12-31',USER, CURRENT_TIMESTAMP(0));</v>
      </c>
    </row>
    <row r="1175" spans="1:12" ht="15" customHeight="1">
      <c r="A1175" s="11" t="str">
        <f>ETLMetadata!$C1175</f>
        <v>DETM_DETIS_RCDS</v>
      </c>
      <c r="B1175" s="11" t="str">
        <f>ETLMetadata!$E1175</f>
        <v>EXTRACT_DATE</v>
      </c>
      <c r="C1175" s="11" t="str">
        <f>IF(ISBLANK(ETLMetadata!$J1175), "", ETLMetadata!$J1175)</f>
        <v/>
      </c>
      <c r="D1175" s="11" t="str">
        <f>ETLMetadata!$G1175</f>
        <v>DATE</v>
      </c>
      <c r="E1175" s="12"/>
      <c r="F1175" s="12"/>
      <c r="G1175" s="12" t="str">
        <f t="shared" si="36"/>
        <v/>
      </c>
      <c r="H1175" s="12"/>
      <c r="I1175" s="12"/>
      <c r="J1175" s="13">
        <v>45952</v>
      </c>
      <c r="K1175" s="13">
        <v>2958465</v>
      </c>
      <c r="L1175" s="11" t="str">
        <f t="shared" si="37"/>
        <v>INSERT INTO metadata_reference.file_schema VALUES('DETM_DETIS_RCDS','EXTRACT_DATE',NULL,'DATE',NULL,NULL,NULL,NULL,'2025-10-22','9999-12-31',USER, CURRENT_TIMESTAMP(0));</v>
      </c>
    </row>
    <row r="1176" spans="1:12" ht="15" customHeight="1">
      <c r="A1176" s="11" t="str">
        <f>ETLMetadata!$C1176</f>
        <v>DETM_DETIS_RCDS</v>
      </c>
      <c r="B1176" s="11" t="str">
        <f>ETLMetadata!$E1176</f>
        <v>LOGICAL_DELETE_DATE</v>
      </c>
      <c r="C1176" s="11" t="str">
        <f>IF(ISBLANK(ETLMetadata!$J1176), "", ETLMetadata!$J1176)</f>
        <v/>
      </c>
      <c r="D1176" s="11" t="str">
        <f>ETLMetadata!$G1176</f>
        <v>DATE</v>
      </c>
      <c r="E1176" s="12"/>
      <c r="F1176" s="12"/>
      <c r="G1176" s="12" t="str">
        <f t="shared" si="36"/>
        <v/>
      </c>
      <c r="H1176" s="12"/>
      <c r="I1176" s="12"/>
      <c r="J1176" s="13">
        <v>45952</v>
      </c>
      <c r="K1176" s="13">
        <v>2958465</v>
      </c>
      <c r="L1176" s="11" t="str">
        <f t="shared" si="37"/>
        <v>INSERT INTO metadata_reference.file_schema VALUES('DETM_DETIS_RCDS','LOGICAL_DELETE_DATE',NULL,'DATE',NULL,NULL,NULL,NULL,'2025-10-22','9999-12-31',USER, CURRENT_TIMESTAMP(0));</v>
      </c>
    </row>
    <row r="1177" spans="1:12" ht="15" customHeight="1">
      <c r="A1177" s="11" t="str">
        <f>ETLMetadata!$C1177</f>
        <v>DETM_DETIS_RCDS</v>
      </c>
      <c r="B1177" s="11" t="str">
        <f>ETLMetadata!$E1177</f>
        <v>ENVIRONMENT_ID</v>
      </c>
      <c r="C1177" s="11" t="str">
        <f>IF(ISBLANK(ETLMetadata!$J1177), "", ETLMetadata!$J1177)</f>
        <v>Y</v>
      </c>
      <c r="D1177" s="11" t="str">
        <f>ETLMetadata!$G1177</f>
        <v>CHAR(1)</v>
      </c>
      <c r="E1177" s="12"/>
      <c r="F1177" s="12"/>
      <c r="G1177" s="12" t="str">
        <f t="shared" si="36"/>
        <v/>
      </c>
      <c r="H1177" s="12"/>
      <c r="I1177" s="12"/>
      <c r="J1177" s="13">
        <v>45952</v>
      </c>
      <c r="K1177" s="13">
        <v>2958465</v>
      </c>
      <c r="L1177" s="11" t="str">
        <f t="shared" si="37"/>
        <v>INSERT INTO metadata_reference.file_schema VALUES('DETM_DETIS_RCDS','ENVIRONMENT_ID','Y','CHAR(1)',NULL,NULL,NULL,NULL,'2025-10-22','9999-12-31',USER, CURRENT_TIMESTAMP(0));</v>
      </c>
    </row>
    <row r="1178" spans="1:12" ht="15" customHeight="1">
      <c r="A1178" s="11" t="str">
        <f>ETLMetadata!$C1178</f>
        <v>DETM_DETIS_RCDS</v>
      </c>
      <c r="B1178" s="11" t="str">
        <f>ETLMetadata!$E1178</f>
        <v>PERSON_ID</v>
      </c>
      <c r="C1178" s="11" t="str">
        <f>IF(ISBLANK(ETLMetadata!$J1178), "", ETLMetadata!$J1178)</f>
        <v>Y</v>
      </c>
      <c r="D1178" s="11" t="str">
        <f>ETLMetadata!$G1178</f>
        <v>INTEGER</v>
      </c>
      <c r="E1178" s="12"/>
      <c r="F1178" s="12" t="s">
        <v>799</v>
      </c>
      <c r="G1178" s="12" t="str">
        <f t="shared" si="36"/>
        <v>PERSONAL_IDENTITYINFOINDIRECT</v>
      </c>
      <c r="H1178" s="12"/>
      <c r="I1178" s="12"/>
      <c r="J1178" s="13">
        <v>45952</v>
      </c>
      <c r="K1178" s="13">
        <v>2958465</v>
      </c>
      <c r="L1178" s="11" t="str">
        <f t="shared" si="37"/>
        <v>INSERT INTO metadata_reference.file_schema VALUES('DETM_DETIS_RCDS','PERSON_ID','Y','INTEGER',NULL,'PERSONAL_IDENTITYINFOINDIRECT',NULL,NULL,'2025-10-22','9999-12-31',USER, CURRENT_TIMESTAMP(0));</v>
      </c>
    </row>
    <row r="1179" spans="1:12" ht="15" customHeight="1">
      <c r="A1179" s="11" t="str">
        <f>ETLMetadata!$C1179</f>
        <v>DETM_DETIS_RCDS</v>
      </c>
      <c r="B1179" s="11" t="str">
        <f>ETLMetadata!$E1179</f>
        <v>RCDS_DOE</v>
      </c>
      <c r="C1179" s="11" t="str">
        <f>IF(ISBLANK(ETLMetadata!$J1179), "", ETLMetadata!$J1179)</f>
        <v/>
      </c>
      <c r="D1179" s="11" t="str">
        <f>ETLMetadata!$G1179</f>
        <v>DATE</v>
      </c>
      <c r="E1179" s="12"/>
      <c r="F1179" s="12"/>
      <c r="G1179" s="12" t="str">
        <f t="shared" si="36"/>
        <v/>
      </c>
      <c r="H1179" s="12"/>
      <c r="I1179" s="12"/>
      <c r="J1179" s="13">
        <v>45952</v>
      </c>
      <c r="K1179" s="13">
        <v>2958465</v>
      </c>
      <c r="L1179" s="11" t="str">
        <f t="shared" si="37"/>
        <v>INSERT INTO metadata_reference.file_schema VALUES('DETM_DETIS_RCDS','RCDS_DOE',NULL,'DATE',NULL,NULL,NULL,NULL,'2025-10-22','9999-12-31',USER, CURRENT_TIMESTAMP(0));</v>
      </c>
    </row>
    <row r="1180" spans="1:12" ht="15" customHeight="1">
      <c r="A1180" s="11" t="str">
        <f>ETLMetadata!$C1180</f>
        <v>DETM_DETIS_RCDS</v>
      </c>
      <c r="B1180" s="11" t="str">
        <f>ETLMetadata!$E1180</f>
        <v>RCDS_DOE_ORIG</v>
      </c>
      <c r="C1180" s="11" t="str">
        <f>IF(ISBLANK(ETLMetadata!$J1180), "", ETLMetadata!$J1180)</f>
        <v/>
      </c>
      <c r="D1180" s="11" t="str">
        <f>ETLMetadata!$G1180</f>
        <v>INTEGER</v>
      </c>
      <c r="E1180" s="12"/>
      <c r="F1180" s="12"/>
      <c r="G1180" s="12" t="str">
        <f t="shared" si="36"/>
        <v/>
      </c>
      <c r="H1180" s="12"/>
      <c r="I1180" s="12"/>
      <c r="J1180" s="13">
        <v>45952</v>
      </c>
      <c r="K1180" s="13">
        <v>2958465</v>
      </c>
      <c r="L1180" s="11" t="str">
        <f t="shared" si="37"/>
        <v>INSERT INTO metadata_reference.file_schema VALUES('DETM_DETIS_RCDS','RCDS_DOE_ORIG',NULL,'INTEGER',NULL,NULL,NULL,NULL,'2025-10-22','9999-12-31',USER, CURRENT_TIMESTAMP(0));</v>
      </c>
    </row>
    <row r="1181" spans="1:12" ht="15" customHeight="1">
      <c r="A1181" s="11" t="str">
        <f>ETLMetadata!$C1181</f>
        <v>DETM_DETIS_RCDS</v>
      </c>
      <c r="B1181" s="11" t="str">
        <f>ETLMetadata!$E1181</f>
        <v>PROCESSING_SEQUENCE</v>
      </c>
      <c r="C1181" s="11" t="str">
        <f>IF(ISBLANK(ETLMetadata!$J1181), "", ETLMetadata!$J1181)</f>
        <v>Y</v>
      </c>
      <c r="D1181" s="11" t="str">
        <f>ETLMetadata!$G1181</f>
        <v>SMALLINT</v>
      </c>
      <c r="E1181" s="12"/>
      <c r="F1181" s="12"/>
      <c r="G1181" s="12" t="str">
        <f t="shared" si="36"/>
        <v/>
      </c>
      <c r="H1181" s="12"/>
      <c r="I1181" s="12"/>
      <c r="J1181" s="13">
        <v>45952</v>
      </c>
      <c r="K1181" s="13">
        <v>2958465</v>
      </c>
      <c r="L1181" s="11" t="str">
        <f t="shared" si="37"/>
        <v>INSERT INTO metadata_reference.file_schema VALUES('DETM_DETIS_RCDS','PROCESSING_SEQUENCE','Y','SMALLINT',NULL,NULL,NULL,NULL,'2025-10-22','9999-12-31',USER, CURRENT_TIMESTAMP(0));</v>
      </c>
    </row>
    <row r="1182" spans="1:12" ht="15" customHeight="1">
      <c r="A1182" s="11" t="str">
        <f>ETLMetadata!$C1182</f>
        <v>DETM_DETIS_RCDS</v>
      </c>
      <c r="B1182" s="11" t="str">
        <f>ETLMetadata!$E1182</f>
        <v>RCDS_AMR_1</v>
      </c>
      <c r="C1182" s="11" t="str">
        <f>IF(ISBLANK(ETLMetadata!$J1182), "", ETLMetadata!$J1182)</f>
        <v/>
      </c>
      <c r="D1182" s="11" t="str">
        <f>ETLMetadata!$G1182</f>
        <v>CHAR(4)</v>
      </c>
      <c r="E1182" s="12"/>
      <c r="F1182" s="12"/>
      <c r="G1182" s="12" t="str">
        <f t="shared" si="36"/>
        <v/>
      </c>
      <c r="H1182" s="12"/>
      <c r="I1182" s="12"/>
      <c r="J1182" s="13">
        <v>45952</v>
      </c>
      <c r="K1182" s="13">
        <v>2958465</v>
      </c>
      <c r="L1182" s="11" t="str">
        <f t="shared" si="37"/>
        <v>INSERT INTO metadata_reference.file_schema VALUES('DETM_DETIS_RCDS','RCDS_AMR_1',NULL,'CHAR(4)',NULL,NULL,NULL,NULL,'2025-10-22','9999-12-31',USER, CURRENT_TIMESTAMP(0));</v>
      </c>
    </row>
    <row r="1183" spans="1:12" ht="15" customHeight="1">
      <c r="A1183" s="11" t="str">
        <f>ETLMetadata!$C1183</f>
        <v>DETM_DETIS_RCDS</v>
      </c>
      <c r="B1183" s="11" t="str">
        <f>ETLMetadata!$E1183</f>
        <v>RCDS_AMR_2</v>
      </c>
      <c r="C1183" s="11" t="str">
        <f>IF(ISBLANK(ETLMetadata!$J1183), "", ETLMetadata!$J1183)</f>
        <v/>
      </c>
      <c r="D1183" s="11" t="str">
        <f>ETLMetadata!$G1183</f>
        <v>CHAR(1)</v>
      </c>
      <c r="E1183" s="12"/>
      <c r="F1183" s="12"/>
      <c r="G1183" s="12" t="str">
        <f t="shared" si="36"/>
        <v/>
      </c>
      <c r="H1183" s="12"/>
      <c r="I1183" s="12"/>
      <c r="J1183" s="13">
        <v>45952</v>
      </c>
      <c r="K1183" s="13">
        <v>2958465</v>
      </c>
      <c r="L1183" s="11" t="str">
        <f t="shared" si="37"/>
        <v>INSERT INTO metadata_reference.file_schema VALUES('DETM_DETIS_RCDS','RCDS_AMR_2',NULL,'CHAR(1)',NULL,NULL,NULL,NULL,'2025-10-22','9999-12-31',USER, CURRENT_TIMESTAMP(0));</v>
      </c>
    </row>
    <row r="1184" spans="1:12" ht="15" customHeight="1">
      <c r="A1184" s="11" t="str">
        <f>ETLMetadata!$C1184</f>
        <v>DETM_DETIS_RCDS</v>
      </c>
      <c r="B1184" s="11" t="str">
        <f>ETLMetadata!$E1184</f>
        <v>RCDS_AMR_3</v>
      </c>
      <c r="C1184" s="11" t="str">
        <f>IF(ISBLANK(ETLMetadata!$J1184), "", ETLMetadata!$J1184)</f>
        <v/>
      </c>
      <c r="D1184" s="11" t="str">
        <f>ETLMetadata!$G1184</f>
        <v>CHAR(4)</v>
      </c>
      <c r="E1184" s="12"/>
      <c r="F1184" s="12"/>
      <c r="G1184" s="12" t="str">
        <f t="shared" si="36"/>
        <v/>
      </c>
      <c r="H1184" s="12"/>
      <c r="I1184" s="12"/>
      <c r="J1184" s="13">
        <v>45952</v>
      </c>
      <c r="K1184" s="13">
        <v>2958465</v>
      </c>
      <c r="L1184" s="11" t="str">
        <f t="shared" si="37"/>
        <v>INSERT INTO metadata_reference.file_schema VALUES('DETM_DETIS_RCDS','RCDS_AMR_3',NULL,'CHAR(4)',NULL,NULL,NULL,NULL,'2025-10-22','9999-12-31',USER, CURRENT_TIMESTAMP(0));</v>
      </c>
    </row>
    <row r="1185" spans="1:12" ht="15" customHeight="1">
      <c r="A1185" s="11" t="str">
        <f>ETLMetadata!$C1185</f>
        <v>DETM_DETIS_RCDS</v>
      </c>
      <c r="B1185" s="11" t="str">
        <f>ETLMetadata!$E1185</f>
        <v>RCDS_BEN_TYPE_CODE</v>
      </c>
      <c r="C1185" s="11" t="str">
        <f>IF(ISBLANK(ETLMetadata!$J1185), "", ETLMetadata!$J1185)</f>
        <v/>
      </c>
      <c r="D1185" s="11" t="str">
        <f>ETLMetadata!$G1185</f>
        <v>CHAR(3)</v>
      </c>
      <c r="E1185" s="12"/>
      <c r="F1185" s="12"/>
      <c r="G1185" s="12" t="str">
        <f t="shared" si="36"/>
        <v/>
      </c>
      <c r="H1185" s="12"/>
      <c r="I1185" s="12"/>
      <c r="J1185" s="13">
        <v>45952</v>
      </c>
      <c r="K1185" s="13">
        <v>2958465</v>
      </c>
      <c r="L1185" s="11" t="str">
        <f t="shared" si="37"/>
        <v>INSERT INTO metadata_reference.file_schema VALUES('DETM_DETIS_RCDS','RCDS_BEN_TYPE_CODE',NULL,'CHAR(3)',NULL,NULL,NULL,NULL,'2025-10-22','9999-12-31',USER, CURRENT_TIMESTAMP(0));</v>
      </c>
    </row>
    <row r="1186" spans="1:12" ht="15" customHeight="1">
      <c r="A1186" s="11" t="str">
        <f>ETLMetadata!$C1186</f>
        <v>DETM_DETIS_RCDS</v>
      </c>
      <c r="B1186" s="11" t="str">
        <f>ETLMetadata!$E1186</f>
        <v>RCDS_STS_CODE</v>
      </c>
      <c r="C1186" s="11" t="str">
        <f>IF(ISBLANK(ETLMetadata!$J1186), "", ETLMetadata!$J1186)</f>
        <v/>
      </c>
      <c r="D1186" s="11" t="str">
        <f>ETLMetadata!$G1186</f>
        <v>CHAR(3)</v>
      </c>
      <c r="E1186" s="12"/>
      <c r="F1186" s="12"/>
      <c r="G1186" s="12" t="str">
        <f t="shared" si="36"/>
        <v/>
      </c>
      <c r="H1186" s="12"/>
      <c r="I1186" s="12"/>
      <c r="J1186" s="13">
        <v>45952</v>
      </c>
      <c r="K1186" s="13">
        <v>2958465</v>
      </c>
      <c r="L1186" s="11" t="str">
        <f t="shared" si="37"/>
        <v>INSERT INTO metadata_reference.file_schema VALUES('DETM_DETIS_RCDS','RCDS_STS_CODE',NULL,'CHAR(3)',NULL,NULL,NULL,NULL,'2025-10-22','9999-12-31',USER, CURRENT_TIMESTAMP(0));</v>
      </c>
    </row>
    <row r="1187" spans="1:12" ht="15" customHeight="1">
      <c r="A1187" s="11" t="str">
        <f>ETLMetadata!$C1187</f>
        <v>DETM_DETIS_RCDS</v>
      </c>
      <c r="B1187" s="11" t="str">
        <f>ETLMetadata!$E1187</f>
        <v>RCDS_RSN_CODE</v>
      </c>
      <c r="C1187" s="11" t="str">
        <f>IF(ISBLANK(ETLMetadata!$J1187), "", ETLMetadata!$J1187)</f>
        <v/>
      </c>
      <c r="D1187" s="11" t="str">
        <f>ETLMetadata!$G1187</f>
        <v>CHAR(3)</v>
      </c>
      <c r="E1187" s="12"/>
      <c r="F1187" s="12"/>
      <c r="G1187" s="12" t="str">
        <f t="shared" si="36"/>
        <v/>
      </c>
      <c r="H1187" s="12"/>
      <c r="I1187" s="12"/>
      <c r="J1187" s="13">
        <v>45952</v>
      </c>
      <c r="K1187" s="13">
        <v>2958465</v>
      </c>
      <c r="L1187" s="11" t="str">
        <f t="shared" si="37"/>
        <v>INSERT INTO metadata_reference.file_schema VALUES('DETM_DETIS_RCDS','RCDS_RSN_CODE',NULL,'CHAR(3)',NULL,NULL,NULL,NULL,'2025-10-22','9999-12-31',USER, CURRENT_TIMESTAMP(0));</v>
      </c>
    </row>
    <row r="1188" spans="1:12" ht="15" customHeight="1">
      <c r="A1188" s="11" t="str">
        <f>ETLMetadata!$C1188</f>
        <v>DETM_DETIS_RCDS</v>
      </c>
      <c r="B1188" s="11" t="str">
        <f>ETLMetadata!$E1188</f>
        <v>RCDS_UNIQ_ID</v>
      </c>
      <c r="C1188" s="11" t="str">
        <f>IF(ISBLANK(ETLMetadata!$J1188), "", ETLMetadata!$J1188)</f>
        <v/>
      </c>
      <c r="D1188" s="11" t="str">
        <f>ETLMetadata!$G1188</f>
        <v>VARCHAR(8)</v>
      </c>
      <c r="E1188" s="12"/>
      <c r="F1188" s="12"/>
      <c r="G1188" s="12" t="str">
        <f t="shared" si="36"/>
        <v/>
      </c>
      <c r="H1188" s="12"/>
      <c r="I1188" s="12"/>
      <c r="J1188" s="13">
        <v>45952</v>
      </c>
      <c r="K1188" s="13">
        <v>2958465</v>
      </c>
      <c r="L1188" s="11" t="str">
        <f t="shared" si="37"/>
        <v>INSERT INTO metadata_reference.file_schema VALUES('DETM_DETIS_RCDS','RCDS_UNIQ_ID',NULL,'VARCHAR(8)',NULL,NULL,NULL,NULL,'2025-10-22','9999-12-31',USER, CURRENT_TIMESTAMP(0));</v>
      </c>
    </row>
    <row r="1189" spans="1:12" ht="15" customHeight="1">
      <c r="A1189" s="11" t="str">
        <f>ETLMetadata!$C1189</f>
        <v>DETM_DETIS_RCDS</v>
      </c>
      <c r="B1189" s="11" t="str">
        <f>ETLMetadata!$E1189</f>
        <v>AMR1_RISL_DTS</v>
      </c>
      <c r="C1189" s="11" t="str">
        <f>IF(ISBLANK(ETLMetadata!$J1189), "", ETLMetadata!$J1189)</f>
        <v/>
      </c>
      <c r="D1189" s="11" t="str">
        <f>ETLMetadata!$G1189</f>
        <v>TIMESTAMP(6)</v>
      </c>
      <c r="E1189" s="12"/>
      <c r="F1189" s="12"/>
      <c r="G1189" s="12" t="str">
        <f t="shared" si="36"/>
        <v/>
      </c>
      <c r="H1189" s="12"/>
      <c r="I1189" s="12"/>
      <c r="J1189" s="13">
        <v>45952</v>
      </c>
      <c r="K1189" s="13">
        <v>2958465</v>
      </c>
      <c r="L1189" s="11" t="str">
        <f t="shared" si="37"/>
        <v>INSERT INTO metadata_reference.file_schema VALUES('DETM_DETIS_RCDS','AMR1_RISL_DTS',NULL,'TIMESTAMP(6)',NULL,NULL,NULL,NULL,'2025-10-22','9999-12-31',USER, CURRENT_TIMESTAMP(0));</v>
      </c>
    </row>
    <row r="1190" spans="1:12" ht="15" customHeight="1">
      <c r="A1190" s="11" t="str">
        <f>ETLMetadata!$C1190</f>
        <v>DETM_DETIS_RCDS</v>
      </c>
      <c r="B1190" s="11" t="str">
        <f>ETLMetadata!$E1190</f>
        <v>AMR3_RISL_DTS</v>
      </c>
      <c r="C1190" s="11" t="str">
        <f>IF(ISBLANK(ETLMetadata!$J1190), "", ETLMetadata!$J1190)</f>
        <v/>
      </c>
      <c r="D1190" s="11" t="str">
        <f>ETLMetadata!$G1190</f>
        <v>TIMESTAMP(6)</v>
      </c>
      <c r="E1190" s="12"/>
      <c r="F1190" s="12"/>
      <c r="G1190" s="12" t="str">
        <f t="shared" si="36"/>
        <v/>
      </c>
      <c r="H1190" s="12"/>
      <c r="I1190" s="12"/>
      <c r="J1190" s="13">
        <v>45952</v>
      </c>
      <c r="K1190" s="13">
        <v>2958465</v>
      </c>
      <c r="L1190" s="11" t="str">
        <f t="shared" si="37"/>
        <v>INSERT INTO metadata_reference.file_schema VALUES('DETM_DETIS_RCDS','AMR3_RISL_DTS',NULL,'TIMESTAMP(6)',NULL,NULL,NULL,NULL,'2025-10-22','9999-12-31',USER, CURRENT_TIMESTAMP(0));</v>
      </c>
    </row>
    <row r="1191" spans="1:12" ht="15" customHeight="1">
      <c r="A1191" s="11" t="str">
        <f>ETLMetadata!$C1191</f>
        <v>DETM_DETIS_RCDS</v>
      </c>
      <c r="B1191" s="11" t="str">
        <f>ETLMetadata!$E1191</f>
        <v>EPISODE_ID</v>
      </c>
      <c r="C1191" s="11" t="str">
        <f>IF(ISBLANK(ETLMetadata!$J1191), "", ETLMetadata!$J1191)</f>
        <v/>
      </c>
      <c r="D1191" s="11" t="str">
        <f>ETLMetadata!$G1191</f>
        <v>INTEGER</v>
      </c>
      <c r="E1191" s="12"/>
      <c r="F1191" s="12"/>
      <c r="G1191" s="12" t="str">
        <f t="shared" si="36"/>
        <v/>
      </c>
      <c r="H1191" s="12"/>
      <c r="I1191" s="12"/>
      <c r="J1191" s="13">
        <v>45952</v>
      </c>
      <c r="K1191" s="13">
        <v>2958465</v>
      </c>
      <c r="L1191" s="11" t="str">
        <f t="shared" si="37"/>
        <v>INSERT INTO metadata_reference.file_schema VALUES('DETM_DETIS_RCDS','EPISODE_ID',NULL,'INTEGER',NULL,NULL,NULL,NULL,'2025-10-22','9999-12-31',USER, CURRENT_TIMESTAMP(0));</v>
      </c>
    </row>
    <row r="1192" spans="1:12" ht="15" customHeight="1">
      <c r="A1192" s="11" t="str">
        <f>ETLMetadata!$C1192</f>
        <v>DETM_DETIS_RCDS</v>
      </c>
      <c r="B1192" s="11" t="str">
        <f>ETLMetadata!$E1192</f>
        <v>PARTY_ROLE_ID</v>
      </c>
      <c r="C1192" s="11" t="str">
        <f>IF(ISBLANK(ETLMetadata!$J1192), "", ETLMetadata!$J1192)</f>
        <v/>
      </c>
      <c r="D1192" s="11" t="str">
        <f>ETLMetadata!$G1192</f>
        <v>INTEGER</v>
      </c>
      <c r="E1192" s="12"/>
      <c r="F1192" s="12"/>
      <c r="G1192" s="12" t="str">
        <f t="shared" si="36"/>
        <v/>
      </c>
      <c r="H1192" s="12"/>
      <c r="I1192" s="12"/>
      <c r="J1192" s="13">
        <v>45952</v>
      </c>
      <c r="K1192" s="13">
        <v>2958465</v>
      </c>
      <c r="L1192" s="11" t="str">
        <f t="shared" si="37"/>
        <v>INSERT INTO metadata_reference.file_schema VALUES('DETM_DETIS_RCDS','PARTY_ROLE_ID',NULL,'INTEGER',NULL,NULL,NULL,NULL,'2025-10-22','9999-12-31',USER, CURRENT_TIMESTAMP(0));</v>
      </c>
    </row>
    <row r="1193" spans="1:12" ht="15" customHeight="1">
      <c r="A1193" s="11" t="str">
        <f>ETLMetadata!$C1193</f>
        <v>DETM_DETIS_RCDS</v>
      </c>
      <c r="B1193" s="11" t="str">
        <f>ETLMetadata!$E1193</f>
        <v>PAYMENT_TYPE_ID</v>
      </c>
      <c r="C1193" s="11" t="str">
        <f>IF(ISBLANK(ETLMetadata!$J1193), "", ETLMetadata!$J1193)</f>
        <v/>
      </c>
      <c r="D1193" s="11" t="str">
        <f>ETLMetadata!$G1193</f>
        <v>INTEGER</v>
      </c>
      <c r="E1193" s="12"/>
      <c r="F1193" s="12"/>
      <c r="G1193" s="12" t="str">
        <f t="shared" si="36"/>
        <v/>
      </c>
      <c r="H1193" s="12"/>
      <c r="I1193" s="12"/>
      <c r="J1193" s="13">
        <v>45952</v>
      </c>
      <c r="K1193" s="13">
        <v>2958465</v>
      </c>
      <c r="L1193" s="11" t="str">
        <f t="shared" si="37"/>
        <v>INSERT INTO metadata_reference.file_schema VALUES('DETM_DETIS_RCDS','PAYMENT_TYPE_ID',NULL,'INTEGER',NULL,NULL,NULL,NULL,'2025-10-22','9999-12-31',USER, CURRENT_TIMESTAMP(0));</v>
      </c>
    </row>
    <row r="1194" spans="1:12" ht="15" customHeight="1">
      <c r="A1194" s="11" t="str">
        <f>ETLMetadata!$C1194</f>
        <v>DETM_DETIS_RCDS</v>
      </c>
      <c r="B1194" s="11" t="str">
        <f>ETLMetadata!$E1194</f>
        <v>ERROR_COUNT</v>
      </c>
      <c r="C1194" s="11" t="str">
        <f>IF(ISBLANK(ETLMetadata!$J1194), "", ETLMetadata!$J1194)</f>
        <v/>
      </c>
      <c r="D1194" s="11" t="str">
        <f>ETLMetadata!$G1194</f>
        <v>SMALLINT</v>
      </c>
      <c r="E1194" s="12"/>
      <c r="F1194" s="12"/>
      <c r="G1194" s="12" t="str">
        <f t="shared" si="36"/>
        <v/>
      </c>
      <c r="H1194" s="12"/>
      <c r="I1194" s="12"/>
      <c r="J1194" s="13">
        <v>45952</v>
      </c>
      <c r="K1194" s="13">
        <v>2958465</v>
      </c>
      <c r="L1194" s="11" t="str">
        <f t="shared" si="37"/>
        <v>INSERT INTO metadata_reference.file_schema VALUES('DETM_DETIS_RCDS','ERROR_COUNT',NULL,'SMALLINT',NULL,NULL,NULL,NULL,'2025-10-22','9999-12-31',USER, CURRENT_TIMESTAMP(0));</v>
      </c>
    </row>
    <row r="1195" spans="1:12" ht="15" customHeight="1">
      <c r="A1195" s="11" t="str">
        <f>ETLMetadata!$C1195</f>
        <v>DETM_DETIS_RCDS</v>
      </c>
      <c r="B1195" s="11" t="str">
        <f>ETLMetadata!$E1195</f>
        <v>Start_Date</v>
      </c>
      <c r="C1195" s="11" t="str">
        <f>IF(ISBLANK(ETLMetadata!$J1195), "", ETLMetadata!$J1195)</f>
        <v/>
      </c>
      <c r="D1195" s="11" t="str">
        <f>ETLMetadata!$G1195</f>
        <v>DATE</v>
      </c>
      <c r="E1195" s="12"/>
      <c r="F1195" s="12"/>
      <c r="G1195" s="12" t="str">
        <f t="shared" si="36"/>
        <v/>
      </c>
      <c r="H1195" s="12"/>
      <c r="I1195" s="12"/>
      <c r="J1195" s="13">
        <v>45952</v>
      </c>
      <c r="K1195" s="13">
        <v>2958465</v>
      </c>
      <c r="L1195" s="11" t="str">
        <f t="shared" si="37"/>
        <v>INSERT INTO metadata_reference.file_schema VALUES('DETM_DETIS_RCDS','Start_Date',NULL,'DATE',NULL,NULL,NULL,NULL,'2025-10-22','9999-12-31',USER, CURRENT_TIMESTAMP(0));</v>
      </c>
    </row>
    <row r="1196" spans="1:12" ht="15" customHeight="1">
      <c r="A1196" s="11" t="str">
        <f>ETLMetadata!$C1196</f>
        <v>DETM_DETIS_RCDS</v>
      </c>
      <c r="B1196" s="11" t="str">
        <f>ETLMetadata!$E1196</f>
        <v>End_Date</v>
      </c>
      <c r="C1196" s="11" t="str">
        <f>IF(ISBLANK(ETLMetadata!$J1196), "", ETLMetadata!$J1196)</f>
        <v/>
      </c>
      <c r="D1196" s="11" t="str">
        <f>ETLMetadata!$G1196</f>
        <v>DATE</v>
      </c>
      <c r="E1196" s="12"/>
      <c r="F1196" s="12"/>
      <c r="G1196" s="12" t="str">
        <f t="shared" si="36"/>
        <v/>
      </c>
      <c r="H1196" s="12"/>
      <c r="I1196" s="12"/>
      <c r="J1196" s="13">
        <v>45952</v>
      </c>
      <c r="K1196" s="13">
        <v>2958465</v>
      </c>
      <c r="L1196" s="11" t="str">
        <f t="shared" si="37"/>
        <v>INSERT INTO metadata_reference.file_schema VALUES('DETM_DETIS_RCDS','End_Date',NULL,'DATE',NULL,NULL,NULL,NULL,'2025-10-22','9999-12-31',USER, CURRENT_TIMESTAMP(0));</v>
      </c>
    </row>
    <row r="1197" spans="1:12" ht="15" customHeight="1">
      <c r="A1197" s="11" t="str">
        <f>ETLMetadata!$C1197</f>
        <v>DETM_DETIS_RCDS</v>
      </c>
      <c r="B1197" s="11" t="str">
        <f>ETLMetadata!$E1197</f>
        <v>Record_Deleted_Flag</v>
      </c>
      <c r="C1197" s="11" t="str">
        <f>IF(ISBLANK(ETLMetadata!$J1197), "", ETLMetadata!$J1197)</f>
        <v/>
      </c>
      <c r="D1197" s="11" t="str">
        <f>ETLMetadata!$G1197</f>
        <v>BYTEINT</v>
      </c>
      <c r="E1197" s="12"/>
      <c r="F1197" s="12"/>
      <c r="G1197" s="12" t="str">
        <f t="shared" si="36"/>
        <v/>
      </c>
      <c r="H1197" s="12"/>
      <c r="I1197" s="12"/>
      <c r="J1197" s="13">
        <v>45952</v>
      </c>
      <c r="K1197" s="13">
        <v>2958465</v>
      </c>
      <c r="L1197" s="11" t="str">
        <f t="shared" si="37"/>
        <v>INSERT INTO metadata_reference.file_schema VALUES('DETM_DETIS_RCDS','Record_Deleted_Flag',NULL,'BYTEINT',NULL,NULL,NULL,NULL,'2025-10-22','9999-12-31',USER, CURRENT_TIMESTAMP(0));</v>
      </c>
    </row>
    <row r="1198" spans="1:12" ht="15" customHeight="1">
      <c r="A1198" s="11" t="str">
        <f>ETLMetadata!$C1198</f>
        <v>DETM_DETIS_SHDS</v>
      </c>
      <c r="B1198" s="11" t="str">
        <f>ETLMetadata!$E1198</f>
        <v>EXTRACT_DATE</v>
      </c>
      <c r="C1198" s="11" t="str">
        <f>IF(ISBLANK(ETLMetadata!$J1198), "", ETLMetadata!$J1198)</f>
        <v/>
      </c>
      <c r="D1198" s="11" t="str">
        <f>ETLMetadata!$G1198</f>
        <v>DATE</v>
      </c>
      <c r="E1198" s="12"/>
      <c r="F1198" s="12"/>
      <c r="G1198" s="12" t="str">
        <f t="shared" si="36"/>
        <v/>
      </c>
      <c r="H1198" s="12"/>
      <c r="I1198" s="12"/>
      <c r="J1198" s="13">
        <v>45952</v>
      </c>
      <c r="K1198" s="13">
        <v>2958465</v>
      </c>
      <c r="L1198" s="11" t="str">
        <f t="shared" si="37"/>
        <v>INSERT INTO metadata_reference.file_schema VALUES('DETM_DETIS_SHDS','EXTRACT_DATE',NULL,'DATE',NULL,NULL,NULL,NULL,'2025-10-22','9999-12-31',USER, CURRENT_TIMESTAMP(0));</v>
      </c>
    </row>
    <row r="1199" spans="1:12" ht="15" customHeight="1">
      <c r="A1199" s="11" t="str">
        <f>ETLMetadata!$C1199</f>
        <v>DETM_DETIS_SHDS</v>
      </c>
      <c r="B1199" s="11" t="str">
        <f>ETLMetadata!$E1199</f>
        <v>LOGICAL_DELETE_DATE</v>
      </c>
      <c r="C1199" s="11" t="str">
        <f>IF(ISBLANK(ETLMetadata!$J1199), "", ETLMetadata!$J1199)</f>
        <v/>
      </c>
      <c r="D1199" s="11" t="str">
        <f>ETLMetadata!$G1199</f>
        <v>DATE</v>
      </c>
      <c r="E1199" s="12"/>
      <c r="F1199" s="12"/>
      <c r="G1199" s="12" t="str">
        <f t="shared" si="36"/>
        <v/>
      </c>
      <c r="H1199" s="12"/>
      <c r="I1199" s="12"/>
      <c r="J1199" s="13">
        <v>45952</v>
      </c>
      <c r="K1199" s="13">
        <v>2958465</v>
      </c>
      <c r="L1199" s="11" t="str">
        <f t="shared" si="37"/>
        <v>INSERT INTO metadata_reference.file_schema VALUES('DETM_DETIS_SHDS','LOGICAL_DELETE_DATE',NULL,'DATE',NULL,NULL,NULL,NULL,'2025-10-22','9999-12-31',USER, CURRENT_TIMESTAMP(0));</v>
      </c>
    </row>
    <row r="1200" spans="1:12" ht="15" customHeight="1">
      <c r="A1200" s="11" t="str">
        <f>ETLMetadata!$C1200</f>
        <v>DETM_DETIS_SHDS</v>
      </c>
      <c r="B1200" s="11" t="str">
        <f>ETLMetadata!$E1200</f>
        <v>ENVIRONMENT_ID</v>
      </c>
      <c r="C1200" s="11" t="str">
        <f>IF(ISBLANK(ETLMetadata!$J1200), "", ETLMetadata!$J1200)</f>
        <v>Y</v>
      </c>
      <c r="D1200" s="11" t="str">
        <f>ETLMetadata!$G1200</f>
        <v>CHAR(1)</v>
      </c>
      <c r="E1200" s="12"/>
      <c r="F1200" s="12"/>
      <c r="G1200" s="12" t="str">
        <f t="shared" si="36"/>
        <v/>
      </c>
      <c r="H1200" s="12"/>
      <c r="I1200" s="12"/>
      <c r="J1200" s="13">
        <v>45952</v>
      </c>
      <c r="K1200" s="13">
        <v>2958465</v>
      </c>
      <c r="L1200" s="11" t="str">
        <f t="shared" si="37"/>
        <v>INSERT INTO metadata_reference.file_schema VALUES('DETM_DETIS_SHDS','ENVIRONMENT_ID','Y','CHAR(1)',NULL,NULL,NULL,NULL,'2025-10-22','9999-12-31',USER, CURRENT_TIMESTAMP(0));</v>
      </c>
    </row>
    <row r="1201" spans="1:12" ht="15" customHeight="1">
      <c r="A1201" s="11" t="str">
        <f>ETLMetadata!$C1201</f>
        <v>DETM_DETIS_SHDS</v>
      </c>
      <c r="B1201" s="11" t="str">
        <f>ETLMetadata!$E1201</f>
        <v>PERSON_ID</v>
      </c>
      <c r="C1201" s="11" t="str">
        <f>IF(ISBLANK(ETLMetadata!$J1201), "", ETLMetadata!$J1201)</f>
        <v>Y</v>
      </c>
      <c r="D1201" s="11" t="str">
        <f>ETLMetadata!$G1201</f>
        <v>INTEGER</v>
      </c>
      <c r="E1201" s="12"/>
      <c r="F1201" s="12" t="s">
        <v>799</v>
      </c>
      <c r="G1201" s="12" t="str">
        <f t="shared" si="36"/>
        <v>PERSONAL_IDENTITYINFOINDIRECT</v>
      </c>
      <c r="H1201" s="12"/>
      <c r="I1201" s="12"/>
      <c r="J1201" s="13">
        <v>45952</v>
      </c>
      <c r="K1201" s="13">
        <v>2958465</v>
      </c>
      <c r="L1201" s="11" t="str">
        <f t="shared" si="37"/>
        <v>INSERT INTO metadata_reference.file_schema VALUES('DETM_DETIS_SHDS','PERSON_ID','Y','INTEGER',NULL,'PERSONAL_IDENTITYINFOINDIRECT',NULL,NULL,'2025-10-22','9999-12-31',USER, CURRENT_TIMESTAMP(0));</v>
      </c>
    </row>
    <row r="1202" spans="1:12" ht="15" customHeight="1">
      <c r="A1202" s="11" t="str">
        <f>ETLMetadata!$C1202</f>
        <v>DETM_DETIS_SHDS</v>
      </c>
      <c r="B1202" s="11" t="str">
        <f>ETLMetadata!$E1202</f>
        <v>SHDS_DOE</v>
      </c>
      <c r="C1202" s="11" t="str">
        <f>IF(ISBLANK(ETLMetadata!$J1202), "", ETLMetadata!$J1202)</f>
        <v/>
      </c>
      <c r="D1202" s="11" t="str">
        <f>ETLMetadata!$G1202</f>
        <v>DATE</v>
      </c>
      <c r="E1202" s="12"/>
      <c r="F1202" s="12"/>
      <c r="G1202" s="12" t="str">
        <f t="shared" si="36"/>
        <v/>
      </c>
      <c r="H1202" s="12"/>
      <c r="I1202" s="12"/>
      <c r="J1202" s="13">
        <v>45952</v>
      </c>
      <c r="K1202" s="13">
        <v>2958465</v>
      </c>
      <c r="L1202" s="11" t="str">
        <f t="shared" si="37"/>
        <v>INSERT INTO metadata_reference.file_schema VALUES('DETM_DETIS_SHDS','SHDS_DOE',NULL,'DATE',NULL,NULL,NULL,NULL,'2025-10-22','9999-12-31',USER, CURRENT_TIMESTAMP(0));</v>
      </c>
    </row>
    <row r="1203" spans="1:12" ht="15" customHeight="1">
      <c r="A1203" s="11" t="str">
        <f>ETLMetadata!$C1203</f>
        <v>DETM_DETIS_SHDS</v>
      </c>
      <c r="B1203" s="11" t="str">
        <f>ETLMetadata!$E1203</f>
        <v>SHDS_DOE_ORIG</v>
      </c>
      <c r="C1203" s="11" t="str">
        <f>IF(ISBLANK(ETLMetadata!$J1203), "", ETLMetadata!$J1203)</f>
        <v/>
      </c>
      <c r="D1203" s="11" t="str">
        <f>ETLMetadata!$G1203</f>
        <v>INTEGER</v>
      </c>
      <c r="E1203" s="12"/>
      <c r="F1203" s="12"/>
      <c r="G1203" s="12" t="str">
        <f t="shared" si="36"/>
        <v/>
      </c>
      <c r="H1203" s="12"/>
      <c r="I1203" s="12"/>
      <c r="J1203" s="13">
        <v>45952</v>
      </c>
      <c r="K1203" s="13">
        <v>2958465</v>
      </c>
      <c r="L1203" s="11" t="str">
        <f t="shared" si="37"/>
        <v>INSERT INTO metadata_reference.file_schema VALUES('DETM_DETIS_SHDS','SHDS_DOE_ORIG',NULL,'INTEGER',NULL,NULL,NULL,NULL,'2025-10-22','9999-12-31',USER, CURRENT_TIMESTAMP(0));</v>
      </c>
    </row>
    <row r="1204" spans="1:12" ht="15" customHeight="1">
      <c r="A1204" s="11" t="str">
        <f>ETLMetadata!$C1204</f>
        <v>DETM_DETIS_SHDS</v>
      </c>
      <c r="B1204" s="11" t="str">
        <f>ETLMetadata!$E1204</f>
        <v>PROCESSING_SEQUENCE</v>
      </c>
      <c r="C1204" s="11" t="str">
        <f>IF(ISBLANK(ETLMetadata!$J1204), "", ETLMetadata!$J1204)</f>
        <v>Y</v>
      </c>
      <c r="D1204" s="11" t="str">
        <f>ETLMetadata!$G1204</f>
        <v>SMALLINT</v>
      </c>
      <c r="E1204" s="12"/>
      <c r="F1204" s="12"/>
      <c r="G1204" s="12" t="str">
        <f t="shared" si="36"/>
        <v/>
      </c>
      <c r="H1204" s="12"/>
      <c r="I1204" s="12"/>
      <c r="J1204" s="13">
        <v>45952</v>
      </c>
      <c r="K1204" s="13">
        <v>2958465</v>
      </c>
      <c r="L1204" s="11" t="str">
        <f t="shared" si="37"/>
        <v>INSERT INTO metadata_reference.file_schema VALUES('DETM_DETIS_SHDS','PROCESSING_SEQUENCE','Y','SMALLINT',NULL,NULL,NULL,NULL,'2025-10-22','9999-12-31',USER, CURRENT_TIMESTAMP(0));</v>
      </c>
    </row>
    <row r="1205" spans="1:12" ht="15" customHeight="1">
      <c r="A1205" s="11" t="str">
        <f>ETLMetadata!$C1205</f>
        <v>DETM_DETIS_SHDS</v>
      </c>
      <c r="B1205" s="11" t="str">
        <f>ETLMetadata!$E1205</f>
        <v>SHDS_AMR_1</v>
      </c>
      <c r="C1205" s="11" t="str">
        <f>IF(ISBLANK(ETLMetadata!$J1205), "", ETLMetadata!$J1205)</f>
        <v/>
      </c>
      <c r="D1205" s="11" t="str">
        <f>ETLMetadata!$G1205</f>
        <v>CHAR(4)</v>
      </c>
      <c r="E1205" s="12"/>
      <c r="F1205" s="12"/>
      <c r="G1205" s="12" t="str">
        <f t="shared" si="36"/>
        <v/>
      </c>
      <c r="H1205" s="12"/>
      <c r="I1205" s="12"/>
      <c r="J1205" s="13">
        <v>45952</v>
      </c>
      <c r="K1205" s="13">
        <v>2958465</v>
      </c>
      <c r="L1205" s="11" t="str">
        <f t="shared" si="37"/>
        <v>INSERT INTO metadata_reference.file_schema VALUES('DETM_DETIS_SHDS','SHDS_AMR_1',NULL,'CHAR(4)',NULL,NULL,NULL,NULL,'2025-10-22','9999-12-31',USER, CURRENT_TIMESTAMP(0));</v>
      </c>
    </row>
    <row r="1206" spans="1:12" ht="15" customHeight="1">
      <c r="A1206" s="11" t="str">
        <f>ETLMetadata!$C1206</f>
        <v>DETM_DETIS_SHDS</v>
      </c>
      <c r="B1206" s="11" t="str">
        <f>ETLMetadata!$E1206</f>
        <v>SHDS_AMR_2</v>
      </c>
      <c r="C1206" s="11" t="str">
        <f>IF(ISBLANK(ETLMetadata!$J1206), "", ETLMetadata!$J1206)</f>
        <v/>
      </c>
      <c r="D1206" s="11" t="str">
        <f>ETLMetadata!$G1206</f>
        <v>CHAR(1)</v>
      </c>
      <c r="E1206" s="12"/>
      <c r="F1206" s="12"/>
      <c r="G1206" s="12" t="str">
        <f t="shared" si="36"/>
        <v/>
      </c>
      <c r="H1206" s="12"/>
      <c r="I1206" s="12"/>
      <c r="J1206" s="13">
        <v>45952</v>
      </c>
      <c r="K1206" s="13">
        <v>2958465</v>
      </c>
      <c r="L1206" s="11" t="str">
        <f t="shared" si="37"/>
        <v>INSERT INTO metadata_reference.file_schema VALUES('DETM_DETIS_SHDS','SHDS_AMR_2',NULL,'CHAR(1)',NULL,NULL,NULL,NULL,'2025-10-22','9999-12-31',USER, CURRENT_TIMESTAMP(0));</v>
      </c>
    </row>
    <row r="1207" spans="1:12" ht="15" customHeight="1">
      <c r="A1207" s="11" t="str">
        <f>ETLMetadata!$C1207</f>
        <v>DETM_DETIS_SHDS</v>
      </c>
      <c r="B1207" s="11" t="str">
        <f>ETLMetadata!$E1207</f>
        <v>SHDS_AMR_3</v>
      </c>
      <c r="C1207" s="11" t="str">
        <f>IF(ISBLANK(ETLMetadata!$J1207), "", ETLMetadata!$J1207)</f>
        <v/>
      </c>
      <c r="D1207" s="11" t="str">
        <f>ETLMetadata!$G1207</f>
        <v>CHAR(4)</v>
      </c>
      <c r="E1207" s="12"/>
      <c r="F1207" s="12"/>
      <c r="G1207" s="12" t="str">
        <f t="shared" si="36"/>
        <v/>
      </c>
      <c r="H1207" s="12"/>
      <c r="I1207" s="12"/>
      <c r="J1207" s="13">
        <v>45952</v>
      </c>
      <c r="K1207" s="13">
        <v>2958465</v>
      </c>
      <c r="L1207" s="11" t="str">
        <f t="shared" si="37"/>
        <v>INSERT INTO metadata_reference.file_schema VALUES('DETM_DETIS_SHDS','SHDS_AMR_3',NULL,'CHAR(4)',NULL,NULL,NULL,NULL,'2025-10-22','9999-12-31',USER, CURRENT_TIMESTAMP(0));</v>
      </c>
    </row>
    <row r="1208" spans="1:12" ht="15" customHeight="1">
      <c r="A1208" s="11" t="str">
        <f>ETLMetadata!$C1208</f>
        <v>DETM_DETIS_SHDS</v>
      </c>
      <c r="B1208" s="11" t="str">
        <f>ETLMetadata!$E1208</f>
        <v>SHDS_BEN_TYPE_CODE</v>
      </c>
      <c r="C1208" s="11" t="str">
        <f>IF(ISBLANK(ETLMetadata!$J1208), "", ETLMetadata!$J1208)</f>
        <v/>
      </c>
      <c r="D1208" s="11" t="str">
        <f>ETLMetadata!$G1208</f>
        <v>CHAR(3)</v>
      </c>
      <c r="E1208" s="12"/>
      <c r="F1208" s="12"/>
      <c r="G1208" s="12" t="str">
        <f t="shared" si="36"/>
        <v/>
      </c>
      <c r="H1208" s="12"/>
      <c r="I1208" s="12"/>
      <c r="J1208" s="13">
        <v>45952</v>
      </c>
      <c r="K1208" s="13">
        <v>2958465</v>
      </c>
      <c r="L1208" s="11" t="str">
        <f t="shared" si="37"/>
        <v>INSERT INTO metadata_reference.file_schema VALUES('DETM_DETIS_SHDS','SHDS_BEN_TYPE_CODE',NULL,'CHAR(3)',NULL,NULL,NULL,NULL,'2025-10-22','9999-12-31',USER, CURRENT_TIMESTAMP(0));</v>
      </c>
    </row>
    <row r="1209" spans="1:12" ht="15" customHeight="1">
      <c r="A1209" s="11" t="str">
        <f>ETLMetadata!$C1209</f>
        <v>DETM_DETIS_SHDS</v>
      </c>
      <c r="B1209" s="11" t="str">
        <f>ETLMetadata!$E1209</f>
        <v>SHDS_STS_CODE</v>
      </c>
      <c r="C1209" s="11" t="str">
        <f>IF(ISBLANK(ETLMetadata!$J1209), "", ETLMetadata!$J1209)</f>
        <v/>
      </c>
      <c r="D1209" s="11" t="str">
        <f>ETLMetadata!$G1209</f>
        <v>CHAR(3)</v>
      </c>
      <c r="E1209" s="12"/>
      <c r="F1209" s="12"/>
      <c r="G1209" s="12" t="str">
        <f t="shared" si="36"/>
        <v/>
      </c>
      <c r="H1209" s="12"/>
      <c r="I1209" s="12"/>
      <c r="J1209" s="13">
        <v>45952</v>
      </c>
      <c r="K1209" s="13">
        <v>2958465</v>
      </c>
      <c r="L1209" s="11" t="str">
        <f t="shared" si="37"/>
        <v>INSERT INTO metadata_reference.file_schema VALUES('DETM_DETIS_SHDS','SHDS_STS_CODE',NULL,'CHAR(3)',NULL,NULL,NULL,NULL,'2025-10-22','9999-12-31',USER, CURRENT_TIMESTAMP(0));</v>
      </c>
    </row>
    <row r="1210" spans="1:12" ht="15" customHeight="1">
      <c r="A1210" s="11" t="str">
        <f>ETLMetadata!$C1210</f>
        <v>DETM_DETIS_SHDS</v>
      </c>
      <c r="B1210" s="11" t="str">
        <f>ETLMetadata!$E1210</f>
        <v>SHDS_RSN_CODE</v>
      </c>
      <c r="C1210" s="11" t="str">
        <f>IF(ISBLANK(ETLMetadata!$J1210), "", ETLMetadata!$J1210)</f>
        <v/>
      </c>
      <c r="D1210" s="11" t="str">
        <f>ETLMetadata!$G1210</f>
        <v>CHAR(3)</v>
      </c>
      <c r="E1210" s="12"/>
      <c r="F1210" s="12"/>
      <c r="G1210" s="12" t="str">
        <f t="shared" si="36"/>
        <v/>
      </c>
      <c r="H1210" s="12"/>
      <c r="I1210" s="12"/>
      <c r="J1210" s="13">
        <v>45952</v>
      </c>
      <c r="K1210" s="13">
        <v>2958465</v>
      </c>
      <c r="L1210" s="11" t="str">
        <f t="shared" si="37"/>
        <v>INSERT INTO metadata_reference.file_schema VALUES('DETM_DETIS_SHDS','SHDS_RSN_CODE',NULL,'CHAR(3)',NULL,NULL,NULL,NULL,'2025-10-22','9999-12-31',USER, CURRENT_TIMESTAMP(0));</v>
      </c>
    </row>
    <row r="1211" spans="1:12" ht="15" customHeight="1">
      <c r="A1211" s="11" t="str">
        <f>ETLMetadata!$C1211</f>
        <v>DETM_DETIS_SHDS</v>
      </c>
      <c r="B1211" s="11" t="str">
        <f>ETLMetadata!$E1211</f>
        <v>SHDS_UNIQ_ID</v>
      </c>
      <c r="C1211" s="11" t="str">
        <f>IF(ISBLANK(ETLMetadata!$J1211), "", ETLMetadata!$J1211)</f>
        <v/>
      </c>
      <c r="D1211" s="11" t="str">
        <f>ETLMetadata!$G1211</f>
        <v>VARCHAR(8)</v>
      </c>
      <c r="E1211" s="12"/>
      <c r="F1211" s="12"/>
      <c r="G1211" s="12" t="str">
        <f t="shared" si="36"/>
        <v/>
      </c>
      <c r="H1211" s="12"/>
      <c r="I1211" s="12"/>
      <c r="J1211" s="13">
        <v>45952</v>
      </c>
      <c r="K1211" s="13">
        <v>2958465</v>
      </c>
      <c r="L1211" s="11" t="str">
        <f t="shared" si="37"/>
        <v>INSERT INTO metadata_reference.file_schema VALUES('DETM_DETIS_SHDS','SHDS_UNIQ_ID',NULL,'VARCHAR(8)',NULL,NULL,NULL,NULL,'2025-10-22','9999-12-31',USER, CURRENT_TIMESTAMP(0));</v>
      </c>
    </row>
    <row r="1212" spans="1:12" ht="15" customHeight="1">
      <c r="A1212" s="11" t="str">
        <f>ETLMetadata!$C1212</f>
        <v>DETM_DETIS_SHDS</v>
      </c>
      <c r="B1212" s="11" t="str">
        <f>ETLMetadata!$E1212</f>
        <v>AMR1_RISL_DTS</v>
      </c>
      <c r="C1212" s="11" t="str">
        <f>IF(ISBLANK(ETLMetadata!$J1212), "", ETLMetadata!$J1212)</f>
        <v/>
      </c>
      <c r="D1212" s="11" t="str">
        <f>ETLMetadata!$G1212</f>
        <v>TIMESTAMP(6)</v>
      </c>
      <c r="E1212" s="12"/>
      <c r="F1212" s="12"/>
      <c r="G1212" s="12" t="str">
        <f t="shared" si="36"/>
        <v/>
      </c>
      <c r="H1212" s="12"/>
      <c r="I1212" s="12"/>
      <c r="J1212" s="13">
        <v>45952</v>
      </c>
      <c r="K1212" s="13">
        <v>2958465</v>
      </c>
      <c r="L1212" s="11" t="str">
        <f t="shared" si="37"/>
        <v>INSERT INTO metadata_reference.file_schema VALUES('DETM_DETIS_SHDS','AMR1_RISL_DTS',NULL,'TIMESTAMP(6)',NULL,NULL,NULL,NULL,'2025-10-22','9999-12-31',USER, CURRENT_TIMESTAMP(0));</v>
      </c>
    </row>
    <row r="1213" spans="1:12" ht="15" customHeight="1">
      <c r="A1213" s="11" t="str">
        <f>ETLMetadata!$C1213</f>
        <v>DETM_DETIS_SHDS</v>
      </c>
      <c r="B1213" s="11" t="str">
        <f>ETLMetadata!$E1213</f>
        <v>AMR3_RISL_DTS</v>
      </c>
      <c r="C1213" s="11" t="str">
        <f>IF(ISBLANK(ETLMetadata!$J1213), "", ETLMetadata!$J1213)</f>
        <v/>
      </c>
      <c r="D1213" s="11" t="str">
        <f>ETLMetadata!$G1213</f>
        <v>TIMESTAMP(6)</v>
      </c>
      <c r="E1213" s="12"/>
      <c r="F1213" s="12"/>
      <c r="G1213" s="12" t="str">
        <f t="shared" si="36"/>
        <v/>
      </c>
      <c r="H1213" s="12"/>
      <c r="I1213" s="12"/>
      <c r="J1213" s="13">
        <v>45952</v>
      </c>
      <c r="K1213" s="13">
        <v>2958465</v>
      </c>
      <c r="L1213" s="11" t="str">
        <f t="shared" si="37"/>
        <v>INSERT INTO metadata_reference.file_schema VALUES('DETM_DETIS_SHDS','AMR3_RISL_DTS',NULL,'TIMESTAMP(6)',NULL,NULL,NULL,NULL,'2025-10-22','9999-12-31',USER, CURRENT_TIMESTAMP(0));</v>
      </c>
    </row>
    <row r="1214" spans="1:12" ht="15" customHeight="1">
      <c r="A1214" s="11" t="str">
        <f>ETLMetadata!$C1214</f>
        <v>DETM_DETIS_SHDS</v>
      </c>
      <c r="B1214" s="11" t="str">
        <f>ETLMetadata!$E1214</f>
        <v>EPISODE_ID</v>
      </c>
      <c r="C1214" s="11" t="str">
        <f>IF(ISBLANK(ETLMetadata!$J1214), "", ETLMetadata!$J1214)</f>
        <v/>
      </c>
      <c r="D1214" s="11" t="str">
        <f>ETLMetadata!$G1214</f>
        <v>INTEGER</v>
      </c>
      <c r="E1214" s="12"/>
      <c r="F1214" s="12"/>
      <c r="G1214" s="12" t="str">
        <f t="shared" si="36"/>
        <v/>
      </c>
      <c r="H1214" s="12"/>
      <c r="I1214" s="12"/>
      <c r="J1214" s="13">
        <v>45952</v>
      </c>
      <c r="K1214" s="13">
        <v>2958465</v>
      </c>
      <c r="L1214" s="11" t="str">
        <f t="shared" si="37"/>
        <v>INSERT INTO metadata_reference.file_schema VALUES('DETM_DETIS_SHDS','EPISODE_ID',NULL,'INTEGER',NULL,NULL,NULL,NULL,'2025-10-22','9999-12-31',USER, CURRENT_TIMESTAMP(0));</v>
      </c>
    </row>
    <row r="1215" spans="1:12" ht="15" customHeight="1">
      <c r="A1215" s="11" t="str">
        <f>ETLMetadata!$C1215</f>
        <v>DETM_DETIS_SHDS</v>
      </c>
      <c r="B1215" s="11" t="str">
        <f>ETLMetadata!$E1215</f>
        <v>PARTY_ROLE_ID</v>
      </c>
      <c r="C1215" s="11" t="str">
        <f>IF(ISBLANK(ETLMetadata!$J1215), "", ETLMetadata!$J1215)</f>
        <v/>
      </c>
      <c r="D1215" s="11" t="str">
        <f>ETLMetadata!$G1215</f>
        <v>INTEGER</v>
      </c>
      <c r="E1215" s="12"/>
      <c r="F1215" s="12"/>
      <c r="G1215" s="12" t="str">
        <f t="shared" si="36"/>
        <v/>
      </c>
      <c r="H1215" s="12"/>
      <c r="I1215" s="12"/>
      <c r="J1215" s="13">
        <v>45952</v>
      </c>
      <c r="K1215" s="13">
        <v>2958465</v>
      </c>
      <c r="L1215" s="11" t="str">
        <f t="shared" si="37"/>
        <v>INSERT INTO metadata_reference.file_schema VALUES('DETM_DETIS_SHDS','PARTY_ROLE_ID',NULL,'INTEGER',NULL,NULL,NULL,NULL,'2025-10-22','9999-12-31',USER, CURRENT_TIMESTAMP(0));</v>
      </c>
    </row>
    <row r="1216" spans="1:12" ht="15" customHeight="1">
      <c r="A1216" s="11" t="str">
        <f>ETLMetadata!$C1216</f>
        <v>DETM_DETIS_SHDS</v>
      </c>
      <c r="B1216" s="11" t="str">
        <f>ETLMetadata!$E1216</f>
        <v>PAYMENT_TYPE_ID</v>
      </c>
      <c r="C1216" s="11" t="str">
        <f>IF(ISBLANK(ETLMetadata!$J1216), "", ETLMetadata!$J1216)</f>
        <v/>
      </c>
      <c r="D1216" s="11" t="str">
        <f>ETLMetadata!$G1216</f>
        <v>INTEGER</v>
      </c>
      <c r="E1216" s="12"/>
      <c r="F1216" s="12"/>
      <c r="G1216" s="12" t="str">
        <f t="shared" si="36"/>
        <v/>
      </c>
      <c r="H1216" s="12"/>
      <c r="I1216" s="12"/>
      <c r="J1216" s="13">
        <v>45952</v>
      </c>
      <c r="K1216" s="13">
        <v>2958465</v>
      </c>
      <c r="L1216" s="11" t="str">
        <f t="shared" si="37"/>
        <v>INSERT INTO metadata_reference.file_schema VALUES('DETM_DETIS_SHDS','PAYMENT_TYPE_ID',NULL,'INTEGER',NULL,NULL,NULL,NULL,'2025-10-22','9999-12-31',USER, CURRENT_TIMESTAMP(0));</v>
      </c>
    </row>
    <row r="1217" spans="1:12" ht="15" customHeight="1">
      <c r="A1217" s="11" t="str">
        <f>ETLMetadata!$C1217</f>
        <v>DETM_DETIS_SHDS</v>
      </c>
      <c r="B1217" s="11" t="str">
        <f>ETLMetadata!$E1217</f>
        <v>ERROR_COUNT</v>
      </c>
      <c r="C1217" s="11" t="str">
        <f>IF(ISBLANK(ETLMetadata!$J1217), "", ETLMetadata!$J1217)</f>
        <v/>
      </c>
      <c r="D1217" s="11" t="str">
        <f>ETLMetadata!$G1217</f>
        <v>SMALLINT</v>
      </c>
      <c r="E1217" s="12"/>
      <c r="F1217" s="12"/>
      <c r="G1217" s="12" t="str">
        <f t="shared" si="36"/>
        <v/>
      </c>
      <c r="H1217" s="12"/>
      <c r="I1217" s="12"/>
      <c r="J1217" s="13">
        <v>45952</v>
      </c>
      <c r="K1217" s="13">
        <v>2958465</v>
      </c>
      <c r="L1217" s="11" t="str">
        <f t="shared" si="37"/>
        <v>INSERT INTO metadata_reference.file_schema VALUES('DETM_DETIS_SHDS','ERROR_COUNT',NULL,'SMALLINT',NULL,NULL,NULL,NULL,'2025-10-22','9999-12-31',USER, CURRENT_TIMESTAMP(0));</v>
      </c>
    </row>
    <row r="1218" spans="1:12" ht="15" customHeight="1">
      <c r="A1218" s="11" t="str">
        <f>ETLMetadata!$C1218</f>
        <v>DETM_DETIS_SHDS</v>
      </c>
      <c r="B1218" s="11" t="str">
        <f>ETLMetadata!$E1218</f>
        <v>Start_Date</v>
      </c>
      <c r="C1218" s="11" t="str">
        <f>IF(ISBLANK(ETLMetadata!$J1218), "", ETLMetadata!$J1218)</f>
        <v/>
      </c>
      <c r="D1218" s="11" t="str">
        <f>ETLMetadata!$G1218</f>
        <v>DATE</v>
      </c>
      <c r="E1218" s="12"/>
      <c r="F1218" s="12"/>
      <c r="G1218" s="12" t="str">
        <f t="shared" si="36"/>
        <v/>
      </c>
      <c r="H1218" s="12"/>
      <c r="I1218" s="12"/>
      <c r="J1218" s="13">
        <v>45952</v>
      </c>
      <c r="K1218" s="13">
        <v>2958465</v>
      </c>
      <c r="L1218" s="11" t="str">
        <f t="shared" si="37"/>
        <v>INSERT INTO metadata_reference.file_schema VALUES('DETM_DETIS_SHDS','Start_Date',NULL,'DATE',NULL,NULL,NULL,NULL,'2025-10-22','9999-12-31',USER, CURRENT_TIMESTAMP(0));</v>
      </c>
    </row>
    <row r="1219" spans="1:12" ht="15" customHeight="1">
      <c r="A1219" s="11" t="str">
        <f>ETLMetadata!$C1219</f>
        <v>DETM_DETIS_SHDS</v>
      </c>
      <c r="B1219" s="11" t="str">
        <f>ETLMetadata!$E1219</f>
        <v>End_Date</v>
      </c>
      <c r="C1219" s="11" t="str">
        <f>IF(ISBLANK(ETLMetadata!$J1219), "", ETLMetadata!$J1219)</f>
        <v/>
      </c>
      <c r="D1219" s="11" t="str">
        <f>ETLMetadata!$G1219</f>
        <v>DATE</v>
      </c>
      <c r="E1219" s="12"/>
      <c r="F1219" s="12"/>
      <c r="G1219" s="12" t="str">
        <f t="shared" ref="G1219:G1282" si="38">UPPER($F1219)</f>
        <v/>
      </c>
      <c r="H1219" s="12"/>
      <c r="I1219" s="12"/>
      <c r="J1219" s="13">
        <v>45952</v>
      </c>
      <c r="K1219" s="13">
        <v>2958465</v>
      </c>
      <c r="L1219" s="11" t="str">
        <f t="shared" ref="L1219:L1282" si="39">CONCATENATE("INSERT INTO metadata_reference.file_schema VALUES('",TRIM(A1219),"','",TRIM(B1219),"',",IF(TRIM(C1219)="","NULL","'"&amp;TRIM(C1219)&amp;"'"),",'",TRIM(D1219),"',",IF(TRIM(E1219)="","NULL","'"&amp;TRIM(E1219)&amp;"'"),",",IF(TRIM(G1219)="","NULL","'"&amp;TRIM(G1219)&amp;"'"),",",IF(TRIM(H1219)="","NULL","'"&amp;TRIM(H1219)&amp;"'"),",",
IF(TRIM(I1219)="","NULL",TRIM(I1219)),",",IF(TRIM(J1219)="","NULL","'"&amp;TEXT(J1219,"yyyy-mm-dd")&amp;"'"),",",IF(TRIM(K1219)="","NULL","'"&amp;TEXT(K1219,"yyyy-mm-dd")&amp;"'"),",","USER, CURRENT_TIMESTAMP(0));")</f>
        <v>INSERT INTO metadata_reference.file_schema VALUES('DETM_DETIS_SHDS','End_Date',NULL,'DATE',NULL,NULL,NULL,NULL,'2025-10-22','9999-12-31',USER, CURRENT_TIMESTAMP(0));</v>
      </c>
    </row>
    <row r="1220" spans="1:12" ht="15" customHeight="1">
      <c r="A1220" s="11" t="str">
        <f>ETLMetadata!$C1220</f>
        <v>DETM_DETIS_SHDS</v>
      </c>
      <c r="B1220" s="11" t="str">
        <f>ETLMetadata!$E1220</f>
        <v>Record_Deleted_Flag</v>
      </c>
      <c r="C1220" s="11" t="str">
        <f>IF(ISBLANK(ETLMetadata!$J1220), "", ETLMetadata!$J1220)</f>
        <v/>
      </c>
      <c r="D1220" s="11" t="str">
        <f>ETLMetadata!$G1220</f>
        <v>BYTEINT</v>
      </c>
      <c r="E1220" s="12"/>
      <c r="F1220" s="12"/>
      <c r="G1220" s="12" t="str">
        <f t="shared" si="38"/>
        <v/>
      </c>
      <c r="H1220" s="12"/>
      <c r="I1220" s="12"/>
      <c r="J1220" s="13">
        <v>45952</v>
      </c>
      <c r="K1220" s="13">
        <v>2958465</v>
      </c>
      <c r="L1220" s="11" t="str">
        <f t="shared" si="39"/>
        <v>INSERT INTO metadata_reference.file_schema VALUES('DETM_DETIS_SHDS','Record_Deleted_Flag',NULL,'BYTEINT',NULL,NULL,NULL,NULL,'2025-10-22','9999-12-31',USER, CURRENT_TIMESTAMP(0));</v>
      </c>
    </row>
    <row r="1221" spans="1:12" ht="15" customHeight="1">
      <c r="A1221" s="11" t="str">
        <f>ETLMetadata!$C1221</f>
        <v>DETM_DETIS_TLDS</v>
      </c>
      <c r="B1221" s="11" t="str">
        <f>ETLMetadata!$E1221</f>
        <v>EXTRACT_DATE</v>
      </c>
      <c r="C1221" s="11" t="str">
        <f>IF(ISBLANK(ETLMetadata!$J1221), "", ETLMetadata!$J1221)</f>
        <v/>
      </c>
      <c r="D1221" s="11" t="str">
        <f>ETLMetadata!$G1221</f>
        <v>DATE</v>
      </c>
      <c r="E1221" s="12"/>
      <c r="F1221" s="12"/>
      <c r="G1221" s="12" t="str">
        <f t="shared" si="38"/>
        <v/>
      </c>
      <c r="H1221" s="12"/>
      <c r="I1221" s="12"/>
      <c r="J1221" s="13">
        <v>45952</v>
      </c>
      <c r="K1221" s="13">
        <v>2958465</v>
      </c>
      <c r="L1221" s="11" t="str">
        <f t="shared" si="39"/>
        <v>INSERT INTO metadata_reference.file_schema VALUES('DETM_DETIS_TLDS','EXTRACT_DATE',NULL,'DATE',NULL,NULL,NULL,NULL,'2025-10-22','9999-12-31',USER, CURRENT_TIMESTAMP(0));</v>
      </c>
    </row>
    <row r="1222" spans="1:12" ht="15" customHeight="1">
      <c r="A1222" s="11" t="str">
        <f>ETLMetadata!$C1222</f>
        <v>DETM_DETIS_TLDS</v>
      </c>
      <c r="B1222" s="11" t="str">
        <f>ETLMetadata!$E1222</f>
        <v>LOGICAL_DELETE_DATE</v>
      </c>
      <c r="C1222" s="11" t="str">
        <f>IF(ISBLANK(ETLMetadata!$J1222), "", ETLMetadata!$J1222)</f>
        <v/>
      </c>
      <c r="D1222" s="11" t="str">
        <f>ETLMetadata!$G1222</f>
        <v>DATE</v>
      </c>
      <c r="E1222" s="12"/>
      <c r="F1222" s="12"/>
      <c r="G1222" s="12" t="str">
        <f t="shared" si="38"/>
        <v/>
      </c>
      <c r="H1222" s="12"/>
      <c r="I1222" s="12"/>
      <c r="J1222" s="13">
        <v>45952</v>
      </c>
      <c r="K1222" s="13">
        <v>2958465</v>
      </c>
      <c r="L1222" s="11" t="str">
        <f t="shared" si="39"/>
        <v>INSERT INTO metadata_reference.file_schema VALUES('DETM_DETIS_TLDS','LOGICAL_DELETE_DATE',NULL,'DATE',NULL,NULL,NULL,NULL,'2025-10-22','9999-12-31',USER, CURRENT_TIMESTAMP(0));</v>
      </c>
    </row>
    <row r="1223" spans="1:12" ht="15" customHeight="1">
      <c r="A1223" s="11" t="str">
        <f>ETLMetadata!$C1223</f>
        <v>DETM_DETIS_TLDS</v>
      </c>
      <c r="B1223" s="11" t="str">
        <f>ETLMetadata!$E1223</f>
        <v>ENVIRONMENT_ID</v>
      </c>
      <c r="C1223" s="11" t="str">
        <f>IF(ISBLANK(ETLMetadata!$J1223), "", ETLMetadata!$J1223)</f>
        <v>Y</v>
      </c>
      <c r="D1223" s="11" t="str">
        <f>ETLMetadata!$G1223</f>
        <v>CHAR(1)</v>
      </c>
      <c r="E1223" s="12"/>
      <c r="F1223" s="12"/>
      <c r="G1223" s="12" t="str">
        <f t="shared" si="38"/>
        <v/>
      </c>
      <c r="H1223" s="12"/>
      <c r="I1223" s="12"/>
      <c r="J1223" s="13">
        <v>45952</v>
      </c>
      <c r="K1223" s="13">
        <v>2958465</v>
      </c>
      <c r="L1223" s="11" t="str">
        <f t="shared" si="39"/>
        <v>INSERT INTO metadata_reference.file_schema VALUES('DETM_DETIS_TLDS','ENVIRONMENT_ID','Y','CHAR(1)',NULL,NULL,NULL,NULL,'2025-10-22','9999-12-31',USER, CURRENT_TIMESTAMP(0));</v>
      </c>
    </row>
    <row r="1224" spans="1:12" ht="15" customHeight="1">
      <c r="A1224" s="11" t="str">
        <f>ETLMetadata!$C1224</f>
        <v>DETM_DETIS_TLDS</v>
      </c>
      <c r="B1224" s="11" t="str">
        <f>ETLMetadata!$E1224</f>
        <v>PERSON_ID</v>
      </c>
      <c r="C1224" s="11" t="str">
        <f>IF(ISBLANK(ETLMetadata!$J1224), "", ETLMetadata!$J1224)</f>
        <v>Y</v>
      </c>
      <c r="D1224" s="11" t="str">
        <f>ETLMetadata!$G1224</f>
        <v>INTEGER</v>
      </c>
      <c r="E1224" s="12"/>
      <c r="F1224" s="12" t="s">
        <v>799</v>
      </c>
      <c r="G1224" s="12" t="str">
        <f t="shared" si="38"/>
        <v>PERSONAL_IDENTITYINFOINDIRECT</v>
      </c>
      <c r="H1224" s="12"/>
      <c r="I1224" s="12"/>
      <c r="J1224" s="13">
        <v>45952</v>
      </c>
      <c r="K1224" s="13">
        <v>2958465</v>
      </c>
      <c r="L1224" s="11" t="str">
        <f t="shared" si="39"/>
        <v>INSERT INTO metadata_reference.file_schema VALUES('DETM_DETIS_TLDS','PERSON_ID','Y','INTEGER',NULL,'PERSONAL_IDENTITYINFOINDIRECT',NULL,NULL,'2025-10-22','9999-12-31',USER, CURRENT_TIMESTAMP(0));</v>
      </c>
    </row>
    <row r="1225" spans="1:12" ht="15" customHeight="1">
      <c r="A1225" s="11" t="str">
        <f>ETLMetadata!$C1225</f>
        <v>DETM_DETIS_TLDS</v>
      </c>
      <c r="B1225" s="11" t="str">
        <f>ETLMetadata!$E1225</f>
        <v>TLDS_DOE</v>
      </c>
      <c r="C1225" s="11" t="str">
        <f>IF(ISBLANK(ETLMetadata!$J1225), "", ETLMetadata!$J1225)</f>
        <v/>
      </c>
      <c r="D1225" s="11" t="str">
        <f>ETLMetadata!$G1225</f>
        <v>DATE</v>
      </c>
      <c r="E1225" s="12"/>
      <c r="F1225" s="12"/>
      <c r="G1225" s="12" t="str">
        <f t="shared" si="38"/>
        <v/>
      </c>
      <c r="H1225" s="12"/>
      <c r="I1225" s="12"/>
      <c r="J1225" s="13">
        <v>45952</v>
      </c>
      <c r="K1225" s="13">
        <v>2958465</v>
      </c>
      <c r="L1225" s="11" t="str">
        <f t="shared" si="39"/>
        <v>INSERT INTO metadata_reference.file_schema VALUES('DETM_DETIS_TLDS','TLDS_DOE',NULL,'DATE',NULL,NULL,NULL,NULL,'2025-10-22','9999-12-31',USER, CURRENT_TIMESTAMP(0));</v>
      </c>
    </row>
    <row r="1226" spans="1:12" ht="15" customHeight="1">
      <c r="A1226" s="11" t="str">
        <f>ETLMetadata!$C1226</f>
        <v>DETM_DETIS_TLDS</v>
      </c>
      <c r="B1226" s="11" t="str">
        <f>ETLMetadata!$E1226</f>
        <v>TLDS_DOE_ORIG</v>
      </c>
      <c r="C1226" s="11" t="str">
        <f>IF(ISBLANK(ETLMetadata!$J1226), "", ETLMetadata!$J1226)</f>
        <v/>
      </c>
      <c r="D1226" s="11" t="str">
        <f>ETLMetadata!$G1226</f>
        <v>INTEGER</v>
      </c>
      <c r="E1226" s="12"/>
      <c r="F1226" s="12"/>
      <c r="G1226" s="12" t="str">
        <f t="shared" si="38"/>
        <v/>
      </c>
      <c r="H1226" s="12"/>
      <c r="I1226" s="12"/>
      <c r="J1226" s="13">
        <v>45952</v>
      </c>
      <c r="K1226" s="13">
        <v>2958465</v>
      </c>
      <c r="L1226" s="11" t="str">
        <f t="shared" si="39"/>
        <v>INSERT INTO metadata_reference.file_schema VALUES('DETM_DETIS_TLDS','TLDS_DOE_ORIG',NULL,'INTEGER',NULL,NULL,NULL,NULL,'2025-10-22','9999-12-31',USER, CURRENT_TIMESTAMP(0));</v>
      </c>
    </row>
    <row r="1227" spans="1:12" ht="15" customHeight="1">
      <c r="A1227" s="11" t="str">
        <f>ETLMetadata!$C1227</f>
        <v>DETM_DETIS_TLDS</v>
      </c>
      <c r="B1227" s="11" t="str">
        <f>ETLMetadata!$E1227</f>
        <v>PROCESSING_SEQUENCE</v>
      </c>
      <c r="C1227" s="11" t="str">
        <f>IF(ISBLANK(ETLMetadata!$J1227), "", ETLMetadata!$J1227)</f>
        <v>Y</v>
      </c>
      <c r="D1227" s="11" t="str">
        <f>ETLMetadata!$G1227</f>
        <v>SMALLINT</v>
      </c>
      <c r="E1227" s="12"/>
      <c r="F1227" s="12"/>
      <c r="G1227" s="12" t="str">
        <f t="shared" si="38"/>
        <v/>
      </c>
      <c r="H1227" s="12"/>
      <c r="I1227" s="12"/>
      <c r="J1227" s="13">
        <v>45952</v>
      </c>
      <c r="K1227" s="13">
        <v>2958465</v>
      </c>
      <c r="L1227" s="11" t="str">
        <f t="shared" si="39"/>
        <v>INSERT INTO metadata_reference.file_schema VALUES('DETM_DETIS_TLDS','PROCESSING_SEQUENCE','Y','SMALLINT',NULL,NULL,NULL,NULL,'2025-10-22','9999-12-31',USER, CURRENT_TIMESTAMP(0));</v>
      </c>
    </row>
    <row r="1228" spans="1:12" ht="15" customHeight="1">
      <c r="A1228" s="11" t="str">
        <f>ETLMetadata!$C1228</f>
        <v>DETM_DETIS_TLDS</v>
      </c>
      <c r="B1228" s="11" t="str">
        <f>ETLMetadata!$E1228</f>
        <v>TLDS_AMR_1</v>
      </c>
      <c r="C1228" s="11" t="str">
        <f>IF(ISBLANK(ETLMetadata!$J1228), "", ETLMetadata!$J1228)</f>
        <v/>
      </c>
      <c r="D1228" s="11" t="str">
        <f>ETLMetadata!$G1228</f>
        <v>CHAR(4)</v>
      </c>
      <c r="E1228" s="12"/>
      <c r="F1228" s="12"/>
      <c r="G1228" s="12" t="str">
        <f t="shared" si="38"/>
        <v/>
      </c>
      <c r="H1228" s="12"/>
      <c r="I1228" s="12"/>
      <c r="J1228" s="13">
        <v>45952</v>
      </c>
      <c r="K1228" s="13">
        <v>2958465</v>
      </c>
      <c r="L1228" s="11" t="str">
        <f t="shared" si="39"/>
        <v>INSERT INTO metadata_reference.file_schema VALUES('DETM_DETIS_TLDS','TLDS_AMR_1',NULL,'CHAR(4)',NULL,NULL,NULL,NULL,'2025-10-22','9999-12-31',USER, CURRENT_TIMESTAMP(0));</v>
      </c>
    </row>
    <row r="1229" spans="1:12" ht="15" customHeight="1">
      <c r="A1229" s="11" t="str">
        <f>ETLMetadata!$C1229</f>
        <v>DETM_DETIS_TLDS</v>
      </c>
      <c r="B1229" s="11" t="str">
        <f>ETLMetadata!$E1229</f>
        <v>TLDS_AMR_2</v>
      </c>
      <c r="C1229" s="11" t="str">
        <f>IF(ISBLANK(ETLMetadata!$J1229), "", ETLMetadata!$J1229)</f>
        <v/>
      </c>
      <c r="D1229" s="11" t="str">
        <f>ETLMetadata!$G1229</f>
        <v>CHAR(1)</v>
      </c>
      <c r="E1229" s="12"/>
      <c r="F1229" s="12"/>
      <c r="G1229" s="12" t="str">
        <f t="shared" si="38"/>
        <v/>
      </c>
      <c r="H1229" s="12"/>
      <c r="I1229" s="12"/>
      <c r="J1229" s="13">
        <v>45952</v>
      </c>
      <c r="K1229" s="13">
        <v>2958465</v>
      </c>
      <c r="L1229" s="11" t="str">
        <f t="shared" si="39"/>
        <v>INSERT INTO metadata_reference.file_schema VALUES('DETM_DETIS_TLDS','TLDS_AMR_2',NULL,'CHAR(1)',NULL,NULL,NULL,NULL,'2025-10-22','9999-12-31',USER, CURRENT_TIMESTAMP(0));</v>
      </c>
    </row>
    <row r="1230" spans="1:12" ht="15" customHeight="1">
      <c r="A1230" s="11" t="str">
        <f>ETLMetadata!$C1230</f>
        <v>DETM_DETIS_TLDS</v>
      </c>
      <c r="B1230" s="11" t="str">
        <f>ETLMetadata!$E1230</f>
        <v>TLDS_AMR_3</v>
      </c>
      <c r="C1230" s="11" t="str">
        <f>IF(ISBLANK(ETLMetadata!$J1230), "", ETLMetadata!$J1230)</f>
        <v/>
      </c>
      <c r="D1230" s="11" t="str">
        <f>ETLMetadata!$G1230</f>
        <v>CHAR(4)</v>
      </c>
      <c r="E1230" s="12"/>
      <c r="F1230" s="12"/>
      <c r="G1230" s="12" t="str">
        <f t="shared" si="38"/>
        <v/>
      </c>
      <c r="H1230" s="12"/>
      <c r="I1230" s="12"/>
      <c r="J1230" s="13">
        <v>45952</v>
      </c>
      <c r="K1230" s="13">
        <v>2958465</v>
      </c>
      <c r="L1230" s="11" t="str">
        <f t="shared" si="39"/>
        <v>INSERT INTO metadata_reference.file_schema VALUES('DETM_DETIS_TLDS','TLDS_AMR_3',NULL,'CHAR(4)',NULL,NULL,NULL,NULL,'2025-10-22','9999-12-31',USER, CURRENT_TIMESTAMP(0));</v>
      </c>
    </row>
    <row r="1231" spans="1:12" ht="15" customHeight="1">
      <c r="A1231" s="11" t="str">
        <f>ETLMetadata!$C1231</f>
        <v>DETM_DETIS_TLDS</v>
      </c>
      <c r="B1231" s="11" t="str">
        <f>ETLMetadata!$E1231</f>
        <v>TLDS_BEN_TYPE_CODE</v>
      </c>
      <c r="C1231" s="11" t="str">
        <f>IF(ISBLANK(ETLMetadata!$J1231), "", ETLMetadata!$J1231)</f>
        <v/>
      </c>
      <c r="D1231" s="11" t="str">
        <f>ETLMetadata!$G1231</f>
        <v>CHAR(3)</v>
      </c>
      <c r="E1231" s="12"/>
      <c r="F1231" s="12"/>
      <c r="G1231" s="12" t="str">
        <f t="shared" si="38"/>
        <v/>
      </c>
      <c r="H1231" s="12"/>
      <c r="I1231" s="12"/>
      <c r="J1231" s="13">
        <v>45952</v>
      </c>
      <c r="K1231" s="13">
        <v>2958465</v>
      </c>
      <c r="L1231" s="11" t="str">
        <f t="shared" si="39"/>
        <v>INSERT INTO metadata_reference.file_schema VALUES('DETM_DETIS_TLDS','TLDS_BEN_TYPE_CODE',NULL,'CHAR(3)',NULL,NULL,NULL,NULL,'2025-10-22','9999-12-31',USER, CURRENT_TIMESTAMP(0));</v>
      </c>
    </row>
    <row r="1232" spans="1:12" ht="15" customHeight="1">
      <c r="A1232" s="11" t="str">
        <f>ETLMetadata!$C1232</f>
        <v>DETM_DETIS_TLDS</v>
      </c>
      <c r="B1232" s="11" t="str">
        <f>ETLMetadata!$E1232</f>
        <v>TLDS_STS_CODE</v>
      </c>
      <c r="C1232" s="11" t="str">
        <f>IF(ISBLANK(ETLMetadata!$J1232), "", ETLMetadata!$J1232)</f>
        <v/>
      </c>
      <c r="D1232" s="11" t="str">
        <f>ETLMetadata!$G1232</f>
        <v>CHAR(3)</v>
      </c>
      <c r="E1232" s="12"/>
      <c r="F1232" s="12"/>
      <c r="G1232" s="12" t="str">
        <f t="shared" si="38"/>
        <v/>
      </c>
      <c r="H1232" s="12"/>
      <c r="I1232" s="12"/>
      <c r="J1232" s="13">
        <v>45952</v>
      </c>
      <c r="K1232" s="13">
        <v>2958465</v>
      </c>
      <c r="L1232" s="11" t="str">
        <f t="shared" si="39"/>
        <v>INSERT INTO metadata_reference.file_schema VALUES('DETM_DETIS_TLDS','TLDS_STS_CODE',NULL,'CHAR(3)',NULL,NULL,NULL,NULL,'2025-10-22','9999-12-31',USER, CURRENT_TIMESTAMP(0));</v>
      </c>
    </row>
    <row r="1233" spans="1:12" ht="15" customHeight="1">
      <c r="A1233" s="11" t="str">
        <f>ETLMetadata!$C1233</f>
        <v>DETM_DETIS_TLDS</v>
      </c>
      <c r="B1233" s="11" t="str">
        <f>ETLMetadata!$E1233</f>
        <v>TLDS_RSN_CODE</v>
      </c>
      <c r="C1233" s="11" t="str">
        <f>IF(ISBLANK(ETLMetadata!$J1233), "", ETLMetadata!$J1233)</f>
        <v/>
      </c>
      <c r="D1233" s="11" t="str">
        <f>ETLMetadata!$G1233</f>
        <v>CHAR(3)</v>
      </c>
      <c r="E1233" s="12"/>
      <c r="F1233" s="12"/>
      <c r="G1233" s="12" t="str">
        <f t="shared" si="38"/>
        <v/>
      </c>
      <c r="H1233" s="12"/>
      <c r="I1233" s="12"/>
      <c r="J1233" s="13">
        <v>45952</v>
      </c>
      <c r="K1233" s="13">
        <v>2958465</v>
      </c>
      <c r="L1233" s="11" t="str">
        <f t="shared" si="39"/>
        <v>INSERT INTO metadata_reference.file_schema VALUES('DETM_DETIS_TLDS','TLDS_RSN_CODE',NULL,'CHAR(3)',NULL,NULL,NULL,NULL,'2025-10-22','9999-12-31',USER, CURRENT_TIMESTAMP(0));</v>
      </c>
    </row>
    <row r="1234" spans="1:12" ht="15" customHeight="1">
      <c r="A1234" s="11" t="str">
        <f>ETLMetadata!$C1234</f>
        <v>DETM_DETIS_TLDS</v>
      </c>
      <c r="B1234" s="11" t="str">
        <f>ETLMetadata!$E1234</f>
        <v>AMR1_RISL_DTS</v>
      </c>
      <c r="C1234" s="11" t="str">
        <f>IF(ISBLANK(ETLMetadata!$J1234), "", ETLMetadata!$J1234)</f>
        <v/>
      </c>
      <c r="D1234" s="11" t="str">
        <f>ETLMetadata!$G1234</f>
        <v>TIMESTAMP(6)</v>
      </c>
      <c r="E1234" s="12"/>
      <c r="F1234" s="12"/>
      <c r="G1234" s="12" t="str">
        <f t="shared" si="38"/>
        <v/>
      </c>
      <c r="H1234" s="12"/>
      <c r="I1234" s="12"/>
      <c r="J1234" s="13">
        <v>45952</v>
      </c>
      <c r="K1234" s="13">
        <v>2958465</v>
      </c>
      <c r="L1234" s="11" t="str">
        <f t="shared" si="39"/>
        <v>INSERT INTO metadata_reference.file_schema VALUES('DETM_DETIS_TLDS','AMR1_RISL_DTS',NULL,'TIMESTAMP(6)',NULL,NULL,NULL,NULL,'2025-10-22','9999-12-31',USER, CURRENT_TIMESTAMP(0));</v>
      </c>
    </row>
    <row r="1235" spans="1:12" ht="15" customHeight="1">
      <c r="A1235" s="11" t="str">
        <f>ETLMetadata!$C1235</f>
        <v>DETM_DETIS_TLDS</v>
      </c>
      <c r="B1235" s="11" t="str">
        <f>ETLMetadata!$E1235</f>
        <v>AMR3_RISL_DTS</v>
      </c>
      <c r="C1235" s="11" t="str">
        <f>IF(ISBLANK(ETLMetadata!$J1235), "", ETLMetadata!$J1235)</f>
        <v/>
      </c>
      <c r="D1235" s="11" t="str">
        <f>ETLMetadata!$G1235</f>
        <v>TIMESTAMP(6)</v>
      </c>
      <c r="E1235" s="12"/>
      <c r="F1235" s="12"/>
      <c r="G1235" s="12" t="str">
        <f t="shared" si="38"/>
        <v/>
      </c>
      <c r="H1235" s="12"/>
      <c r="I1235" s="12"/>
      <c r="J1235" s="13">
        <v>45952</v>
      </c>
      <c r="K1235" s="13">
        <v>2958465</v>
      </c>
      <c r="L1235" s="11" t="str">
        <f t="shared" si="39"/>
        <v>INSERT INTO metadata_reference.file_schema VALUES('DETM_DETIS_TLDS','AMR3_RISL_DTS',NULL,'TIMESTAMP(6)',NULL,NULL,NULL,NULL,'2025-10-22','9999-12-31',USER, CURRENT_TIMESTAMP(0));</v>
      </c>
    </row>
    <row r="1236" spans="1:12" ht="15" customHeight="1">
      <c r="A1236" s="11" t="str">
        <f>ETLMetadata!$C1236</f>
        <v>DETM_DETIS_TLDS</v>
      </c>
      <c r="B1236" s="11" t="str">
        <f>ETLMetadata!$E1236</f>
        <v>PARTY_ROLE_ID</v>
      </c>
      <c r="C1236" s="11" t="str">
        <f>IF(ISBLANK(ETLMetadata!$J1236), "", ETLMetadata!$J1236)</f>
        <v/>
      </c>
      <c r="D1236" s="11" t="str">
        <f>ETLMetadata!$G1236</f>
        <v>INTEGER</v>
      </c>
      <c r="E1236" s="12"/>
      <c r="F1236" s="12"/>
      <c r="G1236" s="12" t="str">
        <f t="shared" si="38"/>
        <v/>
      </c>
      <c r="H1236" s="12"/>
      <c r="I1236" s="12"/>
      <c r="J1236" s="13">
        <v>45952</v>
      </c>
      <c r="K1236" s="13">
        <v>2958465</v>
      </c>
      <c r="L1236" s="11" t="str">
        <f t="shared" si="39"/>
        <v>INSERT INTO metadata_reference.file_schema VALUES('DETM_DETIS_TLDS','PARTY_ROLE_ID',NULL,'INTEGER',NULL,NULL,NULL,NULL,'2025-10-22','9999-12-31',USER, CURRENT_TIMESTAMP(0));</v>
      </c>
    </row>
    <row r="1237" spans="1:12" ht="15" customHeight="1">
      <c r="A1237" s="11" t="str">
        <f>ETLMetadata!$C1237</f>
        <v>DETM_DETIS_TLDS</v>
      </c>
      <c r="B1237" s="11" t="str">
        <f>ETLMetadata!$E1237</f>
        <v>PAYMENT_TYPE_ID</v>
      </c>
      <c r="C1237" s="11" t="str">
        <f>IF(ISBLANK(ETLMetadata!$J1237), "", ETLMetadata!$J1237)</f>
        <v/>
      </c>
      <c r="D1237" s="11" t="str">
        <f>ETLMetadata!$G1237</f>
        <v>INTEGER</v>
      </c>
      <c r="E1237" s="12"/>
      <c r="F1237" s="12"/>
      <c r="G1237" s="12" t="str">
        <f t="shared" si="38"/>
        <v/>
      </c>
      <c r="H1237" s="12"/>
      <c r="I1237" s="12"/>
      <c r="J1237" s="13">
        <v>45952</v>
      </c>
      <c r="K1237" s="13">
        <v>2958465</v>
      </c>
      <c r="L1237" s="11" t="str">
        <f t="shared" si="39"/>
        <v>INSERT INTO metadata_reference.file_schema VALUES('DETM_DETIS_TLDS','PAYMENT_TYPE_ID',NULL,'INTEGER',NULL,NULL,NULL,NULL,'2025-10-22','9999-12-31',USER, CURRENT_TIMESTAMP(0));</v>
      </c>
    </row>
    <row r="1238" spans="1:12" ht="15" customHeight="1">
      <c r="A1238" s="11" t="str">
        <f>ETLMetadata!$C1238</f>
        <v>DETM_DETIS_TLDS</v>
      </c>
      <c r="B1238" s="11" t="str">
        <f>ETLMetadata!$E1238</f>
        <v>ERROR_COUNT</v>
      </c>
      <c r="C1238" s="11" t="str">
        <f>IF(ISBLANK(ETLMetadata!$J1238), "", ETLMetadata!$J1238)</f>
        <v/>
      </c>
      <c r="D1238" s="11" t="str">
        <f>ETLMetadata!$G1238</f>
        <v>SMALLINT</v>
      </c>
      <c r="E1238" s="12"/>
      <c r="F1238" s="12"/>
      <c r="G1238" s="12" t="str">
        <f t="shared" si="38"/>
        <v/>
      </c>
      <c r="H1238" s="12"/>
      <c r="I1238" s="12"/>
      <c r="J1238" s="13">
        <v>45952</v>
      </c>
      <c r="K1238" s="13">
        <v>2958465</v>
      </c>
      <c r="L1238" s="11" t="str">
        <f t="shared" si="39"/>
        <v>INSERT INTO metadata_reference.file_schema VALUES('DETM_DETIS_TLDS','ERROR_COUNT',NULL,'SMALLINT',NULL,NULL,NULL,NULL,'2025-10-22','9999-12-31',USER, CURRENT_TIMESTAMP(0));</v>
      </c>
    </row>
    <row r="1239" spans="1:12" ht="15" customHeight="1">
      <c r="A1239" s="11" t="str">
        <f>ETLMetadata!$C1239</f>
        <v>DETM_DETIS_TLDS</v>
      </c>
      <c r="B1239" s="11" t="str">
        <f>ETLMetadata!$E1239</f>
        <v>Start_Date</v>
      </c>
      <c r="C1239" s="11" t="str">
        <f>IF(ISBLANK(ETLMetadata!$J1239), "", ETLMetadata!$J1239)</f>
        <v/>
      </c>
      <c r="D1239" s="11" t="str">
        <f>ETLMetadata!$G1239</f>
        <v>DATE</v>
      </c>
      <c r="E1239" s="12"/>
      <c r="F1239" s="12"/>
      <c r="G1239" s="12" t="str">
        <f t="shared" si="38"/>
        <v/>
      </c>
      <c r="H1239" s="12"/>
      <c r="I1239" s="12"/>
      <c r="J1239" s="13">
        <v>45952</v>
      </c>
      <c r="K1239" s="13">
        <v>2958465</v>
      </c>
      <c r="L1239" s="11" t="str">
        <f t="shared" si="39"/>
        <v>INSERT INTO metadata_reference.file_schema VALUES('DETM_DETIS_TLDS','Start_Date',NULL,'DATE',NULL,NULL,NULL,NULL,'2025-10-22','9999-12-31',USER, CURRENT_TIMESTAMP(0));</v>
      </c>
    </row>
    <row r="1240" spans="1:12" ht="15" customHeight="1">
      <c r="A1240" s="11" t="str">
        <f>ETLMetadata!$C1240</f>
        <v>DETM_DETIS_TLDS</v>
      </c>
      <c r="B1240" s="11" t="str">
        <f>ETLMetadata!$E1240</f>
        <v>End_Date</v>
      </c>
      <c r="C1240" s="11" t="str">
        <f>IF(ISBLANK(ETLMetadata!$J1240), "", ETLMetadata!$J1240)</f>
        <v/>
      </c>
      <c r="D1240" s="11" t="str">
        <f>ETLMetadata!$G1240</f>
        <v>DATE</v>
      </c>
      <c r="E1240" s="12"/>
      <c r="F1240" s="12"/>
      <c r="G1240" s="12" t="str">
        <f t="shared" si="38"/>
        <v/>
      </c>
      <c r="H1240" s="12"/>
      <c r="I1240" s="12"/>
      <c r="J1240" s="13">
        <v>45952</v>
      </c>
      <c r="K1240" s="13">
        <v>2958465</v>
      </c>
      <c r="L1240" s="11" t="str">
        <f t="shared" si="39"/>
        <v>INSERT INTO metadata_reference.file_schema VALUES('DETM_DETIS_TLDS','End_Date',NULL,'DATE',NULL,NULL,NULL,NULL,'2025-10-22','9999-12-31',USER, CURRENT_TIMESTAMP(0));</v>
      </c>
    </row>
    <row r="1241" spans="1:12" ht="15" customHeight="1">
      <c r="A1241" s="11" t="str">
        <f>ETLMetadata!$C1241</f>
        <v>DETM_DETIS_TLDS</v>
      </c>
      <c r="B1241" s="11" t="str">
        <f>ETLMetadata!$E1241</f>
        <v>Record_Deleted_Flag</v>
      </c>
      <c r="C1241" s="11" t="str">
        <f>IF(ISBLANK(ETLMetadata!$J1241), "", ETLMetadata!$J1241)</f>
        <v/>
      </c>
      <c r="D1241" s="11" t="str">
        <f>ETLMetadata!$G1241</f>
        <v>BYTEINT</v>
      </c>
      <c r="E1241" s="12"/>
      <c r="F1241" s="12"/>
      <c r="G1241" s="12" t="str">
        <f t="shared" si="38"/>
        <v/>
      </c>
      <c r="H1241" s="12"/>
      <c r="I1241" s="12"/>
      <c r="J1241" s="13">
        <v>45952</v>
      </c>
      <c r="K1241" s="13">
        <v>2958465</v>
      </c>
      <c r="L1241" s="11" t="str">
        <f t="shared" si="39"/>
        <v>INSERT INTO metadata_reference.file_schema VALUES('DETM_DETIS_TLDS','Record_Deleted_Flag',NULL,'BYTEINT',NULL,NULL,NULL,NULL,'2025-10-22','9999-12-31',USER, CURRENT_TIMESTAMP(0));</v>
      </c>
    </row>
    <row r="1242" spans="1:12" ht="15" customHeight="1">
      <c r="A1242" s="11" t="str">
        <f>ETLMetadata!$C1242</f>
        <v>DETM_DETIS_VBDS</v>
      </c>
      <c r="B1242" s="11" t="str">
        <f>ETLMetadata!$E1242</f>
        <v>EXTRACT_DATE</v>
      </c>
      <c r="C1242" s="11" t="str">
        <f>IF(ISBLANK(ETLMetadata!$J1242), "", ETLMetadata!$J1242)</f>
        <v/>
      </c>
      <c r="D1242" s="11" t="str">
        <f>ETLMetadata!$G1242</f>
        <v>DATE</v>
      </c>
      <c r="E1242" s="12"/>
      <c r="F1242" s="12"/>
      <c r="G1242" s="12" t="str">
        <f t="shared" si="38"/>
        <v/>
      </c>
      <c r="H1242" s="12"/>
      <c r="I1242" s="12"/>
      <c r="J1242" s="13">
        <v>45952</v>
      </c>
      <c r="K1242" s="13">
        <v>2958465</v>
      </c>
      <c r="L1242" s="11" t="str">
        <f t="shared" si="39"/>
        <v>INSERT INTO metadata_reference.file_schema VALUES('DETM_DETIS_VBDS','EXTRACT_DATE',NULL,'DATE',NULL,NULL,NULL,NULL,'2025-10-22','9999-12-31',USER, CURRENT_TIMESTAMP(0));</v>
      </c>
    </row>
    <row r="1243" spans="1:12" ht="15" customHeight="1">
      <c r="A1243" s="11" t="str">
        <f>ETLMetadata!$C1243</f>
        <v>DETM_DETIS_VBDS</v>
      </c>
      <c r="B1243" s="11" t="str">
        <f>ETLMetadata!$E1243</f>
        <v>LOGICAL_DELETE_DATE</v>
      </c>
      <c r="C1243" s="11" t="str">
        <f>IF(ISBLANK(ETLMetadata!$J1243), "", ETLMetadata!$J1243)</f>
        <v/>
      </c>
      <c r="D1243" s="11" t="str">
        <f>ETLMetadata!$G1243</f>
        <v>DATE</v>
      </c>
      <c r="E1243" s="12"/>
      <c r="F1243" s="12"/>
      <c r="G1243" s="12" t="str">
        <f t="shared" si="38"/>
        <v/>
      </c>
      <c r="H1243" s="12"/>
      <c r="I1243" s="12"/>
      <c r="J1243" s="13">
        <v>45952</v>
      </c>
      <c r="K1243" s="13">
        <v>2958465</v>
      </c>
      <c r="L1243" s="11" t="str">
        <f t="shared" si="39"/>
        <v>INSERT INTO metadata_reference.file_schema VALUES('DETM_DETIS_VBDS','LOGICAL_DELETE_DATE',NULL,'DATE',NULL,NULL,NULL,NULL,'2025-10-22','9999-12-31',USER, CURRENT_TIMESTAMP(0));</v>
      </c>
    </row>
    <row r="1244" spans="1:12" ht="15" customHeight="1">
      <c r="A1244" s="11" t="str">
        <f>ETLMetadata!$C1244</f>
        <v>DETM_DETIS_VBDS</v>
      </c>
      <c r="B1244" s="11" t="str">
        <f>ETLMetadata!$E1244</f>
        <v>ENVIRONMENT_ID</v>
      </c>
      <c r="C1244" s="11" t="str">
        <f>IF(ISBLANK(ETLMetadata!$J1244), "", ETLMetadata!$J1244)</f>
        <v>Y</v>
      </c>
      <c r="D1244" s="11" t="str">
        <f>ETLMetadata!$G1244</f>
        <v>CHAR(1)</v>
      </c>
      <c r="E1244" s="12"/>
      <c r="F1244" s="12"/>
      <c r="G1244" s="12" t="str">
        <f t="shared" si="38"/>
        <v/>
      </c>
      <c r="H1244" s="12"/>
      <c r="I1244" s="12"/>
      <c r="J1244" s="13">
        <v>45952</v>
      </c>
      <c r="K1244" s="13">
        <v>2958465</v>
      </c>
      <c r="L1244" s="11" t="str">
        <f t="shared" si="39"/>
        <v>INSERT INTO metadata_reference.file_schema VALUES('DETM_DETIS_VBDS','ENVIRONMENT_ID','Y','CHAR(1)',NULL,NULL,NULL,NULL,'2025-10-22','9999-12-31',USER, CURRENT_TIMESTAMP(0));</v>
      </c>
    </row>
    <row r="1245" spans="1:12" ht="15" customHeight="1">
      <c r="A1245" s="11" t="str">
        <f>ETLMetadata!$C1245</f>
        <v>DETM_DETIS_VBDS</v>
      </c>
      <c r="B1245" s="11" t="str">
        <f>ETLMetadata!$E1245</f>
        <v>PERSON_ID</v>
      </c>
      <c r="C1245" s="11" t="str">
        <f>IF(ISBLANK(ETLMetadata!$J1245), "", ETLMetadata!$J1245)</f>
        <v>Y</v>
      </c>
      <c r="D1245" s="11" t="str">
        <f>ETLMetadata!$G1245</f>
        <v>INTEGER</v>
      </c>
      <c r="E1245" s="12"/>
      <c r="F1245" s="12" t="s">
        <v>799</v>
      </c>
      <c r="G1245" s="12" t="str">
        <f t="shared" si="38"/>
        <v>PERSONAL_IDENTITYINFOINDIRECT</v>
      </c>
      <c r="H1245" s="12"/>
      <c r="I1245" s="12"/>
      <c r="J1245" s="13">
        <v>45952</v>
      </c>
      <c r="K1245" s="13">
        <v>2958465</v>
      </c>
      <c r="L1245" s="11" t="str">
        <f t="shared" si="39"/>
        <v>INSERT INTO metadata_reference.file_schema VALUES('DETM_DETIS_VBDS','PERSON_ID','Y','INTEGER',NULL,'PERSONAL_IDENTITYINFOINDIRECT',NULL,NULL,'2025-10-22','9999-12-31',USER, CURRENT_TIMESTAMP(0));</v>
      </c>
    </row>
    <row r="1246" spans="1:12" ht="15" customHeight="1">
      <c r="A1246" s="11" t="str">
        <f>ETLMetadata!$C1246</f>
        <v>DETM_DETIS_VBDS</v>
      </c>
      <c r="B1246" s="11" t="str">
        <f>ETLMetadata!$E1246</f>
        <v>VBDS_AMR_1</v>
      </c>
      <c r="C1246" s="11" t="str">
        <f>IF(ISBLANK(ETLMetadata!$J1246), "", ETLMetadata!$J1246)</f>
        <v/>
      </c>
      <c r="D1246" s="11" t="str">
        <f>ETLMetadata!$G1246</f>
        <v>CHAR(4)</v>
      </c>
      <c r="E1246" s="12"/>
      <c r="F1246" s="12"/>
      <c r="G1246" s="12" t="str">
        <f t="shared" si="38"/>
        <v/>
      </c>
      <c r="H1246" s="12"/>
      <c r="I1246" s="12"/>
      <c r="J1246" s="13">
        <v>45952</v>
      </c>
      <c r="K1246" s="13">
        <v>2958465</v>
      </c>
      <c r="L1246" s="11" t="str">
        <f t="shared" si="39"/>
        <v>INSERT INTO metadata_reference.file_schema VALUES('DETM_DETIS_VBDS','VBDS_AMR_1',NULL,'CHAR(4)',NULL,NULL,NULL,NULL,'2025-10-22','9999-12-31',USER, CURRENT_TIMESTAMP(0));</v>
      </c>
    </row>
    <row r="1247" spans="1:12" ht="15" customHeight="1">
      <c r="A1247" s="11" t="str">
        <f>ETLMetadata!$C1247</f>
        <v>DETM_DETIS_VBDS</v>
      </c>
      <c r="B1247" s="11" t="str">
        <f>ETLMetadata!$E1247</f>
        <v>VBDS_AMR_2</v>
      </c>
      <c r="C1247" s="11" t="str">
        <f>IF(ISBLANK(ETLMetadata!$J1247), "", ETLMetadata!$J1247)</f>
        <v/>
      </c>
      <c r="D1247" s="11" t="str">
        <f>ETLMetadata!$G1247</f>
        <v>CHAR(1)</v>
      </c>
      <c r="E1247" s="12"/>
      <c r="F1247" s="12"/>
      <c r="G1247" s="12" t="str">
        <f t="shared" si="38"/>
        <v/>
      </c>
      <c r="H1247" s="12"/>
      <c r="I1247" s="12"/>
      <c r="J1247" s="13">
        <v>45952</v>
      </c>
      <c r="K1247" s="13">
        <v>2958465</v>
      </c>
      <c r="L1247" s="11" t="str">
        <f t="shared" si="39"/>
        <v>INSERT INTO metadata_reference.file_schema VALUES('DETM_DETIS_VBDS','VBDS_AMR_2',NULL,'CHAR(1)',NULL,NULL,NULL,NULL,'2025-10-22','9999-12-31',USER, CURRENT_TIMESTAMP(0));</v>
      </c>
    </row>
    <row r="1248" spans="1:12" ht="15" customHeight="1">
      <c r="A1248" s="11" t="str">
        <f>ETLMetadata!$C1248</f>
        <v>DETM_DETIS_VBDS</v>
      </c>
      <c r="B1248" s="11" t="str">
        <f>ETLMetadata!$E1248</f>
        <v>VBDS_AMR_3</v>
      </c>
      <c r="C1248" s="11" t="str">
        <f>IF(ISBLANK(ETLMetadata!$J1248), "", ETLMetadata!$J1248)</f>
        <v/>
      </c>
      <c r="D1248" s="11" t="str">
        <f>ETLMetadata!$G1248</f>
        <v>CHAR(4)</v>
      </c>
      <c r="E1248" s="12"/>
      <c r="F1248" s="12"/>
      <c r="G1248" s="12" t="str">
        <f t="shared" si="38"/>
        <v/>
      </c>
      <c r="H1248" s="12"/>
      <c r="I1248" s="12"/>
      <c r="J1248" s="13">
        <v>45952</v>
      </c>
      <c r="K1248" s="13">
        <v>2958465</v>
      </c>
      <c r="L1248" s="11" t="str">
        <f t="shared" si="39"/>
        <v>INSERT INTO metadata_reference.file_schema VALUES('DETM_DETIS_VBDS','VBDS_AMR_3',NULL,'CHAR(4)',NULL,NULL,NULL,NULL,'2025-10-22','9999-12-31',USER, CURRENT_TIMESTAMP(0));</v>
      </c>
    </row>
    <row r="1249" spans="1:12" ht="15" customHeight="1">
      <c r="A1249" s="11" t="str">
        <f>ETLMetadata!$C1249</f>
        <v>DETM_DETIS_VBDS</v>
      </c>
      <c r="B1249" s="11" t="str">
        <f>ETLMetadata!$E1249</f>
        <v>VBDS_DOE</v>
      </c>
      <c r="C1249" s="11" t="str">
        <f>IF(ISBLANK(ETLMetadata!$J1249), "", ETLMetadata!$J1249)</f>
        <v/>
      </c>
      <c r="D1249" s="11" t="str">
        <f>ETLMetadata!$G1249</f>
        <v>DATE</v>
      </c>
      <c r="E1249" s="12"/>
      <c r="F1249" s="12"/>
      <c r="G1249" s="12" t="str">
        <f t="shared" si="38"/>
        <v/>
      </c>
      <c r="H1249" s="12"/>
      <c r="I1249" s="12"/>
      <c r="J1249" s="13">
        <v>45952</v>
      </c>
      <c r="K1249" s="13">
        <v>2958465</v>
      </c>
      <c r="L1249" s="11" t="str">
        <f t="shared" si="39"/>
        <v>INSERT INTO metadata_reference.file_schema VALUES('DETM_DETIS_VBDS','VBDS_DOE',NULL,'DATE',NULL,NULL,NULL,NULL,'2025-10-22','9999-12-31',USER, CURRENT_TIMESTAMP(0));</v>
      </c>
    </row>
    <row r="1250" spans="1:12" ht="15" customHeight="1">
      <c r="A1250" s="11" t="str">
        <f>ETLMetadata!$C1250</f>
        <v>DETM_DETIS_VBDS</v>
      </c>
      <c r="B1250" s="11" t="str">
        <f>ETLMetadata!$E1250</f>
        <v>VBDS_DOE_ORIG</v>
      </c>
      <c r="C1250" s="11" t="str">
        <f>IF(ISBLANK(ETLMetadata!$J1250), "", ETLMetadata!$J1250)</f>
        <v/>
      </c>
      <c r="D1250" s="11" t="str">
        <f>ETLMetadata!$G1250</f>
        <v>INTEGER</v>
      </c>
      <c r="E1250" s="12"/>
      <c r="F1250" s="12"/>
      <c r="G1250" s="12" t="str">
        <f t="shared" si="38"/>
        <v/>
      </c>
      <c r="H1250" s="12"/>
      <c r="I1250" s="12"/>
      <c r="J1250" s="13">
        <v>45952</v>
      </c>
      <c r="K1250" s="13">
        <v>2958465</v>
      </c>
      <c r="L1250" s="11" t="str">
        <f t="shared" si="39"/>
        <v>INSERT INTO metadata_reference.file_schema VALUES('DETM_DETIS_VBDS','VBDS_DOE_ORIG',NULL,'INTEGER',NULL,NULL,NULL,NULL,'2025-10-22','9999-12-31',USER, CURRENT_TIMESTAMP(0));</v>
      </c>
    </row>
    <row r="1251" spans="1:12" ht="15" customHeight="1">
      <c r="A1251" s="11" t="str">
        <f>ETLMetadata!$C1251</f>
        <v>DETM_DETIS_VBDS</v>
      </c>
      <c r="B1251" s="11" t="str">
        <f>ETLMetadata!$E1251</f>
        <v>PROCESSING_SEQUENCE</v>
      </c>
      <c r="C1251" s="11" t="str">
        <f>IF(ISBLANK(ETLMetadata!$J1251), "", ETLMetadata!$J1251)</f>
        <v>Y</v>
      </c>
      <c r="D1251" s="11" t="str">
        <f>ETLMetadata!$G1251</f>
        <v>SMALLINT</v>
      </c>
      <c r="E1251" s="12"/>
      <c r="F1251" s="12"/>
      <c r="G1251" s="12" t="str">
        <f t="shared" si="38"/>
        <v/>
      </c>
      <c r="H1251" s="12"/>
      <c r="I1251" s="12"/>
      <c r="J1251" s="13">
        <v>45952</v>
      </c>
      <c r="K1251" s="13">
        <v>2958465</v>
      </c>
      <c r="L1251" s="11" t="str">
        <f t="shared" si="39"/>
        <v>INSERT INTO metadata_reference.file_schema VALUES('DETM_DETIS_VBDS','PROCESSING_SEQUENCE','Y','SMALLINT',NULL,NULL,NULL,NULL,'2025-10-22','9999-12-31',USER, CURRENT_TIMESTAMP(0));</v>
      </c>
    </row>
    <row r="1252" spans="1:12" ht="15" customHeight="1">
      <c r="A1252" s="11" t="str">
        <f>ETLMetadata!$C1252</f>
        <v>DETM_DETIS_VBDS</v>
      </c>
      <c r="B1252" s="11" t="str">
        <f>ETLMetadata!$E1252</f>
        <v>VBDS_BEN_TYPE_CODE</v>
      </c>
      <c r="C1252" s="11" t="str">
        <f>IF(ISBLANK(ETLMetadata!$J1252), "", ETLMetadata!$J1252)</f>
        <v/>
      </c>
      <c r="D1252" s="11" t="str">
        <f>ETLMetadata!$G1252</f>
        <v>CHAR(3)</v>
      </c>
      <c r="E1252" s="12"/>
      <c r="F1252" s="12"/>
      <c r="G1252" s="12" t="str">
        <f t="shared" si="38"/>
        <v/>
      </c>
      <c r="H1252" s="12"/>
      <c r="I1252" s="12"/>
      <c r="J1252" s="13">
        <v>45952</v>
      </c>
      <c r="K1252" s="13">
        <v>2958465</v>
      </c>
      <c r="L1252" s="11" t="str">
        <f t="shared" si="39"/>
        <v>INSERT INTO metadata_reference.file_schema VALUES('DETM_DETIS_VBDS','VBDS_BEN_TYPE_CODE',NULL,'CHAR(3)',NULL,NULL,NULL,NULL,'2025-10-22','9999-12-31',USER, CURRENT_TIMESTAMP(0));</v>
      </c>
    </row>
    <row r="1253" spans="1:12" ht="15" customHeight="1">
      <c r="A1253" s="11" t="str">
        <f>ETLMetadata!$C1253</f>
        <v>DETM_DETIS_VBDS</v>
      </c>
      <c r="B1253" s="11" t="str">
        <f>ETLMetadata!$E1253</f>
        <v>VBDS_RSN_CODE</v>
      </c>
      <c r="C1253" s="11" t="str">
        <f>IF(ISBLANK(ETLMetadata!$J1253), "", ETLMetadata!$J1253)</f>
        <v/>
      </c>
      <c r="D1253" s="11" t="str">
        <f>ETLMetadata!$G1253</f>
        <v>CHAR(3)</v>
      </c>
      <c r="E1253" s="12"/>
      <c r="F1253" s="12"/>
      <c r="G1253" s="12" t="str">
        <f t="shared" si="38"/>
        <v/>
      </c>
      <c r="H1253" s="12"/>
      <c r="I1253" s="12"/>
      <c r="J1253" s="13">
        <v>45952</v>
      </c>
      <c r="K1253" s="13">
        <v>2958465</v>
      </c>
      <c r="L1253" s="11" t="str">
        <f t="shared" si="39"/>
        <v>INSERT INTO metadata_reference.file_schema VALUES('DETM_DETIS_VBDS','VBDS_RSN_CODE',NULL,'CHAR(3)',NULL,NULL,NULL,NULL,'2025-10-22','9999-12-31',USER, CURRENT_TIMESTAMP(0));</v>
      </c>
    </row>
    <row r="1254" spans="1:12" ht="15" customHeight="1">
      <c r="A1254" s="11" t="str">
        <f>ETLMetadata!$C1254</f>
        <v>DETM_DETIS_VBDS</v>
      </c>
      <c r="B1254" s="11" t="str">
        <f>ETLMetadata!$E1254</f>
        <v>VBDS_STS_CODE</v>
      </c>
      <c r="C1254" s="11" t="str">
        <f>IF(ISBLANK(ETLMetadata!$J1254), "", ETLMetadata!$J1254)</f>
        <v/>
      </c>
      <c r="D1254" s="11" t="str">
        <f>ETLMetadata!$G1254</f>
        <v>CHAR(3)</v>
      </c>
      <c r="E1254" s="12"/>
      <c r="F1254" s="12"/>
      <c r="G1254" s="12" t="str">
        <f t="shared" si="38"/>
        <v/>
      </c>
      <c r="H1254" s="12"/>
      <c r="I1254" s="12"/>
      <c r="J1254" s="13">
        <v>45952</v>
      </c>
      <c r="K1254" s="13">
        <v>2958465</v>
      </c>
      <c r="L1254" s="11" t="str">
        <f t="shared" si="39"/>
        <v>INSERT INTO metadata_reference.file_schema VALUES('DETM_DETIS_VBDS','VBDS_STS_CODE',NULL,'CHAR(3)',NULL,NULL,NULL,NULL,'2025-10-22','9999-12-31',USER, CURRENT_TIMESTAMP(0));</v>
      </c>
    </row>
    <row r="1255" spans="1:12" ht="15" customHeight="1">
      <c r="A1255" s="11" t="str">
        <f>ETLMetadata!$C1255</f>
        <v>DETM_DETIS_VBDS</v>
      </c>
      <c r="B1255" s="11" t="str">
        <f>ETLMetadata!$E1255</f>
        <v>AMR1_RISL_DTS</v>
      </c>
      <c r="C1255" s="11" t="str">
        <f>IF(ISBLANK(ETLMetadata!$J1255), "", ETLMetadata!$J1255)</f>
        <v/>
      </c>
      <c r="D1255" s="11" t="str">
        <f>ETLMetadata!$G1255</f>
        <v>TIMESTAMP(6)</v>
      </c>
      <c r="E1255" s="12"/>
      <c r="F1255" s="12"/>
      <c r="G1255" s="12" t="str">
        <f t="shared" si="38"/>
        <v/>
      </c>
      <c r="H1255" s="12"/>
      <c r="I1255" s="12"/>
      <c r="J1255" s="13">
        <v>45952</v>
      </c>
      <c r="K1255" s="13">
        <v>2958465</v>
      </c>
      <c r="L1255" s="11" t="str">
        <f t="shared" si="39"/>
        <v>INSERT INTO metadata_reference.file_schema VALUES('DETM_DETIS_VBDS','AMR1_RISL_DTS',NULL,'TIMESTAMP(6)',NULL,NULL,NULL,NULL,'2025-10-22','9999-12-31',USER, CURRENT_TIMESTAMP(0));</v>
      </c>
    </row>
    <row r="1256" spans="1:12" ht="15" customHeight="1">
      <c r="A1256" s="11" t="str">
        <f>ETLMetadata!$C1256</f>
        <v>DETM_DETIS_VBDS</v>
      </c>
      <c r="B1256" s="11" t="str">
        <f>ETLMetadata!$E1256</f>
        <v>AMR3_RISL_DTS</v>
      </c>
      <c r="C1256" s="11" t="str">
        <f>IF(ISBLANK(ETLMetadata!$J1256), "", ETLMetadata!$J1256)</f>
        <v/>
      </c>
      <c r="D1256" s="11" t="str">
        <f>ETLMetadata!$G1256</f>
        <v>TIMESTAMP(6)</v>
      </c>
      <c r="E1256" s="12"/>
      <c r="F1256" s="12"/>
      <c r="G1256" s="12" t="str">
        <f t="shared" si="38"/>
        <v/>
      </c>
      <c r="H1256" s="12"/>
      <c r="I1256" s="12"/>
      <c r="J1256" s="13">
        <v>45952</v>
      </c>
      <c r="K1256" s="13">
        <v>2958465</v>
      </c>
      <c r="L1256" s="11" t="str">
        <f t="shared" si="39"/>
        <v>INSERT INTO metadata_reference.file_schema VALUES('DETM_DETIS_VBDS','AMR3_RISL_DTS',NULL,'TIMESTAMP(6)',NULL,NULL,NULL,NULL,'2025-10-22','9999-12-31',USER, CURRENT_TIMESTAMP(0));</v>
      </c>
    </row>
    <row r="1257" spans="1:12" ht="15" customHeight="1">
      <c r="A1257" s="11" t="str">
        <f>ETLMetadata!$C1257</f>
        <v>DETM_DETIS_VBDS</v>
      </c>
      <c r="B1257" s="11" t="str">
        <f>ETLMetadata!$E1257</f>
        <v>PARTY_ROLE_ID</v>
      </c>
      <c r="C1257" s="11" t="str">
        <f>IF(ISBLANK(ETLMetadata!$J1257), "", ETLMetadata!$J1257)</f>
        <v/>
      </c>
      <c r="D1257" s="11" t="str">
        <f>ETLMetadata!$G1257</f>
        <v>INTEGER</v>
      </c>
      <c r="E1257" s="12"/>
      <c r="F1257" s="12"/>
      <c r="G1257" s="12" t="str">
        <f t="shared" si="38"/>
        <v/>
      </c>
      <c r="H1257" s="12"/>
      <c r="I1257" s="12"/>
      <c r="J1257" s="13">
        <v>45952</v>
      </c>
      <c r="K1257" s="13">
        <v>2958465</v>
      </c>
      <c r="L1257" s="11" t="str">
        <f t="shared" si="39"/>
        <v>INSERT INTO metadata_reference.file_schema VALUES('DETM_DETIS_VBDS','PARTY_ROLE_ID',NULL,'INTEGER',NULL,NULL,NULL,NULL,'2025-10-22','9999-12-31',USER, CURRENT_TIMESTAMP(0));</v>
      </c>
    </row>
    <row r="1258" spans="1:12" ht="15" customHeight="1">
      <c r="A1258" s="11" t="str">
        <f>ETLMetadata!$C1258</f>
        <v>DETM_DETIS_VBDS</v>
      </c>
      <c r="B1258" s="11" t="str">
        <f>ETLMetadata!$E1258</f>
        <v>EPISODE_ID</v>
      </c>
      <c r="C1258" s="11" t="str">
        <f>IF(ISBLANK(ETLMetadata!$J1258), "", ETLMetadata!$J1258)</f>
        <v/>
      </c>
      <c r="D1258" s="11" t="str">
        <f>ETLMetadata!$G1258</f>
        <v>INTEGER</v>
      </c>
      <c r="E1258" s="12"/>
      <c r="F1258" s="12"/>
      <c r="G1258" s="12" t="str">
        <f t="shared" si="38"/>
        <v/>
      </c>
      <c r="H1258" s="12"/>
      <c r="I1258" s="12"/>
      <c r="J1258" s="13">
        <v>45952</v>
      </c>
      <c r="K1258" s="13">
        <v>2958465</v>
      </c>
      <c r="L1258" s="11" t="str">
        <f t="shared" si="39"/>
        <v>INSERT INTO metadata_reference.file_schema VALUES('DETM_DETIS_VBDS','EPISODE_ID',NULL,'INTEGER',NULL,NULL,NULL,NULL,'2025-10-22','9999-12-31',USER, CURRENT_TIMESTAMP(0));</v>
      </c>
    </row>
    <row r="1259" spans="1:12" ht="15" customHeight="1">
      <c r="A1259" s="11" t="str">
        <f>ETLMetadata!$C1259</f>
        <v>DETM_DETIS_VBDS</v>
      </c>
      <c r="B1259" s="11" t="str">
        <f>ETLMetadata!$E1259</f>
        <v>PAYMENT_TYPE_ID</v>
      </c>
      <c r="C1259" s="11" t="str">
        <f>IF(ISBLANK(ETLMetadata!$J1259), "", ETLMetadata!$J1259)</f>
        <v/>
      </c>
      <c r="D1259" s="11" t="str">
        <f>ETLMetadata!$G1259</f>
        <v>INTEGER</v>
      </c>
      <c r="E1259" s="12"/>
      <c r="F1259" s="12"/>
      <c r="G1259" s="12" t="str">
        <f t="shared" si="38"/>
        <v/>
      </c>
      <c r="H1259" s="12"/>
      <c r="I1259" s="12"/>
      <c r="J1259" s="13">
        <v>45952</v>
      </c>
      <c r="K1259" s="13">
        <v>2958465</v>
      </c>
      <c r="L1259" s="11" t="str">
        <f t="shared" si="39"/>
        <v>INSERT INTO metadata_reference.file_schema VALUES('DETM_DETIS_VBDS','PAYMENT_TYPE_ID',NULL,'INTEGER',NULL,NULL,NULL,NULL,'2025-10-22','9999-12-31',USER, CURRENT_TIMESTAMP(0));</v>
      </c>
    </row>
    <row r="1260" spans="1:12" ht="15" customHeight="1">
      <c r="A1260" s="11" t="str">
        <f>ETLMetadata!$C1260</f>
        <v>DETM_DETIS_VBDS</v>
      </c>
      <c r="B1260" s="11" t="str">
        <f>ETLMetadata!$E1260</f>
        <v>ERROR_COUNT</v>
      </c>
      <c r="C1260" s="11" t="str">
        <f>IF(ISBLANK(ETLMetadata!$J1260), "", ETLMetadata!$J1260)</f>
        <v/>
      </c>
      <c r="D1260" s="11" t="str">
        <f>ETLMetadata!$G1260</f>
        <v>SMALLINT</v>
      </c>
      <c r="E1260" s="12"/>
      <c r="F1260" s="12"/>
      <c r="G1260" s="12" t="str">
        <f t="shared" si="38"/>
        <v/>
      </c>
      <c r="H1260" s="12"/>
      <c r="I1260" s="12"/>
      <c r="J1260" s="13">
        <v>45952</v>
      </c>
      <c r="K1260" s="13">
        <v>2958465</v>
      </c>
      <c r="L1260" s="11" t="str">
        <f t="shared" si="39"/>
        <v>INSERT INTO metadata_reference.file_schema VALUES('DETM_DETIS_VBDS','ERROR_COUNT',NULL,'SMALLINT',NULL,NULL,NULL,NULL,'2025-10-22','9999-12-31',USER, CURRENT_TIMESTAMP(0));</v>
      </c>
    </row>
    <row r="1261" spans="1:12" ht="15" customHeight="1">
      <c r="A1261" s="11" t="str">
        <f>ETLMetadata!$C1261</f>
        <v>DETM_DETIS_VBDS</v>
      </c>
      <c r="B1261" s="11" t="str">
        <f>ETLMetadata!$E1261</f>
        <v>Start_Date</v>
      </c>
      <c r="C1261" s="11" t="str">
        <f>IF(ISBLANK(ETLMetadata!$J1261), "", ETLMetadata!$J1261)</f>
        <v/>
      </c>
      <c r="D1261" s="11" t="str">
        <f>ETLMetadata!$G1261</f>
        <v>DATE</v>
      </c>
      <c r="E1261" s="12"/>
      <c r="F1261" s="12"/>
      <c r="G1261" s="12" t="str">
        <f t="shared" si="38"/>
        <v/>
      </c>
      <c r="H1261" s="12"/>
      <c r="I1261" s="12"/>
      <c r="J1261" s="13">
        <v>45952</v>
      </c>
      <c r="K1261" s="13">
        <v>2958465</v>
      </c>
      <c r="L1261" s="11" t="str">
        <f t="shared" si="39"/>
        <v>INSERT INTO metadata_reference.file_schema VALUES('DETM_DETIS_VBDS','Start_Date',NULL,'DATE',NULL,NULL,NULL,NULL,'2025-10-22','9999-12-31',USER, CURRENT_TIMESTAMP(0));</v>
      </c>
    </row>
    <row r="1262" spans="1:12" ht="15" customHeight="1">
      <c r="A1262" s="11" t="str">
        <f>ETLMetadata!$C1262</f>
        <v>DETM_DETIS_VBDS</v>
      </c>
      <c r="B1262" s="11" t="str">
        <f>ETLMetadata!$E1262</f>
        <v>End_Date</v>
      </c>
      <c r="C1262" s="11" t="str">
        <f>IF(ISBLANK(ETLMetadata!$J1262), "", ETLMetadata!$J1262)</f>
        <v/>
      </c>
      <c r="D1262" s="11" t="str">
        <f>ETLMetadata!$G1262</f>
        <v>DATE</v>
      </c>
      <c r="E1262" s="12"/>
      <c r="F1262" s="12"/>
      <c r="G1262" s="12" t="str">
        <f t="shared" si="38"/>
        <v/>
      </c>
      <c r="H1262" s="12"/>
      <c r="I1262" s="12"/>
      <c r="J1262" s="13">
        <v>45952</v>
      </c>
      <c r="K1262" s="13">
        <v>2958465</v>
      </c>
      <c r="L1262" s="11" t="str">
        <f t="shared" si="39"/>
        <v>INSERT INTO metadata_reference.file_schema VALUES('DETM_DETIS_VBDS','End_Date',NULL,'DATE',NULL,NULL,NULL,NULL,'2025-10-22','9999-12-31',USER, CURRENT_TIMESTAMP(0));</v>
      </c>
    </row>
    <row r="1263" spans="1:12" ht="15" customHeight="1">
      <c r="A1263" s="11" t="str">
        <f>ETLMetadata!$C1263</f>
        <v>DETM_DETIS_VBDS</v>
      </c>
      <c r="B1263" s="11" t="str">
        <f>ETLMetadata!$E1263</f>
        <v>Record_Deleted_Flag</v>
      </c>
      <c r="C1263" s="11" t="str">
        <f>IF(ISBLANK(ETLMetadata!$J1263), "", ETLMetadata!$J1263)</f>
        <v/>
      </c>
      <c r="D1263" s="11" t="str">
        <f>ETLMetadata!$G1263</f>
        <v>BYTEINT</v>
      </c>
      <c r="E1263" s="12"/>
      <c r="F1263" s="12"/>
      <c r="G1263" s="12" t="str">
        <f t="shared" si="38"/>
        <v/>
      </c>
      <c r="H1263" s="12"/>
      <c r="I1263" s="12"/>
      <c r="J1263" s="13">
        <v>45952</v>
      </c>
      <c r="K1263" s="13">
        <v>2958465</v>
      </c>
      <c r="L1263" s="11" t="str">
        <f t="shared" si="39"/>
        <v>INSERT INTO metadata_reference.file_schema VALUES('DETM_DETIS_VBDS','Record_Deleted_Flag',NULL,'BYTEINT',NULL,NULL,NULL,NULL,'2025-10-22','9999-12-31',USER, CURRENT_TIMESTAMP(0));</v>
      </c>
    </row>
    <row r="1264" spans="1:12" ht="15" customHeight="1">
      <c r="A1264" s="11" t="str">
        <f>ETLMetadata!$C1264</f>
        <v>DETM_DETIS_YBDS</v>
      </c>
      <c r="B1264" s="11" t="str">
        <f>ETLMetadata!$E1264</f>
        <v>EXTRACT_DATE</v>
      </c>
      <c r="C1264" s="11" t="str">
        <f>IF(ISBLANK(ETLMetadata!$J1264), "", ETLMetadata!$J1264)</f>
        <v/>
      </c>
      <c r="D1264" s="11" t="str">
        <f>ETLMetadata!$G1264</f>
        <v>DATE</v>
      </c>
      <c r="E1264" s="12"/>
      <c r="F1264" s="12"/>
      <c r="G1264" s="12" t="str">
        <f t="shared" si="38"/>
        <v/>
      </c>
      <c r="H1264" s="12"/>
      <c r="I1264" s="12"/>
      <c r="J1264" s="13">
        <v>45952</v>
      </c>
      <c r="K1264" s="13">
        <v>2958465</v>
      </c>
      <c r="L1264" s="11" t="str">
        <f t="shared" si="39"/>
        <v>INSERT INTO metadata_reference.file_schema VALUES('DETM_DETIS_YBDS','EXTRACT_DATE',NULL,'DATE',NULL,NULL,NULL,NULL,'2025-10-22','9999-12-31',USER, CURRENT_TIMESTAMP(0));</v>
      </c>
    </row>
    <row r="1265" spans="1:12" ht="15" customHeight="1">
      <c r="A1265" s="11" t="str">
        <f>ETLMetadata!$C1265</f>
        <v>DETM_DETIS_YBDS</v>
      </c>
      <c r="B1265" s="11" t="str">
        <f>ETLMetadata!$E1265</f>
        <v>LOGICAL_DELETE_DATE</v>
      </c>
      <c r="C1265" s="11" t="str">
        <f>IF(ISBLANK(ETLMetadata!$J1265), "", ETLMetadata!$J1265)</f>
        <v/>
      </c>
      <c r="D1265" s="11" t="str">
        <f>ETLMetadata!$G1265</f>
        <v>DATE</v>
      </c>
      <c r="E1265" s="12"/>
      <c r="F1265" s="12"/>
      <c r="G1265" s="12" t="str">
        <f t="shared" si="38"/>
        <v/>
      </c>
      <c r="H1265" s="12"/>
      <c r="I1265" s="12"/>
      <c r="J1265" s="13">
        <v>45952</v>
      </c>
      <c r="K1265" s="13">
        <v>2958465</v>
      </c>
      <c r="L1265" s="11" t="str">
        <f t="shared" si="39"/>
        <v>INSERT INTO metadata_reference.file_schema VALUES('DETM_DETIS_YBDS','LOGICAL_DELETE_DATE',NULL,'DATE',NULL,NULL,NULL,NULL,'2025-10-22','9999-12-31',USER, CURRENT_TIMESTAMP(0));</v>
      </c>
    </row>
    <row r="1266" spans="1:12" ht="15" customHeight="1">
      <c r="A1266" s="11" t="str">
        <f>ETLMetadata!$C1266</f>
        <v>DETM_DETIS_YBDS</v>
      </c>
      <c r="B1266" s="11" t="str">
        <f>ETLMetadata!$E1266</f>
        <v>ENVIRONMENT_ID</v>
      </c>
      <c r="C1266" s="11" t="str">
        <f>IF(ISBLANK(ETLMetadata!$J1266), "", ETLMetadata!$J1266)</f>
        <v>Y</v>
      </c>
      <c r="D1266" s="11" t="str">
        <f>ETLMetadata!$G1266</f>
        <v>CHAR(1)</v>
      </c>
      <c r="E1266" s="12"/>
      <c r="F1266" s="12"/>
      <c r="G1266" s="12" t="str">
        <f t="shared" si="38"/>
        <v/>
      </c>
      <c r="H1266" s="12"/>
      <c r="I1266" s="12"/>
      <c r="J1266" s="13">
        <v>45952</v>
      </c>
      <c r="K1266" s="13">
        <v>2958465</v>
      </c>
      <c r="L1266" s="11" t="str">
        <f t="shared" si="39"/>
        <v>INSERT INTO metadata_reference.file_schema VALUES('DETM_DETIS_YBDS','ENVIRONMENT_ID','Y','CHAR(1)',NULL,NULL,NULL,NULL,'2025-10-22','9999-12-31',USER, CURRENT_TIMESTAMP(0));</v>
      </c>
    </row>
    <row r="1267" spans="1:12" ht="15" customHeight="1">
      <c r="A1267" s="11" t="str">
        <f>ETLMetadata!$C1267</f>
        <v>DETM_DETIS_YBDS</v>
      </c>
      <c r="B1267" s="11" t="str">
        <f>ETLMetadata!$E1267</f>
        <v>PERSON_ID</v>
      </c>
      <c r="C1267" s="11" t="str">
        <f>IF(ISBLANK(ETLMetadata!$J1267), "", ETLMetadata!$J1267)</f>
        <v>Y</v>
      </c>
      <c r="D1267" s="11" t="str">
        <f>ETLMetadata!$G1267</f>
        <v>INTEGER</v>
      </c>
      <c r="E1267" s="12"/>
      <c r="F1267" s="12" t="s">
        <v>799</v>
      </c>
      <c r="G1267" s="12" t="str">
        <f t="shared" si="38"/>
        <v>PERSONAL_IDENTITYINFOINDIRECT</v>
      </c>
      <c r="H1267" s="12"/>
      <c r="I1267" s="12"/>
      <c r="J1267" s="13">
        <v>45952</v>
      </c>
      <c r="K1267" s="13">
        <v>2958465</v>
      </c>
      <c r="L1267" s="11" t="str">
        <f t="shared" si="39"/>
        <v>INSERT INTO metadata_reference.file_schema VALUES('DETM_DETIS_YBDS','PERSON_ID','Y','INTEGER',NULL,'PERSONAL_IDENTITYINFOINDIRECT',NULL,NULL,'2025-10-22','9999-12-31',USER, CURRENT_TIMESTAMP(0));</v>
      </c>
    </row>
    <row r="1268" spans="1:12" ht="15" customHeight="1">
      <c r="A1268" s="11" t="str">
        <f>ETLMetadata!$C1268</f>
        <v>DETM_DETIS_YBDS</v>
      </c>
      <c r="B1268" s="11" t="str">
        <f>ETLMetadata!$E1268</f>
        <v>YBDS_DOE</v>
      </c>
      <c r="C1268" s="11" t="str">
        <f>IF(ISBLANK(ETLMetadata!$J1268), "", ETLMetadata!$J1268)</f>
        <v/>
      </c>
      <c r="D1268" s="11" t="str">
        <f>ETLMetadata!$G1268</f>
        <v>DATE</v>
      </c>
      <c r="E1268" s="12"/>
      <c r="F1268" s="12"/>
      <c r="G1268" s="12" t="str">
        <f t="shared" si="38"/>
        <v/>
      </c>
      <c r="H1268" s="12"/>
      <c r="I1268" s="12"/>
      <c r="J1268" s="13">
        <v>45952</v>
      </c>
      <c r="K1268" s="13">
        <v>2958465</v>
      </c>
      <c r="L1268" s="11" t="str">
        <f t="shared" si="39"/>
        <v>INSERT INTO metadata_reference.file_schema VALUES('DETM_DETIS_YBDS','YBDS_DOE',NULL,'DATE',NULL,NULL,NULL,NULL,'2025-10-22','9999-12-31',USER, CURRENT_TIMESTAMP(0));</v>
      </c>
    </row>
    <row r="1269" spans="1:12" ht="15" customHeight="1">
      <c r="A1269" s="11" t="str">
        <f>ETLMetadata!$C1269</f>
        <v>DETM_DETIS_YBDS</v>
      </c>
      <c r="B1269" s="11" t="str">
        <f>ETLMetadata!$E1269</f>
        <v>YBDS_DOE_ORIG</v>
      </c>
      <c r="C1269" s="11" t="str">
        <f>IF(ISBLANK(ETLMetadata!$J1269), "", ETLMetadata!$J1269)</f>
        <v/>
      </c>
      <c r="D1269" s="11" t="str">
        <f>ETLMetadata!$G1269</f>
        <v>INTEGER</v>
      </c>
      <c r="E1269" s="12"/>
      <c r="F1269" s="12"/>
      <c r="G1269" s="12" t="str">
        <f t="shared" si="38"/>
        <v/>
      </c>
      <c r="H1269" s="12"/>
      <c r="I1269" s="12"/>
      <c r="J1269" s="13">
        <v>45952</v>
      </c>
      <c r="K1269" s="13">
        <v>2958465</v>
      </c>
      <c r="L1269" s="11" t="str">
        <f t="shared" si="39"/>
        <v>INSERT INTO metadata_reference.file_schema VALUES('DETM_DETIS_YBDS','YBDS_DOE_ORIG',NULL,'INTEGER',NULL,NULL,NULL,NULL,'2025-10-22','9999-12-31',USER, CURRENT_TIMESTAMP(0));</v>
      </c>
    </row>
    <row r="1270" spans="1:12" ht="15" customHeight="1">
      <c r="A1270" s="11" t="str">
        <f>ETLMetadata!$C1270</f>
        <v>DETM_DETIS_YBDS</v>
      </c>
      <c r="B1270" s="11" t="str">
        <f>ETLMetadata!$E1270</f>
        <v>PROCESSING_SEQUENCE</v>
      </c>
      <c r="C1270" s="11" t="str">
        <f>IF(ISBLANK(ETLMetadata!$J1270), "", ETLMetadata!$J1270)</f>
        <v>Y</v>
      </c>
      <c r="D1270" s="11" t="str">
        <f>ETLMetadata!$G1270</f>
        <v>SMALLINT</v>
      </c>
      <c r="E1270" s="12"/>
      <c r="F1270" s="12"/>
      <c r="G1270" s="12" t="str">
        <f t="shared" si="38"/>
        <v/>
      </c>
      <c r="H1270" s="12"/>
      <c r="I1270" s="12"/>
      <c r="J1270" s="13">
        <v>45952</v>
      </c>
      <c r="K1270" s="13">
        <v>2958465</v>
      </c>
      <c r="L1270" s="11" t="str">
        <f t="shared" si="39"/>
        <v>INSERT INTO metadata_reference.file_schema VALUES('DETM_DETIS_YBDS','PROCESSING_SEQUENCE','Y','SMALLINT',NULL,NULL,NULL,NULL,'2025-10-22','9999-12-31',USER, CURRENT_TIMESTAMP(0));</v>
      </c>
    </row>
    <row r="1271" spans="1:12" ht="15" customHeight="1">
      <c r="A1271" s="11" t="str">
        <f>ETLMetadata!$C1271</f>
        <v>DETM_DETIS_YBDS</v>
      </c>
      <c r="B1271" s="11" t="str">
        <f>ETLMetadata!$E1271</f>
        <v>YBDS_AMR_1</v>
      </c>
      <c r="C1271" s="11" t="str">
        <f>IF(ISBLANK(ETLMetadata!$J1271), "", ETLMetadata!$J1271)</f>
        <v/>
      </c>
      <c r="D1271" s="11" t="str">
        <f>ETLMetadata!$G1271</f>
        <v>CHAR(4)</v>
      </c>
      <c r="E1271" s="12"/>
      <c r="F1271" s="12"/>
      <c r="G1271" s="12" t="str">
        <f t="shared" si="38"/>
        <v/>
      </c>
      <c r="H1271" s="12"/>
      <c r="I1271" s="12"/>
      <c r="J1271" s="13">
        <v>45952</v>
      </c>
      <c r="K1271" s="13">
        <v>2958465</v>
      </c>
      <c r="L1271" s="11" t="str">
        <f t="shared" si="39"/>
        <v>INSERT INTO metadata_reference.file_schema VALUES('DETM_DETIS_YBDS','YBDS_AMR_1',NULL,'CHAR(4)',NULL,NULL,NULL,NULL,'2025-10-22','9999-12-31',USER, CURRENT_TIMESTAMP(0));</v>
      </c>
    </row>
    <row r="1272" spans="1:12" ht="15" customHeight="1">
      <c r="A1272" s="11" t="str">
        <f>ETLMetadata!$C1272</f>
        <v>DETM_DETIS_YBDS</v>
      </c>
      <c r="B1272" s="11" t="str">
        <f>ETLMetadata!$E1272</f>
        <v>YBDS_AMR_2</v>
      </c>
      <c r="C1272" s="11" t="str">
        <f>IF(ISBLANK(ETLMetadata!$J1272), "", ETLMetadata!$J1272)</f>
        <v/>
      </c>
      <c r="D1272" s="11" t="str">
        <f>ETLMetadata!$G1272</f>
        <v>CHAR(1)</v>
      </c>
      <c r="E1272" s="12"/>
      <c r="F1272" s="12"/>
      <c r="G1272" s="12" t="str">
        <f t="shared" si="38"/>
        <v/>
      </c>
      <c r="H1272" s="12"/>
      <c r="I1272" s="12"/>
      <c r="J1272" s="13">
        <v>45952</v>
      </c>
      <c r="K1272" s="13">
        <v>2958465</v>
      </c>
      <c r="L1272" s="11" t="str">
        <f t="shared" si="39"/>
        <v>INSERT INTO metadata_reference.file_schema VALUES('DETM_DETIS_YBDS','YBDS_AMR_2',NULL,'CHAR(1)',NULL,NULL,NULL,NULL,'2025-10-22','9999-12-31',USER, CURRENT_TIMESTAMP(0));</v>
      </c>
    </row>
    <row r="1273" spans="1:12" ht="15" customHeight="1">
      <c r="A1273" s="11" t="str">
        <f>ETLMetadata!$C1273</f>
        <v>DETM_DETIS_YBDS</v>
      </c>
      <c r="B1273" s="11" t="str">
        <f>ETLMetadata!$E1273</f>
        <v>YBDS_AMR_3</v>
      </c>
      <c r="C1273" s="11" t="str">
        <f>IF(ISBLANK(ETLMetadata!$J1273), "", ETLMetadata!$J1273)</f>
        <v/>
      </c>
      <c r="D1273" s="11" t="str">
        <f>ETLMetadata!$G1273</f>
        <v>CHAR(4)</v>
      </c>
      <c r="E1273" s="12"/>
      <c r="F1273" s="12"/>
      <c r="G1273" s="12" t="str">
        <f t="shared" si="38"/>
        <v/>
      </c>
      <c r="H1273" s="12"/>
      <c r="I1273" s="12"/>
      <c r="J1273" s="13">
        <v>45952</v>
      </c>
      <c r="K1273" s="13">
        <v>2958465</v>
      </c>
      <c r="L1273" s="11" t="str">
        <f t="shared" si="39"/>
        <v>INSERT INTO metadata_reference.file_schema VALUES('DETM_DETIS_YBDS','YBDS_AMR_3',NULL,'CHAR(4)',NULL,NULL,NULL,NULL,'2025-10-22','9999-12-31',USER, CURRENT_TIMESTAMP(0));</v>
      </c>
    </row>
    <row r="1274" spans="1:12" ht="15" customHeight="1">
      <c r="A1274" s="11" t="str">
        <f>ETLMetadata!$C1274</f>
        <v>DETM_DETIS_YBDS</v>
      </c>
      <c r="B1274" s="11" t="str">
        <f>ETLMetadata!$E1274</f>
        <v>YBDS_BEN_TYPE_CODE</v>
      </c>
      <c r="C1274" s="11" t="str">
        <f>IF(ISBLANK(ETLMetadata!$J1274), "", ETLMetadata!$J1274)</f>
        <v/>
      </c>
      <c r="D1274" s="11" t="str">
        <f>ETLMetadata!$G1274</f>
        <v>CHAR(3)</v>
      </c>
      <c r="E1274" s="12"/>
      <c r="F1274" s="12"/>
      <c r="G1274" s="12" t="str">
        <f t="shared" si="38"/>
        <v/>
      </c>
      <c r="H1274" s="12"/>
      <c r="I1274" s="12"/>
      <c r="J1274" s="13">
        <v>45952</v>
      </c>
      <c r="K1274" s="13">
        <v>2958465</v>
      </c>
      <c r="L1274" s="11" t="str">
        <f t="shared" si="39"/>
        <v>INSERT INTO metadata_reference.file_schema VALUES('DETM_DETIS_YBDS','YBDS_BEN_TYPE_CODE',NULL,'CHAR(3)',NULL,NULL,NULL,NULL,'2025-10-22','9999-12-31',USER, CURRENT_TIMESTAMP(0));</v>
      </c>
    </row>
    <row r="1275" spans="1:12" ht="15" customHeight="1">
      <c r="A1275" s="11" t="str">
        <f>ETLMetadata!$C1275</f>
        <v>DETM_DETIS_YBDS</v>
      </c>
      <c r="B1275" s="11" t="str">
        <f>ETLMetadata!$E1275</f>
        <v>YBDS_STS_CODE</v>
      </c>
      <c r="C1275" s="11" t="str">
        <f>IF(ISBLANK(ETLMetadata!$J1275), "", ETLMetadata!$J1275)</f>
        <v/>
      </c>
      <c r="D1275" s="11" t="str">
        <f>ETLMetadata!$G1275</f>
        <v>CHAR(3)</v>
      </c>
      <c r="E1275" s="12"/>
      <c r="F1275" s="12"/>
      <c r="G1275" s="12" t="str">
        <f t="shared" si="38"/>
        <v/>
      </c>
      <c r="H1275" s="12"/>
      <c r="I1275" s="12"/>
      <c r="J1275" s="13">
        <v>45952</v>
      </c>
      <c r="K1275" s="13">
        <v>2958465</v>
      </c>
      <c r="L1275" s="11" t="str">
        <f t="shared" si="39"/>
        <v>INSERT INTO metadata_reference.file_schema VALUES('DETM_DETIS_YBDS','YBDS_STS_CODE',NULL,'CHAR(3)',NULL,NULL,NULL,NULL,'2025-10-22','9999-12-31',USER, CURRENT_TIMESTAMP(0));</v>
      </c>
    </row>
    <row r="1276" spans="1:12" ht="15" customHeight="1">
      <c r="A1276" s="11" t="str">
        <f>ETLMetadata!$C1276</f>
        <v>DETM_DETIS_YBDS</v>
      </c>
      <c r="B1276" s="11" t="str">
        <f>ETLMetadata!$E1276</f>
        <v>YBDS_RSN_CODE</v>
      </c>
      <c r="C1276" s="11" t="str">
        <f>IF(ISBLANK(ETLMetadata!$J1276), "", ETLMetadata!$J1276)</f>
        <v/>
      </c>
      <c r="D1276" s="11" t="str">
        <f>ETLMetadata!$G1276</f>
        <v>CHAR(3)</v>
      </c>
      <c r="E1276" s="12"/>
      <c r="F1276" s="12"/>
      <c r="G1276" s="12" t="str">
        <f t="shared" si="38"/>
        <v/>
      </c>
      <c r="H1276" s="12"/>
      <c r="I1276" s="12"/>
      <c r="J1276" s="13">
        <v>45952</v>
      </c>
      <c r="K1276" s="13">
        <v>2958465</v>
      </c>
      <c r="L1276" s="11" t="str">
        <f t="shared" si="39"/>
        <v>INSERT INTO metadata_reference.file_schema VALUES('DETM_DETIS_YBDS','YBDS_RSN_CODE',NULL,'CHAR(3)',NULL,NULL,NULL,NULL,'2025-10-22','9999-12-31',USER, CURRENT_TIMESTAMP(0));</v>
      </c>
    </row>
    <row r="1277" spans="1:12" ht="15" customHeight="1">
      <c r="A1277" s="11" t="str">
        <f>ETLMetadata!$C1277</f>
        <v>DETM_DETIS_YBDS</v>
      </c>
      <c r="B1277" s="11" t="str">
        <f>ETLMetadata!$E1277</f>
        <v>AMR1_RISL_DTS</v>
      </c>
      <c r="C1277" s="11" t="str">
        <f>IF(ISBLANK(ETLMetadata!$J1277), "", ETLMetadata!$J1277)</f>
        <v/>
      </c>
      <c r="D1277" s="11" t="str">
        <f>ETLMetadata!$G1277</f>
        <v>TIMESTAMP(6)</v>
      </c>
      <c r="E1277" s="12"/>
      <c r="F1277" s="12"/>
      <c r="G1277" s="12" t="str">
        <f t="shared" si="38"/>
        <v/>
      </c>
      <c r="H1277" s="12"/>
      <c r="I1277" s="12"/>
      <c r="J1277" s="13">
        <v>45952</v>
      </c>
      <c r="K1277" s="13">
        <v>2958465</v>
      </c>
      <c r="L1277" s="11" t="str">
        <f t="shared" si="39"/>
        <v>INSERT INTO metadata_reference.file_schema VALUES('DETM_DETIS_YBDS','AMR1_RISL_DTS',NULL,'TIMESTAMP(6)',NULL,NULL,NULL,NULL,'2025-10-22','9999-12-31',USER, CURRENT_TIMESTAMP(0));</v>
      </c>
    </row>
    <row r="1278" spans="1:12" ht="15" customHeight="1">
      <c r="A1278" s="11" t="str">
        <f>ETLMetadata!$C1278</f>
        <v>DETM_DETIS_YBDS</v>
      </c>
      <c r="B1278" s="11" t="str">
        <f>ETLMetadata!$E1278</f>
        <v>AMR3_RISL_DTS</v>
      </c>
      <c r="C1278" s="11" t="str">
        <f>IF(ISBLANK(ETLMetadata!$J1278), "", ETLMetadata!$J1278)</f>
        <v/>
      </c>
      <c r="D1278" s="11" t="str">
        <f>ETLMetadata!$G1278</f>
        <v>TIMESTAMP(6)</v>
      </c>
      <c r="E1278" s="12"/>
      <c r="F1278" s="12"/>
      <c r="G1278" s="12" t="str">
        <f t="shared" si="38"/>
        <v/>
      </c>
      <c r="H1278" s="12"/>
      <c r="I1278" s="12"/>
      <c r="J1278" s="13">
        <v>45952</v>
      </c>
      <c r="K1278" s="13">
        <v>2958465</v>
      </c>
      <c r="L1278" s="11" t="str">
        <f t="shared" si="39"/>
        <v>INSERT INTO metadata_reference.file_schema VALUES('DETM_DETIS_YBDS','AMR3_RISL_DTS',NULL,'TIMESTAMP(6)',NULL,NULL,NULL,NULL,'2025-10-22','9999-12-31',USER, CURRENT_TIMESTAMP(0));</v>
      </c>
    </row>
    <row r="1279" spans="1:12" ht="15" customHeight="1">
      <c r="A1279" s="11" t="str">
        <f>ETLMetadata!$C1279</f>
        <v>DETM_DETIS_YBDS</v>
      </c>
      <c r="B1279" s="11" t="str">
        <f>ETLMetadata!$E1279</f>
        <v>PARTY_ROLE_ID</v>
      </c>
      <c r="C1279" s="11" t="str">
        <f>IF(ISBLANK(ETLMetadata!$J1279), "", ETLMetadata!$J1279)</f>
        <v/>
      </c>
      <c r="D1279" s="11" t="str">
        <f>ETLMetadata!$G1279</f>
        <v>INTEGER</v>
      </c>
      <c r="E1279" s="12"/>
      <c r="F1279" s="12"/>
      <c r="G1279" s="12" t="str">
        <f t="shared" si="38"/>
        <v/>
      </c>
      <c r="H1279" s="12"/>
      <c r="I1279" s="12"/>
      <c r="J1279" s="13">
        <v>45952</v>
      </c>
      <c r="K1279" s="13">
        <v>2958465</v>
      </c>
      <c r="L1279" s="11" t="str">
        <f t="shared" si="39"/>
        <v>INSERT INTO metadata_reference.file_schema VALUES('DETM_DETIS_YBDS','PARTY_ROLE_ID',NULL,'INTEGER',NULL,NULL,NULL,NULL,'2025-10-22','9999-12-31',USER, CURRENT_TIMESTAMP(0));</v>
      </c>
    </row>
    <row r="1280" spans="1:12" ht="15" customHeight="1">
      <c r="A1280" s="11" t="str">
        <f>ETLMetadata!$C1280</f>
        <v>DETM_DETIS_YBDS</v>
      </c>
      <c r="B1280" s="11" t="str">
        <f>ETLMetadata!$E1280</f>
        <v>EPISODE_ID</v>
      </c>
      <c r="C1280" s="11" t="str">
        <f>IF(ISBLANK(ETLMetadata!$J1280), "", ETLMetadata!$J1280)</f>
        <v/>
      </c>
      <c r="D1280" s="11" t="str">
        <f>ETLMetadata!$G1280</f>
        <v>INTEGER</v>
      </c>
      <c r="E1280" s="12"/>
      <c r="F1280" s="12"/>
      <c r="G1280" s="12" t="str">
        <f t="shared" si="38"/>
        <v/>
      </c>
      <c r="H1280" s="12"/>
      <c r="I1280" s="12"/>
      <c r="J1280" s="13">
        <v>45952</v>
      </c>
      <c r="K1280" s="13">
        <v>2958465</v>
      </c>
      <c r="L1280" s="11" t="str">
        <f t="shared" si="39"/>
        <v>INSERT INTO metadata_reference.file_schema VALUES('DETM_DETIS_YBDS','EPISODE_ID',NULL,'INTEGER',NULL,NULL,NULL,NULL,'2025-10-22','9999-12-31',USER, CURRENT_TIMESTAMP(0));</v>
      </c>
    </row>
    <row r="1281" spans="1:12" ht="15" customHeight="1">
      <c r="A1281" s="11" t="str">
        <f>ETLMetadata!$C1281</f>
        <v>DETM_DETIS_YBDS</v>
      </c>
      <c r="B1281" s="11" t="str">
        <f>ETLMetadata!$E1281</f>
        <v>PAYMENT_TYPE_ID</v>
      </c>
      <c r="C1281" s="11" t="str">
        <f>IF(ISBLANK(ETLMetadata!$J1281), "", ETLMetadata!$J1281)</f>
        <v/>
      </c>
      <c r="D1281" s="11" t="str">
        <f>ETLMetadata!$G1281</f>
        <v>INTEGER</v>
      </c>
      <c r="E1281" s="12"/>
      <c r="F1281" s="12"/>
      <c r="G1281" s="12" t="str">
        <f t="shared" si="38"/>
        <v/>
      </c>
      <c r="H1281" s="12"/>
      <c r="I1281" s="12"/>
      <c r="J1281" s="13">
        <v>45952</v>
      </c>
      <c r="K1281" s="13">
        <v>2958465</v>
      </c>
      <c r="L1281" s="11" t="str">
        <f t="shared" si="39"/>
        <v>INSERT INTO metadata_reference.file_schema VALUES('DETM_DETIS_YBDS','PAYMENT_TYPE_ID',NULL,'INTEGER',NULL,NULL,NULL,NULL,'2025-10-22','9999-12-31',USER, CURRENT_TIMESTAMP(0));</v>
      </c>
    </row>
    <row r="1282" spans="1:12" ht="15" customHeight="1">
      <c r="A1282" s="11" t="str">
        <f>ETLMetadata!$C1282</f>
        <v>DETM_DETIS_YBDS</v>
      </c>
      <c r="B1282" s="11" t="str">
        <f>ETLMetadata!$E1282</f>
        <v>ERROR_COUNT</v>
      </c>
      <c r="C1282" s="11" t="str">
        <f>IF(ISBLANK(ETLMetadata!$J1282), "", ETLMetadata!$J1282)</f>
        <v/>
      </c>
      <c r="D1282" s="11" t="str">
        <f>ETLMetadata!$G1282</f>
        <v>SMALLINT</v>
      </c>
      <c r="E1282" s="12"/>
      <c r="F1282" s="12"/>
      <c r="G1282" s="12" t="str">
        <f t="shared" si="38"/>
        <v/>
      </c>
      <c r="H1282" s="12"/>
      <c r="I1282" s="12"/>
      <c r="J1282" s="13">
        <v>45952</v>
      </c>
      <c r="K1282" s="13">
        <v>2958465</v>
      </c>
      <c r="L1282" s="11" t="str">
        <f t="shared" si="39"/>
        <v>INSERT INTO metadata_reference.file_schema VALUES('DETM_DETIS_YBDS','ERROR_COUNT',NULL,'SMALLINT',NULL,NULL,NULL,NULL,'2025-10-22','9999-12-31',USER, CURRENT_TIMESTAMP(0));</v>
      </c>
    </row>
    <row r="1283" spans="1:12" ht="15" customHeight="1">
      <c r="A1283" s="11" t="str">
        <f>ETLMetadata!$C1283</f>
        <v>DETM_DETIS_YBDS</v>
      </c>
      <c r="B1283" s="11" t="str">
        <f>ETLMetadata!$E1283</f>
        <v>Start_Date</v>
      </c>
      <c r="C1283" s="11" t="str">
        <f>IF(ISBLANK(ETLMetadata!$J1283), "", ETLMetadata!$J1283)</f>
        <v/>
      </c>
      <c r="D1283" s="11" t="str">
        <f>ETLMetadata!$G1283</f>
        <v>DATE</v>
      </c>
      <c r="E1283" s="12"/>
      <c r="F1283" s="12"/>
      <c r="G1283" s="12" t="str">
        <f t="shared" ref="G1283:G1346" si="40">UPPER($F1283)</f>
        <v/>
      </c>
      <c r="H1283" s="12"/>
      <c r="I1283" s="12"/>
      <c r="J1283" s="13">
        <v>45952</v>
      </c>
      <c r="K1283" s="13">
        <v>2958465</v>
      </c>
      <c r="L1283" s="11" t="str">
        <f t="shared" ref="L1283:L1346" si="41">CONCATENATE("INSERT INTO metadata_reference.file_schema VALUES('",TRIM(A1283),"','",TRIM(B1283),"',",IF(TRIM(C1283)="","NULL","'"&amp;TRIM(C1283)&amp;"'"),",'",TRIM(D1283),"',",IF(TRIM(E1283)="","NULL","'"&amp;TRIM(E1283)&amp;"'"),",",IF(TRIM(G1283)="","NULL","'"&amp;TRIM(G1283)&amp;"'"),",",IF(TRIM(H1283)="","NULL","'"&amp;TRIM(H1283)&amp;"'"),",",
IF(TRIM(I1283)="","NULL",TRIM(I1283)),",",IF(TRIM(J1283)="","NULL","'"&amp;TEXT(J1283,"yyyy-mm-dd")&amp;"'"),",",IF(TRIM(K1283)="","NULL","'"&amp;TEXT(K1283,"yyyy-mm-dd")&amp;"'"),",","USER, CURRENT_TIMESTAMP(0));")</f>
        <v>INSERT INTO metadata_reference.file_schema VALUES('DETM_DETIS_YBDS','Start_Date',NULL,'DATE',NULL,NULL,NULL,NULL,'2025-10-22','9999-12-31',USER, CURRENT_TIMESTAMP(0));</v>
      </c>
    </row>
    <row r="1284" spans="1:12" ht="15" customHeight="1">
      <c r="A1284" s="11" t="str">
        <f>ETLMetadata!$C1284</f>
        <v>DETM_DETIS_YBDS</v>
      </c>
      <c r="B1284" s="11" t="str">
        <f>ETLMetadata!$E1284</f>
        <v>End_Date</v>
      </c>
      <c r="C1284" s="11" t="str">
        <f>IF(ISBLANK(ETLMetadata!$J1284), "", ETLMetadata!$J1284)</f>
        <v/>
      </c>
      <c r="D1284" s="11" t="str">
        <f>ETLMetadata!$G1284</f>
        <v>DATE</v>
      </c>
      <c r="E1284" s="12"/>
      <c r="F1284" s="12"/>
      <c r="G1284" s="12" t="str">
        <f t="shared" si="40"/>
        <v/>
      </c>
      <c r="H1284" s="12"/>
      <c r="I1284" s="12"/>
      <c r="J1284" s="13">
        <v>45952</v>
      </c>
      <c r="K1284" s="13">
        <v>2958465</v>
      </c>
      <c r="L1284" s="11" t="str">
        <f t="shared" si="41"/>
        <v>INSERT INTO metadata_reference.file_schema VALUES('DETM_DETIS_YBDS','End_Date',NULL,'DATE',NULL,NULL,NULL,NULL,'2025-10-22','9999-12-31',USER, CURRENT_TIMESTAMP(0));</v>
      </c>
    </row>
    <row r="1285" spans="1:12" ht="15" customHeight="1">
      <c r="A1285" s="11" t="str">
        <f>ETLMetadata!$C1285</f>
        <v>DETM_DETIS_YBDS</v>
      </c>
      <c r="B1285" s="11" t="str">
        <f>ETLMetadata!$E1285</f>
        <v>Record_Deleted_Flag</v>
      </c>
      <c r="C1285" s="11" t="str">
        <f>IF(ISBLANK(ETLMetadata!$J1285), "", ETLMetadata!$J1285)</f>
        <v/>
      </c>
      <c r="D1285" s="11" t="str">
        <f>ETLMetadata!$G1285</f>
        <v>BYTEINT</v>
      </c>
      <c r="E1285" s="12"/>
      <c r="F1285" s="12"/>
      <c r="G1285" s="12" t="str">
        <f t="shared" si="40"/>
        <v/>
      </c>
      <c r="H1285" s="12"/>
      <c r="I1285" s="12"/>
      <c r="J1285" s="13">
        <v>45952</v>
      </c>
      <c r="K1285" s="13">
        <v>2958465</v>
      </c>
      <c r="L1285" s="11" t="str">
        <f t="shared" si="41"/>
        <v>INSERT INTO metadata_reference.file_schema VALUES('DETM_DETIS_YBDS','Record_Deleted_Flag',NULL,'BYTEINT',NULL,NULL,NULL,NULL,'2025-10-22','9999-12-31',USER, CURRENT_TIMESTAMP(0));</v>
      </c>
    </row>
    <row r="1286" spans="1:12" ht="15" customHeight="1">
      <c r="A1286" s="11" t="str">
        <f>ETLMetadata!$C1286</f>
        <v>DETM_DETIS_YCDS</v>
      </c>
      <c r="B1286" s="11" t="str">
        <f>ETLMetadata!$E1286</f>
        <v>EXTRACT_DATE</v>
      </c>
      <c r="C1286" s="11" t="str">
        <f>IF(ISBLANK(ETLMetadata!$J1286), "", ETLMetadata!$J1286)</f>
        <v/>
      </c>
      <c r="D1286" s="11" t="str">
        <f>ETLMetadata!$G1286</f>
        <v>DATE</v>
      </c>
      <c r="E1286" s="12"/>
      <c r="F1286" s="12"/>
      <c r="G1286" s="12" t="str">
        <f t="shared" si="40"/>
        <v/>
      </c>
      <c r="H1286" s="12"/>
      <c r="I1286" s="12"/>
      <c r="J1286" s="13">
        <v>45952</v>
      </c>
      <c r="K1286" s="13">
        <v>2958465</v>
      </c>
      <c r="L1286" s="11" t="str">
        <f t="shared" si="41"/>
        <v>INSERT INTO metadata_reference.file_schema VALUES('DETM_DETIS_YCDS','EXTRACT_DATE',NULL,'DATE',NULL,NULL,NULL,NULL,'2025-10-22','9999-12-31',USER, CURRENT_TIMESTAMP(0));</v>
      </c>
    </row>
    <row r="1287" spans="1:12" ht="15" customHeight="1">
      <c r="A1287" s="11" t="str">
        <f>ETLMetadata!$C1287</f>
        <v>DETM_DETIS_YCDS</v>
      </c>
      <c r="B1287" s="11" t="str">
        <f>ETLMetadata!$E1287</f>
        <v>LOGICAL_DELETE_DATE</v>
      </c>
      <c r="C1287" s="11" t="str">
        <f>IF(ISBLANK(ETLMetadata!$J1287), "", ETLMetadata!$J1287)</f>
        <v/>
      </c>
      <c r="D1287" s="11" t="str">
        <f>ETLMetadata!$G1287</f>
        <v>DATE</v>
      </c>
      <c r="E1287" s="12"/>
      <c r="F1287" s="12"/>
      <c r="G1287" s="12" t="str">
        <f t="shared" si="40"/>
        <v/>
      </c>
      <c r="H1287" s="12"/>
      <c r="I1287" s="12"/>
      <c r="J1287" s="13">
        <v>45952</v>
      </c>
      <c r="K1287" s="13">
        <v>2958465</v>
      </c>
      <c r="L1287" s="11" t="str">
        <f t="shared" si="41"/>
        <v>INSERT INTO metadata_reference.file_schema VALUES('DETM_DETIS_YCDS','LOGICAL_DELETE_DATE',NULL,'DATE',NULL,NULL,NULL,NULL,'2025-10-22','9999-12-31',USER, CURRENT_TIMESTAMP(0));</v>
      </c>
    </row>
    <row r="1288" spans="1:12" ht="15" customHeight="1">
      <c r="A1288" s="11" t="str">
        <f>ETLMetadata!$C1288</f>
        <v>DETM_DETIS_YCDS</v>
      </c>
      <c r="B1288" s="11" t="str">
        <f>ETLMetadata!$E1288</f>
        <v>ENVIRONMENT_ID</v>
      </c>
      <c r="C1288" s="11" t="str">
        <f>IF(ISBLANK(ETLMetadata!$J1288), "", ETLMetadata!$J1288)</f>
        <v>Y</v>
      </c>
      <c r="D1288" s="11" t="str">
        <f>ETLMetadata!$G1288</f>
        <v>CHAR(1)</v>
      </c>
      <c r="E1288" s="12"/>
      <c r="F1288" s="12"/>
      <c r="G1288" s="12" t="str">
        <f t="shared" si="40"/>
        <v/>
      </c>
      <c r="H1288" s="12"/>
      <c r="I1288" s="12"/>
      <c r="J1288" s="13">
        <v>45952</v>
      </c>
      <c r="K1288" s="13">
        <v>2958465</v>
      </c>
      <c r="L1288" s="11" t="str">
        <f t="shared" si="41"/>
        <v>INSERT INTO metadata_reference.file_schema VALUES('DETM_DETIS_YCDS','ENVIRONMENT_ID','Y','CHAR(1)',NULL,NULL,NULL,NULL,'2025-10-22','9999-12-31',USER, CURRENT_TIMESTAMP(0));</v>
      </c>
    </row>
    <row r="1289" spans="1:12" ht="15" customHeight="1">
      <c r="A1289" s="11" t="str">
        <f>ETLMetadata!$C1289</f>
        <v>DETM_DETIS_YCDS</v>
      </c>
      <c r="B1289" s="11" t="str">
        <f>ETLMetadata!$E1289</f>
        <v>PERSON_ID</v>
      </c>
      <c r="C1289" s="11" t="str">
        <f>IF(ISBLANK(ETLMetadata!$J1289), "", ETLMetadata!$J1289)</f>
        <v>Y</v>
      </c>
      <c r="D1289" s="11" t="str">
        <f>ETLMetadata!$G1289</f>
        <v>INTEGER</v>
      </c>
      <c r="E1289" s="12"/>
      <c r="F1289" s="12" t="s">
        <v>799</v>
      </c>
      <c r="G1289" s="12" t="str">
        <f t="shared" si="40"/>
        <v>PERSONAL_IDENTITYINFOINDIRECT</v>
      </c>
      <c r="H1289" s="12"/>
      <c r="I1289" s="12"/>
      <c r="J1289" s="13">
        <v>45952</v>
      </c>
      <c r="K1289" s="13">
        <v>2958465</v>
      </c>
      <c r="L1289" s="11" t="str">
        <f t="shared" si="41"/>
        <v>INSERT INTO metadata_reference.file_schema VALUES('DETM_DETIS_YCDS','PERSON_ID','Y','INTEGER',NULL,'PERSONAL_IDENTITYINFOINDIRECT',NULL,NULL,'2025-10-22','9999-12-31',USER, CURRENT_TIMESTAMP(0));</v>
      </c>
    </row>
    <row r="1290" spans="1:12" ht="15" customHeight="1">
      <c r="A1290" s="11" t="str">
        <f>ETLMetadata!$C1290</f>
        <v>DETM_DETIS_YCDS</v>
      </c>
      <c r="B1290" s="11" t="str">
        <f>ETLMetadata!$E1290</f>
        <v>YCDS_DOE</v>
      </c>
      <c r="C1290" s="11" t="str">
        <f>IF(ISBLANK(ETLMetadata!$J1290), "", ETLMetadata!$J1290)</f>
        <v/>
      </c>
      <c r="D1290" s="11" t="str">
        <f>ETLMetadata!$G1290</f>
        <v>DATE</v>
      </c>
      <c r="E1290" s="12"/>
      <c r="F1290" s="12"/>
      <c r="G1290" s="12" t="str">
        <f t="shared" si="40"/>
        <v/>
      </c>
      <c r="H1290" s="12"/>
      <c r="I1290" s="12"/>
      <c r="J1290" s="13">
        <v>45952</v>
      </c>
      <c r="K1290" s="13">
        <v>2958465</v>
      </c>
      <c r="L1290" s="11" t="str">
        <f t="shared" si="41"/>
        <v>INSERT INTO metadata_reference.file_schema VALUES('DETM_DETIS_YCDS','YCDS_DOE',NULL,'DATE',NULL,NULL,NULL,NULL,'2025-10-22','9999-12-31',USER, CURRENT_TIMESTAMP(0));</v>
      </c>
    </row>
    <row r="1291" spans="1:12" ht="15" customHeight="1">
      <c r="A1291" s="11" t="str">
        <f>ETLMetadata!$C1291</f>
        <v>DETM_DETIS_YCDS</v>
      </c>
      <c r="B1291" s="11" t="str">
        <f>ETLMetadata!$E1291</f>
        <v>YCDS_DOE_ORIG</v>
      </c>
      <c r="C1291" s="11" t="str">
        <f>IF(ISBLANK(ETLMetadata!$J1291), "", ETLMetadata!$J1291)</f>
        <v/>
      </c>
      <c r="D1291" s="11" t="str">
        <f>ETLMetadata!$G1291</f>
        <v>INTEGER</v>
      </c>
      <c r="E1291" s="12"/>
      <c r="F1291" s="12"/>
      <c r="G1291" s="12" t="str">
        <f t="shared" si="40"/>
        <v/>
      </c>
      <c r="H1291" s="12"/>
      <c r="I1291" s="12"/>
      <c r="J1291" s="13">
        <v>45952</v>
      </c>
      <c r="K1291" s="13">
        <v>2958465</v>
      </c>
      <c r="L1291" s="11" t="str">
        <f t="shared" si="41"/>
        <v>INSERT INTO metadata_reference.file_schema VALUES('DETM_DETIS_YCDS','YCDS_DOE_ORIG',NULL,'INTEGER',NULL,NULL,NULL,NULL,'2025-10-22','9999-12-31',USER, CURRENT_TIMESTAMP(0));</v>
      </c>
    </row>
    <row r="1292" spans="1:12" ht="15" customHeight="1">
      <c r="A1292" s="11" t="str">
        <f>ETLMetadata!$C1292</f>
        <v>DETM_DETIS_YCDS</v>
      </c>
      <c r="B1292" s="11" t="str">
        <f>ETLMetadata!$E1292</f>
        <v>PROCESSING_SEQUENCE</v>
      </c>
      <c r="C1292" s="11" t="str">
        <f>IF(ISBLANK(ETLMetadata!$J1292), "", ETLMetadata!$J1292)</f>
        <v>Y</v>
      </c>
      <c r="D1292" s="11" t="str">
        <f>ETLMetadata!$G1292</f>
        <v>SMALLINT</v>
      </c>
      <c r="E1292" s="12"/>
      <c r="F1292" s="12"/>
      <c r="G1292" s="12" t="str">
        <f t="shared" si="40"/>
        <v/>
      </c>
      <c r="H1292" s="12"/>
      <c r="I1292" s="12"/>
      <c r="J1292" s="13">
        <v>45952</v>
      </c>
      <c r="K1292" s="13">
        <v>2958465</v>
      </c>
      <c r="L1292" s="11" t="str">
        <f t="shared" si="41"/>
        <v>INSERT INTO metadata_reference.file_schema VALUES('DETM_DETIS_YCDS','PROCESSING_SEQUENCE','Y','SMALLINT',NULL,NULL,NULL,NULL,'2025-10-22','9999-12-31',USER, CURRENT_TIMESTAMP(0));</v>
      </c>
    </row>
    <row r="1293" spans="1:12" ht="15" customHeight="1">
      <c r="A1293" s="11" t="str">
        <f>ETLMetadata!$C1293</f>
        <v>DETM_DETIS_YCDS</v>
      </c>
      <c r="B1293" s="11" t="str">
        <f>ETLMetadata!$E1293</f>
        <v>YCDS_AMR_1</v>
      </c>
      <c r="C1293" s="11" t="str">
        <f>IF(ISBLANK(ETLMetadata!$J1293), "", ETLMetadata!$J1293)</f>
        <v/>
      </c>
      <c r="D1293" s="11" t="str">
        <f>ETLMetadata!$G1293</f>
        <v>CHAR(4)</v>
      </c>
      <c r="E1293" s="12"/>
      <c r="F1293" s="12"/>
      <c r="G1293" s="12" t="str">
        <f t="shared" si="40"/>
        <v/>
      </c>
      <c r="H1293" s="12"/>
      <c r="I1293" s="12"/>
      <c r="J1293" s="13">
        <v>45952</v>
      </c>
      <c r="K1293" s="13">
        <v>2958465</v>
      </c>
      <c r="L1293" s="11" t="str">
        <f t="shared" si="41"/>
        <v>INSERT INTO metadata_reference.file_schema VALUES('DETM_DETIS_YCDS','YCDS_AMR_1',NULL,'CHAR(4)',NULL,NULL,NULL,NULL,'2025-10-22','9999-12-31',USER, CURRENT_TIMESTAMP(0));</v>
      </c>
    </row>
    <row r="1294" spans="1:12" ht="15" customHeight="1">
      <c r="A1294" s="11" t="str">
        <f>ETLMetadata!$C1294</f>
        <v>DETM_DETIS_YCDS</v>
      </c>
      <c r="B1294" s="11" t="str">
        <f>ETLMetadata!$E1294</f>
        <v>YCDS_AMR_2</v>
      </c>
      <c r="C1294" s="11" t="str">
        <f>IF(ISBLANK(ETLMetadata!$J1294), "", ETLMetadata!$J1294)</f>
        <v/>
      </c>
      <c r="D1294" s="11" t="str">
        <f>ETLMetadata!$G1294</f>
        <v>CHAR(1)</v>
      </c>
      <c r="E1294" s="12"/>
      <c r="F1294" s="12"/>
      <c r="G1294" s="12" t="str">
        <f t="shared" si="40"/>
        <v/>
      </c>
      <c r="H1294" s="12"/>
      <c r="I1294" s="12"/>
      <c r="J1294" s="13">
        <v>45952</v>
      </c>
      <c r="K1294" s="13">
        <v>2958465</v>
      </c>
      <c r="L1294" s="11" t="str">
        <f t="shared" si="41"/>
        <v>INSERT INTO metadata_reference.file_schema VALUES('DETM_DETIS_YCDS','YCDS_AMR_2',NULL,'CHAR(1)',NULL,NULL,NULL,NULL,'2025-10-22','9999-12-31',USER, CURRENT_TIMESTAMP(0));</v>
      </c>
    </row>
    <row r="1295" spans="1:12" ht="15" customHeight="1">
      <c r="A1295" s="11" t="str">
        <f>ETLMetadata!$C1295</f>
        <v>DETM_DETIS_YCDS</v>
      </c>
      <c r="B1295" s="11" t="str">
        <f>ETLMetadata!$E1295</f>
        <v>YCDS_AMR_3</v>
      </c>
      <c r="C1295" s="11" t="str">
        <f>IF(ISBLANK(ETLMetadata!$J1295), "", ETLMetadata!$J1295)</f>
        <v/>
      </c>
      <c r="D1295" s="11" t="str">
        <f>ETLMetadata!$G1295</f>
        <v>CHAR(4)</v>
      </c>
      <c r="E1295" s="12"/>
      <c r="F1295" s="12"/>
      <c r="G1295" s="12" t="str">
        <f t="shared" si="40"/>
        <v/>
      </c>
      <c r="H1295" s="12"/>
      <c r="I1295" s="12"/>
      <c r="J1295" s="13">
        <v>45952</v>
      </c>
      <c r="K1295" s="13">
        <v>2958465</v>
      </c>
      <c r="L1295" s="11" t="str">
        <f t="shared" si="41"/>
        <v>INSERT INTO metadata_reference.file_schema VALUES('DETM_DETIS_YCDS','YCDS_AMR_3',NULL,'CHAR(4)',NULL,NULL,NULL,NULL,'2025-10-22','9999-12-31',USER, CURRENT_TIMESTAMP(0));</v>
      </c>
    </row>
    <row r="1296" spans="1:12" ht="15" customHeight="1">
      <c r="A1296" s="11" t="str">
        <f>ETLMetadata!$C1296</f>
        <v>DETM_DETIS_YCDS</v>
      </c>
      <c r="B1296" s="11" t="str">
        <f>ETLMetadata!$E1296</f>
        <v>YCDS_BEN_TYPE_CODE</v>
      </c>
      <c r="C1296" s="11" t="str">
        <f>IF(ISBLANK(ETLMetadata!$J1296), "", ETLMetadata!$J1296)</f>
        <v/>
      </c>
      <c r="D1296" s="11" t="str">
        <f>ETLMetadata!$G1296</f>
        <v>CHAR(3)</v>
      </c>
      <c r="E1296" s="12"/>
      <c r="F1296" s="12"/>
      <c r="G1296" s="12" t="str">
        <f t="shared" si="40"/>
        <v/>
      </c>
      <c r="H1296" s="12"/>
      <c r="I1296" s="12"/>
      <c r="J1296" s="13">
        <v>45952</v>
      </c>
      <c r="K1296" s="13">
        <v>2958465</v>
      </c>
      <c r="L1296" s="11" t="str">
        <f t="shared" si="41"/>
        <v>INSERT INTO metadata_reference.file_schema VALUES('DETM_DETIS_YCDS','YCDS_BEN_TYPE_CODE',NULL,'CHAR(3)',NULL,NULL,NULL,NULL,'2025-10-22','9999-12-31',USER, CURRENT_TIMESTAMP(0));</v>
      </c>
    </row>
    <row r="1297" spans="1:12" ht="15" customHeight="1">
      <c r="A1297" s="11" t="str">
        <f>ETLMetadata!$C1297</f>
        <v>DETM_DETIS_YCDS</v>
      </c>
      <c r="B1297" s="11" t="str">
        <f>ETLMetadata!$E1297</f>
        <v>YCDS_STS_CODE</v>
      </c>
      <c r="C1297" s="11" t="str">
        <f>IF(ISBLANK(ETLMetadata!$J1297), "", ETLMetadata!$J1297)</f>
        <v/>
      </c>
      <c r="D1297" s="11" t="str">
        <f>ETLMetadata!$G1297</f>
        <v>CHAR(3)</v>
      </c>
      <c r="E1297" s="12"/>
      <c r="F1297" s="12"/>
      <c r="G1297" s="12" t="str">
        <f t="shared" si="40"/>
        <v/>
      </c>
      <c r="H1297" s="12"/>
      <c r="I1297" s="12"/>
      <c r="J1297" s="13">
        <v>45952</v>
      </c>
      <c r="K1297" s="13">
        <v>2958465</v>
      </c>
      <c r="L1297" s="11" t="str">
        <f t="shared" si="41"/>
        <v>INSERT INTO metadata_reference.file_schema VALUES('DETM_DETIS_YCDS','YCDS_STS_CODE',NULL,'CHAR(3)',NULL,NULL,NULL,NULL,'2025-10-22','9999-12-31',USER, CURRENT_TIMESTAMP(0));</v>
      </c>
    </row>
    <row r="1298" spans="1:12" ht="15" customHeight="1">
      <c r="A1298" s="11" t="str">
        <f>ETLMetadata!$C1298</f>
        <v>DETM_DETIS_YCDS</v>
      </c>
      <c r="B1298" s="11" t="str">
        <f>ETLMetadata!$E1298</f>
        <v>YCDS_RSN_CODE</v>
      </c>
      <c r="C1298" s="11" t="str">
        <f>IF(ISBLANK(ETLMetadata!$J1298), "", ETLMetadata!$J1298)</f>
        <v/>
      </c>
      <c r="D1298" s="11" t="str">
        <f>ETLMetadata!$G1298</f>
        <v>CHAR(3)</v>
      </c>
      <c r="E1298" s="12"/>
      <c r="F1298" s="12"/>
      <c r="G1298" s="12" t="str">
        <f t="shared" si="40"/>
        <v/>
      </c>
      <c r="H1298" s="12"/>
      <c r="I1298" s="12"/>
      <c r="J1298" s="13">
        <v>45952</v>
      </c>
      <c r="K1298" s="13">
        <v>2958465</v>
      </c>
      <c r="L1298" s="11" t="str">
        <f t="shared" si="41"/>
        <v>INSERT INTO metadata_reference.file_schema VALUES('DETM_DETIS_YCDS','YCDS_RSN_CODE',NULL,'CHAR(3)',NULL,NULL,NULL,NULL,'2025-10-22','9999-12-31',USER, CURRENT_TIMESTAMP(0));</v>
      </c>
    </row>
    <row r="1299" spans="1:12" ht="15" customHeight="1">
      <c r="A1299" s="11" t="str">
        <f>ETLMetadata!$C1299</f>
        <v>DETM_DETIS_YCDS</v>
      </c>
      <c r="B1299" s="11" t="str">
        <f>ETLMetadata!$E1299</f>
        <v>AMR1_RISL_DTS</v>
      </c>
      <c r="C1299" s="11" t="str">
        <f>IF(ISBLANK(ETLMetadata!$J1299), "", ETLMetadata!$J1299)</f>
        <v/>
      </c>
      <c r="D1299" s="11" t="str">
        <f>ETLMetadata!$G1299</f>
        <v>TIMESTAMP(6)</v>
      </c>
      <c r="E1299" s="12"/>
      <c r="F1299" s="12"/>
      <c r="G1299" s="12" t="str">
        <f t="shared" si="40"/>
        <v/>
      </c>
      <c r="H1299" s="12"/>
      <c r="I1299" s="12"/>
      <c r="J1299" s="13">
        <v>45952</v>
      </c>
      <c r="K1299" s="13">
        <v>2958465</v>
      </c>
      <c r="L1299" s="11" t="str">
        <f t="shared" si="41"/>
        <v>INSERT INTO metadata_reference.file_schema VALUES('DETM_DETIS_YCDS','AMR1_RISL_DTS',NULL,'TIMESTAMP(6)',NULL,NULL,NULL,NULL,'2025-10-22','9999-12-31',USER, CURRENT_TIMESTAMP(0));</v>
      </c>
    </row>
    <row r="1300" spans="1:12" ht="15" customHeight="1">
      <c r="A1300" s="11" t="str">
        <f>ETLMetadata!$C1300</f>
        <v>DETM_DETIS_YCDS</v>
      </c>
      <c r="B1300" s="11" t="str">
        <f>ETLMetadata!$E1300</f>
        <v>AMR3_RISL_DTS</v>
      </c>
      <c r="C1300" s="11" t="str">
        <f>IF(ISBLANK(ETLMetadata!$J1300), "", ETLMetadata!$J1300)</f>
        <v/>
      </c>
      <c r="D1300" s="11" t="str">
        <f>ETLMetadata!$G1300</f>
        <v>TIMESTAMP(6)</v>
      </c>
      <c r="E1300" s="12"/>
      <c r="F1300" s="12"/>
      <c r="G1300" s="12" t="str">
        <f t="shared" si="40"/>
        <v/>
      </c>
      <c r="H1300" s="12"/>
      <c r="I1300" s="12"/>
      <c r="J1300" s="13">
        <v>45952</v>
      </c>
      <c r="K1300" s="13">
        <v>2958465</v>
      </c>
      <c r="L1300" s="11" t="str">
        <f t="shared" si="41"/>
        <v>INSERT INTO metadata_reference.file_schema VALUES('DETM_DETIS_YCDS','AMR3_RISL_DTS',NULL,'TIMESTAMP(6)',NULL,NULL,NULL,NULL,'2025-10-22','9999-12-31',USER, CURRENT_TIMESTAMP(0));</v>
      </c>
    </row>
    <row r="1301" spans="1:12" ht="15" customHeight="1">
      <c r="A1301" s="11" t="str">
        <f>ETLMetadata!$C1301</f>
        <v>DETM_DETIS_YCDS</v>
      </c>
      <c r="B1301" s="11" t="str">
        <f>ETLMetadata!$E1301</f>
        <v>PARTY_ROLE_ID</v>
      </c>
      <c r="C1301" s="11" t="str">
        <f>IF(ISBLANK(ETLMetadata!$J1301), "", ETLMetadata!$J1301)</f>
        <v/>
      </c>
      <c r="D1301" s="11" t="str">
        <f>ETLMetadata!$G1301</f>
        <v>INTEGER</v>
      </c>
      <c r="E1301" s="12"/>
      <c r="F1301" s="12"/>
      <c r="G1301" s="12" t="str">
        <f t="shared" si="40"/>
        <v/>
      </c>
      <c r="H1301" s="12"/>
      <c r="I1301" s="12"/>
      <c r="J1301" s="13">
        <v>45952</v>
      </c>
      <c r="K1301" s="13">
        <v>2958465</v>
      </c>
      <c r="L1301" s="11" t="str">
        <f t="shared" si="41"/>
        <v>INSERT INTO metadata_reference.file_schema VALUES('DETM_DETIS_YCDS','PARTY_ROLE_ID',NULL,'INTEGER',NULL,NULL,NULL,NULL,'2025-10-22','9999-12-31',USER, CURRENT_TIMESTAMP(0));</v>
      </c>
    </row>
    <row r="1302" spans="1:12" ht="15" customHeight="1">
      <c r="A1302" s="11" t="str">
        <f>ETLMetadata!$C1302</f>
        <v>DETM_DETIS_YCDS</v>
      </c>
      <c r="B1302" s="11" t="str">
        <f>ETLMetadata!$E1302</f>
        <v>EPISODE_ID</v>
      </c>
      <c r="C1302" s="11" t="str">
        <f>IF(ISBLANK(ETLMetadata!$J1302), "", ETLMetadata!$J1302)</f>
        <v/>
      </c>
      <c r="D1302" s="11" t="str">
        <f>ETLMetadata!$G1302</f>
        <v>INTEGER</v>
      </c>
      <c r="E1302" s="12"/>
      <c r="F1302" s="12"/>
      <c r="G1302" s="12" t="str">
        <f t="shared" si="40"/>
        <v/>
      </c>
      <c r="H1302" s="12"/>
      <c r="I1302" s="12"/>
      <c r="J1302" s="13">
        <v>45952</v>
      </c>
      <c r="K1302" s="13">
        <v>2958465</v>
      </c>
      <c r="L1302" s="11" t="str">
        <f t="shared" si="41"/>
        <v>INSERT INTO metadata_reference.file_schema VALUES('DETM_DETIS_YCDS','EPISODE_ID',NULL,'INTEGER',NULL,NULL,NULL,NULL,'2025-10-22','9999-12-31',USER, CURRENT_TIMESTAMP(0));</v>
      </c>
    </row>
    <row r="1303" spans="1:12" ht="15" customHeight="1">
      <c r="A1303" s="11" t="str">
        <f>ETLMetadata!$C1303</f>
        <v>DETM_DETIS_YCDS</v>
      </c>
      <c r="B1303" s="11" t="str">
        <f>ETLMetadata!$E1303</f>
        <v>PAYMENT_TYPE_ID</v>
      </c>
      <c r="C1303" s="11" t="str">
        <f>IF(ISBLANK(ETLMetadata!$J1303), "", ETLMetadata!$J1303)</f>
        <v/>
      </c>
      <c r="D1303" s="11" t="str">
        <f>ETLMetadata!$G1303</f>
        <v>INTEGER</v>
      </c>
      <c r="E1303" s="12"/>
      <c r="F1303" s="12"/>
      <c r="G1303" s="12" t="str">
        <f t="shared" si="40"/>
        <v/>
      </c>
      <c r="H1303" s="12"/>
      <c r="I1303" s="12"/>
      <c r="J1303" s="13">
        <v>45952</v>
      </c>
      <c r="K1303" s="13">
        <v>2958465</v>
      </c>
      <c r="L1303" s="11" t="str">
        <f t="shared" si="41"/>
        <v>INSERT INTO metadata_reference.file_schema VALUES('DETM_DETIS_YCDS','PAYMENT_TYPE_ID',NULL,'INTEGER',NULL,NULL,NULL,NULL,'2025-10-22','9999-12-31',USER, CURRENT_TIMESTAMP(0));</v>
      </c>
    </row>
    <row r="1304" spans="1:12" ht="15" customHeight="1">
      <c r="A1304" s="11" t="str">
        <f>ETLMetadata!$C1304</f>
        <v>DETM_DETIS_YCDS</v>
      </c>
      <c r="B1304" s="11" t="str">
        <f>ETLMetadata!$E1304</f>
        <v>ERROR_COUNT</v>
      </c>
      <c r="C1304" s="11" t="str">
        <f>IF(ISBLANK(ETLMetadata!$J1304), "", ETLMetadata!$J1304)</f>
        <v/>
      </c>
      <c r="D1304" s="11" t="str">
        <f>ETLMetadata!$G1304</f>
        <v>SMALLINT</v>
      </c>
      <c r="E1304" s="12"/>
      <c r="F1304" s="12"/>
      <c r="G1304" s="12" t="str">
        <f t="shared" si="40"/>
        <v/>
      </c>
      <c r="H1304" s="12"/>
      <c r="I1304" s="12"/>
      <c r="J1304" s="13">
        <v>45952</v>
      </c>
      <c r="K1304" s="13">
        <v>2958465</v>
      </c>
      <c r="L1304" s="11" t="str">
        <f t="shared" si="41"/>
        <v>INSERT INTO metadata_reference.file_schema VALUES('DETM_DETIS_YCDS','ERROR_COUNT',NULL,'SMALLINT',NULL,NULL,NULL,NULL,'2025-10-22','9999-12-31',USER, CURRENT_TIMESTAMP(0));</v>
      </c>
    </row>
    <row r="1305" spans="1:12" ht="15" customHeight="1">
      <c r="A1305" s="11" t="str">
        <f>ETLMetadata!$C1305</f>
        <v>DETM_DETIS_YCDS</v>
      </c>
      <c r="B1305" s="11" t="str">
        <f>ETLMetadata!$E1305</f>
        <v>Start_Date</v>
      </c>
      <c r="C1305" s="11" t="str">
        <f>IF(ISBLANK(ETLMetadata!$J1305), "", ETLMetadata!$J1305)</f>
        <v/>
      </c>
      <c r="D1305" s="11" t="str">
        <f>ETLMetadata!$G1305</f>
        <v>DATE</v>
      </c>
      <c r="E1305" s="12"/>
      <c r="F1305" s="12"/>
      <c r="G1305" s="12" t="str">
        <f t="shared" si="40"/>
        <v/>
      </c>
      <c r="H1305" s="12"/>
      <c r="I1305" s="12"/>
      <c r="J1305" s="13">
        <v>45952</v>
      </c>
      <c r="K1305" s="13">
        <v>2958465</v>
      </c>
      <c r="L1305" s="11" t="str">
        <f t="shared" si="41"/>
        <v>INSERT INTO metadata_reference.file_schema VALUES('DETM_DETIS_YCDS','Start_Date',NULL,'DATE',NULL,NULL,NULL,NULL,'2025-10-22','9999-12-31',USER, CURRENT_TIMESTAMP(0));</v>
      </c>
    </row>
    <row r="1306" spans="1:12" ht="15" customHeight="1">
      <c r="A1306" s="11" t="str">
        <f>ETLMetadata!$C1306</f>
        <v>DETM_DETIS_YCDS</v>
      </c>
      <c r="B1306" s="11" t="str">
        <f>ETLMetadata!$E1306</f>
        <v>End_Date</v>
      </c>
      <c r="C1306" s="11" t="str">
        <f>IF(ISBLANK(ETLMetadata!$J1306), "", ETLMetadata!$J1306)</f>
        <v/>
      </c>
      <c r="D1306" s="11" t="str">
        <f>ETLMetadata!$G1306</f>
        <v>DATE</v>
      </c>
      <c r="E1306" s="12"/>
      <c r="F1306" s="12"/>
      <c r="G1306" s="12" t="str">
        <f t="shared" si="40"/>
        <v/>
      </c>
      <c r="H1306" s="12"/>
      <c r="I1306" s="12"/>
      <c r="J1306" s="13">
        <v>45952</v>
      </c>
      <c r="K1306" s="13">
        <v>2958465</v>
      </c>
      <c r="L1306" s="11" t="str">
        <f t="shared" si="41"/>
        <v>INSERT INTO metadata_reference.file_schema VALUES('DETM_DETIS_YCDS','End_Date',NULL,'DATE',NULL,NULL,NULL,NULL,'2025-10-22','9999-12-31',USER, CURRENT_TIMESTAMP(0));</v>
      </c>
    </row>
    <row r="1307" spans="1:12" ht="15" customHeight="1">
      <c r="A1307" s="11" t="str">
        <f>ETLMetadata!$C1307</f>
        <v>DETM_DETIS_YCDS</v>
      </c>
      <c r="B1307" s="11" t="str">
        <f>ETLMetadata!$E1307</f>
        <v>Record_Deleted_Flag</v>
      </c>
      <c r="C1307" s="11" t="str">
        <f>IF(ISBLANK(ETLMetadata!$J1307), "", ETLMetadata!$J1307)</f>
        <v/>
      </c>
      <c r="D1307" s="11" t="str">
        <f>ETLMetadata!$G1307</f>
        <v>BYTEINT</v>
      </c>
      <c r="E1307" s="12"/>
      <c r="F1307" s="12"/>
      <c r="G1307" s="12" t="str">
        <f t="shared" si="40"/>
        <v/>
      </c>
      <c r="H1307" s="12"/>
      <c r="I1307" s="12"/>
      <c r="J1307" s="13">
        <v>45952</v>
      </c>
      <c r="K1307" s="13">
        <v>2958465</v>
      </c>
      <c r="L1307" s="11" t="str">
        <f t="shared" si="41"/>
        <v>INSERT INTO metadata_reference.file_schema VALUES('DETM_DETIS_YCDS','Record_Deleted_Flag',NULL,'BYTEINT',NULL,NULL,NULL,NULL,'2025-10-22','9999-12-31',USER, CURRENT_TIMESTAMP(0));</v>
      </c>
    </row>
    <row r="1308" spans="1:12" ht="15" customHeight="1">
      <c r="A1308" s="11" t="str">
        <f>ETLMetadata!$C1308</f>
        <v>DETM_DETIS_YPDS</v>
      </c>
      <c r="B1308" s="11" t="str">
        <f>ETLMetadata!$E1308</f>
        <v>EXTRACT_DATE</v>
      </c>
      <c r="C1308" s="11" t="str">
        <f>IF(ISBLANK(ETLMetadata!$J1308), "", ETLMetadata!$J1308)</f>
        <v/>
      </c>
      <c r="D1308" s="11" t="str">
        <f>ETLMetadata!$G1308</f>
        <v>DATE</v>
      </c>
      <c r="E1308" s="12"/>
      <c r="F1308" s="12"/>
      <c r="G1308" s="12" t="str">
        <f t="shared" si="40"/>
        <v/>
      </c>
      <c r="H1308" s="12"/>
      <c r="I1308" s="12"/>
      <c r="J1308" s="13">
        <v>45952</v>
      </c>
      <c r="K1308" s="13">
        <v>2958465</v>
      </c>
      <c r="L1308" s="11" t="str">
        <f t="shared" si="41"/>
        <v>INSERT INTO metadata_reference.file_schema VALUES('DETM_DETIS_YPDS','EXTRACT_DATE',NULL,'DATE',NULL,NULL,NULL,NULL,'2025-10-22','9999-12-31',USER, CURRENT_TIMESTAMP(0));</v>
      </c>
    </row>
    <row r="1309" spans="1:12" ht="15" customHeight="1">
      <c r="A1309" s="11" t="str">
        <f>ETLMetadata!$C1309</f>
        <v>DETM_DETIS_YPDS</v>
      </c>
      <c r="B1309" s="11" t="str">
        <f>ETLMetadata!$E1309</f>
        <v>LOGICAL_DELETE_DATE</v>
      </c>
      <c r="C1309" s="11" t="str">
        <f>IF(ISBLANK(ETLMetadata!$J1309), "", ETLMetadata!$J1309)</f>
        <v/>
      </c>
      <c r="D1309" s="11" t="str">
        <f>ETLMetadata!$G1309</f>
        <v>DATE</v>
      </c>
      <c r="E1309" s="12"/>
      <c r="F1309" s="12"/>
      <c r="G1309" s="12" t="str">
        <f t="shared" si="40"/>
        <v/>
      </c>
      <c r="H1309" s="12"/>
      <c r="I1309" s="12"/>
      <c r="J1309" s="13">
        <v>45952</v>
      </c>
      <c r="K1309" s="13">
        <v>2958465</v>
      </c>
      <c r="L1309" s="11" t="str">
        <f t="shared" si="41"/>
        <v>INSERT INTO metadata_reference.file_schema VALUES('DETM_DETIS_YPDS','LOGICAL_DELETE_DATE',NULL,'DATE',NULL,NULL,NULL,NULL,'2025-10-22','9999-12-31',USER, CURRENT_TIMESTAMP(0));</v>
      </c>
    </row>
    <row r="1310" spans="1:12" ht="15" customHeight="1">
      <c r="A1310" s="11" t="str">
        <f>ETLMetadata!$C1310</f>
        <v>DETM_DETIS_YPDS</v>
      </c>
      <c r="B1310" s="11" t="str">
        <f>ETLMetadata!$E1310</f>
        <v>ENVIRONMENT_ID</v>
      </c>
      <c r="C1310" s="11" t="str">
        <f>IF(ISBLANK(ETLMetadata!$J1310), "", ETLMetadata!$J1310)</f>
        <v>Y</v>
      </c>
      <c r="D1310" s="11" t="str">
        <f>ETLMetadata!$G1310</f>
        <v>CHAR(1)</v>
      </c>
      <c r="E1310" s="12"/>
      <c r="F1310" s="12"/>
      <c r="G1310" s="12" t="str">
        <f t="shared" si="40"/>
        <v/>
      </c>
      <c r="H1310" s="12"/>
      <c r="I1310" s="12"/>
      <c r="J1310" s="13">
        <v>45952</v>
      </c>
      <c r="K1310" s="13">
        <v>2958465</v>
      </c>
      <c r="L1310" s="11" t="str">
        <f t="shared" si="41"/>
        <v>INSERT INTO metadata_reference.file_schema VALUES('DETM_DETIS_YPDS','ENVIRONMENT_ID','Y','CHAR(1)',NULL,NULL,NULL,NULL,'2025-10-22','9999-12-31',USER, CURRENT_TIMESTAMP(0));</v>
      </c>
    </row>
    <row r="1311" spans="1:12" ht="15" customHeight="1">
      <c r="A1311" s="11" t="str">
        <f>ETLMetadata!$C1311</f>
        <v>DETM_DETIS_YPDS</v>
      </c>
      <c r="B1311" s="11" t="str">
        <f>ETLMetadata!$E1311</f>
        <v>PERSON_ID</v>
      </c>
      <c r="C1311" s="11" t="str">
        <f>IF(ISBLANK(ETLMetadata!$J1311), "", ETLMetadata!$J1311)</f>
        <v>Y</v>
      </c>
      <c r="D1311" s="11" t="str">
        <f>ETLMetadata!$G1311</f>
        <v>INTEGER</v>
      </c>
      <c r="E1311" s="12"/>
      <c r="F1311" s="12" t="s">
        <v>799</v>
      </c>
      <c r="G1311" s="12" t="str">
        <f t="shared" si="40"/>
        <v>PERSONAL_IDENTITYINFOINDIRECT</v>
      </c>
      <c r="H1311" s="12"/>
      <c r="I1311" s="12"/>
      <c r="J1311" s="13">
        <v>45952</v>
      </c>
      <c r="K1311" s="13">
        <v>2958465</v>
      </c>
      <c r="L1311" s="11" t="str">
        <f t="shared" si="41"/>
        <v>INSERT INTO metadata_reference.file_schema VALUES('DETM_DETIS_YPDS','PERSON_ID','Y','INTEGER',NULL,'PERSONAL_IDENTITYINFOINDIRECT',NULL,NULL,'2025-10-22','9999-12-31',USER, CURRENT_TIMESTAMP(0));</v>
      </c>
    </row>
    <row r="1312" spans="1:12" ht="15" customHeight="1">
      <c r="A1312" s="11" t="str">
        <f>ETLMetadata!$C1312</f>
        <v>DETM_DETIS_YPDS</v>
      </c>
      <c r="B1312" s="11" t="str">
        <f>ETLMetadata!$E1312</f>
        <v>YPDS_DOE</v>
      </c>
      <c r="C1312" s="11" t="str">
        <f>IF(ISBLANK(ETLMetadata!$J1312), "", ETLMetadata!$J1312)</f>
        <v/>
      </c>
      <c r="D1312" s="11" t="str">
        <f>ETLMetadata!$G1312</f>
        <v>DATE</v>
      </c>
      <c r="E1312" s="12"/>
      <c r="F1312" s="12"/>
      <c r="G1312" s="12" t="str">
        <f t="shared" si="40"/>
        <v/>
      </c>
      <c r="H1312" s="12"/>
      <c r="I1312" s="12"/>
      <c r="J1312" s="13">
        <v>45952</v>
      </c>
      <c r="K1312" s="13">
        <v>2958465</v>
      </c>
      <c r="L1312" s="11" t="str">
        <f t="shared" si="41"/>
        <v>INSERT INTO metadata_reference.file_schema VALUES('DETM_DETIS_YPDS','YPDS_DOE',NULL,'DATE',NULL,NULL,NULL,NULL,'2025-10-22','9999-12-31',USER, CURRENT_TIMESTAMP(0));</v>
      </c>
    </row>
    <row r="1313" spans="1:12" ht="15" customHeight="1">
      <c r="A1313" s="11" t="str">
        <f>ETLMetadata!$C1313</f>
        <v>DETM_DETIS_YPDS</v>
      </c>
      <c r="B1313" s="11" t="str">
        <f>ETLMetadata!$E1313</f>
        <v>YPDS_DOE_ORIG</v>
      </c>
      <c r="C1313" s="11" t="str">
        <f>IF(ISBLANK(ETLMetadata!$J1313), "", ETLMetadata!$J1313)</f>
        <v/>
      </c>
      <c r="D1313" s="11" t="str">
        <f>ETLMetadata!$G1313</f>
        <v>INTEGER</v>
      </c>
      <c r="E1313" s="12"/>
      <c r="F1313" s="12"/>
      <c r="G1313" s="12" t="str">
        <f t="shared" si="40"/>
        <v/>
      </c>
      <c r="H1313" s="12"/>
      <c r="I1313" s="12"/>
      <c r="J1313" s="13">
        <v>45952</v>
      </c>
      <c r="K1313" s="13">
        <v>2958465</v>
      </c>
      <c r="L1313" s="11" t="str">
        <f t="shared" si="41"/>
        <v>INSERT INTO metadata_reference.file_schema VALUES('DETM_DETIS_YPDS','YPDS_DOE_ORIG',NULL,'INTEGER',NULL,NULL,NULL,NULL,'2025-10-22','9999-12-31',USER, CURRENT_TIMESTAMP(0));</v>
      </c>
    </row>
    <row r="1314" spans="1:12" ht="15" customHeight="1">
      <c r="A1314" s="11" t="str">
        <f>ETLMetadata!$C1314</f>
        <v>DETM_DETIS_YPDS</v>
      </c>
      <c r="B1314" s="11" t="str">
        <f>ETLMetadata!$E1314</f>
        <v>PROCESSING_SEQUENCE</v>
      </c>
      <c r="C1314" s="11" t="str">
        <f>IF(ISBLANK(ETLMetadata!$J1314), "", ETLMetadata!$J1314)</f>
        <v>Y</v>
      </c>
      <c r="D1314" s="11" t="str">
        <f>ETLMetadata!$G1314</f>
        <v>SMALLINT</v>
      </c>
      <c r="E1314" s="12"/>
      <c r="F1314" s="12"/>
      <c r="G1314" s="12" t="str">
        <f t="shared" si="40"/>
        <v/>
      </c>
      <c r="H1314" s="12"/>
      <c r="I1314" s="12"/>
      <c r="J1314" s="13">
        <v>45952</v>
      </c>
      <c r="K1314" s="13">
        <v>2958465</v>
      </c>
      <c r="L1314" s="11" t="str">
        <f t="shared" si="41"/>
        <v>INSERT INTO metadata_reference.file_schema VALUES('DETM_DETIS_YPDS','PROCESSING_SEQUENCE','Y','SMALLINT',NULL,NULL,NULL,NULL,'2025-10-22','9999-12-31',USER, CURRENT_TIMESTAMP(0));</v>
      </c>
    </row>
    <row r="1315" spans="1:12" ht="15" customHeight="1">
      <c r="A1315" s="11" t="str">
        <f>ETLMetadata!$C1315</f>
        <v>DETM_DETIS_YPDS</v>
      </c>
      <c r="B1315" s="11" t="str">
        <f>ETLMetadata!$E1315</f>
        <v>YPDS_AMR_1</v>
      </c>
      <c r="C1315" s="11" t="str">
        <f>IF(ISBLANK(ETLMetadata!$J1315), "", ETLMetadata!$J1315)</f>
        <v/>
      </c>
      <c r="D1315" s="11" t="str">
        <f>ETLMetadata!$G1315</f>
        <v>CHAR(4)</v>
      </c>
      <c r="E1315" s="12"/>
      <c r="F1315" s="12"/>
      <c r="G1315" s="12" t="str">
        <f t="shared" si="40"/>
        <v/>
      </c>
      <c r="H1315" s="12"/>
      <c r="I1315" s="12"/>
      <c r="J1315" s="13">
        <v>45952</v>
      </c>
      <c r="K1315" s="13">
        <v>2958465</v>
      </c>
      <c r="L1315" s="11" t="str">
        <f t="shared" si="41"/>
        <v>INSERT INTO metadata_reference.file_schema VALUES('DETM_DETIS_YPDS','YPDS_AMR_1',NULL,'CHAR(4)',NULL,NULL,NULL,NULL,'2025-10-22','9999-12-31',USER, CURRENT_TIMESTAMP(0));</v>
      </c>
    </row>
    <row r="1316" spans="1:12" ht="15" customHeight="1">
      <c r="A1316" s="11" t="str">
        <f>ETLMetadata!$C1316</f>
        <v>DETM_DETIS_YPDS</v>
      </c>
      <c r="B1316" s="11" t="str">
        <f>ETLMetadata!$E1316</f>
        <v>YPDS_AMR_2</v>
      </c>
      <c r="C1316" s="11" t="str">
        <f>IF(ISBLANK(ETLMetadata!$J1316), "", ETLMetadata!$J1316)</f>
        <v/>
      </c>
      <c r="D1316" s="11" t="str">
        <f>ETLMetadata!$G1316</f>
        <v>CHAR(1)</v>
      </c>
      <c r="E1316" s="12"/>
      <c r="F1316" s="12"/>
      <c r="G1316" s="12" t="str">
        <f t="shared" si="40"/>
        <v/>
      </c>
      <c r="H1316" s="12"/>
      <c r="I1316" s="12"/>
      <c r="J1316" s="13">
        <v>45952</v>
      </c>
      <c r="K1316" s="13">
        <v>2958465</v>
      </c>
      <c r="L1316" s="11" t="str">
        <f t="shared" si="41"/>
        <v>INSERT INTO metadata_reference.file_schema VALUES('DETM_DETIS_YPDS','YPDS_AMR_2',NULL,'CHAR(1)',NULL,NULL,NULL,NULL,'2025-10-22','9999-12-31',USER, CURRENT_TIMESTAMP(0));</v>
      </c>
    </row>
    <row r="1317" spans="1:12" ht="15" customHeight="1">
      <c r="A1317" s="11" t="str">
        <f>ETLMetadata!$C1317</f>
        <v>DETM_DETIS_YPDS</v>
      </c>
      <c r="B1317" s="11" t="str">
        <f>ETLMetadata!$E1317</f>
        <v>YPDS_AMR_3</v>
      </c>
      <c r="C1317" s="11" t="str">
        <f>IF(ISBLANK(ETLMetadata!$J1317), "", ETLMetadata!$J1317)</f>
        <v/>
      </c>
      <c r="D1317" s="11" t="str">
        <f>ETLMetadata!$G1317</f>
        <v>CHAR(4)</v>
      </c>
      <c r="E1317" s="12"/>
      <c r="F1317" s="12"/>
      <c r="G1317" s="12" t="str">
        <f t="shared" si="40"/>
        <v/>
      </c>
      <c r="H1317" s="12"/>
      <c r="I1317" s="12"/>
      <c r="J1317" s="13">
        <v>45952</v>
      </c>
      <c r="K1317" s="13">
        <v>2958465</v>
      </c>
      <c r="L1317" s="11" t="str">
        <f t="shared" si="41"/>
        <v>INSERT INTO metadata_reference.file_schema VALUES('DETM_DETIS_YPDS','YPDS_AMR_3',NULL,'CHAR(4)',NULL,NULL,NULL,NULL,'2025-10-22','9999-12-31',USER, CURRENT_TIMESTAMP(0));</v>
      </c>
    </row>
    <row r="1318" spans="1:12" ht="15" customHeight="1">
      <c r="A1318" s="11" t="str">
        <f>ETLMetadata!$C1318</f>
        <v>DETM_DETIS_YPDS</v>
      </c>
      <c r="B1318" s="11" t="str">
        <f>ETLMetadata!$E1318</f>
        <v>YPDS_BEN_TYPE_CODE</v>
      </c>
      <c r="C1318" s="11" t="str">
        <f>IF(ISBLANK(ETLMetadata!$J1318), "", ETLMetadata!$J1318)</f>
        <v/>
      </c>
      <c r="D1318" s="11" t="str">
        <f>ETLMetadata!$G1318</f>
        <v>CHAR(3)</v>
      </c>
      <c r="E1318" s="12"/>
      <c r="F1318" s="12"/>
      <c r="G1318" s="12" t="str">
        <f t="shared" si="40"/>
        <v/>
      </c>
      <c r="H1318" s="12"/>
      <c r="I1318" s="12"/>
      <c r="J1318" s="13">
        <v>45952</v>
      </c>
      <c r="K1318" s="13">
        <v>2958465</v>
      </c>
      <c r="L1318" s="11" t="str">
        <f t="shared" si="41"/>
        <v>INSERT INTO metadata_reference.file_schema VALUES('DETM_DETIS_YPDS','YPDS_BEN_TYPE_CODE',NULL,'CHAR(3)',NULL,NULL,NULL,NULL,'2025-10-22','9999-12-31',USER, CURRENT_TIMESTAMP(0));</v>
      </c>
    </row>
    <row r="1319" spans="1:12" ht="15" customHeight="1">
      <c r="A1319" s="11" t="str">
        <f>ETLMetadata!$C1319</f>
        <v>DETM_DETIS_YPDS</v>
      </c>
      <c r="B1319" s="11" t="str">
        <f>ETLMetadata!$E1319</f>
        <v>YPDS_STS_CODE</v>
      </c>
      <c r="C1319" s="11" t="str">
        <f>IF(ISBLANK(ETLMetadata!$J1319), "", ETLMetadata!$J1319)</f>
        <v/>
      </c>
      <c r="D1319" s="11" t="str">
        <f>ETLMetadata!$G1319</f>
        <v>CHAR(3)</v>
      </c>
      <c r="E1319" s="12"/>
      <c r="F1319" s="12"/>
      <c r="G1319" s="12" t="str">
        <f t="shared" si="40"/>
        <v/>
      </c>
      <c r="H1319" s="12"/>
      <c r="I1319" s="12"/>
      <c r="J1319" s="13">
        <v>45952</v>
      </c>
      <c r="K1319" s="13">
        <v>2958465</v>
      </c>
      <c r="L1319" s="11" t="str">
        <f t="shared" si="41"/>
        <v>INSERT INTO metadata_reference.file_schema VALUES('DETM_DETIS_YPDS','YPDS_STS_CODE',NULL,'CHAR(3)',NULL,NULL,NULL,NULL,'2025-10-22','9999-12-31',USER, CURRENT_TIMESTAMP(0));</v>
      </c>
    </row>
    <row r="1320" spans="1:12" ht="15" customHeight="1">
      <c r="A1320" s="11" t="str">
        <f>ETLMetadata!$C1320</f>
        <v>DETM_DETIS_YPDS</v>
      </c>
      <c r="B1320" s="11" t="str">
        <f>ETLMetadata!$E1320</f>
        <v>YPDS_RSN_CODE</v>
      </c>
      <c r="C1320" s="11" t="str">
        <f>IF(ISBLANK(ETLMetadata!$J1320), "", ETLMetadata!$J1320)</f>
        <v/>
      </c>
      <c r="D1320" s="11" t="str">
        <f>ETLMetadata!$G1320</f>
        <v>CHAR(3)</v>
      </c>
      <c r="E1320" s="12"/>
      <c r="F1320" s="12"/>
      <c r="G1320" s="12" t="str">
        <f t="shared" si="40"/>
        <v/>
      </c>
      <c r="H1320" s="12"/>
      <c r="I1320" s="12"/>
      <c r="J1320" s="13">
        <v>45952</v>
      </c>
      <c r="K1320" s="13">
        <v>2958465</v>
      </c>
      <c r="L1320" s="11" t="str">
        <f t="shared" si="41"/>
        <v>INSERT INTO metadata_reference.file_schema VALUES('DETM_DETIS_YPDS','YPDS_RSN_CODE',NULL,'CHAR(3)',NULL,NULL,NULL,NULL,'2025-10-22','9999-12-31',USER, CURRENT_TIMESTAMP(0));</v>
      </c>
    </row>
    <row r="1321" spans="1:12" ht="15" customHeight="1">
      <c r="A1321" s="11" t="str">
        <f>ETLMetadata!$C1321</f>
        <v>DETM_DETIS_YPDS</v>
      </c>
      <c r="B1321" s="11" t="str">
        <f>ETLMetadata!$E1321</f>
        <v>AMR1_RISL_DTS</v>
      </c>
      <c r="C1321" s="11" t="str">
        <f>IF(ISBLANK(ETLMetadata!$J1321), "", ETLMetadata!$J1321)</f>
        <v/>
      </c>
      <c r="D1321" s="11" t="str">
        <f>ETLMetadata!$G1321</f>
        <v>TIMESTAMP(6)</v>
      </c>
      <c r="E1321" s="12"/>
      <c r="F1321" s="12"/>
      <c r="G1321" s="12" t="str">
        <f t="shared" si="40"/>
        <v/>
      </c>
      <c r="H1321" s="12"/>
      <c r="I1321" s="12"/>
      <c r="J1321" s="13">
        <v>45952</v>
      </c>
      <c r="K1321" s="13">
        <v>2958465</v>
      </c>
      <c r="L1321" s="11" t="str">
        <f t="shared" si="41"/>
        <v>INSERT INTO metadata_reference.file_schema VALUES('DETM_DETIS_YPDS','AMR1_RISL_DTS',NULL,'TIMESTAMP(6)',NULL,NULL,NULL,NULL,'2025-10-22','9999-12-31',USER, CURRENT_TIMESTAMP(0));</v>
      </c>
    </row>
    <row r="1322" spans="1:12" ht="15" customHeight="1">
      <c r="A1322" s="11" t="str">
        <f>ETLMetadata!$C1322</f>
        <v>DETM_DETIS_YPDS</v>
      </c>
      <c r="B1322" s="11" t="str">
        <f>ETLMetadata!$E1322</f>
        <v>AMR3_RISL_DTS</v>
      </c>
      <c r="C1322" s="11" t="str">
        <f>IF(ISBLANK(ETLMetadata!$J1322), "", ETLMetadata!$J1322)</f>
        <v/>
      </c>
      <c r="D1322" s="11" t="str">
        <f>ETLMetadata!$G1322</f>
        <v>TIMESTAMP(6)</v>
      </c>
      <c r="E1322" s="12"/>
      <c r="F1322" s="12"/>
      <c r="G1322" s="12" t="str">
        <f t="shared" si="40"/>
        <v/>
      </c>
      <c r="H1322" s="12"/>
      <c r="I1322" s="12"/>
      <c r="J1322" s="13">
        <v>45952</v>
      </c>
      <c r="K1322" s="13">
        <v>2958465</v>
      </c>
      <c r="L1322" s="11" t="str">
        <f t="shared" si="41"/>
        <v>INSERT INTO metadata_reference.file_schema VALUES('DETM_DETIS_YPDS','AMR3_RISL_DTS',NULL,'TIMESTAMP(6)',NULL,NULL,NULL,NULL,'2025-10-22','9999-12-31',USER, CURRENT_TIMESTAMP(0));</v>
      </c>
    </row>
    <row r="1323" spans="1:12" ht="15" customHeight="1">
      <c r="A1323" s="11" t="str">
        <f>ETLMetadata!$C1323</f>
        <v>DETM_DETIS_YPDS</v>
      </c>
      <c r="B1323" s="11" t="str">
        <f>ETLMetadata!$E1323</f>
        <v>PARTY_ROLE_ID</v>
      </c>
      <c r="C1323" s="11" t="str">
        <f>IF(ISBLANK(ETLMetadata!$J1323), "", ETLMetadata!$J1323)</f>
        <v/>
      </c>
      <c r="D1323" s="11" t="str">
        <f>ETLMetadata!$G1323</f>
        <v>INTEGER</v>
      </c>
      <c r="E1323" s="12"/>
      <c r="F1323" s="12"/>
      <c r="G1323" s="12" t="str">
        <f t="shared" si="40"/>
        <v/>
      </c>
      <c r="H1323" s="12"/>
      <c r="I1323" s="12"/>
      <c r="J1323" s="13">
        <v>45952</v>
      </c>
      <c r="K1323" s="13">
        <v>2958465</v>
      </c>
      <c r="L1323" s="11" t="str">
        <f t="shared" si="41"/>
        <v>INSERT INTO metadata_reference.file_schema VALUES('DETM_DETIS_YPDS','PARTY_ROLE_ID',NULL,'INTEGER',NULL,NULL,NULL,NULL,'2025-10-22','9999-12-31',USER, CURRENT_TIMESTAMP(0));</v>
      </c>
    </row>
    <row r="1324" spans="1:12" ht="15" customHeight="1">
      <c r="A1324" s="11" t="str">
        <f>ETLMetadata!$C1324</f>
        <v>DETM_DETIS_YPDS</v>
      </c>
      <c r="B1324" s="11" t="str">
        <f>ETLMetadata!$E1324</f>
        <v>EPISODE_ID</v>
      </c>
      <c r="C1324" s="11" t="str">
        <f>IF(ISBLANK(ETLMetadata!$J1324), "", ETLMetadata!$J1324)</f>
        <v/>
      </c>
      <c r="D1324" s="11" t="str">
        <f>ETLMetadata!$G1324</f>
        <v>INTEGER</v>
      </c>
      <c r="E1324" s="12"/>
      <c r="F1324" s="12"/>
      <c r="G1324" s="12" t="str">
        <f t="shared" si="40"/>
        <v/>
      </c>
      <c r="H1324" s="12"/>
      <c r="I1324" s="12"/>
      <c r="J1324" s="13">
        <v>45952</v>
      </c>
      <c r="K1324" s="13">
        <v>2958465</v>
      </c>
      <c r="L1324" s="11" t="str">
        <f t="shared" si="41"/>
        <v>INSERT INTO metadata_reference.file_schema VALUES('DETM_DETIS_YPDS','EPISODE_ID',NULL,'INTEGER',NULL,NULL,NULL,NULL,'2025-10-22','9999-12-31',USER, CURRENT_TIMESTAMP(0));</v>
      </c>
    </row>
    <row r="1325" spans="1:12" ht="15" customHeight="1">
      <c r="A1325" s="11" t="str">
        <f>ETLMetadata!$C1325</f>
        <v>DETM_DETIS_YPDS</v>
      </c>
      <c r="B1325" s="11" t="str">
        <f>ETLMetadata!$E1325</f>
        <v>PAYMENT_TYPE_ID</v>
      </c>
      <c r="C1325" s="11" t="str">
        <f>IF(ISBLANK(ETLMetadata!$J1325), "", ETLMetadata!$J1325)</f>
        <v/>
      </c>
      <c r="D1325" s="11" t="str">
        <f>ETLMetadata!$G1325</f>
        <v>INTEGER</v>
      </c>
      <c r="E1325" s="12"/>
      <c r="F1325" s="12"/>
      <c r="G1325" s="12" t="str">
        <f t="shared" si="40"/>
        <v/>
      </c>
      <c r="H1325" s="12"/>
      <c r="I1325" s="12"/>
      <c r="J1325" s="13">
        <v>45952</v>
      </c>
      <c r="K1325" s="13">
        <v>2958465</v>
      </c>
      <c r="L1325" s="11" t="str">
        <f t="shared" si="41"/>
        <v>INSERT INTO metadata_reference.file_schema VALUES('DETM_DETIS_YPDS','PAYMENT_TYPE_ID',NULL,'INTEGER',NULL,NULL,NULL,NULL,'2025-10-22','9999-12-31',USER, CURRENT_TIMESTAMP(0));</v>
      </c>
    </row>
    <row r="1326" spans="1:12" ht="15" customHeight="1">
      <c r="A1326" s="11" t="str">
        <f>ETLMetadata!$C1326</f>
        <v>DETM_DETIS_YPDS</v>
      </c>
      <c r="B1326" s="11" t="str">
        <f>ETLMetadata!$E1326</f>
        <v>ERROR_COUNT</v>
      </c>
      <c r="C1326" s="11" t="str">
        <f>IF(ISBLANK(ETLMetadata!$J1326), "", ETLMetadata!$J1326)</f>
        <v/>
      </c>
      <c r="D1326" s="11" t="str">
        <f>ETLMetadata!$G1326</f>
        <v>SMALLINT</v>
      </c>
      <c r="E1326" s="12"/>
      <c r="F1326" s="12"/>
      <c r="G1326" s="12" t="str">
        <f t="shared" si="40"/>
        <v/>
      </c>
      <c r="H1326" s="12"/>
      <c r="I1326" s="12"/>
      <c r="J1326" s="13">
        <v>45952</v>
      </c>
      <c r="K1326" s="13">
        <v>2958465</v>
      </c>
      <c r="L1326" s="11" t="str">
        <f t="shared" si="41"/>
        <v>INSERT INTO metadata_reference.file_schema VALUES('DETM_DETIS_YPDS','ERROR_COUNT',NULL,'SMALLINT',NULL,NULL,NULL,NULL,'2025-10-22','9999-12-31',USER, CURRENT_TIMESTAMP(0));</v>
      </c>
    </row>
    <row r="1327" spans="1:12" ht="15" customHeight="1">
      <c r="A1327" s="11" t="str">
        <f>ETLMetadata!$C1327</f>
        <v>DETM_DETIS_YPDS</v>
      </c>
      <c r="B1327" s="11" t="str">
        <f>ETLMetadata!$E1327</f>
        <v>Start_Date</v>
      </c>
      <c r="C1327" s="11" t="str">
        <f>IF(ISBLANK(ETLMetadata!$J1327), "", ETLMetadata!$J1327)</f>
        <v/>
      </c>
      <c r="D1327" s="11" t="str">
        <f>ETLMetadata!$G1327</f>
        <v>DATE</v>
      </c>
      <c r="E1327" s="12"/>
      <c r="F1327" s="12"/>
      <c r="G1327" s="12" t="str">
        <f t="shared" si="40"/>
        <v/>
      </c>
      <c r="H1327" s="12"/>
      <c r="I1327" s="12"/>
      <c r="J1327" s="13">
        <v>45952</v>
      </c>
      <c r="K1327" s="13">
        <v>2958465</v>
      </c>
      <c r="L1327" s="11" t="str">
        <f t="shared" si="41"/>
        <v>INSERT INTO metadata_reference.file_schema VALUES('DETM_DETIS_YPDS','Start_Date',NULL,'DATE',NULL,NULL,NULL,NULL,'2025-10-22','9999-12-31',USER, CURRENT_TIMESTAMP(0));</v>
      </c>
    </row>
    <row r="1328" spans="1:12" ht="15" customHeight="1">
      <c r="A1328" s="11" t="str">
        <f>ETLMetadata!$C1328</f>
        <v>DETM_DETIS_YPDS</v>
      </c>
      <c r="B1328" s="11" t="str">
        <f>ETLMetadata!$E1328</f>
        <v>End_Date</v>
      </c>
      <c r="C1328" s="11" t="str">
        <f>IF(ISBLANK(ETLMetadata!$J1328), "", ETLMetadata!$J1328)</f>
        <v/>
      </c>
      <c r="D1328" s="11" t="str">
        <f>ETLMetadata!$G1328</f>
        <v>DATE</v>
      </c>
      <c r="E1328" s="12"/>
      <c r="F1328" s="12"/>
      <c r="G1328" s="12" t="str">
        <f t="shared" si="40"/>
        <v/>
      </c>
      <c r="H1328" s="12"/>
      <c r="I1328" s="12"/>
      <c r="J1328" s="13">
        <v>45952</v>
      </c>
      <c r="K1328" s="13">
        <v>2958465</v>
      </c>
      <c r="L1328" s="11" t="str">
        <f t="shared" si="41"/>
        <v>INSERT INTO metadata_reference.file_schema VALUES('DETM_DETIS_YPDS','End_Date',NULL,'DATE',NULL,NULL,NULL,NULL,'2025-10-22','9999-12-31',USER, CURRENT_TIMESTAMP(0));</v>
      </c>
    </row>
    <row r="1329" spans="1:12" ht="15" customHeight="1">
      <c r="A1329" s="11" t="str">
        <f>ETLMetadata!$C1329</f>
        <v>DETM_DETIS_YPDS</v>
      </c>
      <c r="B1329" s="11" t="str">
        <f>ETLMetadata!$E1329</f>
        <v>Record_Deleted_Flag</v>
      </c>
      <c r="C1329" s="11" t="str">
        <f>IF(ISBLANK(ETLMetadata!$J1329), "", ETLMetadata!$J1329)</f>
        <v/>
      </c>
      <c r="D1329" s="11" t="str">
        <f>ETLMetadata!$G1329</f>
        <v>BYTEINT</v>
      </c>
      <c r="E1329" s="12"/>
      <c r="F1329" s="12"/>
      <c r="G1329" s="12" t="str">
        <f t="shared" si="40"/>
        <v/>
      </c>
      <c r="H1329" s="12"/>
      <c r="I1329" s="12"/>
      <c r="J1329" s="13">
        <v>45952</v>
      </c>
      <c r="K1329" s="13">
        <v>2958465</v>
      </c>
      <c r="L1329" s="11" t="str">
        <f t="shared" si="41"/>
        <v>INSERT INTO metadata_reference.file_schema VALUES('DETM_DETIS_YPDS','Record_Deleted_Flag',NULL,'BYTEINT',NULL,NULL,NULL,NULL,'2025-10-22','9999-12-31',USER, CURRENT_TIMESTAMP(0));</v>
      </c>
    </row>
    <row r="1330" spans="1:12" ht="15" customHeight="1">
      <c r="A1330" s="11" t="str">
        <f>ETLMetadata!$C1330</f>
        <v>KIDS_CHILD</v>
      </c>
      <c r="B1330" s="11" t="str">
        <f>ETLMetadata!$E1330</f>
        <v>EXTRACT_DATE</v>
      </c>
      <c r="C1330" s="11" t="str">
        <f>IF(ISBLANK(ETLMetadata!$J1330), "", ETLMetadata!$J1330)</f>
        <v/>
      </c>
      <c r="D1330" s="11" t="str">
        <f>ETLMetadata!$G1330</f>
        <v>DATE</v>
      </c>
      <c r="E1330" s="12"/>
      <c r="F1330" s="12"/>
      <c r="G1330" s="12" t="str">
        <f t="shared" si="40"/>
        <v/>
      </c>
      <c r="H1330" s="12"/>
      <c r="I1330" s="12"/>
      <c r="J1330" s="13">
        <v>45952</v>
      </c>
      <c r="K1330" s="13">
        <v>2958465</v>
      </c>
      <c r="L1330" s="11" t="str">
        <f t="shared" si="41"/>
        <v>INSERT INTO metadata_reference.file_schema VALUES('KIDS_CHILD','EXTRACT_DATE',NULL,'DATE',NULL,NULL,NULL,NULL,'2025-10-22','9999-12-31',USER, CURRENT_TIMESTAMP(0));</v>
      </c>
    </row>
    <row r="1331" spans="1:12" ht="15" customHeight="1">
      <c r="A1331" s="11" t="str">
        <f>ETLMetadata!$C1331</f>
        <v>KIDS_CHILD</v>
      </c>
      <c r="B1331" s="11" t="str">
        <f>ETLMetadata!$E1331</f>
        <v>LOGICAL_DELETE_DATE</v>
      </c>
      <c r="C1331" s="11" t="str">
        <f>IF(ISBLANK(ETLMetadata!$J1331), "", ETLMetadata!$J1331)</f>
        <v/>
      </c>
      <c r="D1331" s="11" t="str">
        <f>ETLMetadata!$G1331</f>
        <v>DATE</v>
      </c>
      <c r="E1331" s="12"/>
      <c r="F1331" s="12"/>
      <c r="G1331" s="12" t="str">
        <f t="shared" si="40"/>
        <v/>
      </c>
      <c r="H1331" s="12"/>
      <c r="I1331" s="12"/>
      <c r="J1331" s="13">
        <v>45952</v>
      </c>
      <c r="K1331" s="13">
        <v>2958465</v>
      </c>
      <c r="L1331" s="11" t="str">
        <f t="shared" si="41"/>
        <v>INSERT INTO metadata_reference.file_schema VALUES('KIDS_CHILD','LOGICAL_DELETE_DATE',NULL,'DATE',NULL,NULL,NULL,NULL,'2025-10-22','9999-12-31',USER, CURRENT_TIMESTAMP(0));</v>
      </c>
    </row>
    <row r="1332" spans="1:12" ht="15" customHeight="1">
      <c r="A1332" s="11" t="str">
        <f>ETLMetadata!$C1332</f>
        <v>KIDS_CHILD</v>
      </c>
      <c r="B1332" s="11" t="str">
        <f>ETLMetadata!$E1332</f>
        <v>ENVIRONMENT_ID</v>
      </c>
      <c r="C1332" s="11" t="str">
        <f>IF(ISBLANK(ETLMetadata!$J1332), "", ETLMetadata!$J1332)</f>
        <v>Y</v>
      </c>
      <c r="D1332" s="11" t="str">
        <f>ETLMetadata!$G1332</f>
        <v>CHAR(1)</v>
      </c>
      <c r="E1332" s="12"/>
      <c r="F1332" s="12"/>
      <c r="G1332" s="12" t="str">
        <f t="shared" si="40"/>
        <v/>
      </c>
      <c r="H1332" s="12"/>
      <c r="I1332" s="12"/>
      <c r="J1332" s="13">
        <v>45952</v>
      </c>
      <c r="K1332" s="13">
        <v>2958465</v>
      </c>
      <c r="L1332" s="11" t="str">
        <f t="shared" si="41"/>
        <v>INSERT INTO metadata_reference.file_schema VALUES('KIDS_CHILD','ENVIRONMENT_ID','Y','CHAR(1)',NULL,NULL,NULL,NULL,'2025-10-22','9999-12-31',USER, CURRENT_TIMESTAMP(0));</v>
      </c>
    </row>
    <row r="1333" spans="1:12" ht="15" customHeight="1">
      <c r="A1333" s="11" t="str">
        <f>ETLMetadata!$C1333</f>
        <v>KIDS_CHILD</v>
      </c>
      <c r="B1333" s="11" t="str">
        <f>ETLMetadata!$E1333</f>
        <v>PERSON_ID</v>
      </c>
      <c r="C1333" s="11" t="str">
        <f>IF(ISBLANK(ETLMetadata!$J1333), "", ETLMetadata!$J1333)</f>
        <v>Y</v>
      </c>
      <c r="D1333" s="11" t="str">
        <f>ETLMetadata!$G1333</f>
        <v>INTEGER</v>
      </c>
      <c r="E1333" s="12"/>
      <c r="F1333" s="12" t="s">
        <v>800</v>
      </c>
      <c r="G1333" s="12" t="str">
        <f t="shared" si="40"/>
        <v>PERSONAL_IDENTITYINFODIRECT</v>
      </c>
      <c r="H1333" s="12"/>
      <c r="I1333" s="12"/>
      <c r="J1333" s="13">
        <v>45952</v>
      </c>
      <c r="K1333" s="13">
        <v>2958465</v>
      </c>
      <c r="L1333" s="11" t="str">
        <f t="shared" si="41"/>
        <v>INSERT INTO metadata_reference.file_schema VALUES('KIDS_CHILD','PERSON_ID','Y','INTEGER',NULL,'PERSONAL_IDENTITYINFODIRECT',NULL,NULL,'2025-10-22','9999-12-31',USER, CURRENT_TIMESTAMP(0));</v>
      </c>
    </row>
    <row r="1334" spans="1:12" ht="15" customHeight="1">
      <c r="A1334" s="11" t="str">
        <f>ETLMetadata!$C1334</f>
        <v>KIDS_CHILD</v>
      </c>
      <c r="B1334" s="11" t="str">
        <f>ETLMetadata!$E1334</f>
        <v>CHILD_SSR</v>
      </c>
      <c r="C1334" s="11" t="str">
        <f>IF(ISBLANK(ETLMetadata!$J1334), "", ETLMetadata!$J1334)</f>
        <v>Y</v>
      </c>
      <c r="D1334" s="11" t="str">
        <f>ETLMetadata!$G1334</f>
        <v>INTEGER</v>
      </c>
      <c r="E1334" s="12"/>
      <c r="F1334" s="12" t="s">
        <v>800</v>
      </c>
      <c r="G1334" s="12" t="str">
        <f t="shared" si="40"/>
        <v>PERSONAL_IDENTITYINFODIRECT</v>
      </c>
      <c r="H1334" s="12"/>
      <c r="I1334" s="12"/>
      <c r="J1334" s="13">
        <v>45952</v>
      </c>
      <c r="K1334" s="13">
        <v>2958465</v>
      </c>
      <c r="L1334" s="11" t="str">
        <f t="shared" si="41"/>
        <v>INSERT INTO metadata_reference.file_schema VALUES('KIDS_CHILD','CHILD_SSR','Y','INTEGER',NULL,'PERSONAL_IDENTITYINFODIRECT',NULL,NULL,'2025-10-22','9999-12-31',USER, CURRENT_TIMESTAMP(0));</v>
      </c>
    </row>
    <row r="1335" spans="1:12" ht="15" customHeight="1">
      <c r="A1335" s="11" t="str">
        <f>ETLMetadata!$C1335</f>
        <v>KIDS_CHILD</v>
      </c>
      <c r="B1335" s="11" t="str">
        <f>ETLMetadata!$E1335</f>
        <v>PROCESSING_SEQUENCE</v>
      </c>
      <c r="C1335" s="11" t="str">
        <f>IF(ISBLANK(ETLMetadata!$J1335), "", ETLMetadata!$J1335)</f>
        <v>Y</v>
      </c>
      <c r="D1335" s="11" t="str">
        <f>ETLMetadata!$G1335</f>
        <v>SMALLINT</v>
      </c>
      <c r="E1335" s="12"/>
      <c r="F1335" s="12"/>
      <c r="G1335" s="12" t="str">
        <f t="shared" si="40"/>
        <v/>
      </c>
      <c r="H1335" s="12"/>
      <c r="I1335" s="12"/>
      <c r="J1335" s="13">
        <v>45952</v>
      </c>
      <c r="K1335" s="13">
        <v>2958465</v>
      </c>
      <c r="L1335" s="11" t="str">
        <f t="shared" si="41"/>
        <v>INSERT INTO metadata_reference.file_schema VALUES('KIDS_CHILD','PROCESSING_SEQUENCE','Y','SMALLINT',NULL,NULL,NULL,NULL,'2025-10-22','9999-12-31',USER, CURRENT_TIMESTAMP(0));</v>
      </c>
    </row>
    <row r="1336" spans="1:12" ht="15" customHeight="1">
      <c r="A1336" s="11" t="str">
        <f>ETLMetadata!$C1336</f>
        <v>KIDS_CHILD</v>
      </c>
      <c r="B1336" s="11" t="str">
        <f>ETLMetadata!$E1336</f>
        <v>AMR1_RISL_DTS</v>
      </c>
      <c r="C1336" s="11" t="str">
        <f>IF(ISBLANK(ETLMetadata!$J1336), "", ETLMetadata!$J1336)</f>
        <v/>
      </c>
      <c r="D1336" s="11" t="str">
        <f>ETLMetadata!$G1336</f>
        <v>TIMESTAMP(6)</v>
      </c>
      <c r="E1336" s="12"/>
      <c r="F1336" s="12"/>
      <c r="G1336" s="12" t="str">
        <f t="shared" si="40"/>
        <v/>
      </c>
      <c r="H1336" s="12"/>
      <c r="I1336" s="12"/>
      <c r="J1336" s="13">
        <v>45952</v>
      </c>
      <c r="K1336" s="13">
        <v>2958465</v>
      </c>
      <c r="L1336" s="11" t="str">
        <f t="shared" si="41"/>
        <v>INSERT INTO metadata_reference.file_schema VALUES('KIDS_CHILD','AMR1_RISL_DTS',NULL,'TIMESTAMP(6)',NULL,NULL,NULL,NULL,'2025-10-22','9999-12-31',USER, CURRENT_TIMESTAMP(0));</v>
      </c>
    </row>
    <row r="1337" spans="1:12" ht="15" customHeight="1">
      <c r="A1337" s="11" t="str">
        <f>ETLMetadata!$C1337</f>
        <v>KIDS_CHILD</v>
      </c>
      <c r="B1337" s="11" t="str">
        <f>ETLMetadata!$E1337</f>
        <v>AMR3_RISL_DTS</v>
      </c>
      <c r="C1337" s="11" t="str">
        <f>IF(ISBLANK(ETLMetadata!$J1337), "", ETLMetadata!$J1337)</f>
        <v/>
      </c>
      <c r="D1337" s="11" t="str">
        <f>ETLMetadata!$G1337</f>
        <v>TIMESTAMP(6)</v>
      </c>
      <c r="E1337" s="12"/>
      <c r="F1337" s="12"/>
      <c r="G1337" s="12" t="str">
        <f t="shared" si="40"/>
        <v/>
      </c>
      <c r="H1337" s="12"/>
      <c r="I1337" s="12"/>
      <c r="J1337" s="13">
        <v>45952</v>
      </c>
      <c r="K1337" s="13">
        <v>2958465</v>
      </c>
      <c r="L1337" s="11" t="str">
        <f t="shared" si="41"/>
        <v>INSERT INTO metadata_reference.file_schema VALUES('KIDS_CHILD','AMR3_RISL_DTS',NULL,'TIMESTAMP(6)',NULL,NULL,NULL,NULL,'2025-10-22','9999-12-31',USER, CURRENT_TIMESTAMP(0));</v>
      </c>
    </row>
    <row r="1338" spans="1:12" ht="15" customHeight="1">
      <c r="A1338" s="11" t="str">
        <f>ETLMetadata!$C1338</f>
        <v>KIDS_CHILD</v>
      </c>
      <c r="B1338" s="11" t="str">
        <f>ETLMetadata!$E1338</f>
        <v>PARTY_ROLE_ID</v>
      </c>
      <c r="C1338" s="11" t="str">
        <f>IF(ISBLANK(ETLMetadata!$J1338), "", ETLMetadata!$J1338)</f>
        <v/>
      </c>
      <c r="D1338" s="11" t="str">
        <f>ETLMetadata!$G1338</f>
        <v>INTEGER</v>
      </c>
      <c r="E1338" s="12"/>
      <c r="F1338" s="12"/>
      <c r="G1338" s="12" t="str">
        <f t="shared" si="40"/>
        <v/>
      </c>
      <c r="H1338" s="12"/>
      <c r="I1338" s="12"/>
      <c r="J1338" s="13">
        <v>45952</v>
      </c>
      <c r="K1338" s="13">
        <v>2958465</v>
      </c>
      <c r="L1338" s="11" t="str">
        <f t="shared" si="41"/>
        <v>INSERT INTO metadata_reference.file_schema VALUES('KIDS_CHILD','PARTY_ROLE_ID',NULL,'INTEGER',NULL,NULL,NULL,NULL,'2025-10-22','9999-12-31',USER, CURRENT_TIMESTAMP(0));</v>
      </c>
    </row>
    <row r="1339" spans="1:12" ht="15" customHeight="1">
      <c r="A1339" s="11" t="str">
        <f>ETLMetadata!$C1339</f>
        <v>KIDS_CHILD</v>
      </c>
      <c r="B1339" s="11" t="str">
        <f>ETLMetadata!$E1339</f>
        <v>CHILD_PARTY_ROLE_ID</v>
      </c>
      <c r="C1339" s="11" t="str">
        <f>IF(ISBLANK(ETLMetadata!$J1339), "", ETLMetadata!$J1339)</f>
        <v/>
      </c>
      <c r="D1339" s="11" t="str">
        <f>ETLMetadata!$G1339</f>
        <v>INTEGER</v>
      </c>
      <c r="E1339" s="12"/>
      <c r="F1339" s="12"/>
      <c r="G1339" s="12" t="str">
        <f t="shared" si="40"/>
        <v/>
      </c>
      <c r="H1339" s="12"/>
      <c r="I1339" s="12"/>
      <c r="J1339" s="13">
        <v>45952</v>
      </c>
      <c r="K1339" s="13">
        <v>2958465</v>
      </c>
      <c r="L1339" s="11" t="str">
        <f t="shared" si="41"/>
        <v>INSERT INTO metadata_reference.file_schema VALUES('KIDS_CHILD','CHILD_PARTY_ROLE_ID',NULL,'INTEGER',NULL,NULL,NULL,NULL,'2025-10-22','9999-12-31',USER, CURRENT_TIMESTAMP(0));</v>
      </c>
    </row>
    <row r="1340" spans="1:12" ht="15" customHeight="1">
      <c r="A1340" s="11" t="str">
        <f>ETLMetadata!$C1340</f>
        <v>KIDS_CHILD</v>
      </c>
      <c r="B1340" s="11" t="str">
        <f>ETLMetadata!$E1340</f>
        <v>ERROR_COUNT</v>
      </c>
      <c r="C1340" s="11" t="str">
        <f>IF(ISBLANK(ETLMetadata!$J1340), "", ETLMetadata!$J1340)</f>
        <v/>
      </c>
      <c r="D1340" s="11" t="str">
        <f>ETLMetadata!$G1340</f>
        <v>SMALLINT</v>
      </c>
      <c r="E1340" s="12"/>
      <c r="F1340" s="12"/>
      <c r="G1340" s="12" t="str">
        <f t="shared" si="40"/>
        <v/>
      </c>
      <c r="H1340" s="12"/>
      <c r="I1340" s="12"/>
      <c r="J1340" s="13">
        <v>45952</v>
      </c>
      <c r="K1340" s="13">
        <v>2958465</v>
      </c>
      <c r="L1340" s="11" t="str">
        <f t="shared" si="41"/>
        <v>INSERT INTO metadata_reference.file_schema VALUES('KIDS_CHILD','ERROR_COUNT',NULL,'SMALLINT',NULL,NULL,NULL,NULL,'2025-10-22','9999-12-31',USER, CURRENT_TIMESTAMP(0));</v>
      </c>
    </row>
    <row r="1341" spans="1:12" ht="15" customHeight="1">
      <c r="A1341" s="11" t="str">
        <f>ETLMetadata!$C1341</f>
        <v>KIDS_CHILD</v>
      </c>
      <c r="B1341" s="11" t="str">
        <f>ETLMetadata!$E1341</f>
        <v>CHP_ANCHOR_IND</v>
      </c>
      <c r="C1341" s="11" t="str">
        <f>IF(ISBLANK(ETLMetadata!$J1341), "", ETLMetadata!$J1341)</f>
        <v/>
      </c>
      <c r="D1341" s="11" t="str">
        <f>ETLMetadata!$G1341</f>
        <v>CHAR(1)</v>
      </c>
      <c r="E1341" s="12"/>
      <c r="F1341" s="12"/>
      <c r="G1341" s="12" t="str">
        <f t="shared" si="40"/>
        <v/>
      </c>
      <c r="H1341" s="12"/>
      <c r="I1341" s="12"/>
      <c r="J1341" s="13">
        <v>45952</v>
      </c>
      <c r="K1341" s="13">
        <v>2958465</v>
      </c>
      <c r="L1341" s="11" t="str">
        <f t="shared" si="41"/>
        <v>INSERT INTO metadata_reference.file_schema VALUES('KIDS_CHILD','CHP_ANCHOR_IND',NULL,'CHAR(1)',NULL,NULL,NULL,NULL,'2025-10-22','9999-12-31',USER, CURRENT_TIMESTAMP(0));</v>
      </c>
    </row>
    <row r="1342" spans="1:12" ht="15" customHeight="1">
      <c r="A1342" s="11" t="str">
        <f>ETLMetadata!$C1342</f>
        <v>KIDS_CHILD</v>
      </c>
      <c r="B1342" s="11" t="str">
        <f>ETLMetadata!$E1342</f>
        <v>Start_Date</v>
      </c>
      <c r="C1342" s="11" t="str">
        <f>IF(ISBLANK(ETLMetadata!$J1342), "", ETLMetadata!$J1342)</f>
        <v/>
      </c>
      <c r="D1342" s="11" t="str">
        <f>ETLMetadata!$G1342</f>
        <v>DATE</v>
      </c>
      <c r="E1342" s="12"/>
      <c r="F1342" s="12"/>
      <c r="G1342" s="12" t="str">
        <f t="shared" si="40"/>
        <v/>
      </c>
      <c r="H1342" s="12"/>
      <c r="I1342" s="12"/>
      <c r="J1342" s="13">
        <v>45952</v>
      </c>
      <c r="K1342" s="13">
        <v>2958465</v>
      </c>
      <c r="L1342" s="11" t="str">
        <f t="shared" si="41"/>
        <v>INSERT INTO metadata_reference.file_schema VALUES('KIDS_CHILD','Start_Date',NULL,'DATE',NULL,NULL,NULL,NULL,'2025-10-22','9999-12-31',USER, CURRENT_TIMESTAMP(0));</v>
      </c>
    </row>
    <row r="1343" spans="1:12" ht="15" customHeight="1">
      <c r="A1343" s="11" t="str">
        <f>ETLMetadata!$C1343</f>
        <v>KIDS_CHILD</v>
      </c>
      <c r="B1343" s="11" t="str">
        <f>ETLMetadata!$E1343</f>
        <v>End_Date</v>
      </c>
      <c r="C1343" s="11" t="str">
        <f>IF(ISBLANK(ETLMetadata!$J1343), "", ETLMetadata!$J1343)</f>
        <v/>
      </c>
      <c r="D1343" s="11" t="str">
        <f>ETLMetadata!$G1343</f>
        <v>DATE</v>
      </c>
      <c r="E1343" s="12"/>
      <c r="F1343" s="12"/>
      <c r="G1343" s="12" t="str">
        <f t="shared" si="40"/>
        <v/>
      </c>
      <c r="H1343" s="12"/>
      <c r="I1343" s="12"/>
      <c r="J1343" s="13">
        <v>45952</v>
      </c>
      <c r="K1343" s="13">
        <v>2958465</v>
      </c>
      <c r="L1343" s="11" t="str">
        <f t="shared" si="41"/>
        <v>INSERT INTO metadata_reference.file_schema VALUES('KIDS_CHILD','End_Date',NULL,'DATE',NULL,NULL,NULL,NULL,'2025-10-22','9999-12-31',USER, CURRENT_TIMESTAMP(0));</v>
      </c>
    </row>
    <row r="1344" spans="1:12" ht="15" customHeight="1">
      <c r="A1344" s="11" t="str">
        <f>ETLMetadata!$C1344</f>
        <v>KIDS_CHILD</v>
      </c>
      <c r="B1344" s="11" t="str">
        <f>ETLMetadata!$E1344</f>
        <v>Record_Deleted_Flag</v>
      </c>
      <c r="C1344" s="11" t="str">
        <f>IF(ISBLANK(ETLMetadata!$J1344), "", ETLMetadata!$J1344)</f>
        <v/>
      </c>
      <c r="D1344" s="11" t="str">
        <f>ETLMetadata!$G1344</f>
        <v>BYTEINT</v>
      </c>
      <c r="E1344" s="12"/>
      <c r="F1344" s="12"/>
      <c r="G1344" s="12" t="str">
        <f t="shared" si="40"/>
        <v/>
      </c>
      <c r="H1344" s="12"/>
      <c r="I1344" s="12"/>
      <c r="J1344" s="13">
        <v>45952</v>
      </c>
      <c r="K1344" s="13">
        <v>2958465</v>
      </c>
      <c r="L1344" s="11" t="str">
        <f t="shared" si="41"/>
        <v>INSERT INTO metadata_reference.file_schema VALUES('KIDS_CHILD','Record_Deleted_Flag',NULL,'BYTEINT',NULL,NULL,NULL,NULL,'2025-10-22','9999-12-31',USER, CURRENT_TIMESTAMP(0));</v>
      </c>
    </row>
    <row r="1345" spans="1:12" ht="15" customHeight="1">
      <c r="A1345" s="11" t="str">
        <f>ETLMetadata!$C1345</f>
        <v>KIDS_CHILD_CHFC</v>
      </c>
      <c r="B1345" s="11" t="str">
        <f>ETLMetadata!$E1345</f>
        <v>EXTRACT_DATE</v>
      </c>
      <c r="C1345" s="11" t="str">
        <f>IF(ISBLANK(ETLMetadata!$J1345), "", ETLMetadata!$J1345)</f>
        <v/>
      </c>
      <c r="D1345" s="11" t="str">
        <f>ETLMetadata!$G1345</f>
        <v>DATE</v>
      </c>
      <c r="E1345" s="12"/>
      <c r="F1345" s="12"/>
      <c r="G1345" s="12" t="str">
        <f t="shared" si="40"/>
        <v/>
      </c>
      <c r="H1345" s="12"/>
      <c r="I1345" s="12"/>
      <c r="J1345" s="13">
        <v>45952</v>
      </c>
      <c r="K1345" s="13">
        <v>2958465</v>
      </c>
      <c r="L1345" s="11" t="str">
        <f t="shared" si="41"/>
        <v>INSERT INTO metadata_reference.file_schema VALUES('KIDS_CHILD_CHFC','EXTRACT_DATE',NULL,'DATE',NULL,NULL,NULL,NULL,'2025-10-22','9999-12-31',USER, CURRENT_TIMESTAMP(0));</v>
      </c>
    </row>
    <row r="1346" spans="1:12" ht="15" customHeight="1">
      <c r="A1346" s="11" t="str">
        <f>ETLMetadata!$C1346</f>
        <v>KIDS_CHILD_CHFC</v>
      </c>
      <c r="B1346" s="11" t="str">
        <f>ETLMetadata!$E1346</f>
        <v>LOGICAL_DELETE_DATE</v>
      </c>
      <c r="C1346" s="11" t="str">
        <f>IF(ISBLANK(ETLMetadata!$J1346), "", ETLMetadata!$J1346)</f>
        <v/>
      </c>
      <c r="D1346" s="11" t="str">
        <f>ETLMetadata!$G1346</f>
        <v>DATE</v>
      </c>
      <c r="E1346" s="12"/>
      <c r="F1346" s="12"/>
      <c r="G1346" s="12" t="str">
        <f t="shared" si="40"/>
        <v/>
      </c>
      <c r="H1346" s="12"/>
      <c r="I1346" s="12"/>
      <c r="J1346" s="13">
        <v>45952</v>
      </c>
      <c r="K1346" s="13">
        <v>2958465</v>
      </c>
      <c r="L1346" s="11" t="str">
        <f t="shared" si="41"/>
        <v>INSERT INTO metadata_reference.file_schema VALUES('KIDS_CHILD_CHFC','LOGICAL_DELETE_DATE',NULL,'DATE',NULL,NULL,NULL,NULL,'2025-10-22','9999-12-31',USER, CURRENT_TIMESTAMP(0));</v>
      </c>
    </row>
    <row r="1347" spans="1:12" ht="15" customHeight="1">
      <c r="A1347" s="11" t="str">
        <f>ETLMetadata!$C1347</f>
        <v>KIDS_CHILD_CHFC</v>
      </c>
      <c r="B1347" s="11" t="str">
        <f>ETLMetadata!$E1347</f>
        <v>ENVIRONMENT_ID</v>
      </c>
      <c r="C1347" s="11" t="str">
        <f>IF(ISBLANK(ETLMetadata!$J1347), "", ETLMetadata!$J1347)</f>
        <v>Y</v>
      </c>
      <c r="D1347" s="11" t="str">
        <f>ETLMetadata!$G1347</f>
        <v>CHAR(1)</v>
      </c>
      <c r="E1347" s="12"/>
      <c r="F1347" s="12"/>
      <c r="G1347" s="12" t="str">
        <f t="shared" ref="G1347:G1410" si="42">UPPER($F1347)</f>
        <v/>
      </c>
      <c r="H1347" s="12"/>
      <c r="I1347" s="12"/>
      <c r="J1347" s="13">
        <v>45952</v>
      </c>
      <c r="K1347" s="13">
        <v>2958465</v>
      </c>
      <c r="L1347" s="11" t="str">
        <f t="shared" ref="L1347:L1410" si="43">CONCATENATE("INSERT INTO metadata_reference.file_schema VALUES('",TRIM(A1347),"','",TRIM(B1347),"',",IF(TRIM(C1347)="","NULL","'"&amp;TRIM(C1347)&amp;"'"),",'",TRIM(D1347),"',",IF(TRIM(E1347)="","NULL","'"&amp;TRIM(E1347)&amp;"'"),",",IF(TRIM(G1347)="","NULL","'"&amp;TRIM(G1347)&amp;"'"),",",IF(TRIM(H1347)="","NULL","'"&amp;TRIM(H1347)&amp;"'"),",",
IF(TRIM(I1347)="","NULL",TRIM(I1347)),",",IF(TRIM(J1347)="","NULL","'"&amp;TEXT(J1347,"yyyy-mm-dd")&amp;"'"),",",IF(TRIM(K1347)="","NULL","'"&amp;TEXT(K1347,"yyyy-mm-dd")&amp;"'"),",","USER, CURRENT_TIMESTAMP(0));")</f>
        <v>INSERT INTO metadata_reference.file_schema VALUES('KIDS_CHILD_CHFC','ENVIRONMENT_ID','Y','CHAR(1)',NULL,NULL,NULL,NULL,'2025-10-22','9999-12-31',USER, CURRENT_TIMESTAMP(0));</v>
      </c>
    </row>
    <row r="1348" spans="1:12" ht="15" customHeight="1">
      <c r="A1348" s="11" t="str">
        <f>ETLMetadata!$C1348</f>
        <v>KIDS_CHILD_CHFC</v>
      </c>
      <c r="B1348" s="11" t="str">
        <f>ETLMetadata!$E1348</f>
        <v>PERSON_ID</v>
      </c>
      <c r="C1348" s="11" t="str">
        <f>IF(ISBLANK(ETLMetadata!$J1348), "", ETLMetadata!$J1348)</f>
        <v>Y</v>
      </c>
      <c r="D1348" s="11" t="str">
        <f>ETLMetadata!$G1348</f>
        <v>INTEGER</v>
      </c>
      <c r="E1348" s="12"/>
      <c r="F1348" s="12" t="s">
        <v>800</v>
      </c>
      <c r="G1348" s="12" t="str">
        <f t="shared" si="42"/>
        <v>PERSONAL_IDENTITYINFODIRECT</v>
      </c>
      <c r="H1348" s="12"/>
      <c r="I1348" s="12"/>
      <c r="J1348" s="13">
        <v>45952</v>
      </c>
      <c r="K1348" s="13">
        <v>2958465</v>
      </c>
      <c r="L1348" s="11" t="str">
        <f t="shared" si="43"/>
        <v>INSERT INTO metadata_reference.file_schema VALUES('KIDS_CHILD_CHFC','PERSON_ID','Y','INTEGER',NULL,'PERSONAL_IDENTITYINFODIRECT',NULL,NULL,'2025-10-22','9999-12-31',USER, CURRENT_TIMESTAMP(0));</v>
      </c>
    </row>
    <row r="1349" spans="1:12" ht="15" customHeight="1">
      <c r="A1349" s="11" t="str">
        <f>ETLMetadata!$C1349</f>
        <v>KIDS_CHILD_CHFC</v>
      </c>
      <c r="B1349" s="11" t="str">
        <f>ETLMetadata!$E1349</f>
        <v>CHILD_SSR</v>
      </c>
      <c r="C1349" s="11" t="str">
        <f>IF(ISBLANK(ETLMetadata!$J1349), "", ETLMetadata!$J1349)</f>
        <v>Y</v>
      </c>
      <c r="D1349" s="11" t="str">
        <f>ETLMetadata!$G1349</f>
        <v>INTEGER</v>
      </c>
      <c r="E1349" s="12"/>
      <c r="F1349" s="12" t="s">
        <v>800</v>
      </c>
      <c r="G1349" s="12" t="str">
        <f t="shared" si="42"/>
        <v>PERSONAL_IDENTITYINFODIRECT</v>
      </c>
      <c r="H1349" s="12"/>
      <c r="I1349" s="12"/>
      <c r="J1349" s="13">
        <v>45952</v>
      </c>
      <c r="K1349" s="13">
        <v>2958465</v>
      </c>
      <c r="L1349" s="11" t="str">
        <f t="shared" si="43"/>
        <v>INSERT INTO metadata_reference.file_schema VALUES('KIDS_CHILD_CHFC','CHILD_SSR','Y','INTEGER',NULL,'PERSONAL_IDENTITYINFODIRECT',NULL,NULL,'2025-10-22','9999-12-31',USER, CURRENT_TIMESTAMP(0));</v>
      </c>
    </row>
    <row r="1350" spans="1:12" ht="15" customHeight="1">
      <c r="A1350" s="11" t="str">
        <f>ETLMetadata!$C1350</f>
        <v>KIDS_CHILD_CHFC</v>
      </c>
      <c r="B1350" s="11" t="str">
        <f>ETLMetadata!$E1350</f>
        <v>CHFC_DOV</v>
      </c>
      <c r="C1350" s="11" t="str">
        <f>IF(ISBLANK(ETLMetadata!$J1350), "", ETLMetadata!$J1350)</f>
        <v/>
      </c>
      <c r="D1350" s="11" t="str">
        <f>ETLMetadata!$G1350</f>
        <v>DATE</v>
      </c>
      <c r="E1350" s="12"/>
      <c r="F1350" s="12"/>
      <c r="G1350" s="12" t="str">
        <f t="shared" si="42"/>
        <v/>
      </c>
      <c r="H1350" s="12"/>
      <c r="I1350" s="12"/>
      <c r="J1350" s="13">
        <v>45952</v>
      </c>
      <c r="K1350" s="13">
        <v>2958465</v>
      </c>
      <c r="L1350" s="11" t="str">
        <f t="shared" si="43"/>
        <v>INSERT INTO metadata_reference.file_schema VALUES('KIDS_CHILD_CHFC','CHFC_DOV',NULL,'DATE',NULL,NULL,NULL,NULL,'2025-10-22','9999-12-31',USER, CURRENT_TIMESTAMP(0));</v>
      </c>
    </row>
    <row r="1351" spans="1:12" ht="15" customHeight="1">
      <c r="A1351" s="11" t="str">
        <f>ETLMetadata!$C1351</f>
        <v>KIDS_CHILD_CHFC</v>
      </c>
      <c r="B1351" s="11" t="str">
        <f>ETLMetadata!$E1351</f>
        <v>CHFC_DOV_ORIG</v>
      </c>
      <c r="C1351" s="11" t="str">
        <f>IF(ISBLANK(ETLMetadata!$J1351), "", ETLMetadata!$J1351)</f>
        <v/>
      </c>
      <c r="D1351" s="11" t="str">
        <f>ETLMetadata!$G1351</f>
        <v>INTEGER</v>
      </c>
      <c r="E1351" s="12"/>
      <c r="F1351" s="12"/>
      <c r="G1351" s="12" t="str">
        <f t="shared" si="42"/>
        <v/>
      </c>
      <c r="H1351" s="12"/>
      <c r="I1351" s="12"/>
      <c r="J1351" s="13">
        <v>45952</v>
      </c>
      <c r="K1351" s="13">
        <v>2958465</v>
      </c>
      <c r="L1351" s="11" t="str">
        <f t="shared" si="43"/>
        <v>INSERT INTO metadata_reference.file_schema VALUES('KIDS_CHILD_CHFC','CHFC_DOV_ORIG',NULL,'INTEGER',NULL,NULL,NULL,NULL,'2025-10-22','9999-12-31',USER, CURRENT_TIMESTAMP(0));</v>
      </c>
    </row>
    <row r="1352" spans="1:12" ht="15" customHeight="1">
      <c r="A1352" s="11" t="str">
        <f>ETLMetadata!$C1352</f>
        <v>KIDS_CHILD_CHFC</v>
      </c>
      <c r="B1352" s="11" t="str">
        <f>ETLMetadata!$E1352</f>
        <v>PROCESSING_SEQUENCE</v>
      </c>
      <c r="C1352" s="11" t="str">
        <f>IF(ISBLANK(ETLMetadata!$J1352), "", ETLMetadata!$J1352)</f>
        <v>Y</v>
      </c>
      <c r="D1352" s="11" t="str">
        <f>ETLMetadata!$G1352</f>
        <v>SMALLINT</v>
      </c>
      <c r="E1352" s="12"/>
      <c r="F1352" s="12"/>
      <c r="G1352" s="12" t="str">
        <f t="shared" si="42"/>
        <v/>
      </c>
      <c r="H1352" s="12"/>
      <c r="I1352" s="12"/>
      <c r="J1352" s="13">
        <v>45952</v>
      </c>
      <c r="K1352" s="13">
        <v>2958465</v>
      </c>
      <c r="L1352" s="11" t="str">
        <f t="shared" si="43"/>
        <v>INSERT INTO metadata_reference.file_schema VALUES('KIDS_CHILD_CHFC','PROCESSING_SEQUENCE','Y','SMALLINT',NULL,NULL,NULL,NULL,'2025-10-22','9999-12-31',USER, CURRENT_TIMESTAMP(0));</v>
      </c>
    </row>
    <row r="1353" spans="1:12" ht="15" customHeight="1">
      <c r="A1353" s="11" t="str">
        <f>ETLMetadata!$C1353</f>
        <v>KIDS_CHILD_CHFC</v>
      </c>
      <c r="B1353" s="11" t="str">
        <f>ETLMetadata!$E1353</f>
        <v>CHFC_AMR_1</v>
      </c>
      <c r="C1353" s="11" t="str">
        <f>IF(ISBLANK(ETLMetadata!$J1353), "", ETLMetadata!$J1353)</f>
        <v/>
      </c>
      <c r="D1353" s="11" t="str">
        <f>ETLMetadata!$G1353</f>
        <v>CHAR(4)</v>
      </c>
      <c r="E1353" s="12"/>
      <c r="F1353" s="12"/>
      <c r="G1353" s="12" t="str">
        <f t="shared" si="42"/>
        <v/>
      </c>
      <c r="H1353" s="12"/>
      <c r="I1353" s="12"/>
      <c r="J1353" s="13">
        <v>45952</v>
      </c>
      <c r="K1353" s="13">
        <v>2958465</v>
      </c>
      <c r="L1353" s="11" t="str">
        <f t="shared" si="43"/>
        <v>INSERT INTO metadata_reference.file_schema VALUES('KIDS_CHILD_CHFC','CHFC_AMR_1',NULL,'CHAR(4)',NULL,NULL,NULL,NULL,'2025-10-22','9999-12-31',USER, CURRENT_TIMESTAMP(0));</v>
      </c>
    </row>
    <row r="1354" spans="1:12" ht="15" customHeight="1">
      <c r="A1354" s="11" t="str">
        <f>ETLMetadata!$C1354</f>
        <v>KIDS_CHILD_CHFC</v>
      </c>
      <c r="B1354" s="11" t="str">
        <f>ETLMetadata!$E1354</f>
        <v>CHFC_AMR_2</v>
      </c>
      <c r="C1354" s="11" t="str">
        <f>IF(ISBLANK(ETLMetadata!$J1354), "", ETLMetadata!$J1354)</f>
        <v/>
      </c>
      <c r="D1354" s="11" t="str">
        <f>ETLMetadata!$G1354</f>
        <v>CHAR(1)</v>
      </c>
      <c r="E1354" s="12"/>
      <c r="F1354" s="12"/>
      <c r="G1354" s="12" t="str">
        <f t="shared" si="42"/>
        <v/>
      </c>
      <c r="H1354" s="12"/>
      <c r="I1354" s="12"/>
      <c r="J1354" s="13">
        <v>45952</v>
      </c>
      <c r="K1354" s="13">
        <v>2958465</v>
      </c>
      <c r="L1354" s="11" t="str">
        <f t="shared" si="43"/>
        <v>INSERT INTO metadata_reference.file_schema VALUES('KIDS_CHILD_CHFC','CHFC_AMR_2',NULL,'CHAR(1)',NULL,NULL,NULL,NULL,'2025-10-22','9999-12-31',USER, CURRENT_TIMESTAMP(0));</v>
      </c>
    </row>
    <row r="1355" spans="1:12" ht="15" customHeight="1">
      <c r="A1355" s="11" t="str">
        <f>ETLMetadata!$C1355</f>
        <v>KIDS_CHILD_CHFC</v>
      </c>
      <c r="B1355" s="11" t="str">
        <f>ETLMetadata!$E1355</f>
        <v>CHFC_AMR_3</v>
      </c>
      <c r="C1355" s="11" t="str">
        <f>IF(ISBLANK(ETLMetadata!$J1355), "", ETLMetadata!$J1355)</f>
        <v/>
      </c>
      <c r="D1355" s="11" t="str">
        <f>ETLMetadata!$G1355</f>
        <v>CHAR(4)</v>
      </c>
      <c r="E1355" s="12"/>
      <c r="F1355" s="12"/>
      <c r="G1355" s="12" t="str">
        <f t="shared" si="42"/>
        <v/>
      </c>
      <c r="H1355" s="12"/>
      <c r="I1355" s="12"/>
      <c r="J1355" s="13">
        <v>45952</v>
      </c>
      <c r="K1355" s="13">
        <v>2958465</v>
      </c>
      <c r="L1355" s="11" t="str">
        <f t="shared" si="43"/>
        <v>INSERT INTO metadata_reference.file_schema VALUES('KIDS_CHILD_CHFC','CHFC_AMR_3',NULL,'CHAR(4)',NULL,NULL,NULL,NULL,'2025-10-22','9999-12-31',USER, CURRENT_TIMESTAMP(0));</v>
      </c>
    </row>
    <row r="1356" spans="1:12" ht="15" customHeight="1">
      <c r="A1356" s="11" t="str">
        <f>ETLMetadata!$C1356</f>
        <v>KIDS_CHILD_CHFC</v>
      </c>
      <c r="B1356" s="11" t="str">
        <f>ETLMetadata!$E1356</f>
        <v>CHFC_FOSTER_CARE_MI_TYPE_CODE</v>
      </c>
      <c r="C1356" s="11" t="str">
        <f>IF(ISBLANK(ETLMetadata!$J1356), "", ETLMetadata!$J1356)</f>
        <v/>
      </c>
      <c r="D1356" s="11" t="str">
        <f>ETLMetadata!$G1356</f>
        <v>CHAR(3)</v>
      </c>
      <c r="E1356" s="12"/>
      <c r="F1356" s="12"/>
      <c r="G1356" s="12" t="str">
        <f t="shared" si="42"/>
        <v/>
      </c>
      <c r="H1356" s="12"/>
      <c r="I1356" s="12"/>
      <c r="J1356" s="13">
        <v>45952</v>
      </c>
      <c r="K1356" s="13">
        <v>2958465</v>
      </c>
      <c r="L1356" s="11" t="str">
        <f t="shared" si="43"/>
        <v>INSERT INTO metadata_reference.file_schema VALUES('KIDS_CHILD_CHFC','CHFC_FOSTER_CARE_MI_TYPE_CODE',NULL,'CHAR(3)',NULL,NULL,NULL,NULL,'2025-10-22','9999-12-31',USER, CURRENT_TIMESTAMP(0));</v>
      </c>
    </row>
    <row r="1357" spans="1:12" ht="15" customHeight="1">
      <c r="A1357" s="11" t="str">
        <f>ETLMetadata!$C1357</f>
        <v>KIDS_CHILD_CHFC</v>
      </c>
      <c r="B1357" s="11" t="str">
        <f>ETLMetadata!$E1357</f>
        <v>CHFC_FOSTER_CHILD_IND</v>
      </c>
      <c r="C1357" s="11" t="str">
        <f>IF(ISBLANK(ETLMetadata!$J1357), "", ETLMetadata!$J1357)</f>
        <v/>
      </c>
      <c r="D1357" s="11" t="str">
        <f>ETLMetadata!$G1357</f>
        <v>CHAR(1)</v>
      </c>
      <c r="E1357" s="12"/>
      <c r="F1357" s="12"/>
      <c r="G1357" s="12" t="str">
        <f t="shared" si="42"/>
        <v/>
      </c>
      <c r="H1357" s="12"/>
      <c r="I1357" s="12"/>
      <c r="J1357" s="13">
        <v>45952</v>
      </c>
      <c r="K1357" s="13">
        <v>2958465</v>
      </c>
      <c r="L1357" s="11" t="str">
        <f t="shared" si="43"/>
        <v>INSERT INTO metadata_reference.file_schema VALUES('KIDS_CHILD_CHFC','CHFC_FOSTER_CHILD_IND',NULL,'CHAR(1)',NULL,NULL,NULL,NULL,'2025-10-22','9999-12-31',USER, CURRENT_TIMESTAMP(0));</v>
      </c>
    </row>
    <row r="1358" spans="1:12" ht="15" customHeight="1">
      <c r="A1358" s="11" t="str">
        <f>ETLMetadata!$C1358</f>
        <v>KIDS_CHILD_CHFC</v>
      </c>
      <c r="B1358" s="11" t="str">
        <f>ETLMetadata!$E1358</f>
        <v>CHFC_FOSTER_CHILD_ORIG_FAM_IND</v>
      </c>
      <c r="C1358" s="11" t="str">
        <f>IF(ISBLANK(ETLMetadata!$J1358), "", ETLMetadata!$J1358)</f>
        <v/>
      </c>
      <c r="D1358" s="11" t="str">
        <f>ETLMetadata!$G1358</f>
        <v>CHAR(1)</v>
      </c>
      <c r="E1358" s="12"/>
      <c r="F1358" s="12"/>
      <c r="G1358" s="12" t="str">
        <f t="shared" si="42"/>
        <v/>
      </c>
      <c r="H1358" s="12"/>
      <c r="I1358" s="12"/>
      <c r="J1358" s="13">
        <v>45952</v>
      </c>
      <c r="K1358" s="13">
        <v>2958465</v>
      </c>
      <c r="L1358" s="11" t="str">
        <f t="shared" si="43"/>
        <v>INSERT INTO metadata_reference.file_schema VALUES('KIDS_CHILD_CHFC','CHFC_FOSTER_CHILD_ORIG_FAM_IND',NULL,'CHAR(1)',NULL,NULL,NULL,NULL,'2025-10-22','9999-12-31',USER, CURRENT_TIMESTAMP(0));</v>
      </c>
    </row>
    <row r="1359" spans="1:12" ht="15" customHeight="1">
      <c r="A1359" s="11" t="str">
        <f>ETLMetadata!$C1359</f>
        <v>KIDS_CHILD_CHFC</v>
      </c>
      <c r="B1359" s="11" t="str">
        <f>ETLMetadata!$E1359</f>
        <v>CHFC_UNIQ_ID</v>
      </c>
      <c r="C1359" s="11" t="str">
        <f>IF(ISBLANK(ETLMetadata!$J1359), "", ETLMetadata!$J1359)</f>
        <v/>
      </c>
      <c r="D1359" s="11" t="str">
        <f>ETLMetadata!$G1359</f>
        <v>VARCHAR(8)</v>
      </c>
      <c r="E1359" s="12"/>
      <c r="F1359" s="12"/>
      <c r="G1359" s="12" t="str">
        <f t="shared" si="42"/>
        <v/>
      </c>
      <c r="H1359" s="12"/>
      <c r="I1359" s="12"/>
      <c r="J1359" s="13">
        <v>45952</v>
      </c>
      <c r="K1359" s="13">
        <v>2958465</v>
      </c>
      <c r="L1359" s="11" t="str">
        <f t="shared" si="43"/>
        <v>INSERT INTO metadata_reference.file_schema VALUES('KIDS_CHILD_CHFC','CHFC_UNIQ_ID',NULL,'VARCHAR(8)',NULL,NULL,NULL,NULL,'2025-10-22','9999-12-31',USER, CURRENT_TIMESTAMP(0));</v>
      </c>
    </row>
    <row r="1360" spans="1:12" ht="15" customHeight="1">
      <c r="A1360" s="11" t="str">
        <f>ETLMetadata!$C1360</f>
        <v>KIDS_CHILD_CHFC</v>
      </c>
      <c r="B1360" s="11" t="str">
        <f>ETLMetadata!$E1360</f>
        <v>AMR1_RISL_DTS</v>
      </c>
      <c r="C1360" s="11" t="str">
        <f>IF(ISBLANK(ETLMetadata!$J1360), "", ETLMetadata!$J1360)</f>
        <v/>
      </c>
      <c r="D1360" s="11" t="str">
        <f>ETLMetadata!$G1360</f>
        <v>TIMESTAMP(6)</v>
      </c>
      <c r="E1360" s="12"/>
      <c r="F1360" s="12"/>
      <c r="G1360" s="12" t="str">
        <f t="shared" si="42"/>
        <v/>
      </c>
      <c r="H1360" s="12"/>
      <c r="I1360" s="12"/>
      <c r="J1360" s="13">
        <v>45952</v>
      </c>
      <c r="K1360" s="13">
        <v>2958465</v>
      </c>
      <c r="L1360" s="11" t="str">
        <f t="shared" si="43"/>
        <v>INSERT INTO metadata_reference.file_schema VALUES('KIDS_CHILD_CHFC','AMR1_RISL_DTS',NULL,'TIMESTAMP(6)',NULL,NULL,NULL,NULL,'2025-10-22','9999-12-31',USER, CURRENT_TIMESTAMP(0));</v>
      </c>
    </row>
    <row r="1361" spans="1:12" ht="15" customHeight="1">
      <c r="A1361" s="11" t="str">
        <f>ETLMetadata!$C1361</f>
        <v>KIDS_CHILD_CHFC</v>
      </c>
      <c r="B1361" s="11" t="str">
        <f>ETLMetadata!$E1361</f>
        <v>AMR3_RISL_DTS</v>
      </c>
      <c r="C1361" s="11" t="str">
        <f>IF(ISBLANK(ETLMetadata!$J1361), "", ETLMetadata!$J1361)</f>
        <v/>
      </c>
      <c r="D1361" s="11" t="str">
        <f>ETLMetadata!$G1361</f>
        <v>TIMESTAMP(6)</v>
      </c>
      <c r="E1361" s="12"/>
      <c r="F1361" s="12"/>
      <c r="G1361" s="12" t="str">
        <f t="shared" si="42"/>
        <v/>
      </c>
      <c r="H1361" s="12"/>
      <c r="I1361" s="12"/>
      <c r="J1361" s="13">
        <v>45952</v>
      </c>
      <c r="K1361" s="13">
        <v>2958465</v>
      </c>
      <c r="L1361" s="11" t="str">
        <f t="shared" si="43"/>
        <v>INSERT INTO metadata_reference.file_schema VALUES('KIDS_CHILD_CHFC','AMR3_RISL_DTS',NULL,'TIMESTAMP(6)',NULL,NULL,NULL,NULL,'2025-10-22','9999-12-31',USER, CURRENT_TIMESTAMP(0));</v>
      </c>
    </row>
    <row r="1362" spans="1:12" ht="15" customHeight="1">
      <c r="A1362" s="11" t="str">
        <f>ETLMetadata!$C1362</f>
        <v>KIDS_CHILD_CHFC</v>
      </c>
      <c r="B1362" s="11" t="str">
        <f>ETLMetadata!$E1362</f>
        <v>CHILD_PARTY_ROLE_ID</v>
      </c>
      <c r="C1362" s="11" t="str">
        <f>IF(ISBLANK(ETLMetadata!$J1362), "", ETLMetadata!$J1362)</f>
        <v/>
      </c>
      <c r="D1362" s="11" t="str">
        <f>ETLMetadata!$G1362</f>
        <v>INTEGER</v>
      </c>
      <c r="E1362" s="12"/>
      <c r="F1362" s="12"/>
      <c r="G1362" s="12" t="str">
        <f t="shared" si="42"/>
        <v/>
      </c>
      <c r="H1362" s="12"/>
      <c r="I1362" s="12"/>
      <c r="J1362" s="13">
        <v>45952</v>
      </c>
      <c r="K1362" s="13">
        <v>2958465</v>
      </c>
      <c r="L1362" s="11" t="str">
        <f t="shared" si="43"/>
        <v>INSERT INTO metadata_reference.file_schema VALUES('KIDS_CHILD_CHFC','CHILD_PARTY_ROLE_ID',NULL,'INTEGER',NULL,NULL,NULL,NULL,'2025-10-22','9999-12-31',USER, CURRENT_TIMESTAMP(0));</v>
      </c>
    </row>
    <row r="1363" spans="1:12" ht="15" customHeight="1">
      <c r="A1363" s="11" t="str">
        <f>ETLMetadata!$C1363</f>
        <v>KIDS_CHILD_CHFC</v>
      </c>
      <c r="B1363" s="11" t="str">
        <f>ETLMetadata!$E1363</f>
        <v>PARTY_ROLE_ID</v>
      </c>
      <c r="C1363" s="11" t="str">
        <f>IF(ISBLANK(ETLMetadata!$J1363), "", ETLMetadata!$J1363)</f>
        <v/>
      </c>
      <c r="D1363" s="11" t="str">
        <f>ETLMetadata!$G1363</f>
        <v>INTEGER</v>
      </c>
      <c r="E1363" s="12"/>
      <c r="F1363" s="12"/>
      <c r="G1363" s="12" t="str">
        <f t="shared" si="42"/>
        <v/>
      </c>
      <c r="H1363" s="12"/>
      <c r="I1363" s="12"/>
      <c r="J1363" s="13">
        <v>45952</v>
      </c>
      <c r="K1363" s="13">
        <v>2958465</v>
      </c>
      <c r="L1363" s="11" t="str">
        <f t="shared" si="43"/>
        <v>INSERT INTO metadata_reference.file_schema VALUES('KIDS_CHILD_CHFC','PARTY_ROLE_ID',NULL,'INTEGER',NULL,NULL,NULL,NULL,'2025-10-22','9999-12-31',USER, CURRENT_TIMESTAMP(0));</v>
      </c>
    </row>
    <row r="1364" spans="1:12" ht="15" customHeight="1">
      <c r="A1364" s="11" t="str">
        <f>ETLMetadata!$C1364</f>
        <v>KIDS_CHILD_CHFC</v>
      </c>
      <c r="B1364" s="11" t="str">
        <f>ETLMetadata!$E1364</f>
        <v>RELATED_PARTY_ROLE_ID</v>
      </c>
      <c r="C1364" s="11" t="str">
        <f>IF(ISBLANK(ETLMetadata!$J1364), "", ETLMetadata!$J1364)</f>
        <v/>
      </c>
      <c r="D1364" s="11" t="str">
        <f>ETLMetadata!$G1364</f>
        <v>INTEGER</v>
      </c>
      <c r="E1364" s="12"/>
      <c r="F1364" s="12"/>
      <c r="G1364" s="12" t="str">
        <f t="shared" si="42"/>
        <v/>
      </c>
      <c r="H1364" s="12"/>
      <c r="I1364" s="12"/>
      <c r="J1364" s="13">
        <v>45952</v>
      </c>
      <c r="K1364" s="13">
        <v>2958465</v>
      </c>
      <c r="L1364" s="11" t="str">
        <f t="shared" si="43"/>
        <v>INSERT INTO metadata_reference.file_schema VALUES('KIDS_CHILD_CHFC','RELATED_PARTY_ROLE_ID',NULL,'INTEGER',NULL,NULL,NULL,NULL,'2025-10-22','9999-12-31',USER, CURRENT_TIMESTAMP(0));</v>
      </c>
    </row>
    <row r="1365" spans="1:12" ht="15" customHeight="1">
      <c r="A1365" s="11" t="str">
        <f>ETLMetadata!$C1365</f>
        <v>KIDS_CHILD_CHFC</v>
      </c>
      <c r="B1365" s="11" t="str">
        <f>ETLMetadata!$E1365</f>
        <v>ERROR_COUNT</v>
      </c>
      <c r="C1365" s="11" t="str">
        <f>IF(ISBLANK(ETLMetadata!$J1365), "", ETLMetadata!$J1365)</f>
        <v/>
      </c>
      <c r="D1365" s="11" t="str">
        <f>ETLMetadata!$G1365</f>
        <v>SMALLINT</v>
      </c>
      <c r="E1365" s="12"/>
      <c r="F1365" s="12"/>
      <c r="G1365" s="12" t="str">
        <f t="shared" si="42"/>
        <v/>
      </c>
      <c r="H1365" s="12"/>
      <c r="I1365" s="12"/>
      <c r="J1365" s="13">
        <v>45952</v>
      </c>
      <c r="K1365" s="13">
        <v>2958465</v>
      </c>
      <c r="L1365" s="11" t="str">
        <f t="shared" si="43"/>
        <v>INSERT INTO metadata_reference.file_schema VALUES('KIDS_CHILD_CHFC','ERROR_COUNT',NULL,'SMALLINT',NULL,NULL,NULL,NULL,'2025-10-22','9999-12-31',USER, CURRENT_TIMESTAMP(0));</v>
      </c>
    </row>
    <row r="1366" spans="1:12" ht="15" customHeight="1">
      <c r="A1366" s="11" t="str">
        <f>ETLMetadata!$C1366</f>
        <v>KIDS_CHILD_CHFC</v>
      </c>
      <c r="B1366" s="11" t="str">
        <f>ETLMetadata!$E1366</f>
        <v>Start_Date</v>
      </c>
      <c r="C1366" s="11" t="str">
        <f>IF(ISBLANK(ETLMetadata!$J1366), "", ETLMetadata!$J1366)</f>
        <v/>
      </c>
      <c r="D1366" s="11" t="str">
        <f>ETLMetadata!$G1366</f>
        <v>DATE</v>
      </c>
      <c r="E1366" s="12"/>
      <c r="F1366" s="12"/>
      <c r="G1366" s="12" t="str">
        <f t="shared" si="42"/>
        <v/>
      </c>
      <c r="H1366" s="12"/>
      <c r="I1366" s="12"/>
      <c r="J1366" s="13">
        <v>45952</v>
      </c>
      <c r="K1366" s="13">
        <v>2958465</v>
      </c>
      <c r="L1366" s="11" t="str">
        <f t="shared" si="43"/>
        <v>INSERT INTO metadata_reference.file_schema VALUES('KIDS_CHILD_CHFC','Start_Date',NULL,'DATE',NULL,NULL,NULL,NULL,'2025-10-22','9999-12-31',USER, CURRENT_TIMESTAMP(0));</v>
      </c>
    </row>
    <row r="1367" spans="1:12" ht="15" customHeight="1">
      <c r="A1367" s="11" t="str">
        <f>ETLMetadata!$C1367</f>
        <v>KIDS_CHILD_CHFC</v>
      </c>
      <c r="B1367" s="11" t="str">
        <f>ETLMetadata!$E1367</f>
        <v>End_Date</v>
      </c>
      <c r="C1367" s="11" t="str">
        <f>IF(ISBLANK(ETLMetadata!$J1367), "", ETLMetadata!$J1367)</f>
        <v/>
      </c>
      <c r="D1367" s="11" t="str">
        <f>ETLMetadata!$G1367</f>
        <v>DATE</v>
      </c>
      <c r="E1367" s="12"/>
      <c r="F1367" s="12"/>
      <c r="G1367" s="12" t="str">
        <f t="shared" si="42"/>
        <v/>
      </c>
      <c r="H1367" s="12"/>
      <c r="I1367" s="12"/>
      <c r="J1367" s="13">
        <v>45952</v>
      </c>
      <c r="K1367" s="13">
        <v>2958465</v>
      </c>
      <c r="L1367" s="11" t="str">
        <f t="shared" si="43"/>
        <v>INSERT INTO metadata_reference.file_schema VALUES('KIDS_CHILD_CHFC','End_Date',NULL,'DATE',NULL,NULL,NULL,NULL,'2025-10-22','9999-12-31',USER, CURRENT_TIMESTAMP(0));</v>
      </c>
    </row>
    <row r="1368" spans="1:12" ht="15" customHeight="1">
      <c r="A1368" s="11" t="str">
        <f>ETLMetadata!$C1368</f>
        <v>KIDS_CHILD_CHFC</v>
      </c>
      <c r="B1368" s="11" t="str">
        <f>ETLMetadata!$E1368</f>
        <v>Record_Deleted_Flag</v>
      </c>
      <c r="C1368" s="11" t="str">
        <f>IF(ISBLANK(ETLMetadata!$J1368), "", ETLMetadata!$J1368)</f>
        <v/>
      </c>
      <c r="D1368" s="11" t="str">
        <f>ETLMetadata!$G1368</f>
        <v>BYTEINT</v>
      </c>
      <c r="E1368" s="12"/>
      <c r="F1368" s="12"/>
      <c r="G1368" s="12" t="str">
        <f t="shared" si="42"/>
        <v/>
      </c>
      <c r="H1368" s="12"/>
      <c r="I1368" s="12"/>
      <c r="J1368" s="13">
        <v>45952</v>
      </c>
      <c r="K1368" s="13">
        <v>2958465</v>
      </c>
      <c r="L1368" s="11" t="str">
        <f t="shared" si="43"/>
        <v>INSERT INTO metadata_reference.file_schema VALUES('KIDS_CHILD_CHFC','Record_Deleted_Flag',NULL,'BYTEINT',NULL,NULL,NULL,NULL,'2025-10-22','9999-12-31',USER, CURRENT_TIMESTAMP(0));</v>
      </c>
    </row>
    <row r="1369" spans="1:12" ht="15" customHeight="1">
      <c r="A1369" s="11" t="str">
        <f>ETLMetadata!$C1369</f>
        <v>KIDS_CHILD_CHGP</v>
      </c>
      <c r="B1369" s="11" t="str">
        <f>ETLMetadata!$E1369</f>
        <v>EXTRACT_DATE</v>
      </c>
      <c r="C1369" s="11" t="str">
        <f>IF(ISBLANK(ETLMetadata!$J1369), "", ETLMetadata!$J1369)</f>
        <v/>
      </c>
      <c r="D1369" s="11" t="str">
        <f>ETLMetadata!$G1369</f>
        <v>DATE</v>
      </c>
      <c r="E1369" s="12"/>
      <c r="F1369" s="12"/>
      <c r="G1369" s="12" t="str">
        <f t="shared" si="42"/>
        <v/>
      </c>
      <c r="H1369" s="12"/>
      <c r="I1369" s="12"/>
      <c r="J1369" s="13">
        <v>45952</v>
      </c>
      <c r="K1369" s="13">
        <v>2958465</v>
      </c>
      <c r="L1369" s="11" t="str">
        <f t="shared" si="43"/>
        <v>INSERT INTO metadata_reference.file_schema VALUES('KIDS_CHILD_CHGP','EXTRACT_DATE',NULL,'DATE',NULL,NULL,NULL,NULL,'2025-10-22','9999-12-31',USER, CURRENT_TIMESTAMP(0));</v>
      </c>
    </row>
    <row r="1370" spans="1:12" ht="15" customHeight="1">
      <c r="A1370" s="11" t="str">
        <f>ETLMetadata!$C1370</f>
        <v>KIDS_CHILD_CHGP</v>
      </c>
      <c r="B1370" s="11" t="str">
        <f>ETLMetadata!$E1370</f>
        <v>LOGICAL_DELETE_DATE</v>
      </c>
      <c r="C1370" s="11" t="str">
        <f>IF(ISBLANK(ETLMetadata!$J1370), "", ETLMetadata!$J1370)</f>
        <v/>
      </c>
      <c r="D1370" s="11" t="str">
        <f>ETLMetadata!$G1370</f>
        <v>DATE</v>
      </c>
      <c r="E1370" s="12"/>
      <c r="F1370" s="12"/>
      <c r="G1370" s="12" t="str">
        <f t="shared" si="42"/>
        <v/>
      </c>
      <c r="H1370" s="12"/>
      <c r="I1370" s="12"/>
      <c r="J1370" s="13">
        <v>45952</v>
      </c>
      <c r="K1370" s="13">
        <v>2958465</v>
      </c>
      <c r="L1370" s="11" t="str">
        <f t="shared" si="43"/>
        <v>INSERT INTO metadata_reference.file_schema VALUES('KIDS_CHILD_CHGP','LOGICAL_DELETE_DATE',NULL,'DATE',NULL,NULL,NULL,NULL,'2025-10-22','9999-12-31',USER, CURRENT_TIMESTAMP(0));</v>
      </c>
    </row>
    <row r="1371" spans="1:12" ht="15" customHeight="1">
      <c r="A1371" s="11" t="str">
        <f>ETLMetadata!$C1371</f>
        <v>KIDS_CHILD_CHGP</v>
      </c>
      <c r="B1371" s="11" t="str">
        <f>ETLMetadata!$E1371</f>
        <v>ENVIRONMENT_ID</v>
      </c>
      <c r="C1371" s="11" t="str">
        <f>IF(ISBLANK(ETLMetadata!$J1371), "", ETLMetadata!$J1371)</f>
        <v>Y</v>
      </c>
      <c r="D1371" s="11" t="str">
        <f>ETLMetadata!$G1371</f>
        <v>CHAR(1)</v>
      </c>
      <c r="E1371" s="12"/>
      <c r="F1371" s="12"/>
      <c r="G1371" s="12" t="str">
        <f t="shared" si="42"/>
        <v/>
      </c>
      <c r="H1371" s="12"/>
      <c r="I1371" s="12"/>
      <c r="J1371" s="13">
        <v>45952</v>
      </c>
      <c r="K1371" s="13">
        <v>2958465</v>
      </c>
      <c r="L1371" s="11" t="str">
        <f t="shared" si="43"/>
        <v>INSERT INTO metadata_reference.file_schema VALUES('KIDS_CHILD_CHGP','ENVIRONMENT_ID','Y','CHAR(1)',NULL,NULL,NULL,NULL,'2025-10-22','9999-12-31',USER, CURRENT_TIMESTAMP(0));</v>
      </c>
    </row>
    <row r="1372" spans="1:12" ht="15" customHeight="1">
      <c r="A1372" s="11" t="str">
        <f>ETLMetadata!$C1372</f>
        <v>KIDS_CHILD_CHGP</v>
      </c>
      <c r="B1372" s="11" t="str">
        <f>ETLMetadata!$E1372</f>
        <v>PERSON_ID</v>
      </c>
      <c r="C1372" s="11" t="str">
        <f>IF(ISBLANK(ETLMetadata!$J1372), "", ETLMetadata!$J1372)</f>
        <v>Y</v>
      </c>
      <c r="D1372" s="11" t="str">
        <f>ETLMetadata!$G1372</f>
        <v>INTEGER</v>
      </c>
      <c r="E1372" s="12"/>
      <c r="F1372" s="12" t="s">
        <v>800</v>
      </c>
      <c r="G1372" s="12" t="str">
        <f t="shared" si="42"/>
        <v>PERSONAL_IDENTITYINFODIRECT</v>
      </c>
      <c r="H1372" s="12"/>
      <c r="I1372" s="12"/>
      <c r="J1372" s="13">
        <v>45952</v>
      </c>
      <c r="K1372" s="13">
        <v>2958465</v>
      </c>
      <c r="L1372" s="11" t="str">
        <f t="shared" si="43"/>
        <v>INSERT INTO metadata_reference.file_schema VALUES('KIDS_CHILD_CHGP','PERSON_ID','Y','INTEGER',NULL,'PERSONAL_IDENTITYINFODIRECT',NULL,NULL,'2025-10-22','9999-12-31',USER, CURRENT_TIMESTAMP(0));</v>
      </c>
    </row>
    <row r="1373" spans="1:12" ht="15" customHeight="1">
      <c r="A1373" s="11" t="str">
        <f>ETLMetadata!$C1373</f>
        <v>KIDS_CHILD_CHGP</v>
      </c>
      <c r="B1373" s="11" t="str">
        <f>ETLMetadata!$E1373</f>
        <v>CHILD_SSR</v>
      </c>
      <c r="C1373" s="11" t="str">
        <f>IF(ISBLANK(ETLMetadata!$J1373), "", ETLMetadata!$J1373)</f>
        <v>Y</v>
      </c>
      <c r="D1373" s="11" t="str">
        <f>ETLMetadata!$G1373</f>
        <v>INTEGER</v>
      </c>
      <c r="E1373" s="12"/>
      <c r="F1373" s="12" t="s">
        <v>800</v>
      </c>
      <c r="G1373" s="12" t="str">
        <f t="shared" si="42"/>
        <v>PERSONAL_IDENTITYINFODIRECT</v>
      </c>
      <c r="H1373" s="12"/>
      <c r="I1373" s="12"/>
      <c r="J1373" s="13">
        <v>45952</v>
      </c>
      <c r="K1373" s="13">
        <v>2958465</v>
      </c>
      <c r="L1373" s="11" t="str">
        <f t="shared" si="43"/>
        <v>INSERT INTO metadata_reference.file_schema VALUES('KIDS_CHILD_CHGP','CHILD_SSR','Y','INTEGER',NULL,'PERSONAL_IDENTITYINFODIRECT',NULL,NULL,'2025-10-22','9999-12-31',USER, CURRENT_TIMESTAMP(0));</v>
      </c>
    </row>
    <row r="1374" spans="1:12" ht="15" customHeight="1">
      <c r="A1374" s="11" t="str">
        <f>ETLMetadata!$C1374</f>
        <v>KIDS_CHILD_CHGP</v>
      </c>
      <c r="B1374" s="11" t="str">
        <f>ETLMetadata!$E1374</f>
        <v>CHGP_DOV</v>
      </c>
      <c r="C1374" s="11" t="str">
        <f>IF(ISBLANK(ETLMetadata!$J1374), "", ETLMetadata!$J1374)</f>
        <v/>
      </c>
      <c r="D1374" s="11" t="str">
        <f>ETLMetadata!$G1374</f>
        <v>DATE</v>
      </c>
      <c r="E1374" s="12"/>
      <c r="F1374" s="12"/>
      <c r="G1374" s="12" t="str">
        <f t="shared" si="42"/>
        <v/>
      </c>
      <c r="H1374" s="12"/>
      <c r="I1374" s="12"/>
      <c r="J1374" s="13">
        <v>45952</v>
      </c>
      <c r="K1374" s="13">
        <v>2958465</v>
      </c>
      <c r="L1374" s="11" t="str">
        <f t="shared" si="43"/>
        <v>INSERT INTO metadata_reference.file_schema VALUES('KIDS_CHILD_CHGP','CHGP_DOV',NULL,'DATE',NULL,NULL,NULL,NULL,'2025-10-22','9999-12-31',USER, CURRENT_TIMESTAMP(0));</v>
      </c>
    </row>
    <row r="1375" spans="1:12" ht="15" customHeight="1">
      <c r="A1375" s="11" t="str">
        <f>ETLMetadata!$C1375</f>
        <v>KIDS_CHILD_CHGP</v>
      </c>
      <c r="B1375" s="11" t="str">
        <f>ETLMetadata!$E1375</f>
        <v>CHGP_DOV_ORIG</v>
      </c>
      <c r="C1375" s="11" t="str">
        <f>IF(ISBLANK(ETLMetadata!$J1375), "", ETLMetadata!$J1375)</f>
        <v/>
      </c>
      <c r="D1375" s="11" t="str">
        <f>ETLMetadata!$G1375</f>
        <v>INTEGER</v>
      </c>
      <c r="E1375" s="12"/>
      <c r="F1375" s="12"/>
      <c r="G1375" s="12" t="str">
        <f t="shared" si="42"/>
        <v/>
      </c>
      <c r="H1375" s="12"/>
      <c r="I1375" s="12"/>
      <c r="J1375" s="13">
        <v>45952</v>
      </c>
      <c r="K1375" s="13">
        <v>2958465</v>
      </c>
      <c r="L1375" s="11" t="str">
        <f t="shared" si="43"/>
        <v>INSERT INTO metadata_reference.file_schema VALUES('KIDS_CHILD_CHGP','CHGP_DOV_ORIG',NULL,'INTEGER',NULL,NULL,NULL,NULL,'2025-10-22','9999-12-31',USER, CURRENT_TIMESTAMP(0));</v>
      </c>
    </row>
    <row r="1376" spans="1:12" ht="15" customHeight="1">
      <c r="A1376" s="11" t="str">
        <f>ETLMetadata!$C1376</f>
        <v>KIDS_CHILD_CHGP</v>
      </c>
      <c r="B1376" s="11" t="str">
        <f>ETLMetadata!$E1376</f>
        <v>PROCESSING_SEQUENCE</v>
      </c>
      <c r="C1376" s="11" t="str">
        <f>IF(ISBLANK(ETLMetadata!$J1376), "", ETLMetadata!$J1376)</f>
        <v>Y</v>
      </c>
      <c r="D1376" s="11" t="str">
        <f>ETLMetadata!$G1376</f>
        <v>SMALLINT</v>
      </c>
      <c r="E1376" s="12"/>
      <c r="F1376" s="12"/>
      <c r="G1376" s="12" t="str">
        <f t="shared" si="42"/>
        <v/>
      </c>
      <c r="H1376" s="12"/>
      <c r="I1376" s="12"/>
      <c r="J1376" s="13">
        <v>45952</v>
      </c>
      <c r="K1376" s="13">
        <v>2958465</v>
      </c>
      <c r="L1376" s="11" t="str">
        <f t="shared" si="43"/>
        <v>INSERT INTO metadata_reference.file_schema VALUES('KIDS_CHILD_CHGP','PROCESSING_SEQUENCE','Y','SMALLINT',NULL,NULL,NULL,NULL,'2025-10-22','9999-12-31',USER, CURRENT_TIMESTAMP(0));</v>
      </c>
    </row>
    <row r="1377" spans="1:12" ht="15" customHeight="1">
      <c r="A1377" s="11" t="str">
        <f>ETLMetadata!$C1377</f>
        <v>KIDS_CHILD_CHGP</v>
      </c>
      <c r="B1377" s="11" t="str">
        <f>ETLMetadata!$E1377</f>
        <v>CHGP_AMR_1</v>
      </c>
      <c r="C1377" s="11" t="str">
        <f>IF(ISBLANK(ETLMetadata!$J1377), "", ETLMetadata!$J1377)</f>
        <v/>
      </c>
      <c r="D1377" s="11" t="str">
        <f>ETLMetadata!$G1377</f>
        <v>CHAR(4)</v>
      </c>
      <c r="E1377" s="12"/>
      <c r="F1377" s="12"/>
      <c r="G1377" s="12" t="str">
        <f t="shared" si="42"/>
        <v/>
      </c>
      <c r="H1377" s="12"/>
      <c r="I1377" s="12"/>
      <c r="J1377" s="13">
        <v>45952</v>
      </c>
      <c r="K1377" s="13">
        <v>2958465</v>
      </c>
      <c r="L1377" s="11" t="str">
        <f t="shared" si="43"/>
        <v>INSERT INTO metadata_reference.file_schema VALUES('KIDS_CHILD_CHGP','CHGP_AMR_1',NULL,'CHAR(4)',NULL,NULL,NULL,NULL,'2025-10-22','9999-12-31',USER, CURRENT_TIMESTAMP(0));</v>
      </c>
    </row>
    <row r="1378" spans="1:12" ht="15" customHeight="1">
      <c r="A1378" s="11" t="str">
        <f>ETLMetadata!$C1378</f>
        <v>KIDS_CHILD_CHGP</v>
      </c>
      <c r="B1378" s="11" t="str">
        <f>ETLMetadata!$E1378</f>
        <v>CHGP_AMR_2</v>
      </c>
      <c r="C1378" s="11" t="str">
        <f>IF(ISBLANK(ETLMetadata!$J1378), "", ETLMetadata!$J1378)</f>
        <v/>
      </c>
      <c r="D1378" s="11" t="str">
        <f>ETLMetadata!$G1378</f>
        <v>CHAR(1)</v>
      </c>
      <c r="E1378" s="12"/>
      <c r="F1378" s="12"/>
      <c r="G1378" s="12" t="str">
        <f t="shared" si="42"/>
        <v/>
      </c>
      <c r="H1378" s="12"/>
      <c r="I1378" s="12"/>
      <c r="J1378" s="13">
        <v>45952</v>
      </c>
      <c r="K1378" s="13">
        <v>2958465</v>
      </c>
      <c r="L1378" s="11" t="str">
        <f t="shared" si="43"/>
        <v>INSERT INTO metadata_reference.file_schema VALUES('KIDS_CHILD_CHGP','CHGP_AMR_2',NULL,'CHAR(1)',NULL,NULL,NULL,NULL,'2025-10-22','9999-12-31',USER, CURRENT_TIMESTAMP(0));</v>
      </c>
    </row>
    <row r="1379" spans="1:12" ht="15" customHeight="1">
      <c r="A1379" s="11" t="str">
        <f>ETLMetadata!$C1379</f>
        <v>KIDS_CHILD_CHGP</v>
      </c>
      <c r="B1379" s="11" t="str">
        <f>ETLMetadata!$E1379</f>
        <v>CHGP_AMR_3</v>
      </c>
      <c r="C1379" s="11" t="str">
        <f>IF(ISBLANK(ETLMetadata!$J1379), "", ETLMetadata!$J1379)</f>
        <v/>
      </c>
      <c r="D1379" s="11" t="str">
        <f>ETLMetadata!$G1379</f>
        <v>CHAR(4)</v>
      </c>
      <c r="E1379" s="12"/>
      <c r="F1379" s="12"/>
      <c r="G1379" s="12" t="str">
        <f t="shared" si="42"/>
        <v/>
      </c>
      <c r="H1379" s="12"/>
      <c r="I1379" s="12"/>
      <c r="J1379" s="13">
        <v>45952</v>
      </c>
      <c r="K1379" s="13">
        <v>2958465</v>
      </c>
      <c r="L1379" s="11" t="str">
        <f t="shared" si="43"/>
        <v>INSERT INTO metadata_reference.file_schema VALUES('KIDS_CHILD_CHGP','CHGP_AMR_3',NULL,'CHAR(4)',NULL,NULL,NULL,NULL,'2025-10-22','9999-12-31',USER, CURRENT_TIMESTAMP(0));</v>
      </c>
    </row>
    <row r="1380" spans="1:12" ht="15" customHeight="1">
      <c r="A1380" s="11" t="str">
        <f>ETLMetadata!$C1380</f>
        <v>KIDS_CHILD_CHGP</v>
      </c>
      <c r="B1380" s="11" t="str">
        <f>ETLMetadata!$E1380</f>
        <v>CHGP_ELIG_IND</v>
      </c>
      <c r="C1380" s="11" t="str">
        <f>IF(ISBLANK(ETLMetadata!$J1380), "", ETLMetadata!$J1380)</f>
        <v/>
      </c>
      <c r="D1380" s="11" t="str">
        <f>ETLMetadata!$G1380</f>
        <v>CHAR(1)</v>
      </c>
      <c r="E1380" s="12"/>
      <c r="F1380" s="12"/>
      <c r="G1380" s="12" t="str">
        <f t="shared" si="42"/>
        <v/>
      </c>
      <c r="H1380" s="12"/>
      <c r="I1380" s="12"/>
      <c r="J1380" s="13">
        <v>45952</v>
      </c>
      <c r="K1380" s="13">
        <v>2958465</v>
      </c>
      <c r="L1380" s="11" t="str">
        <f t="shared" si="43"/>
        <v>INSERT INTO metadata_reference.file_schema VALUES('KIDS_CHILD_CHGP','CHGP_ELIG_IND',NULL,'CHAR(1)',NULL,NULL,NULL,NULL,'2025-10-22','9999-12-31',USER, CURRENT_TIMESTAMP(0));</v>
      </c>
    </row>
    <row r="1381" spans="1:12" ht="15" customHeight="1">
      <c r="A1381" s="11" t="str">
        <f>ETLMetadata!$C1381</f>
        <v>KIDS_CHILD_CHGP</v>
      </c>
      <c r="B1381" s="11" t="str">
        <f>ETLMetadata!$E1381</f>
        <v>CHGP_RSN_CODE</v>
      </c>
      <c r="C1381" s="11" t="str">
        <f>IF(ISBLANK(ETLMetadata!$J1381), "", ETLMetadata!$J1381)</f>
        <v/>
      </c>
      <c r="D1381" s="11" t="str">
        <f>ETLMetadata!$G1381</f>
        <v>CHAR(3)</v>
      </c>
      <c r="E1381" s="12"/>
      <c r="F1381" s="12"/>
      <c r="G1381" s="12" t="str">
        <f t="shared" si="42"/>
        <v/>
      </c>
      <c r="H1381" s="12"/>
      <c r="I1381" s="12"/>
      <c r="J1381" s="13">
        <v>45952</v>
      </c>
      <c r="K1381" s="13">
        <v>2958465</v>
      </c>
      <c r="L1381" s="11" t="str">
        <f t="shared" si="43"/>
        <v>INSERT INTO metadata_reference.file_schema VALUES('KIDS_CHILD_CHGP','CHGP_RSN_CODE',NULL,'CHAR(3)',NULL,NULL,NULL,NULL,'2025-10-22','9999-12-31',USER, CURRENT_TIMESTAMP(0));</v>
      </c>
    </row>
    <row r="1382" spans="1:12" ht="15" customHeight="1">
      <c r="A1382" s="11" t="str">
        <f>ETLMetadata!$C1382</f>
        <v>KIDS_CHILD_CHGP</v>
      </c>
      <c r="B1382" s="11" t="str">
        <f>ETLMetadata!$E1382</f>
        <v>RELATED_PARTY_ROLE_ID</v>
      </c>
      <c r="C1382" s="11" t="str">
        <f>IF(ISBLANK(ETLMetadata!$J1382), "", ETLMetadata!$J1382)</f>
        <v/>
      </c>
      <c r="D1382" s="11" t="str">
        <f>ETLMetadata!$G1382</f>
        <v>INTEGER</v>
      </c>
      <c r="E1382" s="12"/>
      <c r="F1382" s="12"/>
      <c r="G1382" s="12" t="str">
        <f t="shared" si="42"/>
        <v/>
      </c>
      <c r="H1382" s="12"/>
      <c r="I1382" s="12"/>
      <c r="J1382" s="13">
        <v>45952</v>
      </c>
      <c r="K1382" s="13">
        <v>2958465</v>
      </c>
      <c r="L1382" s="11" t="str">
        <f t="shared" si="43"/>
        <v>INSERT INTO metadata_reference.file_schema VALUES('KIDS_CHILD_CHGP','RELATED_PARTY_ROLE_ID',NULL,'INTEGER',NULL,NULL,NULL,NULL,'2025-10-22','9999-12-31',USER, CURRENT_TIMESTAMP(0));</v>
      </c>
    </row>
    <row r="1383" spans="1:12" ht="15" customHeight="1">
      <c r="A1383" s="11" t="str">
        <f>ETLMetadata!$C1383</f>
        <v>KIDS_CHILD_CHGP</v>
      </c>
      <c r="B1383" s="11" t="str">
        <f>ETLMetadata!$E1383</f>
        <v>PARTY_ROLE_ID</v>
      </c>
      <c r="C1383" s="11" t="str">
        <f>IF(ISBLANK(ETLMetadata!$J1383), "", ETLMetadata!$J1383)</f>
        <v/>
      </c>
      <c r="D1383" s="11" t="str">
        <f>ETLMetadata!$G1383</f>
        <v>INTEGER</v>
      </c>
      <c r="E1383" s="12"/>
      <c r="F1383" s="12"/>
      <c r="G1383" s="12" t="str">
        <f t="shared" si="42"/>
        <v/>
      </c>
      <c r="H1383" s="12"/>
      <c r="I1383" s="12"/>
      <c r="J1383" s="13">
        <v>45952</v>
      </c>
      <c r="K1383" s="13">
        <v>2958465</v>
      </c>
      <c r="L1383" s="11" t="str">
        <f t="shared" si="43"/>
        <v>INSERT INTO metadata_reference.file_schema VALUES('KIDS_CHILD_CHGP','PARTY_ROLE_ID',NULL,'INTEGER',NULL,NULL,NULL,NULL,'2025-10-22','9999-12-31',USER, CURRENT_TIMESTAMP(0));</v>
      </c>
    </row>
    <row r="1384" spans="1:12" ht="15" customHeight="1">
      <c r="A1384" s="11" t="str">
        <f>ETLMetadata!$C1384</f>
        <v>KIDS_CHILD_CHGP</v>
      </c>
      <c r="B1384" s="11" t="str">
        <f>ETLMetadata!$E1384</f>
        <v>AMR1_RISL_DTS</v>
      </c>
      <c r="C1384" s="11" t="str">
        <f>IF(ISBLANK(ETLMetadata!$J1384), "", ETLMetadata!$J1384)</f>
        <v/>
      </c>
      <c r="D1384" s="11" t="str">
        <f>ETLMetadata!$G1384</f>
        <v>TIMESTAMP(6)</v>
      </c>
      <c r="E1384" s="12"/>
      <c r="F1384" s="12"/>
      <c r="G1384" s="12" t="str">
        <f t="shared" si="42"/>
        <v/>
      </c>
      <c r="H1384" s="12"/>
      <c r="I1384" s="12"/>
      <c r="J1384" s="13">
        <v>45952</v>
      </c>
      <c r="K1384" s="13">
        <v>2958465</v>
      </c>
      <c r="L1384" s="11" t="str">
        <f t="shared" si="43"/>
        <v>INSERT INTO metadata_reference.file_schema VALUES('KIDS_CHILD_CHGP','AMR1_RISL_DTS',NULL,'TIMESTAMP(6)',NULL,NULL,NULL,NULL,'2025-10-22','9999-12-31',USER, CURRENT_TIMESTAMP(0));</v>
      </c>
    </row>
    <row r="1385" spans="1:12" ht="15" customHeight="1">
      <c r="A1385" s="11" t="str">
        <f>ETLMetadata!$C1385</f>
        <v>KIDS_CHILD_CHGP</v>
      </c>
      <c r="B1385" s="11" t="str">
        <f>ETLMetadata!$E1385</f>
        <v>AMR3_RISL_DTS</v>
      </c>
      <c r="C1385" s="11" t="str">
        <f>IF(ISBLANK(ETLMetadata!$J1385), "", ETLMetadata!$J1385)</f>
        <v/>
      </c>
      <c r="D1385" s="11" t="str">
        <f>ETLMetadata!$G1385</f>
        <v>TIMESTAMP(6)</v>
      </c>
      <c r="E1385" s="12"/>
      <c r="F1385" s="12"/>
      <c r="G1385" s="12" t="str">
        <f t="shared" si="42"/>
        <v/>
      </c>
      <c r="H1385" s="12"/>
      <c r="I1385" s="12"/>
      <c r="J1385" s="13">
        <v>45952</v>
      </c>
      <c r="K1385" s="13">
        <v>2958465</v>
      </c>
      <c r="L1385" s="11" t="str">
        <f t="shared" si="43"/>
        <v>INSERT INTO metadata_reference.file_schema VALUES('KIDS_CHILD_CHGP','AMR3_RISL_DTS',NULL,'TIMESTAMP(6)',NULL,NULL,NULL,NULL,'2025-10-22','9999-12-31',USER, CURRENT_TIMESTAMP(0));</v>
      </c>
    </row>
    <row r="1386" spans="1:12" ht="15" customHeight="1">
      <c r="A1386" s="11" t="str">
        <f>ETLMetadata!$C1386</f>
        <v>KIDS_CHILD_CHGP</v>
      </c>
      <c r="B1386" s="11" t="str">
        <f>ETLMetadata!$E1386</f>
        <v>ERROR_COUNT</v>
      </c>
      <c r="C1386" s="11" t="str">
        <f>IF(ISBLANK(ETLMetadata!$J1386), "", ETLMetadata!$J1386)</f>
        <v/>
      </c>
      <c r="D1386" s="11" t="str">
        <f>ETLMetadata!$G1386</f>
        <v>SMALLINT</v>
      </c>
      <c r="E1386" s="12"/>
      <c r="F1386" s="12"/>
      <c r="G1386" s="12" t="str">
        <f t="shared" si="42"/>
        <v/>
      </c>
      <c r="H1386" s="12"/>
      <c r="I1386" s="12"/>
      <c r="J1386" s="13">
        <v>45952</v>
      </c>
      <c r="K1386" s="13">
        <v>2958465</v>
      </c>
      <c r="L1386" s="11" t="str">
        <f t="shared" si="43"/>
        <v>INSERT INTO metadata_reference.file_schema VALUES('KIDS_CHILD_CHGP','ERROR_COUNT',NULL,'SMALLINT',NULL,NULL,NULL,NULL,'2025-10-22','9999-12-31',USER, CURRENT_TIMESTAMP(0));</v>
      </c>
    </row>
    <row r="1387" spans="1:12" ht="15" customHeight="1">
      <c r="A1387" s="11" t="str">
        <f>ETLMetadata!$C1387</f>
        <v>KIDS_CHILD_CHGP</v>
      </c>
      <c r="B1387" s="11" t="str">
        <f>ETLMetadata!$E1387</f>
        <v>Start_Date</v>
      </c>
      <c r="C1387" s="11" t="str">
        <f>IF(ISBLANK(ETLMetadata!$J1387), "", ETLMetadata!$J1387)</f>
        <v/>
      </c>
      <c r="D1387" s="11" t="str">
        <f>ETLMetadata!$G1387</f>
        <v>DATE</v>
      </c>
      <c r="E1387" s="12"/>
      <c r="F1387" s="12"/>
      <c r="G1387" s="12" t="str">
        <f t="shared" si="42"/>
        <v/>
      </c>
      <c r="H1387" s="12"/>
      <c r="I1387" s="12"/>
      <c r="J1387" s="13">
        <v>45952</v>
      </c>
      <c r="K1387" s="13">
        <v>2958465</v>
      </c>
      <c r="L1387" s="11" t="str">
        <f t="shared" si="43"/>
        <v>INSERT INTO metadata_reference.file_schema VALUES('KIDS_CHILD_CHGP','Start_Date',NULL,'DATE',NULL,NULL,NULL,NULL,'2025-10-22','9999-12-31',USER, CURRENT_TIMESTAMP(0));</v>
      </c>
    </row>
    <row r="1388" spans="1:12" ht="15" customHeight="1">
      <c r="A1388" s="11" t="str">
        <f>ETLMetadata!$C1388</f>
        <v>KIDS_CHILD_CHGP</v>
      </c>
      <c r="B1388" s="11" t="str">
        <f>ETLMetadata!$E1388</f>
        <v>End_Date</v>
      </c>
      <c r="C1388" s="11" t="str">
        <f>IF(ISBLANK(ETLMetadata!$J1388), "", ETLMetadata!$J1388)</f>
        <v/>
      </c>
      <c r="D1388" s="11" t="str">
        <f>ETLMetadata!$G1388</f>
        <v>DATE</v>
      </c>
      <c r="E1388" s="12"/>
      <c r="F1388" s="12"/>
      <c r="G1388" s="12" t="str">
        <f t="shared" si="42"/>
        <v/>
      </c>
      <c r="H1388" s="12"/>
      <c r="I1388" s="12"/>
      <c r="J1388" s="13">
        <v>45952</v>
      </c>
      <c r="K1388" s="13">
        <v>2958465</v>
      </c>
      <c r="L1388" s="11" t="str">
        <f t="shared" si="43"/>
        <v>INSERT INTO metadata_reference.file_schema VALUES('KIDS_CHILD_CHGP','End_Date',NULL,'DATE',NULL,NULL,NULL,NULL,'2025-10-22','9999-12-31',USER, CURRENT_TIMESTAMP(0));</v>
      </c>
    </row>
    <row r="1389" spans="1:12" ht="15" customHeight="1">
      <c r="A1389" s="11" t="str">
        <f>ETLMetadata!$C1389</f>
        <v>KIDS_CHILD_CHGP</v>
      </c>
      <c r="B1389" s="11" t="str">
        <f>ETLMetadata!$E1389</f>
        <v>Record_Deleted_Flag</v>
      </c>
      <c r="C1389" s="11" t="str">
        <f>IF(ISBLANK(ETLMetadata!$J1389), "", ETLMetadata!$J1389)</f>
        <v/>
      </c>
      <c r="D1389" s="11" t="str">
        <f>ETLMetadata!$G1389</f>
        <v>BYTEINT</v>
      </c>
      <c r="E1389" s="12"/>
      <c r="F1389" s="12"/>
      <c r="G1389" s="12" t="str">
        <f t="shared" si="42"/>
        <v/>
      </c>
      <c r="H1389" s="12"/>
      <c r="I1389" s="12"/>
      <c r="J1389" s="13">
        <v>45952</v>
      </c>
      <c r="K1389" s="13">
        <v>2958465</v>
      </c>
      <c r="L1389" s="11" t="str">
        <f t="shared" si="43"/>
        <v>INSERT INTO metadata_reference.file_schema VALUES('KIDS_CHILD_CHGP','Record_Deleted_Flag',NULL,'BYTEINT',NULL,NULL,NULL,NULL,'2025-10-22','9999-12-31',USER, CURRENT_TIMESTAMP(0));</v>
      </c>
    </row>
    <row r="1390" spans="1:12" ht="15" customHeight="1">
      <c r="A1390" s="11" t="str">
        <f>ETLMetadata!$C1390</f>
        <v>LNK0_GLNK_CULD</v>
      </c>
      <c r="B1390" s="11" t="str">
        <f>ETLMetadata!$E1390</f>
        <v>EXTRACT_DATE</v>
      </c>
      <c r="C1390" s="11" t="str">
        <f>IF(ISBLANK(ETLMetadata!$J1390), "", ETLMetadata!$J1390)</f>
        <v/>
      </c>
      <c r="D1390" s="11" t="str">
        <f>ETLMetadata!$G1390</f>
        <v>DATE</v>
      </c>
      <c r="E1390" s="12"/>
      <c r="F1390" s="12"/>
      <c r="G1390" s="12" t="str">
        <f t="shared" si="42"/>
        <v/>
      </c>
      <c r="H1390" s="12"/>
      <c r="I1390" s="12"/>
      <c r="J1390" s="13">
        <v>45952</v>
      </c>
      <c r="K1390" s="13">
        <v>2958465</v>
      </c>
      <c r="L1390" s="11" t="str">
        <f t="shared" si="43"/>
        <v>INSERT INTO metadata_reference.file_schema VALUES('LNK0_GLNK_CULD','EXTRACT_DATE',NULL,'DATE',NULL,NULL,NULL,NULL,'2025-10-22','9999-12-31',USER, CURRENT_TIMESTAMP(0));</v>
      </c>
    </row>
    <row r="1391" spans="1:12" ht="15" customHeight="1">
      <c r="A1391" s="11" t="str">
        <f>ETLMetadata!$C1391</f>
        <v>LNK0_GLNK_CULD</v>
      </c>
      <c r="B1391" s="11" t="str">
        <f>ETLMetadata!$E1391</f>
        <v>LOGICAL_DELETE_DATE</v>
      </c>
      <c r="C1391" s="11" t="str">
        <f>IF(ISBLANK(ETLMetadata!$J1391), "", ETLMetadata!$J1391)</f>
        <v/>
      </c>
      <c r="D1391" s="11" t="str">
        <f>ETLMetadata!$G1391</f>
        <v>DATE</v>
      </c>
      <c r="E1391" s="12"/>
      <c r="F1391" s="12"/>
      <c r="G1391" s="12" t="str">
        <f t="shared" si="42"/>
        <v/>
      </c>
      <c r="H1391" s="12"/>
      <c r="I1391" s="12"/>
      <c r="J1391" s="13">
        <v>45952</v>
      </c>
      <c r="K1391" s="13">
        <v>2958465</v>
      </c>
      <c r="L1391" s="11" t="str">
        <f t="shared" si="43"/>
        <v>INSERT INTO metadata_reference.file_schema VALUES('LNK0_GLNK_CULD','LOGICAL_DELETE_DATE',NULL,'DATE',NULL,NULL,NULL,NULL,'2025-10-22','9999-12-31',USER, CURRENT_TIMESTAMP(0));</v>
      </c>
    </row>
    <row r="1392" spans="1:12" ht="15" customHeight="1">
      <c r="A1392" s="11" t="str">
        <f>ETLMetadata!$C1392</f>
        <v>LNK0_GLNK_CULD</v>
      </c>
      <c r="B1392" s="11" t="str">
        <f>ETLMetadata!$E1392</f>
        <v>ENVIRONMENT_ID</v>
      </c>
      <c r="C1392" s="11" t="str">
        <f>IF(ISBLANK(ETLMetadata!$J1392), "", ETLMetadata!$J1392)</f>
        <v>Y</v>
      </c>
      <c r="D1392" s="11" t="str">
        <f>ETLMetadata!$G1392</f>
        <v>CHAR(1)</v>
      </c>
      <c r="E1392" s="12"/>
      <c r="F1392" s="12"/>
      <c r="G1392" s="12" t="str">
        <f t="shared" si="42"/>
        <v/>
      </c>
      <c r="H1392" s="12"/>
      <c r="I1392" s="12"/>
      <c r="J1392" s="13">
        <v>45952</v>
      </c>
      <c r="K1392" s="13">
        <v>2958465</v>
      </c>
      <c r="L1392" s="11" t="str">
        <f t="shared" si="43"/>
        <v>INSERT INTO metadata_reference.file_schema VALUES('LNK0_GLNK_CULD','ENVIRONMENT_ID','Y','CHAR(1)',NULL,NULL,NULL,NULL,'2025-10-22','9999-12-31',USER, CURRENT_TIMESTAMP(0));</v>
      </c>
    </row>
    <row r="1393" spans="1:12" ht="15" customHeight="1">
      <c r="A1393" s="11" t="str">
        <f>ETLMetadata!$C1393</f>
        <v>LNK0_GLNK_CULD</v>
      </c>
      <c r="B1393" s="11" t="str">
        <f>ETLMetadata!$E1393</f>
        <v>SRC_PERSON_ID</v>
      </c>
      <c r="C1393" s="11" t="str">
        <f>IF(ISBLANK(ETLMetadata!$J1393), "", ETLMetadata!$J1393)</f>
        <v>Y</v>
      </c>
      <c r="D1393" s="11" t="str">
        <f>ETLMetadata!$G1393</f>
        <v>INTEGER</v>
      </c>
      <c r="E1393" s="12"/>
      <c r="F1393" s="12" t="s">
        <v>799</v>
      </c>
      <c r="G1393" s="12" t="str">
        <f t="shared" si="42"/>
        <v>PERSONAL_IDENTITYINFOINDIRECT</v>
      </c>
      <c r="H1393" s="12"/>
      <c r="I1393" s="12"/>
      <c r="J1393" s="13">
        <v>45952</v>
      </c>
      <c r="K1393" s="13">
        <v>2958465</v>
      </c>
      <c r="L1393" s="11" t="str">
        <f t="shared" si="43"/>
        <v>INSERT INTO metadata_reference.file_schema VALUES('LNK0_GLNK_CULD','SRC_PERSON_ID','Y','INTEGER',NULL,'PERSONAL_IDENTITYINFOINDIRECT',NULL,NULL,'2025-10-22','9999-12-31',USER, CURRENT_TIMESTAMP(0));</v>
      </c>
    </row>
    <row r="1394" spans="1:12" ht="15" customHeight="1">
      <c r="A1394" s="11" t="str">
        <f>ETLMetadata!$C1394</f>
        <v>LNK0_GLNK_CULD</v>
      </c>
      <c r="B1394" s="11" t="str">
        <f>ETLMetadata!$E1394</f>
        <v>DEST_PERSON_ID</v>
      </c>
      <c r="C1394" s="11" t="str">
        <f>IF(ISBLANK(ETLMetadata!$J1394), "", ETLMetadata!$J1394)</f>
        <v>Y</v>
      </c>
      <c r="D1394" s="11" t="str">
        <f>ETLMetadata!$G1394</f>
        <v>INTEGER</v>
      </c>
      <c r="E1394" s="12"/>
      <c r="F1394" s="12" t="s">
        <v>799</v>
      </c>
      <c r="G1394" s="12" t="str">
        <f t="shared" si="42"/>
        <v>PERSONAL_IDENTITYINFOINDIRECT</v>
      </c>
      <c r="H1394" s="12"/>
      <c r="I1394" s="12"/>
      <c r="J1394" s="13">
        <v>45952</v>
      </c>
      <c r="K1394" s="13">
        <v>2958465</v>
      </c>
      <c r="L1394" s="11" t="str">
        <f t="shared" si="43"/>
        <v>INSERT INTO metadata_reference.file_schema VALUES('LNK0_GLNK_CULD','DEST_PERSON_ID','Y','INTEGER',NULL,'PERSONAL_IDENTITYINFOINDIRECT',NULL,NULL,'2025-10-22','9999-12-31',USER, CURRENT_TIMESTAMP(0));</v>
      </c>
    </row>
    <row r="1395" spans="1:12" ht="15" customHeight="1">
      <c r="A1395" s="11" t="str">
        <f>ETLMetadata!$C1395</f>
        <v>LNK0_GLNK_CULD</v>
      </c>
      <c r="B1395" s="11" t="str">
        <f>ETLMetadata!$E1395</f>
        <v>LINK_TYPE_CODE</v>
      </c>
      <c r="C1395" s="11" t="str">
        <f>IF(ISBLANK(ETLMetadata!$J1395), "", ETLMetadata!$J1395)</f>
        <v>Y</v>
      </c>
      <c r="D1395" s="11" t="str">
        <f>ETLMetadata!$G1395</f>
        <v>CHAR(3)</v>
      </c>
      <c r="E1395" s="12"/>
      <c r="F1395" s="12"/>
      <c r="G1395" s="12" t="str">
        <f t="shared" si="42"/>
        <v/>
      </c>
      <c r="H1395" s="12"/>
      <c r="I1395" s="12"/>
      <c r="J1395" s="13">
        <v>45952</v>
      </c>
      <c r="K1395" s="13">
        <v>2958465</v>
      </c>
      <c r="L1395" s="11" t="str">
        <f t="shared" si="43"/>
        <v>INSERT INTO metadata_reference.file_schema VALUES('LNK0_GLNK_CULD','LINK_TYPE_CODE','Y','CHAR(3)',NULL,NULL,NULL,NULL,'2025-10-22','9999-12-31',USER, CURRENT_TIMESTAMP(0));</v>
      </c>
    </row>
    <row r="1396" spans="1:12" ht="15" customHeight="1">
      <c r="A1396" s="11" t="str">
        <f>ETLMetadata!$C1396</f>
        <v>LNK0_GLNK_CULD</v>
      </c>
      <c r="B1396" s="11" t="str">
        <f>ETLMetadata!$E1396</f>
        <v>SRC_SVC_RSN_CODE</v>
      </c>
      <c r="C1396" s="11" t="str">
        <f>IF(ISBLANK(ETLMetadata!$J1396), "", ETLMetadata!$J1396)</f>
        <v>Y</v>
      </c>
      <c r="D1396" s="11" t="str">
        <f>ETLMetadata!$G1396</f>
        <v>CHAR(3)</v>
      </c>
      <c r="E1396" s="12"/>
      <c r="F1396" s="12"/>
      <c r="G1396" s="12" t="str">
        <f t="shared" si="42"/>
        <v/>
      </c>
      <c r="H1396" s="12"/>
      <c r="I1396" s="12"/>
      <c r="J1396" s="13">
        <v>45952</v>
      </c>
      <c r="K1396" s="13">
        <v>2958465</v>
      </c>
      <c r="L1396" s="11" t="str">
        <f t="shared" si="43"/>
        <v>INSERT INTO metadata_reference.file_schema VALUES('LNK0_GLNK_CULD','SRC_SVC_RSN_CODE','Y','CHAR(3)',NULL,NULL,NULL,NULL,'2025-10-22','9999-12-31',USER, CURRENT_TIMESTAMP(0));</v>
      </c>
    </row>
    <row r="1397" spans="1:12" ht="15" customHeight="1">
      <c r="A1397" s="11" t="str">
        <f>ETLMetadata!$C1397</f>
        <v>LNK0_GLNK_CULD</v>
      </c>
      <c r="B1397" s="11" t="str">
        <f>ETLMetadata!$E1397</f>
        <v>DEST_SVC_RSN_CODE</v>
      </c>
      <c r="C1397" s="11" t="str">
        <f>IF(ISBLANK(ETLMetadata!$J1397), "", ETLMetadata!$J1397)</f>
        <v>Y</v>
      </c>
      <c r="D1397" s="11" t="str">
        <f>ETLMetadata!$G1397</f>
        <v>CHAR(3)</v>
      </c>
      <c r="E1397" s="12"/>
      <c r="F1397" s="12"/>
      <c r="G1397" s="12" t="str">
        <f t="shared" si="42"/>
        <v/>
      </c>
      <c r="H1397" s="12"/>
      <c r="I1397" s="12"/>
      <c r="J1397" s="13">
        <v>45952</v>
      </c>
      <c r="K1397" s="13">
        <v>2958465</v>
      </c>
      <c r="L1397" s="11" t="str">
        <f t="shared" si="43"/>
        <v>INSERT INTO metadata_reference.file_schema VALUES('LNK0_GLNK_CULD','DEST_SVC_RSN_CODE','Y','CHAR(3)',NULL,NULL,NULL,NULL,'2025-10-22','9999-12-31',USER, CURRENT_TIMESTAMP(0));</v>
      </c>
    </row>
    <row r="1398" spans="1:12" ht="15" customHeight="1">
      <c r="A1398" s="11" t="str">
        <f>ETLMetadata!$C1398</f>
        <v>LNK0_GLNK_CULD</v>
      </c>
      <c r="B1398" s="11" t="str">
        <f>ETLMetadata!$E1398</f>
        <v>CULD_DOV</v>
      </c>
      <c r="C1398" s="11" t="str">
        <f>IF(ISBLANK(ETLMetadata!$J1398), "", ETLMetadata!$J1398)</f>
        <v/>
      </c>
      <c r="D1398" s="11" t="str">
        <f>ETLMetadata!$G1398</f>
        <v>DATE</v>
      </c>
      <c r="E1398" s="12"/>
      <c r="F1398" s="12"/>
      <c r="G1398" s="12" t="str">
        <f t="shared" si="42"/>
        <v/>
      </c>
      <c r="H1398" s="12"/>
      <c r="I1398" s="12"/>
      <c r="J1398" s="13">
        <v>45952</v>
      </c>
      <c r="K1398" s="13">
        <v>2958465</v>
      </c>
      <c r="L1398" s="11" t="str">
        <f t="shared" si="43"/>
        <v>INSERT INTO metadata_reference.file_schema VALUES('LNK0_GLNK_CULD','CULD_DOV',NULL,'DATE',NULL,NULL,NULL,NULL,'2025-10-22','9999-12-31',USER, CURRENT_TIMESTAMP(0));</v>
      </c>
    </row>
    <row r="1399" spans="1:12" ht="15" customHeight="1">
      <c r="A1399" s="11" t="str">
        <f>ETLMetadata!$C1399</f>
        <v>LNK0_GLNK_CULD</v>
      </c>
      <c r="B1399" s="11" t="str">
        <f>ETLMetadata!$E1399</f>
        <v>CULD_DOV_ORIG</v>
      </c>
      <c r="C1399" s="11" t="str">
        <f>IF(ISBLANK(ETLMetadata!$J1399), "", ETLMetadata!$J1399)</f>
        <v>Y</v>
      </c>
      <c r="D1399" s="11" t="str">
        <f>ETLMetadata!$G1399</f>
        <v>INTEGER</v>
      </c>
      <c r="E1399" s="12"/>
      <c r="F1399" s="12"/>
      <c r="G1399" s="12" t="str">
        <f t="shared" si="42"/>
        <v/>
      </c>
      <c r="H1399" s="12"/>
      <c r="I1399" s="12"/>
      <c r="J1399" s="13">
        <v>45952</v>
      </c>
      <c r="K1399" s="13">
        <v>2958465</v>
      </c>
      <c r="L1399" s="11" t="str">
        <f t="shared" si="43"/>
        <v>INSERT INTO metadata_reference.file_schema VALUES('LNK0_GLNK_CULD','CULD_DOV_ORIG','Y','INTEGER',NULL,NULL,NULL,NULL,'2025-10-22','9999-12-31',USER, CURRENT_TIMESTAMP(0));</v>
      </c>
    </row>
    <row r="1400" spans="1:12" ht="15" customHeight="1">
      <c r="A1400" s="11" t="str">
        <f>ETLMetadata!$C1400</f>
        <v>LNK0_GLNK_CULD</v>
      </c>
      <c r="B1400" s="11" t="str">
        <f>ETLMetadata!$E1400</f>
        <v>PROCESSING_SEQUENCE</v>
      </c>
      <c r="C1400" s="11" t="str">
        <f>IF(ISBLANK(ETLMetadata!$J1400), "", ETLMetadata!$J1400)</f>
        <v>Y</v>
      </c>
      <c r="D1400" s="11" t="str">
        <f>ETLMetadata!$G1400</f>
        <v>SMALLINT</v>
      </c>
      <c r="E1400" s="12"/>
      <c r="F1400" s="12"/>
      <c r="G1400" s="12" t="str">
        <f t="shared" si="42"/>
        <v/>
      </c>
      <c r="H1400" s="12"/>
      <c r="I1400" s="12"/>
      <c r="J1400" s="13">
        <v>45952</v>
      </c>
      <c r="K1400" s="13">
        <v>2958465</v>
      </c>
      <c r="L1400" s="11" t="str">
        <f t="shared" si="43"/>
        <v>INSERT INTO metadata_reference.file_schema VALUES('LNK0_GLNK_CULD','PROCESSING_SEQUENCE','Y','SMALLINT',NULL,NULL,NULL,NULL,'2025-10-22','9999-12-31',USER, CURRENT_TIMESTAMP(0));</v>
      </c>
    </row>
    <row r="1401" spans="1:12" ht="15" customHeight="1">
      <c r="A1401" s="11" t="str">
        <f>ETLMetadata!$C1401</f>
        <v>LNK0_GLNK_CULD</v>
      </c>
      <c r="B1401" s="11" t="str">
        <f>ETLMetadata!$E1401</f>
        <v>CULD_AMR_1</v>
      </c>
      <c r="C1401" s="11" t="str">
        <f>IF(ISBLANK(ETLMetadata!$J1401), "", ETLMetadata!$J1401)</f>
        <v>Y</v>
      </c>
      <c r="D1401" s="11" t="str">
        <f>ETLMetadata!$G1401</f>
        <v>CHAR(4)</v>
      </c>
      <c r="E1401" s="12"/>
      <c r="F1401" s="12"/>
      <c r="G1401" s="12" t="str">
        <f t="shared" si="42"/>
        <v/>
      </c>
      <c r="H1401" s="12"/>
      <c r="I1401" s="12"/>
      <c r="J1401" s="13">
        <v>45952</v>
      </c>
      <c r="K1401" s="13">
        <v>2958465</v>
      </c>
      <c r="L1401" s="11" t="str">
        <f t="shared" si="43"/>
        <v>INSERT INTO metadata_reference.file_schema VALUES('LNK0_GLNK_CULD','CULD_AMR_1','Y','CHAR(4)',NULL,NULL,NULL,NULL,'2025-10-22','9999-12-31',USER, CURRENT_TIMESTAMP(0));</v>
      </c>
    </row>
    <row r="1402" spans="1:12" ht="15" customHeight="1">
      <c r="A1402" s="11" t="str">
        <f>ETLMetadata!$C1402</f>
        <v>LNK0_GLNK_CULD</v>
      </c>
      <c r="B1402" s="11" t="str">
        <f>ETLMetadata!$E1402</f>
        <v>CULD_AMR_2</v>
      </c>
      <c r="C1402" s="11" t="str">
        <f>IF(ISBLANK(ETLMetadata!$J1402), "", ETLMetadata!$J1402)</f>
        <v/>
      </c>
      <c r="D1402" s="11" t="str">
        <f>ETLMetadata!$G1402</f>
        <v>CHAR(1)</v>
      </c>
      <c r="E1402" s="12"/>
      <c r="F1402" s="12"/>
      <c r="G1402" s="12" t="str">
        <f t="shared" si="42"/>
        <v/>
      </c>
      <c r="H1402" s="12"/>
      <c r="I1402" s="12"/>
      <c r="J1402" s="13">
        <v>45952</v>
      </c>
      <c r="K1402" s="13">
        <v>2958465</v>
      </c>
      <c r="L1402" s="11" t="str">
        <f t="shared" si="43"/>
        <v>INSERT INTO metadata_reference.file_schema VALUES('LNK0_GLNK_CULD','CULD_AMR_2',NULL,'CHAR(1)',NULL,NULL,NULL,NULL,'2025-10-22','9999-12-31',USER, CURRENT_TIMESTAMP(0));</v>
      </c>
    </row>
    <row r="1403" spans="1:12" ht="15" customHeight="1">
      <c r="A1403" s="11" t="str">
        <f>ETLMetadata!$C1403</f>
        <v>LNK0_GLNK_CULD</v>
      </c>
      <c r="B1403" s="11" t="str">
        <f>ETLMetadata!$E1403</f>
        <v>CULD_AMR_3</v>
      </c>
      <c r="C1403" s="11" t="str">
        <f>IF(ISBLANK(ETLMetadata!$J1403), "", ETLMetadata!$J1403)</f>
        <v/>
      </c>
      <c r="D1403" s="11" t="str">
        <f>ETLMetadata!$G1403</f>
        <v>CHAR(4)</v>
      </c>
      <c r="E1403" s="12"/>
      <c r="F1403" s="12"/>
      <c r="G1403" s="12" t="str">
        <f t="shared" si="42"/>
        <v/>
      </c>
      <c r="H1403" s="12"/>
      <c r="I1403" s="12"/>
      <c r="J1403" s="13">
        <v>45952</v>
      </c>
      <c r="K1403" s="13">
        <v>2958465</v>
      </c>
      <c r="L1403" s="11" t="str">
        <f t="shared" si="43"/>
        <v>INSERT INTO metadata_reference.file_schema VALUES('LNK0_GLNK_CULD','CULD_AMR_3',NULL,'CHAR(4)',NULL,NULL,NULL,NULL,'2025-10-22','9999-12-31',USER, CURRENT_TIMESTAMP(0));</v>
      </c>
    </row>
    <row r="1404" spans="1:12" ht="15" customHeight="1">
      <c r="A1404" s="11" t="str">
        <f>ETLMetadata!$C1404</f>
        <v>LNK0_GLNK_CULD</v>
      </c>
      <c r="B1404" s="11" t="str">
        <f>ETLMetadata!$E1404</f>
        <v>CULD_END_RSN_CODE</v>
      </c>
      <c r="C1404" s="11" t="str">
        <f>IF(ISBLANK(ETLMetadata!$J1404), "", ETLMetadata!$J1404)</f>
        <v/>
      </c>
      <c r="D1404" s="11" t="str">
        <f>ETLMetadata!$G1404</f>
        <v>CHAR(3)</v>
      </c>
      <c r="E1404" s="12"/>
      <c r="F1404" s="12"/>
      <c r="G1404" s="12" t="str">
        <f t="shared" si="42"/>
        <v/>
      </c>
      <c r="H1404" s="12"/>
      <c r="I1404" s="12"/>
      <c r="J1404" s="13">
        <v>45952</v>
      </c>
      <c r="K1404" s="13">
        <v>2958465</v>
      </c>
      <c r="L1404" s="11" t="str">
        <f t="shared" si="43"/>
        <v>INSERT INTO metadata_reference.file_schema VALUES('LNK0_GLNK_CULD','CULD_END_RSN_CODE',NULL,'CHAR(3)',NULL,NULL,NULL,NULL,'2025-10-22','9999-12-31',USER, CURRENT_TIMESTAMP(0));</v>
      </c>
    </row>
    <row r="1405" spans="1:12" ht="15" customHeight="1">
      <c r="A1405" s="11" t="str">
        <f>ETLMetadata!$C1405</f>
        <v>LNK0_GLNK_CULD</v>
      </c>
      <c r="B1405" s="11" t="str">
        <f>ETLMetadata!$E1405</f>
        <v>AMR1_RISL_DTS</v>
      </c>
      <c r="C1405" s="11" t="str">
        <f>IF(ISBLANK(ETLMetadata!$J1405), "", ETLMetadata!$J1405)</f>
        <v/>
      </c>
      <c r="D1405" s="11" t="str">
        <f>ETLMetadata!$G1405</f>
        <v>TIMESTAMP(6)</v>
      </c>
      <c r="E1405" s="12"/>
      <c r="F1405" s="12"/>
      <c r="G1405" s="12" t="str">
        <f t="shared" si="42"/>
        <v/>
      </c>
      <c r="H1405" s="12"/>
      <c r="I1405" s="12"/>
      <c r="J1405" s="13">
        <v>45952</v>
      </c>
      <c r="K1405" s="13">
        <v>2958465</v>
      </c>
      <c r="L1405" s="11" t="str">
        <f t="shared" si="43"/>
        <v>INSERT INTO metadata_reference.file_schema VALUES('LNK0_GLNK_CULD','AMR1_RISL_DTS',NULL,'TIMESTAMP(6)',NULL,NULL,NULL,NULL,'2025-10-22','9999-12-31',USER, CURRENT_TIMESTAMP(0));</v>
      </c>
    </row>
    <row r="1406" spans="1:12" ht="15" customHeight="1">
      <c r="A1406" s="11" t="str">
        <f>ETLMetadata!$C1406</f>
        <v>LNK0_GLNK_CULD</v>
      </c>
      <c r="B1406" s="11" t="str">
        <f>ETLMetadata!$E1406</f>
        <v>AMR3_RISL_DTS</v>
      </c>
      <c r="C1406" s="11" t="str">
        <f>IF(ISBLANK(ETLMetadata!$J1406), "", ETLMetadata!$J1406)</f>
        <v/>
      </c>
      <c r="D1406" s="11" t="str">
        <f>ETLMetadata!$G1406</f>
        <v>TIMESTAMP(6)</v>
      </c>
      <c r="E1406" s="12"/>
      <c r="F1406" s="12"/>
      <c r="G1406" s="12" t="str">
        <f t="shared" si="42"/>
        <v/>
      </c>
      <c r="H1406" s="12"/>
      <c r="I1406" s="12"/>
      <c r="J1406" s="13">
        <v>45952</v>
      </c>
      <c r="K1406" s="13">
        <v>2958465</v>
      </c>
      <c r="L1406" s="11" t="str">
        <f t="shared" si="43"/>
        <v>INSERT INTO metadata_reference.file_schema VALUES('LNK0_GLNK_CULD','AMR3_RISL_DTS',NULL,'TIMESTAMP(6)',NULL,NULL,NULL,NULL,'2025-10-22','9999-12-31',USER, CURRENT_TIMESTAMP(0));</v>
      </c>
    </row>
    <row r="1407" spans="1:12" ht="15" customHeight="1">
      <c r="A1407" s="11" t="str">
        <f>ETLMetadata!$C1407</f>
        <v>LNK0_GLNK_CULD</v>
      </c>
      <c r="B1407" s="11" t="str">
        <f>ETLMetadata!$E1407</f>
        <v>PARTY_ROLE_ID</v>
      </c>
      <c r="C1407" s="11" t="str">
        <f>IF(ISBLANK(ETLMetadata!$J1407), "", ETLMetadata!$J1407)</f>
        <v/>
      </c>
      <c r="D1407" s="11" t="str">
        <f>ETLMetadata!$G1407</f>
        <v>INTEGER</v>
      </c>
      <c r="E1407" s="12"/>
      <c r="F1407" s="12"/>
      <c r="G1407" s="12" t="str">
        <f t="shared" si="42"/>
        <v/>
      </c>
      <c r="H1407" s="12"/>
      <c r="I1407" s="12"/>
      <c r="J1407" s="13">
        <v>45952</v>
      </c>
      <c r="K1407" s="13">
        <v>2958465</v>
      </c>
      <c r="L1407" s="11" t="str">
        <f t="shared" si="43"/>
        <v>INSERT INTO metadata_reference.file_schema VALUES('LNK0_GLNK_CULD','PARTY_ROLE_ID',NULL,'INTEGER',NULL,NULL,NULL,NULL,'2025-10-22','9999-12-31',USER, CURRENT_TIMESTAMP(0));</v>
      </c>
    </row>
    <row r="1408" spans="1:12" ht="15" customHeight="1">
      <c r="A1408" s="11" t="str">
        <f>ETLMetadata!$C1408</f>
        <v>LNK0_GLNK_CULD</v>
      </c>
      <c r="B1408" s="11" t="str">
        <f>ETLMetadata!$E1408</f>
        <v>RELATED_PARTY_ROLE_ID</v>
      </c>
      <c r="C1408" s="11" t="str">
        <f>IF(ISBLANK(ETLMetadata!$J1408), "", ETLMetadata!$J1408)</f>
        <v/>
      </c>
      <c r="D1408" s="11" t="str">
        <f>ETLMetadata!$G1408</f>
        <v>INTEGER</v>
      </c>
      <c r="E1408" s="12"/>
      <c r="F1408" s="12"/>
      <c r="G1408" s="12" t="str">
        <f t="shared" si="42"/>
        <v/>
      </c>
      <c r="H1408" s="12"/>
      <c r="I1408" s="12"/>
      <c r="J1408" s="13">
        <v>45952</v>
      </c>
      <c r="K1408" s="13">
        <v>2958465</v>
      </c>
      <c r="L1408" s="11" t="str">
        <f t="shared" si="43"/>
        <v>INSERT INTO metadata_reference.file_schema VALUES('LNK0_GLNK_CULD','RELATED_PARTY_ROLE_ID',NULL,'INTEGER',NULL,NULL,NULL,NULL,'2025-10-22','9999-12-31',USER, CURRENT_TIMESTAMP(0));</v>
      </c>
    </row>
    <row r="1409" spans="1:12" ht="15" customHeight="1">
      <c r="A1409" s="11" t="str">
        <f>ETLMetadata!$C1409</f>
        <v>LNK0_GLNK_CULD</v>
      </c>
      <c r="B1409" s="11" t="str">
        <f>ETLMetadata!$E1409</f>
        <v>ERROR_COUNT</v>
      </c>
      <c r="C1409" s="11" t="str">
        <f>IF(ISBLANK(ETLMetadata!$J1409), "", ETLMetadata!$J1409)</f>
        <v/>
      </c>
      <c r="D1409" s="11" t="str">
        <f>ETLMetadata!$G1409</f>
        <v>SMALLINT</v>
      </c>
      <c r="E1409" s="12"/>
      <c r="F1409" s="12"/>
      <c r="G1409" s="12" t="str">
        <f t="shared" si="42"/>
        <v/>
      </c>
      <c r="H1409" s="12"/>
      <c r="I1409" s="12"/>
      <c r="J1409" s="13">
        <v>45952</v>
      </c>
      <c r="K1409" s="13">
        <v>2958465</v>
      </c>
      <c r="L1409" s="11" t="str">
        <f t="shared" si="43"/>
        <v>INSERT INTO metadata_reference.file_schema VALUES('LNK0_GLNK_CULD','ERROR_COUNT',NULL,'SMALLINT',NULL,NULL,NULL,NULL,'2025-10-22','9999-12-31',USER, CURRENT_TIMESTAMP(0));</v>
      </c>
    </row>
    <row r="1410" spans="1:12" ht="15" customHeight="1">
      <c r="A1410" s="11" t="str">
        <f>ETLMetadata!$C1410</f>
        <v>LNK0_GLNK_CULD</v>
      </c>
      <c r="B1410" s="11" t="str">
        <f>ETLMetadata!$E1410</f>
        <v>Start_Date</v>
      </c>
      <c r="C1410" s="11" t="str">
        <f>IF(ISBLANK(ETLMetadata!$J1410), "", ETLMetadata!$J1410)</f>
        <v/>
      </c>
      <c r="D1410" s="11" t="str">
        <f>ETLMetadata!$G1410</f>
        <v>DATE</v>
      </c>
      <c r="E1410" s="12"/>
      <c r="F1410" s="12"/>
      <c r="G1410" s="12" t="str">
        <f t="shared" si="42"/>
        <v/>
      </c>
      <c r="H1410" s="12"/>
      <c r="I1410" s="12"/>
      <c r="J1410" s="13">
        <v>45952</v>
      </c>
      <c r="K1410" s="13">
        <v>2958465</v>
      </c>
      <c r="L1410" s="11" t="str">
        <f t="shared" si="43"/>
        <v>INSERT INTO metadata_reference.file_schema VALUES('LNK0_GLNK_CULD','Start_Date',NULL,'DATE',NULL,NULL,NULL,NULL,'2025-10-22','9999-12-31',USER, CURRENT_TIMESTAMP(0));</v>
      </c>
    </row>
    <row r="1411" spans="1:12" ht="15" customHeight="1">
      <c r="A1411" s="11" t="str">
        <f>ETLMetadata!$C1411</f>
        <v>LNK0_GLNK_CULD</v>
      </c>
      <c r="B1411" s="11" t="str">
        <f>ETLMetadata!$E1411</f>
        <v>End_Date</v>
      </c>
      <c r="C1411" s="11" t="str">
        <f>IF(ISBLANK(ETLMetadata!$J1411), "", ETLMetadata!$J1411)</f>
        <v/>
      </c>
      <c r="D1411" s="11" t="str">
        <f>ETLMetadata!$G1411</f>
        <v>DATE</v>
      </c>
      <c r="E1411" s="12"/>
      <c r="F1411" s="12"/>
      <c r="G1411" s="12" t="str">
        <f t="shared" ref="G1411:G1412" si="44">UPPER($F1411)</f>
        <v/>
      </c>
      <c r="H1411" s="12"/>
      <c r="I1411" s="12"/>
      <c r="J1411" s="13">
        <v>45952</v>
      </c>
      <c r="K1411" s="13">
        <v>2958465</v>
      </c>
      <c r="L1411" s="11" t="str">
        <f t="shared" ref="L1411:L1412" si="45">CONCATENATE("INSERT INTO metadata_reference.file_schema VALUES('",TRIM(A1411),"','",TRIM(B1411),"',",IF(TRIM(C1411)="","NULL","'"&amp;TRIM(C1411)&amp;"'"),",'",TRIM(D1411),"',",IF(TRIM(E1411)="","NULL","'"&amp;TRIM(E1411)&amp;"'"),",",IF(TRIM(G1411)="","NULL","'"&amp;TRIM(G1411)&amp;"'"),",",IF(TRIM(H1411)="","NULL","'"&amp;TRIM(H1411)&amp;"'"),",",
IF(TRIM(I1411)="","NULL",TRIM(I1411)),",",IF(TRIM(J1411)="","NULL","'"&amp;TEXT(J1411,"yyyy-mm-dd")&amp;"'"),",",IF(TRIM(K1411)="","NULL","'"&amp;TEXT(K1411,"yyyy-mm-dd")&amp;"'"),",","USER, CURRENT_TIMESTAMP(0));")</f>
        <v>INSERT INTO metadata_reference.file_schema VALUES('LNK0_GLNK_CULD','End_Date',NULL,'DATE',NULL,NULL,NULL,NULL,'2025-10-22','9999-12-31',USER, CURRENT_TIMESTAMP(0));</v>
      </c>
    </row>
    <row r="1412" spans="1:12" ht="15" customHeight="1">
      <c r="A1412" s="11" t="str">
        <f>ETLMetadata!$C1412</f>
        <v>LNK0_GLNK_CULD</v>
      </c>
      <c r="B1412" s="11" t="str">
        <f>ETLMetadata!$E1412</f>
        <v>Record_Deleted_Flag</v>
      </c>
      <c r="C1412" s="11" t="str">
        <f>IF(ISBLANK(ETLMetadata!$J1412), "", ETLMetadata!$J1412)</f>
        <v/>
      </c>
      <c r="D1412" s="11" t="str">
        <f>ETLMetadata!$G1412</f>
        <v>BYTEINT</v>
      </c>
      <c r="E1412" s="12"/>
      <c r="F1412" s="12"/>
      <c r="G1412" s="12" t="str">
        <f t="shared" si="44"/>
        <v/>
      </c>
      <c r="H1412" s="12"/>
      <c r="I1412" s="12"/>
      <c r="J1412" s="13">
        <v>45952</v>
      </c>
      <c r="K1412" s="13">
        <v>2958465</v>
      </c>
      <c r="L1412" s="11" t="str">
        <f t="shared" si="45"/>
        <v>INSERT INTO metadata_reference.file_schema VALUES('LNK0_GLNK_CULD','Record_Deleted_Flag',NULL,'BYTEINT',NULL,NULL,NULL,NULL,'2025-10-22','9999-12-31',USER, CURRENT_TIMESTAMP(0));</v>
      </c>
    </row>
  </sheetData>
  <autoFilter ref="A1:L1412" xr:uid="{9C43A442-8247-44A2-97BE-05210C28B93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D127A-765A-441A-BC8B-3B039F3A11E5}">
  <dimension ref="A1:V1412"/>
  <sheetViews>
    <sheetView tabSelected="1" workbookViewId="0">
      <pane ySplit="1" topLeftCell="A2" activePane="bottomLeft" state="frozen"/>
      <selection pane="bottomLeft" activeCell="B8" sqref="A1:V1412"/>
    </sheetView>
  </sheetViews>
  <sheetFormatPr defaultRowHeight="12.75"/>
  <cols>
    <col min="1" max="1" width="21.7109375" style="7" customWidth="1"/>
    <col min="2" max="2" width="24.7109375" style="7" bestFit="1" customWidth="1"/>
    <col min="3" max="3" width="39" style="7" customWidth="1"/>
    <col min="4" max="4" width="15" style="7" bestFit="1" customWidth="1"/>
    <col min="5" max="5" width="35" style="7" bestFit="1" customWidth="1"/>
    <col min="6" max="6" width="37.42578125" style="7" bestFit="1" customWidth="1"/>
    <col min="7" max="7" width="16.28515625" style="7" bestFit="1" customWidth="1"/>
    <col min="8" max="8" width="35.28515625" style="7" bestFit="1" customWidth="1"/>
    <col min="9" max="9" width="37.7109375" style="7" bestFit="1" customWidth="1"/>
    <col min="10" max="10" width="28.140625" style="7" bestFit="1" customWidth="1"/>
    <col min="11" max="11" width="22.28515625" style="7" bestFit="1" customWidth="1"/>
    <col min="12" max="12" width="22.28515625" style="7" customWidth="1"/>
    <col min="13" max="13" width="72.28515625" style="7" bestFit="1" customWidth="1"/>
    <col min="14" max="14" width="5.28515625" style="7" bestFit="1" customWidth="1"/>
    <col min="15" max="15" width="26.42578125" style="7" bestFit="1" customWidth="1"/>
    <col min="16" max="16" width="12.7109375" style="7" bestFit="1" customWidth="1"/>
    <col min="17" max="17" width="10.28515625" style="7" customWidth="1"/>
    <col min="18" max="18" width="10.140625" style="7" customWidth="1"/>
    <col min="19" max="19" width="17.42578125" style="7" bestFit="1" customWidth="1"/>
    <col min="20" max="20" width="22.28515625" style="7" bestFit="1" customWidth="1"/>
    <col min="21" max="21" width="22.5703125" style="7" bestFit="1" customWidth="1"/>
    <col min="22" max="22" width="16.85546875" style="7" bestFit="1" customWidth="1"/>
    <col min="23" max="16384" width="9.140625" style="7"/>
  </cols>
  <sheetData>
    <row r="1" spans="1:22" ht="15">
      <c r="A1" s="3" t="s">
        <v>61</v>
      </c>
      <c r="B1" s="4" t="s">
        <v>804</v>
      </c>
      <c r="C1" s="4" t="s">
        <v>805</v>
      </c>
      <c r="D1" s="4" t="s">
        <v>806</v>
      </c>
      <c r="E1" s="15" t="s">
        <v>807</v>
      </c>
      <c r="F1" s="15" t="s">
        <v>808</v>
      </c>
      <c r="G1" s="15" t="s">
        <v>809</v>
      </c>
      <c r="H1" s="14" t="s">
        <v>810</v>
      </c>
      <c r="I1" s="14" t="s">
        <v>811</v>
      </c>
      <c r="J1" s="14" t="s">
        <v>812</v>
      </c>
      <c r="K1" s="5" t="s">
        <v>813</v>
      </c>
      <c r="L1" s="5" t="s">
        <v>814</v>
      </c>
      <c r="M1" s="6" t="s">
        <v>815</v>
      </c>
      <c r="N1" s="6" t="s">
        <v>816</v>
      </c>
      <c r="O1" s="6" t="s">
        <v>817</v>
      </c>
      <c r="P1" s="6" t="s">
        <v>818</v>
      </c>
      <c r="Q1" s="5" t="s">
        <v>819</v>
      </c>
      <c r="R1" s="5" t="s">
        <v>820</v>
      </c>
      <c r="S1" s="5" t="s">
        <v>821</v>
      </c>
      <c r="T1" s="5" t="s">
        <v>822</v>
      </c>
      <c r="U1" s="5" t="s">
        <v>823</v>
      </c>
      <c r="V1" s="6" t="s">
        <v>824</v>
      </c>
    </row>
    <row r="2" spans="1:22">
      <c r="A2" s="7" t="str">
        <f>TRIM(ETLMetadata!$B2)</f>
        <v>CLK</v>
      </c>
      <c r="B2" s="7" t="str">
        <f>TRIM(ETLMetadata!$C2)</f>
        <v>CIRC_PORT_PODT</v>
      </c>
      <c r="C2" s="7" t="str">
        <f>TRIM(ETLMetadata!$F2)</f>
        <v>EXTRACT_DATE</v>
      </c>
      <c r="D2" s="7" t="str">
        <f>TRIM(ETLMetadata!$H2)</f>
        <v>StringType()</v>
      </c>
      <c r="E2" s="7" t="str">
        <f>CONCATENATE($A2,"_",B2)</f>
        <v>CLK_CIRC_PORT_PODT</v>
      </c>
      <c r="F2" s="7" t="str">
        <f>IF($C2="Start_Date","STRT_DT",
 IF($C2="End_Date","END_DT",
 IF($C2="Record_Deleted_Flag","RCRD_DEL_IND",
 IF($C2="IsDeleted","RCRD_DEL_IND",
 $C2
))))</f>
        <v>EXTRACT_DATE</v>
      </c>
      <c r="G2" s="7" t="s">
        <v>825</v>
      </c>
      <c r="H2" s="7" t="str">
        <f>CONCATENATE($A2,"_",$B2)</f>
        <v>CLK_CIRC_PORT_PODT</v>
      </c>
      <c r="I2" s="7" t="str">
        <f>IF($C2="Start_Date","STRT_DT",
 IF($C2="End_Date","END_DT",
 IF($C2="Record_Deleted_Flag","RCRD_DEL_IND",
 IF($C2="IsDeleted","RCRD_DEL_IND",
 $C2
))))</f>
        <v>EXTRACT_DATE</v>
      </c>
      <c r="J2" s="7" t="str">
        <f>IF(LEFT(TRIM($K2),7)="VARCHAR","VARCHAR",
 IF(LEFT(TRIM($K2),4)="CHAR","VARCHAR",
 IF(TRIM($K2)="TIMESTAMP(6)","TIMESTAMP",
 IF(TRIM($K2)="DATE","DATE",
 IF(TRIM($K2)="BYTEINT","SMALLINT",
 IF(TRIM($K2)="SMALLINT","SMALLINT",
 IF(TRIM($K2)="INTEGER","INTEGER",
 IF(TRIM($K2)="BIGINT","INTEGER",
 IF(LEFT(TRIM($K2),7)="DECIMAL",TRIM($K2),
 IF(TRIM($K2)="BOOLEAN","BOOLEAN",
 IF(TRIM($K2)="DOUBLE","DOUBLE",
 IF(TRIM($K2)="FLOAT","FLOAT",
 IF(TRIM($K2)="REAL","REAL",
 IF(LEFT(TRIM($K2),6)="STRUCT","VARIANT",
 IF(LEFT(TRIM($K2),5)="ARRAY","VARIANT",
 IF(LEFT(TRIM($K2),3)="MAP","VARIANT",
 IF(LEFT(TRIM($K2),3)="ROW","VARIANT",
 "NONE"
)))))))))))))))))</f>
        <v>DATE</v>
      </c>
      <c r="K2" s="7" t="str">
        <f>TRIM(ETLMetadata!$G2)</f>
        <v>DATE</v>
      </c>
      <c r="L2" s="7" t="str">
        <f>TRIM(ETLMetadata!$I2)</f>
        <v>YYYY-MM-DD</v>
      </c>
      <c r="M2" s="7" t="str">
        <f>IF(LEFT($K2,7)="VARCHAR","NULLIF(TRIM("&amp;$I2&amp;"),'')",
 IF(LEFT($K2,4)="CHAR","NULLIF(TRIM("&amp;$I2&amp;"),'')",
 IF(LEFT($K2,7)="DECIMAL","CAST(NULLIF(TRIM("&amp;$I2&amp;"),'') AS "&amp;$K2&amp;")",
 IF($K2="TIMESTAMP(6)","TO_TIMESTAMP_NTZ(NULLIF(TRIM("&amp;$I2&amp;"),''),'YYYY-MM-DD HH24:MI:SS.FF6')",
 IF($K2="DATE","TO_DATE(NULLIF(TRIM("&amp;$I2&amp;"),'') , 'YYYY-MM-DD')",
 IF($K2="BIGINT","CAST(NULLIF(TRIM("&amp;I2&amp;"),'') AS INTEGER)",
 IF($K2="BYTEINT","CAST(NULLIF(TRIM("&amp;I2&amp;"),'') AS SMALLINT)",
 IF($K2="SMALLINT","CAST(NULLIF(TRIM("&amp;I2&amp;"),'') AS SMALLINT)",
 IF($K2="INTEGER","CAST(NULLIF(TRIM("&amp;I2&amp;"),'') AS INTEGER)",
 IF($K2="BOOLEAN","CAST(NULLIF(TRIM("&amp;I2&amp;"),'') AS BOOLEAN)",
 IF($K2="DOUBLE","CAST(NULLIF(TRIM("&amp;I2&amp;"),'') AS DOUBLE)",
 IF($K2="FLOAT","CAST(NULLIF(TRIM("&amp;I2&amp;"),'') AS FLOAT)",
 IF($K2="REAL","CAST(NULLIF(TRIM("&amp;I2&amp;"),'') AS REAL)",
 IF(OR($K2="STRUCT",$K2="ARRAY",$K2="MAP",$K2="ROW"),"CAST(NULLIF(TRIM("&amp;I2&amp;"),'') AS VARIANT)",
 "NONE"
))))))))))))))</f>
        <v>TO_DATE(NULLIF(TRIM(EXTRACT_DATE),'') , 'YYYY-MM-DD')</v>
      </c>
      <c r="N2" s="7" t="str">
        <f>TRIM(ETLMetadata!$J2)</f>
        <v/>
      </c>
      <c r="O2" s="8" t="str">
        <f>IF(TRIM(Classification!$G2)="","NOT CONFIDENTIAL",TRIM(Classification!$G2))</f>
        <v>NOT CONFIDENTIAL</v>
      </c>
      <c r="P2" s="7" t="str">
        <f>IF($C2="Start_Date","N",
 IF($C2="End_Date","N",
 IF($C2="Record_Deleted_Flag","N",
 IF($C2="IsDeleted","N",
 "Y"
))))</f>
        <v>Y</v>
      </c>
      <c r="Q2" s="7" t="s">
        <v>826</v>
      </c>
      <c r="R2" s="9">
        <v>2958465</v>
      </c>
      <c r="S2" s="7" t="s">
        <v>827</v>
      </c>
      <c r="T2" s="7" t="s">
        <v>828</v>
      </c>
      <c r="U2" s="7" t="str">
        <f>CONCATENATE(A2,"_",B2,"_V")</f>
        <v>CLK_CIRC_PORT_PODT_V</v>
      </c>
      <c r="V2" s="7" t="s">
        <v>829</v>
      </c>
    </row>
    <row r="3" spans="1:22">
      <c r="A3" s="7" t="str">
        <f>TRIM(ETLMetadata!$B3)</f>
        <v>CLK</v>
      </c>
      <c r="B3" s="7" t="str">
        <f>TRIM(ETLMetadata!$C3)</f>
        <v>CIRC_PORT_PODT</v>
      </c>
      <c r="C3" s="7" t="str">
        <f>TRIM(ETLMetadata!$F3)</f>
        <v>LOGICAL_DELETE_DATE</v>
      </c>
      <c r="D3" s="7" t="str">
        <f>TRIM(ETLMetadata!$H3)</f>
        <v>StringType()</v>
      </c>
      <c r="E3" s="7" t="str">
        <f t="shared" ref="E3:E30" si="0">CONCATENATE($A3,"_",B3)</f>
        <v>CLK_CIRC_PORT_PODT</v>
      </c>
      <c r="F3" s="7" t="str">
        <f t="shared" ref="F3:F66" si="1">IF($C3="Start_Date","STRT_DT",
 IF($C3="End_Date","END_DT",
 IF($C3="Record_Deleted_Flag","RCRD_DEL_IND",
 IF($C3="IsDeleted","RCRD_DEL_IND",
 $C3
))))</f>
        <v>LOGICAL_DELETE_DATE</v>
      </c>
      <c r="G3" s="7" t="s">
        <v>825</v>
      </c>
      <c r="H3" s="7" t="str">
        <f t="shared" ref="H3:H66" si="2">CONCATENATE($A3,"_",$B3)</f>
        <v>CLK_CIRC_PORT_PODT</v>
      </c>
      <c r="I3" s="7" t="str">
        <f t="shared" ref="I3:I66" si="3">IF($C3="Start_Date","STRT_DT",
 IF($C3="End_Date","END_DT",
 IF($C3="Record_Deleted_Flag","RCRD_DEL_IND",
 IF($C3="IsDeleted","RCRD_DEL_IND",
 $C3
))))</f>
        <v>LOGICAL_DELETE_DATE</v>
      </c>
      <c r="J3" s="7" t="str">
        <f t="shared" ref="J3:J66" si="4">IF(LEFT(TRIM($K3),7)="VARCHAR","VARCHAR",
 IF(LEFT(TRIM($K3),4)="CHAR","VARCHAR",
 IF(TRIM($K3)="TIMESTAMP(6)","TIMESTAMP",
 IF(TRIM($K3)="DATE","DATE",
 IF(TRIM($K3)="BYTEINT","SMALLINT",
 IF(TRIM($K3)="SMALLINT","SMALLINT",
 IF(TRIM($K3)="INTEGER","INTEGER",
 IF(TRIM($K3)="BIGINT","INTEGER",
 IF(LEFT(TRIM($K3),7)="DECIMAL",TRIM($K3),
 IF(TRIM($K3)="BOOLEAN","BOOLEAN",
 IF(TRIM($K3)="DOUBLE","DOUBLE",
 IF(TRIM($K3)="FLOAT","FLOAT",
 IF(TRIM($K3)="REAL","REAL",
 IF(LEFT(TRIM($K3),6)="STRUCT","VARIANT",
 IF(LEFT(TRIM($K3),5)="ARRAY","VARIANT",
 IF(LEFT(TRIM($K3),3)="MAP","VARIANT",
 IF(LEFT(TRIM($K3),3)="ROW","VARIANT",
 "NONE"
)))))))))))))))))</f>
        <v>DATE</v>
      </c>
      <c r="K3" s="7" t="str">
        <f>TRIM(ETLMetadata!$G3)</f>
        <v>DATE</v>
      </c>
      <c r="L3" s="7" t="str">
        <f>TRIM(ETLMetadata!$I3)</f>
        <v>YYYY-MM-DD</v>
      </c>
      <c r="M3" s="7" t="str">
        <f t="shared" ref="M3:M66" si="5">IF(LEFT($K3,7)="VARCHAR","NULLIF(TRIM("&amp;$I3&amp;"),'')",
 IF(LEFT($K3,4)="CHAR","NULLIF(TRIM("&amp;$I3&amp;"),'')",
 IF(LEFT($K3,7)="DECIMAL","CAST(NULLIF(TRIM("&amp;$I3&amp;"),'') AS "&amp;$K3&amp;")",
 IF($K3="TIMESTAMP(6)","TO_TIMESTAMP_NTZ(NULLIF(TRIM("&amp;$I3&amp;"),''),'YYYY-MM-DD HH24:MI:SS.FF6')",
 IF($K3="DATE","TO_DATE(NULLIF(TRIM("&amp;$I3&amp;"),'') , 'YYYY-MM-DD')",
 IF($K3="BIGINT","CAST(NULLIF(TRIM("&amp;I3&amp;"),'') AS INTEGER)",
 IF($K3="BYTEINT","CAST(NULLIF(TRIM("&amp;I3&amp;"),'') AS SMALLINT)",
 IF($K3="SMALLINT","CAST(NULLIF(TRIM("&amp;I3&amp;"),'') AS SMALLINT)",
 IF($K3="INTEGER","CAST(NULLIF(TRIM("&amp;I3&amp;"),'') AS INTEGER)",
 IF($K3="BOOLEAN","CAST(NULLIF(TRIM("&amp;I3&amp;"),'') AS BOOLEAN)",
 IF($K3="DOUBLE","CAST(NULLIF(TRIM("&amp;I3&amp;"),'') AS DOUBLE)",
 IF($K3="FLOAT","CAST(NULLIF(TRIM("&amp;I3&amp;"),'') AS FLOAT)",
 IF($K3="REAL","CAST(NULLIF(TRIM("&amp;I3&amp;"),'') AS REAL)",
 IF(OR($K3="STRUCT",$K3="ARRAY",$K3="MAP",$K3="ROW"),"CAST(NULLIF(TRIM("&amp;I3&amp;"),'') AS VARIANT)",
 "NONE"
))))))))))))))</f>
        <v>TO_DATE(NULLIF(TRIM(LOGICAL_DELETE_DATE),'') , 'YYYY-MM-DD')</v>
      </c>
      <c r="N3" s="7" t="str">
        <f>TRIM(ETLMetadata!$J3)</f>
        <v/>
      </c>
      <c r="O3" s="8" t="str">
        <f>IF(TRIM(Classification!$G3)="","NOT CONFIDENTIAL",TRIM(Classification!$G3))</f>
        <v>NOT CONFIDENTIAL</v>
      </c>
      <c r="P3" s="7" t="str">
        <f t="shared" ref="P3:P66" si="6">IF($C3="Start_Date","N",
 IF($C3="End_Date","N",
 IF($C3="Record_Deleted_Flag","N",
 IF($C3="IsDeleted","N",
 "Y"
))))</f>
        <v>Y</v>
      </c>
      <c r="Q3" s="7" t="s">
        <v>826</v>
      </c>
      <c r="R3" s="9">
        <v>2958465</v>
      </c>
      <c r="S3" s="7" t="s">
        <v>827</v>
      </c>
      <c r="T3" s="7" t="s">
        <v>828</v>
      </c>
      <c r="U3" s="7" t="str">
        <f t="shared" ref="U3:U30" si="7">CONCATENATE(A3,"_",B3,"_V")</f>
        <v>CLK_CIRC_PORT_PODT_V</v>
      </c>
      <c r="V3" s="7" t="s">
        <v>829</v>
      </c>
    </row>
    <row r="4" spans="1:22">
      <c r="A4" s="7" t="str">
        <f>TRIM(ETLMetadata!$B4)</f>
        <v>CLK</v>
      </c>
      <c r="B4" s="7" t="str">
        <f>TRIM(ETLMetadata!$C4)</f>
        <v>CIRC_PORT_PODT</v>
      </c>
      <c r="C4" s="7" t="str">
        <f>TRIM(ETLMetadata!$F4)</f>
        <v>ENVIRONMENT_ID</v>
      </c>
      <c r="D4" s="7" t="str">
        <f>TRIM(ETLMetadata!$H4)</f>
        <v>StringType()</v>
      </c>
      <c r="E4" s="7" t="str">
        <f t="shared" si="0"/>
        <v>CLK_CIRC_PORT_PODT</v>
      </c>
      <c r="F4" s="7" t="str">
        <f t="shared" si="1"/>
        <v>ENVIRONMENT_ID</v>
      </c>
      <c r="G4" s="7" t="s">
        <v>825</v>
      </c>
      <c r="H4" s="7" t="str">
        <f t="shared" si="2"/>
        <v>CLK_CIRC_PORT_PODT</v>
      </c>
      <c r="I4" s="7" t="str">
        <f t="shared" si="3"/>
        <v>ENVIRONMENT_ID</v>
      </c>
      <c r="J4" s="7" t="str">
        <f t="shared" si="4"/>
        <v>VARCHAR</v>
      </c>
      <c r="K4" s="7" t="str">
        <f>TRIM(ETLMetadata!$G4)</f>
        <v>CHAR(1)</v>
      </c>
      <c r="L4" s="7" t="str">
        <f>TRIM(ETLMetadata!$I4)</f>
        <v/>
      </c>
      <c r="M4" s="7" t="str">
        <f t="shared" si="5"/>
        <v>NULLIF(TRIM(ENVIRONMENT_ID),'')</v>
      </c>
      <c r="N4" s="7" t="str">
        <f>TRIM(ETLMetadata!$J4)</f>
        <v>Y</v>
      </c>
      <c r="O4" s="8" t="str">
        <f>IF(TRIM(Classification!$G4)="","NOT CONFIDENTIAL",TRIM(Classification!$G4))</f>
        <v>NOT CONFIDENTIAL</v>
      </c>
      <c r="P4" s="7" t="str">
        <f t="shared" si="6"/>
        <v>Y</v>
      </c>
      <c r="Q4" s="7" t="s">
        <v>826</v>
      </c>
      <c r="R4" s="9">
        <v>2958465</v>
      </c>
      <c r="S4" s="7" t="s">
        <v>827</v>
      </c>
      <c r="T4" s="7" t="s">
        <v>828</v>
      </c>
      <c r="U4" s="7" t="str">
        <f t="shared" si="7"/>
        <v>CLK_CIRC_PORT_PODT_V</v>
      </c>
      <c r="V4" s="7" t="s">
        <v>829</v>
      </c>
    </row>
    <row r="5" spans="1:22">
      <c r="A5" s="7" t="str">
        <f>TRIM(ETLMetadata!$B5)</f>
        <v>CLK</v>
      </c>
      <c r="B5" s="7" t="str">
        <f>TRIM(ETLMetadata!$C5)</f>
        <v>CIRC_PORT_PODT</v>
      </c>
      <c r="C5" s="7" t="str">
        <f>TRIM(ETLMetadata!$F5)</f>
        <v>PERSON_ID</v>
      </c>
      <c r="D5" s="7" t="str">
        <f>TRIM(ETLMetadata!$H5)</f>
        <v>StringType()</v>
      </c>
      <c r="E5" s="7" t="str">
        <f t="shared" si="0"/>
        <v>CLK_CIRC_PORT_PODT</v>
      </c>
      <c r="F5" s="7" t="str">
        <f t="shared" si="1"/>
        <v>PERSON_ID</v>
      </c>
      <c r="G5" s="7" t="s">
        <v>825</v>
      </c>
      <c r="H5" s="7" t="str">
        <f t="shared" si="2"/>
        <v>CLK_CIRC_PORT_PODT</v>
      </c>
      <c r="I5" s="7" t="str">
        <f t="shared" si="3"/>
        <v>PERSON_ID</v>
      </c>
      <c r="J5" s="7" t="str">
        <f t="shared" si="4"/>
        <v>INTEGER</v>
      </c>
      <c r="K5" s="7" t="str">
        <f>TRIM(ETLMetadata!$G5)</f>
        <v>INTEGER</v>
      </c>
      <c r="L5" s="7" t="str">
        <f>TRIM(ETLMetadata!$I5)</f>
        <v/>
      </c>
      <c r="M5" s="7" t="str">
        <f t="shared" si="5"/>
        <v>CAST(NULLIF(TRIM(PERSON_ID),'') AS INTEGER)</v>
      </c>
      <c r="N5" s="7" t="str">
        <f>TRIM(ETLMetadata!$J5)</f>
        <v>Y</v>
      </c>
      <c r="O5" s="8" t="str">
        <f>IF(TRIM(Classification!$G5)="","NOT CONFIDENTIAL",TRIM(Classification!$G5))</f>
        <v xml:space="preserve">PERSONAL_IDENTITYINFODIRECT	</v>
      </c>
      <c r="P5" s="7" t="str">
        <f t="shared" si="6"/>
        <v>Y</v>
      </c>
      <c r="Q5" s="7" t="s">
        <v>826</v>
      </c>
      <c r="R5" s="9">
        <v>2958465</v>
      </c>
      <c r="S5" s="7" t="s">
        <v>827</v>
      </c>
      <c r="T5" s="7" t="s">
        <v>828</v>
      </c>
      <c r="U5" s="7" t="str">
        <f t="shared" si="7"/>
        <v>CLK_CIRC_PORT_PODT_V</v>
      </c>
      <c r="V5" s="7" t="s">
        <v>829</v>
      </c>
    </row>
    <row r="6" spans="1:22">
      <c r="A6" s="7" t="str">
        <f>TRIM(ETLMetadata!$B6)</f>
        <v>CLK</v>
      </c>
      <c r="B6" s="7" t="str">
        <f>TRIM(ETLMetadata!$C6)</f>
        <v>CIRC_PORT_PODT</v>
      </c>
      <c r="C6" s="7" t="str">
        <f>TRIM(ETLMetadata!$F6)</f>
        <v>PROCESSING_SEQUENCE</v>
      </c>
      <c r="D6" s="7" t="str">
        <f>TRIM(ETLMetadata!$H6)</f>
        <v>StringType()</v>
      </c>
      <c r="E6" s="7" t="str">
        <f t="shared" si="0"/>
        <v>CLK_CIRC_PORT_PODT</v>
      </c>
      <c r="F6" s="7" t="str">
        <f t="shared" si="1"/>
        <v>PROCESSING_SEQUENCE</v>
      </c>
      <c r="G6" s="7" t="s">
        <v>825</v>
      </c>
      <c r="H6" s="7" t="str">
        <f t="shared" si="2"/>
        <v>CLK_CIRC_PORT_PODT</v>
      </c>
      <c r="I6" s="7" t="str">
        <f t="shared" si="3"/>
        <v>PROCESSING_SEQUENCE</v>
      </c>
      <c r="J6" s="7" t="str">
        <f t="shared" si="4"/>
        <v>SMALLINT</v>
      </c>
      <c r="K6" s="7" t="str">
        <f>TRIM(ETLMetadata!$G6)</f>
        <v>SMALLINT</v>
      </c>
      <c r="L6" s="7" t="str">
        <f>TRIM(ETLMetadata!$I6)</f>
        <v/>
      </c>
      <c r="M6" s="7" t="str">
        <f t="shared" si="5"/>
        <v>CAST(NULLIF(TRIM(PROCESSING_SEQUENCE),'') AS SMALLINT)</v>
      </c>
      <c r="N6" s="7" t="str">
        <f>TRIM(ETLMetadata!$J6)</f>
        <v>Y</v>
      </c>
      <c r="O6" s="8" t="str">
        <f>IF(TRIM(Classification!$G6)="","NOT CONFIDENTIAL",TRIM(Classification!$G6))</f>
        <v>NOT CONFIDENTIAL</v>
      </c>
      <c r="P6" s="7" t="str">
        <f t="shared" si="6"/>
        <v>Y</v>
      </c>
      <c r="Q6" s="7" t="s">
        <v>826</v>
      </c>
      <c r="R6" s="9">
        <v>2958465</v>
      </c>
      <c r="S6" s="7" t="s">
        <v>827</v>
      </c>
      <c r="T6" s="7" t="s">
        <v>828</v>
      </c>
      <c r="U6" s="7" t="str">
        <f t="shared" si="7"/>
        <v>CLK_CIRC_PORT_PODT_V</v>
      </c>
      <c r="V6" s="7" t="s">
        <v>829</v>
      </c>
    </row>
    <row r="7" spans="1:22">
      <c r="A7" s="7" t="str">
        <f>TRIM(ETLMetadata!$B7)</f>
        <v>CLK</v>
      </c>
      <c r="B7" s="7" t="str">
        <f>TRIM(ETLMetadata!$C7)</f>
        <v>CIRC_PORT_PODT</v>
      </c>
      <c r="C7" s="7" t="str">
        <f>TRIM(ETLMetadata!$F7)</f>
        <v>PODT_AMR_1</v>
      </c>
      <c r="D7" s="7" t="str">
        <f>TRIM(ETLMetadata!$H7)</f>
        <v>StringType()</v>
      </c>
      <c r="E7" s="7" t="str">
        <f t="shared" si="0"/>
        <v>CLK_CIRC_PORT_PODT</v>
      </c>
      <c r="F7" s="7" t="str">
        <f t="shared" si="1"/>
        <v>PODT_AMR_1</v>
      </c>
      <c r="G7" s="7" t="s">
        <v>825</v>
      </c>
      <c r="H7" s="7" t="str">
        <f t="shared" si="2"/>
        <v>CLK_CIRC_PORT_PODT</v>
      </c>
      <c r="I7" s="7" t="str">
        <f t="shared" si="3"/>
        <v>PODT_AMR_1</v>
      </c>
      <c r="J7" s="7" t="str">
        <f t="shared" si="4"/>
        <v>VARCHAR</v>
      </c>
      <c r="K7" s="7" t="str">
        <f>TRIM(ETLMetadata!$G7)</f>
        <v>CHAR(4)</v>
      </c>
      <c r="L7" s="7" t="str">
        <f>TRIM(ETLMetadata!$I7)</f>
        <v/>
      </c>
      <c r="M7" s="7" t="str">
        <f t="shared" si="5"/>
        <v>NULLIF(TRIM(PODT_AMR_1),'')</v>
      </c>
      <c r="N7" s="7" t="str">
        <f>TRIM(ETLMetadata!$J7)</f>
        <v/>
      </c>
      <c r="O7" s="8" t="str">
        <f>IF(TRIM(Classification!$G7)="","NOT CONFIDENTIAL",TRIM(Classification!$G7))</f>
        <v>NOT CONFIDENTIAL</v>
      </c>
      <c r="P7" s="7" t="str">
        <f t="shared" si="6"/>
        <v>Y</v>
      </c>
      <c r="Q7" s="7" t="s">
        <v>826</v>
      </c>
      <c r="R7" s="9">
        <v>2958465</v>
      </c>
      <c r="S7" s="7" t="s">
        <v>827</v>
      </c>
      <c r="T7" s="7" t="s">
        <v>828</v>
      </c>
      <c r="U7" s="7" t="str">
        <f t="shared" si="7"/>
        <v>CLK_CIRC_PORT_PODT_V</v>
      </c>
      <c r="V7" s="7" t="s">
        <v>829</v>
      </c>
    </row>
    <row r="8" spans="1:22">
      <c r="A8" s="7" t="str">
        <f>TRIM(ETLMetadata!$B8)</f>
        <v>CLK</v>
      </c>
      <c r="B8" s="7" t="str">
        <f>TRIM(ETLMetadata!$C8)</f>
        <v>CIRC_PORT_PODT</v>
      </c>
      <c r="C8" s="7" t="str">
        <f>TRIM(ETLMetadata!$F8)</f>
        <v>PODT_AMR_2</v>
      </c>
      <c r="D8" s="7" t="str">
        <f>TRIM(ETLMetadata!$H8)</f>
        <v>StringType()</v>
      </c>
      <c r="E8" s="7" t="str">
        <f t="shared" si="0"/>
        <v>CLK_CIRC_PORT_PODT</v>
      </c>
      <c r="F8" s="7" t="str">
        <f t="shared" si="1"/>
        <v>PODT_AMR_2</v>
      </c>
      <c r="G8" s="7" t="s">
        <v>825</v>
      </c>
      <c r="H8" s="7" t="str">
        <f t="shared" si="2"/>
        <v>CLK_CIRC_PORT_PODT</v>
      </c>
      <c r="I8" s="7" t="str">
        <f t="shared" si="3"/>
        <v>PODT_AMR_2</v>
      </c>
      <c r="J8" s="7" t="str">
        <f t="shared" si="4"/>
        <v>VARCHAR</v>
      </c>
      <c r="K8" s="7" t="str">
        <f>TRIM(ETLMetadata!$G8)</f>
        <v>CHAR(1)</v>
      </c>
      <c r="L8" s="7" t="str">
        <f>TRIM(ETLMetadata!$I8)</f>
        <v/>
      </c>
      <c r="M8" s="7" t="str">
        <f t="shared" si="5"/>
        <v>NULLIF(TRIM(PODT_AMR_2),'')</v>
      </c>
      <c r="N8" s="7" t="str">
        <f>TRIM(ETLMetadata!$J8)</f>
        <v/>
      </c>
      <c r="O8" s="8" t="str">
        <f>IF(TRIM(Classification!$G8)="","NOT CONFIDENTIAL",TRIM(Classification!$G8))</f>
        <v>NOT CONFIDENTIAL</v>
      </c>
      <c r="P8" s="7" t="str">
        <f t="shared" si="6"/>
        <v>Y</v>
      </c>
      <c r="Q8" s="7" t="s">
        <v>826</v>
      </c>
      <c r="R8" s="9">
        <v>2958465</v>
      </c>
      <c r="S8" s="7" t="s">
        <v>827</v>
      </c>
      <c r="T8" s="7" t="s">
        <v>828</v>
      </c>
      <c r="U8" s="7" t="str">
        <f t="shared" si="7"/>
        <v>CLK_CIRC_PORT_PODT_V</v>
      </c>
      <c r="V8" s="7" t="s">
        <v>829</v>
      </c>
    </row>
    <row r="9" spans="1:22">
      <c r="A9" s="7" t="str">
        <f>TRIM(ETLMetadata!$B9)</f>
        <v>CLK</v>
      </c>
      <c r="B9" s="7" t="str">
        <f>TRIM(ETLMetadata!$C9)</f>
        <v>CIRC_PORT_PODT</v>
      </c>
      <c r="C9" s="7" t="str">
        <f>TRIM(ETLMetadata!$F9)</f>
        <v>PODT_AMR_3</v>
      </c>
      <c r="D9" s="7" t="str">
        <f>TRIM(ETLMetadata!$H9)</f>
        <v>StringType()</v>
      </c>
      <c r="E9" s="7" t="str">
        <f t="shared" si="0"/>
        <v>CLK_CIRC_PORT_PODT</v>
      </c>
      <c r="F9" s="7" t="str">
        <f t="shared" si="1"/>
        <v>PODT_AMR_3</v>
      </c>
      <c r="G9" s="7" t="s">
        <v>825</v>
      </c>
      <c r="H9" s="7" t="str">
        <f t="shared" si="2"/>
        <v>CLK_CIRC_PORT_PODT</v>
      </c>
      <c r="I9" s="7" t="str">
        <f t="shared" si="3"/>
        <v>PODT_AMR_3</v>
      </c>
      <c r="J9" s="7" t="str">
        <f t="shared" si="4"/>
        <v>VARCHAR</v>
      </c>
      <c r="K9" s="7" t="str">
        <f>TRIM(ETLMetadata!$G9)</f>
        <v>CHAR(4)</v>
      </c>
      <c r="L9" s="7" t="str">
        <f>TRIM(ETLMetadata!$I9)</f>
        <v/>
      </c>
      <c r="M9" s="7" t="str">
        <f t="shared" si="5"/>
        <v>NULLIF(TRIM(PODT_AMR_3),'')</v>
      </c>
      <c r="N9" s="7" t="str">
        <f>TRIM(ETLMetadata!$J9)</f>
        <v/>
      </c>
      <c r="O9" s="8" t="str">
        <f>IF(TRIM(Classification!$G9)="","NOT CONFIDENTIAL",TRIM(Classification!$G9))</f>
        <v>NOT CONFIDENTIAL</v>
      </c>
      <c r="P9" s="7" t="str">
        <f t="shared" si="6"/>
        <v>Y</v>
      </c>
      <c r="Q9" s="7" t="s">
        <v>826</v>
      </c>
      <c r="R9" s="9">
        <v>2958465</v>
      </c>
      <c r="S9" s="7" t="s">
        <v>827</v>
      </c>
      <c r="T9" s="7" t="s">
        <v>828</v>
      </c>
      <c r="U9" s="7" t="str">
        <f t="shared" si="7"/>
        <v>CLK_CIRC_PORT_PODT_V</v>
      </c>
      <c r="V9" s="7" t="s">
        <v>829</v>
      </c>
    </row>
    <row r="10" spans="1:22">
      <c r="A10" s="7" t="str">
        <f>TRIM(ETLMetadata!$B10)</f>
        <v>CLK</v>
      </c>
      <c r="B10" s="7" t="str">
        <f>TRIM(ETLMetadata!$C10)</f>
        <v>CIRC_PORT_PODT</v>
      </c>
      <c r="C10" s="7" t="str">
        <f>TRIM(ETLMetadata!$F10)</f>
        <v>PODT_EXPCT_STAY_LEN_CODE</v>
      </c>
      <c r="D10" s="7" t="str">
        <f>TRIM(ETLMetadata!$H10)</f>
        <v>StringType()</v>
      </c>
      <c r="E10" s="7" t="str">
        <f t="shared" si="0"/>
        <v>CLK_CIRC_PORT_PODT</v>
      </c>
      <c r="F10" s="7" t="str">
        <f t="shared" si="1"/>
        <v>PODT_EXPCT_STAY_LEN_CODE</v>
      </c>
      <c r="G10" s="7" t="s">
        <v>825</v>
      </c>
      <c r="H10" s="7" t="str">
        <f t="shared" si="2"/>
        <v>CLK_CIRC_PORT_PODT</v>
      </c>
      <c r="I10" s="7" t="str">
        <f t="shared" si="3"/>
        <v>PODT_EXPCT_STAY_LEN_CODE</v>
      </c>
      <c r="J10" s="7" t="str">
        <f t="shared" si="4"/>
        <v>VARCHAR</v>
      </c>
      <c r="K10" s="7" t="str">
        <f>TRIM(ETLMetadata!$G10)</f>
        <v>CHAR(3)</v>
      </c>
      <c r="L10" s="7" t="str">
        <f>TRIM(ETLMetadata!$I10)</f>
        <v/>
      </c>
      <c r="M10" s="7" t="str">
        <f t="shared" si="5"/>
        <v>NULLIF(TRIM(PODT_EXPCT_STAY_LEN_CODE),'')</v>
      </c>
      <c r="N10" s="7" t="str">
        <f>TRIM(ETLMetadata!$J10)</f>
        <v/>
      </c>
      <c r="O10" s="8" t="str">
        <f>IF(TRIM(Classification!$G10)="","NOT CONFIDENTIAL",TRIM(Classification!$G10))</f>
        <v>NOT CONFIDENTIAL</v>
      </c>
      <c r="P10" s="7" t="str">
        <f t="shared" si="6"/>
        <v>Y</v>
      </c>
      <c r="Q10" s="7" t="s">
        <v>826</v>
      </c>
      <c r="R10" s="9">
        <v>2958465</v>
      </c>
      <c r="S10" s="7" t="s">
        <v>827</v>
      </c>
      <c r="T10" s="7" t="s">
        <v>828</v>
      </c>
      <c r="U10" s="7" t="str">
        <f t="shared" si="7"/>
        <v>CLK_CIRC_PORT_PODT_V</v>
      </c>
      <c r="V10" s="7" t="s">
        <v>829</v>
      </c>
    </row>
    <row r="11" spans="1:22">
      <c r="A11" s="7" t="str">
        <f>TRIM(ETLMetadata!$B11)</f>
        <v>CLK</v>
      </c>
      <c r="B11" s="7" t="str">
        <f>TRIM(ETLMetadata!$C11)</f>
        <v>CIRC_PORT_PODT</v>
      </c>
      <c r="C11" s="7" t="str">
        <f>TRIM(ETLMetadata!$F11)</f>
        <v>PODT_AUS_DPRT_DATE</v>
      </c>
      <c r="D11" s="7" t="str">
        <f>TRIM(ETLMetadata!$H11)</f>
        <v>StringType()</v>
      </c>
      <c r="E11" s="7" t="str">
        <f t="shared" si="0"/>
        <v>CLK_CIRC_PORT_PODT</v>
      </c>
      <c r="F11" s="7" t="str">
        <f t="shared" si="1"/>
        <v>PODT_AUS_DPRT_DATE</v>
      </c>
      <c r="G11" s="7" t="s">
        <v>825</v>
      </c>
      <c r="H11" s="7" t="str">
        <f t="shared" si="2"/>
        <v>CLK_CIRC_PORT_PODT</v>
      </c>
      <c r="I11" s="7" t="str">
        <f t="shared" si="3"/>
        <v>PODT_AUS_DPRT_DATE</v>
      </c>
      <c r="J11" s="7" t="str">
        <f t="shared" si="4"/>
        <v>DATE</v>
      </c>
      <c r="K11" s="17" t="s">
        <v>80</v>
      </c>
      <c r="L11" s="7" t="str">
        <f>TRIM(ETLMetadata!$I11)</f>
        <v>YYYY-MM-DD</v>
      </c>
      <c r="M11" s="7" t="str">
        <f t="shared" si="5"/>
        <v>TO_DATE(NULLIF(TRIM(PODT_AUS_DPRT_DATE),'') , 'YYYY-MM-DD')</v>
      </c>
      <c r="N11" s="7" t="str">
        <f>TRIM(ETLMetadata!$J11)</f>
        <v/>
      </c>
      <c r="O11" s="8" t="str">
        <f>IF(TRIM(Classification!$G11)="","NOT CONFIDENTIAL",TRIM(Classification!$G11))</f>
        <v>NOT CONFIDENTIAL</v>
      </c>
      <c r="P11" s="7" t="str">
        <f t="shared" si="6"/>
        <v>Y</v>
      </c>
      <c r="Q11" s="7" t="s">
        <v>826</v>
      </c>
      <c r="R11" s="9">
        <v>2958465</v>
      </c>
      <c r="S11" s="7" t="s">
        <v>827</v>
      </c>
      <c r="T11" s="7" t="s">
        <v>828</v>
      </c>
      <c r="U11" s="7" t="str">
        <f t="shared" si="7"/>
        <v>CLK_CIRC_PORT_PODT_V</v>
      </c>
      <c r="V11" s="7" t="s">
        <v>829</v>
      </c>
    </row>
    <row r="12" spans="1:22">
      <c r="A12" s="7" t="str">
        <f>TRIM(ETLMetadata!$B12)</f>
        <v>CLK</v>
      </c>
      <c r="B12" s="7" t="str">
        <f>TRIM(ETLMetadata!$C12)</f>
        <v>CIRC_PORT_PODT</v>
      </c>
      <c r="C12" s="7" t="str">
        <f>TRIM(ETLMetadata!$F12)</f>
        <v>PODT_AUS_DPRT_DATE_ORIG</v>
      </c>
      <c r="D12" s="7" t="str">
        <f>TRIM(ETLMetadata!$H12)</f>
        <v>StringType()</v>
      </c>
      <c r="E12" s="7" t="str">
        <f t="shared" si="0"/>
        <v>CLK_CIRC_PORT_PODT</v>
      </c>
      <c r="F12" s="7" t="str">
        <f t="shared" si="1"/>
        <v>PODT_AUS_DPRT_DATE_ORIG</v>
      </c>
      <c r="G12" s="7" t="s">
        <v>825</v>
      </c>
      <c r="H12" s="7" t="str">
        <f t="shared" si="2"/>
        <v>CLK_CIRC_PORT_PODT</v>
      </c>
      <c r="I12" s="7" t="str">
        <f t="shared" si="3"/>
        <v>PODT_AUS_DPRT_DATE_ORIG</v>
      </c>
      <c r="J12" s="7" t="str">
        <f t="shared" si="4"/>
        <v>INTEGER</v>
      </c>
      <c r="K12" s="17" t="s">
        <v>90</v>
      </c>
      <c r="L12" s="7" t="str">
        <f>TRIM(ETLMetadata!$I12)</f>
        <v/>
      </c>
      <c r="M12" s="7" t="str">
        <f t="shared" si="5"/>
        <v>CAST(NULLIF(TRIM(PODT_AUS_DPRT_DATE_ORIG),'') AS INTEGER)</v>
      </c>
      <c r="N12" s="7" t="str">
        <f>TRIM(ETLMetadata!$J12)</f>
        <v/>
      </c>
      <c r="O12" s="8" t="str">
        <f>IF(TRIM(Classification!$G12)="","NOT CONFIDENTIAL",TRIM(Classification!$G12))</f>
        <v>NOT CONFIDENTIAL</v>
      </c>
      <c r="P12" s="7" t="str">
        <f t="shared" si="6"/>
        <v>Y</v>
      </c>
      <c r="Q12" s="7" t="s">
        <v>826</v>
      </c>
      <c r="R12" s="9">
        <v>2958465</v>
      </c>
      <c r="S12" s="7" t="s">
        <v>827</v>
      </c>
      <c r="T12" s="7" t="s">
        <v>828</v>
      </c>
      <c r="U12" s="7" t="str">
        <f t="shared" si="7"/>
        <v>CLK_CIRC_PORT_PODT_V</v>
      </c>
      <c r="V12" s="7" t="s">
        <v>829</v>
      </c>
    </row>
    <row r="13" spans="1:22">
      <c r="A13" s="7" t="str">
        <f>TRIM(ETLMetadata!$B13)</f>
        <v>CLK</v>
      </c>
      <c r="B13" s="7" t="str">
        <f>TRIM(ETLMetadata!$C13)</f>
        <v>CIRC_PORT_PODT</v>
      </c>
      <c r="C13" s="7" t="str">
        <f>TRIM(ETLMetadata!$F13)</f>
        <v>PODT_AUS_RTN_DATE</v>
      </c>
      <c r="D13" s="7" t="str">
        <f>TRIM(ETLMetadata!$H13)</f>
        <v>StringType()</v>
      </c>
      <c r="E13" s="7" t="str">
        <f t="shared" si="0"/>
        <v>CLK_CIRC_PORT_PODT</v>
      </c>
      <c r="F13" s="7" t="str">
        <f t="shared" si="1"/>
        <v>PODT_AUS_RTN_DATE</v>
      </c>
      <c r="G13" s="7" t="s">
        <v>825</v>
      </c>
      <c r="H13" s="7" t="str">
        <f t="shared" si="2"/>
        <v>CLK_CIRC_PORT_PODT</v>
      </c>
      <c r="I13" s="7" t="str">
        <f t="shared" si="3"/>
        <v>PODT_AUS_RTN_DATE</v>
      </c>
      <c r="J13" s="7" t="str">
        <f t="shared" si="4"/>
        <v>DATE</v>
      </c>
      <c r="K13" s="17" t="s">
        <v>80</v>
      </c>
      <c r="L13" s="7" t="str">
        <f>TRIM(ETLMetadata!$I13)</f>
        <v>YYYY-MM-DD</v>
      </c>
      <c r="M13" s="7" t="str">
        <f t="shared" si="5"/>
        <v>TO_DATE(NULLIF(TRIM(PODT_AUS_RTN_DATE),'') , 'YYYY-MM-DD')</v>
      </c>
      <c r="N13" s="7" t="str">
        <f>TRIM(ETLMetadata!$J13)</f>
        <v/>
      </c>
      <c r="O13" s="8" t="str">
        <f>IF(TRIM(Classification!$G13)="","NOT CONFIDENTIAL",TRIM(Classification!$G13))</f>
        <v>NOT CONFIDENTIAL</v>
      </c>
      <c r="P13" s="7" t="str">
        <f t="shared" si="6"/>
        <v>Y</v>
      </c>
      <c r="Q13" s="7" t="s">
        <v>826</v>
      </c>
      <c r="R13" s="9">
        <v>2958465</v>
      </c>
      <c r="S13" s="7" t="s">
        <v>827</v>
      </c>
      <c r="T13" s="7" t="s">
        <v>828</v>
      </c>
      <c r="U13" s="7" t="str">
        <f t="shared" si="7"/>
        <v>CLK_CIRC_PORT_PODT_V</v>
      </c>
      <c r="V13" s="7" t="s">
        <v>829</v>
      </c>
    </row>
    <row r="14" spans="1:22">
      <c r="A14" s="7" t="str">
        <f>TRIM(ETLMetadata!$B14)</f>
        <v>CLK</v>
      </c>
      <c r="B14" s="7" t="str">
        <f>TRIM(ETLMetadata!$C14)</f>
        <v>CIRC_PORT_PODT</v>
      </c>
      <c r="C14" s="7" t="str">
        <f>TRIM(ETLMetadata!$F14)</f>
        <v>PODT_AUS_RTN_DATE_ORIG</v>
      </c>
      <c r="D14" s="7" t="str">
        <f>TRIM(ETLMetadata!$H14)</f>
        <v>StringType()</v>
      </c>
      <c r="E14" s="7" t="str">
        <f t="shared" si="0"/>
        <v>CLK_CIRC_PORT_PODT</v>
      </c>
      <c r="F14" s="7" t="str">
        <f t="shared" si="1"/>
        <v>PODT_AUS_RTN_DATE_ORIG</v>
      </c>
      <c r="G14" s="7" t="s">
        <v>825</v>
      </c>
      <c r="H14" s="7" t="str">
        <f t="shared" si="2"/>
        <v>CLK_CIRC_PORT_PODT</v>
      </c>
      <c r="I14" s="7" t="str">
        <f t="shared" si="3"/>
        <v>PODT_AUS_RTN_DATE_ORIG</v>
      </c>
      <c r="J14" s="7" t="str">
        <f t="shared" si="4"/>
        <v>INTEGER</v>
      </c>
      <c r="K14" s="17" t="s">
        <v>90</v>
      </c>
      <c r="L14" s="7" t="str">
        <f>TRIM(ETLMetadata!$I14)</f>
        <v/>
      </c>
      <c r="M14" s="7" t="str">
        <f t="shared" si="5"/>
        <v>CAST(NULLIF(TRIM(PODT_AUS_RTN_DATE_ORIG),'') AS INTEGER)</v>
      </c>
      <c r="N14" s="7" t="str">
        <f>TRIM(ETLMetadata!$J14)</f>
        <v/>
      </c>
      <c r="O14" s="8" t="str">
        <f>IF(TRIM(Classification!$G14)="","NOT CONFIDENTIAL",TRIM(Classification!$G14))</f>
        <v>NOT CONFIDENTIAL</v>
      </c>
      <c r="P14" s="7" t="str">
        <f t="shared" si="6"/>
        <v>Y</v>
      </c>
      <c r="Q14" s="7" t="s">
        <v>826</v>
      </c>
      <c r="R14" s="9">
        <v>2958465</v>
      </c>
      <c r="S14" s="7" t="s">
        <v>827</v>
      </c>
      <c r="T14" s="7" t="s">
        <v>828</v>
      </c>
      <c r="U14" s="7" t="str">
        <f t="shared" si="7"/>
        <v>CLK_CIRC_PORT_PODT_V</v>
      </c>
      <c r="V14" s="7" t="s">
        <v>829</v>
      </c>
    </row>
    <row r="15" spans="1:22">
      <c r="A15" s="7" t="str">
        <f>TRIM(ETLMetadata!$B15)</f>
        <v>CLK</v>
      </c>
      <c r="B15" s="7" t="str">
        <f>TRIM(ETLMetadata!$C15)</f>
        <v>CIRC_PORT_PODT</v>
      </c>
      <c r="C15" s="7" t="str">
        <f>TRIM(ETLMetadata!$F15)</f>
        <v>PODT_DPRT_CERT_CODE</v>
      </c>
      <c r="D15" s="7" t="str">
        <f>TRIM(ETLMetadata!$H15)</f>
        <v>StringType()</v>
      </c>
      <c r="E15" s="7" t="str">
        <f t="shared" si="0"/>
        <v>CLK_CIRC_PORT_PODT</v>
      </c>
      <c r="F15" s="7" t="str">
        <f t="shared" si="1"/>
        <v>PODT_DPRT_CERT_CODE</v>
      </c>
      <c r="G15" s="7" t="s">
        <v>825</v>
      </c>
      <c r="H15" s="7" t="str">
        <f t="shared" si="2"/>
        <v>CLK_CIRC_PORT_PODT</v>
      </c>
      <c r="I15" s="7" t="str">
        <f t="shared" si="3"/>
        <v>PODT_DPRT_CERT_CODE</v>
      </c>
      <c r="J15" s="7" t="str">
        <f t="shared" si="4"/>
        <v>VARCHAR</v>
      </c>
      <c r="K15" s="7" t="str">
        <f>TRIM(ETLMetadata!$G15)</f>
        <v>CHAR(3)</v>
      </c>
      <c r="L15" s="7" t="str">
        <f>TRIM(ETLMetadata!$I15)</f>
        <v/>
      </c>
      <c r="M15" s="7" t="str">
        <f t="shared" si="5"/>
        <v>NULLIF(TRIM(PODT_DPRT_CERT_CODE),'')</v>
      </c>
      <c r="N15" s="7" t="str">
        <f>TRIM(ETLMetadata!$J15)</f>
        <v/>
      </c>
      <c r="O15" s="8" t="str">
        <f>IF(TRIM(Classification!$G15)="","NOT CONFIDENTIAL",TRIM(Classification!$G15))</f>
        <v>NOT CONFIDENTIAL</v>
      </c>
      <c r="P15" s="7" t="str">
        <f t="shared" si="6"/>
        <v>Y</v>
      </c>
      <c r="Q15" s="7" t="s">
        <v>826</v>
      </c>
      <c r="R15" s="9">
        <v>2958465</v>
      </c>
      <c r="S15" s="7" t="s">
        <v>827</v>
      </c>
      <c r="T15" s="7" t="s">
        <v>828</v>
      </c>
      <c r="U15" s="7" t="str">
        <f t="shared" si="7"/>
        <v>CLK_CIRC_PORT_PODT_V</v>
      </c>
      <c r="V15" s="7" t="s">
        <v>829</v>
      </c>
    </row>
    <row r="16" spans="1:22">
      <c r="A16" s="7" t="str">
        <f>TRIM(ETLMetadata!$B16)</f>
        <v>CLK</v>
      </c>
      <c r="B16" s="7" t="str">
        <f>TRIM(ETLMetadata!$C16)</f>
        <v>CIRC_PORT_PODT</v>
      </c>
      <c r="C16" s="7" t="str">
        <f>TRIM(ETLMetadata!$F16)</f>
        <v>PODT_DOV</v>
      </c>
      <c r="D16" s="7" t="str">
        <f>TRIM(ETLMetadata!$H16)</f>
        <v>StringType()</v>
      </c>
      <c r="E16" s="7" t="str">
        <f t="shared" si="0"/>
        <v>CLK_CIRC_PORT_PODT</v>
      </c>
      <c r="F16" s="7" t="str">
        <f t="shared" si="1"/>
        <v>PODT_DOV</v>
      </c>
      <c r="G16" s="7" t="s">
        <v>825</v>
      </c>
      <c r="H16" s="7" t="str">
        <f t="shared" si="2"/>
        <v>CLK_CIRC_PORT_PODT</v>
      </c>
      <c r="I16" s="7" t="str">
        <f t="shared" si="3"/>
        <v>PODT_DOV</v>
      </c>
      <c r="J16" s="7" t="str">
        <f t="shared" si="4"/>
        <v>DATE</v>
      </c>
      <c r="K16" s="17" t="s">
        <v>80</v>
      </c>
      <c r="L16" s="7" t="str">
        <f>TRIM(ETLMetadata!$I16)</f>
        <v>YYYY-MM-DD</v>
      </c>
      <c r="M16" s="7" t="str">
        <f t="shared" si="5"/>
        <v>TO_DATE(NULLIF(TRIM(PODT_DOV),'') , 'YYYY-MM-DD')</v>
      </c>
      <c r="N16" s="7" t="str">
        <f>TRIM(ETLMetadata!$J16)</f>
        <v/>
      </c>
      <c r="O16" s="8" t="str">
        <f>IF(TRIM(Classification!$G16)="","NOT CONFIDENTIAL",TRIM(Classification!$G16))</f>
        <v>NOT CONFIDENTIAL</v>
      </c>
      <c r="P16" s="7" t="str">
        <f t="shared" si="6"/>
        <v>Y</v>
      </c>
      <c r="Q16" s="7" t="s">
        <v>826</v>
      </c>
      <c r="R16" s="9">
        <v>2958465</v>
      </c>
      <c r="S16" s="7" t="s">
        <v>827</v>
      </c>
      <c r="T16" s="7" t="s">
        <v>828</v>
      </c>
      <c r="U16" s="7" t="str">
        <f t="shared" si="7"/>
        <v>CLK_CIRC_PORT_PODT_V</v>
      </c>
      <c r="V16" s="7" t="s">
        <v>829</v>
      </c>
    </row>
    <row r="17" spans="1:22">
      <c r="A17" s="7" t="str">
        <f>TRIM(ETLMetadata!$B17)</f>
        <v>CLK</v>
      </c>
      <c r="B17" s="7" t="str">
        <f>TRIM(ETLMetadata!$C17)</f>
        <v>CIRC_PORT_PODT</v>
      </c>
      <c r="C17" s="7" t="str">
        <f>TRIM(ETLMetadata!$F17)</f>
        <v>PODT_DOV_ORIG</v>
      </c>
      <c r="D17" s="7" t="str">
        <f>TRIM(ETLMetadata!$H17)</f>
        <v>StringType()</v>
      </c>
      <c r="E17" s="7" t="str">
        <f t="shared" si="0"/>
        <v>CLK_CIRC_PORT_PODT</v>
      </c>
      <c r="F17" s="7" t="str">
        <f t="shared" si="1"/>
        <v>PODT_DOV_ORIG</v>
      </c>
      <c r="G17" s="7" t="s">
        <v>825</v>
      </c>
      <c r="H17" s="7" t="str">
        <f t="shared" si="2"/>
        <v>CLK_CIRC_PORT_PODT</v>
      </c>
      <c r="I17" s="7" t="str">
        <f t="shared" si="3"/>
        <v>PODT_DOV_ORIG</v>
      </c>
      <c r="J17" s="7" t="str">
        <f t="shared" si="4"/>
        <v>INTEGER</v>
      </c>
      <c r="K17" s="17" t="s">
        <v>90</v>
      </c>
      <c r="L17" s="7" t="str">
        <f>TRIM(ETLMetadata!$I17)</f>
        <v/>
      </c>
      <c r="M17" s="7" t="str">
        <f t="shared" si="5"/>
        <v>CAST(NULLIF(TRIM(PODT_DOV_ORIG),'') AS INTEGER)</v>
      </c>
      <c r="N17" s="7" t="str">
        <f>TRIM(ETLMetadata!$J17)</f>
        <v/>
      </c>
      <c r="O17" s="8" t="str">
        <f>IF(TRIM(Classification!$G17)="","NOT CONFIDENTIAL",TRIM(Classification!$G17))</f>
        <v>NOT CONFIDENTIAL</v>
      </c>
      <c r="P17" s="7" t="str">
        <f t="shared" si="6"/>
        <v>Y</v>
      </c>
      <c r="Q17" s="7" t="s">
        <v>826</v>
      </c>
      <c r="R17" s="9">
        <v>2958465</v>
      </c>
      <c r="S17" s="7" t="s">
        <v>827</v>
      </c>
      <c r="T17" s="7" t="s">
        <v>828</v>
      </c>
      <c r="U17" s="7" t="str">
        <f t="shared" si="7"/>
        <v>CLK_CIRC_PORT_PODT_V</v>
      </c>
      <c r="V17" s="7" t="s">
        <v>829</v>
      </c>
    </row>
    <row r="18" spans="1:22">
      <c r="A18" s="7" t="str">
        <f>TRIM(ETLMetadata!$B18)</f>
        <v>CLK</v>
      </c>
      <c r="B18" s="7" t="str">
        <f>TRIM(ETLMetadata!$C18)</f>
        <v>CIRC_PORT_PODT</v>
      </c>
      <c r="C18" s="7" t="str">
        <f>TRIM(ETLMetadata!$F18)</f>
        <v>PODT_LOCN_CTRY_CODE</v>
      </c>
      <c r="D18" s="7" t="str">
        <f>TRIM(ETLMetadata!$H18)</f>
        <v>StringType()</v>
      </c>
      <c r="E18" s="7" t="str">
        <f t="shared" si="0"/>
        <v>CLK_CIRC_PORT_PODT</v>
      </c>
      <c r="F18" s="7" t="str">
        <f t="shared" si="1"/>
        <v>PODT_LOCN_CTRY_CODE</v>
      </c>
      <c r="G18" s="7" t="s">
        <v>825</v>
      </c>
      <c r="H18" s="7" t="str">
        <f t="shared" si="2"/>
        <v>CLK_CIRC_PORT_PODT</v>
      </c>
      <c r="I18" s="7" t="str">
        <f t="shared" si="3"/>
        <v>PODT_LOCN_CTRY_CODE</v>
      </c>
      <c r="J18" s="7" t="str">
        <f t="shared" si="4"/>
        <v>VARCHAR</v>
      </c>
      <c r="K18" s="7" t="str">
        <f>TRIM(ETLMetadata!$G18)</f>
        <v>CHAR(3)</v>
      </c>
      <c r="L18" s="7" t="str">
        <f>TRIM(ETLMetadata!$I18)</f>
        <v/>
      </c>
      <c r="M18" s="7" t="str">
        <f t="shared" si="5"/>
        <v>NULLIF(TRIM(PODT_LOCN_CTRY_CODE),'')</v>
      </c>
      <c r="N18" s="7" t="str">
        <f>TRIM(ETLMetadata!$J18)</f>
        <v/>
      </c>
      <c r="O18" s="8" t="str">
        <f>IF(TRIM(Classification!$G18)="","NOT CONFIDENTIAL",TRIM(Classification!$G18))</f>
        <v>NOT CONFIDENTIAL</v>
      </c>
      <c r="P18" s="7" t="str">
        <f t="shared" si="6"/>
        <v>Y</v>
      </c>
      <c r="Q18" s="7" t="s">
        <v>826</v>
      </c>
      <c r="R18" s="9">
        <v>2958465</v>
      </c>
      <c r="S18" s="7" t="s">
        <v>827</v>
      </c>
      <c r="T18" s="7" t="s">
        <v>828</v>
      </c>
      <c r="U18" s="7" t="str">
        <f t="shared" si="7"/>
        <v>CLK_CIRC_PORT_PODT_V</v>
      </c>
      <c r="V18" s="7" t="s">
        <v>829</v>
      </c>
    </row>
    <row r="19" spans="1:22">
      <c r="A19" s="7" t="str">
        <f>TRIM(ETLMetadata!$B19)</f>
        <v>CLK</v>
      </c>
      <c r="B19" s="7" t="str">
        <f>TRIM(ETLMetadata!$C19)</f>
        <v>CIRC_PORT_PODT</v>
      </c>
      <c r="C19" s="7" t="str">
        <f>TRIM(ETLMetadata!$F19)</f>
        <v>PODT_NZ_CLM_REJ_IND</v>
      </c>
      <c r="D19" s="7" t="str">
        <f>TRIM(ETLMetadata!$H19)</f>
        <v>StringType()</v>
      </c>
      <c r="E19" s="7" t="str">
        <f t="shared" si="0"/>
        <v>CLK_CIRC_PORT_PODT</v>
      </c>
      <c r="F19" s="7" t="str">
        <f t="shared" si="1"/>
        <v>PODT_NZ_CLM_REJ_IND</v>
      </c>
      <c r="G19" s="7" t="s">
        <v>825</v>
      </c>
      <c r="H19" s="7" t="str">
        <f t="shared" si="2"/>
        <v>CLK_CIRC_PORT_PODT</v>
      </c>
      <c r="I19" s="7" t="str">
        <f t="shared" si="3"/>
        <v>PODT_NZ_CLM_REJ_IND</v>
      </c>
      <c r="J19" s="7" t="str">
        <f t="shared" si="4"/>
        <v>VARCHAR</v>
      </c>
      <c r="K19" s="7" t="str">
        <f>TRIM(ETLMetadata!$G19)</f>
        <v>CHAR(1)</v>
      </c>
      <c r="L19" s="7" t="str">
        <f>TRIM(ETLMetadata!$I19)</f>
        <v/>
      </c>
      <c r="M19" s="7" t="str">
        <f t="shared" si="5"/>
        <v>NULLIF(TRIM(PODT_NZ_CLM_REJ_IND),'')</v>
      </c>
      <c r="N19" s="7" t="str">
        <f>TRIM(ETLMetadata!$J19)</f>
        <v/>
      </c>
      <c r="O19" s="8" t="str">
        <f>IF(TRIM(Classification!$G19)="","NOT CONFIDENTIAL",TRIM(Classification!$G19))</f>
        <v>NOT CONFIDENTIAL</v>
      </c>
      <c r="P19" s="7" t="str">
        <f t="shared" si="6"/>
        <v>Y</v>
      </c>
      <c r="Q19" s="7" t="s">
        <v>826</v>
      </c>
      <c r="R19" s="9">
        <v>2958465</v>
      </c>
      <c r="S19" s="7" t="s">
        <v>827</v>
      </c>
      <c r="T19" s="7" t="s">
        <v>828</v>
      </c>
      <c r="U19" s="7" t="str">
        <f t="shared" si="7"/>
        <v>CLK_CIRC_PORT_PODT_V</v>
      </c>
      <c r="V19" s="7" t="s">
        <v>829</v>
      </c>
    </row>
    <row r="20" spans="1:22">
      <c r="A20" s="7" t="str">
        <f>TRIM(ETLMetadata!$B20)</f>
        <v>CLK</v>
      </c>
      <c r="B20" s="7" t="str">
        <f>TRIM(ETLMetadata!$C20)</f>
        <v>CIRC_PORT_PODT</v>
      </c>
      <c r="C20" s="7" t="str">
        <f>TRIM(ETLMetadata!$F20)</f>
        <v>PODT_OSEAS_CAN_EXEMPT_CODE</v>
      </c>
      <c r="D20" s="7" t="str">
        <f>TRIM(ETLMetadata!$H20)</f>
        <v>StringType()</v>
      </c>
      <c r="E20" s="7" t="str">
        <f t="shared" si="0"/>
        <v>CLK_CIRC_PORT_PODT</v>
      </c>
      <c r="F20" s="7" t="str">
        <f t="shared" si="1"/>
        <v>PODT_OSEAS_CAN_EXEMPT_CODE</v>
      </c>
      <c r="G20" s="7" t="s">
        <v>825</v>
      </c>
      <c r="H20" s="7" t="str">
        <f t="shared" si="2"/>
        <v>CLK_CIRC_PORT_PODT</v>
      </c>
      <c r="I20" s="7" t="str">
        <f t="shared" si="3"/>
        <v>PODT_OSEAS_CAN_EXEMPT_CODE</v>
      </c>
      <c r="J20" s="7" t="str">
        <f t="shared" si="4"/>
        <v>VARCHAR</v>
      </c>
      <c r="K20" s="7" t="str">
        <f>TRIM(ETLMetadata!$G20)</f>
        <v>CHAR(3)</v>
      </c>
      <c r="L20" s="7" t="str">
        <f>TRIM(ETLMetadata!$I20)</f>
        <v/>
      </c>
      <c r="M20" s="7" t="str">
        <f t="shared" si="5"/>
        <v>NULLIF(TRIM(PODT_OSEAS_CAN_EXEMPT_CODE),'')</v>
      </c>
      <c r="N20" s="7" t="str">
        <f>TRIM(ETLMetadata!$J20)</f>
        <v/>
      </c>
      <c r="O20" s="8" t="str">
        <f>IF(TRIM(Classification!$G20)="","NOT CONFIDENTIAL",TRIM(Classification!$G20))</f>
        <v>NOT CONFIDENTIAL</v>
      </c>
      <c r="P20" s="7" t="str">
        <f t="shared" si="6"/>
        <v>Y</v>
      </c>
      <c r="Q20" s="7" t="s">
        <v>826</v>
      </c>
      <c r="R20" s="9">
        <v>2958465</v>
      </c>
      <c r="S20" s="7" t="s">
        <v>827</v>
      </c>
      <c r="T20" s="7" t="s">
        <v>828</v>
      </c>
      <c r="U20" s="7" t="str">
        <f t="shared" si="7"/>
        <v>CLK_CIRC_PORT_PODT_V</v>
      </c>
      <c r="V20" s="7" t="s">
        <v>829</v>
      </c>
    </row>
    <row r="21" spans="1:22">
      <c r="A21" s="7" t="str">
        <f>TRIM(ETLMetadata!$B21)</f>
        <v>CLK</v>
      </c>
      <c r="B21" s="7" t="str">
        <f>TRIM(ETLMetadata!$C21)</f>
        <v>CIRC_PORT_PODT</v>
      </c>
      <c r="C21" s="7" t="str">
        <f>TRIM(ETLMetadata!$F21)</f>
        <v>PODT_PRE_PP_SAVE_IND</v>
      </c>
      <c r="D21" s="7" t="str">
        <f>TRIM(ETLMetadata!$H21)</f>
        <v>StringType()</v>
      </c>
      <c r="E21" s="7" t="str">
        <f t="shared" si="0"/>
        <v>CLK_CIRC_PORT_PODT</v>
      </c>
      <c r="F21" s="7" t="str">
        <f t="shared" si="1"/>
        <v>PODT_PRE_PP_SAVE_IND</v>
      </c>
      <c r="G21" s="7" t="s">
        <v>825</v>
      </c>
      <c r="H21" s="7" t="str">
        <f t="shared" si="2"/>
        <v>CLK_CIRC_PORT_PODT</v>
      </c>
      <c r="I21" s="7" t="str">
        <f t="shared" si="3"/>
        <v>PODT_PRE_PP_SAVE_IND</v>
      </c>
      <c r="J21" s="7" t="str">
        <f t="shared" si="4"/>
        <v>VARCHAR</v>
      </c>
      <c r="K21" s="7" t="str">
        <f>TRIM(ETLMetadata!$G21)</f>
        <v>CHAR(1)</v>
      </c>
      <c r="L21" s="7" t="str">
        <f>TRIM(ETLMetadata!$I21)</f>
        <v/>
      </c>
      <c r="M21" s="7" t="str">
        <f t="shared" si="5"/>
        <v>NULLIF(TRIM(PODT_PRE_PP_SAVE_IND),'')</v>
      </c>
      <c r="N21" s="7" t="str">
        <f>TRIM(ETLMetadata!$J21)</f>
        <v/>
      </c>
      <c r="O21" s="8" t="str">
        <f>IF(TRIM(Classification!$G21)="","NOT CONFIDENTIAL",TRIM(Classification!$G21))</f>
        <v>NOT CONFIDENTIAL</v>
      </c>
      <c r="P21" s="7" t="str">
        <f t="shared" si="6"/>
        <v>Y</v>
      </c>
      <c r="Q21" s="7" t="s">
        <v>826</v>
      </c>
      <c r="R21" s="9">
        <v>2958465</v>
      </c>
      <c r="S21" s="7" t="s">
        <v>827</v>
      </c>
      <c r="T21" s="7" t="s">
        <v>828</v>
      </c>
      <c r="U21" s="7" t="str">
        <f t="shared" si="7"/>
        <v>CLK_CIRC_PORT_PODT_V</v>
      </c>
      <c r="V21" s="7" t="s">
        <v>829</v>
      </c>
    </row>
    <row r="22" spans="1:22">
      <c r="A22" s="7" t="str">
        <f>TRIM(ETLMetadata!$B22)</f>
        <v>CLK</v>
      </c>
      <c r="B22" s="7" t="str">
        <f>TRIM(ETLMetadata!$C22)</f>
        <v>CIRC_PORT_PODT</v>
      </c>
      <c r="C22" s="7" t="str">
        <f>TRIM(ETLMetadata!$F22)</f>
        <v>PODT_SPCL_ACT_OF_GRACE_CODE</v>
      </c>
      <c r="D22" s="7" t="str">
        <f>TRIM(ETLMetadata!$H22)</f>
        <v>StringType()</v>
      </c>
      <c r="E22" s="7" t="str">
        <f t="shared" si="0"/>
        <v>CLK_CIRC_PORT_PODT</v>
      </c>
      <c r="F22" s="7" t="str">
        <f t="shared" si="1"/>
        <v>PODT_SPCL_ACT_OF_GRACE_CODE</v>
      </c>
      <c r="G22" s="7" t="s">
        <v>825</v>
      </c>
      <c r="H22" s="7" t="str">
        <f t="shared" si="2"/>
        <v>CLK_CIRC_PORT_PODT</v>
      </c>
      <c r="I22" s="7" t="str">
        <f t="shared" si="3"/>
        <v>PODT_SPCL_ACT_OF_GRACE_CODE</v>
      </c>
      <c r="J22" s="7" t="str">
        <f t="shared" si="4"/>
        <v>VARCHAR</v>
      </c>
      <c r="K22" s="7" t="str">
        <f>TRIM(ETLMetadata!$G22)</f>
        <v>CHAR(3)</v>
      </c>
      <c r="L22" s="7" t="str">
        <f>TRIM(ETLMetadata!$I22)</f>
        <v/>
      </c>
      <c r="M22" s="7" t="str">
        <f t="shared" si="5"/>
        <v>NULLIF(TRIM(PODT_SPCL_ACT_OF_GRACE_CODE),'')</v>
      </c>
      <c r="N22" s="7" t="str">
        <f>TRIM(ETLMetadata!$J22)</f>
        <v/>
      </c>
      <c r="O22" s="8" t="str">
        <f>IF(TRIM(Classification!$G22)="","NOT CONFIDENTIAL",TRIM(Classification!$G22))</f>
        <v>NOT CONFIDENTIAL</v>
      </c>
      <c r="P22" s="7" t="str">
        <f t="shared" si="6"/>
        <v>Y</v>
      </c>
      <c r="Q22" s="7" t="s">
        <v>826</v>
      </c>
      <c r="R22" s="9">
        <v>2958465</v>
      </c>
      <c r="S22" s="7" t="s">
        <v>827</v>
      </c>
      <c r="T22" s="7" t="s">
        <v>828</v>
      </c>
      <c r="U22" s="7" t="str">
        <f t="shared" si="7"/>
        <v>CLK_CIRC_PORT_PODT_V</v>
      </c>
      <c r="V22" s="7" t="s">
        <v>829</v>
      </c>
    </row>
    <row r="23" spans="1:22">
      <c r="A23" s="7" t="str">
        <f>TRIM(ETLMetadata!$B23)</f>
        <v>CLK</v>
      </c>
      <c r="B23" s="7" t="str">
        <f>TRIM(ETLMetadata!$C23)</f>
        <v>CIRC_PORT_PODT</v>
      </c>
      <c r="C23" s="7" t="str">
        <f>TRIM(ETLMetadata!$F23)</f>
        <v>AMR1_RISL_DTS</v>
      </c>
      <c r="D23" s="7" t="str">
        <f>TRIM(ETLMetadata!$H23)</f>
        <v>StringType()</v>
      </c>
      <c r="E23" s="7" t="str">
        <f t="shared" si="0"/>
        <v>CLK_CIRC_PORT_PODT</v>
      </c>
      <c r="F23" s="7" t="str">
        <f t="shared" si="1"/>
        <v>AMR1_RISL_DTS</v>
      </c>
      <c r="G23" s="7" t="s">
        <v>825</v>
      </c>
      <c r="H23" s="7" t="str">
        <f t="shared" si="2"/>
        <v>CLK_CIRC_PORT_PODT</v>
      </c>
      <c r="I23" s="7" t="str">
        <f t="shared" si="3"/>
        <v>AMR1_RISL_DTS</v>
      </c>
      <c r="J23" s="7" t="str">
        <f t="shared" si="4"/>
        <v>TIMESTAMP</v>
      </c>
      <c r="K23" s="7" t="str">
        <f>TRIM(ETLMetadata!$G23)</f>
        <v>TIMESTAMP(6)</v>
      </c>
      <c r="L23" s="7" t="str">
        <f>TRIM(ETLMetadata!$I23)</f>
        <v>YYYY-MM-DDBHH:MI:SS.S(6)</v>
      </c>
      <c r="M23" s="7" t="str">
        <f t="shared" si="5"/>
        <v>TO_TIMESTAMP_NTZ(NULLIF(TRIM(AMR1_RISL_DTS),''),'YYYY-MM-DD HH24:MI:SS.FF6')</v>
      </c>
      <c r="N23" s="7" t="str">
        <f>TRIM(ETLMetadata!$J23)</f>
        <v/>
      </c>
      <c r="O23" s="8" t="str">
        <f>IF(TRIM(Classification!$G23)="","NOT CONFIDENTIAL",TRIM(Classification!$G23))</f>
        <v>NOT CONFIDENTIAL</v>
      </c>
      <c r="P23" s="7" t="str">
        <f t="shared" si="6"/>
        <v>Y</v>
      </c>
      <c r="Q23" s="7" t="s">
        <v>826</v>
      </c>
      <c r="R23" s="9">
        <v>2958465</v>
      </c>
      <c r="S23" s="7" t="s">
        <v>827</v>
      </c>
      <c r="T23" s="7" t="s">
        <v>828</v>
      </c>
      <c r="U23" s="7" t="str">
        <f t="shared" si="7"/>
        <v>CLK_CIRC_PORT_PODT_V</v>
      </c>
      <c r="V23" s="7" t="s">
        <v>829</v>
      </c>
    </row>
    <row r="24" spans="1:22">
      <c r="A24" s="7" t="str">
        <f>TRIM(ETLMetadata!$B24)</f>
        <v>CLK</v>
      </c>
      <c r="B24" s="7" t="str">
        <f>TRIM(ETLMetadata!$C24)</f>
        <v>CIRC_PORT_PODT</v>
      </c>
      <c r="C24" s="7" t="str">
        <f>TRIM(ETLMetadata!$F24)</f>
        <v>AMR3_RISL_DTS</v>
      </c>
      <c r="D24" s="7" t="str">
        <f>TRIM(ETLMetadata!$H24)</f>
        <v>StringType()</v>
      </c>
      <c r="E24" s="7" t="str">
        <f t="shared" si="0"/>
        <v>CLK_CIRC_PORT_PODT</v>
      </c>
      <c r="F24" s="7" t="str">
        <f t="shared" si="1"/>
        <v>AMR3_RISL_DTS</v>
      </c>
      <c r="G24" s="7" t="s">
        <v>825</v>
      </c>
      <c r="H24" s="7" t="str">
        <f t="shared" si="2"/>
        <v>CLK_CIRC_PORT_PODT</v>
      </c>
      <c r="I24" s="7" t="str">
        <f t="shared" si="3"/>
        <v>AMR3_RISL_DTS</v>
      </c>
      <c r="J24" s="7" t="str">
        <f t="shared" si="4"/>
        <v>TIMESTAMP</v>
      </c>
      <c r="K24" s="7" t="str">
        <f>TRIM(ETLMetadata!$G24)</f>
        <v>TIMESTAMP(6)</v>
      </c>
      <c r="L24" s="7" t="str">
        <f>TRIM(ETLMetadata!$I24)</f>
        <v>YYYY-MM-DDBHH:MI:SS.S(6)</v>
      </c>
      <c r="M24" s="7" t="str">
        <f t="shared" si="5"/>
        <v>TO_TIMESTAMP_NTZ(NULLIF(TRIM(AMR3_RISL_DTS),''),'YYYY-MM-DD HH24:MI:SS.FF6')</v>
      </c>
      <c r="N24" s="7" t="str">
        <f>TRIM(ETLMetadata!$J24)</f>
        <v/>
      </c>
      <c r="O24" s="8" t="str">
        <f>IF(TRIM(Classification!$G24)="","NOT CONFIDENTIAL",TRIM(Classification!$G24))</f>
        <v>NOT CONFIDENTIAL</v>
      </c>
      <c r="P24" s="7" t="str">
        <f t="shared" si="6"/>
        <v>Y</v>
      </c>
      <c r="Q24" s="7" t="s">
        <v>826</v>
      </c>
      <c r="R24" s="9">
        <v>2958465</v>
      </c>
      <c r="S24" s="7" t="s">
        <v>827</v>
      </c>
      <c r="T24" s="7" t="s">
        <v>828</v>
      </c>
      <c r="U24" s="7" t="str">
        <f t="shared" si="7"/>
        <v>CLK_CIRC_PORT_PODT_V</v>
      </c>
      <c r="V24" s="7" t="s">
        <v>829</v>
      </c>
    </row>
    <row r="25" spans="1:22">
      <c r="A25" s="7" t="str">
        <f>TRIM(ETLMetadata!$B25)</f>
        <v>CLK</v>
      </c>
      <c r="B25" s="7" t="str">
        <f>TRIM(ETLMetadata!$C25)</f>
        <v>CIRC_PORT_PODT</v>
      </c>
      <c r="C25" s="7" t="str">
        <f>TRIM(ETLMetadata!$F25)</f>
        <v>PARTY_ID</v>
      </c>
      <c r="D25" s="7" t="str">
        <f>TRIM(ETLMetadata!$H25)</f>
        <v>StringType()</v>
      </c>
      <c r="E25" s="7" t="str">
        <f t="shared" si="0"/>
        <v>CLK_CIRC_PORT_PODT</v>
      </c>
      <c r="F25" s="7" t="str">
        <f t="shared" si="1"/>
        <v>PARTY_ID</v>
      </c>
      <c r="G25" s="7" t="s">
        <v>825</v>
      </c>
      <c r="H25" s="7" t="str">
        <f t="shared" si="2"/>
        <v>CLK_CIRC_PORT_PODT</v>
      </c>
      <c r="I25" s="7" t="str">
        <f t="shared" si="3"/>
        <v>PARTY_ID</v>
      </c>
      <c r="J25" s="7" t="str">
        <f t="shared" si="4"/>
        <v>INTEGER</v>
      </c>
      <c r="K25" s="7" t="str">
        <f>TRIM(ETLMetadata!$G25)</f>
        <v>INTEGER</v>
      </c>
      <c r="L25" s="7" t="str">
        <f>TRIM(ETLMetadata!$I25)</f>
        <v/>
      </c>
      <c r="M25" s="7" t="str">
        <f t="shared" si="5"/>
        <v>CAST(NULLIF(TRIM(PARTY_ID),'') AS INTEGER)</v>
      </c>
      <c r="N25" s="7" t="str">
        <f>TRIM(ETLMetadata!$J25)</f>
        <v/>
      </c>
      <c r="O25" s="8" t="str">
        <f>IF(TRIM(Classification!$G25)="","NOT CONFIDENTIAL",TRIM(Classification!$G25))</f>
        <v>NOT CONFIDENTIAL</v>
      </c>
      <c r="P25" s="7" t="str">
        <f t="shared" si="6"/>
        <v>Y</v>
      </c>
      <c r="Q25" s="7" t="s">
        <v>826</v>
      </c>
      <c r="R25" s="9">
        <v>2958465</v>
      </c>
      <c r="S25" s="7" t="s">
        <v>827</v>
      </c>
      <c r="T25" s="7" t="s">
        <v>828</v>
      </c>
      <c r="U25" s="7" t="str">
        <f t="shared" si="7"/>
        <v>CLK_CIRC_PORT_PODT_V</v>
      </c>
      <c r="V25" s="7" t="s">
        <v>829</v>
      </c>
    </row>
    <row r="26" spans="1:22">
      <c r="A26" s="7" t="str">
        <f>TRIM(ETLMetadata!$B26)</f>
        <v>CLK</v>
      </c>
      <c r="B26" s="7" t="str">
        <f>TRIM(ETLMetadata!$C26)</f>
        <v>CIRC_PORT_PODT</v>
      </c>
      <c r="C26" s="7" t="str">
        <f>TRIM(ETLMetadata!$F26)</f>
        <v>PARTY_ROLE_ID</v>
      </c>
      <c r="D26" s="7" t="str">
        <f>TRIM(ETLMetadata!$H26)</f>
        <v>StringType()</v>
      </c>
      <c r="E26" s="7" t="str">
        <f t="shared" si="0"/>
        <v>CLK_CIRC_PORT_PODT</v>
      </c>
      <c r="F26" s="7" t="str">
        <f t="shared" si="1"/>
        <v>PARTY_ROLE_ID</v>
      </c>
      <c r="G26" s="7" t="s">
        <v>825</v>
      </c>
      <c r="H26" s="7" t="str">
        <f t="shared" si="2"/>
        <v>CLK_CIRC_PORT_PODT</v>
      </c>
      <c r="I26" s="7" t="str">
        <f t="shared" si="3"/>
        <v>PARTY_ROLE_ID</v>
      </c>
      <c r="J26" s="7" t="str">
        <f t="shared" si="4"/>
        <v>INTEGER</v>
      </c>
      <c r="K26" s="7" t="str">
        <f>TRIM(ETLMetadata!$G26)</f>
        <v>INTEGER</v>
      </c>
      <c r="L26" s="7" t="str">
        <f>TRIM(ETLMetadata!$I26)</f>
        <v/>
      </c>
      <c r="M26" s="7" t="str">
        <f t="shared" si="5"/>
        <v>CAST(NULLIF(TRIM(PARTY_ROLE_ID),'') AS INTEGER)</v>
      </c>
      <c r="N26" s="7" t="str">
        <f>TRIM(ETLMetadata!$J26)</f>
        <v/>
      </c>
      <c r="O26" s="8" t="str">
        <f>IF(TRIM(Classification!$G26)="","NOT CONFIDENTIAL",TRIM(Classification!$G26))</f>
        <v>NOT CONFIDENTIAL</v>
      </c>
      <c r="P26" s="7" t="str">
        <f t="shared" si="6"/>
        <v>Y</v>
      </c>
      <c r="Q26" s="7" t="s">
        <v>826</v>
      </c>
      <c r="R26" s="9">
        <v>2958465</v>
      </c>
      <c r="S26" s="7" t="s">
        <v>827</v>
      </c>
      <c r="T26" s="7" t="s">
        <v>828</v>
      </c>
      <c r="U26" s="7" t="str">
        <f t="shared" si="7"/>
        <v>CLK_CIRC_PORT_PODT_V</v>
      </c>
      <c r="V26" s="7" t="s">
        <v>829</v>
      </c>
    </row>
    <row r="27" spans="1:22">
      <c r="A27" s="7" t="str">
        <f>TRIM(ETLMetadata!$B27)</f>
        <v>CLK</v>
      </c>
      <c r="B27" s="7" t="str">
        <f>TRIM(ETLMetadata!$C27)</f>
        <v>CIRC_PORT_PODT</v>
      </c>
      <c r="C27" s="7" t="str">
        <f>TRIM(ETLMetadata!$F27)</f>
        <v>ERROR_COUNT</v>
      </c>
      <c r="D27" s="7" t="str">
        <f>TRIM(ETLMetadata!$H27)</f>
        <v>StringType()</v>
      </c>
      <c r="E27" s="7" t="str">
        <f t="shared" si="0"/>
        <v>CLK_CIRC_PORT_PODT</v>
      </c>
      <c r="F27" s="7" t="str">
        <f t="shared" si="1"/>
        <v>ERROR_COUNT</v>
      </c>
      <c r="G27" s="7" t="s">
        <v>825</v>
      </c>
      <c r="H27" s="7" t="str">
        <f t="shared" si="2"/>
        <v>CLK_CIRC_PORT_PODT</v>
      </c>
      <c r="I27" s="7" t="str">
        <f t="shared" si="3"/>
        <v>ERROR_COUNT</v>
      </c>
      <c r="J27" s="7" t="str">
        <f t="shared" si="4"/>
        <v>SMALLINT</v>
      </c>
      <c r="K27" s="7" t="str">
        <f>TRIM(ETLMetadata!$G27)</f>
        <v>SMALLINT</v>
      </c>
      <c r="L27" s="7" t="str">
        <f>TRIM(ETLMetadata!$I27)</f>
        <v/>
      </c>
      <c r="M27" s="7" t="str">
        <f t="shared" si="5"/>
        <v>CAST(NULLIF(TRIM(ERROR_COUNT),'') AS SMALLINT)</v>
      </c>
      <c r="N27" s="7" t="str">
        <f>TRIM(ETLMetadata!$J27)</f>
        <v/>
      </c>
      <c r="O27" s="8" t="str">
        <f>IF(TRIM(Classification!$G27)="","NOT CONFIDENTIAL",TRIM(Classification!$G27))</f>
        <v>NOT CONFIDENTIAL</v>
      </c>
      <c r="P27" s="7" t="str">
        <f t="shared" si="6"/>
        <v>Y</v>
      </c>
      <c r="Q27" s="7" t="s">
        <v>826</v>
      </c>
      <c r="R27" s="9">
        <v>2958465</v>
      </c>
      <c r="S27" s="7" t="s">
        <v>827</v>
      </c>
      <c r="T27" s="7" t="s">
        <v>828</v>
      </c>
      <c r="U27" s="7" t="str">
        <f t="shared" si="7"/>
        <v>CLK_CIRC_PORT_PODT_V</v>
      </c>
      <c r="V27" s="7" t="s">
        <v>829</v>
      </c>
    </row>
    <row r="28" spans="1:22">
      <c r="A28" s="7" t="str">
        <f>TRIM(ETLMetadata!$B28)</f>
        <v>CLK</v>
      </c>
      <c r="B28" s="7" t="str">
        <f>TRIM(ETLMetadata!$C28)</f>
        <v>CIRC_PORT_PODT</v>
      </c>
      <c r="C28" s="7" t="str">
        <f>TRIM(ETLMetadata!$F28)</f>
        <v>Start_Date</v>
      </c>
      <c r="D28" s="7" t="str">
        <f>TRIM(ETLMetadata!$H28)</f>
        <v>StringType()</v>
      </c>
      <c r="E28" s="7" t="str">
        <f t="shared" si="0"/>
        <v>CLK_CIRC_PORT_PODT</v>
      </c>
      <c r="F28" s="7" t="str">
        <f t="shared" si="1"/>
        <v>STRT_DT</v>
      </c>
      <c r="G28" s="7" t="s">
        <v>825</v>
      </c>
      <c r="H28" s="7" t="str">
        <f t="shared" si="2"/>
        <v>CLK_CIRC_PORT_PODT</v>
      </c>
      <c r="I28" s="7" t="str">
        <f t="shared" si="3"/>
        <v>STRT_DT</v>
      </c>
      <c r="J28" s="7" t="str">
        <f t="shared" si="4"/>
        <v>DATE</v>
      </c>
      <c r="K28" s="7" t="str">
        <f>TRIM(ETLMetadata!$G28)</f>
        <v>DATE</v>
      </c>
      <c r="L28" s="7" t="str">
        <f>TRIM(ETLMetadata!$I28)</f>
        <v>YYYY-MM-DD</v>
      </c>
      <c r="M28" s="7" t="str">
        <f t="shared" si="5"/>
        <v>TO_DATE(NULLIF(TRIM(STRT_DT),'') , 'YYYY-MM-DD')</v>
      </c>
      <c r="N28" s="7" t="str">
        <f>TRIM(ETLMetadata!$J28)</f>
        <v/>
      </c>
      <c r="O28" s="8" t="str">
        <f>IF(TRIM(Classification!$G28)="","NOT CONFIDENTIAL",TRIM(Classification!$G28))</f>
        <v>NOT CONFIDENTIAL</v>
      </c>
      <c r="P28" s="7" t="str">
        <f t="shared" si="6"/>
        <v>N</v>
      </c>
      <c r="Q28" s="7" t="s">
        <v>826</v>
      </c>
      <c r="R28" s="9">
        <v>2958465</v>
      </c>
      <c r="S28" s="7" t="s">
        <v>827</v>
      </c>
      <c r="T28" s="7" t="s">
        <v>828</v>
      </c>
      <c r="U28" s="7" t="str">
        <f t="shared" si="7"/>
        <v>CLK_CIRC_PORT_PODT_V</v>
      </c>
      <c r="V28" s="7" t="s">
        <v>829</v>
      </c>
    </row>
    <row r="29" spans="1:22">
      <c r="A29" s="7" t="str">
        <f>TRIM(ETLMetadata!$B29)</f>
        <v>CLK</v>
      </c>
      <c r="B29" s="7" t="str">
        <f>TRIM(ETLMetadata!$C29)</f>
        <v>CIRC_PORT_PODT</v>
      </c>
      <c r="C29" s="7" t="str">
        <f>TRIM(ETLMetadata!$F29)</f>
        <v>End_Date</v>
      </c>
      <c r="D29" s="7" t="str">
        <f>TRIM(ETLMetadata!$H29)</f>
        <v>StringType()</v>
      </c>
      <c r="E29" s="7" t="str">
        <f t="shared" si="0"/>
        <v>CLK_CIRC_PORT_PODT</v>
      </c>
      <c r="F29" s="7" t="str">
        <f t="shared" si="1"/>
        <v>END_DT</v>
      </c>
      <c r="G29" s="7" t="s">
        <v>825</v>
      </c>
      <c r="H29" s="7" t="str">
        <f t="shared" si="2"/>
        <v>CLK_CIRC_PORT_PODT</v>
      </c>
      <c r="I29" s="7" t="str">
        <f t="shared" si="3"/>
        <v>END_DT</v>
      </c>
      <c r="J29" s="7" t="str">
        <f t="shared" si="4"/>
        <v>DATE</v>
      </c>
      <c r="K29" s="7" t="str">
        <f>TRIM(ETLMetadata!$G29)</f>
        <v>DATE</v>
      </c>
      <c r="L29" s="7" t="str">
        <f>TRIM(ETLMetadata!$I29)</f>
        <v>YYYY-MM-DD</v>
      </c>
      <c r="M29" s="7" t="str">
        <f t="shared" si="5"/>
        <v>TO_DATE(NULLIF(TRIM(END_DT),'') , 'YYYY-MM-DD')</v>
      </c>
      <c r="N29" s="7" t="str">
        <f>TRIM(ETLMetadata!$J29)</f>
        <v/>
      </c>
      <c r="O29" s="8" t="str">
        <f>IF(TRIM(Classification!$G29)="","NOT CONFIDENTIAL",TRIM(Classification!$G29))</f>
        <v>NOT CONFIDENTIAL</v>
      </c>
      <c r="P29" s="7" t="str">
        <f t="shared" si="6"/>
        <v>N</v>
      </c>
      <c r="Q29" s="7" t="s">
        <v>826</v>
      </c>
      <c r="R29" s="9">
        <v>2958465</v>
      </c>
      <c r="S29" s="7" t="s">
        <v>827</v>
      </c>
      <c r="T29" s="7" t="s">
        <v>828</v>
      </c>
      <c r="U29" s="7" t="str">
        <f t="shared" si="7"/>
        <v>CLK_CIRC_PORT_PODT_V</v>
      </c>
      <c r="V29" s="7" t="s">
        <v>829</v>
      </c>
    </row>
    <row r="30" spans="1:22">
      <c r="A30" s="7" t="str">
        <f>TRIM(ETLMetadata!$B30)</f>
        <v>CLK</v>
      </c>
      <c r="B30" s="7" t="str">
        <f>TRIM(ETLMetadata!$C30)</f>
        <v>CIRC_PORT_PODT</v>
      </c>
      <c r="C30" s="7" t="str">
        <f>TRIM(ETLMetadata!$F30)</f>
        <v>Record_Deleted_Flag</v>
      </c>
      <c r="D30" s="7" t="str">
        <f>TRIM(ETLMetadata!$H30)</f>
        <v>StringType()</v>
      </c>
      <c r="E30" s="7" t="str">
        <f t="shared" si="0"/>
        <v>CLK_CIRC_PORT_PODT</v>
      </c>
      <c r="F30" s="7" t="str">
        <f t="shared" si="1"/>
        <v>RCRD_DEL_IND</v>
      </c>
      <c r="G30" s="7" t="s">
        <v>825</v>
      </c>
      <c r="H30" s="7" t="str">
        <f t="shared" si="2"/>
        <v>CLK_CIRC_PORT_PODT</v>
      </c>
      <c r="I30" s="7" t="str">
        <f t="shared" si="3"/>
        <v>RCRD_DEL_IND</v>
      </c>
      <c r="J30" s="7" t="str">
        <f t="shared" si="4"/>
        <v>SMALLINT</v>
      </c>
      <c r="K30" s="7" t="str">
        <f>TRIM(ETLMetadata!$G30)</f>
        <v>BYTEINT</v>
      </c>
      <c r="L30" s="7" t="str">
        <f>TRIM(ETLMetadata!$I30)</f>
        <v/>
      </c>
      <c r="M30" s="7" t="str">
        <f t="shared" si="5"/>
        <v>CAST(NULLIF(TRIM(RCRD_DEL_IND),'') AS SMALLINT)</v>
      </c>
      <c r="N30" s="7" t="str">
        <f>TRIM(ETLMetadata!$J30)</f>
        <v/>
      </c>
      <c r="O30" s="8" t="str">
        <f>IF(TRIM(Classification!$G30)="","NOT CONFIDENTIAL",TRIM(Classification!$G30))</f>
        <v>NOT CONFIDENTIAL</v>
      </c>
      <c r="P30" s="7" t="str">
        <f t="shared" si="6"/>
        <v>N</v>
      </c>
      <c r="Q30" s="7" t="s">
        <v>826</v>
      </c>
      <c r="R30" s="9">
        <v>2958465</v>
      </c>
      <c r="S30" s="7" t="s">
        <v>827</v>
      </c>
      <c r="T30" s="7" t="s">
        <v>828</v>
      </c>
      <c r="U30" s="7" t="str">
        <f t="shared" si="7"/>
        <v>CLK_CIRC_PORT_PODT_V</v>
      </c>
      <c r="V30" s="7" t="s">
        <v>829</v>
      </c>
    </row>
    <row r="31" spans="1:22">
      <c r="A31" s="7" t="str">
        <f>TRIM(ETLMetadata!$B31)</f>
        <v>CLK</v>
      </c>
      <c r="B31" s="7" t="str">
        <f>TRIM(ETLMetadata!$C31)</f>
        <v>CIRC_RES_RSCB</v>
      </c>
      <c r="C31" s="7" t="str">
        <f>TRIM(ETLMetadata!$F31)</f>
        <v>EXTRACT_DATE</v>
      </c>
      <c r="D31" s="7" t="str">
        <f>TRIM(ETLMetadata!$H31)</f>
        <v>StringType()</v>
      </c>
      <c r="E31" s="7" t="str">
        <f t="shared" ref="E31:E94" si="8">CONCATENATE($A31,"_",B31)</f>
        <v>CLK_CIRC_RES_RSCB</v>
      </c>
      <c r="F31" s="7" t="str">
        <f t="shared" si="1"/>
        <v>EXTRACT_DATE</v>
      </c>
      <c r="G31" s="7" t="s">
        <v>825</v>
      </c>
      <c r="H31" s="7" t="str">
        <f t="shared" si="2"/>
        <v>CLK_CIRC_RES_RSCB</v>
      </c>
      <c r="I31" s="7" t="str">
        <f t="shared" si="3"/>
        <v>EXTRACT_DATE</v>
      </c>
      <c r="J31" s="7" t="str">
        <f t="shared" si="4"/>
        <v>DATE</v>
      </c>
      <c r="K31" s="7" t="str">
        <f>TRIM(ETLMetadata!$G31)</f>
        <v>DATE</v>
      </c>
      <c r="L31" s="7" t="str">
        <f>TRIM(ETLMetadata!$I31)</f>
        <v>YYYY-MM-DD</v>
      </c>
      <c r="M31" s="7" t="str">
        <f t="shared" si="5"/>
        <v>TO_DATE(NULLIF(TRIM(EXTRACT_DATE),'') , 'YYYY-MM-DD')</v>
      </c>
      <c r="N31" s="7" t="str">
        <f>TRIM(ETLMetadata!$J31)</f>
        <v/>
      </c>
      <c r="O31" s="8" t="str">
        <f>IF(TRIM(Classification!$G31)="","NOT CONFIDENTIAL",TRIM(Classification!$G31))</f>
        <v>NOT CONFIDENTIAL</v>
      </c>
      <c r="P31" s="7" t="str">
        <f t="shared" si="6"/>
        <v>Y</v>
      </c>
      <c r="Q31" s="7" t="s">
        <v>826</v>
      </c>
      <c r="R31" s="9">
        <v>2958465</v>
      </c>
      <c r="S31" s="7" t="s">
        <v>827</v>
      </c>
      <c r="T31" s="7" t="s">
        <v>828</v>
      </c>
      <c r="U31" s="7" t="str">
        <f t="shared" ref="U31:U94" si="9">CONCATENATE(A31,"_",B31,"_V")</f>
        <v>CLK_CIRC_RES_RSCB_V</v>
      </c>
      <c r="V31" s="7" t="s">
        <v>829</v>
      </c>
    </row>
    <row r="32" spans="1:22">
      <c r="A32" s="7" t="str">
        <f>TRIM(ETLMetadata!$B32)</f>
        <v>CLK</v>
      </c>
      <c r="B32" s="7" t="str">
        <f>TRIM(ETLMetadata!$C32)</f>
        <v>CIRC_RES_RSCB</v>
      </c>
      <c r="C32" s="7" t="str">
        <f>TRIM(ETLMetadata!$F32)</f>
        <v>LOGICAL_DELETE_DATE</v>
      </c>
      <c r="D32" s="7" t="str">
        <f>TRIM(ETLMetadata!$H32)</f>
        <v>StringType()</v>
      </c>
      <c r="E32" s="7" t="str">
        <f t="shared" si="8"/>
        <v>CLK_CIRC_RES_RSCB</v>
      </c>
      <c r="F32" s="7" t="str">
        <f t="shared" si="1"/>
        <v>LOGICAL_DELETE_DATE</v>
      </c>
      <c r="G32" s="7" t="s">
        <v>825</v>
      </c>
      <c r="H32" s="7" t="str">
        <f t="shared" si="2"/>
        <v>CLK_CIRC_RES_RSCB</v>
      </c>
      <c r="I32" s="7" t="str">
        <f t="shared" si="3"/>
        <v>LOGICAL_DELETE_DATE</v>
      </c>
      <c r="J32" s="7" t="str">
        <f t="shared" si="4"/>
        <v>DATE</v>
      </c>
      <c r="K32" s="7" t="str">
        <f>TRIM(ETLMetadata!$G32)</f>
        <v>DATE</v>
      </c>
      <c r="L32" s="7" t="str">
        <f>TRIM(ETLMetadata!$I32)</f>
        <v>YYYY-MM-DD</v>
      </c>
      <c r="M32" s="7" t="str">
        <f t="shared" si="5"/>
        <v>TO_DATE(NULLIF(TRIM(LOGICAL_DELETE_DATE),'') , 'YYYY-MM-DD')</v>
      </c>
      <c r="N32" s="7" t="str">
        <f>TRIM(ETLMetadata!$J32)</f>
        <v/>
      </c>
      <c r="O32" s="8" t="str">
        <f>IF(TRIM(Classification!$G32)="","NOT CONFIDENTIAL",TRIM(Classification!$G32))</f>
        <v>NOT CONFIDENTIAL</v>
      </c>
      <c r="P32" s="7" t="str">
        <f t="shared" si="6"/>
        <v>Y</v>
      </c>
      <c r="Q32" s="7" t="s">
        <v>826</v>
      </c>
      <c r="R32" s="9">
        <v>2958465</v>
      </c>
      <c r="S32" s="7" t="s">
        <v>827</v>
      </c>
      <c r="T32" s="7" t="s">
        <v>828</v>
      </c>
      <c r="U32" s="7" t="str">
        <f t="shared" si="9"/>
        <v>CLK_CIRC_RES_RSCB_V</v>
      </c>
      <c r="V32" s="7" t="s">
        <v>829</v>
      </c>
    </row>
    <row r="33" spans="1:22">
      <c r="A33" s="7" t="str">
        <f>TRIM(ETLMetadata!$B33)</f>
        <v>CLK</v>
      </c>
      <c r="B33" s="7" t="str">
        <f>TRIM(ETLMetadata!$C33)</f>
        <v>CIRC_RES_RSCB</v>
      </c>
      <c r="C33" s="7" t="str">
        <f>TRIM(ETLMetadata!$F33)</f>
        <v>ENVIRONMENT_ID</v>
      </c>
      <c r="D33" s="7" t="str">
        <f>TRIM(ETLMetadata!$H33)</f>
        <v>StringType()</v>
      </c>
      <c r="E33" s="7" t="str">
        <f t="shared" si="8"/>
        <v>CLK_CIRC_RES_RSCB</v>
      </c>
      <c r="F33" s="7" t="str">
        <f t="shared" si="1"/>
        <v>ENVIRONMENT_ID</v>
      </c>
      <c r="G33" s="7" t="s">
        <v>825</v>
      </c>
      <c r="H33" s="7" t="str">
        <f t="shared" si="2"/>
        <v>CLK_CIRC_RES_RSCB</v>
      </c>
      <c r="I33" s="7" t="str">
        <f t="shared" si="3"/>
        <v>ENVIRONMENT_ID</v>
      </c>
      <c r="J33" s="7" t="str">
        <f t="shared" si="4"/>
        <v>VARCHAR</v>
      </c>
      <c r="K33" s="7" t="str">
        <f>TRIM(ETLMetadata!$G33)</f>
        <v>CHAR(1)</v>
      </c>
      <c r="L33" s="7" t="str">
        <f>TRIM(ETLMetadata!$I33)</f>
        <v/>
      </c>
      <c r="M33" s="7" t="str">
        <f t="shared" si="5"/>
        <v>NULLIF(TRIM(ENVIRONMENT_ID),'')</v>
      </c>
      <c r="N33" s="7" t="str">
        <f>TRIM(ETLMetadata!$J33)</f>
        <v>Y</v>
      </c>
      <c r="O33" s="8" t="str">
        <f>IF(TRIM(Classification!$G33)="","NOT CONFIDENTIAL",TRIM(Classification!$G33))</f>
        <v>NOT CONFIDENTIAL</v>
      </c>
      <c r="P33" s="7" t="str">
        <f t="shared" si="6"/>
        <v>Y</v>
      </c>
      <c r="Q33" s="7" t="s">
        <v>826</v>
      </c>
      <c r="R33" s="9">
        <v>2958465</v>
      </c>
      <c r="S33" s="7" t="s">
        <v>827</v>
      </c>
      <c r="T33" s="7" t="s">
        <v>828</v>
      </c>
      <c r="U33" s="7" t="str">
        <f t="shared" si="9"/>
        <v>CLK_CIRC_RES_RSCB_V</v>
      </c>
      <c r="V33" s="7" t="s">
        <v>829</v>
      </c>
    </row>
    <row r="34" spans="1:22">
      <c r="A34" s="7" t="str">
        <f>TRIM(ETLMetadata!$B34)</f>
        <v>CLK</v>
      </c>
      <c r="B34" s="7" t="str">
        <f>TRIM(ETLMetadata!$C34)</f>
        <v>CIRC_RES_RSCB</v>
      </c>
      <c r="C34" s="7" t="str">
        <f>TRIM(ETLMetadata!$F34)</f>
        <v>PERSON_ID</v>
      </c>
      <c r="D34" s="7" t="str">
        <f>TRIM(ETLMetadata!$H34)</f>
        <v>StringType()</v>
      </c>
      <c r="E34" s="7" t="str">
        <f t="shared" si="8"/>
        <v>CLK_CIRC_RES_RSCB</v>
      </c>
      <c r="F34" s="7" t="str">
        <f t="shared" si="1"/>
        <v>PERSON_ID</v>
      </c>
      <c r="G34" s="7" t="s">
        <v>825</v>
      </c>
      <c r="H34" s="7" t="str">
        <f t="shared" si="2"/>
        <v>CLK_CIRC_RES_RSCB</v>
      </c>
      <c r="I34" s="7" t="str">
        <f t="shared" si="3"/>
        <v>PERSON_ID</v>
      </c>
      <c r="J34" s="7" t="str">
        <f t="shared" si="4"/>
        <v>INTEGER</v>
      </c>
      <c r="K34" s="7" t="str">
        <f>TRIM(ETLMetadata!$G34)</f>
        <v>INTEGER</v>
      </c>
      <c r="L34" s="7" t="str">
        <f>TRIM(ETLMetadata!$I34)</f>
        <v/>
      </c>
      <c r="M34" s="7" t="str">
        <f t="shared" si="5"/>
        <v>CAST(NULLIF(TRIM(PERSON_ID),'') AS INTEGER)</v>
      </c>
      <c r="N34" s="7" t="str">
        <f>TRIM(ETLMetadata!$J34)</f>
        <v>Y</v>
      </c>
      <c r="O34" s="8" t="str">
        <f>IF(TRIM(Classification!$G34)="","NOT CONFIDENTIAL",TRIM(Classification!$G34))</f>
        <v xml:space="preserve">PERSONAL_IDENTITYINFOINDIRECT	</v>
      </c>
      <c r="P34" s="7" t="str">
        <f t="shared" si="6"/>
        <v>Y</v>
      </c>
      <c r="Q34" s="7" t="s">
        <v>826</v>
      </c>
      <c r="R34" s="9">
        <v>2958465</v>
      </c>
      <c r="S34" s="7" t="s">
        <v>827</v>
      </c>
      <c r="T34" s="7" t="s">
        <v>828</v>
      </c>
      <c r="U34" s="7" t="str">
        <f t="shared" si="9"/>
        <v>CLK_CIRC_RES_RSCB_V</v>
      </c>
      <c r="V34" s="7" t="s">
        <v>829</v>
      </c>
    </row>
    <row r="35" spans="1:22">
      <c r="A35" s="7" t="str">
        <f>TRIM(ETLMetadata!$B35)</f>
        <v>CLK</v>
      </c>
      <c r="B35" s="7" t="str">
        <f>TRIM(ETLMetadata!$C35)</f>
        <v>CIRC_RES_RSCB</v>
      </c>
      <c r="C35" s="7" t="str">
        <f>TRIM(ETLMetadata!$F35)</f>
        <v>RSCB_DOR</v>
      </c>
      <c r="D35" s="7" t="str">
        <f>TRIM(ETLMetadata!$H35)</f>
        <v>StringType()</v>
      </c>
      <c r="E35" s="7" t="str">
        <f t="shared" si="8"/>
        <v>CLK_CIRC_RES_RSCB</v>
      </c>
      <c r="F35" s="7" t="str">
        <f t="shared" si="1"/>
        <v>RSCB_DOR</v>
      </c>
      <c r="G35" s="7" t="s">
        <v>825</v>
      </c>
      <c r="H35" s="7" t="str">
        <f t="shared" si="2"/>
        <v>CLK_CIRC_RES_RSCB</v>
      </c>
      <c r="I35" s="7" t="str">
        <f t="shared" si="3"/>
        <v>RSCB_DOR</v>
      </c>
      <c r="J35" s="7" t="str">
        <f t="shared" si="4"/>
        <v>DATE</v>
      </c>
      <c r="K35" s="17" t="s">
        <v>80</v>
      </c>
      <c r="L35" s="7" t="str">
        <f>TRIM(ETLMetadata!$I35)</f>
        <v>YYYY-MM-DD</v>
      </c>
      <c r="M35" s="7" t="str">
        <f t="shared" si="5"/>
        <v>TO_DATE(NULLIF(TRIM(RSCB_DOR),'') , 'YYYY-MM-DD')</v>
      </c>
      <c r="N35" s="7" t="str">
        <f>TRIM(ETLMetadata!$J35)</f>
        <v/>
      </c>
      <c r="O35" s="8" t="str">
        <f>IF(TRIM(Classification!$G35)="","NOT CONFIDENTIAL",TRIM(Classification!$G35))</f>
        <v>NOT CONFIDENTIAL</v>
      </c>
      <c r="P35" s="7" t="str">
        <f t="shared" si="6"/>
        <v>Y</v>
      </c>
      <c r="Q35" s="7" t="s">
        <v>826</v>
      </c>
      <c r="R35" s="9">
        <v>2958465</v>
      </c>
      <c r="S35" s="7" t="s">
        <v>827</v>
      </c>
      <c r="T35" s="7" t="s">
        <v>828</v>
      </c>
      <c r="U35" s="7" t="str">
        <f t="shared" si="9"/>
        <v>CLK_CIRC_RES_RSCB_V</v>
      </c>
      <c r="V35" s="7" t="s">
        <v>829</v>
      </c>
    </row>
    <row r="36" spans="1:22">
      <c r="A36" s="7" t="str">
        <f>TRIM(ETLMetadata!$B36)</f>
        <v>CLK</v>
      </c>
      <c r="B36" s="7" t="str">
        <f>TRIM(ETLMetadata!$C36)</f>
        <v>CIRC_RES_RSCB</v>
      </c>
      <c r="C36" s="7" t="str">
        <f>TRIM(ETLMetadata!$F36)</f>
        <v>RSCB_DOR_ORIG</v>
      </c>
      <c r="D36" s="7" t="str">
        <f>TRIM(ETLMetadata!$H36)</f>
        <v>StringType()</v>
      </c>
      <c r="E36" s="7" t="str">
        <f t="shared" si="8"/>
        <v>CLK_CIRC_RES_RSCB</v>
      </c>
      <c r="F36" s="7" t="str">
        <f t="shared" si="1"/>
        <v>RSCB_DOR_ORIG</v>
      </c>
      <c r="G36" s="7" t="s">
        <v>825</v>
      </c>
      <c r="H36" s="7" t="str">
        <f t="shared" si="2"/>
        <v>CLK_CIRC_RES_RSCB</v>
      </c>
      <c r="I36" s="7" t="str">
        <f t="shared" si="3"/>
        <v>RSCB_DOR_ORIG</v>
      </c>
      <c r="J36" s="7" t="str">
        <f t="shared" si="4"/>
        <v>INTEGER</v>
      </c>
      <c r="K36" s="17" t="s">
        <v>90</v>
      </c>
      <c r="L36" s="7" t="str">
        <f>TRIM(ETLMetadata!$I36)</f>
        <v/>
      </c>
      <c r="M36" s="7" t="str">
        <f t="shared" si="5"/>
        <v>CAST(NULLIF(TRIM(RSCB_DOR_ORIG),'') AS INTEGER)</v>
      </c>
      <c r="N36" s="7" t="str">
        <f>TRIM(ETLMetadata!$J36)</f>
        <v/>
      </c>
      <c r="O36" s="8" t="str">
        <f>IF(TRIM(Classification!$G36)="","NOT CONFIDENTIAL",TRIM(Classification!$G36))</f>
        <v>NOT CONFIDENTIAL</v>
      </c>
      <c r="P36" s="7" t="str">
        <f t="shared" si="6"/>
        <v>Y</v>
      </c>
      <c r="Q36" s="7" t="s">
        <v>826</v>
      </c>
      <c r="R36" s="9">
        <v>2958465</v>
      </c>
      <c r="S36" s="7" t="s">
        <v>827</v>
      </c>
      <c r="T36" s="7" t="s">
        <v>828</v>
      </c>
      <c r="U36" s="7" t="str">
        <f t="shared" si="9"/>
        <v>CLK_CIRC_RES_RSCB_V</v>
      </c>
      <c r="V36" s="7" t="s">
        <v>829</v>
      </c>
    </row>
    <row r="37" spans="1:22">
      <c r="A37" s="7" t="str">
        <f>TRIM(ETLMetadata!$B37)</f>
        <v>CLK</v>
      </c>
      <c r="B37" s="7" t="str">
        <f>TRIM(ETLMetadata!$C37)</f>
        <v>CIRC_RES_RSCB</v>
      </c>
      <c r="C37" s="7" t="str">
        <f>TRIM(ETLMetadata!$F37)</f>
        <v>PROCESSING_SEQUENCE</v>
      </c>
      <c r="D37" s="7" t="str">
        <f>TRIM(ETLMetadata!$H37)</f>
        <v>StringType()</v>
      </c>
      <c r="E37" s="7" t="str">
        <f t="shared" si="8"/>
        <v>CLK_CIRC_RES_RSCB</v>
      </c>
      <c r="F37" s="7" t="str">
        <f t="shared" si="1"/>
        <v>PROCESSING_SEQUENCE</v>
      </c>
      <c r="G37" s="7" t="s">
        <v>825</v>
      </c>
      <c r="H37" s="7" t="str">
        <f t="shared" si="2"/>
        <v>CLK_CIRC_RES_RSCB</v>
      </c>
      <c r="I37" s="7" t="str">
        <f t="shared" si="3"/>
        <v>PROCESSING_SEQUENCE</v>
      </c>
      <c r="J37" s="7" t="str">
        <f t="shared" si="4"/>
        <v>SMALLINT</v>
      </c>
      <c r="K37" s="7" t="str">
        <f>TRIM(ETLMetadata!$G37)</f>
        <v>SMALLINT</v>
      </c>
      <c r="L37" s="7" t="str">
        <f>TRIM(ETLMetadata!$I37)</f>
        <v/>
      </c>
      <c r="M37" s="7" t="str">
        <f t="shared" si="5"/>
        <v>CAST(NULLIF(TRIM(PROCESSING_SEQUENCE),'') AS SMALLINT)</v>
      </c>
      <c r="N37" s="7" t="str">
        <f>TRIM(ETLMetadata!$J37)</f>
        <v>Y</v>
      </c>
      <c r="O37" s="8" t="str">
        <f>IF(TRIM(Classification!$G37)="","NOT CONFIDENTIAL",TRIM(Classification!$G37))</f>
        <v>NOT CONFIDENTIAL</v>
      </c>
      <c r="P37" s="7" t="str">
        <f t="shared" si="6"/>
        <v>Y</v>
      </c>
      <c r="Q37" s="7" t="s">
        <v>826</v>
      </c>
      <c r="R37" s="9">
        <v>2958465</v>
      </c>
      <c r="S37" s="7" t="s">
        <v>827</v>
      </c>
      <c r="T37" s="7" t="s">
        <v>828</v>
      </c>
      <c r="U37" s="7" t="str">
        <f t="shared" si="9"/>
        <v>CLK_CIRC_RES_RSCB_V</v>
      </c>
      <c r="V37" s="7" t="s">
        <v>829</v>
      </c>
    </row>
    <row r="38" spans="1:22">
      <c r="A38" s="7" t="str">
        <f>TRIM(ETLMetadata!$B38)</f>
        <v>CLK</v>
      </c>
      <c r="B38" s="7" t="str">
        <f>TRIM(ETLMetadata!$C38)</f>
        <v>CIRC_RES_RSCB</v>
      </c>
      <c r="C38" s="7" t="str">
        <f>TRIM(ETLMetadata!$F38)</f>
        <v>RSCB_AMR_1</v>
      </c>
      <c r="D38" s="7" t="str">
        <f>TRIM(ETLMetadata!$H38)</f>
        <v>StringType()</v>
      </c>
      <c r="E38" s="7" t="str">
        <f t="shared" si="8"/>
        <v>CLK_CIRC_RES_RSCB</v>
      </c>
      <c r="F38" s="7" t="str">
        <f t="shared" si="1"/>
        <v>RSCB_AMR_1</v>
      </c>
      <c r="G38" s="7" t="s">
        <v>825</v>
      </c>
      <c r="H38" s="7" t="str">
        <f t="shared" si="2"/>
        <v>CLK_CIRC_RES_RSCB</v>
      </c>
      <c r="I38" s="7" t="str">
        <f t="shared" si="3"/>
        <v>RSCB_AMR_1</v>
      </c>
      <c r="J38" s="7" t="str">
        <f t="shared" si="4"/>
        <v>VARCHAR</v>
      </c>
      <c r="K38" s="7" t="str">
        <f>TRIM(ETLMetadata!$G38)</f>
        <v>CHAR(4)</v>
      </c>
      <c r="L38" s="7" t="str">
        <f>TRIM(ETLMetadata!$I38)</f>
        <v/>
      </c>
      <c r="M38" s="7" t="str">
        <f t="shared" si="5"/>
        <v>NULLIF(TRIM(RSCB_AMR_1),'')</v>
      </c>
      <c r="N38" s="7" t="str">
        <f>TRIM(ETLMetadata!$J38)</f>
        <v/>
      </c>
      <c r="O38" s="8" t="str">
        <f>IF(TRIM(Classification!$G38)="","NOT CONFIDENTIAL",TRIM(Classification!$G38))</f>
        <v>NOT CONFIDENTIAL</v>
      </c>
      <c r="P38" s="7" t="str">
        <f t="shared" si="6"/>
        <v>Y</v>
      </c>
      <c r="Q38" s="7" t="s">
        <v>826</v>
      </c>
      <c r="R38" s="9">
        <v>2958465</v>
      </c>
      <c r="S38" s="7" t="s">
        <v>827</v>
      </c>
      <c r="T38" s="7" t="s">
        <v>828</v>
      </c>
      <c r="U38" s="7" t="str">
        <f t="shared" si="9"/>
        <v>CLK_CIRC_RES_RSCB_V</v>
      </c>
      <c r="V38" s="7" t="s">
        <v>829</v>
      </c>
    </row>
    <row r="39" spans="1:22">
      <c r="A39" s="7" t="str">
        <f>TRIM(ETLMetadata!$B39)</f>
        <v>CLK</v>
      </c>
      <c r="B39" s="7" t="str">
        <f>TRIM(ETLMetadata!$C39)</f>
        <v>CIRC_RES_RSCB</v>
      </c>
      <c r="C39" s="7" t="str">
        <f>TRIM(ETLMetadata!$F39)</f>
        <v>RSCB_AMR_2</v>
      </c>
      <c r="D39" s="7" t="str">
        <f>TRIM(ETLMetadata!$H39)</f>
        <v>StringType()</v>
      </c>
      <c r="E39" s="7" t="str">
        <f t="shared" si="8"/>
        <v>CLK_CIRC_RES_RSCB</v>
      </c>
      <c r="F39" s="7" t="str">
        <f t="shared" si="1"/>
        <v>RSCB_AMR_2</v>
      </c>
      <c r="G39" s="7" t="s">
        <v>825</v>
      </c>
      <c r="H39" s="7" t="str">
        <f t="shared" si="2"/>
        <v>CLK_CIRC_RES_RSCB</v>
      </c>
      <c r="I39" s="7" t="str">
        <f t="shared" si="3"/>
        <v>RSCB_AMR_2</v>
      </c>
      <c r="J39" s="7" t="str">
        <f t="shared" si="4"/>
        <v>VARCHAR</v>
      </c>
      <c r="K39" s="7" t="str">
        <f>TRIM(ETLMetadata!$G39)</f>
        <v>CHAR(1)</v>
      </c>
      <c r="L39" s="7" t="str">
        <f>TRIM(ETLMetadata!$I39)</f>
        <v/>
      </c>
      <c r="M39" s="7" t="str">
        <f t="shared" si="5"/>
        <v>NULLIF(TRIM(RSCB_AMR_2),'')</v>
      </c>
      <c r="N39" s="7" t="str">
        <f>TRIM(ETLMetadata!$J39)</f>
        <v/>
      </c>
      <c r="O39" s="8" t="str">
        <f>IF(TRIM(Classification!$G39)="","NOT CONFIDENTIAL",TRIM(Classification!$G39))</f>
        <v>NOT CONFIDENTIAL</v>
      </c>
      <c r="P39" s="7" t="str">
        <f t="shared" si="6"/>
        <v>Y</v>
      </c>
      <c r="Q39" s="7" t="s">
        <v>826</v>
      </c>
      <c r="R39" s="9">
        <v>2958465</v>
      </c>
      <c r="S39" s="7" t="s">
        <v>827</v>
      </c>
      <c r="T39" s="7" t="s">
        <v>828</v>
      </c>
      <c r="U39" s="7" t="str">
        <f t="shared" si="9"/>
        <v>CLK_CIRC_RES_RSCB_V</v>
      </c>
      <c r="V39" s="7" t="s">
        <v>829</v>
      </c>
    </row>
    <row r="40" spans="1:22">
      <c r="A40" s="7" t="str">
        <f>TRIM(ETLMetadata!$B40)</f>
        <v>CLK</v>
      </c>
      <c r="B40" s="7" t="str">
        <f>TRIM(ETLMetadata!$C40)</f>
        <v>CIRC_RES_RSCB</v>
      </c>
      <c r="C40" s="7" t="str">
        <f>TRIM(ETLMetadata!$F40)</f>
        <v>RSCB_AMR_3</v>
      </c>
      <c r="D40" s="7" t="str">
        <f>TRIM(ETLMetadata!$H40)</f>
        <v>StringType()</v>
      </c>
      <c r="E40" s="7" t="str">
        <f t="shared" si="8"/>
        <v>CLK_CIRC_RES_RSCB</v>
      </c>
      <c r="F40" s="7" t="str">
        <f t="shared" si="1"/>
        <v>RSCB_AMR_3</v>
      </c>
      <c r="G40" s="7" t="s">
        <v>825</v>
      </c>
      <c r="H40" s="7" t="str">
        <f t="shared" si="2"/>
        <v>CLK_CIRC_RES_RSCB</v>
      </c>
      <c r="I40" s="7" t="str">
        <f t="shared" si="3"/>
        <v>RSCB_AMR_3</v>
      </c>
      <c r="J40" s="7" t="str">
        <f t="shared" si="4"/>
        <v>VARCHAR</v>
      </c>
      <c r="K40" s="7" t="str">
        <f>TRIM(ETLMetadata!$G40)</f>
        <v>CHAR(4)</v>
      </c>
      <c r="L40" s="7" t="str">
        <f>TRIM(ETLMetadata!$I40)</f>
        <v/>
      </c>
      <c r="M40" s="7" t="str">
        <f t="shared" si="5"/>
        <v>NULLIF(TRIM(RSCB_AMR_3),'')</v>
      </c>
      <c r="N40" s="7" t="str">
        <f>TRIM(ETLMetadata!$J40)</f>
        <v/>
      </c>
      <c r="O40" s="8" t="str">
        <f>IF(TRIM(Classification!$G40)="","NOT CONFIDENTIAL",TRIM(Classification!$G40))</f>
        <v>NOT CONFIDENTIAL</v>
      </c>
      <c r="P40" s="7" t="str">
        <f t="shared" si="6"/>
        <v>Y</v>
      </c>
      <c r="Q40" s="7" t="s">
        <v>826</v>
      </c>
      <c r="R40" s="9">
        <v>2958465</v>
      </c>
      <c r="S40" s="7" t="s">
        <v>827</v>
      </c>
      <c r="T40" s="7" t="s">
        <v>828</v>
      </c>
      <c r="U40" s="7" t="str">
        <f t="shared" si="9"/>
        <v>CLK_CIRC_RES_RSCB_V</v>
      </c>
      <c r="V40" s="7" t="s">
        <v>829</v>
      </c>
    </row>
    <row r="41" spans="1:22">
      <c r="A41" s="7" t="str">
        <f>TRIM(ETLMetadata!$B41)</f>
        <v>CLK</v>
      </c>
      <c r="B41" s="7" t="str">
        <f>TRIM(ETLMetadata!$C41)</f>
        <v>CIRC_RES_RSCB</v>
      </c>
      <c r="C41" s="7" t="str">
        <f>TRIM(ETLMetadata!$F41)</f>
        <v>RSCB_BIRTH_CTRY_CODE</v>
      </c>
      <c r="D41" s="7" t="str">
        <f>TRIM(ETLMetadata!$H41)</f>
        <v>StringType()</v>
      </c>
      <c r="E41" s="7" t="str">
        <f t="shared" si="8"/>
        <v>CLK_CIRC_RES_RSCB</v>
      </c>
      <c r="F41" s="7" t="str">
        <f t="shared" si="1"/>
        <v>RSCB_BIRTH_CTRY_CODE</v>
      </c>
      <c r="G41" s="7" t="s">
        <v>825</v>
      </c>
      <c r="H41" s="7" t="str">
        <f t="shared" si="2"/>
        <v>CLK_CIRC_RES_RSCB</v>
      </c>
      <c r="I41" s="7" t="str">
        <f t="shared" si="3"/>
        <v>RSCB_BIRTH_CTRY_CODE</v>
      </c>
      <c r="J41" s="7" t="str">
        <f t="shared" si="4"/>
        <v>VARCHAR</v>
      </c>
      <c r="K41" s="7" t="str">
        <f>TRIM(ETLMetadata!$G41)</f>
        <v>CHAR(2)</v>
      </c>
      <c r="L41" s="7" t="str">
        <f>TRIM(ETLMetadata!$I41)</f>
        <v/>
      </c>
      <c r="M41" s="7" t="str">
        <f t="shared" si="5"/>
        <v>NULLIF(TRIM(RSCB_BIRTH_CTRY_CODE),'')</v>
      </c>
      <c r="N41" s="7" t="str">
        <f>TRIM(ETLMetadata!$J41)</f>
        <v/>
      </c>
      <c r="O41" s="8" t="str">
        <f>IF(TRIM(Classification!$G41)="","NOT CONFIDENTIAL",TRIM(Classification!$G41))</f>
        <v>NOT CONFIDENTIAL</v>
      </c>
      <c r="P41" s="7" t="str">
        <f t="shared" si="6"/>
        <v>Y</v>
      </c>
      <c r="Q41" s="7" t="s">
        <v>826</v>
      </c>
      <c r="R41" s="9">
        <v>2958465</v>
      </c>
      <c r="S41" s="7" t="s">
        <v>827</v>
      </c>
      <c r="T41" s="7" t="s">
        <v>828</v>
      </c>
      <c r="U41" s="7" t="str">
        <f t="shared" si="9"/>
        <v>CLK_CIRC_RES_RSCB_V</v>
      </c>
      <c r="V41" s="7" t="s">
        <v>829</v>
      </c>
    </row>
    <row r="42" spans="1:22">
      <c r="A42" s="7" t="str">
        <f>TRIM(ETLMetadata!$B42)</f>
        <v>CLK</v>
      </c>
      <c r="B42" s="7" t="str">
        <f>TRIM(ETLMetadata!$C42)</f>
        <v>CIRC_RES_RSCB</v>
      </c>
      <c r="C42" s="7" t="str">
        <f>TRIM(ETLMetadata!$F42)</f>
        <v>RSCB_CHNL_CODE</v>
      </c>
      <c r="D42" s="7" t="str">
        <f>TRIM(ETLMetadata!$H42)</f>
        <v>StringType()</v>
      </c>
      <c r="E42" s="7" t="str">
        <f t="shared" si="8"/>
        <v>CLK_CIRC_RES_RSCB</v>
      </c>
      <c r="F42" s="7" t="str">
        <f t="shared" si="1"/>
        <v>RSCB_CHNL_CODE</v>
      </c>
      <c r="G42" s="7" t="s">
        <v>825</v>
      </c>
      <c r="H42" s="7" t="str">
        <f t="shared" si="2"/>
        <v>CLK_CIRC_RES_RSCB</v>
      </c>
      <c r="I42" s="7" t="str">
        <f t="shared" si="3"/>
        <v>RSCB_CHNL_CODE</v>
      </c>
      <c r="J42" s="7" t="str">
        <f t="shared" si="4"/>
        <v>VARCHAR</v>
      </c>
      <c r="K42" s="7" t="str">
        <f>TRIM(ETLMetadata!$G42)</f>
        <v>CHAR(3)</v>
      </c>
      <c r="L42" s="7" t="str">
        <f>TRIM(ETLMetadata!$I42)</f>
        <v/>
      </c>
      <c r="M42" s="7" t="str">
        <f t="shared" si="5"/>
        <v>NULLIF(TRIM(RSCB_CHNL_CODE),'')</v>
      </c>
      <c r="N42" s="7" t="str">
        <f>TRIM(ETLMetadata!$J42)</f>
        <v/>
      </c>
      <c r="O42" s="8" t="str">
        <f>IF(TRIM(Classification!$G42)="","NOT CONFIDENTIAL",TRIM(Classification!$G42))</f>
        <v>NOT CONFIDENTIAL</v>
      </c>
      <c r="P42" s="7" t="str">
        <f t="shared" si="6"/>
        <v>Y</v>
      </c>
      <c r="Q42" s="7" t="s">
        <v>826</v>
      </c>
      <c r="R42" s="9">
        <v>2958465</v>
      </c>
      <c r="S42" s="7" t="s">
        <v>827</v>
      </c>
      <c r="T42" s="7" t="s">
        <v>828</v>
      </c>
      <c r="U42" s="7" t="str">
        <f t="shared" si="9"/>
        <v>CLK_CIRC_RES_RSCB_V</v>
      </c>
      <c r="V42" s="7" t="s">
        <v>829</v>
      </c>
    </row>
    <row r="43" spans="1:22">
      <c r="A43" s="7" t="str">
        <f>TRIM(ETLMetadata!$B43)</f>
        <v>CLK</v>
      </c>
      <c r="B43" s="7" t="str">
        <f>TRIM(ETLMetadata!$C43)</f>
        <v>CIRC_RES_RSCB</v>
      </c>
      <c r="C43" s="7" t="str">
        <f>TRIM(ETLMetadata!$F43)</f>
        <v>AMR1_RISL_DTS</v>
      </c>
      <c r="D43" s="7" t="str">
        <f>TRIM(ETLMetadata!$H43)</f>
        <v>StringType()</v>
      </c>
      <c r="E43" s="7" t="str">
        <f t="shared" si="8"/>
        <v>CLK_CIRC_RES_RSCB</v>
      </c>
      <c r="F43" s="7" t="str">
        <f t="shared" si="1"/>
        <v>AMR1_RISL_DTS</v>
      </c>
      <c r="G43" s="7" t="s">
        <v>825</v>
      </c>
      <c r="H43" s="7" t="str">
        <f t="shared" si="2"/>
        <v>CLK_CIRC_RES_RSCB</v>
      </c>
      <c r="I43" s="7" t="str">
        <f t="shared" si="3"/>
        <v>AMR1_RISL_DTS</v>
      </c>
      <c r="J43" s="7" t="str">
        <f t="shared" si="4"/>
        <v>TIMESTAMP</v>
      </c>
      <c r="K43" s="7" t="str">
        <f>TRIM(ETLMetadata!$G43)</f>
        <v>TIMESTAMP(6)</v>
      </c>
      <c r="L43" s="7" t="str">
        <f>TRIM(ETLMetadata!$I43)</f>
        <v>YYYY-MM-DDBHH:MI:SS.S(6)</v>
      </c>
      <c r="M43" s="7" t="str">
        <f t="shared" si="5"/>
        <v>TO_TIMESTAMP_NTZ(NULLIF(TRIM(AMR1_RISL_DTS),''),'YYYY-MM-DD HH24:MI:SS.FF6')</v>
      </c>
      <c r="N43" s="7" t="str">
        <f>TRIM(ETLMetadata!$J43)</f>
        <v/>
      </c>
      <c r="O43" s="8" t="str">
        <f>IF(TRIM(Classification!$G43)="","NOT CONFIDENTIAL",TRIM(Classification!$G43))</f>
        <v>NOT CONFIDENTIAL</v>
      </c>
      <c r="P43" s="7" t="str">
        <f t="shared" si="6"/>
        <v>Y</v>
      </c>
      <c r="Q43" s="7" t="s">
        <v>826</v>
      </c>
      <c r="R43" s="9">
        <v>2958465</v>
      </c>
      <c r="S43" s="7" t="s">
        <v>827</v>
      </c>
      <c r="T43" s="7" t="s">
        <v>828</v>
      </c>
      <c r="U43" s="7" t="str">
        <f t="shared" si="9"/>
        <v>CLK_CIRC_RES_RSCB_V</v>
      </c>
      <c r="V43" s="7" t="s">
        <v>829</v>
      </c>
    </row>
    <row r="44" spans="1:22">
      <c r="A44" s="7" t="str">
        <f>TRIM(ETLMetadata!$B44)</f>
        <v>CLK</v>
      </c>
      <c r="B44" s="7" t="str">
        <f>TRIM(ETLMetadata!$C44)</f>
        <v>CIRC_RES_RSCB</v>
      </c>
      <c r="C44" s="7" t="str">
        <f>TRIM(ETLMetadata!$F44)</f>
        <v>AMR3_RISL_DTS</v>
      </c>
      <c r="D44" s="7" t="str">
        <f>TRIM(ETLMetadata!$H44)</f>
        <v>StringType()</v>
      </c>
      <c r="E44" s="7" t="str">
        <f t="shared" si="8"/>
        <v>CLK_CIRC_RES_RSCB</v>
      </c>
      <c r="F44" s="7" t="str">
        <f t="shared" si="1"/>
        <v>AMR3_RISL_DTS</v>
      </c>
      <c r="G44" s="7" t="s">
        <v>825</v>
      </c>
      <c r="H44" s="7" t="str">
        <f t="shared" si="2"/>
        <v>CLK_CIRC_RES_RSCB</v>
      </c>
      <c r="I44" s="7" t="str">
        <f t="shared" si="3"/>
        <v>AMR3_RISL_DTS</v>
      </c>
      <c r="J44" s="7" t="str">
        <f t="shared" si="4"/>
        <v>TIMESTAMP</v>
      </c>
      <c r="K44" s="7" t="str">
        <f>TRIM(ETLMetadata!$G44)</f>
        <v>TIMESTAMP(6)</v>
      </c>
      <c r="L44" s="7" t="str">
        <f>TRIM(ETLMetadata!$I44)</f>
        <v>YYYY-MM-DDBHH:MI:SS.S(6)</v>
      </c>
      <c r="M44" s="7" t="str">
        <f t="shared" si="5"/>
        <v>TO_TIMESTAMP_NTZ(NULLIF(TRIM(AMR3_RISL_DTS),''),'YYYY-MM-DD HH24:MI:SS.FF6')</v>
      </c>
      <c r="N44" s="7" t="str">
        <f>TRIM(ETLMetadata!$J44)</f>
        <v/>
      </c>
      <c r="O44" s="8" t="str">
        <f>IF(TRIM(Classification!$G44)="","NOT CONFIDENTIAL",TRIM(Classification!$G44))</f>
        <v>NOT CONFIDENTIAL</v>
      </c>
      <c r="P44" s="7" t="str">
        <f t="shared" si="6"/>
        <v>Y</v>
      </c>
      <c r="Q44" s="7" t="s">
        <v>826</v>
      </c>
      <c r="R44" s="9">
        <v>2958465</v>
      </c>
      <c r="S44" s="7" t="s">
        <v>827</v>
      </c>
      <c r="T44" s="7" t="s">
        <v>828</v>
      </c>
      <c r="U44" s="7" t="str">
        <f t="shared" si="9"/>
        <v>CLK_CIRC_RES_RSCB_V</v>
      </c>
      <c r="V44" s="7" t="s">
        <v>829</v>
      </c>
    </row>
    <row r="45" spans="1:22">
      <c r="A45" s="7" t="str">
        <f>TRIM(ETLMetadata!$B45)</f>
        <v>CLK</v>
      </c>
      <c r="B45" s="7" t="str">
        <f>TRIM(ETLMetadata!$C45)</f>
        <v>CIRC_RES_RSCB</v>
      </c>
      <c r="C45" s="7" t="str">
        <f>TRIM(ETLMetadata!$F45)</f>
        <v>PARTY_ROLE_ID</v>
      </c>
      <c r="D45" s="7" t="str">
        <f>TRIM(ETLMetadata!$H45)</f>
        <v>StringType()</v>
      </c>
      <c r="E45" s="7" t="str">
        <f t="shared" si="8"/>
        <v>CLK_CIRC_RES_RSCB</v>
      </c>
      <c r="F45" s="7" t="str">
        <f t="shared" si="1"/>
        <v>PARTY_ROLE_ID</v>
      </c>
      <c r="G45" s="7" t="s">
        <v>825</v>
      </c>
      <c r="H45" s="7" t="str">
        <f t="shared" si="2"/>
        <v>CLK_CIRC_RES_RSCB</v>
      </c>
      <c r="I45" s="7" t="str">
        <f t="shared" si="3"/>
        <v>PARTY_ROLE_ID</v>
      </c>
      <c r="J45" s="7" t="str">
        <f t="shared" si="4"/>
        <v>INTEGER</v>
      </c>
      <c r="K45" s="7" t="str">
        <f>TRIM(ETLMetadata!$G45)</f>
        <v>INTEGER</v>
      </c>
      <c r="L45" s="7" t="str">
        <f>TRIM(ETLMetadata!$I45)</f>
        <v/>
      </c>
      <c r="M45" s="7" t="str">
        <f t="shared" si="5"/>
        <v>CAST(NULLIF(TRIM(PARTY_ROLE_ID),'') AS INTEGER)</v>
      </c>
      <c r="N45" s="7" t="str">
        <f>TRIM(ETLMetadata!$J45)</f>
        <v/>
      </c>
      <c r="O45" s="8" t="str">
        <f>IF(TRIM(Classification!$G45)="","NOT CONFIDENTIAL",TRIM(Classification!$G45))</f>
        <v>NOT CONFIDENTIAL</v>
      </c>
      <c r="P45" s="7" t="str">
        <f t="shared" si="6"/>
        <v>Y</v>
      </c>
      <c r="Q45" s="7" t="s">
        <v>826</v>
      </c>
      <c r="R45" s="9">
        <v>2958465</v>
      </c>
      <c r="S45" s="7" t="s">
        <v>827</v>
      </c>
      <c r="T45" s="7" t="s">
        <v>828</v>
      </c>
      <c r="U45" s="7" t="str">
        <f t="shared" si="9"/>
        <v>CLK_CIRC_RES_RSCB_V</v>
      </c>
      <c r="V45" s="7" t="s">
        <v>829</v>
      </c>
    </row>
    <row r="46" spans="1:22">
      <c r="A46" s="7" t="str">
        <f>TRIM(ETLMetadata!$B46)</f>
        <v>CLK</v>
      </c>
      <c r="B46" s="7" t="str">
        <f>TRIM(ETLMetadata!$C46)</f>
        <v>CIRC_RES_RSCB</v>
      </c>
      <c r="C46" s="7" t="str">
        <f>TRIM(ETLMetadata!$F46)</f>
        <v>ERROR_COUNT</v>
      </c>
      <c r="D46" s="7" t="str">
        <f>TRIM(ETLMetadata!$H46)</f>
        <v>StringType()</v>
      </c>
      <c r="E46" s="7" t="str">
        <f t="shared" si="8"/>
        <v>CLK_CIRC_RES_RSCB</v>
      </c>
      <c r="F46" s="7" t="str">
        <f t="shared" si="1"/>
        <v>ERROR_COUNT</v>
      </c>
      <c r="G46" s="7" t="s">
        <v>825</v>
      </c>
      <c r="H46" s="7" t="str">
        <f t="shared" si="2"/>
        <v>CLK_CIRC_RES_RSCB</v>
      </c>
      <c r="I46" s="7" t="str">
        <f t="shared" si="3"/>
        <v>ERROR_COUNT</v>
      </c>
      <c r="J46" s="7" t="str">
        <f t="shared" si="4"/>
        <v>SMALLINT</v>
      </c>
      <c r="K46" s="7" t="str">
        <f>TRIM(ETLMetadata!$G46)</f>
        <v>SMALLINT</v>
      </c>
      <c r="L46" s="7" t="str">
        <f>TRIM(ETLMetadata!$I46)</f>
        <v/>
      </c>
      <c r="M46" s="7" t="str">
        <f t="shared" si="5"/>
        <v>CAST(NULLIF(TRIM(ERROR_COUNT),'') AS SMALLINT)</v>
      </c>
      <c r="N46" s="7" t="str">
        <f>TRIM(ETLMetadata!$J46)</f>
        <v/>
      </c>
      <c r="O46" s="8" t="str">
        <f>IF(TRIM(Classification!$G46)="","NOT CONFIDENTIAL",TRIM(Classification!$G46))</f>
        <v>NOT CONFIDENTIAL</v>
      </c>
      <c r="P46" s="7" t="str">
        <f t="shared" si="6"/>
        <v>Y</v>
      </c>
      <c r="Q46" s="7" t="s">
        <v>826</v>
      </c>
      <c r="R46" s="9">
        <v>2958465</v>
      </c>
      <c r="S46" s="7" t="s">
        <v>827</v>
      </c>
      <c r="T46" s="7" t="s">
        <v>828</v>
      </c>
      <c r="U46" s="7" t="str">
        <f t="shared" si="9"/>
        <v>CLK_CIRC_RES_RSCB_V</v>
      </c>
      <c r="V46" s="7" t="s">
        <v>829</v>
      </c>
    </row>
    <row r="47" spans="1:22">
      <c r="A47" s="7" t="str">
        <f>TRIM(ETLMetadata!$B47)</f>
        <v>CLK</v>
      </c>
      <c r="B47" s="7" t="str">
        <f>TRIM(ETLMetadata!$C47)</f>
        <v>CIRC_RES_RSCB</v>
      </c>
      <c r="C47" s="7" t="str">
        <f>TRIM(ETLMetadata!$F47)</f>
        <v>Start_Date</v>
      </c>
      <c r="D47" s="7" t="str">
        <f>TRIM(ETLMetadata!$H47)</f>
        <v>StringType()</v>
      </c>
      <c r="E47" s="7" t="str">
        <f t="shared" si="8"/>
        <v>CLK_CIRC_RES_RSCB</v>
      </c>
      <c r="F47" s="7" t="str">
        <f t="shared" si="1"/>
        <v>STRT_DT</v>
      </c>
      <c r="G47" s="7" t="s">
        <v>825</v>
      </c>
      <c r="H47" s="7" t="str">
        <f t="shared" si="2"/>
        <v>CLK_CIRC_RES_RSCB</v>
      </c>
      <c r="I47" s="7" t="str">
        <f t="shared" si="3"/>
        <v>STRT_DT</v>
      </c>
      <c r="J47" s="7" t="str">
        <f t="shared" si="4"/>
        <v>DATE</v>
      </c>
      <c r="K47" s="7" t="str">
        <f>TRIM(ETLMetadata!$G47)</f>
        <v>DATE</v>
      </c>
      <c r="L47" s="7" t="str">
        <f>TRIM(ETLMetadata!$I47)</f>
        <v>YYYY-MM-DD</v>
      </c>
      <c r="M47" s="7" t="str">
        <f t="shared" si="5"/>
        <v>TO_DATE(NULLIF(TRIM(STRT_DT),'') , 'YYYY-MM-DD')</v>
      </c>
      <c r="N47" s="7" t="str">
        <f>TRIM(ETLMetadata!$J47)</f>
        <v/>
      </c>
      <c r="O47" s="8" t="str">
        <f>IF(TRIM(Classification!$G47)="","NOT CONFIDENTIAL",TRIM(Classification!$G47))</f>
        <v>NOT CONFIDENTIAL</v>
      </c>
      <c r="P47" s="7" t="str">
        <f t="shared" si="6"/>
        <v>N</v>
      </c>
      <c r="Q47" s="7" t="s">
        <v>826</v>
      </c>
      <c r="R47" s="9">
        <v>2958465</v>
      </c>
      <c r="S47" s="7" t="s">
        <v>827</v>
      </c>
      <c r="T47" s="7" t="s">
        <v>828</v>
      </c>
      <c r="U47" s="7" t="str">
        <f t="shared" si="9"/>
        <v>CLK_CIRC_RES_RSCB_V</v>
      </c>
      <c r="V47" s="7" t="s">
        <v>829</v>
      </c>
    </row>
    <row r="48" spans="1:22">
      <c r="A48" s="7" t="str">
        <f>TRIM(ETLMetadata!$B48)</f>
        <v>CLK</v>
      </c>
      <c r="B48" s="7" t="str">
        <f>TRIM(ETLMetadata!$C48)</f>
        <v>CIRC_RES_RSCB</v>
      </c>
      <c r="C48" s="7" t="str">
        <f>TRIM(ETLMetadata!$F48)</f>
        <v>End_Date</v>
      </c>
      <c r="D48" s="7" t="str">
        <f>TRIM(ETLMetadata!$H48)</f>
        <v>StringType()</v>
      </c>
      <c r="E48" s="7" t="str">
        <f t="shared" si="8"/>
        <v>CLK_CIRC_RES_RSCB</v>
      </c>
      <c r="F48" s="7" t="str">
        <f t="shared" si="1"/>
        <v>END_DT</v>
      </c>
      <c r="G48" s="7" t="s">
        <v>825</v>
      </c>
      <c r="H48" s="7" t="str">
        <f t="shared" si="2"/>
        <v>CLK_CIRC_RES_RSCB</v>
      </c>
      <c r="I48" s="7" t="str">
        <f t="shared" si="3"/>
        <v>END_DT</v>
      </c>
      <c r="J48" s="7" t="str">
        <f t="shared" si="4"/>
        <v>DATE</v>
      </c>
      <c r="K48" s="7" t="str">
        <f>TRIM(ETLMetadata!$G48)</f>
        <v>DATE</v>
      </c>
      <c r="L48" s="7" t="str">
        <f>TRIM(ETLMetadata!$I48)</f>
        <v>YYYY-MM-DD</v>
      </c>
      <c r="M48" s="7" t="str">
        <f t="shared" si="5"/>
        <v>TO_DATE(NULLIF(TRIM(END_DT),'') , 'YYYY-MM-DD')</v>
      </c>
      <c r="N48" s="7" t="str">
        <f>TRIM(ETLMetadata!$J48)</f>
        <v/>
      </c>
      <c r="O48" s="8" t="str">
        <f>IF(TRIM(Classification!$G48)="","NOT CONFIDENTIAL",TRIM(Classification!$G48))</f>
        <v>NOT CONFIDENTIAL</v>
      </c>
      <c r="P48" s="7" t="str">
        <f t="shared" si="6"/>
        <v>N</v>
      </c>
      <c r="Q48" s="7" t="s">
        <v>826</v>
      </c>
      <c r="R48" s="9">
        <v>2958465</v>
      </c>
      <c r="S48" s="7" t="s">
        <v>827</v>
      </c>
      <c r="T48" s="7" t="s">
        <v>828</v>
      </c>
      <c r="U48" s="7" t="str">
        <f t="shared" si="9"/>
        <v>CLK_CIRC_RES_RSCB_V</v>
      </c>
      <c r="V48" s="7" t="s">
        <v>829</v>
      </c>
    </row>
    <row r="49" spans="1:22">
      <c r="A49" s="7" t="str">
        <f>TRIM(ETLMetadata!$B49)</f>
        <v>CLK</v>
      </c>
      <c r="B49" s="7" t="str">
        <f>TRIM(ETLMetadata!$C49)</f>
        <v>CIRC_RES_RSCB</v>
      </c>
      <c r="C49" s="7" t="str">
        <f>TRIM(ETLMetadata!$F49)</f>
        <v>Record_Deleted_Flag</v>
      </c>
      <c r="D49" s="7" t="str">
        <f>TRIM(ETLMetadata!$H49)</f>
        <v>StringType()</v>
      </c>
      <c r="E49" s="7" t="str">
        <f t="shared" si="8"/>
        <v>CLK_CIRC_RES_RSCB</v>
      </c>
      <c r="F49" s="7" t="str">
        <f t="shared" si="1"/>
        <v>RCRD_DEL_IND</v>
      </c>
      <c r="G49" s="7" t="s">
        <v>825</v>
      </c>
      <c r="H49" s="7" t="str">
        <f t="shared" si="2"/>
        <v>CLK_CIRC_RES_RSCB</v>
      </c>
      <c r="I49" s="7" t="str">
        <f t="shared" si="3"/>
        <v>RCRD_DEL_IND</v>
      </c>
      <c r="J49" s="7" t="str">
        <f t="shared" si="4"/>
        <v>SMALLINT</v>
      </c>
      <c r="K49" s="7" t="str">
        <f>TRIM(ETLMetadata!$G49)</f>
        <v>BYTEINT</v>
      </c>
      <c r="L49" s="7" t="str">
        <f>TRIM(ETLMetadata!$I49)</f>
        <v/>
      </c>
      <c r="M49" s="7" t="str">
        <f t="shared" si="5"/>
        <v>CAST(NULLIF(TRIM(RCRD_DEL_IND),'') AS SMALLINT)</v>
      </c>
      <c r="N49" s="7" t="str">
        <f>TRIM(ETLMetadata!$J49)</f>
        <v/>
      </c>
      <c r="O49" s="8" t="str">
        <f>IF(TRIM(Classification!$G49)="","NOT CONFIDENTIAL",TRIM(Classification!$G49))</f>
        <v>NOT CONFIDENTIAL</v>
      </c>
      <c r="P49" s="7" t="str">
        <f t="shared" si="6"/>
        <v>N</v>
      </c>
      <c r="Q49" s="7" t="s">
        <v>826</v>
      </c>
      <c r="R49" s="9">
        <v>2958465</v>
      </c>
      <c r="S49" s="7" t="s">
        <v>827</v>
      </c>
      <c r="T49" s="7" t="s">
        <v>828</v>
      </c>
      <c r="U49" s="7" t="str">
        <f t="shared" si="9"/>
        <v>CLK_CIRC_RES_RSCB_V</v>
      </c>
      <c r="V49" s="7" t="s">
        <v>829</v>
      </c>
    </row>
    <row r="50" spans="1:22">
      <c r="A50" s="7" t="str">
        <f>TRIM(ETLMetadata!$B50)</f>
        <v>CLK</v>
      </c>
      <c r="B50" s="7" t="str">
        <f>TRIM(ETLMetadata!$C50)</f>
        <v>CIRC_RES_RSCV</v>
      </c>
      <c r="C50" s="7" t="str">
        <f>TRIM(ETLMetadata!$F50)</f>
        <v>EXTRACT_DATE</v>
      </c>
      <c r="D50" s="7" t="str">
        <f>TRIM(ETLMetadata!$H50)</f>
        <v>StringType()</v>
      </c>
      <c r="E50" s="7" t="str">
        <f t="shared" si="8"/>
        <v>CLK_CIRC_RES_RSCV</v>
      </c>
      <c r="F50" s="7" t="str">
        <f t="shared" si="1"/>
        <v>EXTRACT_DATE</v>
      </c>
      <c r="G50" s="7" t="s">
        <v>825</v>
      </c>
      <c r="H50" s="7" t="str">
        <f t="shared" si="2"/>
        <v>CLK_CIRC_RES_RSCV</v>
      </c>
      <c r="I50" s="7" t="str">
        <f t="shared" si="3"/>
        <v>EXTRACT_DATE</v>
      </c>
      <c r="J50" s="7" t="str">
        <f t="shared" si="4"/>
        <v>DATE</v>
      </c>
      <c r="K50" s="7" t="str">
        <f>TRIM(ETLMetadata!$G50)</f>
        <v>DATE</v>
      </c>
      <c r="L50" s="7" t="str">
        <f>TRIM(ETLMetadata!$I50)</f>
        <v>YYYY-MM-DD</v>
      </c>
      <c r="M50" s="7" t="str">
        <f t="shared" si="5"/>
        <v>TO_DATE(NULLIF(TRIM(EXTRACT_DATE),'') , 'YYYY-MM-DD')</v>
      </c>
      <c r="N50" s="7" t="str">
        <f>TRIM(ETLMetadata!$J50)</f>
        <v/>
      </c>
      <c r="O50" s="8" t="str">
        <f>IF(TRIM(Classification!$G50)="","NOT CONFIDENTIAL",TRIM(Classification!$G50))</f>
        <v>NOT CONFIDENTIAL</v>
      </c>
      <c r="P50" s="7" t="str">
        <f t="shared" si="6"/>
        <v>Y</v>
      </c>
      <c r="Q50" s="7" t="s">
        <v>826</v>
      </c>
      <c r="R50" s="9">
        <v>2958465</v>
      </c>
      <c r="S50" s="7" t="s">
        <v>827</v>
      </c>
      <c r="T50" s="7" t="s">
        <v>828</v>
      </c>
      <c r="U50" s="7" t="str">
        <f t="shared" si="9"/>
        <v>CLK_CIRC_RES_RSCV_V</v>
      </c>
      <c r="V50" s="7" t="s">
        <v>829</v>
      </c>
    </row>
    <row r="51" spans="1:22">
      <c r="A51" s="7" t="str">
        <f>TRIM(ETLMetadata!$B51)</f>
        <v>CLK</v>
      </c>
      <c r="B51" s="7" t="str">
        <f>TRIM(ETLMetadata!$C51)</f>
        <v>CIRC_RES_RSCV</v>
      </c>
      <c r="C51" s="7" t="str">
        <f>TRIM(ETLMetadata!$F51)</f>
        <v>LOGICAL_DELETE_DATE</v>
      </c>
      <c r="D51" s="7" t="str">
        <f>TRIM(ETLMetadata!$H51)</f>
        <v>StringType()</v>
      </c>
      <c r="E51" s="7" t="str">
        <f t="shared" si="8"/>
        <v>CLK_CIRC_RES_RSCV</v>
      </c>
      <c r="F51" s="7" t="str">
        <f t="shared" si="1"/>
        <v>LOGICAL_DELETE_DATE</v>
      </c>
      <c r="G51" s="7" t="s">
        <v>825</v>
      </c>
      <c r="H51" s="7" t="str">
        <f t="shared" si="2"/>
        <v>CLK_CIRC_RES_RSCV</v>
      </c>
      <c r="I51" s="7" t="str">
        <f t="shared" si="3"/>
        <v>LOGICAL_DELETE_DATE</v>
      </c>
      <c r="J51" s="7" t="str">
        <f t="shared" si="4"/>
        <v>DATE</v>
      </c>
      <c r="K51" s="7" t="str">
        <f>TRIM(ETLMetadata!$G51)</f>
        <v>DATE</v>
      </c>
      <c r="L51" s="7" t="str">
        <f>TRIM(ETLMetadata!$I51)</f>
        <v>YYYY-MM-DD</v>
      </c>
      <c r="M51" s="7" t="str">
        <f t="shared" si="5"/>
        <v>TO_DATE(NULLIF(TRIM(LOGICAL_DELETE_DATE),'') , 'YYYY-MM-DD')</v>
      </c>
      <c r="N51" s="7" t="str">
        <f>TRIM(ETLMetadata!$J51)</f>
        <v/>
      </c>
      <c r="O51" s="8" t="str">
        <f>IF(TRIM(Classification!$G51)="","NOT CONFIDENTIAL",TRIM(Classification!$G51))</f>
        <v>NOT CONFIDENTIAL</v>
      </c>
      <c r="P51" s="7" t="str">
        <f t="shared" si="6"/>
        <v>Y</v>
      </c>
      <c r="Q51" s="7" t="s">
        <v>826</v>
      </c>
      <c r="R51" s="9">
        <v>2958465</v>
      </c>
      <c r="S51" s="7" t="s">
        <v>827</v>
      </c>
      <c r="T51" s="7" t="s">
        <v>828</v>
      </c>
      <c r="U51" s="7" t="str">
        <f t="shared" si="9"/>
        <v>CLK_CIRC_RES_RSCV_V</v>
      </c>
      <c r="V51" s="7" t="s">
        <v>829</v>
      </c>
    </row>
    <row r="52" spans="1:22">
      <c r="A52" s="7" t="str">
        <f>TRIM(ETLMetadata!$B52)</f>
        <v>CLK</v>
      </c>
      <c r="B52" s="7" t="str">
        <f>TRIM(ETLMetadata!$C52)</f>
        <v>CIRC_RES_RSCV</v>
      </c>
      <c r="C52" s="7" t="str">
        <f>TRIM(ETLMetadata!$F52)</f>
        <v>ENVIRONMENT_ID</v>
      </c>
      <c r="D52" s="7" t="str">
        <f>TRIM(ETLMetadata!$H52)</f>
        <v>StringType()</v>
      </c>
      <c r="E52" s="7" t="str">
        <f t="shared" si="8"/>
        <v>CLK_CIRC_RES_RSCV</v>
      </c>
      <c r="F52" s="7" t="str">
        <f t="shared" si="1"/>
        <v>ENVIRONMENT_ID</v>
      </c>
      <c r="G52" s="7" t="s">
        <v>825</v>
      </c>
      <c r="H52" s="7" t="str">
        <f t="shared" si="2"/>
        <v>CLK_CIRC_RES_RSCV</v>
      </c>
      <c r="I52" s="7" t="str">
        <f t="shared" si="3"/>
        <v>ENVIRONMENT_ID</v>
      </c>
      <c r="J52" s="7" t="str">
        <f t="shared" si="4"/>
        <v>VARCHAR</v>
      </c>
      <c r="K52" s="7" t="str">
        <f>TRIM(ETLMetadata!$G52)</f>
        <v>CHAR(1)</v>
      </c>
      <c r="L52" s="7" t="str">
        <f>TRIM(ETLMetadata!$I52)</f>
        <v/>
      </c>
      <c r="M52" s="7" t="str">
        <f t="shared" si="5"/>
        <v>NULLIF(TRIM(ENVIRONMENT_ID),'')</v>
      </c>
      <c r="N52" s="7" t="str">
        <f>TRIM(ETLMetadata!$J52)</f>
        <v>Y</v>
      </c>
      <c r="O52" s="8" t="str">
        <f>IF(TRIM(Classification!$G52)="","NOT CONFIDENTIAL",TRIM(Classification!$G52))</f>
        <v>NOT CONFIDENTIAL</v>
      </c>
      <c r="P52" s="7" t="str">
        <f t="shared" si="6"/>
        <v>Y</v>
      </c>
      <c r="Q52" s="7" t="s">
        <v>826</v>
      </c>
      <c r="R52" s="9">
        <v>2958465</v>
      </c>
      <c r="S52" s="7" t="s">
        <v>827</v>
      </c>
      <c r="T52" s="7" t="s">
        <v>828</v>
      </c>
      <c r="U52" s="7" t="str">
        <f t="shared" si="9"/>
        <v>CLK_CIRC_RES_RSCV_V</v>
      </c>
      <c r="V52" s="7" t="s">
        <v>829</v>
      </c>
    </row>
    <row r="53" spans="1:22">
      <c r="A53" s="7" t="str">
        <f>TRIM(ETLMetadata!$B53)</f>
        <v>CLK</v>
      </c>
      <c r="B53" s="7" t="str">
        <f>TRIM(ETLMetadata!$C53)</f>
        <v>CIRC_RES_RSCV</v>
      </c>
      <c r="C53" s="7" t="str">
        <f>TRIM(ETLMetadata!$F53)</f>
        <v>PERSON_ID</v>
      </c>
      <c r="D53" s="7" t="str">
        <f>TRIM(ETLMetadata!$H53)</f>
        <v>StringType()</v>
      </c>
      <c r="E53" s="7" t="str">
        <f t="shared" si="8"/>
        <v>CLK_CIRC_RES_RSCV</v>
      </c>
      <c r="F53" s="7" t="str">
        <f t="shared" si="1"/>
        <v>PERSON_ID</v>
      </c>
      <c r="G53" s="7" t="s">
        <v>825</v>
      </c>
      <c r="H53" s="7" t="str">
        <f t="shared" si="2"/>
        <v>CLK_CIRC_RES_RSCV</v>
      </c>
      <c r="I53" s="7" t="str">
        <f t="shared" si="3"/>
        <v>PERSON_ID</v>
      </c>
      <c r="J53" s="7" t="str">
        <f t="shared" si="4"/>
        <v>INTEGER</v>
      </c>
      <c r="K53" s="7" t="str">
        <f>TRIM(ETLMetadata!$G53)</f>
        <v>INTEGER</v>
      </c>
      <c r="L53" s="7" t="str">
        <f>TRIM(ETLMetadata!$I53)</f>
        <v/>
      </c>
      <c r="M53" s="7" t="str">
        <f t="shared" si="5"/>
        <v>CAST(NULLIF(TRIM(PERSON_ID),'') AS INTEGER)</v>
      </c>
      <c r="N53" s="7" t="str">
        <f>TRIM(ETLMetadata!$J53)</f>
        <v>Y</v>
      </c>
      <c r="O53" s="8" t="str">
        <f>IF(TRIM(Classification!$G53)="","NOT CONFIDENTIAL",TRIM(Classification!$G53))</f>
        <v>PERSONAL_IDENTITYINFOINDIRECT</v>
      </c>
      <c r="P53" s="7" t="str">
        <f t="shared" si="6"/>
        <v>Y</v>
      </c>
      <c r="Q53" s="7" t="s">
        <v>826</v>
      </c>
      <c r="R53" s="9">
        <v>2958465</v>
      </c>
      <c r="S53" s="7" t="s">
        <v>827</v>
      </c>
      <c r="T53" s="7" t="s">
        <v>828</v>
      </c>
      <c r="U53" s="7" t="str">
        <f t="shared" si="9"/>
        <v>CLK_CIRC_RES_RSCV_V</v>
      </c>
      <c r="V53" s="7" t="s">
        <v>829</v>
      </c>
    </row>
    <row r="54" spans="1:22">
      <c r="A54" s="7" t="str">
        <f>TRIM(ETLMetadata!$B54)</f>
        <v>CLK</v>
      </c>
      <c r="B54" s="7" t="str">
        <f>TRIM(ETLMetadata!$C54)</f>
        <v>CIRC_RES_RSCV</v>
      </c>
      <c r="C54" s="7" t="str">
        <f>TRIM(ETLMetadata!$F54)</f>
        <v>RSCV_DOV</v>
      </c>
      <c r="D54" s="7" t="str">
        <f>TRIM(ETLMetadata!$H54)</f>
        <v>StringType()</v>
      </c>
      <c r="E54" s="7" t="str">
        <f t="shared" si="8"/>
        <v>CLK_CIRC_RES_RSCV</v>
      </c>
      <c r="F54" s="7" t="str">
        <f t="shared" si="1"/>
        <v>RSCV_DOV</v>
      </c>
      <c r="G54" s="7" t="s">
        <v>825</v>
      </c>
      <c r="H54" s="7" t="str">
        <f t="shared" si="2"/>
        <v>CLK_CIRC_RES_RSCV</v>
      </c>
      <c r="I54" s="7" t="str">
        <f t="shared" si="3"/>
        <v>RSCV_DOV</v>
      </c>
      <c r="J54" s="7" t="str">
        <f t="shared" si="4"/>
        <v>DATE</v>
      </c>
      <c r="K54" s="17" t="s">
        <v>80</v>
      </c>
      <c r="L54" s="7" t="str">
        <f>TRIM(ETLMetadata!$I54)</f>
        <v>YYYY-MM-DD</v>
      </c>
      <c r="M54" s="7" t="str">
        <f t="shared" si="5"/>
        <v>TO_DATE(NULLIF(TRIM(RSCV_DOV),'') , 'YYYY-MM-DD')</v>
      </c>
      <c r="N54" s="7" t="str">
        <f>TRIM(ETLMetadata!$J54)</f>
        <v/>
      </c>
      <c r="O54" s="8" t="str">
        <f>IF(TRIM(Classification!$G54)="","NOT CONFIDENTIAL",TRIM(Classification!$G54))</f>
        <v>NOT CONFIDENTIAL</v>
      </c>
      <c r="P54" s="7" t="str">
        <f t="shared" si="6"/>
        <v>Y</v>
      </c>
      <c r="Q54" s="7" t="s">
        <v>826</v>
      </c>
      <c r="R54" s="9">
        <v>2958465</v>
      </c>
      <c r="S54" s="7" t="s">
        <v>827</v>
      </c>
      <c r="T54" s="7" t="s">
        <v>828</v>
      </c>
      <c r="U54" s="7" t="str">
        <f t="shared" si="9"/>
        <v>CLK_CIRC_RES_RSCV_V</v>
      </c>
      <c r="V54" s="7" t="s">
        <v>829</v>
      </c>
    </row>
    <row r="55" spans="1:22">
      <c r="A55" s="7" t="str">
        <f>TRIM(ETLMetadata!$B55)</f>
        <v>CLK</v>
      </c>
      <c r="B55" s="7" t="str">
        <f>TRIM(ETLMetadata!$C55)</f>
        <v>CIRC_RES_RSCV</v>
      </c>
      <c r="C55" s="7" t="str">
        <f>TRIM(ETLMetadata!$F55)</f>
        <v>RSCV_DOV_ORIG</v>
      </c>
      <c r="D55" s="7" t="str">
        <f>TRIM(ETLMetadata!$H55)</f>
        <v>StringType()</v>
      </c>
      <c r="E55" s="7" t="str">
        <f t="shared" si="8"/>
        <v>CLK_CIRC_RES_RSCV</v>
      </c>
      <c r="F55" s="7" t="str">
        <f t="shared" si="1"/>
        <v>RSCV_DOV_ORIG</v>
      </c>
      <c r="G55" s="7" t="s">
        <v>825</v>
      </c>
      <c r="H55" s="7" t="str">
        <f t="shared" si="2"/>
        <v>CLK_CIRC_RES_RSCV</v>
      </c>
      <c r="I55" s="7" t="str">
        <f t="shared" si="3"/>
        <v>RSCV_DOV_ORIG</v>
      </c>
      <c r="J55" s="7" t="str">
        <f t="shared" si="4"/>
        <v>INTEGER</v>
      </c>
      <c r="K55" s="17" t="s">
        <v>90</v>
      </c>
      <c r="L55" s="7" t="str">
        <f>TRIM(ETLMetadata!$I55)</f>
        <v/>
      </c>
      <c r="M55" s="7" t="str">
        <f t="shared" si="5"/>
        <v>CAST(NULLIF(TRIM(RSCV_DOV_ORIG),'') AS INTEGER)</v>
      </c>
      <c r="N55" s="7" t="str">
        <f>TRIM(ETLMetadata!$J55)</f>
        <v/>
      </c>
      <c r="O55" s="8" t="str">
        <f>IF(TRIM(Classification!$G55)="","NOT CONFIDENTIAL",TRIM(Classification!$G55))</f>
        <v>NOT CONFIDENTIAL</v>
      </c>
      <c r="P55" s="7" t="str">
        <f t="shared" si="6"/>
        <v>Y</v>
      </c>
      <c r="Q55" s="7" t="s">
        <v>826</v>
      </c>
      <c r="R55" s="9">
        <v>2958465</v>
      </c>
      <c r="S55" s="7" t="s">
        <v>827</v>
      </c>
      <c r="T55" s="7" t="s">
        <v>828</v>
      </c>
      <c r="U55" s="7" t="str">
        <f t="shared" si="9"/>
        <v>CLK_CIRC_RES_RSCV_V</v>
      </c>
      <c r="V55" s="7" t="s">
        <v>829</v>
      </c>
    </row>
    <row r="56" spans="1:22">
      <c r="A56" s="7" t="str">
        <f>TRIM(ETLMetadata!$B56)</f>
        <v>CLK</v>
      </c>
      <c r="B56" s="7" t="str">
        <f>TRIM(ETLMetadata!$C56)</f>
        <v>CIRC_RES_RSCV</v>
      </c>
      <c r="C56" s="7" t="str">
        <f>TRIM(ETLMetadata!$F56)</f>
        <v>PROCESSING_SEQUENCE</v>
      </c>
      <c r="D56" s="7" t="str">
        <f>TRIM(ETLMetadata!$H56)</f>
        <v>StringType()</v>
      </c>
      <c r="E56" s="7" t="str">
        <f t="shared" si="8"/>
        <v>CLK_CIRC_RES_RSCV</v>
      </c>
      <c r="F56" s="7" t="str">
        <f t="shared" si="1"/>
        <v>PROCESSING_SEQUENCE</v>
      </c>
      <c r="G56" s="7" t="s">
        <v>825</v>
      </c>
      <c r="H56" s="7" t="str">
        <f t="shared" si="2"/>
        <v>CLK_CIRC_RES_RSCV</v>
      </c>
      <c r="I56" s="7" t="str">
        <f t="shared" si="3"/>
        <v>PROCESSING_SEQUENCE</v>
      </c>
      <c r="J56" s="7" t="str">
        <f t="shared" si="4"/>
        <v>SMALLINT</v>
      </c>
      <c r="K56" s="7" t="str">
        <f>TRIM(ETLMetadata!$G56)</f>
        <v>SMALLINT</v>
      </c>
      <c r="L56" s="7" t="str">
        <f>TRIM(ETLMetadata!$I56)</f>
        <v/>
      </c>
      <c r="M56" s="7" t="str">
        <f t="shared" si="5"/>
        <v>CAST(NULLIF(TRIM(PROCESSING_SEQUENCE),'') AS SMALLINT)</v>
      </c>
      <c r="N56" s="7" t="str">
        <f>TRIM(ETLMetadata!$J56)</f>
        <v>Y</v>
      </c>
      <c r="O56" s="8" t="str">
        <f>IF(TRIM(Classification!$G56)="","NOT CONFIDENTIAL",TRIM(Classification!$G56))</f>
        <v>NOT CONFIDENTIAL</v>
      </c>
      <c r="P56" s="7" t="str">
        <f t="shared" si="6"/>
        <v>Y</v>
      </c>
      <c r="Q56" s="7" t="s">
        <v>826</v>
      </c>
      <c r="R56" s="9">
        <v>2958465</v>
      </c>
      <c r="S56" s="7" t="s">
        <v>827</v>
      </c>
      <c r="T56" s="7" t="s">
        <v>828</v>
      </c>
      <c r="U56" s="7" t="str">
        <f t="shared" si="9"/>
        <v>CLK_CIRC_RES_RSCV_V</v>
      </c>
      <c r="V56" s="7" t="s">
        <v>829</v>
      </c>
    </row>
    <row r="57" spans="1:22">
      <c r="A57" s="7" t="str">
        <f>TRIM(ETLMetadata!$B57)</f>
        <v>CLK</v>
      </c>
      <c r="B57" s="7" t="str">
        <f>TRIM(ETLMetadata!$C57)</f>
        <v>CIRC_RES_RSCV</v>
      </c>
      <c r="C57" s="7" t="str">
        <f>TRIM(ETLMetadata!$F57)</f>
        <v>RSCV_AMR_1</v>
      </c>
      <c r="D57" s="7" t="str">
        <f>TRIM(ETLMetadata!$H57)</f>
        <v>StringType()</v>
      </c>
      <c r="E57" s="7" t="str">
        <f t="shared" si="8"/>
        <v>CLK_CIRC_RES_RSCV</v>
      </c>
      <c r="F57" s="7" t="str">
        <f t="shared" si="1"/>
        <v>RSCV_AMR_1</v>
      </c>
      <c r="G57" s="7" t="s">
        <v>825</v>
      </c>
      <c r="H57" s="7" t="str">
        <f t="shared" si="2"/>
        <v>CLK_CIRC_RES_RSCV</v>
      </c>
      <c r="I57" s="7" t="str">
        <f t="shared" si="3"/>
        <v>RSCV_AMR_1</v>
      </c>
      <c r="J57" s="7" t="str">
        <f t="shared" si="4"/>
        <v>VARCHAR</v>
      </c>
      <c r="K57" s="7" t="str">
        <f>TRIM(ETLMetadata!$G57)</f>
        <v>CHAR(4)</v>
      </c>
      <c r="L57" s="7" t="str">
        <f>TRIM(ETLMetadata!$I57)</f>
        <v/>
      </c>
      <c r="M57" s="7" t="str">
        <f t="shared" si="5"/>
        <v>NULLIF(TRIM(RSCV_AMR_1),'')</v>
      </c>
      <c r="N57" s="7" t="str">
        <f>TRIM(ETLMetadata!$J57)</f>
        <v/>
      </c>
      <c r="O57" s="8" t="str">
        <f>IF(TRIM(Classification!$G57)="","NOT CONFIDENTIAL",TRIM(Classification!$G57))</f>
        <v>NOT CONFIDENTIAL</v>
      </c>
      <c r="P57" s="7" t="str">
        <f t="shared" si="6"/>
        <v>Y</v>
      </c>
      <c r="Q57" s="7" t="s">
        <v>826</v>
      </c>
      <c r="R57" s="9">
        <v>2958465</v>
      </c>
      <c r="S57" s="7" t="s">
        <v>827</v>
      </c>
      <c r="T57" s="7" t="s">
        <v>828</v>
      </c>
      <c r="U57" s="7" t="str">
        <f t="shared" si="9"/>
        <v>CLK_CIRC_RES_RSCV_V</v>
      </c>
      <c r="V57" s="7" t="s">
        <v>829</v>
      </c>
    </row>
    <row r="58" spans="1:22">
      <c r="A58" s="7" t="str">
        <f>TRIM(ETLMetadata!$B58)</f>
        <v>CLK</v>
      </c>
      <c r="B58" s="7" t="str">
        <f>TRIM(ETLMetadata!$C58)</f>
        <v>CIRC_RES_RSCV</v>
      </c>
      <c r="C58" s="7" t="str">
        <f>TRIM(ETLMetadata!$F58)</f>
        <v>RSCV_AMR_2</v>
      </c>
      <c r="D58" s="7" t="str">
        <f>TRIM(ETLMetadata!$H58)</f>
        <v>StringType()</v>
      </c>
      <c r="E58" s="7" t="str">
        <f t="shared" si="8"/>
        <v>CLK_CIRC_RES_RSCV</v>
      </c>
      <c r="F58" s="7" t="str">
        <f t="shared" si="1"/>
        <v>RSCV_AMR_2</v>
      </c>
      <c r="G58" s="7" t="s">
        <v>825</v>
      </c>
      <c r="H58" s="7" t="str">
        <f t="shared" si="2"/>
        <v>CLK_CIRC_RES_RSCV</v>
      </c>
      <c r="I58" s="7" t="str">
        <f t="shared" si="3"/>
        <v>RSCV_AMR_2</v>
      </c>
      <c r="J58" s="7" t="str">
        <f t="shared" si="4"/>
        <v>VARCHAR</v>
      </c>
      <c r="K58" s="7" t="str">
        <f>TRIM(ETLMetadata!$G58)</f>
        <v>CHAR(1)</v>
      </c>
      <c r="L58" s="7" t="str">
        <f>TRIM(ETLMetadata!$I58)</f>
        <v/>
      </c>
      <c r="M58" s="7" t="str">
        <f t="shared" si="5"/>
        <v>NULLIF(TRIM(RSCV_AMR_2),'')</v>
      </c>
      <c r="N58" s="7" t="str">
        <f>TRIM(ETLMetadata!$J58)</f>
        <v/>
      </c>
      <c r="O58" s="8" t="str">
        <f>IF(TRIM(Classification!$G58)="","NOT CONFIDENTIAL",TRIM(Classification!$G58))</f>
        <v>NOT CONFIDENTIAL</v>
      </c>
      <c r="P58" s="7" t="str">
        <f t="shared" si="6"/>
        <v>Y</v>
      </c>
      <c r="Q58" s="7" t="s">
        <v>826</v>
      </c>
      <c r="R58" s="9">
        <v>2958465</v>
      </c>
      <c r="S58" s="7" t="s">
        <v>827</v>
      </c>
      <c r="T58" s="7" t="s">
        <v>828</v>
      </c>
      <c r="U58" s="7" t="str">
        <f t="shared" si="9"/>
        <v>CLK_CIRC_RES_RSCV_V</v>
      </c>
      <c r="V58" s="7" t="s">
        <v>829</v>
      </c>
    </row>
    <row r="59" spans="1:22">
      <c r="A59" s="7" t="str">
        <f>TRIM(ETLMetadata!$B59)</f>
        <v>CLK</v>
      </c>
      <c r="B59" s="7" t="str">
        <f>TRIM(ETLMetadata!$C59)</f>
        <v>CIRC_RES_RSCV</v>
      </c>
      <c r="C59" s="7" t="str">
        <f>TRIM(ETLMetadata!$F59)</f>
        <v>RSCV_AMR_3</v>
      </c>
      <c r="D59" s="7" t="str">
        <f>TRIM(ETLMetadata!$H59)</f>
        <v>StringType()</v>
      </c>
      <c r="E59" s="7" t="str">
        <f t="shared" si="8"/>
        <v>CLK_CIRC_RES_RSCV</v>
      </c>
      <c r="F59" s="7" t="str">
        <f t="shared" si="1"/>
        <v>RSCV_AMR_3</v>
      </c>
      <c r="G59" s="7" t="s">
        <v>825</v>
      </c>
      <c r="H59" s="7" t="str">
        <f t="shared" si="2"/>
        <v>CLK_CIRC_RES_RSCV</v>
      </c>
      <c r="I59" s="7" t="str">
        <f t="shared" si="3"/>
        <v>RSCV_AMR_3</v>
      </c>
      <c r="J59" s="7" t="str">
        <f t="shared" si="4"/>
        <v>VARCHAR</v>
      </c>
      <c r="K59" s="7" t="str">
        <f>TRIM(ETLMetadata!$G59)</f>
        <v>CHAR(4)</v>
      </c>
      <c r="L59" s="7" t="str">
        <f>TRIM(ETLMetadata!$I59)</f>
        <v/>
      </c>
      <c r="M59" s="7" t="str">
        <f t="shared" si="5"/>
        <v>NULLIF(TRIM(RSCV_AMR_3),'')</v>
      </c>
      <c r="N59" s="7" t="str">
        <f>TRIM(ETLMetadata!$J59)</f>
        <v/>
      </c>
      <c r="O59" s="8" t="str">
        <f>IF(TRIM(Classification!$G59)="","NOT CONFIDENTIAL",TRIM(Classification!$G59))</f>
        <v>NOT CONFIDENTIAL</v>
      </c>
      <c r="P59" s="7" t="str">
        <f t="shared" si="6"/>
        <v>Y</v>
      </c>
      <c r="Q59" s="7" t="s">
        <v>826</v>
      </c>
      <c r="R59" s="9">
        <v>2958465</v>
      </c>
      <c r="S59" s="7" t="s">
        <v>827</v>
      </c>
      <c r="T59" s="7" t="s">
        <v>828</v>
      </c>
      <c r="U59" s="7" t="str">
        <f t="shared" si="9"/>
        <v>CLK_CIRC_RES_RSCV_V</v>
      </c>
      <c r="V59" s="7" t="s">
        <v>829</v>
      </c>
    </row>
    <row r="60" spans="1:22">
      <c r="A60" s="7" t="str">
        <f>TRIM(ETLMetadata!$B60)</f>
        <v>CLK</v>
      </c>
      <c r="B60" s="7" t="str">
        <f>TRIM(ETLMetadata!$C60)</f>
        <v>CIRC_RES_RSCV</v>
      </c>
      <c r="C60" s="7" t="str">
        <f>TRIM(ETLMetadata!$F60)</f>
        <v>RSCV_AUST_CTZN_VLD_IND</v>
      </c>
      <c r="D60" s="7" t="str">
        <f>TRIM(ETLMetadata!$H60)</f>
        <v>StringType()</v>
      </c>
      <c r="E60" s="7" t="str">
        <f t="shared" si="8"/>
        <v>CLK_CIRC_RES_RSCV</v>
      </c>
      <c r="F60" s="7" t="str">
        <f t="shared" si="1"/>
        <v>RSCV_AUST_CTZN_VLD_IND</v>
      </c>
      <c r="G60" s="7" t="s">
        <v>825</v>
      </c>
      <c r="H60" s="7" t="str">
        <f t="shared" si="2"/>
        <v>CLK_CIRC_RES_RSCV</v>
      </c>
      <c r="I60" s="7" t="str">
        <f t="shared" si="3"/>
        <v>RSCV_AUST_CTZN_VLD_IND</v>
      </c>
      <c r="J60" s="7" t="str">
        <f t="shared" si="4"/>
        <v>VARCHAR</v>
      </c>
      <c r="K60" s="7" t="str">
        <f>TRIM(ETLMetadata!$G60)</f>
        <v>CHAR(1)</v>
      </c>
      <c r="L60" s="7" t="str">
        <f>TRIM(ETLMetadata!$I60)</f>
        <v/>
      </c>
      <c r="M60" s="7" t="str">
        <f t="shared" si="5"/>
        <v>NULLIF(TRIM(RSCV_AUST_CTZN_VLD_IND),'')</v>
      </c>
      <c r="N60" s="7" t="str">
        <f>TRIM(ETLMetadata!$J60)</f>
        <v/>
      </c>
      <c r="O60" s="8" t="str">
        <f>IF(TRIM(Classification!$G60)="","NOT CONFIDENTIAL",TRIM(Classification!$G60))</f>
        <v>NOT CONFIDENTIAL</v>
      </c>
      <c r="P60" s="7" t="str">
        <f t="shared" si="6"/>
        <v>Y</v>
      </c>
      <c r="Q60" s="7" t="s">
        <v>826</v>
      </c>
      <c r="R60" s="9">
        <v>2958465</v>
      </c>
      <c r="S60" s="7" t="s">
        <v>827</v>
      </c>
      <c r="T60" s="7" t="s">
        <v>828</v>
      </c>
      <c r="U60" s="7" t="str">
        <f t="shared" si="9"/>
        <v>CLK_CIRC_RES_RSCV_V</v>
      </c>
      <c r="V60" s="7" t="s">
        <v>829</v>
      </c>
    </row>
    <row r="61" spans="1:22">
      <c r="A61" s="7" t="str">
        <f>TRIM(ETLMetadata!$B61)</f>
        <v>CLK</v>
      </c>
      <c r="B61" s="7" t="str">
        <f>TRIM(ETLMetadata!$C61)</f>
        <v>CIRC_RES_RSCV</v>
      </c>
      <c r="C61" s="7" t="str">
        <f>TRIM(ETLMetadata!$F61)</f>
        <v>PARTY_ROLE_ID</v>
      </c>
      <c r="D61" s="7" t="str">
        <f>TRIM(ETLMetadata!$H61)</f>
        <v>StringType()</v>
      </c>
      <c r="E61" s="7" t="str">
        <f t="shared" si="8"/>
        <v>CLK_CIRC_RES_RSCV</v>
      </c>
      <c r="F61" s="7" t="str">
        <f t="shared" si="1"/>
        <v>PARTY_ROLE_ID</v>
      </c>
      <c r="G61" s="7" t="s">
        <v>825</v>
      </c>
      <c r="H61" s="7" t="str">
        <f t="shared" si="2"/>
        <v>CLK_CIRC_RES_RSCV</v>
      </c>
      <c r="I61" s="7" t="str">
        <f t="shared" si="3"/>
        <v>PARTY_ROLE_ID</v>
      </c>
      <c r="J61" s="7" t="str">
        <f t="shared" si="4"/>
        <v>INTEGER</v>
      </c>
      <c r="K61" s="7" t="str">
        <f>TRIM(ETLMetadata!$G61)</f>
        <v>INTEGER</v>
      </c>
      <c r="L61" s="7" t="str">
        <f>TRIM(ETLMetadata!$I61)</f>
        <v/>
      </c>
      <c r="M61" s="7" t="str">
        <f t="shared" si="5"/>
        <v>CAST(NULLIF(TRIM(PARTY_ROLE_ID),'') AS INTEGER)</v>
      </c>
      <c r="N61" s="7" t="str">
        <f>TRIM(ETLMetadata!$J61)</f>
        <v/>
      </c>
      <c r="O61" s="8" t="str">
        <f>IF(TRIM(Classification!$G61)="","NOT CONFIDENTIAL",TRIM(Classification!$G61))</f>
        <v>NOT CONFIDENTIAL</v>
      </c>
      <c r="P61" s="7" t="str">
        <f t="shared" si="6"/>
        <v>Y</v>
      </c>
      <c r="Q61" s="7" t="s">
        <v>826</v>
      </c>
      <c r="R61" s="9">
        <v>2958465</v>
      </c>
      <c r="S61" s="7" t="s">
        <v>827</v>
      </c>
      <c r="T61" s="7" t="s">
        <v>828</v>
      </c>
      <c r="U61" s="7" t="str">
        <f t="shared" si="9"/>
        <v>CLK_CIRC_RES_RSCV_V</v>
      </c>
      <c r="V61" s="7" t="s">
        <v>829</v>
      </c>
    </row>
    <row r="62" spans="1:22">
      <c r="A62" s="7" t="str">
        <f>TRIM(ETLMetadata!$B62)</f>
        <v>CLK</v>
      </c>
      <c r="B62" s="7" t="str">
        <f>TRIM(ETLMetadata!$C62)</f>
        <v>CIRC_RES_RSCV</v>
      </c>
      <c r="C62" s="7" t="str">
        <f>TRIM(ETLMetadata!$F62)</f>
        <v>AMR1_RISL_DTS</v>
      </c>
      <c r="D62" s="7" t="str">
        <f>TRIM(ETLMetadata!$H62)</f>
        <v>StringType()</v>
      </c>
      <c r="E62" s="7" t="str">
        <f t="shared" si="8"/>
        <v>CLK_CIRC_RES_RSCV</v>
      </c>
      <c r="F62" s="7" t="str">
        <f t="shared" si="1"/>
        <v>AMR1_RISL_DTS</v>
      </c>
      <c r="G62" s="7" t="s">
        <v>825</v>
      </c>
      <c r="H62" s="7" t="str">
        <f t="shared" si="2"/>
        <v>CLK_CIRC_RES_RSCV</v>
      </c>
      <c r="I62" s="7" t="str">
        <f t="shared" si="3"/>
        <v>AMR1_RISL_DTS</v>
      </c>
      <c r="J62" s="7" t="str">
        <f t="shared" si="4"/>
        <v>TIMESTAMP</v>
      </c>
      <c r="K62" s="7" t="str">
        <f>TRIM(ETLMetadata!$G62)</f>
        <v>TIMESTAMP(6)</v>
      </c>
      <c r="L62" s="7" t="str">
        <f>TRIM(ETLMetadata!$I62)</f>
        <v>YYYY-MM-DDBHH:MI:SS.S(6)</v>
      </c>
      <c r="M62" s="7" t="str">
        <f t="shared" si="5"/>
        <v>TO_TIMESTAMP_NTZ(NULLIF(TRIM(AMR1_RISL_DTS),''),'YYYY-MM-DD HH24:MI:SS.FF6')</v>
      </c>
      <c r="N62" s="7" t="str">
        <f>TRIM(ETLMetadata!$J62)</f>
        <v/>
      </c>
      <c r="O62" s="8" t="str">
        <f>IF(TRIM(Classification!$G62)="","NOT CONFIDENTIAL",TRIM(Classification!$G62))</f>
        <v>NOT CONFIDENTIAL</v>
      </c>
      <c r="P62" s="7" t="str">
        <f t="shared" si="6"/>
        <v>Y</v>
      </c>
      <c r="Q62" s="7" t="s">
        <v>826</v>
      </c>
      <c r="R62" s="9">
        <v>2958465</v>
      </c>
      <c r="S62" s="7" t="s">
        <v>827</v>
      </c>
      <c r="T62" s="7" t="s">
        <v>828</v>
      </c>
      <c r="U62" s="7" t="str">
        <f t="shared" si="9"/>
        <v>CLK_CIRC_RES_RSCV_V</v>
      </c>
      <c r="V62" s="7" t="s">
        <v>829</v>
      </c>
    </row>
    <row r="63" spans="1:22">
      <c r="A63" s="7" t="str">
        <f>TRIM(ETLMetadata!$B63)</f>
        <v>CLK</v>
      </c>
      <c r="B63" s="7" t="str">
        <f>TRIM(ETLMetadata!$C63)</f>
        <v>CIRC_RES_RSCV</v>
      </c>
      <c r="C63" s="7" t="str">
        <f>TRIM(ETLMetadata!$F63)</f>
        <v>AMR3_RISL_DTS</v>
      </c>
      <c r="D63" s="7" t="str">
        <f>TRIM(ETLMetadata!$H63)</f>
        <v>StringType()</v>
      </c>
      <c r="E63" s="7" t="str">
        <f t="shared" si="8"/>
        <v>CLK_CIRC_RES_RSCV</v>
      </c>
      <c r="F63" s="7" t="str">
        <f t="shared" si="1"/>
        <v>AMR3_RISL_DTS</v>
      </c>
      <c r="G63" s="7" t="s">
        <v>825</v>
      </c>
      <c r="H63" s="7" t="str">
        <f t="shared" si="2"/>
        <v>CLK_CIRC_RES_RSCV</v>
      </c>
      <c r="I63" s="7" t="str">
        <f t="shared" si="3"/>
        <v>AMR3_RISL_DTS</v>
      </c>
      <c r="J63" s="7" t="str">
        <f t="shared" si="4"/>
        <v>TIMESTAMP</v>
      </c>
      <c r="K63" s="7" t="str">
        <f>TRIM(ETLMetadata!$G63)</f>
        <v>TIMESTAMP(6)</v>
      </c>
      <c r="L63" s="7" t="str">
        <f>TRIM(ETLMetadata!$I63)</f>
        <v>YYYY-MM-DDBHH:MI:SS.S(6)</v>
      </c>
      <c r="M63" s="7" t="str">
        <f t="shared" si="5"/>
        <v>TO_TIMESTAMP_NTZ(NULLIF(TRIM(AMR3_RISL_DTS),''),'YYYY-MM-DD HH24:MI:SS.FF6')</v>
      </c>
      <c r="N63" s="7" t="str">
        <f>TRIM(ETLMetadata!$J63)</f>
        <v/>
      </c>
      <c r="O63" s="8" t="str">
        <f>IF(TRIM(Classification!$G63)="","NOT CONFIDENTIAL",TRIM(Classification!$G63))</f>
        <v>NOT CONFIDENTIAL</v>
      </c>
      <c r="P63" s="7" t="str">
        <f t="shared" si="6"/>
        <v>Y</v>
      </c>
      <c r="Q63" s="7" t="s">
        <v>826</v>
      </c>
      <c r="R63" s="9">
        <v>2958465</v>
      </c>
      <c r="S63" s="7" t="s">
        <v>827</v>
      </c>
      <c r="T63" s="7" t="s">
        <v>828</v>
      </c>
      <c r="U63" s="7" t="str">
        <f t="shared" si="9"/>
        <v>CLK_CIRC_RES_RSCV_V</v>
      </c>
      <c r="V63" s="7" t="s">
        <v>829</v>
      </c>
    </row>
    <row r="64" spans="1:22">
      <c r="A64" s="7" t="str">
        <f>TRIM(ETLMetadata!$B64)</f>
        <v>CLK</v>
      </c>
      <c r="B64" s="7" t="str">
        <f>TRIM(ETLMetadata!$C64)</f>
        <v>CIRC_RES_RSCV</v>
      </c>
      <c r="C64" s="7" t="str">
        <f>TRIM(ETLMetadata!$F64)</f>
        <v>ERROR_COUNT</v>
      </c>
      <c r="D64" s="7" t="str">
        <f>TRIM(ETLMetadata!$H64)</f>
        <v>StringType()</v>
      </c>
      <c r="E64" s="7" t="str">
        <f t="shared" si="8"/>
        <v>CLK_CIRC_RES_RSCV</v>
      </c>
      <c r="F64" s="7" t="str">
        <f t="shared" si="1"/>
        <v>ERROR_COUNT</v>
      </c>
      <c r="G64" s="7" t="s">
        <v>825</v>
      </c>
      <c r="H64" s="7" t="str">
        <f t="shared" si="2"/>
        <v>CLK_CIRC_RES_RSCV</v>
      </c>
      <c r="I64" s="7" t="str">
        <f t="shared" si="3"/>
        <v>ERROR_COUNT</v>
      </c>
      <c r="J64" s="7" t="str">
        <f t="shared" si="4"/>
        <v>SMALLINT</v>
      </c>
      <c r="K64" s="7" t="str">
        <f>TRIM(ETLMetadata!$G64)</f>
        <v>SMALLINT</v>
      </c>
      <c r="L64" s="7" t="str">
        <f>TRIM(ETLMetadata!$I64)</f>
        <v/>
      </c>
      <c r="M64" s="7" t="str">
        <f t="shared" si="5"/>
        <v>CAST(NULLIF(TRIM(ERROR_COUNT),'') AS SMALLINT)</v>
      </c>
      <c r="N64" s="7" t="str">
        <f>TRIM(ETLMetadata!$J64)</f>
        <v/>
      </c>
      <c r="O64" s="8" t="str">
        <f>IF(TRIM(Classification!$G64)="","NOT CONFIDENTIAL",TRIM(Classification!$G64))</f>
        <v>NOT CONFIDENTIAL</v>
      </c>
      <c r="P64" s="7" t="str">
        <f t="shared" si="6"/>
        <v>Y</v>
      </c>
      <c r="Q64" s="7" t="s">
        <v>826</v>
      </c>
      <c r="R64" s="9">
        <v>2958465</v>
      </c>
      <c r="S64" s="7" t="s">
        <v>827</v>
      </c>
      <c r="T64" s="7" t="s">
        <v>828</v>
      </c>
      <c r="U64" s="7" t="str">
        <f t="shared" si="9"/>
        <v>CLK_CIRC_RES_RSCV_V</v>
      </c>
      <c r="V64" s="7" t="s">
        <v>829</v>
      </c>
    </row>
    <row r="65" spans="1:22">
      <c r="A65" s="7" t="str">
        <f>TRIM(ETLMetadata!$B65)</f>
        <v>CLK</v>
      </c>
      <c r="B65" s="7" t="str">
        <f>TRIM(ETLMetadata!$C65)</f>
        <v>CIRC_RES_RSCV</v>
      </c>
      <c r="C65" s="7" t="str">
        <f>TRIM(ETLMetadata!$F65)</f>
        <v>Start_Date</v>
      </c>
      <c r="D65" s="7" t="str">
        <f>TRIM(ETLMetadata!$H65)</f>
        <v>StringType()</v>
      </c>
      <c r="E65" s="7" t="str">
        <f t="shared" si="8"/>
        <v>CLK_CIRC_RES_RSCV</v>
      </c>
      <c r="F65" s="7" t="str">
        <f t="shared" si="1"/>
        <v>STRT_DT</v>
      </c>
      <c r="G65" s="7" t="s">
        <v>825</v>
      </c>
      <c r="H65" s="7" t="str">
        <f t="shared" si="2"/>
        <v>CLK_CIRC_RES_RSCV</v>
      </c>
      <c r="I65" s="7" t="str">
        <f t="shared" si="3"/>
        <v>STRT_DT</v>
      </c>
      <c r="J65" s="7" t="str">
        <f t="shared" si="4"/>
        <v>DATE</v>
      </c>
      <c r="K65" s="7" t="str">
        <f>TRIM(ETLMetadata!$G65)</f>
        <v>DATE</v>
      </c>
      <c r="L65" s="7" t="str">
        <f>TRIM(ETLMetadata!$I65)</f>
        <v>YYYY-MM-DD</v>
      </c>
      <c r="M65" s="7" t="str">
        <f t="shared" si="5"/>
        <v>TO_DATE(NULLIF(TRIM(STRT_DT),'') , 'YYYY-MM-DD')</v>
      </c>
      <c r="N65" s="7" t="str">
        <f>TRIM(ETLMetadata!$J65)</f>
        <v/>
      </c>
      <c r="O65" s="8" t="str">
        <f>IF(TRIM(Classification!$G65)="","NOT CONFIDENTIAL",TRIM(Classification!$G65))</f>
        <v>NOT CONFIDENTIAL</v>
      </c>
      <c r="P65" s="7" t="str">
        <f t="shared" si="6"/>
        <v>N</v>
      </c>
      <c r="Q65" s="7" t="s">
        <v>826</v>
      </c>
      <c r="R65" s="9">
        <v>2958465</v>
      </c>
      <c r="S65" s="7" t="s">
        <v>827</v>
      </c>
      <c r="T65" s="7" t="s">
        <v>828</v>
      </c>
      <c r="U65" s="7" t="str">
        <f t="shared" si="9"/>
        <v>CLK_CIRC_RES_RSCV_V</v>
      </c>
      <c r="V65" s="7" t="s">
        <v>829</v>
      </c>
    </row>
    <row r="66" spans="1:22">
      <c r="A66" s="7" t="str">
        <f>TRIM(ETLMetadata!$B66)</f>
        <v>CLK</v>
      </c>
      <c r="B66" s="7" t="str">
        <f>TRIM(ETLMetadata!$C66)</f>
        <v>CIRC_RES_RSCV</v>
      </c>
      <c r="C66" s="7" t="str">
        <f>TRIM(ETLMetadata!$F66)</f>
        <v>End_Date</v>
      </c>
      <c r="D66" s="7" t="str">
        <f>TRIM(ETLMetadata!$H66)</f>
        <v>StringType()</v>
      </c>
      <c r="E66" s="7" t="str">
        <f t="shared" si="8"/>
        <v>CLK_CIRC_RES_RSCV</v>
      </c>
      <c r="F66" s="7" t="str">
        <f t="shared" si="1"/>
        <v>END_DT</v>
      </c>
      <c r="G66" s="7" t="s">
        <v>825</v>
      </c>
      <c r="H66" s="7" t="str">
        <f t="shared" si="2"/>
        <v>CLK_CIRC_RES_RSCV</v>
      </c>
      <c r="I66" s="7" t="str">
        <f t="shared" si="3"/>
        <v>END_DT</v>
      </c>
      <c r="J66" s="7" t="str">
        <f t="shared" si="4"/>
        <v>DATE</v>
      </c>
      <c r="K66" s="7" t="str">
        <f>TRIM(ETLMetadata!$G66)</f>
        <v>DATE</v>
      </c>
      <c r="L66" s="7" t="str">
        <f>TRIM(ETLMetadata!$I66)</f>
        <v>YYYY-MM-DD</v>
      </c>
      <c r="M66" s="7" t="str">
        <f t="shared" si="5"/>
        <v>TO_DATE(NULLIF(TRIM(END_DT),'') , 'YYYY-MM-DD')</v>
      </c>
      <c r="N66" s="7" t="str">
        <f>TRIM(ETLMetadata!$J66)</f>
        <v/>
      </c>
      <c r="O66" s="8" t="str">
        <f>IF(TRIM(Classification!$G66)="","NOT CONFIDENTIAL",TRIM(Classification!$G66))</f>
        <v>NOT CONFIDENTIAL</v>
      </c>
      <c r="P66" s="7" t="str">
        <f t="shared" si="6"/>
        <v>N</v>
      </c>
      <c r="Q66" s="7" t="s">
        <v>826</v>
      </c>
      <c r="R66" s="9">
        <v>2958465</v>
      </c>
      <c r="S66" s="7" t="s">
        <v>827</v>
      </c>
      <c r="T66" s="7" t="s">
        <v>828</v>
      </c>
      <c r="U66" s="7" t="str">
        <f t="shared" si="9"/>
        <v>CLK_CIRC_RES_RSCV_V</v>
      </c>
      <c r="V66" s="7" t="s">
        <v>829</v>
      </c>
    </row>
    <row r="67" spans="1:22">
      <c r="A67" s="7" t="str">
        <f>TRIM(ETLMetadata!$B67)</f>
        <v>CLK</v>
      </c>
      <c r="B67" s="7" t="str">
        <f>TRIM(ETLMetadata!$C67)</f>
        <v>CIRC_RES_RSCV</v>
      </c>
      <c r="C67" s="7" t="str">
        <f>TRIM(ETLMetadata!$F67)</f>
        <v>Record_Deleted_Flag</v>
      </c>
      <c r="D67" s="7" t="str">
        <f>TRIM(ETLMetadata!$H67)</f>
        <v>StringType()</v>
      </c>
      <c r="E67" s="7" t="str">
        <f t="shared" si="8"/>
        <v>CLK_CIRC_RES_RSCV</v>
      </c>
      <c r="F67" s="7" t="str">
        <f t="shared" ref="F67:F130" si="10">IF($C67="Start_Date","STRT_DT",
 IF($C67="End_Date","END_DT",
 IF($C67="Record_Deleted_Flag","RCRD_DEL_IND",
 IF($C67="IsDeleted","RCRD_DEL_IND",
 $C67
))))</f>
        <v>RCRD_DEL_IND</v>
      </c>
      <c r="G67" s="7" t="s">
        <v>825</v>
      </c>
      <c r="H67" s="7" t="str">
        <f t="shared" ref="H67:H130" si="11">CONCATENATE($A67,"_",$B67)</f>
        <v>CLK_CIRC_RES_RSCV</v>
      </c>
      <c r="I67" s="7" t="str">
        <f t="shared" ref="I67:I130" si="12">IF($C67="Start_Date","STRT_DT",
 IF($C67="End_Date","END_DT",
 IF($C67="Record_Deleted_Flag","RCRD_DEL_IND",
 IF($C67="IsDeleted","RCRD_DEL_IND",
 $C67
))))</f>
        <v>RCRD_DEL_IND</v>
      </c>
      <c r="J67" s="7" t="str">
        <f t="shared" ref="J67:J130" si="13">IF(LEFT(TRIM($K67),7)="VARCHAR","VARCHAR",
 IF(LEFT(TRIM($K67),4)="CHAR","VARCHAR",
 IF(TRIM($K67)="TIMESTAMP(6)","TIMESTAMP",
 IF(TRIM($K67)="DATE","DATE",
 IF(TRIM($K67)="BYTEINT","SMALLINT",
 IF(TRIM($K67)="SMALLINT","SMALLINT",
 IF(TRIM($K67)="INTEGER","INTEGER",
 IF(TRIM($K67)="BIGINT","INTEGER",
 IF(LEFT(TRIM($K67),7)="DECIMAL",TRIM($K67),
 IF(TRIM($K67)="BOOLEAN","BOOLEAN",
 IF(TRIM($K67)="DOUBLE","DOUBLE",
 IF(TRIM($K67)="FLOAT","FLOAT",
 IF(TRIM($K67)="REAL","REAL",
 IF(LEFT(TRIM($K67),6)="STRUCT","VARIANT",
 IF(LEFT(TRIM($K67),5)="ARRAY","VARIANT",
 IF(LEFT(TRIM($K67),3)="MAP","VARIANT",
 IF(LEFT(TRIM($K67),3)="ROW","VARIANT",
 "NONE"
)))))))))))))))))</f>
        <v>SMALLINT</v>
      </c>
      <c r="K67" s="7" t="str">
        <f>TRIM(ETLMetadata!$G67)</f>
        <v>BYTEINT</v>
      </c>
      <c r="L67" s="7" t="str">
        <f>TRIM(ETLMetadata!$I67)</f>
        <v/>
      </c>
      <c r="M67" s="7" t="str">
        <f t="shared" ref="M67:M130" si="14">IF(LEFT($K67,7)="VARCHAR","NULLIF(TRIM("&amp;$I67&amp;"),'')",
 IF(LEFT($K67,4)="CHAR","NULLIF(TRIM("&amp;$I67&amp;"),'')",
 IF(LEFT($K67,7)="DECIMAL","CAST(NULLIF(TRIM("&amp;$I67&amp;"),'') AS "&amp;$K67&amp;")",
 IF($K67="TIMESTAMP(6)","TO_TIMESTAMP_NTZ(NULLIF(TRIM("&amp;$I67&amp;"),''),'YYYY-MM-DD HH24:MI:SS.FF6')",
 IF($K67="DATE","TO_DATE(NULLIF(TRIM("&amp;$I67&amp;"),'') , 'YYYY-MM-DD')",
 IF($K67="BIGINT","CAST(NULLIF(TRIM("&amp;I67&amp;"),'') AS INTEGER)",
 IF($K67="BYTEINT","CAST(NULLIF(TRIM("&amp;I67&amp;"),'') AS SMALLINT)",
 IF($K67="SMALLINT","CAST(NULLIF(TRIM("&amp;I67&amp;"),'') AS SMALLINT)",
 IF($K67="INTEGER","CAST(NULLIF(TRIM("&amp;I67&amp;"),'') AS INTEGER)",
 IF($K67="BOOLEAN","CAST(NULLIF(TRIM("&amp;I67&amp;"),'') AS BOOLEAN)",
 IF($K67="DOUBLE","CAST(NULLIF(TRIM("&amp;I67&amp;"),'') AS DOUBLE)",
 IF($K67="FLOAT","CAST(NULLIF(TRIM("&amp;I67&amp;"),'') AS FLOAT)",
 IF($K67="REAL","CAST(NULLIF(TRIM("&amp;I67&amp;"),'') AS REAL)",
 IF(OR($K67="STRUCT",$K67="ARRAY",$K67="MAP",$K67="ROW"),"CAST(NULLIF(TRIM("&amp;I67&amp;"),'') AS VARIANT)",
 "NONE"
))))))))))))))</f>
        <v>CAST(NULLIF(TRIM(RCRD_DEL_IND),'') AS SMALLINT)</v>
      </c>
      <c r="N67" s="7" t="str">
        <f>TRIM(ETLMetadata!$J67)</f>
        <v/>
      </c>
      <c r="O67" s="8" t="str">
        <f>IF(TRIM(Classification!$G67)="","NOT CONFIDENTIAL",TRIM(Classification!$G67))</f>
        <v>NOT CONFIDENTIAL</v>
      </c>
      <c r="P67" s="7" t="str">
        <f t="shared" ref="P67:P130" si="15">IF($C67="Start_Date","N",
 IF($C67="End_Date","N",
 IF($C67="Record_Deleted_Flag","N",
 IF($C67="IsDeleted","N",
 "Y"
))))</f>
        <v>N</v>
      </c>
      <c r="Q67" s="7" t="s">
        <v>826</v>
      </c>
      <c r="R67" s="9">
        <v>2958465</v>
      </c>
      <c r="S67" s="7" t="s">
        <v>827</v>
      </c>
      <c r="T67" s="7" t="s">
        <v>828</v>
      </c>
      <c r="U67" s="7" t="str">
        <f t="shared" si="9"/>
        <v>CLK_CIRC_RES_RSCV_V</v>
      </c>
      <c r="V67" s="7" t="s">
        <v>829</v>
      </c>
    </row>
    <row r="68" spans="1:22">
      <c r="A68" s="7" t="str">
        <f>TRIM(ETLMetadata!$B68)</f>
        <v>CLK</v>
      </c>
      <c r="B68" s="7" t="str">
        <f>TRIM(ETLMetadata!$C68)</f>
        <v>CIRC_RES_RSEV</v>
      </c>
      <c r="C68" s="7" t="str">
        <f>TRIM(ETLMetadata!$F68)</f>
        <v>EXTRACT_DATE</v>
      </c>
      <c r="D68" s="7" t="str">
        <f>TRIM(ETLMetadata!$H68)</f>
        <v>StringType()</v>
      </c>
      <c r="E68" s="7" t="str">
        <f t="shared" si="8"/>
        <v>CLK_CIRC_RES_RSEV</v>
      </c>
      <c r="F68" s="7" t="str">
        <f t="shared" si="10"/>
        <v>EXTRACT_DATE</v>
      </c>
      <c r="G68" s="7" t="s">
        <v>825</v>
      </c>
      <c r="H68" s="7" t="str">
        <f t="shared" si="11"/>
        <v>CLK_CIRC_RES_RSEV</v>
      </c>
      <c r="I68" s="7" t="str">
        <f t="shared" si="12"/>
        <v>EXTRACT_DATE</v>
      </c>
      <c r="J68" s="7" t="str">
        <f t="shared" si="13"/>
        <v>DATE</v>
      </c>
      <c r="K68" s="7" t="str">
        <f>TRIM(ETLMetadata!$G68)</f>
        <v>DATE</v>
      </c>
      <c r="L68" s="7" t="str">
        <f>TRIM(ETLMetadata!$I68)</f>
        <v>YYYY-MM-DD</v>
      </c>
      <c r="M68" s="7" t="str">
        <f t="shared" si="14"/>
        <v>TO_DATE(NULLIF(TRIM(EXTRACT_DATE),'') , 'YYYY-MM-DD')</v>
      </c>
      <c r="N68" s="7" t="str">
        <f>TRIM(ETLMetadata!$J68)</f>
        <v/>
      </c>
      <c r="O68" s="8" t="str">
        <f>IF(TRIM(Classification!$G68)="","NOT CONFIDENTIAL",TRIM(Classification!$G68))</f>
        <v>NOT CONFIDENTIAL</v>
      </c>
      <c r="P68" s="7" t="str">
        <f t="shared" si="15"/>
        <v>Y</v>
      </c>
      <c r="Q68" s="7" t="s">
        <v>826</v>
      </c>
      <c r="R68" s="9">
        <v>2958465</v>
      </c>
      <c r="S68" s="7" t="s">
        <v>827</v>
      </c>
      <c r="T68" s="7" t="s">
        <v>828</v>
      </c>
      <c r="U68" s="7" t="str">
        <f t="shared" si="9"/>
        <v>CLK_CIRC_RES_RSEV_V</v>
      </c>
      <c r="V68" s="7" t="s">
        <v>829</v>
      </c>
    </row>
    <row r="69" spans="1:22">
      <c r="A69" s="7" t="str">
        <f>TRIM(ETLMetadata!$B69)</f>
        <v>CLK</v>
      </c>
      <c r="B69" s="7" t="str">
        <f>TRIM(ETLMetadata!$C69)</f>
        <v>CIRC_RES_RSEV</v>
      </c>
      <c r="C69" s="7" t="str">
        <f>TRIM(ETLMetadata!$F69)</f>
        <v>LOGICAL_DELETE_DATE</v>
      </c>
      <c r="D69" s="7" t="str">
        <f>TRIM(ETLMetadata!$H69)</f>
        <v>StringType()</v>
      </c>
      <c r="E69" s="7" t="str">
        <f t="shared" si="8"/>
        <v>CLK_CIRC_RES_RSEV</v>
      </c>
      <c r="F69" s="7" t="str">
        <f t="shared" si="10"/>
        <v>LOGICAL_DELETE_DATE</v>
      </c>
      <c r="G69" s="7" t="s">
        <v>825</v>
      </c>
      <c r="H69" s="7" t="str">
        <f t="shared" si="11"/>
        <v>CLK_CIRC_RES_RSEV</v>
      </c>
      <c r="I69" s="7" t="str">
        <f t="shared" si="12"/>
        <v>LOGICAL_DELETE_DATE</v>
      </c>
      <c r="J69" s="7" t="str">
        <f t="shared" si="13"/>
        <v>DATE</v>
      </c>
      <c r="K69" s="7" t="str">
        <f>TRIM(ETLMetadata!$G69)</f>
        <v>DATE</v>
      </c>
      <c r="L69" s="7" t="str">
        <f>TRIM(ETLMetadata!$I69)</f>
        <v>YYYY-MM-DD</v>
      </c>
      <c r="M69" s="7" t="str">
        <f t="shared" si="14"/>
        <v>TO_DATE(NULLIF(TRIM(LOGICAL_DELETE_DATE),'') , 'YYYY-MM-DD')</v>
      </c>
      <c r="N69" s="7" t="str">
        <f>TRIM(ETLMetadata!$J69)</f>
        <v/>
      </c>
      <c r="O69" s="8" t="str">
        <f>IF(TRIM(Classification!$G69)="","NOT CONFIDENTIAL",TRIM(Classification!$G69))</f>
        <v>NOT CONFIDENTIAL</v>
      </c>
      <c r="P69" s="7" t="str">
        <f t="shared" si="15"/>
        <v>Y</v>
      </c>
      <c r="Q69" s="7" t="s">
        <v>826</v>
      </c>
      <c r="R69" s="9">
        <v>2958465</v>
      </c>
      <c r="S69" s="7" t="s">
        <v>827</v>
      </c>
      <c r="T69" s="7" t="s">
        <v>828</v>
      </c>
      <c r="U69" s="7" t="str">
        <f t="shared" si="9"/>
        <v>CLK_CIRC_RES_RSEV_V</v>
      </c>
      <c r="V69" s="7" t="s">
        <v>829</v>
      </c>
    </row>
    <row r="70" spans="1:22">
      <c r="A70" s="7" t="str">
        <f>TRIM(ETLMetadata!$B70)</f>
        <v>CLK</v>
      </c>
      <c r="B70" s="7" t="str">
        <f>TRIM(ETLMetadata!$C70)</f>
        <v>CIRC_RES_RSEV</v>
      </c>
      <c r="C70" s="7" t="str">
        <f>TRIM(ETLMetadata!$F70)</f>
        <v>ENVIRONMENT_ID</v>
      </c>
      <c r="D70" s="7" t="str">
        <f>TRIM(ETLMetadata!$H70)</f>
        <v>StringType()</v>
      </c>
      <c r="E70" s="7" t="str">
        <f t="shared" si="8"/>
        <v>CLK_CIRC_RES_RSEV</v>
      </c>
      <c r="F70" s="7" t="str">
        <f t="shared" si="10"/>
        <v>ENVIRONMENT_ID</v>
      </c>
      <c r="G70" s="7" t="s">
        <v>825</v>
      </c>
      <c r="H70" s="7" t="str">
        <f t="shared" si="11"/>
        <v>CLK_CIRC_RES_RSEV</v>
      </c>
      <c r="I70" s="7" t="str">
        <f t="shared" si="12"/>
        <v>ENVIRONMENT_ID</v>
      </c>
      <c r="J70" s="7" t="str">
        <f t="shared" si="13"/>
        <v>VARCHAR</v>
      </c>
      <c r="K70" s="7" t="str">
        <f>TRIM(ETLMetadata!$G70)</f>
        <v>CHAR(1)</v>
      </c>
      <c r="L70" s="7" t="str">
        <f>TRIM(ETLMetadata!$I70)</f>
        <v/>
      </c>
      <c r="M70" s="7" t="str">
        <f t="shared" si="14"/>
        <v>NULLIF(TRIM(ENVIRONMENT_ID),'')</v>
      </c>
      <c r="N70" s="7" t="str">
        <f>TRIM(ETLMetadata!$J70)</f>
        <v>Y</v>
      </c>
      <c r="O70" s="8" t="str">
        <f>IF(TRIM(Classification!$G70)="","NOT CONFIDENTIAL",TRIM(Classification!$G70))</f>
        <v>NOT CONFIDENTIAL</v>
      </c>
      <c r="P70" s="7" t="str">
        <f t="shared" si="15"/>
        <v>Y</v>
      </c>
      <c r="Q70" s="7" t="s">
        <v>826</v>
      </c>
      <c r="R70" s="9">
        <v>2958465</v>
      </c>
      <c r="S70" s="7" t="s">
        <v>827</v>
      </c>
      <c r="T70" s="7" t="s">
        <v>828</v>
      </c>
      <c r="U70" s="7" t="str">
        <f t="shared" si="9"/>
        <v>CLK_CIRC_RES_RSEV_V</v>
      </c>
      <c r="V70" s="7" t="s">
        <v>829</v>
      </c>
    </row>
    <row r="71" spans="1:22">
      <c r="A71" s="7" t="str">
        <f>TRIM(ETLMetadata!$B71)</f>
        <v>CLK</v>
      </c>
      <c r="B71" s="7" t="str">
        <f>TRIM(ETLMetadata!$C71)</f>
        <v>CIRC_RES_RSEV</v>
      </c>
      <c r="C71" s="7" t="str">
        <f>TRIM(ETLMetadata!$F71)</f>
        <v>PERSON_ID</v>
      </c>
      <c r="D71" s="7" t="str">
        <f>TRIM(ETLMetadata!$H71)</f>
        <v>StringType()</v>
      </c>
      <c r="E71" s="7" t="str">
        <f t="shared" si="8"/>
        <v>CLK_CIRC_RES_RSEV</v>
      </c>
      <c r="F71" s="7" t="str">
        <f t="shared" si="10"/>
        <v>PERSON_ID</v>
      </c>
      <c r="G71" s="7" t="s">
        <v>825</v>
      </c>
      <c r="H71" s="7" t="str">
        <f t="shared" si="11"/>
        <v>CLK_CIRC_RES_RSEV</v>
      </c>
      <c r="I71" s="7" t="str">
        <f t="shared" si="12"/>
        <v>PERSON_ID</v>
      </c>
      <c r="J71" s="7" t="str">
        <f t="shared" si="13"/>
        <v>INTEGER</v>
      </c>
      <c r="K71" s="7" t="str">
        <f>TRIM(ETLMetadata!$G71)</f>
        <v>INTEGER</v>
      </c>
      <c r="L71" s="7" t="str">
        <f>TRIM(ETLMetadata!$I71)</f>
        <v/>
      </c>
      <c r="M71" s="7" t="str">
        <f t="shared" si="14"/>
        <v>CAST(NULLIF(TRIM(PERSON_ID),'') AS INTEGER)</v>
      </c>
      <c r="N71" s="7" t="str">
        <f>TRIM(ETLMetadata!$J71)</f>
        <v>Y</v>
      </c>
      <c r="O71" s="8" t="str">
        <f>IF(TRIM(Classification!$G71)="","NOT CONFIDENTIAL",TRIM(Classification!$G71))</f>
        <v xml:space="preserve">PERSONAL_IDENTITYINFODIRECT	</v>
      </c>
      <c r="P71" s="7" t="str">
        <f t="shared" si="15"/>
        <v>Y</v>
      </c>
      <c r="Q71" s="7" t="s">
        <v>826</v>
      </c>
      <c r="R71" s="9">
        <v>2958465</v>
      </c>
      <c r="S71" s="7" t="s">
        <v>827</v>
      </c>
      <c r="T71" s="7" t="s">
        <v>828</v>
      </c>
      <c r="U71" s="7" t="str">
        <f t="shared" si="9"/>
        <v>CLK_CIRC_RES_RSEV_V</v>
      </c>
      <c r="V71" s="7" t="s">
        <v>829</v>
      </c>
    </row>
    <row r="72" spans="1:22">
      <c r="A72" s="7" t="str">
        <f>TRIM(ETLMetadata!$B72)</f>
        <v>CLK</v>
      </c>
      <c r="B72" s="7" t="str">
        <f>TRIM(ETLMetadata!$C72)</f>
        <v>CIRC_RES_RSEV</v>
      </c>
      <c r="C72" s="7" t="str">
        <f>TRIM(ETLMetadata!$F72)</f>
        <v>RSEV_VISA_GRANT_DATE</v>
      </c>
      <c r="D72" s="7" t="str">
        <f>TRIM(ETLMetadata!$H72)</f>
        <v>StringType()</v>
      </c>
      <c r="E72" s="7" t="str">
        <f t="shared" si="8"/>
        <v>CLK_CIRC_RES_RSEV</v>
      </c>
      <c r="F72" s="7" t="str">
        <f t="shared" si="10"/>
        <v>RSEV_VISA_GRANT_DATE</v>
      </c>
      <c r="G72" s="7" t="s">
        <v>825</v>
      </c>
      <c r="H72" s="7" t="str">
        <f t="shared" si="11"/>
        <v>CLK_CIRC_RES_RSEV</v>
      </c>
      <c r="I72" s="7" t="str">
        <f t="shared" si="12"/>
        <v>RSEV_VISA_GRANT_DATE</v>
      </c>
      <c r="J72" s="7" t="str">
        <f t="shared" si="13"/>
        <v>DATE</v>
      </c>
      <c r="K72" s="17" t="s">
        <v>80</v>
      </c>
      <c r="L72" s="7" t="str">
        <f>TRIM(ETLMetadata!$I72)</f>
        <v>YYYY-MM-DD</v>
      </c>
      <c r="M72" s="7" t="str">
        <f t="shared" si="14"/>
        <v>TO_DATE(NULLIF(TRIM(RSEV_VISA_GRANT_DATE),'') , 'YYYY-MM-DD')</v>
      </c>
      <c r="N72" s="7" t="str">
        <f>TRIM(ETLMetadata!$J72)</f>
        <v/>
      </c>
      <c r="O72" s="8" t="str">
        <f>IF(TRIM(Classification!$G72)="","NOT CONFIDENTIAL",TRIM(Classification!$G72))</f>
        <v>NOT CONFIDENTIAL</v>
      </c>
      <c r="P72" s="7" t="str">
        <f t="shared" si="15"/>
        <v>Y</v>
      </c>
      <c r="Q72" s="7" t="s">
        <v>826</v>
      </c>
      <c r="R72" s="9">
        <v>2958465</v>
      </c>
      <c r="S72" s="7" t="s">
        <v>827</v>
      </c>
      <c r="T72" s="7" t="s">
        <v>828</v>
      </c>
      <c r="U72" s="7" t="str">
        <f t="shared" si="9"/>
        <v>CLK_CIRC_RES_RSEV_V</v>
      </c>
      <c r="V72" s="7" t="s">
        <v>829</v>
      </c>
    </row>
    <row r="73" spans="1:22">
      <c r="A73" s="7" t="str">
        <f>TRIM(ETLMetadata!$B73)</f>
        <v>CLK</v>
      </c>
      <c r="B73" s="7" t="str">
        <f>TRIM(ETLMetadata!$C73)</f>
        <v>CIRC_RES_RSEV</v>
      </c>
      <c r="C73" s="7" t="str">
        <f>TRIM(ETLMetadata!$F73)</f>
        <v>RSEV_VISA_GRANT_DATE_ORIG</v>
      </c>
      <c r="D73" s="7" t="str">
        <f>TRIM(ETLMetadata!$H73)</f>
        <v>StringType()</v>
      </c>
      <c r="E73" s="7" t="str">
        <f t="shared" si="8"/>
        <v>CLK_CIRC_RES_RSEV</v>
      </c>
      <c r="F73" s="7" t="str">
        <f t="shared" si="10"/>
        <v>RSEV_VISA_GRANT_DATE_ORIG</v>
      </c>
      <c r="G73" s="7" t="s">
        <v>825</v>
      </c>
      <c r="H73" s="7" t="str">
        <f t="shared" si="11"/>
        <v>CLK_CIRC_RES_RSEV</v>
      </c>
      <c r="I73" s="7" t="str">
        <f t="shared" si="12"/>
        <v>RSEV_VISA_GRANT_DATE_ORIG</v>
      </c>
      <c r="J73" s="7" t="str">
        <f t="shared" si="13"/>
        <v>INTEGER</v>
      </c>
      <c r="K73" s="17" t="s">
        <v>90</v>
      </c>
      <c r="L73" s="7" t="str">
        <f>TRIM(ETLMetadata!$I73)</f>
        <v/>
      </c>
      <c r="M73" s="7" t="str">
        <f t="shared" si="14"/>
        <v>CAST(NULLIF(TRIM(RSEV_VISA_GRANT_DATE_ORIG),'') AS INTEGER)</v>
      </c>
      <c r="N73" s="7" t="str">
        <f>TRIM(ETLMetadata!$J73)</f>
        <v/>
      </c>
      <c r="O73" s="8" t="str">
        <f>IF(TRIM(Classification!$G73)="","NOT CONFIDENTIAL",TRIM(Classification!$G73))</f>
        <v>NOT CONFIDENTIAL</v>
      </c>
      <c r="P73" s="7" t="str">
        <f t="shared" si="15"/>
        <v>Y</v>
      </c>
      <c r="Q73" s="7" t="s">
        <v>826</v>
      </c>
      <c r="R73" s="9">
        <v>2958465</v>
      </c>
      <c r="S73" s="7" t="s">
        <v>827</v>
      </c>
      <c r="T73" s="7" t="s">
        <v>828</v>
      </c>
      <c r="U73" s="7" t="str">
        <f t="shared" si="9"/>
        <v>CLK_CIRC_RES_RSEV_V</v>
      </c>
      <c r="V73" s="7" t="s">
        <v>829</v>
      </c>
    </row>
    <row r="74" spans="1:22">
      <c r="A74" s="7" t="str">
        <f>TRIM(ETLMetadata!$B74)</f>
        <v>CLK</v>
      </c>
      <c r="B74" s="7" t="str">
        <f>TRIM(ETLMetadata!$C74)</f>
        <v>CIRC_RES_RSEV</v>
      </c>
      <c r="C74" s="7" t="str">
        <f>TRIM(ETLMetadata!$F74)</f>
        <v>RSEV_VISA_SUB_CLASS_CODE</v>
      </c>
      <c r="D74" s="7" t="str">
        <f>TRIM(ETLMetadata!$H74)</f>
        <v>StringType()</v>
      </c>
      <c r="E74" s="7" t="str">
        <f t="shared" si="8"/>
        <v>CLK_CIRC_RES_RSEV</v>
      </c>
      <c r="F74" s="7" t="str">
        <f t="shared" si="10"/>
        <v>RSEV_VISA_SUB_CLASS_CODE</v>
      </c>
      <c r="G74" s="7" t="s">
        <v>825</v>
      </c>
      <c r="H74" s="7" t="str">
        <f t="shared" si="11"/>
        <v>CLK_CIRC_RES_RSEV</v>
      </c>
      <c r="I74" s="7" t="str">
        <f t="shared" si="12"/>
        <v>RSEV_VISA_SUB_CLASS_CODE</v>
      </c>
      <c r="J74" s="7" t="str">
        <f t="shared" si="13"/>
        <v>VARCHAR</v>
      </c>
      <c r="K74" s="7" t="str">
        <f>TRIM(ETLMetadata!$G74)</f>
        <v>CHAR(5)</v>
      </c>
      <c r="L74" s="7" t="str">
        <f>TRIM(ETLMetadata!$I74)</f>
        <v/>
      </c>
      <c r="M74" s="7" t="str">
        <f t="shared" si="14"/>
        <v>NULLIF(TRIM(RSEV_VISA_SUB_CLASS_CODE),'')</v>
      </c>
      <c r="N74" s="7" t="str">
        <f>TRIM(ETLMetadata!$J74)</f>
        <v/>
      </c>
      <c r="O74" s="8" t="str">
        <f>IF(TRIM(Classification!$G74)="","NOT CONFIDENTIAL",TRIM(Classification!$G74))</f>
        <v>NOT CONFIDENTIAL</v>
      </c>
      <c r="P74" s="7" t="str">
        <f t="shared" si="15"/>
        <v>Y</v>
      </c>
      <c r="Q74" s="7" t="s">
        <v>826</v>
      </c>
      <c r="R74" s="9">
        <v>2958465</v>
      </c>
      <c r="S74" s="7" t="s">
        <v>827</v>
      </c>
      <c r="T74" s="7" t="s">
        <v>828</v>
      </c>
      <c r="U74" s="7" t="str">
        <f t="shared" si="9"/>
        <v>CLK_CIRC_RES_RSEV_V</v>
      </c>
      <c r="V74" s="7" t="s">
        <v>829</v>
      </c>
    </row>
    <row r="75" spans="1:22">
      <c r="A75" s="7" t="str">
        <f>TRIM(ETLMetadata!$B75)</f>
        <v>CLK</v>
      </c>
      <c r="B75" s="7" t="str">
        <f>TRIM(ETLMetadata!$C75)</f>
        <v>CIRC_RES_RSEV</v>
      </c>
      <c r="C75" s="7" t="str">
        <f>TRIM(ETLMetadata!$F75)</f>
        <v>PROCESSING_SEQUENCE</v>
      </c>
      <c r="D75" s="7" t="str">
        <f>TRIM(ETLMetadata!$H75)</f>
        <v>StringType()</v>
      </c>
      <c r="E75" s="7" t="str">
        <f t="shared" si="8"/>
        <v>CLK_CIRC_RES_RSEV</v>
      </c>
      <c r="F75" s="7" t="str">
        <f t="shared" si="10"/>
        <v>PROCESSING_SEQUENCE</v>
      </c>
      <c r="G75" s="7" t="s">
        <v>825</v>
      </c>
      <c r="H75" s="7" t="str">
        <f t="shared" si="11"/>
        <v>CLK_CIRC_RES_RSEV</v>
      </c>
      <c r="I75" s="7" t="str">
        <f t="shared" si="12"/>
        <v>PROCESSING_SEQUENCE</v>
      </c>
      <c r="J75" s="7" t="str">
        <f t="shared" si="13"/>
        <v>SMALLINT</v>
      </c>
      <c r="K75" s="7" t="str">
        <f>TRIM(ETLMetadata!$G75)</f>
        <v>SMALLINT</v>
      </c>
      <c r="L75" s="7" t="str">
        <f>TRIM(ETLMetadata!$I75)</f>
        <v/>
      </c>
      <c r="M75" s="7" t="str">
        <f t="shared" si="14"/>
        <v>CAST(NULLIF(TRIM(PROCESSING_SEQUENCE),'') AS SMALLINT)</v>
      </c>
      <c r="N75" s="7" t="str">
        <f>TRIM(ETLMetadata!$J75)</f>
        <v>Y</v>
      </c>
      <c r="O75" s="8" t="str">
        <f>IF(TRIM(Classification!$G75)="","NOT CONFIDENTIAL",TRIM(Classification!$G75))</f>
        <v>NOT CONFIDENTIAL</v>
      </c>
      <c r="P75" s="7" t="str">
        <f t="shared" si="15"/>
        <v>Y</v>
      </c>
      <c r="Q75" s="7" t="s">
        <v>826</v>
      </c>
      <c r="R75" s="9">
        <v>2958465</v>
      </c>
      <c r="S75" s="7" t="s">
        <v>827</v>
      </c>
      <c r="T75" s="7" t="s">
        <v>828</v>
      </c>
      <c r="U75" s="7" t="str">
        <f t="shared" si="9"/>
        <v>CLK_CIRC_RES_RSEV_V</v>
      </c>
      <c r="V75" s="7" t="s">
        <v>829</v>
      </c>
    </row>
    <row r="76" spans="1:22">
      <c r="A76" s="7" t="str">
        <f>TRIM(ETLMetadata!$B76)</f>
        <v>CLK</v>
      </c>
      <c r="B76" s="7" t="str">
        <f>TRIM(ETLMetadata!$C76)</f>
        <v>CIRC_RES_RSEV</v>
      </c>
      <c r="C76" s="7" t="str">
        <f>TRIM(ETLMetadata!$F76)</f>
        <v>RSEV_AMR_1</v>
      </c>
      <c r="D76" s="7" t="str">
        <f>TRIM(ETLMetadata!$H76)</f>
        <v>StringType()</v>
      </c>
      <c r="E76" s="7" t="str">
        <f t="shared" si="8"/>
        <v>CLK_CIRC_RES_RSEV</v>
      </c>
      <c r="F76" s="7" t="str">
        <f t="shared" si="10"/>
        <v>RSEV_AMR_1</v>
      </c>
      <c r="G76" s="7" t="s">
        <v>825</v>
      </c>
      <c r="H76" s="7" t="str">
        <f t="shared" si="11"/>
        <v>CLK_CIRC_RES_RSEV</v>
      </c>
      <c r="I76" s="7" t="str">
        <f t="shared" si="12"/>
        <v>RSEV_AMR_1</v>
      </c>
      <c r="J76" s="7" t="str">
        <f t="shared" si="13"/>
        <v>VARCHAR</v>
      </c>
      <c r="K76" s="7" t="str">
        <f>TRIM(ETLMetadata!$G76)</f>
        <v>CHAR(4)</v>
      </c>
      <c r="L76" s="7" t="str">
        <f>TRIM(ETLMetadata!$I76)</f>
        <v/>
      </c>
      <c r="M76" s="7" t="str">
        <f t="shared" si="14"/>
        <v>NULLIF(TRIM(RSEV_AMR_1),'')</v>
      </c>
      <c r="N76" s="7" t="str">
        <f>TRIM(ETLMetadata!$J76)</f>
        <v/>
      </c>
      <c r="O76" s="8" t="str">
        <f>IF(TRIM(Classification!$G76)="","NOT CONFIDENTIAL",TRIM(Classification!$G76))</f>
        <v>NOT CONFIDENTIAL</v>
      </c>
      <c r="P76" s="7" t="str">
        <f t="shared" si="15"/>
        <v>Y</v>
      </c>
      <c r="Q76" s="7" t="s">
        <v>826</v>
      </c>
      <c r="R76" s="9">
        <v>2958465</v>
      </c>
      <c r="S76" s="7" t="s">
        <v>827</v>
      </c>
      <c r="T76" s="7" t="s">
        <v>828</v>
      </c>
      <c r="U76" s="7" t="str">
        <f t="shared" si="9"/>
        <v>CLK_CIRC_RES_RSEV_V</v>
      </c>
      <c r="V76" s="7" t="s">
        <v>829</v>
      </c>
    </row>
    <row r="77" spans="1:22">
      <c r="A77" s="7" t="str">
        <f>TRIM(ETLMetadata!$B77)</f>
        <v>CLK</v>
      </c>
      <c r="B77" s="7" t="str">
        <f>TRIM(ETLMetadata!$C77)</f>
        <v>CIRC_RES_RSEV</v>
      </c>
      <c r="C77" s="7" t="str">
        <f>TRIM(ETLMetadata!$F77)</f>
        <v>RSEV_AMR_2</v>
      </c>
      <c r="D77" s="7" t="str">
        <f>TRIM(ETLMetadata!$H77)</f>
        <v>StringType()</v>
      </c>
      <c r="E77" s="7" t="str">
        <f t="shared" si="8"/>
        <v>CLK_CIRC_RES_RSEV</v>
      </c>
      <c r="F77" s="7" t="str">
        <f t="shared" si="10"/>
        <v>RSEV_AMR_2</v>
      </c>
      <c r="G77" s="7" t="s">
        <v>825</v>
      </c>
      <c r="H77" s="7" t="str">
        <f t="shared" si="11"/>
        <v>CLK_CIRC_RES_RSEV</v>
      </c>
      <c r="I77" s="7" t="str">
        <f t="shared" si="12"/>
        <v>RSEV_AMR_2</v>
      </c>
      <c r="J77" s="7" t="str">
        <f t="shared" si="13"/>
        <v>VARCHAR</v>
      </c>
      <c r="K77" s="7" t="str">
        <f>TRIM(ETLMetadata!$G77)</f>
        <v>CHAR(1)</v>
      </c>
      <c r="L77" s="7" t="str">
        <f>TRIM(ETLMetadata!$I77)</f>
        <v/>
      </c>
      <c r="M77" s="7" t="str">
        <f t="shared" si="14"/>
        <v>NULLIF(TRIM(RSEV_AMR_2),'')</v>
      </c>
      <c r="N77" s="7" t="str">
        <f>TRIM(ETLMetadata!$J77)</f>
        <v/>
      </c>
      <c r="O77" s="8" t="str">
        <f>IF(TRIM(Classification!$G77)="","NOT CONFIDENTIAL",TRIM(Classification!$G77))</f>
        <v>NOT CONFIDENTIAL</v>
      </c>
      <c r="P77" s="7" t="str">
        <f t="shared" si="15"/>
        <v>Y</v>
      </c>
      <c r="Q77" s="7" t="s">
        <v>826</v>
      </c>
      <c r="R77" s="9">
        <v>2958465</v>
      </c>
      <c r="S77" s="7" t="s">
        <v>827</v>
      </c>
      <c r="T77" s="7" t="s">
        <v>828</v>
      </c>
      <c r="U77" s="7" t="str">
        <f t="shared" si="9"/>
        <v>CLK_CIRC_RES_RSEV_V</v>
      </c>
      <c r="V77" s="7" t="s">
        <v>829</v>
      </c>
    </row>
    <row r="78" spans="1:22">
      <c r="A78" s="7" t="str">
        <f>TRIM(ETLMetadata!$B78)</f>
        <v>CLK</v>
      </c>
      <c r="B78" s="7" t="str">
        <f>TRIM(ETLMetadata!$C78)</f>
        <v>CIRC_RES_RSEV</v>
      </c>
      <c r="C78" s="7" t="str">
        <f>TRIM(ETLMetadata!$F78)</f>
        <v>RSEV_AMR_3</v>
      </c>
      <c r="D78" s="7" t="str">
        <f>TRIM(ETLMetadata!$H78)</f>
        <v>StringType()</v>
      </c>
      <c r="E78" s="7" t="str">
        <f t="shared" si="8"/>
        <v>CLK_CIRC_RES_RSEV</v>
      </c>
      <c r="F78" s="7" t="str">
        <f t="shared" si="10"/>
        <v>RSEV_AMR_3</v>
      </c>
      <c r="G78" s="7" t="s">
        <v>825</v>
      </c>
      <c r="H78" s="7" t="str">
        <f t="shared" si="11"/>
        <v>CLK_CIRC_RES_RSEV</v>
      </c>
      <c r="I78" s="7" t="str">
        <f t="shared" si="12"/>
        <v>RSEV_AMR_3</v>
      </c>
      <c r="J78" s="7" t="str">
        <f t="shared" si="13"/>
        <v>VARCHAR</v>
      </c>
      <c r="K78" s="7" t="str">
        <f>TRIM(ETLMetadata!$G78)</f>
        <v>CHAR(4)</v>
      </c>
      <c r="L78" s="7" t="str">
        <f>TRIM(ETLMetadata!$I78)</f>
        <v/>
      </c>
      <c r="M78" s="7" t="str">
        <f t="shared" si="14"/>
        <v>NULLIF(TRIM(RSEV_AMR_3),'')</v>
      </c>
      <c r="N78" s="7" t="str">
        <f>TRIM(ETLMetadata!$J78)</f>
        <v/>
      </c>
      <c r="O78" s="8" t="str">
        <f>IF(TRIM(Classification!$G78)="","NOT CONFIDENTIAL",TRIM(Classification!$G78))</f>
        <v>NOT CONFIDENTIAL</v>
      </c>
      <c r="P78" s="7" t="str">
        <f t="shared" si="15"/>
        <v>Y</v>
      </c>
      <c r="Q78" s="7" t="s">
        <v>826</v>
      </c>
      <c r="R78" s="9">
        <v>2958465</v>
      </c>
      <c r="S78" s="7" t="s">
        <v>827</v>
      </c>
      <c r="T78" s="7" t="s">
        <v>828</v>
      </c>
      <c r="U78" s="7" t="str">
        <f t="shared" si="9"/>
        <v>CLK_CIRC_RES_RSEV_V</v>
      </c>
      <c r="V78" s="7" t="s">
        <v>829</v>
      </c>
    </row>
    <row r="79" spans="1:22">
      <c r="A79" s="7" t="str">
        <f>TRIM(ETLMetadata!$B79)</f>
        <v>CLK</v>
      </c>
      <c r="B79" s="7" t="str">
        <f>TRIM(ETLMetadata!$C79)</f>
        <v>CIRC_RES_RSEV</v>
      </c>
      <c r="C79" s="7" t="str">
        <f>TRIM(ETLMetadata!$F79)</f>
        <v>RSEV_CHNL_CODE</v>
      </c>
      <c r="D79" s="7" t="str">
        <f>TRIM(ETLMetadata!$H79)</f>
        <v>StringType()</v>
      </c>
      <c r="E79" s="7" t="str">
        <f t="shared" si="8"/>
        <v>CLK_CIRC_RES_RSEV</v>
      </c>
      <c r="F79" s="7" t="str">
        <f t="shared" si="10"/>
        <v>RSEV_CHNL_CODE</v>
      </c>
      <c r="G79" s="7" t="s">
        <v>825</v>
      </c>
      <c r="H79" s="7" t="str">
        <f t="shared" si="11"/>
        <v>CLK_CIRC_RES_RSEV</v>
      </c>
      <c r="I79" s="7" t="str">
        <f t="shared" si="12"/>
        <v>RSEV_CHNL_CODE</v>
      </c>
      <c r="J79" s="7" t="str">
        <f t="shared" si="13"/>
        <v>VARCHAR</v>
      </c>
      <c r="K79" s="7" t="str">
        <f>TRIM(ETLMetadata!$G79)</f>
        <v>CHAR(3)</v>
      </c>
      <c r="L79" s="7" t="str">
        <f>TRIM(ETLMetadata!$I79)</f>
        <v/>
      </c>
      <c r="M79" s="7" t="str">
        <f t="shared" si="14"/>
        <v>NULLIF(TRIM(RSEV_CHNL_CODE),'')</v>
      </c>
      <c r="N79" s="7" t="str">
        <f>TRIM(ETLMetadata!$J79)</f>
        <v/>
      </c>
      <c r="O79" s="8" t="str">
        <f>IF(TRIM(Classification!$G79)="","NOT CONFIDENTIAL",TRIM(Classification!$G79))</f>
        <v>NOT CONFIDENTIAL</v>
      </c>
      <c r="P79" s="7" t="str">
        <f t="shared" si="15"/>
        <v>Y</v>
      </c>
      <c r="Q79" s="7" t="s">
        <v>826</v>
      </c>
      <c r="R79" s="9">
        <v>2958465</v>
      </c>
      <c r="S79" s="7" t="s">
        <v>827</v>
      </c>
      <c r="T79" s="7" t="s">
        <v>828</v>
      </c>
      <c r="U79" s="7" t="str">
        <f t="shared" si="9"/>
        <v>CLK_CIRC_RES_RSEV_V</v>
      </c>
      <c r="V79" s="7" t="s">
        <v>829</v>
      </c>
    </row>
    <row r="80" spans="1:22">
      <c r="A80" s="7" t="str">
        <f>TRIM(ETLMetadata!$B80)</f>
        <v>CLK</v>
      </c>
      <c r="B80" s="7" t="str">
        <f>TRIM(ETLMetadata!$C80)</f>
        <v>CIRC_RES_RSEV</v>
      </c>
      <c r="C80" s="7" t="str">
        <f>TRIM(ETLMetadata!$F80)</f>
        <v>RSEV_VISA_AOS_IND</v>
      </c>
      <c r="D80" s="7" t="str">
        <f>TRIM(ETLMetadata!$H80)</f>
        <v>StringType()</v>
      </c>
      <c r="E80" s="7" t="str">
        <f t="shared" si="8"/>
        <v>CLK_CIRC_RES_RSEV</v>
      </c>
      <c r="F80" s="7" t="str">
        <f t="shared" si="10"/>
        <v>RSEV_VISA_AOS_IND</v>
      </c>
      <c r="G80" s="7" t="s">
        <v>825</v>
      </c>
      <c r="H80" s="7" t="str">
        <f t="shared" si="11"/>
        <v>CLK_CIRC_RES_RSEV</v>
      </c>
      <c r="I80" s="7" t="str">
        <f t="shared" si="12"/>
        <v>RSEV_VISA_AOS_IND</v>
      </c>
      <c r="J80" s="7" t="str">
        <f t="shared" si="13"/>
        <v>VARCHAR</v>
      </c>
      <c r="K80" s="7" t="str">
        <f>TRIM(ETLMetadata!$G80)</f>
        <v>CHAR(1)</v>
      </c>
      <c r="L80" s="7" t="str">
        <f>TRIM(ETLMetadata!$I80)</f>
        <v/>
      </c>
      <c r="M80" s="7" t="str">
        <f t="shared" si="14"/>
        <v>NULLIF(TRIM(RSEV_VISA_AOS_IND),'')</v>
      </c>
      <c r="N80" s="7" t="str">
        <f>TRIM(ETLMetadata!$J80)</f>
        <v/>
      </c>
      <c r="O80" s="8" t="str">
        <f>IF(TRIM(Classification!$G80)="","NOT CONFIDENTIAL",TRIM(Classification!$G80))</f>
        <v>NOT CONFIDENTIAL</v>
      </c>
      <c r="P80" s="7" t="str">
        <f t="shared" si="15"/>
        <v>Y</v>
      </c>
      <c r="Q80" s="7" t="s">
        <v>826</v>
      </c>
      <c r="R80" s="9">
        <v>2958465</v>
      </c>
      <c r="S80" s="7" t="s">
        <v>827</v>
      </c>
      <c r="T80" s="7" t="s">
        <v>828</v>
      </c>
      <c r="U80" s="7" t="str">
        <f t="shared" si="9"/>
        <v>CLK_CIRC_RES_RSEV_V</v>
      </c>
      <c r="V80" s="7" t="s">
        <v>829</v>
      </c>
    </row>
    <row r="81" spans="1:22">
      <c r="A81" s="7" t="str">
        <f>TRIM(ETLMetadata!$B81)</f>
        <v>CLK</v>
      </c>
      <c r="B81" s="7" t="str">
        <f>TRIM(ETLMetadata!$C81)</f>
        <v>CIRC_RES_RSEV</v>
      </c>
      <c r="C81" s="7" t="str">
        <f>TRIM(ETLMetadata!$F81)</f>
        <v>RSEV_VISA_APPLN_DATE</v>
      </c>
      <c r="D81" s="7" t="str">
        <f>TRIM(ETLMetadata!$H81)</f>
        <v>StringType()</v>
      </c>
      <c r="E81" s="7" t="str">
        <f t="shared" si="8"/>
        <v>CLK_CIRC_RES_RSEV</v>
      </c>
      <c r="F81" s="7" t="str">
        <f t="shared" si="10"/>
        <v>RSEV_VISA_APPLN_DATE</v>
      </c>
      <c r="G81" s="7" t="s">
        <v>825</v>
      </c>
      <c r="H81" s="7" t="str">
        <f t="shared" si="11"/>
        <v>CLK_CIRC_RES_RSEV</v>
      </c>
      <c r="I81" s="7" t="str">
        <f t="shared" si="12"/>
        <v>RSEV_VISA_APPLN_DATE</v>
      </c>
      <c r="J81" s="7" t="str">
        <f t="shared" si="13"/>
        <v>DATE</v>
      </c>
      <c r="K81" s="17" t="s">
        <v>80</v>
      </c>
      <c r="L81" s="7" t="str">
        <f>TRIM(ETLMetadata!$I81)</f>
        <v>YYYY-MM-DD</v>
      </c>
      <c r="M81" s="7" t="str">
        <f t="shared" si="14"/>
        <v>TO_DATE(NULLIF(TRIM(RSEV_VISA_APPLN_DATE),'') , 'YYYY-MM-DD')</v>
      </c>
      <c r="N81" s="7" t="str">
        <f>TRIM(ETLMetadata!$J81)</f>
        <v/>
      </c>
      <c r="O81" s="8" t="str">
        <f>IF(TRIM(Classification!$G81)="","NOT CONFIDENTIAL",TRIM(Classification!$G81))</f>
        <v>NOT CONFIDENTIAL</v>
      </c>
      <c r="P81" s="7" t="str">
        <f t="shared" si="15"/>
        <v>Y</v>
      </c>
      <c r="Q81" s="7" t="s">
        <v>826</v>
      </c>
      <c r="R81" s="9">
        <v>2958465</v>
      </c>
      <c r="S81" s="7" t="s">
        <v>827</v>
      </c>
      <c r="T81" s="7" t="s">
        <v>828</v>
      </c>
      <c r="U81" s="7" t="str">
        <f t="shared" si="9"/>
        <v>CLK_CIRC_RES_RSEV_V</v>
      </c>
      <c r="V81" s="7" t="s">
        <v>829</v>
      </c>
    </row>
    <row r="82" spans="1:22">
      <c r="A82" s="7" t="str">
        <f>TRIM(ETLMetadata!$B82)</f>
        <v>CLK</v>
      </c>
      <c r="B82" s="7" t="str">
        <f>TRIM(ETLMetadata!$C82)</f>
        <v>CIRC_RES_RSEV</v>
      </c>
      <c r="C82" s="7" t="str">
        <f>TRIM(ETLMetadata!$F82)</f>
        <v>RSEV_VISA_APPLN_DATE_ORIG</v>
      </c>
      <c r="D82" s="7" t="str">
        <f>TRIM(ETLMetadata!$H82)</f>
        <v>StringType()</v>
      </c>
      <c r="E82" s="7" t="str">
        <f t="shared" si="8"/>
        <v>CLK_CIRC_RES_RSEV</v>
      </c>
      <c r="F82" s="7" t="str">
        <f t="shared" si="10"/>
        <v>RSEV_VISA_APPLN_DATE_ORIG</v>
      </c>
      <c r="G82" s="7" t="s">
        <v>825</v>
      </c>
      <c r="H82" s="7" t="str">
        <f t="shared" si="11"/>
        <v>CLK_CIRC_RES_RSEV</v>
      </c>
      <c r="I82" s="7" t="str">
        <f t="shared" si="12"/>
        <v>RSEV_VISA_APPLN_DATE_ORIG</v>
      </c>
      <c r="J82" s="7" t="str">
        <f t="shared" si="13"/>
        <v>INTEGER</v>
      </c>
      <c r="K82" s="17" t="s">
        <v>90</v>
      </c>
      <c r="L82" s="7" t="str">
        <f>TRIM(ETLMetadata!$I82)</f>
        <v/>
      </c>
      <c r="M82" s="7" t="str">
        <f t="shared" si="14"/>
        <v>CAST(NULLIF(TRIM(RSEV_VISA_APPLN_DATE_ORIG),'') AS INTEGER)</v>
      </c>
      <c r="N82" s="7" t="str">
        <f>TRIM(ETLMetadata!$J82)</f>
        <v/>
      </c>
      <c r="O82" s="8" t="str">
        <f>IF(TRIM(Classification!$G82)="","NOT CONFIDENTIAL",TRIM(Classification!$G82))</f>
        <v>NOT CONFIDENTIAL</v>
      </c>
      <c r="P82" s="7" t="str">
        <f t="shared" si="15"/>
        <v>Y</v>
      </c>
      <c r="Q82" s="7" t="s">
        <v>826</v>
      </c>
      <c r="R82" s="9">
        <v>2958465</v>
      </c>
      <c r="S82" s="7" t="s">
        <v>827</v>
      </c>
      <c r="T82" s="7" t="s">
        <v>828</v>
      </c>
      <c r="U82" s="7" t="str">
        <f t="shared" si="9"/>
        <v>CLK_CIRC_RES_RSEV_V</v>
      </c>
      <c r="V82" s="7" t="s">
        <v>829</v>
      </c>
    </row>
    <row r="83" spans="1:22">
      <c r="A83" s="7" t="str">
        <f>TRIM(ETLMetadata!$B83)</f>
        <v>CLK</v>
      </c>
      <c r="B83" s="7" t="str">
        <f>TRIM(ETLMetadata!$C83)</f>
        <v>CIRC_RES_RSEV</v>
      </c>
      <c r="C83" s="7" t="str">
        <f>TRIM(ETLMetadata!$F83)</f>
        <v>RSEV_VISA_END_DATE</v>
      </c>
      <c r="D83" s="7" t="str">
        <f>TRIM(ETLMetadata!$H83)</f>
        <v>StringType()</v>
      </c>
      <c r="E83" s="7" t="str">
        <f t="shared" si="8"/>
        <v>CLK_CIRC_RES_RSEV</v>
      </c>
      <c r="F83" s="7" t="str">
        <f t="shared" si="10"/>
        <v>RSEV_VISA_END_DATE</v>
      </c>
      <c r="G83" s="7" t="s">
        <v>825</v>
      </c>
      <c r="H83" s="7" t="str">
        <f t="shared" si="11"/>
        <v>CLK_CIRC_RES_RSEV</v>
      </c>
      <c r="I83" s="7" t="str">
        <f t="shared" si="12"/>
        <v>RSEV_VISA_END_DATE</v>
      </c>
      <c r="J83" s="7" t="str">
        <f t="shared" si="13"/>
        <v>DATE</v>
      </c>
      <c r="K83" s="17" t="s">
        <v>80</v>
      </c>
      <c r="L83" s="7" t="str">
        <f>TRIM(ETLMetadata!$I83)</f>
        <v>YYYY-MM-DD</v>
      </c>
      <c r="M83" s="7" t="str">
        <f t="shared" si="14"/>
        <v>TO_DATE(NULLIF(TRIM(RSEV_VISA_END_DATE),'') , 'YYYY-MM-DD')</v>
      </c>
      <c r="N83" s="7" t="str">
        <f>TRIM(ETLMetadata!$J83)</f>
        <v/>
      </c>
      <c r="O83" s="8" t="str">
        <f>IF(TRIM(Classification!$G83)="","NOT CONFIDENTIAL",TRIM(Classification!$G83))</f>
        <v>NOT CONFIDENTIAL</v>
      </c>
      <c r="P83" s="7" t="str">
        <f t="shared" si="15"/>
        <v>Y</v>
      </c>
      <c r="Q83" s="7" t="s">
        <v>826</v>
      </c>
      <c r="R83" s="9">
        <v>2958465</v>
      </c>
      <c r="S83" s="7" t="s">
        <v>827</v>
      </c>
      <c r="T83" s="7" t="s">
        <v>828</v>
      </c>
      <c r="U83" s="7" t="str">
        <f t="shared" si="9"/>
        <v>CLK_CIRC_RES_RSEV_V</v>
      </c>
      <c r="V83" s="7" t="s">
        <v>829</v>
      </c>
    </row>
    <row r="84" spans="1:22">
      <c r="A84" s="7" t="str">
        <f>TRIM(ETLMetadata!$B84)</f>
        <v>CLK</v>
      </c>
      <c r="B84" s="7" t="str">
        <f>TRIM(ETLMetadata!$C84)</f>
        <v>CIRC_RES_RSEV</v>
      </c>
      <c r="C84" s="7" t="str">
        <f>TRIM(ETLMetadata!$F84)</f>
        <v>RSEV_VISA_END_DATE_ORIG</v>
      </c>
      <c r="D84" s="7" t="str">
        <f>TRIM(ETLMetadata!$H84)</f>
        <v>StringType()</v>
      </c>
      <c r="E84" s="7" t="str">
        <f t="shared" si="8"/>
        <v>CLK_CIRC_RES_RSEV</v>
      </c>
      <c r="F84" s="7" t="str">
        <f t="shared" si="10"/>
        <v>RSEV_VISA_END_DATE_ORIG</v>
      </c>
      <c r="G84" s="7" t="s">
        <v>825</v>
      </c>
      <c r="H84" s="7" t="str">
        <f t="shared" si="11"/>
        <v>CLK_CIRC_RES_RSEV</v>
      </c>
      <c r="I84" s="7" t="str">
        <f t="shared" si="12"/>
        <v>RSEV_VISA_END_DATE_ORIG</v>
      </c>
      <c r="J84" s="7" t="str">
        <f t="shared" si="13"/>
        <v>INTEGER</v>
      </c>
      <c r="K84" s="17" t="s">
        <v>90</v>
      </c>
      <c r="L84" s="7" t="str">
        <f>TRIM(ETLMetadata!$I84)</f>
        <v/>
      </c>
      <c r="M84" s="7" t="str">
        <f t="shared" si="14"/>
        <v>CAST(NULLIF(TRIM(RSEV_VISA_END_DATE_ORIG),'') AS INTEGER)</v>
      </c>
      <c r="N84" s="7" t="str">
        <f>TRIM(ETLMetadata!$J84)</f>
        <v/>
      </c>
      <c r="O84" s="8" t="str">
        <f>IF(TRIM(Classification!$G84)="","NOT CONFIDENTIAL",TRIM(Classification!$G84))</f>
        <v>NOT CONFIDENTIAL</v>
      </c>
      <c r="P84" s="7" t="str">
        <f t="shared" si="15"/>
        <v>Y</v>
      </c>
      <c r="Q84" s="7" t="s">
        <v>826</v>
      </c>
      <c r="R84" s="9">
        <v>2958465</v>
      </c>
      <c r="S84" s="7" t="s">
        <v>827</v>
      </c>
      <c r="T84" s="7" t="s">
        <v>828</v>
      </c>
      <c r="U84" s="7" t="str">
        <f t="shared" si="9"/>
        <v>CLK_CIRC_RES_RSEV_V</v>
      </c>
      <c r="V84" s="7" t="s">
        <v>829</v>
      </c>
    </row>
    <row r="85" spans="1:22">
      <c r="A85" s="7" t="str">
        <f>TRIM(ETLMetadata!$B85)</f>
        <v>CLK</v>
      </c>
      <c r="B85" s="7" t="str">
        <f>TRIM(ETLMetadata!$C85)</f>
        <v>CIRC_RES_RSEV</v>
      </c>
      <c r="C85" s="7" t="str">
        <f>TRIM(ETLMetadata!$F85)</f>
        <v>RSEV_VISA_GRANT_NUM</v>
      </c>
      <c r="D85" s="7" t="str">
        <f>TRIM(ETLMetadata!$H85)</f>
        <v>StringType()</v>
      </c>
      <c r="E85" s="7" t="str">
        <f t="shared" si="8"/>
        <v>CLK_CIRC_RES_RSEV</v>
      </c>
      <c r="F85" s="7" t="str">
        <f t="shared" si="10"/>
        <v>RSEV_VISA_GRANT_NUM</v>
      </c>
      <c r="G85" s="7" t="s">
        <v>825</v>
      </c>
      <c r="H85" s="7" t="str">
        <f t="shared" si="11"/>
        <v>CLK_CIRC_RES_RSEV</v>
      </c>
      <c r="I85" s="7" t="str">
        <f t="shared" si="12"/>
        <v>RSEV_VISA_GRANT_NUM</v>
      </c>
      <c r="J85" s="7" t="str">
        <f t="shared" si="13"/>
        <v>VARCHAR</v>
      </c>
      <c r="K85" s="7" t="str">
        <f>TRIM(ETLMetadata!$G85)</f>
        <v>VARCHAR(13)</v>
      </c>
      <c r="L85" s="7" t="str">
        <f>TRIM(ETLMetadata!$I85)</f>
        <v/>
      </c>
      <c r="M85" s="7" t="str">
        <f t="shared" si="14"/>
        <v>NULLIF(TRIM(RSEV_VISA_GRANT_NUM),'')</v>
      </c>
      <c r="N85" s="7" t="str">
        <f>TRIM(ETLMetadata!$J85)</f>
        <v/>
      </c>
      <c r="O85" s="8" t="str">
        <f>IF(TRIM(Classification!$G85)="","NOT CONFIDENTIAL",TRIM(Classification!$G85))</f>
        <v>PERSONAL_IDENTITYINFODIRECT</v>
      </c>
      <c r="P85" s="7" t="str">
        <f t="shared" si="15"/>
        <v>Y</v>
      </c>
      <c r="Q85" s="7" t="s">
        <v>826</v>
      </c>
      <c r="R85" s="9">
        <v>2958465</v>
      </c>
      <c r="S85" s="7" t="s">
        <v>827</v>
      </c>
      <c r="T85" s="7" t="s">
        <v>828</v>
      </c>
      <c r="U85" s="7" t="str">
        <f t="shared" si="9"/>
        <v>CLK_CIRC_RES_RSEV_V</v>
      </c>
      <c r="V85" s="7" t="s">
        <v>829</v>
      </c>
    </row>
    <row r="86" spans="1:22">
      <c r="A86" s="7" t="str">
        <f>TRIM(ETLMetadata!$B86)</f>
        <v>CLK</v>
      </c>
      <c r="B86" s="7" t="str">
        <f>TRIM(ETLMetadata!$C86)</f>
        <v>CIRC_RES_RSEV</v>
      </c>
      <c r="C86" s="7" t="str">
        <f>TRIM(ETLMetadata!$F86)</f>
        <v>RSEV_VISA_NUM</v>
      </c>
      <c r="D86" s="7" t="str">
        <f>TRIM(ETLMetadata!$H86)</f>
        <v>StringType()</v>
      </c>
      <c r="E86" s="7" t="str">
        <f t="shared" si="8"/>
        <v>CLK_CIRC_RES_RSEV</v>
      </c>
      <c r="F86" s="7" t="str">
        <f t="shared" si="10"/>
        <v>RSEV_VISA_NUM</v>
      </c>
      <c r="G86" s="7" t="s">
        <v>825</v>
      </c>
      <c r="H86" s="7" t="str">
        <f t="shared" si="11"/>
        <v>CLK_CIRC_RES_RSEV</v>
      </c>
      <c r="I86" s="7" t="str">
        <f t="shared" si="12"/>
        <v>RSEV_VISA_NUM</v>
      </c>
      <c r="J86" s="7" t="str">
        <f t="shared" si="13"/>
        <v>VARCHAR</v>
      </c>
      <c r="K86" s="7" t="str">
        <f>TRIM(ETLMetadata!$G86)</f>
        <v>VARCHAR(11)</v>
      </c>
      <c r="L86" s="7" t="str">
        <f>TRIM(ETLMetadata!$I86)</f>
        <v/>
      </c>
      <c r="M86" s="7" t="str">
        <f t="shared" si="14"/>
        <v>NULLIF(TRIM(RSEV_VISA_NUM),'')</v>
      </c>
      <c r="N86" s="7" t="str">
        <f>TRIM(ETLMetadata!$J86)</f>
        <v/>
      </c>
      <c r="O86" s="8" t="str">
        <f>IF(TRIM(Classification!$G86)="","NOT CONFIDENTIAL",TRIM(Classification!$G86))</f>
        <v>PERSONAL_IDENTITYINFODIRECT</v>
      </c>
      <c r="P86" s="7" t="str">
        <f t="shared" si="15"/>
        <v>Y</v>
      </c>
      <c r="Q86" s="7" t="s">
        <v>826</v>
      </c>
      <c r="R86" s="9">
        <v>2958465</v>
      </c>
      <c r="S86" s="7" t="s">
        <v>827</v>
      </c>
      <c r="T86" s="7" t="s">
        <v>828</v>
      </c>
      <c r="U86" s="7" t="str">
        <f t="shared" si="9"/>
        <v>CLK_CIRC_RES_RSEV_V</v>
      </c>
      <c r="V86" s="7" t="s">
        <v>829</v>
      </c>
    </row>
    <row r="87" spans="1:22">
      <c r="A87" s="7" t="str">
        <f>TRIM(ETLMetadata!$B87)</f>
        <v>CLK</v>
      </c>
      <c r="B87" s="7" t="str">
        <f>TRIM(ETLMetadata!$C87)</f>
        <v>CIRC_RES_RSEV</v>
      </c>
      <c r="C87" s="7" t="str">
        <f>TRIM(ETLMetadata!$F87)</f>
        <v>AMR1_RISL_DTS</v>
      </c>
      <c r="D87" s="7" t="str">
        <f>TRIM(ETLMetadata!$H87)</f>
        <v>StringType()</v>
      </c>
      <c r="E87" s="7" t="str">
        <f t="shared" si="8"/>
        <v>CLK_CIRC_RES_RSEV</v>
      </c>
      <c r="F87" s="7" t="str">
        <f t="shared" si="10"/>
        <v>AMR1_RISL_DTS</v>
      </c>
      <c r="G87" s="7" t="s">
        <v>825</v>
      </c>
      <c r="H87" s="7" t="str">
        <f t="shared" si="11"/>
        <v>CLK_CIRC_RES_RSEV</v>
      </c>
      <c r="I87" s="7" t="str">
        <f t="shared" si="12"/>
        <v>AMR1_RISL_DTS</v>
      </c>
      <c r="J87" s="7" t="str">
        <f t="shared" si="13"/>
        <v>TIMESTAMP</v>
      </c>
      <c r="K87" s="7" t="str">
        <f>TRIM(ETLMetadata!$G87)</f>
        <v>TIMESTAMP(6)</v>
      </c>
      <c r="L87" s="7" t="str">
        <f>TRIM(ETLMetadata!$I87)</f>
        <v>YYYY-MM-DDBHH:MI:SS.S(6)</v>
      </c>
      <c r="M87" s="7" t="str">
        <f t="shared" si="14"/>
        <v>TO_TIMESTAMP_NTZ(NULLIF(TRIM(AMR1_RISL_DTS),''),'YYYY-MM-DD HH24:MI:SS.FF6')</v>
      </c>
      <c r="N87" s="7" t="str">
        <f>TRIM(ETLMetadata!$J87)</f>
        <v/>
      </c>
      <c r="O87" s="8" t="str">
        <f>IF(TRIM(Classification!$G87)="","NOT CONFIDENTIAL",TRIM(Classification!$G87))</f>
        <v>NOT CONFIDENTIAL</v>
      </c>
      <c r="P87" s="7" t="str">
        <f t="shared" si="15"/>
        <v>Y</v>
      </c>
      <c r="Q87" s="7" t="s">
        <v>826</v>
      </c>
      <c r="R87" s="9">
        <v>2958465</v>
      </c>
      <c r="S87" s="7" t="s">
        <v>827</v>
      </c>
      <c r="T87" s="7" t="s">
        <v>828</v>
      </c>
      <c r="U87" s="7" t="str">
        <f t="shared" si="9"/>
        <v>CLK_CIRC_RES_RSEV_V</v>
      </c>
      <c r="V87" s="7" t="s">
        <v>829</v>
      </c>
    </row>
    <row r="88" spans="1:22">
      <c r="A88" s="7" t="str">
        <f>TRIM(ETLMetadata!$B88)</f>
        <v>CLK</v>
      </c>
      <c r="B88" s="7" t="str">
        <f>TRIM(ETLMetadata!$C88)</f>
        <v>CIRC_RES_RSEV</v>
      </c>
      <c r="C88" s="7" t="str">
        <f>TRIM(ETLMetadata!$F88)</f>
        <v>AMR3_RISL_DTS</v>
      </c>
      <c r="D88" s="7" t="str">
        <f>TRIM(ETLMetadata!$H88)</f>
        <v>StringType()</v>
      </c>
      <c r="E88" s="7" t="str">
        <f t="shared" si="8"/>
        <v>CLK_CIRC_RES_RSEV</v>
      </c>
      <c r="F88" s="7" t="str">
        <f t="shared" si="10"/>
        <v>AMR3_RISL_DTS</v>
      </c>
      <c r="G88" s="7" t="s">
        <v>825</v>
      </c>
      <c r="H88" s="7" t="str">
        <f t="shared" si="11"/>
        <v>CLK_CIRC_RES_RSEV</v>
      </c>
      <c r="I88" s="7" t="str">
        <f t="shared" si="12"/>
        <v>AMR3_RISL_DTS</v>
      </c>
      <c r="J88" s="7" t="str">
        <f t="shared" si="13"/>
        <v>TIMESTAMP</v>
      </c>
      <c r="K88" s="7" t="str">
        <f>TRIM(ETLMetadata!$G88)</f>
        <v>TIMESTAMP(6)</v>
      </c>
      <c r="L88" s="7" t="str">
        <f>TRIM(ETLMetadata!$I88)</f>
        <v>YYYY-MM-DDBHH:MI:SS.S(6)</v>
      </c>
      <c r="M88" s="7" t="str">
        <f t="shared" si="14"/>
        <v>TO_TIMESTAMP_NTZ(NULLIF(TRIM(AMR3_RISL_DTS),''),'YYYY-MM-DD HH24:MI:SS.FF6')</v>
      </c>
      <c r="N88" s="7" t="str">
        <f>TRIM(ETLMetadata!$J88)</f>
        <v/>
      </c>
      <c r="O88" s="8" t="str">
        <f>IF(TRIM(Classification!$G88)="","NOT CONFIDENTIAL",TRIM(Classification!$G88))</f>
        <v>NOT CONFIDENTIAL</v>
      </c>
      <c r="P88" s="7" t="str">
        <f t="shared" si="15"/>
        <v>Y</v>
      </c>
      <c r="Q88" s="7" t="s">
        <v>826</v>
      </c>
      <c r="R88" s="9">
        <v>2958465</v>
      </c>
      <c r="S88" s="7" t="s">
        <v>827</v>
      </c>
      <c r="T88" s="7" t="s">
        <v>828</v>
      </c>
      <c r="U88" s="7" t="str">
        <f t="shared" si="9"/>
        <v>CLK_CIRC_RES_RSEV_V</v>
      </c>
      <c r="V88" s="7" t="s">
        <v>829</v>
      </c>
    </row>
    <row r="89" spans="1:22">
      <c r="A89" s="7" t="str">
        <f>TRIM(ETLMetadata!$B89)</f>
        <v>CLK</v>
      </c>
      <c r="B89" s="7" t="str">
        <f>TRIM(ETLMetadata!$C89)</f>
        <v>CIRC_RES_RSEV</v>
      </c>
      <c r="C89" s="7" t="str">
        <f>TRIM(ETLMetadata!$F89)</f>
        <v>PARTY_ID</v>
      </c>
      <c r="D89" s="7" t="str">
        <f>TRIM(ETLMetadata!$H89)</f>
        <v>StringType()</v>
      </c>
      <c r="E89" s="7" t="str">
        <f t="shared" si="8"/>
        <v>CLK_CIRC_RES_RSEV</v>
      </c>
      <c r="F89" s="7" t="str">
        <f t="shared" si="10"/>
        <v>PARTY_ID</v>
      </c>
      <c r="G89" s="7" t="s">
        <v>825</v>
      </c>
      <c r="H89" s="7" t="str">
        <f t="shared" si="11"/>
        <v>CLK_CIRC_RES_RSEV</v>
      </c>
      <c r="I89" s="7" t="str">
        <f t="shared" si="12"/>
        <v>PARTY_ID</v>
      </c>
      <c r="J89" s="7" t="str">
        <f t="shared" si="13"/>
        <v>INTEGER</v>
      </c>
      <c r="K89" s="7" t="str">
        <f>TRIM(ETLMetadata!$G89)</f>
        <v>INTEGER</v>
      </c>
      <c r="L89" s="7" t="str">
        <f>TRIM(ETLMetadata!$I89)</f>
        <v/>
      </c>
      <c r="M89" s="7" t="str">
        <f t="shared" si="14"/>
        <v>CAST(NULLIF(TRIM(PARTY_ID),'') AS INTEGER)</v>
      </c>
      <c r="N89" s="7" t="str">
        <f>TRIM(ETLMetadata!$J89)</f>
        <v/>
      </c>
      <c r="O89" s="8" t="str">
        <f>IF(TRIM(Classification!$G89)="","NOT CONFIDENTIAL",TRIM(Classification!$G89))</f>
        <v>NOT CONFIDENTIAL</v>
      </c>
      <c r="P89" s="7" t="str">
        <f t="shared" si="15"/>
        <v>Y</v>
      </c>
      <c r="Q89" s="7" t="s">
        <v>826</v>
      </c>
      <c r="R89" s="9">
        <v>2958465</v>
      </c>
      <c r="S89" s="7" t="s">
        <v>827</v>
      </c>
      <c r="T89" s="7" t="s">
        <v>828</v>
      </c>
      <c r="U89" s="7" t="str">
        <f t="shared" si="9"/>
        <v>CLK_CIRC_RES_RSEV_V</v>
      </c>
      <c r="V89" s="7" t="s">
        <v>829</v>
      </c>
    </row>
    <row r="90" spans="1:22">
      <c r="A90" s="7" t="str">
        <f>TRIM(ETLMetadata!$B90)</f>
        <v>CLK</v>
      </c>
      <c r="B90" s="7" t="str">
        <f>TRIM(ETLMetadata!$C90)</f>
        <v>CIRC_RES_RSEV</v>
      </c>
      <c r="C90" s="7" t="str">
        <f>TRIM(ETLMetadata!$F90)</f>
        <v>PARTY_ROLE_ID</v>
      </c>
      <c r="D90" s="7" t="str">
        <f>TRIM(ETLMetadata!$H90)</f>
        <v>StringType()</v>
      </c>
      <c r="E90" s="7" t="str">
        <f t="shared" si="8"/>
        <v>CLK_CIRC_RES_RSEV</v>
      </c>
      <c r="F90" s="7" t="str">
        <f t="shared" si="10"/>
        <v>PARTY_ROLE_ID</v>
      </c>
      <c r="G90" s="7" t="s">
        <v>825</v>
      </c>
      <c r="H90" s="7" t="str">
        <f t="shared" si="11"/>
        <v>CLK_CIRC_RES_RSEV</v>
      </c>
      <c r="I90" s="7" t="str">
        <f t="shared" si="12"/>
        <v>PARTY_ROLE_ID</v>
      </c>
      <c r="J90" s="7" t="str">
        <f t="shared" si="13"/>
        <v>INTEGER</v>
      </c>
      <c r="K90" s="7" t="str">
        <f>TRIM(ETLMetadata!$G90)</f>
        <v>INTEGER</v>
      </c>
      <c r="L90" s="7" t="str">
        <f>TRIM(ETLMetadata!$I90)</f>
        <v/>
      </c>
      <c r="M90" s="7" t="str">
        <f t="shared" si="14"/>
        <v>CAST(NULLIF(TRIM(PARTY_ROLE_ID),'') AS INTEGER)</v>
      </c>
      <c r="N90" s="7" t="str">
        <f>TRIM(ETLMetadata!$J90)</f>
        <v/>
      </c>
      <c r="O90" s="8" t="str">
        <f>IF(TRIM(Classification!$G90)="","NOT CONFIDENTIAL",TRIM(Classification!$G90))</f>
        <v>NOT CONFIDENTIAL</v>
      </c>
      <c r="P90" s="7" t="str">
        <f t="shared" si="15"/>
        <v>Y</v>
      </c>
      <c r="Q90" s="7" t="s">
        <v>826</v>
      </c>
      <c r="R90" s="9">
        <v>2958465</v>
      </c>
      <c r="S90" s="7" t="s">
        <v>827</v>
      </c>
      <c r="T90" s="7" t="s">
        <v>828</v>
      </c>
      <c r="U90" s="7" t="str">
        <f t="shared" si="9"/>
        <v>CLK_CIRC_RES_RSEV_V</v>
      </c>
      <c r="V90" s="7" t="s">
        <v>829</v>
      </c>
    </row>
    <row r="91" spans="1:22">
      <c r="A91" s="7" t="str">
        <f>TRIM(ETLMetadata!$B91)</f>
        <v>CLK</v>
      </c>
      <c r="B91" s="7" t="str">
        <f>TRIM(ETLMetadata!$C91)</f>
        <v>CIRC_RES_RSEV</v>
      </c>
      <c r="C91" s="7" t="str">
        <f>TRIM(ETLMetadata!$F91)</f>
        <v>ERROR_COUNT</v>
      </c>
      <c r="D91" s="7" t="str">
        <f>TRIM(ETLMetadata!$H91)</f>
        <v>StringType()</v>
      </c>
      <c r="E91" s="7" t="str">
        <f t="shared" si="8"/>
        <v>CLK_CIRC_RES_RSEV</v>
      </c>
      <c r="F91" s="7" t="str">
        <f t="shared" si="10"/>
        <v>ERROR_COUNT</v>
      </c>
      <c r="G91" s="7" t="s">
        <v>825</v>
      </c>
      <c r="H91" s="7" t="str">
        <f t="shared" si="11"/>
        <v>CLK_CIRC_RES_RSEV</v>
      </c>
      <c r="I91" s="7" t="str">
        <f t="shared" si="12"/>
        <v>ERROR_COUNT</v>
      </c>
      <c r="J91" s="7" t="str">
        <f t="shared" si="13"/>
        <v>SMALLINT</v>
      </c>
      <c r="K91" s="7" t="str">
        <f>TRIM(ETLMetadata!$G91)</f>
        <v>SMALLINT</v>
      </c>
      <c r="L91" s="7" t="str">
        <f>TRIM(ETLMetadata!$I91)</f>
        <v/>
      </c>
      <c r="M91" s="7" t="str">
        <f t="shared" si="14"/>
        <v>CAST(NULLIF(TRIM(ERROR_COUNT),'') AS SMALLINT)</v>
      </c>
      <c r="N91" s="7" t="str">
        <f>TRIM(ETLMetadata!$J91)</f>
        <v/>
      </c>
      <c r="O91" s="8" t="str">
        <f>IF(TRIM(Classification!$G91)="","NOT CONFIDENTIAL",TRIM(Classification!$G91))</f>
        <v>NOT CONFIDENTIAL</v>
      </c>
      <c r="P91" s="7" t="str">
        <f t="shared" si="15"/>
        <v>Y</v>
      </c>
      <c r="Q91" s="7" t="s">
        <v>826</v>
      </c>
      <c r="R91" s="9">
        <v>2958465</v>
      </c>
      <c r="S91" s="7" t="s">
        <v>827</v>
      </c>
      <c r="T91" s="7" t="s">
        <v>828</v>
      </c>
      <c r="U91" s="7" t="str">
        <f t="shared" si="9"/>
        <v>CLK_CIRC_RES_RSEV_V</v>
      </c>
      <c r="V91" s="7" t="s">
        <v>829</v>
      </c>
    </row>
    <row r="92" spans="1:22">
      <c r="A92" s="7" t="str">
        <f>TRIM(ETLMetadata!$B92)</f>
        <v>CLK</v>
      </c>
      <c r="B92" s="7" t="str">
        <f>TRIM(ETLMetadata!$C92)</f>
        <v>CIRC_RES_RSEV</v>
      </c>
      <c r="C92" s="7" t="str">
        <f>TRIM(ETLMetadata!$F92)</f>
        <v>Start_Date</v>
      </c>
      <c r="D92" s="7" t="str">
        <f>TRIM(ETLMetadata!$H92)</f>
        <v>StringType()</v>
      </c>
      <c r="E92" s="7" t="str">
        <f t="shared" si="8"/>
        <v>CLK_CIRC_RES_RSEV</v>
      </c>
      <c r="F92" s="7" t="str">
        <f t="shared" si="10"/>
        <v>STRT_DT</v>
      </c>
      <c r="G92" s="7" t="s">
        <v>825</v>
      </c>
      <c r="H92" s="7" t="str">
        <f t="shared" si="11"/>
        <v>CLK_CIRC_RES_RSEV</v>
      </c>
      <c r="I92" s="7" t="str">
        <f t="shared" si="12"/>
        <v>STRT_DT</v>
      </c>
      <c r="J92" s="7" t="str">
        <f t="shared" si="13"/>
        <v>DATE</v>
      </c>
      <c r="K92" s="7" t="str">
        <f>TRIM(ETLMetadata!$G92)</f>
        <v>DATE</v>
      </c>
      <c r="L92" s="7" t="str">
        <f>TRIM(ETLMetadata!$I92)</f>
        <v>YYYY-MM-DD</v>
      </c>
      <c r="M92" s="7" t="str">
        <f t="shared" si="14"/>
        <v>TO_DATE(NULLIF(TRIM(STRT_DT),'') , 'YYYY-MM-DD')</v>
      </c>
      <c r="N92" s="7" t="str">
        <f>TRIM(ETLMetadata!$J92)</f>
        <v/>
      </c>
      <c r="O92" s="8" t="str">
        <f>IF(TRIM(Classification!$G92)="","NOT CONFIDENTIAL",TRIM(Classification!$G92))</f>
        <v>NOT CONFIDENTIAL</v>
      </c>
      <c r="P92" s="7" t="str">
        <f t="shared" si="15"/>
        <v>N</v>
      </c>
      <c r="Q92" s="7" t="s">
        <v>826</v>
      </c>
      <c r="R92" s="9">
        <v>2958465</v>
      </c>
      <c r="S92" s="7" t="s">
        <v>827</v>
      </c>
      <c r="T92" s="7" t="s">
        <v>828</v>
      </c>
      <c r="U92" s="7" t="str">
        <f t="shared" si="9"/>
        <v>CLK_CIRC_RES_RSEV_V</v>
      </c>
      <c r="V92" s="7" t="s">
        <v>829</v>
      </c>
    </row>
    <row r="93" spans="1:22">
      <c r="A93" s="7" t="str">
        <f>TRIM(ETLMetadata!$B93)</f>
        <v>CLK</v>
      </c>
      <c r="B93" s="7" t="str">
        <f>TRIM(ETLMetadata!$C93)</f>
        <v>CIRC_RES_RSEV</v>
      </c>
      <c r="C93" s="7" t="str">
        <f>TRIM(ETLMetadata!$F93)</f>
        <v>End_Date</v>
      </c>
      <c r="D93" s="7" t="str">
        <f>TRIM(ETLMetadata!$H93)</f>
        <v>StringType()</v>
      </c>
      <c r="E93" s="7" t="str">
        <f t="shared" si="8"/>
        <v>CLK_CIRC_RES_RSEV</v>
      </c>
      <c r="F93" s="7" t="str">
        <f t="shared" si="10"/>
        <v>END_DT</v>
      </c>
      <c r="G93" s="7" t="s">
        <v>825</v>
      </c>
      <c r="H93" s="7" t="str">
        <f t="shared" si="11"/>
        <v>CLK_CIRC_RES_RSEV</v>
      </c>
      <c r="I93" s="7" t="str">
        <f t="shared" si="12"/>
        <v>END_DT</v>
      </c>
      <c r="J93" s="7" t="str">
        <f t="shared" si="13"/>
        <v>DATE</v>
      </c>
      <c r="K93" s="7" t="str">
        <f>TRIM(ETLMetadata!$G93)</f>
        <v>DATE</v>
      </c>
      <c r="L93" s="7" t="str">
        <f>TRIM(ETLMetadata!$I93)</f>
        <v>YYYY-MM-DD</v>
      </c>
      <c r="M93" s="7" t="str">
        <f t="shared" si="14"/>
        <v>TO_DATE(NULLIF(TRIM(END_DT),'') , 'YYYY-MM-DD')</v>
      </c>
      <c r="N93" s="7" t="str">
        <f>TRIM(ETLMetadata!$J93)</f>
        <v/>
      </c>
      <c r="O93" s="8" t="str">
        <f>IF(TRIM(Classification!$G93)="","NOT CONFIDENTIAL",TRIM(Classification!$G93))</f>
        <v>NOT CONFIDENTIAL</v>
      </c>
      <c r="P93" s="7" t="str">
        <f t="shared" si="15"/>
        <v>N</v>
      </c>
      <c r="Q93" s="7" t="s">
        <v>826</v>
      </c>
      <c r="R93" s="9">
        <v>2958465</v>
      </c>
      <c r="S93" s="7" t="s">
        <v>827</v>
      </c>
      <c r="T93" s="7" t="s">
        <v>828</v>
      </c>
      <c r="U93" s="7" t="str">
        <f t="shared" si="9"/>
        <v>CLK_CIRC_RES_RSEV_V</v>
      </c>
      <c r="V93" s="7" t="s">
        <v>829</v>
      </c>
    </row>
    <row r="94" spans="1:22">
      <c r="A94" s="7" t="str">
        <f>TRIM(ETLMetadata!$B94)</f>
        <v>CLK</v>
      </c>
      <c r="B94" s="7" t="str">
        <f>TRIM(ETLMetadata!$C94)</f>
        <v>CIRC_RES_RSEV</v>
      </c>
      <c r="C94" s="7" t="str">
        <f>TRIM(ETLMetadata!$F94)</f>
        <v>Record_Deleted_Flag</v>
      </c>
      <c r="D94" s="7" t="str">
        <f>TRIM(ETLMetadata!$H94)</f>
        <v>StringType()</v>
      </c>
      <c r="E94" s="7" t="str">
        <f t="shared" si="8"/>
        <v>CLK_CIRC_RES_RSEV</v>
      </c>
      <c r="F94" s="7" t="str">
        <f t="shared" si="10"/>
        <v>RCRD_DEL_IND</v>
      </c>
      <c r="G94" s="7" t="s">
        <v>825</v>
      </c>
      <c r="H94" s="7" t="str">
        <f t="shared" si="11"/>
        <v>CLK_CIRC_RES_RSEV</v>
      </c>
      <c r="I94" s="7" t="str">
        <f t="shared" si="12"/>
        <v>RCRD_DEL_IND</v>
      </c>
      <c r="J94" s="7" t="str">
        <f t="shared" si="13"/>
        <v>SMALLINT</v>
      </c>
      <c r="K94" s="7" t="str">
        <f>TRIM(ETLMetadata!$G94)</f>
        <v>BYTEINT</v>
      </c>
      <c r="L94" s="7" t="str">
        <f>TRIM(ETLMetadata!$I94)</f>
        <v/>
      </c>
      <c r="M94" s="7" t="str">
        <f t="shared" si="14"/>
        <v>CAST(NULLIF(TRIM(RCRD_DEL_IND),'') AS SMALLINT)</v>
      </c>
      <c r="N94" s="7" t="str">
        <f>TRIM(ETLMetadata!$J94)</f>
        <v/>
      </c>
      <c r="O94" s="8" t="str">
        <f>IF(TRIM(Classification!$G94)="","NOT CONFIDENTIAL",TRIM(Classification!$G94))</f>
        <v>NOT CONFIDENTIAL</v>
      </c>
      <c r="P94" s="7" t="str">
        <f t="shared" si="15"/>
        <v>N</v>
      </c>
      <c r="Q94" s="7" t="s">
        <v>826</v>
      </c>
      <c r="R94" s="9">
        <v>2958465</v>
      </c>
      <c r="S94" s="7" t="s">
        <v>827</v>
      </c>
      <c r="T94" s="7" t="s">
        <v>828</v>
      </c>
      <c r="U94" s="7" t="str">
        <f t="shared" si="9"/>
        <v>CLK_CIRC_RES_RSEV_V</v>
      </c>
      <c r="V94" s="7" t="s">
        <v>829</v>
      </c>
    </row>
    <row r="95" spans="1:22">
      <c r="A95" s="7" t="str">
        <f>TRIM(ETLMetadata!$B95)</f>
        <v>CLK</v>
      </c>
      <c r="B95" s="7" t="str">
        <f>TRIM(ETLMetadata!$C95)</f>
        <v>CIRD_NREL_NONO</v>
      </c>
      <c r="C95" s="7" t="str">
        <f>TRIM(ETLMetadata!$F95)</f>
        <v>EXTRACT_DATE</v>
      </c>
      <c r="D95" s="7" t="str">
        <f>TRIM(ETLMetadata!$H95)</f>
        <v>StringType()</v>
      </c>
      <c r="E95" s="7" t="str">
        <f t="shared" ref="E95:E158" si="16">CONCATENATE($A95,"_",B95)</f>
        <v>CLK_CIRD_NREL_NONO</v>
      </c>
      <c r="F95" s="7" t="str">
        <f t="shared" si="10"/>
        <v>EXTRACT_DATE</v>
      </c>
      <c r="G95" s="7" t="s">
        <v>825</v>
      </c>
      <c r="H95" s="7" t="str">
        <f t="shared" si="11"/>
        <v>CLK_CIRD_NREL_NONO</v>
      </c>
      <c r="I95" s="7" t="str">
        <f t="shared" si="12"/>
        <v>EXTRACT_DATE</v>
      </c>
      <c r="J95" s="7" t="str">
        <f t="shared" si="13"/>
        <v>DATE</v>
      </c>
      <c r="K95" s="7" t="str">
        <f>TRIM(ETLMetadata!$G95)</f>
        <v>DATE</v>
      </c>
      <c r="L95" s="7" t="str">
        <f>TRIM(ETLMetadata!$I95)</f>
        <v>YYYY-MM-DD</v>
      </c>
      <c r="M95" s="7" t="str">
        <f t="shared" si="14"/>
        <v>TO_DATE(NULLIF(TRIM(EXTRACT_DATE),'') , 'YYYY-MM-DD')</v>
      </c>
      <c r="N95" s="7" t="str">
        <f>TRIM(ETLMetadata!$J95)</f>
        <v/>
      </c>
      <c r="O95" s="8" t="str">
        <f>IF(TRIM(Classification!$G95)="","NOT CONFIDENTIAL",TRIM(Classification!$G95))</f>
        <v>NOT CONFIDENTIAL</v>
      </c>
      <c r="P95" s="7" t="str">
        <f t="shared" si="15"/>
        <v>Y</v>
      </c>
      <c r="Q95" s="7" t="s">
        <v>826</v>
      </c>
      <c r="R95" s="9">
        <v>2958465</v>
      </c>
      <c r="S95" s="7" t="s">
        <v>827</v>
      </c>
      <c r="T95" s="7" t="s">
        <v>828</v>
      </c>
      <c r="U95" s="7" t="str">
        <f t="shared" ref="U95:U158" si="17">CONCATENATE(A95,"_",B95,"_V")</f>
        <v>CLK_CIRD_NREL_NONO_V</v>
      </c>
      <c r="V95" s="7" t="s">
        <v>829</v>
      </c>
    </row>
    <row r="96" spans="1:22">
      <c r="A96" s="7" t="str">
        <f>TRIM(ETLMetadata!$B96)</f>
        <v>CLK</v>
      </c>
      <c r="B96" s="7" t="str">
        <f>TRIM(ETLMetadata!$C96)</f>
        <v>CIRD_NREL_NONO</v>
      </c>
      <c r="C96" s="7" t="str">
        <f>TRIM(ETLMetadata!$F96)</f>
        <v>LOGICAL_DELETE_DATE</v>
      </c>
      <c r="D96" s="7" t="str">
        <f>TRIM(ETLMetadata!$H96)</f>
        <v>StringType()</v>
      </c>
      <c r="E96" s="7" t="str">
        <f t="shared" si="16"/>
        <v>CLK_CIRD_NREL_NONO</v>
      </c>
      <c r="F96" s="7" t="str">
        <f t="shared" si="10"/>
        <v>LOGICAL_DELETE_DATE</v>
      </c>
      <c r="G96" s="7" t="s">
        <v>825</v>
      </c>
      <c r="H96" s="7" t="str">
        <f t="shared" si="11"/>
        <v>CLK_CIRD_NREL_NONO</v>
      </c>
      <c r="I96" s="7" t="str">
        <f t="shared" si="12"/>
        <v>LOGICAL_DELETE_DATE</v>
      </c>
      <c r="J96" s="7" t="str">
        <f t="shared" si="13"/>
        <v>DATE</v>
      </c>
      <c r="K96" s="7" t="str">
        <f>TRIM(ETLMetadata!$G96)</f>
        <v>DATE</v>
      </c>
      <c r="L96" s="7" t="str">
        <f>TRIM(ETLMetadata!$I96)</f>
        <v>YYYY-MM-DD</v>
      </c>
      <c r="M96" s="7" t="str">
        <f t="shared" si="14"/>
        <v>TO_DATE(NULLIF(TRIM(LOGICAL_DELETE_DATE),'') , 'YYYY-MM-DD')</v>
      </c>
      <c r="N96" s="7" t="str">
        <f>TRIM(ETLMetadata!$J96)</f>
        <v/>
      </c>
      <c r="O96" s="8" t="str">
        <f>IF(TRIM(Classification!$G96)="","NOT CONFIDENTIAL",TRIM(Classification!$G96))</f>
        <v>NOT CONFIDENTIAL</v>
      </c>
      <c r="P96" s="7" t="str">
        <f t="shared" si="15"/>
        <v>Y</v>
      </c>
      <c r="Q96" s="7" t="s">
        <v>826</v>
      </c>
      <c r="R96" s="9">
        <v>2958465</v>
      </c>
      <c r="S96" s="7" t="s">
        <v>827</v>
      </c>
      <c r="T96" s="7" t="s">
        <v>828</v>
      </c>
      <c r="U96" s="7" t="str">
        <f t="shared" si="17"/>
        <v>CLK_CIRD_NREL_NONO_V</v>
      </c>
      <c r="V96" s="7" t="s">
        <v>829</v>
      </c>
    </row>
    <row r="97" spans="1:22">
      <c r="A97" s="7" t="str">
        <f>TRIM(ETLMetadata!$B97)</f>
        <v>CLK</v>
      </c>
      <c r="B97" s="7" t="str">
        <f>TRIM(ETLMetadata!$C97)</f>
        <v>CIRD_NREL_NONO</v>
      </c>
      <c r="C97" s="7" t="str">
        <f>TRIM(ETLMetadata!$F97)</f>
        <v>ENVIRONMENT_ID</v>
      </c>
      <c r="D97" s="7" t="str">
        <f>TRIM(ETLMetadata!$H97)</f>
        <v>StringType()</v>
      </c>
      <c r="E97" s="7" t="str">
        <f t="shared" si="16"/>
        <v>CLK_CIRD_NREL_NONO</v>
      </c>
      <c r="F97" s="7" t="str">
        <f t="shared" si="10"/>
        <v>ENVIRONMENT_ID</v>
      </c>
      <c r="G97" s="7" t="s">
        <v>825</v>
      </c>
      <c r="H97" s="7" t="str">
        <f t="shared" si="11"/>
        <v>CLK_CIRD_NREL_NONO</v>
      </c>
      <c r="I97" s="7" t="str">
        <f t="shared" si="12"/>
        <v>ENVIRONMENT_ID</v>
      </c>
      <c r="J97" s="7" t="str">
        <f t="shared" si="13"/>
        <v>VARCHAR</v>
      </c>
      <c r="K97" s="7" t="str">
        <f>TRIM(ETLMetadata!$G97)</f>
        <v>CHAR(1)</v>
      </c>
      <c r="L97" s="7" t="str">
        <f>TRIM(ETLMetadata!$I97)</f>
        <v/>
      </c>
      <c r="M97" s="7" t="str">
        <f t="shared" si="14"/>
        <v>NULLIF(TRIM(ENVIRONMENT_ID),'')</v>
      </c>
      <c r="N97" s="7" t="str">
        <f>TRIM(ETLMetadata!$J97)</f>
        <v>Y</v>
      </c>
      <c r="O97" s="8" t="str">
        <f>IF(TRIM(Classification!$G97)="","NOT CONFIDENTIAL",TRIM(Classification!$G97))</f>
        <v>NOT CONFIDENTIAL</v>
      </c>
      <c r="P97" s="7" t="str">
        <f t="shared" si="15"/>
        <v>Y</v>
      </c>
      <c r="Q97" s="7" t="s">
        <v>826</v>
      </c>
      <c r="R97" s="9">
        <v>2958465</v>
      </c>
      <c r="S97" s="7" t="s">
        <v>827</v>
      </c>
      <c r="T97" s="7" t="s">
        <v>828</v>
      </c>
      <c r="U97" s="7" t="str">
        <f t="shared" si="17"/>
        <v>CLK_CIRD_NREL_NONO_V</v>
      </c>
      <c r="V97" s="7" t="s">
        <v>829</v>
      </c>
    </row>
    <row r="98" spans="1:22">
      <c r="A98" s="7" t="str">
        <f>TRIM(ETLMetadata!$B98)</f>
        <v>CLK</v>
      </c>
      <c r="B98" s="7" t="str">
        <f>TRIM(ETLMetadata!$C98)</f>
        <v>CIRD_NREL_NONO</v>
      </c>
      <c r="C98" s="7" t="str">
        <f>TRIM(ETLMetadata!$F98)</f>
        <v>PERSON_ID</v>
      </c>
      <c r="D98" s="7" t="str">
        <f>TRIM(ETLMetadata!$H98)</f>
        <v>StringType()</v>
      </c>
      <c r="E98" s="7" t="str">
        <f t="shared" si="16"/>
        <v>CLK_CIRD_NREL_NONO</v>
      </c>
      <c r="F98" s="7" t="str">
        <f t="shared" si="10"/>
        <v>PERSON_ID</v>
      </c>
      <c r="G98" s="7" t="s">
        <v>825</v>
      </c>
      <c r="H98" s="7" t="str">
        <f t="shared" si="11"/>
        <v>CLK_CIRD_NREL_NONO</v>
      </c>
      <c r="I98" s="7" t="str">
        <f t="shared" si="12"/>
        <v>PERSON_ID</v>
      </c>
      <c r="J98" s="7" t="str">
        <f t="shared" si="13"/>
        <v>INTEGER</v>
      </c>
      <c r="K98" s="7" t="str">
        <f>TRIM(ETLMetadata!$G98)</f>
        <v>INTEGER</v>
      </c>
      <c r="L98" s="7" t="str">
        <f>TRIM(ETLMetadata!$I98)</f>
        <v/>
      </c>
      <c r="M98" s="7" t="str">
        <f t="shared" si="14"/>
        <v>CAST(NULLIF(TRIM(PERSON_ID),'') AS INTEGER)</v>
      </c>
      <c r="N98" s="7" t="str">
        <f>TRIM(ETLMetadata!$J98)</f>
        <v>Y</v>
      </c>
      <c r="O98" s="8" t="str">
        <f>IF(TRIM(Classification!$G98)="","NOT CONFIDENTIAL",TRIM(Classification!$G98))</f>
        <v>PERSONAL_IDENTITYINFOINDIRECT</v>
      </c>
      <c r="P98" s="7" t="str">
        <f t="shared" si="15"/>
        <v>Y</v>
      </c>
      <c r="Q98" s="7" t="s">
        <v>826</v>
      </c>
      <c r="R98" s="9">
        <v>2958465</v>
      </c>
      <c r="S98" s="7" t="s">
        <v>827</v>
      </c>
      <c r="T98" s="7" t="s">
        <v>828</v>
      </c>
      <c r="U98" s="7" t="str">
        <f t="shared" si="17"/>
        <v>CLK_CIRD_NREL_NONO_V</v>
      </c>
      <c r="V98" s="7" t="s">
        <v>829</v>
      </c>
    </row>
    <row r="99" spans="1:22">
      <c r="A99" s="7" t="str">
        <f>TRIM(ETLMetadata!$B99)</f>
        <v>CLK</v>
      </c>
      <c r="B99" s="7" t="str">
        <f>TRIM(ETLMetadata!$C99)</f>
        <v>CIRD_NREL_NONO</v>
      </c>
      <c r="C99" s="7" t="str">
        <f>TRIM(ETLMetadata!$F99)</f>
        <v>SRC_PERSON_ID</v>
      </c>
      <c r="D99" s="7" t="str">
        <f>TRIM(ETLMetadata!$H99)</f>
        <v>StringType()</v>
      </c>
      <c r="E99" s="7" t="str">
        <f t="shared" si="16"/>
        <v>CLK_CIRD_NREL_NONO</v>
      </c>
      <c r="F99" s="7" t="str">
        <f t="shared" si="10"/>
        <v>SRC_PERSON_ID</v>
      </c>
      <c r="G99" s="7" t="s">
        <v>825</v>
      </c>
      <c r="H99" s="7" t="str">
        <f t="shared" si="11"/>
        <v>CLK_CIRD_NREL_NONO</v>
      </c>
      <c r="I99" s="7" t="str">
        <f t="shared" si="12"/>
        <v>SRC_PERSON_ID</v>
      </c>
      <c r="J99" s="7" t="str">
        <f t="shared" si="13"/>
        <v>INTEGER</v>
      </c>
      <c r="K99" s="7" t="str">
        <f>TRIM(ETLMetadata!$G99)</f>
        <v>INTEGER</v>
      </c>
      <c r="L99" s="7" t="str">
        <f>TRIM(ETLMetadata!$I99)</f>
        <v/>
      </c>
      <c r="M99" s="7" t="str">
        <f t="shared" si="14"/>
        <v>CAST(NULLIF(TRIM(SRC_PERSON_ID),'') AS INTEGER)</v>
      </c>
      <c r="N99" s="7" t="str">
        <f>TRIM(ETLMetadata!$J99)</f>
        <v>Y</v>
      </c>
      <c r="O99" s="8" t="str">
        <f>IF(TRIM(Classification!$G99)="","NOT CONFIDENTIAL",TRIM(Classification!$G99))</f>
        <v>PERSONAL_IDENTITYINFOINDIRECT</v>
      </c>
      <c r="P99" s="7" t="str">
        <f t="shared" si="15"/>
        <v>Y</v>
      </c>
      <c r="Q99" s="7" t="s">
        <v>826</v>
      </c>
      <c r="R99" s="9">
        <v>2958465</v>
      </c>
      <c r="S99" s="7" t="s">
        <v>827</v>
      </c>
      <c r="T99" s="7" t="s">
        <v>828</v>
      </c>
      <c r="U99" s="7" t="str">
        <f t="shared" si="17"/>
        <v>CLK_CIRD_NREL_NONO_V</v>
      </c>
      <c r="V99" s="7" t="s">
        <v>829</v>
      </c>
    </row>
    <row r="100" spans="1:22">
      <c r="A100" s="7" t="str">
        <f>TRIM(ETLMetadata!$B100)</f>
        <v>CLK</v>
      </c>
      <c r="B100" s="7" t="str">
        <f>TRIM(ETLMetadata!$C100)</f>
        <v>CIRD_NREL_NONO</v>
      </c>
      <c r="C100" s="7" t="str">
        <f>TRIM(ETLMetadata!$F100)</f>
        <v>NONO_DOE</v>
      </c>
      <c r="D100" s="7" t="str">
        <f>TRIM(ETLMetadata!$H100)</f>
        <v>StringType()</v>
      </c>
      <c r="E100" s="7" t="str">
        <f t="shared" si="16"/>
        <v>CLK_CIRD_NREL_NONO</v>
      </c>
      <c r="F100" s="7" t="str">
        <f t="shared" si="10"/>
        <v>NONO_DOE</v>
      </c>
      <c r="G100" s="7" t="s">
        <v>825</v>
      </c>
      <c r="H100" s="7" t="str">
        <f t="shared" si="11"/>
        <v>CLK_CIRD_NREL_NONO</v>
      </c>
      <c r="I100" s="7" t="str">
        <f t="shared" si="12"/>
        <v>NONO_DOE</v>
      </c>
      <c r="J100" s="7" t="str">
        <f t="shared" si="13"/>
        <v>DATE</v>
      </c>
      <c r="K100" s="17" t="s">
        <v>80</v>
      </c>
      <c r="L100" s="7" t="str">
        <f>TRIM(ETLMetadata!$I100)</f>
        <v>YYYY-MM-DD</v>
      </c>
      <c r="M100" s="7" t="str">
        <f t="shared" si="14"/>
        <v>TO_DATE(NULLIF(TRIM(NONO_DOE),'') , 'YYYY-MM-DD')</v>
      </c>
      <c r="N100" s="7" t="str">
        <f>TRIM(ETLMetadata!$J100)</f>
        <v/>
      </c>
      <c r="O100" s="8" t="str">
        <f>IF(TRIM(Classification!$G100)="","NOT CONFIDENTIAL",TRIM(Classification!$G100))</f>
        <v>NOT CONFIDENTIAL</v>
      </c>
      <c r="P100" s="7" t="str">
        <f t="shared" si="15"/>
        <v>Y</v>
      </c>
      <c r="Q100" s="7" t="s">
        <v>826</v>
      </c>
      <c r="R100" s="9">
        <v>2958465</v>
      </c>
      <c r="S100" s="7" t="s">
        <v>827</v>
      </c>
      <c r="T100" s="7" t="s">
        <v>828</v>
      </c>
      <c r="U100" s="7" t="str">
        <f t="shared" si="17"/>
        <v>CLK_CIRD_NREL_NONO_V</v>
      </c>
      <c r="V100" s="7" t="s">
        <v>829</v>
      </c>
    </row>
    <row r="101" spans="1:22">
      <c r="A101" s="7" t="str">
        <f>TRIM(ETLMetadata!$B101)</f>
        <v>CLK</v>
      </c>
      <c r="B101" s="7" t="str">
        <f>TRIM(ETLMetadata!$C101)</f>
        <v>CIRD_NREL_NONO</v>
      </c>
      <c r="C101" s="7" t="str">
        <f>TRIM(ETLMetadata!$F101)</f>
        <v>NONO_DOE_ORIG</v>
      </c>
      <c r="D101" s="7" t="str">
        <f>TRIM(ETLMetadata!$H101)</f>
        <v>StringType()</v>
      </c>
      <c r="E101" s="7" t="str">
        <f t="shared" si="16"/>
        <v>CLK_CIRD_NREL_NONO</v>
      </c>
      <c r="F101" s="7" t="str">
        <f t="shared" si="10"/>
        <v>NONO_DOE_ORIG</v>
      </c>
      <c r="G101" s="7" t="s">
        <v>825</v>
      </c>
      <c r="H101" s="7" t="str">
        <f t="shared" si="11"/>
        <v>CLK_CIRD_NREL_NONO</v>
      </c>
      <c r="I101" s="7" t="str">
        <f t="shared" si="12"/>
        <v>NONO_DOE_ORIG</v>
      </c>
      <c r="J101" s="7" t="str">
        <f t="shared" si="13"/>
        <v>INTEGER</v>
      </c>
      <c r="K101" s="17" t="s">
        <v>90</v>
      </c>
      <c r="L101" s="7" t="str">
        <f>TRIM(ETLMetadata!$I101)</f>
        <v/>
      </c>
      <c r="M101" s="7" t="str">
        <f t="shared" si="14"/>
        <v>CAST(NULLIF(TRIM(NONO_DOE_ORIG),'') AS INTEGER)</v>
      </c>
      <c r="N101" s="7" t="str">
        <f>TRIM(ETLMetadata!$J101)</f>
        <v>Y</v>
      </c>
      <c r="O101" s="8" t="str">
        <f>IF(TRIM(Classification!$G101)="","NOT CONFIDENTIAL",TRIM(Classification!$G101))</f>
        <v>NOT CONFIDENTIAL</v>
      </c>
      <c r="P101" s="7" t="str">
        <f t="shared" si="15"/>
        <v>Y</v>
      </c>
      <c r="Q101" s="7" t="s">
        <v>826</v>
      </c>
      <c r="R101" s="9">
        <v>2958465</v>
      </c>
      <c r="S101" s="7" t="s">
        <v>827</v>
      </c>
      <c r="T101" s="7" t="s">
        <v>828</v>
      </c>
      <c r="U101" s="7" t="str">
        <f t="shared" si="17"/>
        <v>CLK_CIRD_NREL_NONO_V</v>
      </c>
      <c r="V101" s="7" t="s">
        <v>829</v>
      </c>
    </row>
    <row r="102" spans="1:22">
      <c r="A102" s="7" t="str">
        <f>TRIM(ETLMetadata!$B102)</f>
        <v>CLK</v>
      </c>
      <c r="B102" s="7" t="str">
        <f>TRIM(ETLMetadata!$C102)</f>
        <v>CIRD_NREL_NONO</v>
      </c>
      <c r="C102" s="7" t="str">
        <f>TRIM(ETLMetadata!$F102)</f>
        <v>NONO_NOM_TYPE_CODE</v>
      </c>
      <c r="D102" s="7" t="str">
        <f>TRIM(ETLMetadata!$H102)</f>
        <v>StringType()</v>
      </c>
      <c r="E102" s="7" t="str">
        <f t="shared" si="16"/>
        <v>CLK_CIRD_NREL_NONO</v>
      </c>
      <c r="F102" s="7" t="str">
        <f t="shared" si="10"/>
        <v>NONO_NOM_TYPE_CODE</v>
      </c>
      <c r="G102" s="7" t="s">
        <v>825</v>
      </c>
      <c r="H102" s="7" t="str">
        <f t="shared" si="11"/>
        <v>CLK_CIRD_NREL_NONO</v>
      </c>
      <c r="I102" s="7" t="str">
        <f t="shared" si="12"/>
        <v>NONO_NOM_TYPE_CODE</v>
      </c>
      <c r="J102" s="7" t="str">
        <f t="shared" si="13"/>
        <v>VARCHAR</v>
      </c>
      <c r="K102" s="7" t="str">
        <f>TRIM(ETLMetadata!$G102)</f>
        <v>CHAR(3)</v>
      </c>
      <c r="L102" s="7" t="str">
        <f>TRIM(ETLMetadata!$I102)</f>
        <v/>
      </c>
      <c r="M102" s="7" t="str">
        <f t="shared" si="14"/>
        <v>NULLIF(TRIM(NONO_NOM_TYPE_CODE),'')</v>
      </c>
      <c r="N102" s="7" t="str">
        <f>TRIM(ETLMetadata!$J102)</f>
        <v>Y</v>
      </c>
      <c r="O102" s="8" t="str">
        <f>IF(TRIM(Classification!$G102)="","NOT CONFIDENTIAL",TRIM(Classification!$G102))</f>
        <v>NOT CONFIDENTIAL</v>
      </c>
      <c r="P102" s="7" t="str">
        <f t="shared" si="15"/>
        <v>Y</v>
      </c>
      <c r="Q102" s="7" t="s">
        <v>826</v>
      </c>
      <c r="R102" s="9">
        <v>2958465</v>
      </c>
      <c r="S102" s="7" t="s">
        <v>827</v>
      </c>
      <c r="T102" s="7" t="s">
        <v>828</v>
      </c>
      <c r="U102" s="7" t="str">
        <f t="shared" si="17"/>
        <v>CLK_CIRD_NREL_NONO_V</v>
      </c>
      <c r="V102" s="7" t="s">
        <v>829</v>
      </c>
    </row>
    <row r="103" spans="1:22">
      <c r="A103" s="7" t="str">
        <f>TRIM(ETLMetadata!$B103)</f>
        <v>CLK</v>
      </c>
      <c r="B103" s="7" t="str">
        <f>TRIM(ETLMetadata!$C103)</f>
        <v>CIRD_NREL_NONO</v>
      </c>
      <c r="C103" s="7" t="str">
        <f>TRIM(ETLMetadata!$F103)</f>
        <v>PROCESSING_SEQUENCE</v>
      </c>
      <c r="D103" s="7" t="str">
        <f>TRIM(ETLMetadata!$H103)</f>
        <v>StringType()</v>
      </c>
      <c r="E103" s="7" t="str">
        <f t="shared" si="16"/>
        <v>CLK_CIRD_NREL_NONO</v>
      </c>
      <c r="F103" s="7" t="str">
        <f t="shared" si="10"/>
        <v>PROCESSING_SEQUENCE</v>
      </c>
      <c r="G103" s="7" t="s">
        <v>825</v>
      </c>
      <c r="H103" s="7" t="str">
        <f t="shared" si="11"/>
        <v>CLK_CIRD_NREL_NONO</v>
      </c>
      <c r="I103" s="7" t="str">
        <f t="shared" si="12"/>
        <v>PROCESSING_SEQUENCE</v>
      </c>
      <c r="J103" s="7" t="str">
        <f t="shared" si="13"/>
        <v>SMALLINT</v>
      </c>
      <c r="K103" s="7" t="str">
        <f>TRIM(ETLMetadata!$G103)</f>
        <v>SMALLINT</v>
      </c>
      <c r="L103" s="7" t="str">
        <f>TRIM(ETLMetadata!$I103)</f>
        <v/>
      </c>
      <c r="M103" s="7" t="str">
        <f t="shared" si="14"/>
        <v>CAST(NULLIF(TRIM(PROCESSING_SEQUENCE),'') AS SMALLINT)</v>
      </c>
      <c r="N103" s="7" t="str">
        <f>TRIM(ETLMetadata!$J103)</f>
        <v>Y</v>
      </c>
      <c r="O103" s="8" t="str">
        <f>IF(TRIM(Classification!$G103)="","NOT CONFIDENTIAL",TRIM(Classification!$G103))</f>
        <v>NOT CONFIDENTIAL</v>
      </c>
      <c r="P103" s="7" t="str">
        <f t="shared" si="15"/>
        <v>Y</v>
      </c>
      <c r="Q103" s="7" t="s">
        <v>826</v>
      </c>
      <c r="R103" s="9">
        <v>2958465</v>
      </c>
      <c r="S103" s="7" t="s">
        <v>827</v>
      </c>
      <c r="T103" s="7" t="s">
        <v>828</v>
      </c>
      <c r="U103" s="7" t="str">
        <f t="shared" si="17"/>
        <v>CLK_CIRD_NREL_NONO_V</v>
      </c>
      <c r="V103" s="7" t="s">
        <v>829</v>
      </c>
    </row>
    <row r="104" spans="1:22">
      <c r="A104" s="7" t="str">
        <f>TRIM(ETLMetadata!$B104)</f>
        <v>CLK</v>
      </c>
      <c r="B104" s="7" t="str">
        <f>TRIM(ETLMetadata!$C104)</f>
        <v>CIRD_NREL_NONO</v>
      </c>
      <c r="C104" s="7" t="str">
        <f>TRIM(ETLMetadata!$F104)</f>
        <v>NONO_AMR_1</v>
      </c>
      <c r="D104" s="7" t="str">
        <f>TRIM(ETLMetadata!$H104)</f>
        <v>StringType()</v>
      </c>
      <c r="E104" s="7" t="str">
        <f t="shared" si="16"/>
        <v>CLK_CIRD_NREL_NONO</v>
      </c>
      <c r="F104" s="7" t="str">
        <f t="shared" si="10"/>
        <v>NONO_AMR_1</v>
      </c>
      <c r="G104" s="7" t="s">
        <v>825</v>
      </c>
      <c r="H104" s="7" t="str">
        <f t="shared" si="11"/>
        <v>CLK_CIRD_NREL_NONO</v>
      </c>
      <c r="I104" s="7" t="str">
        <f t="shared" si="12"/>
        <v>NONO_AMR_1</v>
      </c>
      <c r="J104" s="7" t="str">
        <f t="shared" si="13"/>
        <v>VARCHAR</v>
      </c>
      <c r="K104" s="7" t="str">
        <f>TRIM(ETLMetadata!$G104)</f>
        <v>CHAR(4)</v>
      </c>
      <c r="L104" s="7" t="str">
        <f>TRIM(ETLMetadata!$I104)</f>
        <v/>
      </c>
      <c r="M104" s="7" t="str">
        <f t="shared" si="14"/>
        <v>NULLIF(TRIM(NONO_AMR_1),'')</v>
      </c>
      <c r="N104" s="7" t="str">
        <f>TRIM(ETLMetadata!$J104)</f>
        <v/>
      </c>
      <c r="O104" s="8" t="str">
        <f>IF(TRIM(Classification!$G104)="","NOT CONFIDENTIAL",TRIM(Classification!$G104))</f>
        <v>NOT CONFIDENTIAL</v>
      </c>
      <c r="P104" s="7" t="str">
        <f t="shared" si="15"/>
        <v>Y</v>
      </c>
      <c r="Q104" s="7" t="s">
        <v>826</v>
      </c>
      <c r="R104" s="9">
        <v>2958465</v>
      </c>
      <c r="S104" s="7" t="s">
        <v>827</v>
      </c>
      <c r="T104" s="7" t="s">
        <v>828</v>
      </c>
      <c r="U104" s="7" t="str">
        <f t="shared" si="17"/>
        <v>CLK_CIRD_NREL_NONO_V</v>
      </c>
      <c r="V104" s="7" t="s">
        <v>829</v>
      </c>
    </row>
    <row r="105" spans="1:22">
      <c r="A105" s="7" t="str">
        <f>TRIM(ETLMetadata!$B105)</f>
        <v>CLK</v>
      </c>
      <c r="B105" s="7" t="str">
        <f>TRIM(ETLMetadata!$C105)</f>
        <v>CIRD_NREL_NONO</v>
      </c>
      <c r="C105" s="7" t="str">
        <f>TRIM(ETLMetadata!$F105)</f>
        <v>NONO_AMR_2</v>
      </c>
      <c r="D105" s="7" t="str">
        <f>TRIM(ETLMetadata!$H105)</f>
        <v>StringType()</v>
      </c>
      <c r="E105" s="7" t="str">
        <f t="shared" si="16"/>
        <v>CLK_CIRD_NREL_NONO</v>
      </c>
      <c r="F105" s="7" t="str">
        <f t="shared" si="10"/>
        <v>NONO_AMR_2</v>
      </c>
      <c r="G105" s="7" t="s">
        <v>825</v>
      </c>
      <c r="H105" s="7" t="str">
        <f t="shared" si="11"/>
        <v>CLK_CIRD_NREL_NONO</v>
      </c>
      <c r="I105" s="7" t="str">
        <f t="shared" si="12"/>
        <v>NONO_AMR_2</v>
      </c>
      <c r="J105" s="7" t="str">
        <f t="shared" si="13"/>
        <v>VARCHAR</v>
      </c>
      <c r="K105" s="7" t="str">
        <f>TRIM(ETLMetadata!$G105)</f>
        <v>CHAR(1)</v>
      </c>
      <c r="L105" s="7" t="str">
        <f>TRIM(ETLMetadata!$I105)</f>
        <v/>
      </c>
      <c r="M105" s="7" t="str">
        <f t="shared" si="14"/>
        <v>NULLIF(TRIM(NONO_AMR_2),'')</v>
      </c>
      <c r="N105" s="7" t="str">
        <f>TRIM(ETLMetadata!$J105)</f>
        <v>Y</v>
      </c>
      <c r="O105" s="8" t="str">
        <f>IF(TRIM(Classification!$G105)="","NOT CONFIDENTIAL",TRIM(Classification!$G105))</f>
        <v>NOT CONFIDENTIAL</v>
      </c>
      <c r="P105" s="7" t="str">
        <f t="shared" si="15"/>
        <v>Y</v>
      </c>
      <c r="Q105" s="7" t="s">
        <v>826</v>
      </c>
      <c r="R105" s="9">
        <v>2958465</v>
      </c>
      <c r="S105" s="7" t="s">
        <v>827</v>
      </c>
      <c r="T105" s="7" t="s">
        <v>828</v>
      </c>
      <c r="U105" s="7" t="str">
        <f t="shared" si="17"/>
        <v>CLK_CIRD_NREL_NONO_V</v>
      </c>
      <c r="V105" s="7" t="s">
        <v>829</v>
      </c>
    </row>
    <row r="106" spans="1:22">
      <c r="A106" s="7" t="str">
        <f>TRIM(ETLMetadata!$B106)</f>
        <v>CLK</v>
      </c>
      <c r="B106" s="7" t="str">
        <f>TRIM(ETLMetadata!$C106)</f>
        <v>CIRD_NREL_NONO</v>
      </c>
      <c r="C106" s="7" t="str">
        <f>TRIM(ETLMetadata!$F106)</f>
        <v>NONO_AMR_3</v>
      </c>
      <c r="D106" s="7" t="str">
        <f>TRIM(ETLMetadata!$H106)</f>
        <v>StringType()</v>
      </c>
      <c r="E106" s="7" t="str">
        <f t="shared" si="16"/>
        <v>CLK_CIRD_NREL_NONO</v>
      </c>
      <c r="F106" s="7" t="str">
        <f t="shared" si="10"/>
        <v>NONO_AMR_3</v>
      </c>
      <c r="G106" s="7" t="s">
        <v>825</v>
      </c>
      <c r="H106" s="7" t="str">
        <f t="shared" si="11"/>
        <v>CLK_CIRD_NREL_NONO</v>
      </c>
      <c r="I106" s="7" t="str">
        <f t="shared" si="12"/>
        <v>NONO_AMR_3</v>
      </c>
      <c r="J106" s="7" t="str">
        <f t="shared" si="13"/>
        <v>VARCHAR</v>
      </c>
      <c r="K106" s="7" t="str">
        <f>TRIM(ETLMetadata!$G106)</f>
        <v>CHAR(4)</v>
      </c>
      <c r="L106" s="7" t="str">
        <f>TRIM(ETLMetadata!$I106)</f>
        <v/>
      </c>
      <c r="M106" s="7" t="str">
        <f t="shared" si="14"/>
        <v>NULLIF(TRIM(NONO_AMR_3),'')</v>
      </c>
      <c r="N106" s="7" t="str">
        <f>TRIM(ETLMetadata!$J106)</f>
        <v/>
      </c>
      <c r="O106" s="8" t="str">
        <f>IF(TRIM(Classification!$G106)="","NOT CONFIDENTIAL",TRIM(Classification!$G106))</f>
        <v>NOT CONFIDENTIAL</v>
      </c>
      <c r="P106" s="7" t="str">
        <f t="shared" si="15"/>
        <v>Y</v>
      </c>
      <c r="Q106" s="7" t="s">
        <v>826</v>
      </c>
      <c r="R106" s="9">
        <v>2958465</v>
      </c>
      <c r="S106" s="7" t="s">
        <v>827</v>
      </c>
      <c r="T106" s="7" t="s">
        <v>828</v>
      </c>
      <c r="U106" s="7" t="str">
        <f t="shared" si="17"/>
        <v>CLK_CIRD_NREL_NONO_V</v>
      </c>
      <c r="V106" s="7" t="s">
        <v>829</v>
      </c>
    </row>
    <row r="107" spans="1:22">
      <c r="A107" s="7" t="str">
        <f>TRIM(ETLMetadata!$B107)</f>
        <v>CLK</v>
      </c>
      <c r="B107" s="7" t="str">
        <f>TRIM(ETLMetadata!$C107)</f>
        <v>CIRD_NREL_NONO</v>
      </c>
      <c r="C107" s="7" t="str">
        <f>TRIM(ETLMetadata!$F107)</f>
        <v>NONO_ARNGMT_RSN_CODE</v>
      </c>
      <c r="D107" s="7" t="str">
        <f>TRIM(ETLMetadata!$H107)</f>
        <v>StringType()</v>
      </c>
      <c r="E107" s="7" t="str">
        <f t="shared" si="16"/>
        <v>CLK_CIRD_NREL_NONO</v>
      </c>
      <c r="F107" s="7" t="str">
        <f t="shared" si="10"/>
        <v>NONO_ARNGMT_RSN_CODE</v>
      </c>
      <c r="G107" s="7" t="s">
        <v>825</v>
      </c>
      <c r="H107" s="7" t="str">
        <f t="shared" si="11"/>
        <v>CLK_CIRD_NREL_NONO</v>
      </c>
      <c r="I107" s="7" t="str">
        <f t="shared" si="12"/>
        <v>NONO_ARNGMT_RSN_CODE</v>
      </c>
      <c r="J107" s="7" t="str">
        <f t="shared" si="13"/>
        <v>VARCHAR</v>
      </c>
      <c r="K107" s="7" t="str">
        <f>TRIM(ETLMetadata!$G107)</f>
        <v>CHAR(3)</v>
      </c>
      <c r="L107" s="7" t="str">
        <f>TRIM(ETLMetadata!$I107)</f>
        <v/>
      </c>
      <c r="M107" s="7" t="str">
        <f t="shared" si="14"/>
        <v>NULLIF(TRIM(NONO_ARNGMT_RSN_CODE),'')</v>
      </c>
      <c r="N107" s="7" t="str">
        <f>TRIM(ETLMetadata!$J107)</f>
        <v/>
      </c>
      <c r="O107" s="8" t="str">
        <f>IF(TRIM(Classification!$G107)="","NOT CONFIDENTIAL",TRIM(Classification!$G107))</f>
        <v>NOT CONFIDENTIAL</v>
      </c>
      <c r="P107" s="7" t="str">
        <f t="shared" si="15"/>
        <v>Y</v>
      </c>
      <c r="Q107" s="7" t="s">
        <v>826</v>
      </c>
      <c r="R107" s="9">
        <v>2958465</v>
      </c>
      <c r="S107" s="7" t="s">
        <v>827</v>
      </c>
      <c r="T107" s="7" t="s">
        <v>828</v>
      </c>
      <c r="U107" s="7" t="str">
        <f t="shared" si="17"/>
        <v>CLK_CIRD_NREL_NONO_V</v>
      </c>
      <c r="V107" s="7" t="s">
        <v>829</v>
      </c>
    </row>
    <row r="108" spans="1:22">
      <c r="A108" s="7" t="str">
        <f>TRIM(ETLMetadata!$B108)</f>
        <v>CLK</v>
      </c>
      <c r="B108" s="7" t="str">
        <f>TRIM(ETLMetadata!$C108)</f>
        <v>CIRD_NREL_NONO</v>
      </c>
      <c r="C108" s="7" t="str">
        <f>TRIM(ETLMetadata!$F108)</f>
        <v>NONO_DOCU_TEXT</v>
      </c>
      <c r="D108" s="7" t="str">
        <f>TRIM(ETLMetadata!$H108)</f>
        <v>StringType()</v>
      </c>
      <c r="E108" s="7" t="str">
        <f t="shared" si="16"/>
        <v>CLK_CIRD_NREL_NONO</v>
      </c>
      <c r="F108" s="7" t="str">
        <f t="shared" si="10"/>
        <v>NONO_DOCU_TEXT</v>
      </c>
      <c r="G108" s="7" t="s">
        <v>825</v>
      </c>
      <c r="H108" s="7" t="str">
        <f t="shared" si="11"/>
        <v>CLK_CIRD_NREL_NONO</v>
      </c>
      <c r="I108" s="7" t="str">
        <f t="shared" si="12"/>
        <v>NONO_DOCU_TEXT</v>
      </c>
      <c r="J108" s="7" t="str">
        <f t="shared" si="13"/>
        <v>VARCHAR</v>
      </c>
      <c r="K108" s="7" t="str">
        <f>TRIM(ETLMetadata!$G108)</f>
        <v>VARCHAR(40)</v>
      </c>
      <c r="L108" s="7" t="str">
        <f>TRIM(ETLMetadata!$I108)</f>
        <v/>
      </c>
      <c r="M108" s="7" t="str">
        <f t="shared" si="14"/>
        <v>NULLIF(TRIM(NONO_DOCU_TEXT),'')</v>
      </c>
      <c r="N108" s="7" t="str">
        <f>TRIM(ETLMetadata!$J108)</f>
        <v/>
      </c>
      <c r="O108" s="8" t="str">
        <f>IF(TRIM(Classification!$G108)="","NOT CONFIDENTIAL",TRIM(Classification!$G108))</f>
        <v>NOT CONFIDENTIAL</v>
      </c>
      <c r="P108" s="7" t="str">
        <f t="shared" si="15"/>
        <v>Y</v>
      </c>
      <c r="Q108" s="7" t="s">
        <v>826</v>
      </c>
      <c r="R108" s="9">
        <v>2958465</v>
      </c>
      <c r="S108" s="7" t="s">
        <v>827</v>
      </c>
      <c r="T108" s="7" t="s">
        <v>828</v>
      </c>
      <c r="U108" s="7" t="str">
        <f t="shared" si="17"/>
        <v>CLK_CIRD_NREL_NONO_V</v>
      </c>
      <c r="V108" s="7" t="s">
        <v>829</v>
      </c>
    </row>
    <row r="109" spans="1:22">
      <c r="A109" s="7" t="str">
        <f>TRIM(ETLMetadata!$B109)</f>
        <v>CLK</v>
      </c>
      <c r="B109" s="7" t="str">
        <f>TRIM(ETLMetadata!$C109)</f>
        <v>CIRD_NREL_NONO</v>
      </c>
      <c r="C109" s="7" t="str">
        <f>TRIM(ETLMetadata!$F109)</f>
        <v>NONO_END_RSN_CODE</v>
      </c>
      <c r="D109" s="7" t="str">
        <f>TRIM(ETLMetadata!$H109)</f>
        <v>StringType()</v>
      </c>
      <c r="E109" s="7" t="str">
        <f t="shared" si="16"/>
        <v>CLK_CIRD_NREL_NONO</v>
      </c>
      <c r="F109" s="7" t="str">
        <f t="shared" si="10"/>
        <v>NONO_END_RSN_CODE</v>
      </c>
      <c r="G109" s="7" t="s">
        <v>825</v>
      </c>
      <c r="H109" s="7" t="str">
        <f t="shared" si="11"/>
        <v>CLK_CIRD_NREL_NONO</v>
      </c>
      <c r="I109" s="7" t="str">
        <f t="shared" si="12"/>
        <v>NONO_END_RSN_CODE</v>
      </c>
      <c r="J109" s="7" t="str">
        <f t="shared" si="13"/>
        <v>VARCHAR</v>
      </c>
      <c r="K109" s="7" t="str">
        <f>TRIM(ETLMetadata!$G109)</f>
        <v>CHAR(3)</v>
      </c>
      <c r="L109" s="7" t="str">
        <f>TRIM(ETLMetadata!$I109)</f>
        <v/>
      </c>
      <c r="M109" s="7" t="str">
        <f t="shared" si="14"/>
        <v>NULLIF(TRIM(NONO_END_RSN_CODE),'')</v>
      </c>
      <c r="N109" s="7" t="str">
        <f>TRIM(ETLMetadata!$J109)</f>
        <v/>
      </c>
      <c r="O109" s="8" t="str">
        <f>IF(TRIM(Classification!$G109)="","NOT CONFIDENTIAL",TRIM(Classification!$G109))</f>
        <v>NOT CONFIDENTIAL</v>
      </c>
      <c r="P109" s="7" t="str">
        <f t="shared" si="15"/>
        <v>Y</v>
      </c>
      <c r="Q109" s="7" t="s">
        <v>826</v>
      </c>
      <c r="R109" s="9">
        <v>2958465</v>
      </c>
      <c r="S109" s="7" t="s">
        <v>827</v>
      </c>
      <c r="T109" s="7" t="s">
        <v>828</v>
      </c>
      <c r="U109" s="7" t="str">
        <f t="shared" si="17"/>
        <v>CLK_CIRD_NREL_NONO_V</v>
      </c>
      <c r="V109" s="7" t="s">
        <v>829</v>
      </c>
    </row>
    <row r="110" spans="1:22">
      <c r="A110" s="7" t="str">
        <f>TRIM(ETLMetadata!$B110)</f>
        <v>CLK</v>
      </c>
      <c r="B110" s="7" t="str">
        <f>TRIM(ETLMetadata!$C110)</f>
        <v>CIRD_NREL_NONO</v>
      </c>
      <c r="C110" s="7" t="str">
        <f>TRIM(ETLMetadata!$F110)</f>
        <v>NONO_INDEF_ARNGMT_IND</v>
      </c>
      <c r="D110" s="7" t="str">
        <f>TRIM(ETLMetadata!$H110)</f>
        <v>StringType()</v>
      </c>
      <c r="E110" s="7" t="str">
        <f t="shared" si="16"/>
        <v>CLK_CIRD_NREL_NONO</v>
      </c>
      <c r="F110" s="7" t="str">
        <f t="shared" si="10"/>
        <v>NONO_INDEF_ARNGMT_IND</v>
      </c>
      <c r="G110" s="7" t="s">
        <v>825</v>
      </c>
      <c r="H110" s="7" t="str">
        <f t="shared" si="11"/>
        <v>CLK_CIRD_NREL_NONO</v>
      </c>
      <c r="I110" s="7" t="str">
        <f t="shared" si="12"/>
        <v>NONO_INDEF_ARNGMT_IND</v>
      </c>
      <c r="J110" s="7" t="str">
        <f t="shared" si="13"/>
        <v>VARCHAR</v>
      </c>
      <c r="K110" s="7" t="str">
        <f>TRIM(ETLMetadata!$G110)</f>
        <v>CHAR(1)</v>
      </c>
      <c r="L110" s="7" t="str">
        <f>TRIM(ETLMetadata!$I110)</f>
        <v/>
      </c>
      <c r="M110" s="7" t="str">
        <f t="shared" si="14"/>
        <v>NULLIF(TRIM(NONO_INDEF_ARNGMT_IND),'')</v>
      </c>
      <c r="N110" s="7" t="str">
        <f>TRIM(ETLMetadata!$J110)</f>
        <v/>
      </c>
      <c r="O110" s="8" t="str">
        <f>IF(TRIM(Classification!$G110)="","NOT CONFIDENTIAL",TRIM(Classification!$G110))</f>
        <v>NOT CONFIDENTIAL</v>
      </c>
      <c r="P110" s="7" t="str">
        <f t="shared" si="15"/>
        <v>Y</v>
      </c>
      <c r="Q110" s="7" t="s">
        <v>826</v>
      </c>
      <c r="R110" s="9">
        <v>2958465</v>
      </c>
      <c r="S110" s="7" t="s">
        <v>827</v>
      </c>
      <c r="T110" s="7" t="s">
        <v>828</v>
      </c>
      <c r="U110" s="7" t="str">
        <f t="shared" si="17"/>
        <v>CLK_CIRD_NREL_NONO_V</v>
      </c>
      <c r="V110" s="7" t="s">
        <v>829</v>
      </c>
    </row>
    <row r="111" spans="1:22">
      <c r="A111" s="7" t="str">
        <f>TRIM(ETLMetadata!$B111)</f>
        <v>CLK</v>
      </c>
      <c r="B111" s="7" t="str">
        <f>TRIM(ETLMetadata!$C111)</f>
        <v>CIRD_NREL_NONO</v>
      </c>
      <c r="C111" s="7" t="str">
        <f>TRIM(ETLMetadata!$F111)</f>
        <v>NONO_ON_IND</v>
      </c>
      <c r="D111" s="7" t="str">
        <f>TRIM(ETLMetadata!$H111)</f>
        <v>StringType()</v>
      </c>
      <c r="E111" s="7" t="str">
        <f t="shared" si="16"/>
        <v>CLK_CIRD_NREL_NONO</v>
      </c>
      <c r="F111" s="7" t="str">
        <f t="shared" si="10"/>
        <v>NONO_ON_IND</v>
      </c>
      <c r="G111" s="7" t="s">
        <v>825</v>
      </c>
      <c r="H111" s="7" t="str">
        <f t="shared" si="11"/>
        <v>CLK_CIRD_NREL_NONO</v>
      </c>
      <c r="I111" s="7" t="str">
        <f t="shared" si="12"/>
        <v>NONO_ON_IND</v>
      </c>
      <c r="J111" s="7" t="str">
        <f t="shared" si="13"/>
        <v>VARCHAR</v>
      </c>
      <c r="K111" s="7" t="str">
        <f>TRIM(ETLMetadata!$G111)</f>
        <v>CHAR(1)</v>
      </c>
      <c r="L111" s="7" t="str">
        <f>TRIM(ETLMetadata!$I111)</f>
        <v/>
      </c>
      <c r="M111" s="7" t="str">
        <f t="shared" si="14"/>
        <v>NULLIF(TRIM(NONO_ON_IND),'')</v>
      </c>
      <c r="N111" s="7" t="str">
        <f>TRIM(ETLMetadata!$J111)</f>
        <v/>
      </c>
      <c r="O111" s="8" t="str">
        <f>IF(TRIM(Classification!$G111)="","NOT CONFIDENTIAL",TRIM(Classification!$G111))</f>
        <v>NOT CONFIDENTIAL</v>
      </c>
      <c r="P111" s="7" t="str">
        <f t="shared" si="15"/>
        <v>Y</v>
      </c>
      <c r="Q111" s="7" t="s">
        <v>826</v>
      </c>
      <c r="R111" s="9">
        <v>2958465</v>
      </c>
      <c r="S111" s="7" t="s">
        <v>827</v>
      </c>
      <c r="T111" s="7" t="s">
        <v>828</v>
      </c>
      <c r="U111" s="7" t="str">
        <f t="shared" si="17"/>
        <v>CLK_CIRD_NREL_NONO_V</v>
      </c>
      <c r="V111" s="7" t="s">
        <v>829</v>
      </c>
    </row>
    <row r="112" spans="1:22">
      <c r="A112" s="7" t="str">
        <f>TRIM(ETLMetadata!$B112)</f>
        <v>CLK</v>
      </c>
      <c r="B112" s="7" t="str">
        <f>TRIM(ETLMetadata!$C112)</f>
        <v>CIRD_NREL_NONO</v>
      </c>
      <c r="C112" s="7" t="str">
        <f>TRIM(ETLMetadata!$F112)</f>
        <v>NONO_PASSWORD_TEXT</v>
      </c>
      <c r="D112" s="7" t="str">
        <f>TRIM(ETLMetadata!$H112)</f>
        <v>StringType()</v>
      </c>
      <c r="E112" s="7" t="str">
        <f t="shared" si="16"/>
        <v>CLK_CIRD_NREL_NONO</v>
      </c>
      <c r="F112" s="7" t="str">
        <f t="shared" si="10"/>
        <v>NONO_PASSWORD_TEXT</v>
      </c>
      <c r="G112" s="7" t="s">
        <v>825</v>
      </c>
      <c r="H112" s="7" t="str">
        <f t="shared" si="11"/>
        <v>CLK_CIRD_NREL_NONO</v>
      </c>
      <c r="I112" s="7" t="str">
        <f t="shared" si="12"/>
        <v>NONO_PASSWORD_TEXT</v>
      </c>
      <c r="J112" s="7" t="str">
        <f t="shared" si="13"/>
        <v>VARCHAR</v>
      </c>
      <c r="K112" s="7" t="str">
        <f>TRIM(ETLMetadata!$G112)</f>
        <v>VARCHAR(20)</v>
      </c>
      <c r="L112" s="7" t="str">
        <f>TRIM(ETLMetadata!$I112)</f>
        <v/>
      </c>
      <c r="M112" s="7" t="str">
        <f t="shared" si="14"/>
        <v>NULLIF(TRIM(NONO_PASSWORD_TEXT),'')</v>
      </c>
      <c r="N112" s="7" t="str">
        <f>TRIM(ETLMetadata!$J112)</f>
        <v/>
      </c>
      <c r="O112" s="8" t="str">
        <f>IF(TRIM(Classification!$G112)="","NOT CONFIDENTIAL",TRIM(Classification!$G112))</f>
        <v>NOT CONFIDENTIAL</v>
      </c>
      <c r="P112" s="7" t="str">
        <f t="shared" si="15"/>
        <v>Y</v>
      </c>
      <c r="Q112" s="7" t="s">
        <v>826</v>
      </c>
      <c r="R112" s="9">
        <v>2958465</v>
      </c>
      <c r="S112" s="7" t="s">
        <v>827</v>
      </c>
      <c r="T112" s="7" t="s">
        <v>828</v>
      </c>
      <c r="U112" s="7" t="str">
        <f t="shared" si="17"/>
        <v>CLK_CIRD_NREL_NONO_V</v>
      </c>
      <c r="V112" s="7" t="s">
        <v>829</v>
      </c>
    </row>
    <row r="113" spans="1:22">
      <c r="A113" s="7" t="str">
        <f>TRIM(ETLMetadata!$B113)</f>
        <v>CLK</v>
      </c>
      <c r="B113" s="7" t="str">
        <f>TRIM(ETLMetadata!$C113)</f>
        <v>CIRD_NREL_NONO</v>
      </c>
      <c r="C113" s="7" t="str">
        <f>TRIM(ETLMetadata!$F113)</f>
        <v>NONO_REL_TYPE_CODE</v>
      </c>
      <c r="D113" s="7" t="str">
        <f>TRIM(ETLMetadata!$H113)</f>
        <v>StringType()</v>
      </c>
      <c r="E113" s="7" t="str">
        <f t="shared" si="16"/>
        <v>CLK_CIRD_NREL_NONO</v>
      </c>
      <c r="F113" s="7" t="str">
        <f t="shared" si="10"/>
        <v>NONO_REL_TYPE_CODE</v>
      </c>
      <c r="G113" s="7" t="s">
        <v>825</v>
      </c>
      <c r="H113" s="7" t="str">
        <f t="shared" si="11"/>
        <v>CLK_CIRD_NREL_NONO</v>
      </c>
      <c r="I113" s="7" t="str">
        <f t="shared" si="12"/>
        <v>NONO_REL_TYPE_CODE</v>
      </c>
      <c r="J113" s="7" t="str">
        <f t="shared" si="13"/>
        <v>VARCHAR</v>
      </c>
      <c r="K113" s="7" t="str">
        <f>TRIM(ETLMetadata!$G113)</f>
        <v>CHAR(3)</v>
      </c>
      <c r="L113" s="7" t="str">
        <f>TRIM(ETLMetadata!$I113)</f>
        <v/>
      </c>
      <c r="M113" s="7" t="str">
        <f t="shared" si="14"/>
        <v>NULLIF(TRIM(NONO_REL_TYPE_CODE),'')</v>
      </c>
      <c r="N113" s="7" t="str">
        <f>TRIM(ETLMetadata!$J113)</f>
        <v/>
      </c>
      <c r="O113" s="8" t="str">
        <f>IF(TRIM(Classification!$G113)="","NOT CONFIDENTIAL",TRIM(Classification!$G113))</f>
        <v>NOT CONFIDENTIAL</v>
      </c>
      <c r="P113" s="7" t="str">
        <f t="shared" si="15"/>
        <v>Y</v>
      </c>
      <c r="Q113" s="7" t="s">
        <v>826</v>
      </c>
      <c r="R113" s="9">
        <v>2958465</v>
      </c>
      <c r="S113" s="7" t="s">
        <v>827</v>
      </c>
      <c r="T113" s="7" t="s">
        <v>828</v>
      </c>
      <c r="U113" s="7" t="str">
        <f t="shared" si="17"/>
        <v>CLK_CIRD_NREL_NONO_V</v>
      </c>
      <c r="V113" s="7" t="s">
        <v>829</v>
      </c>
    </row>
    <row r="114" spans="1:22">
      <c r="A114" s="7" t="str">
        <f>TRIM(ETLMetadata!$B114)</f>
        <v>CLK</v>
      </c>
      <c r="B114" s="7" t="str">
        <f>TRIM(ETLMetadata!$C114)</f>
        <v>CIRD_NREL_NONO</v>
      </c>
      <c r="C114" s="7" t="str">
        <f>TRIM(ETLMetadata!$F114)</f>
        <v>NONO_SPRS_LTTR_IND</v>
      </c>
      <c r="D114" s="7" t="str">
        <f>TRIM(ETLMetadata!$H114)</f>
        <v>StringType()</v>
      </c>
      <c r="E114" s="7" t="str">
        <f t="shared" si="16"/>
        <v>CLK_CIRD_NREL_NONO</v>
      </c>
      <c r="F114" s="7" t="str">
        <f t="shared" si="10"/>
        <v>NONO_SPRS_LTTR_IND</v>
      </c>
      <c r="G114" s="7" t="s">
        <v>825</v>
      </c>
      <c r="H114" s="7" t="str">
        <f t="shared" si="11"/>
        <v>CLK_CIRD_NREL_NONO</v>
      </c>
      <c r="I114" s="7" t="str">
        <f t="shared" si="12"/>
        <v>NONO_SPRS_LTTR_IND</v>
      </c>
      <c r="J114" s="7" t="str">
        <f t="shared" si="13"/>
        <v>VARCHAR</v>
      </c>
      <c r="K114" s="7" t="str">
        <f>TRIM(ETLMetadata!$G114)</f>
        <v>CHAR(1)</v>
      </c>
      <c r="L114" s="7" t="str">
        <f>TRIM(ETLMetadata!$I114)</f>
        <v/>
      </c>
      <c r="M114" s="7" t="str">
        <f t="shared" si="14"/>
        <v>NULLIF(TRIM(NONO_SPRS_LTTR_IND),'')</v>
      </c>
      <c r="N114" s="7" t="str">
        <f>TRIM(ETLMetadata!$J114)</f>
        <v/>
      </c>
      <c r="O114" s="8" t="str">
        <f>IF(TRIM(Classification!$G114)="","NOT CONFIDENTIAL",TRIM(Classification!$G114))</f>
        <v>NOT CONFIDENTIAL</v>
      </c>
      <c r="P114" s="7" t="str">
        <f t="shared" si="15"/>
        <v>Y</v>
      </c>
      <c r="Q114" s="7" t="s">
        <v>826</v>
      </c>
      <c r="R114" s="9">
        <v>2958465</v>
      </c>
      <c r="S114" s="7" t="s">
        <v>827</v>
      </c>
      <c r="T114" s="7" t="s">
        <v>828</v>
      </c>
      <c r="U114" s="7" t="str">
        <f t="shared" si="17"/>
        <v>CLK_CIRD_NREL_NONO_V</v>
      </c>
      <c r="V114" s="7" t="s">
        <v>829</v>
      </c>
    </row>
    <row r="115" spans="1:22">
      <c r="A115" s="7" t="str">
        <f>TRIM(ETLMetadata!$B115)</f>
        <v>CLK</v>
      </c>
      <c r="B115" s="7" t="str">
        <f>TRIM(ETLMetadata!$C115)</f>
        <v>CIRD_NREL_NONO</v>
      </c>
      <c r="C115" s="7" t="str">
        <f>TRIM(ETLMetadata!$F115)</f>
        <v>NONO_UPDT_DATE</v>
      </c>
      <c r="D115" s="7" t="str">
        <f>TRIM(ETLMetadata!$H115)</f>
        <v>StringType()</v>
      </c>
      <c r="E115" s="7" t="str">
        <f t="shared" si="16"/>
        <v>CLK_CIRD_NREL_NONO</v>
      </c>
      <c r="F115" s="7" t="str">
        <f t="shared" si="10"/>
        <v>NONO_UPDT_DATE</v>
      </c>
      <c r="G115" s="7" t="s">
        <v>825</v>
      </c>
      <c r="H115" s="7" t="str">
        <f t="shared" si="11"/>
        <v>CLK_CIRD_NREL_NONO</v>
      </c>
      <c r="I115" s="7" t="str">
        <f t="shared" si="12"/>
        <v>NONO_UPDT_DATE</v>
      </c>
      <c r="J115" s="7" t="str">
        <f t="shared" si="13"/>
        <v>DATE</v>
      </c>
      <c r="K115" s="17" t="s">
        <v>80</v>
      </c>
      <c r="L115" s="7" t="str">
        <f>TRIM(ETLMetadata!$I115)</f>
        <v>YYYY-MM-DD</v>
      </c>
      <c r="M115" s="7" t="str">
        <f t="shared" si="14"/>
        <v>TO_DATE(NULLIF(TRIM(NONO_UPDT_DATE),'') , 'YYYY-MM-DD')</v>
      </c>
      <c r="N115" s="7" t="str">
        <f>TRIM(ETLMetadata!$J115)</f>
        <v/>
      </c>
      <c r="O115" s="8" t="str">
        <f>IF(TRIM(Classification!$G115)="","NOT CONFIDENTIAL",TRIM(Classification!$G115))</f>
        <v>NOT CONFIDENTIAL</v>
      </c>
      <c r="P115" s="7" t="str">
        <f t="shared" si="15"/>
        <v>Y</v>
      </c>
      <c r="Q115" s="7" t="s">
        <v>826</v>
      </c>
      <c r="R115" s="9">
        <v>2958465</v>
      </c>
      <c r="S115" s="7" t="s">
        <v>827</v>
      </c>
      <c r="T115" s="7" t="s">
        <v>828</v>
      </c>
      <c r="U115" s="7" t="str">
        <f t="shared" si="17"/>
        <v>CLK_CIRD_NREL_NONO_V</v>
      </c>
      <c r="V115" s="7" t="s">
        <v>829</v>
      </c>
    </row>
    <row r="116" spans="1:22">
      <c r="A116" s="7" t="str">
        <f>TRIM(ETLMetadata!$B116)</f>
        <v>CLK</v>
      </c>
      <c r="B116" s="7" t="str">
        <f>TRIM(ETLMetadata!$C116)</f>
        <v>CIRD_NREL_NONO</v>
      </c>
      <c r="C116" s="7" t="str">
        <f>TRIM(ETLMetadata!$F116)</f>
        <v>NONO_UPDT_DATE_ORIG</v>
      </c>
      <c r="D116" s="7" t="str">
        <f>TRIM(ETLMetadata!$H116)</f>
        <v>StringType()</v>
      </c>
      <c r="E116" s="7" t="str">
        <f t="shared" si="16"/>
        <v>CLK_CIRD_NREL_NONO</v>
      </c>
      <c r="F116" s="7" t="str">
        <f t="shared" si="10"/>
        <v>NONO_UPDT_DATE_ORIG</v>
      </c>
      <c r="G116" s="7" t="s">
        <v>825</v>
      </c>
      <c r="H116" s="7" t="str">
        <f t="shared" si="11"/>
        <v>CLK_CIRD_NREL_NONO</v>
      </c>
      <c r="I116" s="7" t="str">
        <f t="shared" si="12"/>
        <v>NONO_UPDT_DATE_ORIG</v>
      </c>
      <c r="J116" s="7" t="str">
        <f t="shared" si="13"/>
        <v>INTEGER</v>
      </c>
      <c r="K116" s="17" t="s">
        <v>90</v>
      </c>
      <c r="L116" s="7" t="str">
        <f>TRIM(ETLMetadata!$I116)</f>
        <v/>
      </c>
      <c r="M116" s="7" t="str">
        <f t="shared" si="14"/>
        <v>CAST(NULLIF(TRIM(NONO_UPDT_DATE_ORIG),'') AS INTEGER)</v>
      </c>
      <c r="N116" s="7" t="str">
        <f>TRIM(ETLMetadata!$J116)</f>
        <v/>
      </c>
      <c r="O116" s="8" t="str">
        <f>IF(TRIM(Classification!$G116)="","NOT CONFIDENTIAL",TRIM(Classification!$G116))</f>
        <v>NOT CONFIDENTIAL</v>
      </c>
      <c r="P116" s="7" t="str">
        <f t="shared" si="15"/>
        <v>Y</v>
      </c>
      <c r="Q116" s="7" t="s">
        <v>826</v>
      </c>
      <c r="R116" s="9">
        <v>2958465</v>
      </c>
      <c r="S116" s="7" t="s">
        <v>827</v>
      </c>
      <c r="T116" s="7" t="s">
        <v>828</v>
      </c>
      <c r="U116" s="7" t="str">
        <f t="shared" si="17"/>
        <v>CLK_CIRD_NREL_NONO_V</v>
      </c>
      <c r="V116" s="7" t="s">
        <v>829</v>
      </c>
    </row>
    <row r="117" spans="1:22">
      <c r="A117" s="7" t="str">
        <f>TRIM(ETLMetadata!$B117)</f>
        <v>CLK</v>
      </c>
      <c r="B117" s="7" t="str">
        <f>TRIM(ETLMetadata!$C117)</f>
        <v>CIRD_NREL_NONO</v>
      </c>
      <c r="C117" s="7" t="str">
        <f>TRIM(ETLMetadata!$F117)</f>
        <v>NONO_VAR_TEXT</v>
      </c>
      <c r="D117" s="7" t="str">
        <f>TRIM(ETLMetadata!$H117)</f>
        <v>StringType()</v>
      </c>
      <c r="E117" s="7" t="str">
        <f t="shared" si="16"/>
        <v>CLK_CIRD_NREL_NONO</v>
      </c>
      <c r="F117" s="7" t="str">
        <f t="shared" si="10"/>
        <v>NONO_VAR_TEXT</v>
      </c>
      <c r="G117" s="7" t="s">
        <v>825</v>
      </c>
      <c r="H117" s="7" t="str">
        <f t="shared" si="11"/>
        <v>CLK_CIRD_NREL_NONO</v>
      </c>
      <c r="I117" s="7" t="str">
        <f t="shared" si="12"/>
        <v>NONO_VAR_TEXT</v>
      </c>
      <c r="J117" s="7" t="str">
        <f t="shared" si="13"/>
        <v>VARCHAR</v>
      </c>
      <c r="K117" s="7" t="str">
        <f>TRIM(ETLMetadata!$G117)</f>
        <v>VARCHAR(20)</v>
      </c>
      <c r="L117" s="7" t="str">
        <f>TRIM(ETLMetadata!$I117)</f>
        <v/>
      </c>
      <c r="M117" s="7" t="str">
        <f t="shared" si="14"/>
        <v>NULLIF(TRIM(NONO_VAR_TEXT),'')</v>
      </c>
      <c r="N117" s="7" t="str">
        <f>TRIM(ETLMetadata!$J117)</f>
        <v/>
      </c>
      <c r="O117" s="8" t="str">
        <f>IF(TRIM(Classification!$G117)="","NOT CONFIDENTIAL",TRIM(Classification!$G117))</f>
        <v>NOT CONFIDENTIAL</v>
      </c>
      <c r="P117" s="7" t="str">
        <f t="shared" si="15"/>
        <v>Y</v>
      </c>
      <c r="Q117" s="7" t="s">
        <v>826</v>
      </c>
      <c r="R117" s="9">
        <v>2958465</v>
      </c>
      <c r="S117" s="7" t="s">
        <v>827</v>
      </c>
      <c r="T117" s="7" t="s">
        <v>828</v>
      </c>
      <c r="U117" s="7" t="str">
        <f t="shared" si="17"/>
        <v>CLK_CIRD_NREL_NONO_V</v>
      </c>
      <c r="V117" s="7" t="s">
        <v>829</v>
      </c>
    </row>
    <row r="118" spans="1:22">
      <c r="A118" s="7" t="str">
        <f>TRIM(ETLMetadata!$B118)</f>
        <v>CLK</v>
      </c>
      <c r="B118" s="7" t="str">
        <f>TRIM(ETLMetadata!$C118)</f>
        <v>CIRD_NREL_NONO</v>
      </c>
      <c r="C118" s="7" t="str">
        <f>TRIM(ETLMetadata!$F118)</f>
        <v>PARTY_ROLE_ID</v>
      </c>
      <c r="D118" s="7" t="str">
        <f>TRIM(ETLMetadata!$H118)</f>
        <v>StringType()</v>
      </c>
      <c r="E118" s="7" t="str">
        <f t="shared" si="16"/>
        <v>CLK_CIRD_NREL_NONO</v>
      </c>
      <c r="F118" s="7" t="str">
        <f t="shared" si="10"/>
        <v>PARTY_ROLE_ID</v>
      </c>
      <c r="G118" s="7" t="s">
        <v>825</v>
      </c>
      <c r="H118" s="7" t="str">
        <f t="shared" si="11"/>
        <v>CLK_CIRD_NREL_NONO</v>
      </c>
      <c r="I118" s="7" t="str">
        <f t="shared" si="12"/>
        <v>PARTY_ROLE_ID</v>
      </c>
      <c r="J118" s="7" t="str">
        <f t="shared" si="13"/>
        <v>INTEGER</v>
      </c>
      <c r="K118" s="7" t="str">
        <f>TRIM(ETLMetadata!$G118)</f>
        <v>INTEGER</v>
      </c>
      <c r="L118" s="7" t="str">
        <f>TRIM(ETLMetadata!$I118)</f>
        <v/>
      </c>
      <c r="M118" s="7" t="str">
        <f t="shared" si="14"/>
        <v>CAST(NULLIF(TRIM(PARTY_ROLE_ID),'') AS INTEGER)</v>
      </c>
      <c r="N118" s="7" t="str">
        <f>TRIM(ETLMetadata!$J118)</f>
        <v/>
      </c>
      <c r="O118" s="8" t="str">
        <f>IF(TRIM(Classification!$G118)="","NOT CONFIDENTIAL",TRIM(Classification!$G118))</f>
        <v>NOT CONFIDENTIAL</v>
      </c>
      <c r="P118" s="7" t="str">
        <f t="shared" si="15"/>
        <v>Y</v>
      </c>
      <c r="Q118" s="7" t="s">
        <v>826</v>
      </c>
      <c r="R118" s="9">
        <v>2958465</v>
      </c>
      <c r="S118" s="7" t="s">
        <v>827</v>
      </c>
      <c r="T118" s="7" t="s">
        <v>828</v>
      </c>
      <c r="U118" s="7" t="str">
        <f t="shared" si="17"/>
        <v>CLK_CIRD_NREL_NONO_V</v>
      </c>
      <c r="V118" s="7" t="s">
        <v>829</v>
      </c>
    </row>
    <row r="119" spans="1:22">
      <c r="A119" s="7" t="str">
        <f>TRIM(ETLMetadata!$B119)</f>
        <v>CLK</v>
      </c>
      <c r="B119" s="7" t="str">
        <f>TRIM(ETLMetadata!$C119)</f>
        <v>CIRD_NREL_NONO</v>
      </c>
      <c r="C119" s="7" t="str">
        <f>TRIM(ETLMetadata!$F119)</f>
        <v>RELATED_PARTY_ROLE_ID</v>
      </c>
      <c r="D119" s="7" t="str">
        <f>TRIM(ETLMetadata!$H119)</f>
        <v>StringType()</v>
      </c>
      <c r="E119" s="7" t="str">
        <f t="shared" si="16"/>
        <v>CLK_CIRD_NREL_NONO</v>
      </c>
      <c r="F119" s="7" t="str">
        <f t="shared" si="10"/>
        <v>RELATED_PARTY_ROLE_ID</v>
      </c>
      <c r="G119" s="7" t="s">
        <v>825</v>
      </c>
      <c r="H119" s="7" t="str">
        <f t="shared" si="11"/>
        <v>CLK_CIRD_NREL_NONO</v>
      </c>
      <c r="I119" s="7" t="str">
        <f t="shared" si="12"/>
        <v>RELATED_PARTY_ROLE_ID</v>
      </c>
      <c r="J119" s="7" t="str">
        <f t="shared" si="13"/>
        <v>INTEGER</v>
      </c>
      <c r="K119" s="7" t="str">
        <f>TRIM(ETLMetadata!$G119)</f>
        <v>INTEGER</v>
      </c>
      <c r="L119" s="7" t="str">
        <f>TRIM(ETLMetadata!$I119)</f>
        <v/>
      </c>
      <c r="M119" s="7" t="str">
        <f t="shared" si="14"/>
        <v>CAST(NULLIF(TRIM(RELATED_PARTY_ROLE_ID),'') AS INTEGER)</v>
      </c>
      <c r="N119" s="7" t="str">
        <f>TRIM(ETLMetadata!$J119)</f>
        <v/>
      </c>
      <c r="O119" s="8" t="str">
        <f>IF(TRIM(Classification!$G119)="","NOT CONFIDENTIAL",TRIM(Classification!$G119))</f>
        <v>NOT CONFIDENTIAL</v>
      </c>
      <c r="P119" s="7" t="str">
        <f t="shared" si="15"/>
        <v>Y</v>
      </c>
      <c r="Q119" s="7" t="s">
        <v>826</v>
      </c>
      <c r="R119" s="9">
        <v>2958465</v>
      </c>
      <c r="S119" s="7" t="s">
        <v>827</v>
      </c>
      <c r="T119" s="7" t="s">
        <v>828</v>
      </c>
      <c r="U119" s="7" t="str">
        <f t="shared" si="17"/>
        <v>CLK_CIRD_NREL_NONO_V</v>
      </c>
      <c r="V119" s="7" t="s">
        <v>829</v>
      </c>
    </row>
    <row r="120" spans="1:22">
      <c r="A120" s="7" t="str">
        <f>TRIM(ETLMetadata!$B120)</f>
        <v>CLK</v>
      </c>
      <c r="B120" s="7" t="str">
        <f>TRIM(ETLMetadata!$C120)</f>
        <v>CIRD_NREL_NONO</v>
      </c>
      <c r="C120" s="7" t="str">
        <f>TRIM(ETLMetadata!$F120)</f>
        <v>AMR1_RISL_DTS</v>
      </c>
      <c r="D120" s="7" t="str">
        <f>TRIM(ETLMetadata!$H120)</f>
        <v>StringType()</v>
      </c>
      <c r="E120" s="7" t="str">
        <f t="shared" si="16"/>
        <v>CLK_CIRD_NREL_NONO</v>
      </c>
      <c r="F120" s="7" t="str">
        <f t="shared" si="10"/>
        <v>AMR1_RISL_DTS</v>
      </c>
      <c r="G120" s="7" t="s">
        <v>825</v>
      </c>
      <c r="H120" s="7" t="str">
        <f t="shared" si="11"/>
        <v>CLK_CIRD_NREL_NONO</v>
      </c>
      <c r="I120" s="7" t="str">
        <f t="shared" si="12"/>
        <v>AMR1_RISL_DTS</v>
      </c>
      <c r="J120" s="7" t="str">
        <f t="shared" si="13"/>
        <v>TIMESTAMP</v>
      </c>
      <c r="K120" s="7" t="str">
        <f>TRIM(ETLMetadata!$G120)</f>
        <v>TIMESTAMP(6)</v>
      </c>
      <c r="L120" s="7" t="str">
        <f>TRIM(ETLMetadata!$I120)</f>
        <v>YYYY-MM-DDBHH:MI:SS.S(6)</v>
      </c>
      <c r="M120" s="7" t="str">
        <f t="shared" si="14"/>
        <v>TO_TIMESTAMP_NTZ(NULLIF(TRIM(AMR1_RISL_DTS),''),'YYYY-MM-DD HH24:MI:SS.FF6')</v>
      </c>
      <c r="N120" s="7" t="str">
        <f>TRIM(ETLMetadata!$J120)</f>
        <v/>
      </c>
      <c r="O120" s="8" t="str">
        <f>IF(TRIM(Classification!$G120)="","NOT CONFIDENTIAL",TRIM(Classification!$G120))</f>
        <v>NOT CONFIDENTIAL</v>
      </c>
      <c r="P120" s="7" t="str">
        <f t="shared" si="15"/>
        <v>Y</v>
      </c>
      <c r="Q120" s="7" t="s">
        <v>826</v>
      </c>
      <c r="R120" s="9">
        <v>2958465</v>
      </c>
      <c r="S120" s="7" t="s">
        <v>827</v>
      </c>
      <c r="T120" s="7" t="s">
        <v>828</v>
      </c>
      <c r="U120" s="7" t="str">
        <f t="shared" si="17"/>
        <v>CLK_CIRD_NREL_NONO_V</v>
      </c>
      <c r="V120" s="7" t="s">
        <v>829</v>
      </c>
    </row>
    <row r="121" spans="1:22">
      <c r="A121" s="7" t="str">
        <f>TRIM(ETLMetadata!$B121)</f>
        <v>CLK</v>
      </c>
      <c r="B121" s="7" t="str">
        <f>TRIM(ETLMetadata!$C121)</f>
        <v>CIRD_NREL_NONO</v>
      </c>
      <c r="C121" s="7" t="str">
        <f>TRIM(ETLMetadata!$F121)</f>
        <v>AMR3_RISL_DTS</v>
      </c>
      <c r="D121" s="7" t="str">
        <f>TRIM(ETLMetadata!$H121)</f>
        <v>StringType()</v>
      </c>
      <c r="E121" s="7" t="str">
        <f t="shared" si="16"/>
        <v>CLK_CIRD_NREL_NONO</v>
      </c>
      <c r="F121" s="7" t="str">
        <f t="shared" si="10"/>
        <v>AMR3_RISL_DTS</v>
      </c>
      <c r="G121" s="7" t="s">
        <v>825</v>
      </c>
      <c r="H121" s="7" t="str">
        <f t="shared" si="11"/>
        <v>CLK_CIRD_NREL_NONO</v>
      </c>
      <c r="I121" s="7" t="str">
        <f t="shared" si="12"/>
        <v>AMR3_RISL_DTS</v>
      </c>
      <c r="J121" s="7" t="str">
        <f t="shared" si="13"/>
        <v>TIMESTAMP</v>
      </c>
      <c r="K121" s="7" t="str">
        <f>TRIM(ETLMetadata!$G121)</f>
        <v>TIMESTAMP(6)</v>
      </c>
      <c r="L121" s="7" t="str">
        <f>TRIM(ETLMetadata!$I121)</f>
        <v>YYYY-MM-DDBHH:MI:SS.S(6)</v>
      </c>
      <c r="M121" s="7" t="str">
        <f t="shared" si="14"/>
        <v>TO_TIMESTAMP_NTZ(NULLIF(TRIM(AMR3_RISL_DTS),''),'YYYY-MM-DD HH24:MI:SS.FF6')</v>
      </c>
      <c r="N121" s="7" t="str">
        <f>TRIM(ETLMetadata!$J121)</f>
        <v/>
      </c>
      <c r="O121" s="8" t="str">
        <f>IF(TRIM(Classification!$G121)="","NOT CONFIDENTIAL",TRIM(Classification!$G121))</f>
        <v>NOT CONFIDENTIAL</v>
      </c>
      <c r="P121" s="7" t="str">
        <f t="shared" si="15"/>
        <v>Y</v>
      </c>
      <c r="Q121" s="7" t="s">
        <v>826</v>
      </c>
      <c r="R121" s="9">
        <v>2958465</v>
      </c>
      <c r="S121" s="7" t="s">
        <v>827</v>
      </c>
      <c r="T121" s="7" t="s">
        <v>828</v>
      </c>
      <c r="U121" s="7" t="str">
        <f t="shared" si="17"/>
        <v>CLK_CIRD_NREL_NONO_V</v>
      </c>
      <c r="V121" s="7" t="s">
        <v>829</v>
      </c>
    </row>
    <row r="122" spans="1:22">
      <c r="A122" s="7" t="str">
        <f>TRIM(ETLMetadata!$B122)</f>
        <v>CLK</v>
      </c>
      <c r="B122" s="7" t="str">
        <f>TRIM(ETLMetadata!$C122)</f>
        <v>CIRD_NREL_NONO</v>
      </c>
      <c r="C122" s="7" t="str">
        <f>TRIM(ETLMetadata!$F122)</f>
        <v>ERROR_COUNT</v>
      </c>
      <c r="D122" s="7" t="str">
        <f>TRIM(ETLMetadata!$H122)</f>
        <v>StringType()</v>
      </c>
      <c r="E122" s="7" t="str">
        <f t="shared" si="16"/>
        <v>CLK_CIRD_NREL_NONO</v>
      </c>
      <c r="F122" s="7" t="str">
        <f t="shared" si="10"/>
        <v>ERROR_COUNT</v>
      </c>
      <c r="G122" s="7" t="s">
        <v>825</v>
      </c>
      <c r="H122" s="7" t="str">
        <f t="shared" si="11"/>
        <v>CLK_CIRD_NREL_NONO</v>
      </c>
      <c r="I122" s="7" t="str">
        <f t="shared" si="12"/>
        <v>ERROR_COUNT</v>
      </c>
      <c r="J122" s="7" t="str">
        <f t="shared" si="13"/>
        <v>SMALLINT</v>
      </c>
      <c r="K122" s="7" t="str">
        <f>TRIM(ETLMetadata!$G122)</f>
        <v>SMALLINT</v>
      </c>
      <c r="L122" s="7" t="str">
        <f>TRIM(ETLMetadata!$I122)</f>
        <v/>
      </c>
      <c r="M122" s="7" t="str">
        <f t="shared" si="14"/>
        <v>CAST(NULLIF(TRIM(ERROR_COUNT),'') AS SMALLINT)</v>
      </c>
      <c r="N122" s="7" t="str">
        <f>TRIM(ETLMetadata!$J122)</f>
        <v/>
      </c>
      <c r="O122" s="8" t="str">
        <f>IF(TRIM(Classification!$G122)="","NOT CONFIDENTIAL",TRIM(Classification!$G122))</f>
        <v>NOT CONFIDENTIAL</v>
      </c>
      <c r="P122" s="7" t="str">
        <f t="shared" si="15"/>
        <v>Y</v>
      </c>
      <c r="Q122" s="7" t="s">
        <v>826</v>
      </c>
      <c r="R122" s="9">
        <v>2958465</v>
      </c>
      <c r="S122" s="7" t="s">
        <v>827</v>
      </c>
      <c r="T122" s="7" t="s">
        <v>828</v>
      </c>
      <c r="U122" s="7" t="str">
        <f t="shared" si="17"/>
        <v>CLK_CIRD_NREL_NONO_V</v>
      </c>
      <c r="V122" s="7" t="s">
        <v>829</v>
      </c>
    </row>
    <row r="123" spans="1:22">
      <c r="A123" s="7" t="str">
        <f>TRIM(ETLMetadata!$B123)</f>
        <v>CLK</v>
      </c>
      <c r="B123" s="7" t="str">
        <f>TRIM(ETLMetadata!$C123)</f>
        <v>CIRD_NREL_NONO</v>
      </c>
      <c r="C123" s="7" t="str">
        <f>TRIM(ETLMetadata!$F123)</f>
        <v>Start_Date</v>
      </c>
      <c r="D123" s="7" t="str">
        <f>TRIM(ETLMetadata!$H123)</f>
        <v>StringType()</v>
      </c>
      <c r="E123" s="7" t="str">
        <f t="shared" si="16"/>
        <v>CLK_CIRD_NREL_NONO</v>
      </c>
      <c r="F123" s="7" t="str">
        <f t="shared" si="10"/>
        <v>STRT_DT</v>
      </c>
      <c r="G123" s="7" t="s">
        <v>825</v>
      </c>
      <c r="H123" s="7" t="str">
        <f t="shared" si="11"/>
        <v>CLK_CIRD_NREL_NONO</v>
      </c>
      <c r="I123" s="7" t="str">
        <f t="shared" si="12"/>
        <v>STRT_DT</v>
      </c>
      <c r="J123" s="7" t="str">
        <f t="shared" si="13"/>
        <v>DATE</v>
      </c>
      <c r="K123" s="7" t="str">
        <f>TRIM(ETLMetadata!$G123)</f>
        <v>DATE</v>
      </c>
      <c r="L123" s="7" t="str">
        <f>TRIM(ETLMetadata!$I123)</f>
        <v>YYYY-MM-DD</v>
      </c>
      <c r="M123" s="7" t="str">
        <f t="shared" si="14"/>
        <v>TO_DATE(NULLIF(TRIM(STRT_DT),'') , 'YYYY-MM-DD')</v>
      </c>
      <c r="N123" s="7" t="str">
        <f>TRIM(ETLMetadata!$J123)</f>
        <v/>
      </c>
      <c r="O123" s="8" t="str">
        <f>IF(TRIM(Classification!$G123)="","NOT CONFIDENTIAL",TRIM(Classification!$G123))</f>
        <v>NOT CONFIDENTIAL</v>
      </c>
      <c r="P123" s="7" t="str">
        <f t="shared" si="15"/>
        <v>N</v>
      </c>
      <c r="Q123" s="7" t="s">
        <v>826</v>
      </c>
      <c r="R123" s="9">
        <v>2958465</v>
      </c>
      <c r="S123" s="7" t="s">
        <v>827</v>
      </c>
      <c r="T123" s="7" t="s">
        <v>828</v>
      </c>
      <c r="U123" s="7" t="str">
        <f t="shared" si="17"/>
        <v>CLK_CIRD_NREL_NONO_V</v>
      </c>
      <c r="V123" s="7" t="s">
        <v>829</v>
      </c>
    </row>
    <row r="124" spans="1:22">
      <c r="A124" s="7" t="str">
        <f>TRIM(ETLMetadata!$B124)</f>
        <v>CLK</v>
      </c>
      <c r="B124" s="7" t="str">
        <f>TRIM(ETLMetadata!$C124)</f>
        <v>CIRD_NREL_NONO</v>
      </c>
      <c r="C124" s="7" t="str">
        <f>TRIM(ETLMetadata!$F124)</f>
        <v>End_Date</v>
      </c>
      <c r="D124" s="7" t="str">
        <f>TRIM(ETLMetadata!$H124)</f>
        <v>StringType()</v>
      </c>
      <c r="E124" s="7" t="str">
        <f t="shared" si="16"/>
        <v>CLK_CIRD_NREL_NONO</v>
      </c>
      <c r="F124" s="7" t="str">
        <f t="shared" si="10"/>
        <v>END_DT</v>
      </c>
      <c r="G124" s="7" t="s">
        <v>825</v>
      </c>
      <c r="H124" s="7" t="str">
        <f t="shared" si="11"/>
        <v>CLK_CIRD_NREL_NONO</v>
      </c>
      <c r="I124" s="7" t="str">
        <f t="shared" si="12"/>
        <v>END_DT</v>
      </c>
      <c r="J124" s="7" t="str">
        <f t="shared" si="13"/>
        <v>DATE</v>
      </c>
      <c r="K124" s="7" t="str">
        <f>TRIM(ETLMetadata!$G124)</f>
        <v>DATE</v>
      </c>
      <c r="L124" s="7" t="str">
        <f>TRIM(ETLMetadata!$I124)</f>
        <v>YYYY-MM-DD</v>
      </c>
      <c r="M124" s="7" t="str">
        <f t="shared" si="14"/>
        <v>TO_DATE(NULLIF(TRIM(END_DT),'') , 'YYYY-MM-DD')</v>
      </c>
      <c r="N124" s="7" t="str">
        <f>TRIM(ETLMetadata!$J124)</f>
        <v/>
      </c>
      <c r="O124" s="8" t="str">
        <f>IF(TRIM(Classification!$G124)="","NOT CONFIDENTIAL",TRIM(Classification!$G124))</f>
        <v>NOT CONFIDENTIAL</v>
      </c>
      <c r="P124" s="7" t="str">
        <f t="shared" si="15"/>
        <v>N</v>
      </c>
      <c r="Q124" s="7" t="s">
        <v>826</v>
      </c>
      <c r="R124" s="9">
        <v>2958465</v>
      </c>
      <c r="S124" s="7" t="s">
        <v>827</v>
      </c>
      <c r="T124" s="7" t="s">
        <v>828</v>
      </c>
      <c r="U124" s="7" t="str">
        <f t="shared" si="17"/>
        <v>CLK_CIRD_NREL_NONO_V</v>
      </c>
      <c r="V124" s="7" t="s">
        <v>829</v>
      </c>
    </row>
    <row r="125" spans="1:22">
      <c r="A125" s="7" t="str">
        <f>TRIM(ETLMetadata!$B125)</f>
        <v>CLK</v>
      </c>
      <c r="B125" s="7" t="str">
        <f>TRIM(ETLMetadata!$C125)</f>
        <v>CIRD_NREL_NONO</v>
      </c>
      <c r="C125" s="7" t="str">
        <f>TRIM(ETLMetadata!$F125)</f>
        <v>Record_Deleted_Flag</v>
      </c>
      <c r="D125" s="7" t="str">
        <f>TRIM(ETLMetadata!$H125)</f>
        <v>StringType()</v>
      </c>
      <c r="E125" s="7" t="str">
        <f t="shared" si="16"/>
        <v>CLK_CIRD_NREL_NONO</v>
      </c>
      <c r="F125" s="7" t="str">
        <f t="shared" si="10"/>
        <v>RCRD_DEL_IND</v>
      </c>
      <c r="G125" s="7" t="s">
        <v>825</v>
      </c>
      <c r="H125" s="7" t="str">
        <f t="shared" si="11"/>
        <v>CLK_CIRD_NREL_NONO</v>
      </c>
      <c r="I125" s="7" t="str">
        <f t="shared" si="12"/>
        <v>RCRD_DEL_IND</v>
      </c>
      <c r="J125" s="7" t="str">
        <f t="shared" si="13"/>
        <v>SMALLINT</v>
      </c>
      <c r="K125" s="7" t="str">
        <f>TRIM(ETLMetadata!$G125)</f>
        <v>BYTEINT</v>
      </c>
      <c r="L125" s="7" t="str">
        <f>TRIM(ETLMetadata!$I125)</f>
        <v/>
      </c>
      <c r="M125" s="7" t="str">
        <f t="shared" si="14"/>
        <v>CAST(NULLIF(TRIM(RCRD_DEL_IND),'') AS SMALLINT)</v>
      </c>
      <c r="N125" s="7" t="str">
        <f>TRIM(ETLMetadata!$J125)</f>
        <v/>
      </c>
      <c r="O125" s="8" t="str">
        <f>IF(TRIM(Classification!$G125)="","NOT CONFIDENTIAL",TRIM(Classification!$G125))</f>
        <v>NOT CONFIDENTIAL</v>
      </c>
      <c r="P125" s="7" t="str">
        <f t="shared" si="15"/>
        <v>N</v>
      </c>
      <c r="Q125" s="7" t="s">
        <v>826</v>
      </c>
      <c r="R125" s="9">
        <v>2958465</v>
      </c>
      <c r="S125" s="7" t="s">
        <v>827</v>
      </c>
      <c r="T125" s="7" t="s">
        <v>828</v>
      </c>
      <c r="U125" s="7" t="str">
        <f t="shared" si="17"/>
        <v>CLK_CIRD_NREL_NONO_V</v>
      </c>
      <c r="V125" s="7" t="s">
        <v>829</v>
      </c>
    </row>
    <row r="126" spans="1:22">
      <c r="A126" s="7" t="str">
        <f>TRIM(ETLMetadata!$B126)</f>
        <v>CLK</v>
      </c>
      <c r="B126" s="7" t="str">
        <f>TRIM(ETLMetadata!$C126)</f>
        <v>CUST_CST_CUAD_RE</v>
      </c>
      <c r="C126" s="7" t="str">
        <f>TRIM(ETLMetadata!$F126)</f>
        <v>EXTRACT_DATE</v>
      </c>
      <c r="D126" s="7" t="str">
        <f>TRIM(ETLMetadata!$H126)</f>
        <v>StringType()</v>
      </c>
      <c r="E126" s="7" t="str">
        <f t="shared" si="16"/>
        <v>CLK_CUST_CST_CUAD_RE</v>
      </c>
      <c r="F126" s="7" t="str">
        <f t="shared" si="10"/>
        <v>EXTRACT_DATE</v>
      </c>
      <c r="G126" s="7" t="s">
        <v>825</v>
      </c>
      <c r="H126" s="7" t="str">
        <f t="shared" si="11"/>
        <v>CLK_CUST_CST_CUAD_RE</v>
      </c>
      <c r="I126" s="7" t="str">
        <f t="shared" si="12"/>
        <v>EXTRACT_DATE</v>
      </c>
      <c r="J126" s="7" t="str">
        <f t="shared" si="13"/>
        <v>DATE</v>
      </c>
      <c r="K126" s="7" t="str">
        <f>TRIM(ETLMetadata!$G126)</f>
        <v>DATE</v>
      </c>
      <c r="L126" s="7" t="str">
        <f>TRIM(ETLMetadata!$I126)</f>
        <v>YYYY-MM-DD</v>
      </c>
      <c r="M126" s="7" t="str">
        <f t="shared" si="14"/>
        <v>TO_DATE(NULLIF(TRIM(EXTRACT_DATE),'') , 'YYYY-MM-DD')</v>
      </c>
      <c r="N126" s="7" t="str">
        <f>TRIM(ETLMetadata!$J126)</f>
        <v/>
      </c>
      <c r="O126" s="8" t="str">
        <f>IF(TRIM(Classification!$G126)="","NOT CONFIDENTIAL",TRIM(Classification!$G126))</f>
        <v>NOT CONFIDENTIAL</v>
      </c>
      <c r="P126" s="7" t="str">
        <f t="shared" si="15"/>
        <v>Y</v>
      </c>
      <c r="Q126" s="7" t="s">
        <v>826</v>
      </c>
      <c r="R126" s="9">
        <v>2958465</v>
      </c>
      <c r="S126" s="7" t="s">
        <v>827</v>
      </c>
      <c r="T126" s="7" t="s">
        <v>828</v>
      </c>
      <c r="U126" s="7" t="str">
        <f t="shared" si="17"/>
        <v>CLK_CUST_CST_CUAD_RE_V</v>
      </c>
      <c r="V126" s="7" t="s">
        <v>829</v>
      </c>
    </row>
    <row r="127" spans="1:22">
      <c r="A127" s="7" t="str">
        <f>TRIM(ETLMetadata!$B127)</f>
        <v>CLK</v>
      </c>
      <c r="B127" s="7" t="str">
        <f>TRIM(ETLMetadata!$C127)</f>
        <v>CUST_CST_CUAD_RE</v>
      </c>
      <c r="C127" s="7" t="str">
        <f>TRIM(ETLMetadata!$F127)</f>
        <v>LOGICAL_DELETE_DATE</v>
      </c>
      <c r="D127" s="7" t="str">
        <f>TRIM(ETLMetadata!$H127)</f>
        <v>StringType()</v>
      </c>
      <c r="E127" s="7" t="str">
        <f t="shared" si="16"/>
        <v>CLK_CUST_CST_CUAD_RE</v>
      </c>
      <c r="F127" s="7" t="str">
        <f t="shared" si="10"/>
        <v>LOGICAL_DELETE_DATE</v>
      </c>
      <c r="G127" s="7" t="s">
        <v>825</v>
      </c>
      <c r="H127" s="7" t="str">
        <f t="shared" si="11"/>
        <v>CLK_CUST_CST_CUAD_RE</v>
      </c>
      <c r="I127" s="7" t="str">
        <f t="shared" si="12"/>
        <v>LOGICAL_DELETE_DATE</v>
      </c>
      <c r="J127" s="7" t="str">
        <f t="shared" si="13"/>
        <v>DATE</v>
      </c>
      <c r="K127" s="7" t="str">
        <f>TRIM(ETLMetadata!$G127)</f>
        <v>DATE</v>
      </c>
      <c r="L127" s="7" t="str">
        <f>TRIM(ETLMetadata!$I127)</f>
        <v>YYYY-MM-DD</v>
      </c>
      <c r="M127" s="7" t="str">
        <f t="shared" si="14"/>
        <v>TO_DATE(NULLIF(TRIM(LOGICAL_DELETE_DATE),'') , 'YYYY-MM-DD')</v>
      </c>
      <c r="N127" s="7" t="str">
        <f>TRIM(ETLMetadata!$J127)</f>
        <v/>
      </c>
      <c r="O127" s="8" t="str">
        <f>IF(TRIM(Classification!$G127)="","NOT CONFIDENTIAL",TRIM(Classification!$G127))</f>
        <v>NOT CONFIDENTIAL</v>
      </c>
      <c r="P127" s="7" t="str">
        <f t="shared" si="15"/>
        <v>Y</v>
      </c>
      <c r="Q127" s="7" t="s">
        <v>826</v>
      </c>
      <c r="R127" s="9">
        <v>2958465</v>
      </c>
      <c r="S127" s="7" t="s">
        <v>827</v>
      </c>
      <c r="T127" s="7" t="s">
        <v>828</v>
      </c>
      <c r="U127" s="7" t="str">
        <f t="shared" si="17"/>
        <v>CLK_CUST_CST_CUAD_RE_V</v>
      </c>
      <c r="V127" s="7" t="s">
        <v>829</v>
      </c>
    </row>
    <row r="128" spans="1:22">
      <c r="A128" s="7" t="str">
        <f>TRIM(ETLMetadata!$B128)</f>
        <v>CLK</v>
      </c>
      <c r="B128" s="7" t="str">
        <f>TRIM(ETLMetadata!$C128)</f>
        <v>CUST_CST_CUAD_RE</v>
      </c>
      <c r="C128" s="7" t="str">
        <f>TRIM(ETLMetadata!$F128)</f>
        <v>ENVIRONMENT_ID</v>
      </c>
      <c r="D128" s="7" t="str">
        <f>TRIM(ETLMetadata!$H128)</f>
        <v>StringType()</v>
      </c>
      <c r="E128" s="7" t="str">
        <f t="shared" si="16"/>
        <v>CLK_CUST_CST_CUAD_RE</v>
      </c>
      <c r="F128" s="7" t="str">
        <f t="shared" si="10"/>
        <v>ENVIRONMENT_ID</v>
      </c>
      <c r="G128" s="7" t="s">
        <v>825</v>
      </c>
      <c r="H128" s="7" t="str">
        <f t="shared" si="11"/>
        <v>CLK_CUST_CST_CUAD_RE</v>
      </c>
      <c r="I128" s="7" t="str">
        <f t="shared" si="12"/>
        <v>ENVIRONMENT_ID</v>
      </c>
      <c r="J128" s="7" t="str">
        <f t="shared" si="13"/>
        <v>VARCHAR</v>
      </c>
      <c r="K128" s="7" t="str">
        <f>TRIM(ETLMetadata!$G128)</f>
        <v>CHAR(1)</v>
      </c>
      <c r="L128" s="7" t="str">
        <f>TRIM(ETLMetadata!$I128)</f>
        <v/>
      </c>
      <c r="M128" s="7" t="str">
        <f t="shared" si="14"/>
        <v>NULLIF(TRIM(ENVIRONMENT_ID),'')</v>
      </c>
      <c r="N128" s="7" t="str">
        <f>TRIM(ETLMetadata!$J128)</f>
        <v>Y</v>
      </c>
      <c r="O128" s="8" t="str">
        <f>IF(TRIM(Classification!$G128)="","NOT CONFIDENTIAL",TRIM(Classification!$G128))</f>
        <v>NOT CONFIDENTIAL</v>
      </c>
      <c r="P128" s="7" t="str">
        <f t="shared" si="15"/>
        <v>Y</v>
      </c>
      <c r="Q128" s="7" t="s">
        <v>826</v>
      </c>
      <c r="R128" s="9">
        <v>2958465</v>
      </c>
      <c r="S128" s="7" t="s">
        <v>827</v>
      </c>
      <c r="T128" s="7" t="s">
        <v>828</v>
      </c>
      <c r="U128" s="7" t="str">
        <f t="shared" si="17"/>
        <v>CLK_CUST_CST_CUAD_RE_V</v>
      </c>
      <c r="V128" s="7" t="s">
        <v>829</v>
      </c>
    </row>
    <row r="129" spans="1:22">
      <c r="A129" s="7" t="str">
        <f>TRIM(ETLMetadata!$B129)</f>
        <v>CLK</v>
      </c>
      <c r="B129" s="7" t="str">
        <f>TRIM(ETLMetadata!$C129)</f>
        <v>CUST_CST_CUAD_RE</v>
      </c>
      <c r="C129" s="7" t="str">
        <f>TRIM(ETLMetadata!$F129)</f>
        <v>PERSON_ID</v>
      </c>
      <c r="D129" s="7" t="str">
        <f>TRIM(ETLMetadata!$H129)</f>
        <v>StringType()</v>
      </c>
      <c r="E129" s="7" t="str">
        <f t="shared" si="16"/>
        <v>CLK_CUST_CST_CUAD_RE</v>
      </c>
      <c r="F129" s="7" t="str">
        <f t="shared" si="10"/>
        <v>PERSON_ID</v>
      </c>
      <c r="G129" s="7" t="s">
        <v>825</v>
      </c>
      <c r="H129" s="7" t="str">
        <f t="shared" si="11"/>
        <v>CLK_CUST_CST_CUAD_RE</v>
      </c>
      <c r="I129" s="7" t="str">
        <f t="shared" si="12"/>
        <v>PERSON_ID</v>
      </c>
      <c r="J129" s="7" t="str">
        <f t="shared" si="13"/>
        <v>INTEGER</v>
      </c>
      <c r="K129" s="7" t="str">
        <f>TRIM(ETLMetadata!$G129)</f>
        <v>INTEGER</v>
      </c>
      <c r="L129" s="7" t="str">
        <f>TRIM(ETLMetadata!$I129)</f>
        <v/>
      </c>
      <c r="M129" s="7" t="str">
        <f t="shared" si="14"/>
        <v>CAST(NULLIF(TRIM(PERSON_ID),'') AS INTEGER)</v>
      </c>
      <c r="N129" s="7" t="str">
        <f>TRIM(ETLMetadata!$J129)</f>
        <v>Y</v>
      </c>
      <c r="O129" s="8" t="str">
        <f>IF(TRIM(Classification!$G129)="","NOT CONFIDENTIAL",TRIM(Classification!$G129))</f>
        <v>PERSONAL_IDENTITYINFOINDIRECT</v>
      </c>
      <c r="P129" s="7" t="str">
        <f t="shared" si="15"/>
        <v>Y</v>
      </c>
      <c r="Q129" s="7" t="s">
        <v>826</v>
      </c>
      <c r="R129" s="9">
        <v>2958465</v>
      </c>
      <c r="S129" s="7" t="s">
        <v>827</v>
      </c>
      <c r="T129" s="7" t="s">
        <v>828</v>
      </c>
      <c r="U129" s="7" t="str">
        <f t="shared" si="17"/>
        <v>CLK_CUST_CST_CUAD_RE_V</v>
      </c>
      <c r="V129" s="7" t="s">
        <v>829</v>
      </c>
    </row>
    <row r="130" spans="1:22">
      <c r="A130" s="7" t="str">
        <f>TRIM(ETLMetadata!$B130)</f>
        <v>CLK</v>
      </c>
      <c r="B130" s="7" t="str">
        <f>TRIM(ETLMetadata!$C130)</f>
        <v>CUST_CST_CUAD_RE</v>
      </c>
      <c r="C130" s="7" t="str">
        <f>TRIM(ETLMetadata!$F130)</f>
        <v>CUAD_DOE</v>
      </c>
      <c r="D130" s="7" t="str">
        <f>TRIM(ETLMetadata!$H130)</f>
        <v>StringType()</v>
      </c>
      <c r="E130" s="7" t="str">
        <f t="shared" si="16"/>
        <v>CLK_CUST_CST_CUAD_RE</v>
      </c>
      <c r="F130" s="7" t="str">
        <f t="shared" si="10"/>
        <v>CUAD_DOE</v>
      </c>
      <c r="G130" s="7" t="s">
        <v>825</v>
      </c>
      <c r="H130" s="7" t="str">
        <f t="shared" si="11"/>
        <v>CLK_CUST_CST_CUAD_RE</v>
      </c>
      <c r="I130" s="7" t="str">
        <f t="shared" si="12"/>
        <v>CUAD_DOE</v>
      </c>
      <c r="J130" s="7" t="str">
        <f t="shared" si="13"/>
        <v>DATE</v>
      </c>
      <c r="K130" s="17" t="s">
        <v>80</v>
      </c>
      <c r="L130" s="7" t="str">
        <f>TRIM(ETLMetadata!$I130)</f>
        <v>YYYY-MM-DD</v>
      </c>
      <c r="M130" s="7" t="str">
        <f t="shared" si="14"/>
        <v>TO_DATE(NULLIF(TRIM(CUAD_DOE),'') , 'YYYY-MM-DD')</v>
      </c>
      <c r="N130" s="7" t="str">
        <f>TRIM(ETLMetadata!$J130)</f>
        <v/>
      </c>
      <c r="O130" s="8" t="str">
        <f>IF(TRIM(Classification!$G130)="","NOT CONFIDENTIAL",TRIM(Classification!$G130))</f>
        <v>NOT CONFIDENTIAL</v>
      </c>
      <c r="P130" s="7" t="str">
        <f t="shared" si="15"/>
        <v>Y</v>
      </c>
      <c r="Q130" s="7" t="s">
        <v>826</v>
      </c>
      <c r="R130" s="9">
        <v>2958465</v>
      </c>
      <c r="S130" s="7" t="s">
        <v>827</v>
      </c>
      <c r="T130" s="7" t="s">
        <v>828</v>
      </c>
      <c r="U130" s="7" t="str">
        <f t="shared" si="17"/>
        <v>CLK_CUST_CST_CUAD_RE_V</v>
      </c>
      <c r="V130" s="7" t="s">
        <v>829</v>
      </c>
    </row>
    <row r="131" spans="1:22">
      <c r="A131" s="7" t="str">
        <f>TRIM(ETLMetadata!$B131)</f>
        <v>CLK</v>
      </c>
      <c r="B131" s="7" t="str">
        <f>TRIM(ETLMetadata!$C131)</f>
        <v>CUST_CST_CUAD_RE</v>
      </c>
      <c r="C131" s="7" t="str">
        <f>TRIM(ETLMetadata!$F131)</f>
        <v>CUAD_DOE_ORIG</v>
      </c>
      <c r="D131" s="7" t="str">
        <f>TRIM(ETLMetadata!$H131)</f>
        <v>StringType()</v>
      </c>
      <c r="E131" s="7" t="str">
        <f t="shared" si="16"/>
        <v>CLK_CUST_CST_CUAD_RE</v>
      </c>
      <c r="F131" s="7" t="str">
        <f t="shared" ref="F131:F194" si="18">IF($C131="Start_Date","STRT_DT",
 IF($C131="End_Date","END_DT",
 IF($C131="Record_Deleted_Flag","RCRD_DEL_IND",
 IF($C131="IsDeleted","RCRD_DEL_IND",
 $C131
))))</f>
        <v>CUAD_DOE_ORIG</v>
      </c>
      <c r="G131" s="7" t="s">
        <v>825</v>
      </c>
      <c r="H131" s="7" t="str">
        <f t="shared" ref="H131:H194" si="19">CONCATENATE($A131,"_",$B131)</f>
        <v>CLK_CUST_CST_CUAD_RE</v>
      </c>
      <c r="I131" s="7" t="str">
        <f t="shared" ref="I131:I194" si="20">IF($C131="Start_Date","STRT_DT",
 IF($C131="End_Date","END_DT",
 IF($C131="Record_Deleted_Flag","RCRD_DEL_IND",
 IF($C131="IsDeleted","RCRD_DEL_IND",
 $C131
))))</f>
        <v>CUAD_DOE_ORIG</v>
      </c>
      <c r="J131" s="7" t="str">
        <f t="shared" ref="J131:J194" si="21">IF(LEFT(TRIM($K131),7)="VARCHAR","VARCHAR",
 IF(LEFT(TRIM($K131),4)="CHAR","VARCHAR",
 IF(TRIM($K131)="TIMESTAMP(6)","TIMESTAMP",
 IF(TRIM($K131)="DATE","DATE",
 IF(TRIM($K131)="BYTEINT","SMALLINT",
 IF(TRIM($K131)="SMALLINT","SMALLINT",
 IF(TRIM($K131)="INTEGER","INTEGER",
 IF(TRIM($K131)="BIGINT","INTEGER",
 IF(LEFT(TRIM($K131),7)="DECIMAL",TRIM($K131),
 IF(TRIM($K131)="BOOLEAN","BOOLEAN",
 IF(TRIM($K131)="DOUBLE","DOUBLE",
 IF(TRIM($K131)="FLOAT","FLOAT",
 IF(TRIM($K131)="REAL","REAL",
 IF(LEFT(TRIM($K131),6)="STRUCT","VARIANT",
 IF(LEFT(TRIM($K131),5)="ARRAY","VARIANT",
 IF(LEFT(TRIM($K131),3)="MAP","VARIANT",
 IF(LEFT(TRIM($K131),3)="ROW","VARIANT",
 "NONE"
)))))))))))))))))</f>
        <v>INTEGER</v>
      </c>
      <c r="K131" s="17" t="s">
        <v>90</v>
      </c>
      <c r="L131" s="7" t="str">
        <f>TRIM(ETLMetadata!$I131)</f>
        <v/>
      </c>
      <c r="M131" s="7" t="str">
        <f t="shared" ref="M131:M194" si="22">IF(LEFT($K131,7)="VARCHAR","NULLIF(TRIM("&amp;$I131&amp;"),'')",
 IF(LEFT($K131,4)="CHAR","NULLIF(TRIM("&amp;$I131&amp;"),'')",
 IF(LEFT($K131,7)="DECIMAL","CAST(NULLIF(TRIM("&amp;$I131&amp;"),'') AS "&amp;$K131&amp;")",
 IF($K131="TIMESTAMP(6)","TO_TIMESTAMP_NTZ(NULLIF(TRIM("&amp;$I131&amp;"),''),'YYYY-MM-DD HH24:MI:SS.FF6')",
 IF($K131="DATE","TO_DATE(NULLIF(TRIM("&amp;$I131&amp;"),'') , 'YYYY-MM-DD')",
 IF($K131="BIGINT","CAST(NULLIF(TRIM("&amp;I131&amp;"),'') AS INTEGER)",
 IF($K131="BYTEINT","CAST(NULLIF(TRIM("&amp;I131&amp;"),'') AS SMALLINT)",
 IF($K131="SMALLINT","CAST(NULLIF(TRIM("&amp;I131&amp;"),'') AS SMALLINT)",
 IF($K131="INTEGER","CAST(NULLIF(TRIM("&amp;I131&amp;"),'') AS INTEGER)",
 IF($K131="BOOLEAN","CAST(NULLIF(TRIM("&amp;I131&amp;"),'') AS BOOLEAN)",
 IF($K131="DOUBLE","CAST(NULLIF(TRIM("&amp;I131&amp;"),'') AS DOUBLE)",
 IF($K131="FLOAT","CAST(NULLIF(TRIM("&amp;I131&amp;"),'') AS FLOAT)",
 IF($K131="REAL","CAST(NULLIF(TRIM("&amp;I131&amp;"),'') AS REAL)",
 IF(OR($K131="STRUCT",$K131="ARRAY",$K131="MAP",$K131="ROW"),"CAST(NULLIF(TRIM("&amp;I131&amp;"),'') AS VARIANT)",
 "NONE"
))))))))))))))</f>
        <v>CAST(NULLIF(TRIM(CUAD_DOE_ORIG),'') AS INTEGER)</v>
      </c>
      <c r="N131" s="7" t="str">
        <f>TRIM(ETLMetadata!$J131)</f>
        <v>Y</v>
      </c>
      <c r="O131" s="8" t="str">
        <f>IF(TRIM(Classification!$G131)="","NOT CONFIDENTIAL",TRIM(Classification!$G131))</f>
        <v>NOT CONFIDENTIAL</v>
      </c>
      <c r="P131" s="7" t="str">
        <f t="shared" ref="P131:P194" si="23">IF($C131="Start_Date","N",
 IF($C131="End_Date","N",
 IF($C131="Record_Deleted_Flag","N",
 IF($C131="IsDeleted","N",
 "Y"
))))</f>
        <v>Y</v>
      </c>
      <c r="Q131" s="7" t="s">
        <v>826</v>
      </c>
      <c r="R131" s="9">
        <v>2958465</v>
      </c>
      <c r="S131" s="7" t="s">
        <v>827</v>
      </c>
      <c r="T131" s="7" t="s">
        <v>828</v>
      </c>
      <c r="U131" s="7" t="str">
        <f t="shared" si="17"/>
        <v>CLK_CUST_CST_CUAD_RE_V</v>
      </c>
      <c r="V131" s="7" t="s">
        <v>829</v>
      </c>
    </row>
    <row r="132" spans="1:22">
      <c r="A132" s="7" t="str">
        <f>TRIM(ETLMetadata!$B132)</f>
        <v>CLK</v>
      </c>
      <c r="B132" s="7" t="str">
        <f>TRIM(ETLMetadata!$C132)</f>
        <v>CUST_CST_CUAD_RE</v>
      </c>
      <c r="C132" s="7" t="str">
        <f>TRIM(ETLMetadata!$F132)</f>
        <v>CUAD_TYPE_CODE</v>
      </c>
      <c r="D132" s="7" t="str">
        <f>TRIM(ETLMetadata!$H132)</f>
        <v>StringType()</v>
      </c>
      <c r="E132" s="7" t="str">
        <f t="shared" si="16"/>
        <v>CLK_CUST_CST_CUAD_RE</v>
      </c>
      <c r="F132" s="7" t="str">
        <f t="shared" si="18"/>
        <v>CUAD_TYPE_CODE</v>
      </c>
      <c r="G132" s="7" t="s">
        <v>825</v>
      </c>
      <c r="H132" s="7" t="str">
        <f t="shared" si="19"/>
        <v>CLK_CUST_CST_CUAD_RE</v>
      </c>
      <c r="I132" s="7" t="str">
        <f t="shared" si="20"/>
        <v>CUAD_TYPE_CODE</v>
      </c>
      <c r="J132" s="7" t="str">
        <f t="shared" si="21"/>
        <v>VARCHAR</v>
      </c>
      <c r="K132" s="7" t="str">
        <f>TRIM(ETLMetadata!$G132)</f>
        <v>CHAR(3)</v>
      </c>
      <c r="L132" s="7" t="str">
        <f>TRIM(ETLMetadata!$I132)</f>
        <v/>
      </c>
      <c r="M132" s="7" t="str">
        <f t="shared" si="22"/>
        <v>NULLIF(TRIM(CUAD_TYPE_CODE),'')</v>
      </c>
      <c r="N132" s="7" t="str">
        <f>TRIM(ETLMetadata!$J132)</f>
        <v>Y</v>
      </c>
      <c r="O132" s="8" t="str">
        <f>IF(TRIM(Classification!$G132)="","NOT CONFIDENTIAL",TRIM(Classification!$G132))</f>
        <v>NOT CONFIDENTIAL</v>
      </c>
      <c r="P132" s="7" t="str">
        <f t="shared" si="23"/>
        <v>Y</v>
      </c>
      <c r="Q132" s="7" t="s">
        <v>826</v>
      </c>
      <c r="R132" s="9">
        <v>2958465</v>
      </c>
      <c r="S132" s="7" t="s">
        <v>827</v>
      </c>
      <c r="T132" s="7" t="s">
        <v>828</v>
      </c>
      <c r="U132" s="7" t="str">
        <f t="shared" si="17"/>
        <v>CLK_CUST_CST_CUAD_RE_V</v>
      </c>
      <c r="V132" s="7" t="s">
        <v>829</v>
      </c>
    </row>
    <row r="133" spans="1:22">
      <c r="A133" s="7" t="str">
        <f>TRIM(ETLMetadata!$B133)</f>
        <v>CLK</v>
      </c>
      <c r="B133" s="7" t="str">
        <f>TRIM(ETLMetadata!$C133)</f>
        <v>CUST_CST_CUAD_RE</v>
      </c>
      <c r="C133" s="7" t="str">
        <f>TRIM(ETLMetadata!$F133)</f>
        <v>PROCESSING_SEQUENCE</v>
      </c>
      <c r="D133" s="7" t="str">
        <f>TRIM(ETLMetadata!$H133)</f>
        <v>StringType()</v>
      </c>
      <c r="E133" s="7" t="str">
        <f t="shared" si="16"/>
        <v>CLK_CUST_CST_CUAD_RE</v>
      </c>
      <c r="F133" s="7" t="str">
        <f t="shared" si="18"/>
        <v>PROCESSING_SEQUENCE</v>
      </c>
      <c r="G133" s="7" t="s">
        <v>825</v>
      </c>
      <c r="H133" s="7" t="str">
        <f t="shared" si="19"/>
        <v>CLK_CUST_CST_CUAD_RE</v>
      </c>
      <c r="I133" s="7" t="str">
        <f t="shared" si="20"/>
        <v>PROCESSING_SEQUENCE</v>
      </c>
      <c r="J133" s="7" t="str">
        <f t="shared" si="21"/>
        <v>SMALLINT</v>
      </c>
      <c r="K133" s="7" t="str">
        <f>TRIM(ETLMetadata!$G133)</f>
        <v>SMALLINT</v>
      </c>
      <c r="L133" s="7" t="str">
        <f>TRIM(ETLMetadata!$I133)</f>
        <v/>
      </c>
      <c r="M133" s="7" t="str">
        <f t="shared" si="22"/>
        <v>CAST(NULLIF(TRIM(PROCESSING_SEQUENCE),'') AS SMALLINT)</v>
      </c>
      <c r="N133" s="7" t="str">
        <f>TRIM(ETLMetadata!$J133)</f>
        <v>Y</v>
      </c>
      <c r="O133" s="8" t="str">
        <f>IF(TRIM(Classification!$G133)="","NOT CONFIDENTIAL",TRIM(Classification!$G133))</f>
        <v>NOT CONFIDENTIAL</v>
      </c>
      <c r="P133" s="7" t="str">
        <f t="shared" si="23"/>
        <v>Y</v>
      </c>
      <c r="Q133" s="7" t="s">
        <v>826</v>
      </c>
      <c r="R133" s="9">
        <v>2958465</v>
      </c>
      <c r="S133" s="7" t="s">
        <v>827</v>
      </c>
      <c r="T133" s="7" t="s">
        <v>828</v>
      </c>
      <c r="U133" s="7" t="str">
        <f t="shared" si="17"/>
        <v>CLK_CUST_CST_CUAD_RE_V</v>
      </c>
      <c r="V133" s="7" t="s">
        <v>829</v>
      </c>
    </row>
    <row r="134" spans="1:22">
      <c r="A134" s="7" t="str">
        <f>TRIM(ETLMetadata!$B134)</f>
        <v>CLK</v>
      </c>
      <c r="B134" s="7" t="str">
        <f>TRIM(ETLMetadata!$C134)</f>
        <v>CUST_CST_CUAD_RE</v>
      </c>
      <c r="C134" s="7" t="str">
        <f>TRIM(ETLMetadata!$F134)</f>
        <v>CUAD_ADDR_1ST_LINE</v>
      </c>
      <c r="D134" s="7" t="str">
        <f>TRIM(ETLMetadata!$H134)</f>
        <v>StringType()</v>
      </c>
      <c r="E134" s="7" t="str">
        <f t="shared" si="16"/>
        <v>CLK_CUST_CST_CUAD_RE</v>
      </c>
      <c r="F134" s="7" t="str">
        <f t="shared" si="18"/>
        <v>CUAD_ADDR_1ST_LINE</v>
      </c>
      <c r="G134" s="7" t="s">
        <v>825</v>
      </c>
      <c r="H134" s="7" t="str">
        <f t="shared" si="19"/>
        <v>CLK_CUST_CST_CUAD_RE</v>
      </c>
      <c r="I134" s="7" t="str">
        <f t="shared" si="20"/>
        <v>CUAD_ADDR_1ST_LINE</v>
      </c>
      <c r="J134" s="7" t="str">
        <f t="shared" si="21"/>
        <v>VARCHAR</v>
      </c>
      <c r="K134" s="7" t="str">
        <f>TRIM(ETLMetadata!$G134)</f>
        <v>VARCHAR(50)</v>
      </c>
      <c r="L134" s="7" t="str">
        <f>TRIM(ETLMetadata!$I134)</f>
        <v/>
      </c>
      <c r="M134" s="7" t="str">
        <f t="shared" si="22"/>
        <v>NULLIF(TRIM(CUAD_ADDR_1ST_LINE),'')</v>
      </c>
      <c r="N134" s="7" t="str">
        <f>TRIM(ETLMetadata!$J134)</f>
        <v/>
      </c>
      <c r="O134" s="8" t="str">
        <f>IF(TRIM(Classification!$G134)="","NOT CONFIDENTIAL",TRIM(Classification!$G134))</f>
        <v>PERSONAL_CONTACTINFO</v>
      </c>
      <c r="P134" s="7" t="str">
        <f t="shared" si="23"/>
        <v>Y</v>
      </c>
      <c r="Q134" s="7" t="s">
        <v>826</v>
      </c>
      <c r="R134" s="9">
        <v>2958465</v>
      </c>
      <c r="S134" s="7" t="s">
        <v>827</v>
      </c>
      <c r="T134" s="7" t="s">
        <v>828</v>
      </c>
      <c r="U134" s="7" t="str">
        <f t="shared" si="17"/>
        <v>CLK_CUST_CST_CUAD_RE_V</v>
      </c>
      <c r="V134" s="7" t="s">
        <v>829</v>
      </c>
    </row>
    <row r="135" spans="1:22">
      <c r="A135" s="7" t="str">
        <f>TRIM(ETLMetadata!$B135)</f>
        <v>CLK</v>
      </c>
      <c r="B135" s="7" t="str">
        <f>TRIM(ETLMetadata!$C135)</f>
        <v>CUST_CST_CUAD_RE</v>
      </c>
      <c r="C135" s="7" t="str">
        <f>TRIM(ETLMetadata!$F135)</f>
        <v>CUAD_ADDR_2ND_LINE</v>
      </c>
      <c r="D135" s="7" t="str">
        <f>TRIM(ETLMetadata!$H135)</f>
        <v>StringType()</v>
      </c>
      <c r="E135" s="7" t="str">
        <f t="shared" si="16"/>
        <v>CLK_CUST_CST_CUAD_RE</v>
      </c>
      <c r="F135" s="7" t="str">
        <f t="shared" si="18"/>
        <v>CUAD_ADDR_2ND_LINE</v>
      </c>
      <c r="G135" s="7" t="s">
        <v>825</v>
      </c>
      <c r="H135" s="7" t="str">
        <f t="shared" si="19"/>
        <v>CLK_CUST_CST_CUAD_RE</v>
      </c>
      <c r="I135" s="7" t="str">
        <f t="shared" si="20"/>
        <v>CUAD_ADDR_2ND_LINE</v>
      </c>
      <c r="J135" s="7" t="str">
        <f t="shared" si="21"/>
        <v>VARCHAR</v>
      </c>
      <c r="K135" s="7" t="str">
        <f>TRIM(ETLMetadata!$G135)</f>
        <v>VARCHAR(50)</v>
      </c>
      <c r="L135" s="7" t="str">
        <f>TRIM(ETLMetadata!$I135)</f>
        <v/>
      </c>
      <c r="M135" s="7" t="str">
        <f t="shared" si="22"/>
        <v>NULLIF(TRIM(CUAD_ADDR_2ND_LINE),'')</v>
      </c>
      <c r="N135" s="7" t="str">
        <f>TRIM(ETLMetadata!$J135)</f>
        <v/>
      </c>
      <c r="O135" s="8" t="str">
        <f>IF(TRIM(Classification!$G135)="","NOT CONFIDENTIAL",TRIM(Classification!$G135))</f>
        <v>PERSONAL_CONTACTINFO</v>
      </c>
      <c r="P135" s="7" t="str">
        <f t="shared" si="23"/>
        <v>Y</v>
      </c>
      <c r="Q135" s="7" t="s">
        <v>826</v>
      </c>
      <c r="R135" s="9">
        <v>2958465</v>
      </c>
      <c r="S135" s="7" t="s">
        <v>827</v>
      </c>
      <c r="T135" s="7" t="s">
        <v>828</v>
      </c>
      <c r="U135" s="7" t="str">
        <f t="shared" si="17"/>
        <v>CLK_CUST_CST_CUAD_RE_V</v>
      </c>
      <c r="V135" s="7" t="s">
        <v>829</v>
      </c>
    </row>
    <row r="136" spans="1:22">
      <c r="A136" s="7" t="str">
        <f>TRIM(ETLMetadata!$B136)</f>
        <v>CLK</v>
      </c>
      <c r="B136" s="7" t="str">
        <f>TRIM(ETLMetadata!$C136)</f>
        <v>CUST_CST_CUAD_RE</v>
      </c>
      <c r="C136" s="7" t="str">
        <f>TRIM(ETLMetadata!$F136)</f>
        <v>CUAD_AMR_1</v>
      </c>
      <c r="D136" s="7" t="str">
        <f>TRIM(ETLMetadata!$H136)</f>
        <v>StringType()</v>
      </c>
      <c r="E136" s="7" t="str">
        <f t="shared" si="16"/>
        <v>CLK_CUST_CST_CUAD_RE</v>
      </c>
      <c r="F136" s="7" t="str">
        <f t="shared" si="18"/>
        <v>CUAD_AMR_1</v>
      </c>
      <c r="G136" s="7" t="s">
        <v>825</v>
      </c>
      <c r="H136" s="7" t="str">
        <f t="shared" si="19"/>
        <v>CLK_CUST_CST_CUAD_RE</v>
      </c>
      <c r="I136" s="7" t="str">
        <f t="shared" si="20"/>
        <v>CUAD_AMR_1</v>
      </c>
      <c r="J136" s="7" t="str">
        <f t="shared" si="21"/>
        <v>VARCHAR</v>
      </c>
      <c r="K136" s="7" t="str">
        <f>TRIM(ETLMetadata!$G136)</f>
        <v>CHAR(4)</v>
      </c>
      <c r="L136" s="7" t="str">
        <f>TRIM(ETLMetadata!$I136)</f>
        <v/>
      </c>
      <c r="M136" s="7" t="str">
        <f t="shared" si="22"/>
        <v>NULLIF(TRIM(CUAD_AMR_1),'')</v>
      </c>
      <c r="N136" s="7" t="str">
        <f>TRIM(ETLMetadata!$J136)</f>
        <v>Y</v>
      </c>
      <c r="O136" s="8" t="str">
        <f>IF(TRIM(Classification!$G136)="","NOT CONFIDENTIAL",TRIM(Classification!$G136))</f>
        <v>NOT CONFIDENTIAL</v>
      </c>
      <c r="P136" s="7" t="str">
        <f t="shared" si="23"/>
        <v>Y</v>
      </c>
      <c r="Q136" s="7" t="s">
        <v>826</v>
      </c>
      <c r="R136" s="9">
        <v>2958465</v>
      </c>
      <c r="S136" s="7" t="s">
        <v>827</v>
      </c>
      <c r="T136" s="7" t="s">
        <v>828</v>
      </c>
      <c r="U136" s="7" t="str">
        <f t="shared" si="17"/>
        <v>CLK_CUST_CST_CUAD_RE_V</v>
      </c>
      <c r="V136" s="7" t="s">
        <v>829</v>
      </c>
    </row>
    <row r="137" spans="1:22">
      <c r="A137" s="7" t="str">
        <f>TRIM(ETLMetadata!$B137)</f>
        <v>CLK</v>
      </c>
      <c r="B137" s="7" t="str">
        <f>TRIM(ETLMetadata!$C137)</f>
        <v>CUST_CST_CUAD_RE</v>
      </c>
      <c r="C137" s="7" t="str">
        <f>TRIM(ETLMetadata!$F137)</f>
        <v>CUAD_AMR_2</v>
      </c>
      <c r="D137" s="7" t="str">
        <f>TRIM(ETLMetadata!$H137)</f>
        <v>StringType()</v>
      </c>
      <c r="E137" s="7" t="str">
        <f t="shared" si="16"/>
        <v>CLK_CUST_CST_CUAD_RE</v>
      </c>
      <c r="F137" s="7" t="str">
        <f t="shared" si="18"/>
        <v>CUAD_AMR_2</v>
      </c>
      <c r="G137" s="7" t="s">
        <v>825</v>
      </c>
      <c r="H137" s="7" t="str">
        <f t="shared" si="19"/>
        <v>CLK_CUST_CST_CUAD_RE</v>
      </c>
      <c r="I137" s="7" t="str">
        <f t="shared" si="20"/>
        <v>CUAD_AMR_2</v>
      </c>
      <c r="J137" s="7" t="str">
        <f t="shared" si="21"/>
        <v>VARCHAR</v>
      </c>
      <c r="K137" s="7" t="str">
        <f>TRIM(ETLMetadata!$G137)</f>
        <v>CHAR(1)</v>
      </c>
      <c r="L137" s="7" t="str">
        <f>TRIM(ETLMetadata!$I137)</f>
        <v/>
      </c>
      <c r="M137" s="7" t="str">
        <f t="shared" si="22"/>
        <v>NULLIF(TRIM(CUAD_AMR_2),'')</v>
      </c>
      <c r="N137" s="7" t="str">
        <f>TRIM(ETLMetadata!$J137)</f>
        <v/>
      </c>
      <c r="O137" s="8" t="str">
        <f>IF(TRIM(Classification!$G137)="","NOT CONFIDENTIAL",TRIM(Classification!$G137))</f>
        <v>NOT CONFIDENTIAL</v>
      </c>
      <c r="P137" s="7" t="str">
        <f t="shared" si="23"/>
        <v>Y</v>
      </c>
      <c r="Q137" s="7" t="s">
        <v>826</v>
      </c>
      <c r="R137" s="9">
        <v>2958465</v>
      </c>
      <c r="S137" s="7" t="s">
        <v>827</v>
      </c>
      <c r="T137" s="7" t="s">
        <v>828</v>
      </c>
      <c r="U137" s="7" t="str">
        <f t="shared" si="17"/>
        <v>CLK_CUST_CST_CUAD_RE_V</v>
      </c>
      <c r="V137" s="7" t="s">
        <v>829</v>
      </c>
    </row>
    <row r="138" spans="1:22">
      <c r="A138" s="7" t="str">
        <f>TRIM(ETLMetadata!$B138)</f>
        <v>CLK</v>
      </c>
      <c r="B138" s="7" t="str">
        <f>TRIM(ETLMetadata!$C138)</f>
        <v>CUST_CST_CUAD_RE</v>
      </c>
      <c r="C138" s="7" t="str">
        <f>TRIM(ETLMetadata!$F138)</f>
        <v>CUAD_AMR_3</v>
      </c>
      <c r="D138" s="7" t="str">
        <f>TRIM(ETLMetadata!$H138)</f>
        <v>StringType()</v>
      </c>
      <c r="E138" s="7" t="str">
        <f t="shared" si="16"/>
        <v>CLK_CUST_CST_CUAD_RE</v>
      </c>
      <c r="F138" s="7" t="str">
        <f t="shared" si="18"/>
        <v>CUAD_AMR_3</v>
      </c>
      <c r="G138" s="7" t="s">
        <v>825</v>
      </c>
      <c r="H138" s="7" t="str">
        <f t="shared" si="19"/>
        <v>CLK_CUST_CST_CUAD_RE</v>
      </c>
      <c r="I138" s="7" t="str">
        <f t="shared" si="20"/>
        <v>CUAD_AMR_3</v>
      </c>
      <c r="J138" s="7" t="str">
        <f t="shared" si="21"/>
        <v>VARCHAR</v>
      </c>
      <c r="K138" s="7" t="str">
        <f>TRIM(ETLMetadata!$G138)</f>
        <v>CHAR(4)</v>
      </c>
      <c r="L138" s="7" t="str">
        <f>TRIM(ETLMetadata!$I138)</f>
        <v/>
      </c>
      <c r="M138" s="7" t="str">
        <f t="shared" si="22"/>
        <v>NULLIF(TRIM(CUAD_AMR_3),'')</v>
      </c>
      <c r="N138" s="7" t="str">
        <f>TRIM(ETLMetadata!$J138)</f>
        <v/>
      </c>
      <c r="O138" s="8" t="str">
        <f>IF(TRIM(Classification!$G138)="","NOT CONFIDENTIAL",TRIM(Classification!$G138))</f>
        <v>NOT CONFIDENTIAL</v>
      </c>
      <c r="P138" s="7" t="str">
        <f t="shared" si="23"/>
        <v>Y</v>
      </c>
      <c r="Q138" s="7" t="s">
        <v>826</v>
      </c>
      <c r="R138" s="9">
        <v>2958465</v>
      </c>
      <c r="S138" s="7" t="s">
        <v>827</v>
      </c>
      <c r="T138" s="7" t="s">
        <v>828</v>
      </c>
      <c r="U138" s="7" t="str">
        <f t="shared" si="17"/>
        <v>CLK_CUST_CST_CUAD_RE_V</v>
      </c>
      <c r="V138" s="7" t="s">
        <v>829</v>
      </c>
    </row>
    <row r="139" spans="1:22">
      <c r="A139" s="7" t="str">
        <f>TRIM(ETLMetadata!$B139)</f>
        <v>CLK</v>
      </c>
      <c r="B139" s="7" t="str">
        <f>TRIM(ETLMetadata!$C139)</f>
        <v>CUST_CST_CUAD_RE</v>
      </c>
      <c r="C139" s="7" t="str">
        <f>TRIM(ETLMetadata!$F139)</f>
        <v>CUAD_AUS_POSTCODE</v>
      </c>
      <c r="D139" s="7" t="str">
        <f>TRIM(ETLMetadata!$H139)</f>
        <v>StringType()</v>
      </c>
      <c r="E139" s="7" t="str">
        <f t="shared" si="16"/>
        <v>CLK_CUST_CST_CUAD_RE</v>
      </c>
      <c r="F139" s="7" t="str">
        <f t="shared" si="18"/>
        <v>CUAD_AUS_POSTCODE</v>
      </c>
      <c r="G139" s="7" t="s">
        <v>825</v>
      </c>
      <c r="H139" s="7" t="str">
        <f t="shared" si="19"/>
        <v>CLK_CUST_CST_CUAD_RE</v>
      </c>
      <c r="I139" s="7" t="str">
        <f t="shared" si="20"/>
        <v>CUAD_AUS_POSTCODE</v>
      </c>
      <c r="J139" s="7" t="str">
        <f t="shared" si="21"/>
        <v>VARCHAR</v>
      </c>
      <c r="K139" s="7" t="str">
        <f>TRIM(ETLMetadata!$G139)</f>
        <v>CHAR(4)</v>
      </c>
      <c r="L139" s="7" t="str">
        <f>TRIM(ETLMetadata!$I139)</f>
        <v/>
      </c>
      <c r="M139" s="7" t="str">
        <f t="shared" si="22"/>
        <v>NULLIF(TRIM(CUAD_AUS_POSTCODE),'')</v>
      </c>
      <c r="N139" s="7" t="str">
        <f>TRIM(ETLMetadata!$J139)</f>
        <v/>
      </c>
      <c r="O139" s="8" t="str">
        <f>IF(TRIM(Classification!$G139)="","NOT CONFIDENTIAL",TRIM(Classification!$G139))</f>
        <v>PERSONAL_CONTACTINFO</v>
      </c>
      <c r="P139" s="7" t="str">
        <f t="shared" si="23"/>
        <v>Y</v>
      </c>
      <c r="Q139" s="7" t="s">
        <v>826</v>
      </c>
      <c r="R139" s="9">
        <v>2958465</v>
      </c>
      <c r="S139" s="7" t="s">
        <v>827</v>
      </c>
      <c r="T139" s="7" t="s">
        <v>828</v>
      </c>
      <c r="U139" s="7" t="str">
        <f t="shared" si="17"/>
        <v>CLK_CUST_CST_CUAD_RE_V</v>
      </c>
      <c r="V139" s="7" t="s">
        <v>829</v>
      </c>
    </row>
    <row r="140" spans="1:22">
      <c r="A140" s="7" t="str">
        <f>TRIM(ETLMetadata!$B140)</f>
        <v>CLK</v>
      </c>
      <c r="B140" s="7" t="str">
        <f>TRIM(ETLMetadata!$C140)</f>
        <v>CUST_CST_CUAD_RE</v>
      </c>
      <c r="C140" s="7" t="str">
        <f>TRIM(ETLMetadata!$F140)</f>
        <v>CUAD_CMTY_CODE</v>
      </c>
      <c r="D140" s="7" t="str">
        <f>TRIM(ETLMetadata!$H140)</f>
        <v>StringType()</v>
      </c>
      <c r="E140" s="7" t="str">
        <f t="shared" si="16"/>
        <v>CLK_CUST_CST_CUAD_RE</v>
      </c>
      <c r="F140" s="7" t="str">
        <f t="shared" si="18"/>
        <v>CUAD_CMTY_CODE</v>
      </c>
      <c r="G140" s="7" t="s">
        <v>825</v>
      </c>
      <c r="H140" s="7" t="str">
        <f t="shared" si="19"/>
        <v>CLK_CUST_CST_CUAD_RE</v>
      </c>
      <c r="I140" s="7" t="str">
        <f t="shared" si="20"/>
        <v>CUAD_CMTY_CODE</v>
      </c>
      <c r="J140" s="7" t="str">
        <f t="shared" si="21"/>
        <v>VARCHAR</v>
      </c>
      <c r="K140" s="7" t="str">
        <f>TRIM(ETLMetadata!$G140)</f>
        <v>CHAR(4)</v>
      </c>
      <c r="L140" s="7" t="str">
        <f>TRIM(ETLMetadata!$I140)</f>
        <v/>
      </c>
      <c r="M140" s="7" t="str">
        <f t="shared" si="22"/>
        <v>NULLIF(TRIM(CUAD_CMTY_CODE),'')</v>
      </c>
      <c r="N140" s="7" t="str">
        <f>TRIM(ETLMetadata!$J140)</f>
        <v/>
      </c>
      <c r="O140" s="8" t="str">
        <f>IF(TRIM(Classification!$G140)="","NOT CONFIDENTIAL",TRIM(Classification!$G140))</f>
        <v>PERSONAL_CONTACTINFO</v>
      </c>
      <c r="P140" s="7" t="str">
        <f t="shared" si="23"/>
        <v>Y</v>
      </c>
      <c r="Q140" s="7" t="s">
        <v>826</v>
      </c>
      <c r="R140" s="9">
        <v>2958465</v>
      </c>
      <c r="S140" s="7" t="s">
        <v>827</v>
      </c>
      <c r="T140" s="7" t="s">
        <v>828</v>
      </c>
      <c r="U140" s="7" t="str">
        <f t="shared" si="17"/>
        <v>CLK_CUST_CST_CUAD_RE_V</v>
      </c>
      <c r="V140" s="7" t="s">
        <v>829</v>
      </c>
    </row>
    <row r="141" spans="1:22">
      <c r="A141" s="7" t="str">
        <f>TRIM(ETLMetadata!$B141)</f>
        <v>CLK</v>
      </c>
      <c r="B141" s="7" t="str">
        <f>TRIM(ETLMetadata!$C141)</f>
        <v>CUST_CST_CUAD_RE</v>
      </c>
      <c r="C141" s="7" t="str">
        <f>TRIM(ETLMetadata!$F141)</f>
        <v>CUAD_DLVRY_PNT_ID</v>
      </c>
      <c r="D141" s="7" t="str">
        <f>TRIM(ETLMetadata!$H141)</f>
        <v>StringType()</v>
      </c>
      <c r="E141" s="7" t="str">
        <f t="shared" si="16"/>
        <v>CLK_CUST_CST_CUAD_RE</v>
      </c>
      <c r="F141" s="7" t="str">
        <f t="shared" si="18"/>
        <v>CUAD_DLVRY_PNT_ID</v>
      </c>
      <c r="G141" s="7" t="s">
        <v>825</v>
      </c>
      <c r="H141" s="7" t="str">
        <f t="shared" si="19"/>
        <v>CLK_CUST_CST_CUAD_RE</v>
      </c>
      <c r="I141" s="7" t="str">
        <f t="shared" si="20"/>
        <v>CUAD_DLVRY_PNT_ID</v>
      </c>
      <c r="J141" s="7" t="str">
        <f t="shared" si="21"/>
        <v>VARCHAR</v>
      </c>
      <c r="K141" s="7" t="str">
        <f>TRIM(ETLMetadata!$G141)</f>
        <v>VARCHAR(8)</v>
      </c>
      <c r="L141" s="7" t="str">
        <f>TRIM(ETLMetadata!$I141)</f>
        <v/>
      </c>
      <c r="M141" s="7" t="str">
        <f t="shared" si="22"/>
        <v>NULLIF(TRIM(CUAD_DLVRY_PNT_ID),'')</v>
      </c>
      <c r="N141" s="7" t="str">
        <f>TRIM(ETLMetadata!$J141)</f>
        <v/>
      </c>
      <c r="O141" s="8" t="str">
        <f>IF(TRIM(Classification!$G141)="","NOT CONFIDENTIAL",TRIM(Classification!$G141))</f>
        <v>NOT CONFIDENTIAL</v>
      </c>
      <c r="P141" s="7" t="str">
        <f t="shared" si="23"/>
        <v>Y</v>
      </c>
      <c r="Q141" s="7" t="s">
        <v>826</v>
      </c>
      <c r="R141" s="9">
        <v>2958465</v>
      </c>
      <c r="S141" s="7" t="s">
        <v>827</v>
      </c>
      <c r="T141" s="7" t="s">
        <v>828</v>
      </c>
      <c r="U141" s="7" t="str">
        <f t="shared" si="17"/>
        <v>CLK_CUST_CST_CUAD_RE_V</v>
      </c>
      <c r="V141" s="7" t="s">
        <v>829</v>
      </c>
    </row>
    <row r="142" spans="1:22">
      <c r="A142" s="7" t="str">
        <f>TRIM(ETLMetadata!$B142)</f>
        <v>CLK</v>
      </c>
      <c r="B142" s="7" t="str">
        <f>TRIM(ETLMetadata!$C142)</f>
        <v>CUST_CST_CUAD_RE</v>
      </c>
      <c r="C142" s="7" t="str">
        <f>TRIM(ETLMetadata!$F142)</f>
        <v>CUAD_EXT_ADDR_SRC_CODE</v>
      </c>
      <c r="D142" s="7" t="str">
        <f>TRIM(ETLMetadata!$H142)</f>
        <v>StringType()</v>
      </c>
      <c r="E142" s="7" t="str">
        <f t="shared" si="16"/>
        <v>CLK_CUST_CST_CUAD_RE</v>
      </c>
      <c r="F142" s="7" t="str">
        <f t="shared" si="18"/>
        <v>CUAD_EXT_ADDR_SRC_CODE</v>
      </c>
      <c r="G142" s="7" t="s">
        <v>825</v>
      </c>
      <c r="H142" s="7" t="str">
        <f t="shared" si="19"/>
        <v>CLK_CUST_CST_CUAD_RE</v>
      </c>
      <c r="I142" s="7" t="str">
        <f t="shared" si="20"/>
        <v>CUAD_EXT_ADDR_SRC_CODE</v>
      </c>
      <c r="J142" s="7" t="str">
        <f t="shared" si="21"/>
        <v>VARCHAR</v>
      </c>
      <c r="K142" s="7" t="str">
        <f>TRIM(ETLMetadata!$G142)</f>
        <v>CHAR(3)</v>
      </c>
      <c r="L142" s="7" t="str">
        <f>TRIM(ETLMetadata!$I142)</f>
        <v/>
      </c>
      <c r="M142" s="7" t="str">
        <f t="shared" si="22"/>
        <v>NULLIF(TRIM(CUAD_EXT_ADDR_SRC_CODE),'')</v>
      </c>
      <c r="N142" s="7" t="str">
        <f>TRIM(ETLMetadata!$J142)</f>
        <v/>
      </c>
      <c r="O142" s="8" t="str">
        <f>IF(TRIM(Classification!$G142)="","NOT CONFIDENTIAL",TRIM(Classification!$G142))</f>
        <v>NOT CONFIDENTIAL</v>
      </c>
      <c r="P142" s="7" t="str">
        <f t="shared" si="23"/>
        <v>Y</v>
      </c>
      <c r="Q142" s="7" t="s">
        <v>826</v>
      </c>
      <c r="R142" s="9">
        <v>2958465</v>
      </c>
      <c r="S142" s="7" t="s">
        <v>827</v>
      </c>
      <c r="T142" s="7" t="s">
        <v>828</v>
      </c>
      <c r="U142" s="7" t="str">
        <f t="shared" si="17"/>
        <v>CLK_CUST_CST_CUAD_RE_V</v>
      </c>
      <c r="V142" s="7" t="s">
        <v>829</v>
      </c>
    </row>
    <row r="143" spans="1:22">
      <c r="A143" s="7" t="str">
        <f>TRIM(ETLMetadata!$B143)</f>
        <v>CLK</v>
      </c>
      <c r="B143" s="7" t="str">
        <f>TRIM(ETLMetadata!$C143)</f>
        <v>CUST_CST_CUAD_RE</v>
      </c>
      <c r="C143" s="7" t="str">
        <f>TRIM(ETLMetadata!$F143)</f>
        <v>CUAD_GEO_ABS_MESH_BLOCK_ID</v>
      </c>
      <c r="D143" s="7" t="str">
        <f>TRIM(ETLMetadata!$H143)</f>
        <v>StringType()</v>
      </c>
      <c r="E143" s="7" t="str">
        <f t="shared" si="16"/>
        <v>CLK_CUST_CST_CUAD_RE</v>
      </c>
      <c r="F143" s="7" t="str">
        <f t="shared" si="18"/>
        <v>CUAD_GEO_ABS_MESH_BLOCK_ID</v>
      </c>
      <c r="G143" s="7" t="s">
        <v>825</v>
      </c>
      <c r="H143" s="7" t="str">
        <f t="shared" si="19"/>
        <v>CLK_CUST_CST_CUAD_RE</v>
      </c>
      <c r="I143" s="7" t="str">
        <f t="shared" si="20"/>
        <v>CUAD_GEO_ABS_MESH_BLOCK_ID</v>
      </c>
      <c r="J143" s="7" t="str">
        <f t="shared" si="21"/>
        <v>DECIMAL(11,0)</v>
      </c>
      <c r="K143" s="7" t="str">
        <f>TRIM(ETLMetadata!$G143)</f>
        <v>DECIMAL(11,0)</v>
      </c>
      <c r="L143" s="7" t="str">
        <f>TRIM(ETLMetadata!$I143)</f>
        <v/>
      </c>
      <c r="M143" s="7" t="str">
        <f t="shared" si="22"/>
        <v>CAST(NULLIF(TRIM(CUAD_GEO_ABS_MESH_BLOCK_ID),'') AS DECIMAL(11,0))</v>
      </c>
      <c r="N143" s="7" t="str">
        <f>TRIM(ETLMetadata!$J143)</f>
        <v/>
      </c>
      <c r="O143" s="8" t="str">
        <f>IF(TRIM(Classification!$G143)="","NOT CONFIDENTIAL",TRIM(Classification!$G143))</f>
        <v>PERSONAL_CONTACTINFO</v>
      </c>
      <c r="P143" s="7" t="str">
        <f t="shared" si="23"/>
        <v>Y</v>
      </c>
      <c r="Q143" s="7" t="s">
        <v>826</v>
      </c>
      <c r="R143" s="9">
        <v>2958465</v>
      </c>
      <c r="S143" s="7" t="s">
        <v>827</v>
      </c>
      <c r="T143" s="7" t="s">
        <v>828</v>
      </c>
      <c r="U143" s="7" t="str">
        <f t="shared" si="17"/>
        <v>CLK_CUST_CST_CUAD_RE_V</v>
      </c>
      <c r="V143" s="7" t="s">
        <v>829</v>
      </c>
    </row>
    <row r="144" spans="1:22">
      <c r="A144" s="7" t="str">
        <f>TRIM(ETLMetadata!$B144)</f>
        <v>CLK</v>
      </c>
      <c r="B144" s="7" t="str">
        <f>TRIM(ETLMetadata!$C144)</f>
        <v>CUST_CST_CUAD_RE</v>
      </c>
      <c r="C144" s="7" t="str">
        <f>TRIM(ETLMetadata!$F144)</f>
        <v>CUAD_GEO_BEST_LVL_CODE</v>
      </c>
      <c r="D144" s="7" t="str">
        <f>TRIM(ETLMetadata!$H144)</f>
        <v>StringType()</v>
      </c>
      <c r="E144" s="7" t="str">
        <f t="shared" si="16"/>
        <v>CLK_CUST_CST_CUAD_RE</v>
      </c>
      <c r="F144" s="7" t="str">
        <f t="shared" si="18"/>
        <v>CUAD_GEO_BEST_LVL_CODE</v>
      </c>
      <c r="G144" s="7" t="s">
        <v>825</v>
      </c>
      <c r="H144" s="7" t="str">
        <f t="shared" si="19"/>
        <v>CLK_CUST_CST_CUAD_RE</v>
      </c>
      <c r="I144" s="7" t="str">
        <f t="shared" si="20"/>
        <v>CUAD_GEO_BEST_LVL_CODE</v>
      </c>
      <c r="J144" s="7" t="str">
        <f t="shared" si="21"/>
        <v>VARCHAR</v>
      </c>
      <c r="K144" s="7" t="str">
        <f>TRIM(ETLMetadata!$G144)</f>
        <v>CHAR(3)</v>
      </c>
      <c r="L144" s="7" t="str">
        <f>TRIM(ETLMetadata!$I144)</f>
        <v/>
      </c>
      <c r="M144" s="7" t="str">
        <f t="shared" si="22"/>
        <v>NULLIF(TRIM(CUAD_GEO_BEST_LVL_CODE),'')</v>
      </c>
      <c r="N144" s="7" t="str">
        <f>TRIM(ETLMetadata!$J144)</f>
        <v/>
      </c>
      <c r="O144" s="8" t="str">
        <f>IF(TRIM(Classification!$G144)="","NOT CONFIDENTIAL",TRIM(Classification!$G144))</f>
        <v>NOT CONFIDENTIAL</v>
      </c>
      <c r="P144" s="7" t="str">
        <f t="shared" si="23"/>
        <v>Y</v>
      </c>
      <c r="Q144" s="7" t="s">
        <v>826</v>
      </c>
      <c r="R144" s="9">
        <v>2958465</v>
      </c>
      <c r="S144" s="7" t="s">
        <v>827</v>
      </c>
      <c r="T144" s="7" t="s">
        <v>828</v>
      </c>
      <c r="U144" s="7" t="str">
        <f t="shared" si="17"/>
        <v>CLK_CUST_CST_CUAD_RE_V</v>
      </c>
      <c r="V144" s="7" t="s">
        <v>829</v>
      </c>
    </row>
    <row r="145" spans="1:22">
      <c r="A145" s="7" t="str">
        <f>TRIM(ETLMetadata!$B145)</f>
        <v>CLK</v>
      </c>
      <c r="B145" s="7" t="str">
        <f>TRIM(ETLMetadata!$C145)</f>
        <v>CUST_CST_CUAD_RE</v>
      </c>
      <c r="C145" s="7" t="str">
        <f>TRIM(ETLMetadata!$F145)</f>
        <v>CUAD_GEO_CLK_ADDR_VLD_CODE</v>
      </c>
      <c r="D145" s="7" t="str">
        <f>TRIM(ETLMetadata!$H145)</f>
        <v>StringType()</v>
      </c>
      <c r="E145" s="7" t="str">
        <f t="shared" si="16"/>
        <v>CLK_CUST_CST_CUAD_RE</v>
      </c>
      <c r="F145" s="7" t="str">
        <f t="shared" si="18"/>
        <v>CUAD_GEO_CLK_ADDR_VLD_CODE</v>
      </c>
      <c r="G145" s="7" t="s">
        <v>825</v>
      </c>
      <c r="H145" s="7" t="str">
        <f t="shared" si="19"/>
        <v>CLK_CUST_CST_CUAD_RE</v>
      </c>
      <c r="I145" s="7" t="str">
        <f t="shared" si="20"/>
        <v>CUAD_GEO_CLK_ADDR_VLD_CODE</v>
      </c>
      <c r="J145" s="7" t="str">
        <f t="shared" si="21"/>
        <v>SMALLINT</v>
      </c>
      <c r="K145" s="7" t="str">
        <f>TRIM(ETLMetadata!$G145)</f>
        <v>SMALLINT</v>
      </c>
      <c r="L145" s="7" t="str">
        <f>TRIM(ETLMetadata!$I145)</f>
        <v/>
      </c>
      <c r="M145" s="7" t="str">
        <f t="shared" si="22"/>
        <v>CAST(NULLIF(TRIM(CUAD_GEO_CLK_ADDR_VLD_CODE),'') AS SMALLINT)</v>
      </c>
      <c r="N145" s="7" t="str">
        <f>TRIM(ETLMetadata!$J145)</f>
        <v/>
      </c>
      <c r="O145" s="8" t="str">
        <f>IF(TRIM(Classification!$G145)="","NOT CONFIDENTIAL",TRIM(Classification!$G145))</f>
        <v>NOT CONFIDENTIAL</v>
      </c>
      <c r="P145" s="7" t="str">
        <f t="shared" si="23"/>
        <v>Y</v>
      </c>
      <c r="Q145" s="7" t="s">
        <v>826</v>
      </c>
      <c r="R145" s="9">
        <v>2958465</v>
      </c>
      <c r="S145" s="7" t="s">
        <v>827</v>
      </c>
      <c r="T145" s="7" t="s">
        <v>828</v>
      </c>
      <c r="U145" s="7" t="str">
        <f t="shared" si="17"/>
        <v>CLK_CUST_CST_CUAD_RE_V</v>
      </c>
      <c r="V145" s="7" t="s">
        <v>829</v>
      </c>
    </row>
    <row r="146" spans="1:22">
      <c r="A146" s="7" t="str">
        <f>TRIM(ETLMetadata!$B146)</f>
        <v>CLK</v>
      </c>
      <c r="B146" s="7" t="str">
        <f>TRIM(ETLMetadata!$C146)</f>
        <v>CUST_CST_CUAD_RE</v>
      </c>
      <c r="C146" s="7" t="str">
        <f>TRIM(ETLMetadata!$F146)</f>
        <v>CUAD_GEO_CNFDNC_LVL_CODE</v>
      </c>
      <c r="D146" s="7" t="str">
        <f>TRIM(ETLMetadata!$H146)</f>
        <v>StringType()</v>
      </c>
      <c r="E146" s="7" t="str">
        <f t="shared" si="16"/>
        <v>CLK_CUST_CST_CUAD_RE</v>
      </c>
      <c r="F146" s="7" t="str">
        <f t="shared" si="18"/>
        <v>CUAD_GEO_CNFDNC_LVL_CODE</v>
      </c>
      <c r="G146" s="7" t="s">
        <v>825</v>
      </c>
      <c r="H146" s="7" t="str">
        <f t="shared" si="19"/>
        <v>CLK_CUST_CST_CUAD_RE</v>
      </c>
      <c r="I146" s="7" t="str">
        <f t="shared" si="20"/>
        <v>CUAD_GEO_CNFDNC_LVL_CODE</v>
      </c>
      <c r="J146" s="7" t="str">
        <f t="shared" si="21"/>
        <v>SMALLINT</v>
      </c>
      <c r="K146" s="7" t="str">
        <f>TRIM(ETLMetadata!$G146)</f>
        <v>SMALLINT</v>
      </c>
      <c r="L146" s="7" t="str">
        <f>TRIM(ETLMetadata!$I146)</f>
        <v/>
      </c>
      <c r="M146" s="7" t="str">
        <f t="shared" si="22"/>
        <v>CAST(NULLIF(TRIM(CUAD_GEO_CNFDNC_LVL_CODE),'') AS SMALLINT)</v>
      </c>
      <c r="N146" s="7" t="str">
        <f>TRIM(ETLMetadata!$J146)</f>
        <v/>
      </c>
      <c r="O146" s="8" t="str">
        <f>IF(TRIM(Classification!$G146)="","NOT CONFIDENTIAL",TRIM(Classification!$G146))</f>
        <v>NOT CONFIDENTIAL</v>
      </c>
      <c r="P146" s="7" t="str">
        <f t="shared" si="23"/>
        <v>Y</v>
      </c>
      <c r="Q146" s="7" t="s">
        <v>826</v>
      </c>
      <c r="R146" s="9">
        <v>2958465</v>
      </c>
      <c r="S146" s="7" t="s">
        <v>827</v>
      </c>
      <c r="T146" s="7" t="s">
        <v>828</v>
      </c>
      <c r="U146" s="7" t="str">
        <f t="shared" si="17"/>
        <v>CLK_CUST_CST_CUAD_RE_V</v>
      </c>
      <c r="V146" s="7" t="s">
        <v>829</v>
      </c>
    </row>
    <row r="147" spans="1:22">
      <c r="A147" s="7" t="str">
        <f>TRIM(ETLMetadata!$B147)</f>
        <v>CLK</v>
      </c>
      <c r="B147" s="7" t="str">
        <f>TRIM(ETLMetadata!$C147)</f>
        <v>CUST_CST_CUAD_RE</v>
      </c>
      <c r="C147" s="7" t="str">
        <f>TRIM(ETLMetadata!$F147)</f>
        <v>CUAD_GEO_GNAF_PERSIST_ID</v>
      </c>
      <c r="D147" s="7" t="str">
        <f>TRIM(ETLMetadata!$H147)</f>
        <v>StringType()</v>
      </c>
      <c r="E147" s="7" t="str">
        <f t="shared" si="16"/>
        <v>CLK_CUST_CST_CUAD_RE</v>
      </c>
      <c r="F147" s="7" t="str">
        <f t="shared" si="18"/>
        <v>CUAD_GEO_GNAF_PERSIST_ID</v>
      </c>
      <c r="G147" s="7" t="s">
        <v>825</v>
      </c>
      <c r="H147" s="7" t="str">
        <f t="shared" si="19"/>
        <v>CLK_CUST_CST_CUAD_RE</v>
      </c>
      <c r="I147" s="7" t="str">
        <f t="shared" si="20"/>
        <v>CUAD_GEO_GNAF_PERSIST_ID</v>
      </c>
      <c r="J147" s="7" t="str">
        <f t="shared" si="21"/>
        <v>VARCHAR</v>
      </c>
      <c r="K147" s="7" t="str">
        <f>TRIM(ETLMetadata!$G147)</f>
        <v>VARCHAR(14)</v>
      </c>
      <c r="L147" s="7" t="str">
        <f>TRIM(ETLMetadata!$I147)</f>
        <v/>
      </c>
      <c r="M147" s="7" t="str">
        <f t="shared" si="22"/>
        <v>NULLIF(TRIM(CUAD_GEO_GNAF_PERSIST_ID),'')</v>
      </c>
      <c r="N147" s="7" t="str">
        <f>TRIM(ETLMetadata!$J147)</f>
        <v/>
      </c>
      <c r="O147" s="8" t="str">
        <f>IF(TRIM(Classification!$G147)="","NOT CONFIDENTIAL",TRIM(Classification!$G147))</f>
        <v>PERSONAL_IDENTITYINFOINDIRECT</v>
      </c>
      <c r="P147" s="7" t="str">
        <f t="shared" si="23"/>
        <v>Y</v>
      </c>
      <c r="Q147" s="7" t="s">
        <v>826</v>
      </c>
      <c r="R147" s="9">
        <v>2958465</v>
      </c>
      <c r="S147" s="7" t="s">
        <v>827</v>
      </c>
      <c r="T147" s="7" t="s">
        <v>828</v>
      </c>
      <c r="U147" s="7" t="str">
        <f t="shared" si="17"/>
        <v>CLK_CUST_CST_CUAD_RE_V</v>
      </c>
      <c r="V147" s="7" t="s">
        <v>829</v>
      </c>
    </row>
    <row r="148" spans="1:22">
      <c r="A148" s="7" t="str">
        <f>TRIM(ETLMetadata!$B148)</f>
        <v>CLK</v>
      </c>
      <c r="B148" s="7" t="str">
        <f>TRIM(ETLMetadata!$C148)</f>
        <v>CUST_CST_CUAD_RE</v>
      </c>
      <c r="C148" s="7" t="str">
        <f>TRIM(ETLMetadata!$F148)</f>
        <v>CUAD_GEO_LAT_COORD</v>
      </c>
      <c r="D148" s="7" t="str">
        <f>TRIM(ETLMetadata!$H148)</f>
        <v>StringType()</v>
      </c>
      <c r="E148" s="7" t="str">
        <f t="shared" si="16"/>
        <v>CLK_CUST_CST_CUAD_RE</v>
      </c>
      <c r="F148" s="7" t="str">
        <f t="shared" si="18"/>
        <v>CUAD_GEO_LAT_COORD</v>
      </c>
      <c r="G148" s="7" t="s">
        <v>825</v>
      </c>
      <c r="H148" s="7" t="str">
        <f t="shared" si="19"/>
        <v>CLK_CUST_CST_CUAD_RE</v>
      </c>
      <c r="I148" s="7" t="str">
        <f t="shared" si="20"/>
        <v>CUAD_GEO_LAT_COORD</v>
      </c>
      <c r="J148" s="7" t="str">
        <f t="shared" si="21"/>
        <v>VARCHAR</v>
      </c>
      <c r="K148" s="7" t="str">
        <f>TRIM(ETLMetadata!$G148)</f>
        <v>VARCHAR(13)</v>
      </c>
      <c r="L148" s="7" t="str">
        <f>TRIM(ETLMetadata!$I148)</f>
        <v/>
      </c>
      <c r="M148" s="7" t="str">
        <f t="shared" si="22"/>
        <v>NULLIF(TRIM(CUAD_GEO_LAT_COORD),'')</v>
      </c>
      <c r="N148" s="7" t="str">
        <f>TRIM(ETLMetadata!$J148)</f>
        <v/>
      </c>
      <c r="O148" s="8" t="str">
        <f>IF(TRIM(Classification!$G148)="","NOT CONFIDENTIAL",TRIM(Classification!$G148))</f>
        <v>PERSONAL_CONTACTINFO</v>
      </c>
      <c r="P148" s="7" t="str">
        <f t="shared" si="23"/>
        <v>Y</v>
      </c>
      <c r="Q148" s="7" t="s">
        <v>826</v>
      </c>
      <c r="R148" s="9">
        <v>2958465</v>
      </c>
      <c r="S148" s="7" t="s">
        <v>827</v>
      </c>
      <c r="T148" s="7" t="s">
        <v>828</v>
      </c>
      <c r="U148" s="7" t="str">
        <f t="shared" si="17"/>
        <v>CLK_CUST_CST_CUAD_RE_V</v>
      </c>
      <c r="V148" s="7" t="s">
        <v>829</v>
      </c>
    </row>
    <row r="149" spans="1:22">
      <c r="A149" s="7" t="str">
        <f>TRIM(ETLMetadata!$B149)</f>
        <v>CLK</v>
      </c>
      <c r="B149" s="7" t="str">
        <f>TRIM(ETLMetadata!$C149)</f>
        <v>CUST_CST_CUAD_RE</v>
      </c>
      <c r="C149" s="7" t="str">
        <f>TRIM(ETLMetadata!$F149)</f>
        <v>CUAD_GEO_LOCN_ID</v>
      </c>
      <c r="D149" s="7" t="str">
        <f>TRIM(ETLMetadata!$H149)</f>
        <v>StringType()</v>
      </c>
      <c r="E149" s="7" t="str">
        <f t="shared" si="16"/>
        <v>CLK_CUST_CST_CUAD_RE</v>
      </c>
      <c r="F149" s="7" t="str">
        <f t="shared" si="18"/>
        <v>CUAD_GEO_LOCN_ID</v>
      </c>
      <c r="G149" s="7" t="s">
        <v>825</v>
      </c>
      <c r="H149" s="7" t="str">
        <f t="shared" si="19"/>
        <v>CLK_CUST_CST_CUAD_RE</v>
      </c>
      <c r="I149" s="7" t="str">
        <f t="shared" si="20"/>
        <v>CUAD_GEO_LOCN_ID</v>
      </c>
      <c r="J149" s="7" t="str">
        <f t="shared" si="21"/>
        <v>VARCHAR</v>
      </c>
      <c r="K149" s="7" t="str">
        <f>TRIM(ETLMetadata!$G149)</f>
        <v>VARCHAR(21)</v>
      </c>
      <c r="L149" s="7" t="str">
        <f>TRIM(ETLMetadata!$I149)</f>
        <v/>
      </c>
      <c r="M149" s="7" t="str">
        <f t="shared" si="22"/>
        <v>NULLIF(TRIM(CUAD_GEO_LOCN_ID),'')</v>
      </c>
      <c r="N149" s="7" t="str">
        <f>TRIM(ETLMetadata!$J149)</f>
        <v/>
      </c>
      <c r="O149" s="8" t="str">
        <f>IF(TRIM(Classification!$G149)="","NOT CONFIDENTIAL",TRIM(Classification!$G149))</f>
        <v>NOT CONFIDENTIAL</v>
      </c>
      <c r="P149" s="7" t="str">
        <f t="shared" si="23"/>
        <v>Y</v>
      </c>
      <c r="Q149" s="7" t="s">
        <v>826</v>
      </c>
      <c r="R149" s="9">
        <v>2958465</v>
      </c>
      <c r="S149" s="7" t="s">
        <v>827</v>
      </c>
      <c r="T149" s="7" t="s">
        <v>828</v>
      </c>
      <c r="U149" s="7" t="str">
        <f t="shared" si="17"/>
        <v>CLK_CUST_CST_CUAD_RE_V</v>
      </c>
      <c r="V149" s="7" t="s">
        <v>829</v>
      </c>
    </row>
    <row r="150" spans="1:22">
      <c r="A150" s="7" t="str">
        <f>TRIM(ETLMetadata!$B150)</f>
        <v>CLK</v>
      </c>
      <c r="B150" s="7" t="str">
        <f>TRIM(ETLMetadata!$C150)</f>
        <v>CUST_CST_CUAD_RE</v>
      </c>
      <c r="C150" s="7" t="str">
        <f>TRIM(ETLMetadata!$F150)</f>
        <v>CUAD_GEO_LONG_COORD</v>
      </c>
      <c r="D150" s="7" t="str">
        <f>TRIM(ETLMetadata!$H150)</f>
        <v>StringType()</v>
      </c>
      <c r="E150" s="7" t="str">
        <f t="shared" si="16"/>
        <v>CLK_CUST_CST_CUAD_RE</v>
      </c>
      <c r="F150" s="7" t="str">
        <f t="shared" si="18"/>
        <v>CUAD_GEO_LONG_COORD</v>
      </c>
      <c r="G150" s="7" t="s">
        <v>825</v>
      </c>
      <c r="H150" s="7" t="str">
        <f t="shared" si="19"/>
        <v>CLK_CUST_CST_CUAD_RE</v>
      </c>
      <c r="I150" s="7" t="str">
        <f t="shared" si="20"/>
        <v>CUAD_GEO_LONG_COORD</v>
      </c>
      <c r="J150" s="7" t="str">
        <f t="shared" si="21"/>
        <v>VARCHAR</v>
      </c>
      <c r="K150" s="7" t="str">
        <f>TRIM(ETLMetadata!$G150)</f>
        <v>VARCHAR(13)</v>
      </c>
      <c r="L150" s="7" t="str">
        <f>TRIM(ETLMetadata!$I150)</f>
        <v/>
      </c>
      <c r="M150" s="7" t="str">
        <f t="shared" si="22"/>
        <v>NULLIF(TRIM(CUAD_GEO_LONG_COORD),'')</v>
      </c>
      <c r="N150" s="7" t="str">
        <f>TRIM(ETLMetadata!$J150)</f>
        <v/>
      </c>
      <c r="O150" s="8" t="str">
        <f>IF(TRIM(Classification!$G150)="","NOT CONFIDENTIAL",TRIM(Classification!$G150))</f>
        <v>PERSONAL_CONTACTINFO</v>
      </c>
      <c r="P150" s="7" t="str">
        <f t="shared" si="23"/>
        <v>Y</v>
      </c>
      <c r="Q150" s="7" t="s">
        <v>826</v>
      </c>
      <c r="R150" s="9">
        <v>2958465</v>
      </c>
      <c r="S150" s="7" t="s">
        <v>827</v>
      </c>
      <c r="T150" s="7" t="s">
        <v>828</v>
      </c>
      <c r="U150" s="7" t="str">
        <f t="shared" si="17"/>
        <v>CLK_CUST_CST_CUAD_RE_V</v>
      </c>
      <c r="V150" s="7" t="s">
        <v>829</v>
      </c>
    </row>
    <row r="151" spans="1:22">
      <c r="A151" s="7" t="str">
        <f>TRIM(ETLMetadata!$B151)</f>
        <v>CLK</v>
      </c>
      <c r="B151" s="7" t="str">
        <f>TRIM(ETLMetadata!$C151)</f>
        <v>CUST_CST_CUAD_RE</v>
      </c>
      <c r="C151" s="7" t="str">
        <f>TRIM(ETLMetadata!$F151)</f>
        <v>CUAD_GEO_LVL_TYPE_CODE</v>
      </c>
      <c r="D151" s="7" t="str">
        <f>TRIM(ETLMetadata!$H151)</f>
        <v>StringType()</v>
      </c>
      <c r="E151" s="7" t="str">
        <f t="shared" si="16"/>
        <v>CLK_CUST_CST_CUAD_RE</v>
      </c>
      <c r="F151" s="7" t="str">
        <f t="shared" si="18"/>
        <v>CUAD_GEO_LVL_TYPE_CODE</v>
      </c>
      <c r="G151" s="7" t="s">
        <v>825</v>
      </c>
      <c r="H151" s="7" t="str">
        <f t="shared" si="19"/>
        <v>CLK_CUST_CST_CUAD_RE</v>
      </c>
      <c r="I151" s="7" t="str">
        <f t="shared" si="20"/>
        <v>CUAD_GEO_LVL_TYPE_CODE</v>
      </c>
      <c r="J151" s="7" t="str">
        <f t="shared" si="21"/>
        <v>SMALLINT</v>
      </c>
      <c r="K151" s="7" t="str">
        <f>TRIM(ETLMetadata!$G151)</f>
        <v>SMALLINT</v>
      </c>
      <c r="L151" s="7" t="str">
        <f>TRIM(ETLMetadata!$I151)</f>
        <v/>
      </c>
      <c r="M151" s="7" t="str">
        <f t="shared" si="22"/>
        <v>CAST(NULLIF(TRIM(CUAD_GEO_LVL_TYPE_CODE),'') AS SMALLINT)</v>
      </c>
      <c r="N151" s="7" t="str">
        <f>TRIM(ETLMetadata!$J151)</f>
        <v/>
      </c>
      <c r="O151" s="8" t="str">
        <f>IF(TRIM(Classification!$G151)="","NOT CONFIDENTIAL",TRIM(Classification!$G151))</f>
        <v>NOT CONFIDENTIAL</v>
      </c>
      <c r="P151" s="7" t="str">
        <f t="shared" si="23"/>
        <v>Y</v>
      </c>
      <c r="Q151" s="7" t="s">
        <v>826</v>
      </c>
      <c r="R151" s="9">
        <v>2958465</v>
      </c>
      <c r="S151" s="7" t="s">
        <v>827</v>
      </c>
      <c r="T151" s="7" t="s">
        <v>828</v>
      </c>
      <c r="U151" s="7" t="str">
        <f t="shared" si="17"/>
        <v>CLK_CUST_CST_CUAD_RE_V</v>
      </c>
      <c r="V151" s="7" t="s">
        <v>829</v>
      </c>
    </row>
    <row r="152" spans="1:22">
      <c r="A152" s="7" t="str">
        <f>TRIM(ETLMetadata!$B152)</f>
        <v>CLK</v>
      </c>
      <c r="B152" s="7" t="str">
        <f>TRIM(ETLMetadata!$C152)</f>
        <v>CUST_CST_CUAD_RE</v>
      </c>
      <c r="C152" s="7" t="str">
        <f>TRIM(ETLMetadata!$F152)</f>
        <v>CUAD_GEO_PRCS_DATE</v>
      </c>
      <c r="D152" s="7" t="str">
        <f>TRIM(ETLMetadata!$H152)</f>
        <v>StringType()</v>
      </c>
      <c r="E152" s="7" t="str">
        <f t="shared" si="16"/>
        <v>CLK_CUST_CST_CUAD_RE</v>
      </c>
      <c r="F152" s="7" t="str">
        <f t="shared" si="18"/>
        <v>CUAD_GEO_PRCS_DATE</v>
      </c>
      <c r="G152" s="7" t="s">
        <v>825</v>
      </c>
      <c r="H152" s="7" t="str">
        <f t="shared" si="19"/>
        <v>CLK_CUST_CST_CUAD_RE</v>
      </c>
      <c r="I152" s="7" t="str">
        <f t="shared" si="20"/>
        <v>CUAD_GEO_PRCS_DATE</v>
      </c>
      <c r="J152" s="7" t="str">
        <f t="shared" si="21"/>
        <v>DATE</v>
      </c>
      <c r="K152" s="17" t="s">
        <v>80</v>
      </c>
      <c r="L152" s="7" t="str">
        <f>TRIM(ETLMetadata!$I152)</f>
        <v>YYYY-MM-DD</v>
      </c>
      <c r="M152" s="7" t="str">
        <f t="shared" si="22"/>
        <v>TO_DATE(NULLIF(TRIM(CUAD_GEO_PRCS_DATE),'') , 'YYYY-MM-DD')</v>
      </c>
      <c r="N152" s="7" t="str">
        <f>TRIM(ETLMetadata!$J152)</f>
        <v/>
      </c>
      <c r="O152" s="8" t="str">
        <f>IF(TRIM(Classification!$G152)="","NOT CONFIDENTIAL",TRIM(Classification!$G152))</f>
        <v>NOT CONFIDENTIAL</v>
      </c>
      <c r="P152" s="7" t="str">
        <f t="shared" si="23"/>
        <v>Y</v>
      </c>
      <c r="Q152" s="7" t="s">
        <v>826</v>
      </c>
      <c r="R152" s="9">
        <v>2958465</v>
      </c>
      <c r="S152" s="7" t="s">
        <v>827</v>
      </c>
      <c r="T152" s="7" t="s">
        <v>828</v>
      </c>
      <c r="U152" s="7" t="str">
        <f t="shared" si="17"/>
        <v>CLK_CUST_CST_CUAD_RE_V</v>
      </c>
      <c r="V152" s="7" t="s">
        <v>829</v>
      </c>
    </row>
    <row r="153" spans="1:22">
      <c r="A153" s="7" t="str">
        <f>TRIM(ETLMetadata!$B153)</f>
        <v>CLK</v>
      </c>
      <c r="B153" s="7" t="str">
        <f>TRIM(ETLMetadata!$C153)</f>
        <v>CUST_CST_CUAD_RE</v>
      </c>
      <c r="C153" s="7" t="str">
        <f>TRIM(ETLMetadata!$F153)</f>
        <v>CUAD_GEO_PRCS_DATE_ORIG</v>
      </c>
      <c r="D153" s="7" t="str">
        <f>TRIM(ETLMetadata!$H153)</f>
        <v>StringType()</v>
      </c>
      <c r="E153" s="7" t="str">
        <f t="shared" si="16"/>
        <v>CLK_CUST_CST_CUAD_RE</v>
      </c>
      <c r="F153" s="7" t="str">
        <f t="shared" si="18"/>
        <v>CUAD_GEO_PRCS_DATE_ORIG</v>
      </c>
      <c r="G153" s="7" t="s">
        <v>825</v>
      </c>
      <c r="H153" s="7" t="str">
        <f t="shared" si="19"/>
        <v>CLK_CUST_CST_CUAD_RE</v>
      </c>
      <c r="I153" s="7" t="str">
        <f t="shared" si="20"/>
        <v>CUAD_GEO_PRCS_DATE_ORIG</v>
      </c>
      <c r="J153" s="7" t="str">
        <f t="shared" si="21"/>
        <v>INTEGER</v>
      </c>
      <c r="K153" s="17" t="s">
        <v>90</v>
      </c>
      <c r="L153" s="7" t="str">
        <f>TRIM(ETLMetadata!$I153)</f>
        <v/>
      </c>
      <c r="M153" s="7" t="str">
        <f t="shared" si="22"/>
        <v>CAST(NULLIF(TRIM(CUAD_GEO_PRCS_DATE_ORIG),'') AS INTEGER)</v>
      </c>
      <c r="N153" s="7" t="str">
        <f>TRIM(ETLMetadata!$J153)</f>
        <v/>
      </c>
      <c r="O153" s="8" t="str">
        <f>IF(TRIM(Classification!$G153)="","NOT CONFIDENTIAL",TRIM(Classification!$G153))</f>
        <v>NOT CONFIDENTIAL</v>
      </c>
      <c r="P153" s="7" t="str">
        <f t="shared" si="23"/>
        <v>Y</v>
      </c>
      <c r="Q153" s="7" t="s">
        <v>826</v>
      </c>
      <c r="R153" s="9">
        <v>2958465</v>
      </c>
      <c r="S153" s="7" t="s">
        <v>827</v>
      </c>
      <c r="T153" s="7" t="s">
        <v>828</v>
      </c>
      <c r="U153" s="7" t="str">
        <f t="shared" si="17"/>
        <v>CLK_CUST_CST_CUAD_RE_V</v>
      </c>
      <c r="V153" s="7" t="s">
        <v>829</v>
      </c>
    </row>
    <row r="154" spans="1:22">
      <c r="A154" s="7" t="str">
        <f>TRIM(ETLMetadata!$B154)</f>
        <v>CLK</v>
      </c>
      <c r="B154" s="7" t="str">
        <f>TRIM(ETLMetadata!$C154)</f>
        <v>CUST_CST_CUAD_RE</v>
      </c>
      <c r="C154" s="7" t="str">
        <f>TRIM(ETLMetadata!$F154)</f>
        <v>CUAD_GEO_REF_SRC_CODE</v>
      </c>
      <c r="D154" s="7" t="str">
        <f>TRIM(ETLMetadata!$H154)</f>
        <v>StringType()</v>
      </c>
      <c r="E154" s="7" t="str">
        <f t="shared" si="16"/>
        <v>CLK_CUST_CST_CUAD_RE</v>
      </c>
      <c r="F154" s="7" t="str">
        <f t="shared" si="18"/>
        <v>CUAD_GEO_REF_SRC_CODE</v>
      </c>
      <c r="G154" s="7" t="s">
        <v>825</v>
      </c>
      <c r="H154" s="7" t="str">
        <f t="shared" si="19"/>
        <v>CLK_CUST_CST_CUAD_RE</v>
      </c>
      <c r="I154" s="7" t="str">
        <f t="shared" si="20"/>
        <v>CUAD_GEO_REF_SRC_CODE</v>
      </c>
      <c r="J154" s="7" t="str">
        <f t="shared" si="21"/>
        <v>VARCHAR</v>
      </c>
      <c r="K154" s="7" t="str">
        <f>TRIM(ETLMetadata!$G154)</f>
        <v>CHAR(4)</v>
      </c>
      <c r="L154" s="7" t="str">
        <f>TRIM(ETLMetadata!$I154)</f>
        <v/>
      </c>
      <c r="M154" s="7" t="str">
        <f t="shared" si="22"/>
        <v>NULLIF(TRIM(CUAD_GEO_REF_SRC_CODE),'')</v>
      </c>
      <c r="N154" s="7" t="str">
        <f>TRIM(ETLMetadata!$J154)</f>
        <v/>
      </c>
      <c r="O154" s="8" t="str">
        <f>IF(TRIM(Classification!$G154)="","NOT CONFIDENTIAL",TRIM(Classification!$G154))</f>
        <v>NOT CONFIDENTIAL</v>
      </c>
      <c r="P154" s="7" t="str">
        <f t="shared" si="23"/>
        <v>Y</v>
      </c>
      <c r="Q154" s="7" t="s">
        <v>826</v>
      </c>
      <c r="R154" s="9">
        <v>2958465</v>
      </c>
      <c r="S154" s="7" t="s">
        <v>827</v>
      </c>
      <c r="T154" s="7" t="s">
        <v>828</v>
      </c>
      <c r="U154" s="7" t="str">
        <f t="shared" si="17"/>
        <v>CLK_CUST_CST_CUAD_RE_V</v>
      </c>
      <c r="V154" s="7" t="s">
        <v>829</v>
      </c>
    </row>
    <row r="155" spans="1:22">
      <c r="A155" s="7" t="str">
        <f>TRIM(ETLMetadata!$B155)</f>
        <v>CLK</v>
      </c>
      <c r="B155" s="7" t="str">
        <f>TRIM(ETLMetadata!$C155)</f>
        <v>CUST_CST_CUAD_RE</v>
      </c>
      <c r="C155" s="7" t="str">
        <f>TRIM(ETLMetadata!$F155)</f>
        <v>CUAD_GEO_RELY_LVL_CODE</v>
      </c>
      <c r="D155" s="7" t="str">
        <f>TRIM(ETLMetadata!$H155)</f>
        <v>StringType()</v>
      </c>
      <c r="E155" s="7" t="str">
        <f t="shared" si="16"/>
        <v>CLK_CUST_CST_CUAD_RE</v>
      </c>
      <c r="F155" s="7" t="str">
        <f t="shared" si="18"/>
        <v>CUAD_GEO_RELY_LVL_CODE</v>
      </c>
      <c r="G155" s="7" t="s">
        <v>825</v>
      </c>
      <c r="H155" s="7" t="str">
        <f t="shared" si="19"/>
        <v>CLK_CUST_CST_CUAD_RE</v>
      </c>
      <c r="I155" s="7" t="str">
        <f t="shared" si="20"/>
        <v>CUAD_GEO_RELY_LVL_CODE</v>
      </c>
      <c r="J155" s="7" t="str">
        <f t="shared" si="21"/>
        <v>SMALLINT</v>
      </c>
      <c r="K155" s="7" t="str">
        <f>TRIM(ETLMetadata!$G155)</f>
        <v>SMALLINT</v>
      </c>
      <c r="L155" s="7" t="str">
        <f>TRIM(ETLMetadata!$I155)</f>
        <v/>
      </c>
      <c r="M155" s="7" t="str">
        <f t="shared" si="22"/>
        <v>CAST(NULLIF(TRIM(CUAD_GEO_RELY_LVL_CODE),'') AS SMALLINT)</v>
      </c>
      <c r="N155" s="7" t="str">
        <f>TRIM(ETLMetadata!$J155)</f>
        <v/>
      </c>
      <c r="O155" s="8" t="str">
        <f>IF(TRIM(Classification!$G155)="","NOT CONFIDENTIAL",TRIM(Classification!$G155))</f>
        <v>NOT CONFIDENTIAL</v>
      </c>
      <c r="P155" s="7" t="str">
        <f t="shared" si="23"/>
        <v>Y</v>
      </c>
      <c r="Q155" s="7" t="s">
        <v>826</v>
      </c>
      <c r="R155" s="9">
        <v>2958465</v>
      </c>
      <c r="S155" s="7" t="s">
        <v>827</v>
      </c>
      <c r="T155" s="7" t="s">
        <v>828</v>
      </c>
      <c r="U155" s="7" t="str">
        <f t="shared" si="17"/>
        <v>CLK_CUST_CST_CUAD_RE_V</v>
      </c>
      <c r="V155" s="7" t="s">
        <v>829</v>
      </c>
    </row>
    <row r="156" spans="1:22">
      <c r="A156" s="7" t="str">
        <f>TRIM(ETLMetadata!$B156)</f>
        <v>CLK</v>
      </c>
      <c r="B156" s="7" t="str">
        <f>TRIM(ETLMetadata!$C156)</f>
        <v>CUST_CST_CUAD_RE</v>
      </c>
      <c r="C156" s="7" t="str">
        <f>TRIM(ETLMetadata!$F156)</f>
        <v>CUAD_OSEAS_ADDR_3RD_LINE</v>
      </c>
      <c r="D156" s="7" t="str">
        <f>TRIM(ETLMetadata!$H156)</f>
        <v>StringType()</v>
      </c>
      <c r="E156" s="7" t="str">
        <f t="shared" si="16"/>
        <v>CLK_CUST_CST_CUAD_RE</v>
      </c>
      <c r="F156" s="7" t="str">
        <f t="shared" si="18"/>
        <v>CUAD_OSEAS_ADDR_3RD_LINE</v>
      </c>
      <c r="G156" s="7" t="s">
        <v>825</v>
      </c>
      <c r="H156" s="7" t="str">
        <f t="shared" si="19"/>
        <v>CLK_CUST_CST_CUAD_RE</v>
      </c>
      <c r="I156" s="7" t="str">
        <f t="shared" si="20"/>
        <v>CUAD_OSEAS_ADDR_3RD_LINE</v>
      </c>
      <c r="J156" s="7" t="str">
        <f t="shared" si="21"/>
        <v>VARCHAR</v>
      </c>
      <c r="K156" s="7" t="str">
        <f>TRIM(ETLMetadata!$G156)</f>
        <v>VARCHAR(50)</v>
      </c>
      <c r="L156" s="7" t="str">
        <f>TRIM(ETLMetadata!$I156)</f>
        <v/>
      </c>
      <c r="M156" s="7" t="str">
        <f t="shared" si="22"/>
        <v>NULLIF(TRIM(CUAD_OSEAS_ADDR_3RD_LINE),'')</v>
      </c>
      <c r="N156" s="7" t="str">
        <f>TRIM(ETLMetadata!$J156)</f>
        <v/>
      </c>
      <c r="O156" s="8" t="str">
        <f>IF(TRIM(Classification!$G156)="","NOT CONFIDENTIAL",TRIM(Classification!$G156))</f>
        <v>NOT CONFIDENTIAL</v>
      </c>
      <c r="P156" s="7" t="str">
        <f t="shared" si="23"/>
        <v>Y</v>
      </c>
      <c r="Q156" s="7" t="s">
        <v>826</v>
      </c>
      <c r="R156" s="9">
        <v>2958465</v>
      </c>
      <c r="S156" s="7" t="s">
        <v>827</v>
      </c>
      <c r="T156" s="7" t="s">
        <v>828</v>
      </c>
      <c r="U156" s="7" t="str">
        <f t="shared" si="17"/>
        <v>CLK_CUST_CST_CUAD_RE_V</v>
      </c>
      <c r="V156" s="7" t="s">
        <v>829</v>
      </c>
    </row>
    <row r="157" spans="1:22">
      <c r="A157" s="7" t="str">
        <f>TRIM(ETLMetadata!$B157)</f>
        <v>CLK</v>
      </c>
      <c r="B157" s="7" t="str">
        <f>TRIM(ETLMetadata!$C157)</f>
        <v>CUST_CST_CUAD_RE</v>
      </c>
      <c r="C157" s="7" t="str">
        <f>TRIM(ETLMetadata!$F157)</f>
        <v>CUAD_CTRY_CODE</v>
      </c>
      <c r="D157" s="7" t="str">
        <f>TRIM(ETLMetadata!$H157)</f>
        <v>StringType()</v>
      </c>
      <c r="E157" s="7" t="str">
        <f t="shared" si="16"/>
        <v>CLK_CUST_CST_CUAD_RE</v>
      </c>
      <c r="F157" s="7" t="str">
        <f t="shared" si="18"/>
        <v>CUAD_CTRY_CODE</v>
      </c>
      <c r="G157" s="7" t="s">
        <v>825</v>
      </c>
      <c r="H157" s="7" t="str">
        <f t="shared" si="19"/>
        <v>CLK_CUST_CST_CUAD_RE</v>
      </c>
      <c r="I157" s="7" t="str">
        <f t="shared" si="20"/>
        <v>CUAD_CTRY_CODE</v>
      </c>
      <c r="J157" s="7" t="str">
        <f t="shared" si="21"/>
        <v>VARCHAR</v>
      </c>
      <c r="K157" s="7" t="str">
        <f>TRIM(ETLMetadata!$G157)</f>
        <v>CHAR(2)</v>
      </c>
      <c r="L157" s="7" t="str">
        <f>TRIM(ETLMetadata!$I157)</f>
        <v/>
      </c>
      <c r="M157" s="7" t="str">
        <f t="shared" si="22"/>
        <v>NULLIF(TRIM(CUAD_CTRY_CODE),'')</v>
      </c>
      <c r="N157" s="7" t="str">
        <f>TRIM(ETLMetadata!$J157)</f>
        <v/>
      </c>
      <c r="O157" s="8" t="str">
        <f>IF(TRIM(Classification!$G157)="","NOT CONFIDENTIAL",TRIM(Classification!$G157))</f>
        <v>PERSONAL_CONTACTINFO</v>
      </c>
      <c r="P157" s="7" t="str">
        <f t="shared" si="23"/>
        <v>Y</v>
      </c>
      <c r="Q157" s="7" t="s">
        <v>826</v>
      </c>
      <c r="R157" s="9">
        <v>2958465</v>
      </c>
      <c r="S157" s="7" t="s">
        <v>827</v>
      </c>
      <c r="T157" s="7" t="s">
        <v>828</v>
      </c>
      <c r="U157" s="7" t="str">
        <f t="shared" si="17"/>
        <v>CLK_CUST_CST_CUAD_RE_V</v>
      </c>
      <c r="V157" s="7" t="s">
        <v>829</v>
      </c>
    </row>
    <row r="158" spans="1:22">
      <c r="A158" s="7" t="str">
        <f>TRIM(ETLMetadata!$B158)</f>
        <v>CLK</v>
      </c>
      <c r="B158" s="7" t="str">
        <f>TRIM(ETLMetadata!$C158)</f>
        <v>CUST_CST_CUAD_RE</v>
      </c>
      <c r="C158" s="7" t="str">
        <f>TRIM(ETLMetadata!$F158)</f>
        <v>CUAD_OSEAS_POSTCODE</v>
      </c>
      <c r="D158" s="7" t="str">
        <f>TRIM(ETLMetadata!$H158)</f>
        <v>StringType()</v>
      </c>
      <c r="E158" s="7" t="str">
        <f t="shared" si="16"/>
        <v>CLK_CUST_CST_CUAD_RE</v>
      </c>
      <c r="F158" s="7" t="str">
        <f t="shared" si="18"/>
        <v>CUAD_OSEAS_POSTCODE</v>
      </c>
      <c r="G158" s="7" t="s">
        <v>825</v>
      </c>
      <c r="H158" s="7" t="str">
        <f t="shared" si="19"/>
        <v>CLK_CUST_CST_CUAD_RE</v>
      </c>
      <c r="I158" s="7" t="str">
        <f t="shared" si="20"/>
        <v>CUAD_OSEAS_POSTCODE</v>
      </c>
      <c r="J158" s="7" t="str">
        <f t="shared" si="21"/>
        <v>VARCHAR</v>
      </c>
      <c r="K158" s="7" t="str">
        <f>TRIM(ETLMetadata!$G158)</f>
        <v>VARCHAR(12)</v>
      </c>
      <c r="L158" s="7" t="str">
        <f>TRIM(ETLMetadata!$I158)</f>
        <v/>
      </c>
      <c r="M158" s="7" t="str">
        <f t="shared" si="22"/>
        <v>NULLIF(TRIM(CUAD_OSEAS_POSTCODE),'')</v>
      </c>
      <c r="N158" s="7" t="str">
        <f>TRIM(ETLMetadata!$J158)</f>
        <v/>
      </c>
      <c r="O158" s="8" t="str">
        <f>IF(TRIM(Classification!$G158)="","NOT CONFIDENTIAL",TRIM(Classification!$G158))</f>
        <v>PERSONAL_CONTACTINFO</v>
      </c>
      <c r="P158" s="7" t="str">
        <f t="shared" si="23"/>
        <v>Y</v>
      </c>
      <c r="Q158" s="7" t="s">
        <v>826</v>
      </c>
      <c r="R158" s="9">
        <v>2958465</v>
      </c>
      <c r="S158" s="7" t="s">
        <v>827</v>
      </c>
      <c r="T158" s="7" t="s">
        <v>828</v>
      </c>
      <c r="U158" s="7" t="str">
        <f t="shared" si="17"/>
        <v>CLK_CUST_CST_CUAD_RE_V</v>
      </c>
      <c r="V158" s="7" t="s">
        <v>829</v>
      </c>
    </row>
    <row r="159" spans="1:22">
      <c r="A159" s="7" t="str">
        <f>TRIM(ETLMetadata!$B159)</f>
        <v>CLK</v>
      </c>
      <c r="B159" s="7" t="str">
        <f>TRIM(ETLMetadata!$C159)</f>
        <v>CUST_CST_CUAD_RE</v>
      </c>
      <c r="C159" s="7" t="str">
        <f>TRIM(ETLMetadata!$F159)</f>
        <v>CUAD_REMOTE_AREA_IND</v>
      </c>
      <c r="D159" s="7" t="str">
        <f>TRIM(ETLMetadata!$H159)</f>
        <v>StringType()</v>
      </c>
      <c r="E159" s="7" t="str">
        <f t="shared" ref="E159:E222" si="24">CONCATENATE($A159,"_",B159)</f>
        <v>CLK_CUST_CST_CUAD_RE</v>
      </c>
      <c r="F159" s="7" t="str">
        <f t="shared" si="18"/>
        <v>CUAD_REMOTE_AREA_IND</v>
      </c>
      <c r="G159" s="7" t="s">
        <v>825</v>
      </c>
      <c r="H159" s="7" t="str">
        <f t="shared" si="19"/>
        <v>CLK_CUST_CST_CUAD_RE</v>
      </c>
      <c r="I159" s="7" t="str">
        <f t="shared" si="20"/>
        <v>CUAD_REMOTE_AREA_IND</v>
      </c>
      <c r="J159" s="7" t="str">
        <f t="shared" si="21"/>
        <v>VARCHAR</v>
      </c>
      <c r="K159" s="7" t="str">
        <f>TRIM(ETLMetadata!$G159)</f>
        <v>CHAR(1)</v>
      </c>
      <c r="L159" s="7" t="str">
        <f>TRIM(ETLMetadata!$I159)</f>
        <v/>
      </c>
      <c r="M159" s="7" t="str">
        <f t="shared" si="22"/>
        <v>NULLIF(TRIM(CUAD_REMOTE_AREA_IND),'')</v>
      </c>
      <c r="N159" s="7" t="str">
        <f>TRIM(ETLMetadata!$J159)</f>
        <v/>
      </c>
      <c r="O159" s="8" t="str">
        <f>IF(TRIM(Classification!$G159)="","NOT CONFIDENTIAL",TRIM(Classification!$G159))</f>
        <v>NOT CONFIDENTIAL</v>
      </c>
      <c r="P159" s="7" t="str">
        <f t="shared" si="23"/>
        <v>Y</v>
      </c>
      <c r="Q159" s="7" t="s">
        <v>826</v>
      </c>
      <c r="R159" s="9">
        <v>2958465</v>
      </c>
      <c r="S159" s="7" t="s">
        <v>827</v>
      </c>
      <c r="T159" s="7" t="s">
        <v>828</v>
      </c>
      <c r="U159" s="7" t="str">
        <f t="shared" ref="U159:U222" si="25">CONCATENATE(A159,"_",B159,"_V")</f>
        <v>CLK_CUST_CST_CUAD_RE_V</v>
      </c>
      <c r="V159" s="7" t="s">
        <v>829</v>
      </c>
    </row>
    <row r="160" spans="1:22">
      <c r="A160" s="7" t="str">
        <f>TRIM(ETLMetadata!$B160)</f>
        <v>CLK</v>
      </c>
      <c r="B160" s="7" t="str">
        <f>TRIM(ETLMetadata!$C160)</f>
        <v>CUST_CST_CUAD_RE</v>
      </c>
      <c r="C160" s="7" t="str">
        <f>TRIM(ETLMetadata!$F160)</f>
        <v>CUAD_STATE_CODE</v>
      </c>
      <c r="D160" s="7" t="str">
        <f>TRIM(ETLMetadata!$H160)</f>
        <v>StringType()</v>
      </c>
      <c r="E160" s="7" t="str">
        <f t="shared" si="24"/>
        <v>CLK_CUST_CST_CUAD_RE</v>
      </c>
      <c r="F160" s="7" t="str">
        <f t="shared" si="18"/>
        <v>CUAD_STATE_CODE</v>
      </c>
      <c r="G160" s="7" t="s">
        <v>825</v>
      </c>
      <c r="H160" s="7" t="str">
        <f t="shared" si="19"/>
        <v>CLK_CUST_CST_CUAD_RE</v>
      </c>
      <c r="I160" s="7" t="str">
        <f t="shared" si="20"/>
        <v>CUAD_STATE_CODE</v>
      </c>
      <c r="J160" s="7" t="str">
        <f t="shared" si="21"/>
        <v>VARCHAR</v>
      </c>
      <c r="K160" s="7" t="str">
        <f>TRIM(ETLMetadata!$G160)</f>
        <v>CHAR(3)</v>
      </c>
      <c r="L160" s="7" t="str">
        <f>TRIM(ETLMetadata!$I160)</f>
        <v/>
      </c>
      <c r="M160" s="7" t="str">
        <f t="shared" si="22"/>
        <v>NULLIF(TRIM(CUAD_STATE_CODE),'')</v>
      </c>
      <c r="N160" s="7" t="str">
        <f>TRIM(ETLMetadata!$J160)</f>
        <v/>
      </c>
      <c r="O160" s="8" t="str">
        <f>IF(TRIM(Classification!$G160)="","NOT CONFIDENTIAL",TRIM(Classification!$G160))</f>
        <v>PERSONAL_CONTACTINFO</v>
      </c>
      <c r="P160" s="7" t="str">
        <f t="shared" si="23"/>
        <v>Y</v>
      </c>
      <c r="Q160" s="7" t="s">
        <v>826</v>
      </c>
      <c r="R160" s="9">
        <v>2958465</v>
      </c>
      <c r="S160" s="7" t="s">
        <v>827</v>
      </c>
      <c r="T160" s="7" t="s">
        <v>828</v>
      </c>
      <c r="U160" s="7" t="str">
        <f t="shared" si="25"/>
        <v>CLK_CUST_CST_CUAD_RE_V</v>
      </c>
      <c r="V160" s="7" t="s">
        <v>829</v>
      </c>
    </row>
    <row r="161" spans="1:22">
      <c r="A161" s="7" t="str">
        <f>TRIM(ETLMetadata!$B161)</f>
        <v>CLK</v>
      </c>
      <c r="B161" s="7" t="str">
        <f>TRIM(ETLMetadata!$C161)</f>
        <v>CUST_CST_CUAD_RE</v>
      </c>
      <c r="C161" s="7" t="str">
        <f>TRIM(ETLMetadata!$F161)</f>
        <v>CUAD_SUBURB_LOCALITY_NAME</v>
      </c>
      <c r="D161" s="7" t="str">
        <f>TRIM(ETLMetadata!$H161)</f>
        <v>StringType()</v>
      </c>
      <c r="E161" s="7" t="str">
        <f t="shared" si="24"/>
        <v>CLK_CUST_CST_CUAD_RE</v>
      </c>
      <c r="F161" s="7" t="str">
        <f t="shared" si="18"/>
        <v>CUAD_SUBURB_LOCALITY_NAME</v>
      </c>
      <c r="G161" s="7" t="s">
        <v>825</v>
      </c>
      <c r="H161" s="7" t="str">
        <f t="shared" si="19"/>
        <v>CLK_CUST_CST_CUAD_RE</v>
      </c>
      <c r="I161" s="7" t="str">
        <f t="shared" si="20"/>
        <v>CUAD_SUBURB_LOCALITY_NAME</v>
      </c>
      <c r="J161" s="7" t="str">
        <f t="shared" si="21"/>
        <v>VARCHAR</v>
      </c>
      <c r="K161" s="7" t="str">
        <f>TRIM(ETLMetadata!$G161)</f>
        <v>VARCHAR(50)</v>
      </c>
      <c r="L161" s="7" t="str">
        <f>TRIM(ETLMetadata!$I161)</f>
        <v/>
      </c>
      <c r="M161" s="7" t="str">
        <f t="shared" si="22"/>
        <v>NULLIF(TRIM(CUAD_SUBURB_LOCALITY_NAME),'')</v>
      </c>
      <c r="N161" s="7" t="str">
        <f>TRIM(ETLMetadata!$J161)</f>
        <v/>
      </c>
      <c r="O161" s="8" t="str">
        <f>IF(TRIM(Classification!$G161)="","NOT CONFIDENTIAL",TRIM(Classification!$G161))</f>
        <v>PERSONAL_CONTACTINFO</v>
      </c>
      <c r="P161" s="7" t="str">
        <f t="shared" si="23"/>
        <v>Y</v>
      </c>
      <c r="Q161" s="7" t="s">
        <v>826</v>
      </c>
      <c r="R161" s="9">
        <v>2958465</v>
      </c>
      <c r="S161" s="7" t="s">
        <v>827</v>
      </c>
      <c r="T161" s="7" t="s">
        <v>828</v>
      </c>
      <c r="U161" s="7" t="str">
        <f t="shared" si="25"/>
        <v>CLK_CUST_CST_CUAD_RE_V</v>
      </c>
      <c r="V161" s="7" t="s">
        <v>829</v>
      </c>
    </row>
    <row r="162" spans="1:22">
      <c r="A162" s="7" t="str">
        <f>TRIM(ETLMetadata!$B162)</f>
        <v>CLK</v>
      </c>
      <c r="B162" s="7" t="str">
        <f>TRIM(ETLMetadata!$C162)</f>
        <v>CUST_CST_CUAD_RE</v>
      </c>
      <c r="C162" s="7" t="str">
        <f>TRIM(ETLMetadata!$F162)</f>
        <v>CUAD_TEMP_POST_ADDR_IND</v>
      </c>
      <c r="D162" s="7" t="str">
        <f>TRIM(ETLMetadata!$H162)</f>
        <v>StringType()</v>
      </c>
      <c r="E162" s="7" t="str">
        <f t="shared" si="24"/>
        <v>CLK_CUST_CST_CUAD_RE</v>
      </c>
      <c r="F162" s="7" t="str">
        <f t="shared" si="18"/>
        <v>CUAD_TEMP_POST_ADDR_IND</v>
      </c>
      <c r="G162" s="7" t="s">
        <v>825</v>
      </c>
      <c r="H162" s="7" t="str">
        <f t="shared" si="19"/>
        <v>CLK_CUST_CST_CUAD_RE</v>
      </c>
      <c r="I162" s="7" t="str">
        <f t="shared" si="20"/>
        <v>CUAD_TEMP_POST_ADDR_IND</v>
      </c>
      <c r="J162" s="7" t="str">
        <f t="shared" si="21"/>
        <v>VARCHAR</v>
      </c>
      <c r="K162" s="7" t="str">
        <f>TRIM(ETLMetadata!$G162)</f>
        <v>CHAR(1)</v>
      </c>
      <c r="L162" s="7" t="str">
        <f>TRIM(ETLMetadata!$I162)</f>
        <v/>
      </c>
      <c r="M162" s="7" t="str">
        <f t="shared" si="22"/>
        <v>NULLIF(TRIM(CUAD_TEMP_POST_ADDR_IND),'')</v>
      </c>
      <c r="N162" s="7" t="str">
        <f>TRIM(ETLMetadata!$J162)</f>
        <v/>
      </c>
      <c r="O162" s="8" t="str">
        <f>IF(TRIM(Classification!$G162)="","NOT CONFIDENTIAL",TRIM(Classification!$G162))</f>
        <v>NOT CONFIDENTIAL</v>
      </c>
      <c r="P162" s="7" t="str">
        <f t="shared" si="23"/>
        <v>Y</v>
      </c>
      <c r="Q162" s="7" t="s">
        <v>826</v>
      </c>
      <c r="R162" s="9">
        <v>2958465</v>
      </c>
      <c r="S162" s="7" t="s">
        <v>827</v>
      </c>
      <c r="T162" s="7" t="s">
        <v>828</v>
      </c>
      <c r="U162" s="7" t="str">
        <f t="shared" si="25"/>
        <v>CLK_CUST_CST_CUAD_RE_V</v>
      </c>
      <c r="V162" s="7" t="s">
        <v>829</v>
      </c>
    </row>
    <row r="163" spans="1:22">
      <c r="A163" s="7" t="str">
        <f>TRIM(ETLMetadata!$B163)</f>
        <v>CLK</v>
      </c>
      <c r="B163" s="7" t="str">
        <f>TRIM(ETLMetadata!$C163)</f>
        <v>CUST_CST_CUAD_RE</v>
      </c>
      <c r="C163" s="7" t="str">
        <f>TRIM(ETLMetadata!$F163)</f>
        <v>AMR1_RISL_DTS</v>
      </c>
      <c r="D163" s="7" t="str">
        <f>TRIM(ETLMetadata!$H163)</f>
        <v>StringType()</v>
      </c>
      <c r="E163" s="7" t="str">
        <f t="shared" si="24"/>
        <v>CLK_CUST_CST_CUAD_RE</v>
      </c>
      <c r="F163" s="7" t="str">
        <f t="shared" si="18"/>
        <v>AMR1_RISL_DTS</v>
      </c>
      <c r="G163" s="7" t="s">
        <v>825</v>
      </c>
      <c r="H163" s="7" t="str">
        <f t="shared" si="19"/>
        <v>CLK_CUST_CST_CUAD_RE</v>
      </c>
      <c r="I163" s="7" t="str">
        <f t="shared" si="20"/>
        <v>AMR1_RISL_DTS</v>
      </c>
      <c r="J163" s="7" t="str">
        <f t="shared" si="21"/>
        <v>TIMESTAMP</v>
      </c>
      <c r="K163" s="7" t="str">
        <f>TRIM(ETLMetadata!$G163)</f>
        <v>TIMESTAMP(6)</v>
      </c>
      <c r="L163" s="7" t="str">
        <f>TRIM(ETLMetadata!$I163)</f>
        <v>YYYY-MM-DDBHH:MI:SS.S(6)</v>
      </c>
      <c r="M163" s="7" t="str">
        <f t="shared" si="22"/>
        <v>TO_TIMESTAMP_NTZ(NULLIF(TRIM(AMR1_RISL_DTS),''),'YYYY-MM-DD HH24:MI:SS.FF6')</v>
      </c>
      <c r="N163" s="7" t="str">
        <f>TRIM(ETLMetadata!$J163)</f>
        <v/>
      </c>
      <c r="O163" s="8" t="str">
        <f>IF(TRIM(Classification!$G163)="","NOT CONFIDENTIAL",TRIM(Classification!$G163))</f>
        <v>NOT CONFIDENTIAL</v>
      </c>
      <c r="P163" s="7" t="str">
        <f t="shared" si="23"/>
        <v>Y</v>
      </c>
      <c r="Q163" s="7" t="s">
        <v>826</v>
      </c>
      <c r="R163" s="9">
        <v>2958465</v>
      </c>
      <c r="S163" s="7" t="s">
        <v>827</v>
      </c>
      <c r="T163" s="7" t="s">
        <v>828</v>
      </c>
      <c r="U163" s="7" t="str">
        <f t="shared" si="25"/>
        <v>CLK_CUST_CST_CUAD_RE_V</v>
      </c>
      <c r="V163" s="7" t="s">
        <v>829</v>
      </c>
    </row>
    <row r="164" spans="1:22">
      <c r="A164" s="7" t="str">
        <f>TRIM(ETLMetadata!$B164)</f>
        <v>CLK</v>
      </c>
      <c r="B164" s="7" t="str">
        <f>TRIM(ETLMetadata!$C164)</f>
        <v>CUST_CST_CUAD_RE</v>
      </c>
      <c r="C164" s="7" t="str">
        <f>TRIM(ETLMetadata!$F164)</f>
        <v>AMR3_RISL_DTS</v>
      </c>
      <c r="D164" s="7" t="str">
        <f>TRIM(ETLMetadata!$H164)</f>
        <v>StringType()</v>
      </c>
      <c r="E164" s="7" t="str">
        <f t="shared" si="24"/>
        <v>CLK_CUST_CST_CUAD_RE</v>
      </c>
      <c r="F164" s="7" t="str">
        <f t="shared" si="18"/>
        <v>AMR3_RISL_DTS</v>
      </c>
      <c r="G164" s="7" t="s">
        <v>825</v>
      </c>
      <c r="H164" s="7" t="str">
        <f t="shared" si="19"/>
        <v>CLK_CUST_CST_CUAD_RE</v>
      </c>
      <c r="I164" s="7" t="str">
        <f t="shared" si="20"/>
        <v>AMR3_RISL_DTS</v>
      </c>
      <c r="J164" s="7" t="str">
        <f t="shared" si="21"/>
        <v>TIMESTAMP</v>
      </c>
      <c r="K164" s="7" t="str">
        <f>TRIM(ETLMetadata!$G164)</f>
        <v>TIMESTAMP(6)</v>
      </c>
      <c r="L164" s="7" t="str">
        <f>TRIM(ETLMetadata!$I164)</f>
        <v>YYYY-MM-DDBHH:MI:SS.S(6)</v>
      </c>
      <c r="M164" s="7" t="str">
        <f t="shared" si="22"/>
        <v>TO_TIMESTAMP_NTZ(NULLIF(TRIM(AMR3_RISL_DTS),''),'YYYY-MM-DD HH24:MI:SS.FF6')</v>
      </c>
      <c r="N164" s="7" t="str">
        <f>TRIM(ETLMetadata!$J164)</f>
        <v/>
      </c>
      <c r="O164" s="8" t="str">
        <f>IF(TRIM(Classification!$G164)="","NOT CONFIDENTIAL",TRIM(Classification!$G164))</f>
        <v>NOT CONFIDENTIAL</v>
      </c>
      <c r="P164" s="7" t="str">
        <f t="shared" si="23"/>
        <v>Y</v>
      </c>
      <c r="Q164" s="7" t="s">
        <v>826</v>
      </c>
      <c r="R164" s="9">
        <v>2958465</v>
      </c>
      <c r="S164" s="7" t="s">
        <v>827</v>
      </c>
      <c r="T164" s="7" t="s">
        <v>828</v>
      </c>
      <c r="U164" s="7" t="str">
        <f t="shared" si="25"/>
        <v>CLK_CUST_CST_CUAD_RE_V</v>
      </c>
      <c r="V164" s="7" t="s">
        <v>829</v>
      </c>
    </row>
    <row r="165" spans="1:22">
      <c r="A165" s="7" t="str">
        <f>TRIM(ETLMetadata!$B165)</f>
        <v>CLK</v>
      </c>
      <c r="B165" s="7" t="str">
        <f>TRIM(ETLMetadata!$C165)</f>
        <v>CUST_CST_CUAD_RE</v>
      </c>
      <c r="C165" s="7" t="str">
        <f>TRIM(ETLMetadata!$F165)</f>
        <v>LOC_ID</v>
      </c>
      <c r="D165" s="7" t="str">
        <f>TRIM(ETLMetadata!$H165)</f>
        <v>StringType()</v>
      </c>
      <c r="E165" s="7" t="str">
        <f t="shared" si="24"/>
        <v>CLK_CUST_CST_CUAD_RE</v>
      </c>
      <c r="F165" s="7" t="str">
        <f t="shared" si="18"/>
        <v>LOC_ID</v>
      </c>
      <c r="G165" s="7" t="s">
        <v>825</v>
      </c>
      <c r="H165" s="7" t="str">
        <f t="shared" si="19"/>
        <v>CLK_CUST_CST_CUAD_RE</v>
      </c>
      <c r="I165" s="7" t="str">
        <f t="shared" si="20"/>
        <v>LOC_ID</v>
      </c>
      <c r="J165" s="7" t="str">
        <f t="shared" si="21"/>
        <v>INTEGER</v>
      </c>
      <c r="K165" s="7" t="str">
        <f>TRIM(ETLMetadata!$G165)</f>
        <v>INTEGER</v>
      </c>
      <c r="L165" s="7" t="str">
        <f>TRIM(ETLMetadata!$I165)</f>
        <v/>
      </c>
      <c r="M165" s="7" t="str">
        <f t="shared" si="22"/>
        <v>CAST(NULLIF(TRIM(LOC_ID),'') AS INTEGER)</v>
      </c>
      <c r="N165" s="7" t="str">
        <f>TRIM(ETLMetadata!$J165)</f>
        <v>Y</v>
      </c>
      <c r="O165" s="8" t="str">
        <f>IF(TRIM(Classification!$G165)="","NOT CONFIDENTIAL",TRIM(Classification!$G165))</f>
        <v>NOT CONFIDENTIAL</v>
      </c>
      <c r="P165" s="7" t="str">
        <f t="shared" si="23"/>
        <v>Y</v>
      </c>
      <c r="Q165" s="7" t="s">
        <v>826</v>
      </c>
      <c r="R165" s="9">
        <v>2958465</v>
      </c>
      <c r="S165" s="7" t="s">
        <v>827</v>
      </c>
      <c r="T165" s="7" t="s">
        <v>828</v>
      </c>
      <c r="U165" s="7" t="str">
        <f t="shared" si="25"/>
        <v>CLK_CUST_CST_CUAD_RE_V</v>
      </c>
      <c r="V165" s="7" t="s">
        <v>829</v>
      </c>
    </row>
    <row r="166" spans="1:22">
      <c r="A166" s="7" t="str">
        <f>TRIM(ETLMetadata!$B166)</f>
        <v>CLK</v>
      </c>
      <c r="B166" s="7" t="str">
        <f>TRIM(ETLMetadata!$C166)</f>
        <v>CUST_CST_CUAD_RE</v>
      </c>
      <c r="C166" s="7" t="str">
        <f>TRIM(ETLMetadata!$F166)</f>
        <v>PARTY_ID</v>
      </c>
      <c r="D166" s="7" t="str">
        <f>TRIM(ETLMetadata!$H166)</f>
        <v>StringType()</v>
      </c>
      <c r="E166" s="7" t="str">
        <f t="shared" si="24"/>
        <v>CLK_CUST_CST_CUAD_RE</v>
      </c>
      <c r="F166" s="7" t="str">
        <f t="shared" si="18"/>
        <v>PARTY_ID</v>
      </c>
      <c r="G166" s="7" t="s">
        <v>825</v>
      </c>
      <c r="H166" s="7" t="str">
        <f t="shared" si="19"/>
        <v>CLK_CUST_CST_CUAD_RE</v>
      </c>
      <c r="I166" s="7" t="str">
        <f t="shared" si="20"/>
        <v>PARTY_ID</v>
      </c>
      <c r="J166" s="7" t="str">
        <f t="shared" si="21"/>
        <v>INTEGER</v>
      </c>
      <c r="K166" s="7" t="str">
        <f>TRIM(ETLMetadata!$G166)</f>
        <v>INTEGER</v>
      </c>
      <c r="L166" s="7" t="str">
        <f>TRIM(ETLMetadata!$I166)</f>
        <v/>
      </c>
      <c r="M166" s="7" t="str">
        <f t="shared" si="22"/>
        <v>CAST(NULLIF(TRIM(PARTY_ID),'') AS INTEGER)</v>
      </c>
      <c r="N166" s="7" t="str">
        <f>TRIM(ETLMetadata!$J166)</f>
        <v/>
      </c>
      <c r="O166" s="8" t="str">
        <f>IF(TRIM(Classification!$G166)="","NOT CONFIDENTIAL",TRIM(Classification!$G166))</f>
        <v>NOT CONFIDENTIAL</v>
      </c>
      <c r="P166" s="7" t="str">
        <f t="shared" si="23"/>
        <v>Y</v>
      </c>
      <c r="Q166" s="7" t="s">
        <v>826</v>
      </c>
      <c r="R166" s="9">
        <v>2958465</v>
      </c>
      <c r="S166" s="7" t="s">
        <v>827</v>
      </c>
      <c r="T166" s="7" t="s">
        <v>828</v>
      </c>
      <c r="U166" s="7" t="str">
        <f t="shared" si="25"/>
        <v>CLK_CUST_CST_CUAD_RE_V</v>
      </c>
      <c r="V166" s="7" t="s">
        <v>829</v>
      </c>
    </row>
    <row r="167" spans="1:22">
      <c r="A167" s="7" t="str">
        <f>TRIM(ETLMetadata!$B167)</f>
        <v>CLK</v>
      </c>
      <c r="B167" s="7" t="str">
        <f>TRIM(ETLMetadata!$C167)</f>
        <v>CUST_CST_CUAD_RE</v>
      </c>
      <c r="C167" s="7" t="str">
        <f>TRIM(ETLMetadata!$F167)</f>
        <v>PARTY_ROLE_ID</v>
      </c>
      <c r="D167" s="7" t="str">
        <f>TRIM(ETLMetadata!$H167)</f>
        <v>StringType()</v>
      </c>
      <c r="E167" s="7" t="str">
        <f t="shared" si="24"/>
        <v>CLK_CUST_CST_CUAD_RE</v>
      </c>
      <c r="F167" s="7" t="str">
        <f t="shared" si="18"/>
        <v>PARTY_ROLE_ID</v>
      </c>
      <c r="G167" s="7" t="s">
        <v>825</v>
      </c>
      <c r="H167" s="7" t="str">
        <f t="shared" si="19"/>
        <v>CLK_CUST_CST_CUAD_RE</v>
      </c>
      <c r="I167" s="7" t="str">
        <f t="shared" si="20"/>
        <v>PARTY_ROLE_ID</v>
      </c>
      <c r="J167" s="7" t="str">
        <f t="shared" si="21"/>
        <v>INTEGER</v>
      </c>
      <c r="K167" s="7" t="str">
        <f>TRIM(ETLMetadata!$G167)</f>
        <v>INTEGER</v>
      </c>
      <c r="L167" s="7" t="str">
        <f>TRIM(ETLMetadata!$I167)</f>
        <v/>
      </c>
      <c r="M167" s="7" t="str">
        <f t="shared" si="22"/>
        <v>CAST(NULLIF(TRIM(PARTY_ROLE_ID),'') AS INTEGER)</v>
      </c>
      <c r="N167" s="7" t="str">
        <f>TRIM(ETLMetadata!$J167)</f>
        <v/>
      </c>
      <c r="O167" s="8" t="str">
        <f>IF(TRIM(Classification!$G167)="","NOT CONFIDENTIAL",TRIM(Classification!$G167))</f>
        <v>NOT CONFIDENTIAL</v>
      </c>
      <c r="P167" s="7" t="str">
        <f t="shared" si="23"/>
        <v>Y</v>
      </c>
      <c r="Q167" s="7" t="s">
        <v>826</v>
      </c>
      <c r="R167" s="9">
        <v>2958465</v>
      </c>
      <c r="S167" s="7" t="s">
        <v>827</v>
      </c>
      <c r="T167" s="7" t="s">
        <v>828</v>
      </c>
      <c r="U167" s="7" t="str">
        <f t="shared" si="25"/>
        <v>CLK_CUST_CST_CUAD_RE_V</v>
      </c>
      <c r="V167" s="7" t="s">
        <v>829</v>
      </c>
    </row>
    <row r="168" spans="1:22">
      <c r="A168" s="7" t="str">
        <f>TRIM(ETLMetadata!$B168)</f>
        <v>CLK</v>
      </c>
      <c r="B168" s="7" t="str">
        <f>TRIM(ETLMetadata!$C168)</f>
        <v>CUST_CST_CUAD_RE</v>
      </c>
      <c r="C168" s="7" t="str">
        <f>TRIM(ETLMetadata!$F168)</f>
        <v>GEOCODE_LOC_ID</v>
      </c>
      <c r="D168" s="7" t="str">
        <f>TRIM(ETLMetadata!$H168)</f>
        <v>StringType()</v>
      </c>
      <c r="E168" s="7" t="str">
        <f t="shared" si="24"/>
        <v>CLK_CUST_CST_CUAD_RE</v>
      </c>
      <c r="F168" s="7" t="str">
        <f t="shared" si="18"/>
        <v>GEOCODE_LOC_ID</v>
      </c>
      <c r="G168" s="7" t="s">
        <v>825</v>
      </c>
      <c r="H168" s="7" t="str">
        <f t="shared" si="19"/>
        <v>CLK_CUST_CST_CUAD_RE</v>
      </c>
      <c r="I168" s="7" t="str">
        <f t="shared" si="20"/>
        <v>GEOCODE_LOC_ID</v>
      </c>
      <c r="J168" s="7" t="str">
        <f t="shared" si="21"/>
        <v>INTEGER</v>
      </c>
      <c r="K168" s="7" t="str">
        <f>TRIM(ETLMetadata!$G168)</f>
        <v>INTEGER</v>
      </c>
      <c r="L168" s="7" t="str">
        <f>TRIM(ETLMetadata!$I168)</f>
        <v/>
      </c>
      <c r="M168" s="7" t="str">
        <f t="shared" si="22"/>
        <v>CAST(NULLIF(TRIM(GEOCODE_LOC_ID),'') AS INTEGER)</v>
      </c>
      <c r="N168" s="7" t="str">
        <f>TRIM(ETLMetadata!$J168)</f>
        <v/>
      </c>
      <c r="O168" s="8" t="str">
        <f>IF(TRIM(Classification!$G168)="","NOT CONFIDENTIAL",TRIM(Classification!$G168))</f>
        <v>PERSONAL_CONTACTINFO</v>
      </c>
      <c r="P168" s="7" t="str">
        <f t="shared" si="23"/>
        <v>Y</v>
      </c>
      <c r="Q168" s="7" t="s">
        <v>826</v>
      </c>
      <c r="R168" s="9">
        <v>2958465</v>
      </c>
      <c r="S168" s="7" t="s">
        <v>827</v>
      </c>
      <c r="T168" s="7" t="s">
        <v>828</v>
      </c>
      <c r="U168" s="7" t="str">
        <f t="shared" si="25"/>
        <v>CLK_CUST_CST_CUAD_RE_V</v>
      </c>
      <c r="V168" s="7" t="s">
        <v>829</v>
      </c>
    </row>
    <row r="169" spans="1:22">
      <c r="A169" s="7" t="str">
        <f>TRIM(ETLMetadata!$B169)</f>
        <v>CLK</v>
      </c>
      <c r="B169" s="7" t="str">
        <f>TRIM(ETLMetadata!$C169)</f>
        <v>CUST_CST_CUAD_RE</v>
      </c>
      <c r="C169" s="7" t="str">
        <f>TRIM(ETLMetadata!$F169)</f>
        <v>ERROR_COUNT</v>
      </c>
      <c r="D169" s="7" t="str">
        <f>TRIM(ETLMetadata!$H169)</f>
        <v>StringType()</v>
      </c>
      <c r="E169" s="7" t="str">
        <f t="shared" si="24"/>
        <v>CLK_CUST_CST_CUAD_RE</v>
      </c>
      <c r="F169" s="7" t="str">
        <f t="shared" si="18"/>
        <v>ERROR_COUNT</v>
      </c>
      <c r="G169" s="7" t="s">
        <v>825</v>
      </c>
      <c r="H169" s="7" t="str">
        <f t="shared" si="19"/>
        <v>CLK_CUST_CST_CUAD_RE</v>
      </c>
      <c r="I169" s="7" t="str">
        <f t="shared" si="20"/>
        <v>ERROR_COUNT</v>
      </c>
      <c r="J169" s="7" t="str">
        <f t="shared" si="21"/>
        <v>SMALLINT</v>
      </c>
      <c r="K169" s="7" t="str">
        <f>TRIM(ETLMetadata!$G169)</f>
        <v>SMALLINT</v>
      </c>
      <c r="L169" s="7" t="str">
        <f>TRIM(ETLMetadata!$I169)</f>
        <v/>
      </c>
      <c r="M169" s="7" t="str">
        <f t="shared" si="22"/>
        <v>CAST(NULLIF(TRIM(ERROR_COUNT),'') AS SMALLINT)</v>
      </c>
      <c r="N169" s="7" t="str">
        <f>TRIM(ETLMetadata!$J169)</f>
        <v/>
      </c>
      <c r="O169" s="8" t="str">
        <f>IF(TRIM(Classification!$G169)="","NOT CONFIDENTIAL",TRIM(Classification!$G169))</f>
        <v>NOT CONFIDENTIAL</v>
      </c>
      <c r="P169" s="7" t="str">
        <f t="shared" si="23"/>
        <v>Y</v>
      </c>
      <c r="Q169" s="7" t="s">
        <v>826</v>
      </c>
      <c r="R169" s="9">
        <v>2958465</v>
      </c>
      <c r="S169" s="7" t="s">
        <v>827</v>
      </c>
      <c r="T169" s="7" t="s">
        <v>828</v>
      </c>
      <c r="U169" s="7" t="str">
        <f t="shared" si="25"/>
        <v>CLK_CUST_CST_CUAD_RE_V</v>
      </c>
      <c r="V169" s="7" t="s">
        <v>829</v>
      </c>
    </row>
    <row r="170" spans="1:22">
      <c r="A170" s="7" t="str">
        <f>TRIM(ETLMetadata!$B170)</f>
        <v>CLK</v>
      </c>
      <c r="B170" s="7" t="str">
        <f>TRIM(ETLMetadata!$C170)</f>
        <v>CUST_CST_CUAD_RE</v>
      </c>
      <c r="C170" s="7" t="str">
        <f>TRIM(ETLMetadata!$F170)</f>
        <v>RAW_ADDR_HASH</v>
      </c>
      <c r="D170" s="7" t="str">
        <f>TRIM(ETLMetadata!$H170)</f>
        <v>StringType()</v>
      </c>
      <c r="E170" s="7" t="str">
        <f t="shared" si="24"/>
        <v>CLK_CUST_CST_CUAD_RE</v>
      </c>
      <c r="F170" s="7" t="str">
        <f t="shared" si="18"/>
        <v>RAW_ADDR_HASH</v>
      </c>
      <c r="G170" s="7" t="s">
        <v>825</v>
      </c>
      <c r="H170" s="7" t="str">
        <f t="shared" si="19"/>
        <v>CLK_CUST_CST_CUAD_RE</v>
      </c>
      <c r="I170" s="7" t="str">
        <f t="shared" si="20"/>
        <v>RAW_ADDR_HASH</v>
      </c>
      <c r="J170" s="7" t="str">
        <f t="shared" si="21"/>
        <v>VARCHAR</v>
      </c>
      <c r="K170" s="7" t="str">
        <f>TRIM(ETLMetadata!$G170)</f>
        <v>CHAR(32)</v>
      </c>
      <c r="L170" s="7" t="str">
        <f>TRIM(ETLMetadata!$I170)</f>
        <v/>
      </c>
      <c r="M170" s="7" t="str">
        <f t="shared" si="22"/>
        <v>NULLIF(TRIM(RAW_ADDR_HASH),'')</v>
      </c>
      <c r="N170" s="7" t="str">
        <f>TRIM(ETLMetadata!$J170)</f>
        <v/>
      </c>
      <c r="O170" s="8" t="str">
        <f>IF(TRIM(Classification!$G170)="","NOT CONFIDENTIAL",TRIM(Classification!$G170))</f>
        <v>NOT CONFIDENTIAL</v>
      </c>
      <c r="P170" s="7" t="str">
        <f t="shared" si="23"/>
        <v>Y</v>
      </c>
      <c r="Q170" s="7" t="s">
        <v>826</v>
      </c>
      <c r="R170" s="9">
        <v>2958465</v>
      </c>
      <c r="S170" s="7" t="s">
        <v>827</v>
      </c>
      <c r="T170" s="7" t="s">
        <v>828</v>
      </c>
      <c r="U170" s="7" t="str">
        <f t="shared" si="25"/>
        <v>CLK_CUST_CST_CUAD_RE_V</v>
      </c>
      <c r="V170" s="7" t="s">
        <v>829</v>
      </c>
    </row>
    <row r="171" spans="1:22">
      <c r="A171" s="7" t="str">
        <f>TRIM(ETLMetadata!$B171)</f>
        <v>CLK</v>
      </c>
      <c r="B171" s="7" t="str">
        <f>TRIM(ETLMetadata!$C171)</f>
        <v>CUST_CST_CUAD_RE</v>
      </c>
      <c r="C171" s="7" t="str">
        <f>TRIM(ETLMetadata!$F171)</f>
        <v>Start_Date</v>
      </c>
      <c r="D171" s="7" t="str">
        <f>TRIM(ETLMetadata!$H171)</f>
        <v>StringType()</v>
      </c>
      <c r="E171" s="7" t="str">
        <f t="shared" si="24"/>
        <v>CLK_CUST_CST_CUAD_RE</v>
      </c>
      <c r="F171" s="7" t="str">
        <f t="shared" si="18"/>
        <v>STRT_DT</v>
      </c>
      <c r="G171" s="7" t="s">
        <v>825</v>
      </c>
      <c r="H171" s="7" t="str">
        <f t="shared" si="19"/>
        <v>CLK_CUST_CST_CUAD_RE</v>
      </c>
      <c r="I171" s="7" t="str">
        <f t="shared" si="20"/>
        <v>STRT_DT</v>
      </c>
      <c r="J171" s="7" t="str">
        <f t="shared" si="21"/>
        <v>DATE</v>
      </c>
      <c r="K171" s="7" t="str">
        <f>TRIM(ETLMetadata!$G171)</f>
        <v>DATE</v>
      </c>
      <c r="L171" s="7" t="str">
        <f>TRIM(ETLMetadata!$I171)</f>
        <v>YYYY-MM-DD</v>
      </c>
      <c r="M171" s="7" t="str">
        <f t="shared" si="22"/>
        <v>TO_DATE(NULLIF(TRIM(STRT_DT),'') , 'YYYY-MM-DD')</v>
      </c>
      <c r="N171" s="7" t="str">
        <f>TRIM(ETLMetadata!$J171)</f>
        <v/>
      </c>
      <c r="O171" s="8" t="str">
        <f>IF(TRIM(Classification!$G171)="","NOT CONFIDENTIAL",TRIM(Classification!$G171))</f>
        <v>NOT CONFIDENTIAL</v>
      </c>
      <c r="P171" s="7" t="str">
        <f t="shared" si="23"/>
        <v>N</v>
      </c>
      <c r="Q171" s="7" t="s">
        <v>826</v>
      </c>
      <c r="R171" s="9">
        <v>2958465</v>
      </c>
      <c r="S171" s="7" t="s">
        <v>827</v>
      </c>
      <c r="T171" s="7" t="s">
        <v>828</v>
      </c>
      <c r="U171" s="7" t="str">
        <f t="shared" si="25"/>
        <v>CLK_CUST_CST_CUAD_RE_V</v>
      </c>
      <c r="V171" s="7" t="s">
        <v>829</v>
      </c>
    </row>
    <row r="172" spans="1:22">
      <c r="A172" s="7" t="str">
        <f>TRIM(ETLMetadata!$B172)</f>
        <v>CLK</v>
      </c>
      <c r="B172" s="7" t="str">
        <f>TRIM(ETLMetadata!$C172)</f>
        <v>CUST_CST_CUAD_RE</v>
      </c>
      <c r="C172" s="7" t="str">
        <f>TRIM(ETLMetadata!$F172)</f>
        <v>End_Date</v>
      </c>
      <c r="D172" s="7" t="str">
        <f>TRIM(ETLMetadata!$H172)</f>
        <v>StringType()</v>
      </c>
      <c r="E172" s="7" t="str">
        <f t="shared" si="24"/>
        <v>CLK_CUST_CST_CUAD_RE</v>
      </c>
      <c r="F172" s="7" t="str">
        <f t="shared" si="18"/>
        <v>END_DT</v>
      </c>
      <c r="G172" s="7" t="s">
        <v>825</v>
      </c>
      <c r="H172" s="7" t="str">
        <f t="shared" si="19"/>
        <v>CLK_CUST_CST_CUAD_RE</v>
      </c>
      <c r="I172" s="7" t="str">
        <f t="shared" si="20"/>
        <v>END_DT</v>
      </c>
      <c r="J172" s="7" t="str">
        <f t="shared" si="21"/>
        <v>DATE</v>
      </c>
      <c r="K172" s="7" t="str">
        <f>TRIM(ETLMetadata!$G172)</f>
        <v>DATE</v>
      </c>
      <c r="L172" s="7" t="str">
        <f>TRIM(ETLMetadata!$I172)</f>
        <v>YYYY-MM-DD</v>
      </c>
      <c r="M172" s="7" t="str">
        <f t="shared" si="22"/>
        <v>TO_DATE(NULLIF(TRIM(END_DT),'') , 'YYYY-MM-DD')</v>
      </c>
      <c r="N172" s="7" t="str">
        <f>TRIM(ETLMetadata!$J172)</f>
        <v/>
      </c>
      <c r="O172" s="8" t="str">
        <f>IF(TRIM(Classification!$G172)="","NOT CONFIDENTIAL",TRIM(Classification!$G172))</f>
        <v>NOT CONFIDENTIAL</v>
      </c>
      <c r="P172" s="7" t="str">
        <f t="shared" si="23"/>
        <v>N</v>
      </c>
      <c r="Q172" s="7" t="s">
        <v>826</v>
      </c>
      <c r="R172" s="9">
        <v>2958465</v>
      </c>
      <c r="S172" s="7" t="s">
        <v>827</v>
      </c>
      <c r="T172" s="7" t="s">
        <v>828</v>
      </c>
      <c r="U172" s="7" t="str">
        <f t="shared" si="25"/>
        <v>CLK_CUST_CST_CUAD_RE_V</v>
      </c>
      <c r="V172" s="7" t="s">
        <v>829</v>
      </c>
    </row>
    <row r="173" spans="1:22">
      <c r="A173" s="7" t="str">
        <f>TRIM(ETLMetadata!$B173)</f>
        <v>CLK</v>
      </c>
      <c r="B173" s="7" t="str">
        <f>TRIM(ETLMetadata!$C173)</f>
        <v>CUST_CST_CUAD_RE</v>
      </c>
      <c r="C173" s="7" t="str">
        <f>TRIM(ETLMetadata!$F173)</f>
        <v>Record_Deleted_Flag</v>
      </c>
      <c r="D173" s="7" t="str">
        <f>TRIM(ETLMetadata!$H173)</f>
        <v>StringType()</v>
      </c>
      <c r="E173" s="7" t="str">
        <f t="shared" si="24"/>
        <v>CLK_CUST_CST_CUAD_RE</v>
      </c>
      <c r="F173" s="7" t="str">
        <f t="shared" si="18"/>
        <v>RCRD_DEL_IND</v>
      </c>
      <c r="G173" s="7" t="s">
        <v>825</v>
      </c>
      <c r="H173" s="7" t="str">
        <f t="shared" si="19"/>
        <v>CLK_CUST_CST_CUAD_RE</v>
      </c>
      <c r="I173" s="7" t="str">
        <f t="shared" si="20"/>
        <v>RCRD_DEL_IND</v>
      </c>
      <c r="J173" s="7" t="str">
        <f t="shared" si="21"/>
        <v>SMALLINT</v>
      </c>
      <c r="K173" s="7" t="str">
        <f>TRIM(ETLMetadata!$G173)</f>
        <v>BYTEINT</v>
      </c>
      <c r="L173" s="7" t="str">
        <f>TRIM(ETLMetadata!$I173)</f>
        <v/>
      </c>
      <c r="M173" s="7" t="str">
        <f t="shared" si="22"/>
        <v>CAST(NULLIF(TRIM(RCRD_DEL_IND),'') AS SMALLINT)</v>
      </c>
      <c r="N173" s="7" t="str">
        <f>TRIM(ETLMetadata!$J173)</f>
        <v/>
      </c>
      <c r="O173" s="8" t="str">
        <f>IF(TRIM(Classification!$G173)="","NOT CONFIDENTIAL",TRIM(Classification!$G173))</f>
        <v>NOT CONFIDENTIAL</v>
      </c>
      <c r="P173" s="7" t="str">
        <f t="shared" si="23"/>
        <v>N</v>
      </c>
      <c r="Q173" s="7" t="s">
        <v>826</v>
      </c>
      <c r="R173" s="9">
        <v>2958465</v>
      </c>
      <c r="S173" s="7" t="s">
        <v>827</v>
      </c>
      <c r="T173" s="7" t="s">
        <v>828</v>
      </c>
      <c r="U173" s="7" t="str">
        <f t="shared" si="25"/>
        <v>CLK_CUST_CST_CUAD_RE_V</v>
      </c>
      <c r="V173" s="7" t="s">
        <v>829</v>
      </c>
    </row>
    <row r="174" spans="1:22">
      <c r="A174" s="7" t="str">
        <f>TRIM(ETLMetadata!$B174)</f>
        <v>CLK</v>
      </c>
      <c r="B174" s="7" t="str">
        <f>TRIM(ETLMetadata!$C174)</f>
        <v>CUST_CST_CUDD</v>
      </c>
      <c r="C174" s="7" t="str">
        <f>TRIM(ETLMetadata!$F174)</f>
        <v>EXTRACT_DATE</v>
      </c>
      <c r="D174" s="7" t="str">
        <f>TRIM(ETLMetadata!$H174)</f>
        <v>StringType()</v>
      </c>
      <c r="E174" s="7" t="str">
        <f t="shared" si="24"/>
        <v>CLK_CUST_CST_CUDD</v>
      </c>
      <c r="F174" s="7" t="str">
        <f t="shared" si="18"/>
        <v>EXTRACT_DATE</v>
      </c>
      <c r="G174" s="7" t="s">
        <v>825</v>
      </c>
      <c r="H174" s="7" t="str">
        <f t="shared" si="19"/>
        <v>CLK_CUST_CST_CUDD</v>
      </c>
      <c r="I174" s="7" t="str">
        <f t="shared" si="20"/>
        <v>EXTRACT_DATE</v>
      </c>
      <c r="J174" s="7" t="str">
        <f t="shared" si="21"/>
        <v>DATE</v>
      </c>
      <c r="K174" s="7" t="str">
        <f>TRIM(ETLMetadata!$G174)</f>
        <v>DATE</v>
      </c>
      <c r="L174" s="7" t="str">
        <f>TRIM(ETLMetadata!$I174)</f>
        <v>YYYY-MM-DD</v>
      </c>
      <c r="M174" s="7" t="str">
        <f t="shared" si="22"/>
        <v>TO_DATE(NULLIF(TRIM(EXTRACT_DATE),'') , 'YYYY-MM-DD')</v>
      </c>
      <c r="N174" s="7" t="str">
        <f>TRIM(ETLMetadata!$J174)</f>
        <v/>
      </c>
      <c r="O174" s="8" t="str">
        <f>IF(TRIM(Classification!$G174)="","NOT CONFIDENTIAL",TRIM(Classification!$G174))</f>
        <v>NOT CONFIDENTIAL</v>
      </c>
      <c r="P174" s="7" t="str">
        <f t="shared" si="23"/>
        <v>Y</v>
      </c>
      <c r="Q174" s="7" t="s">
        <v>826</v>
      </c>
      <c r="R174" s="9">
        <v>2958465</v>
      </c>
      <c r="S174" s="7" t="s">
        <v>827</v>
      </c>
      <c r="T174" s="7" t="s">
        <v>828</v>
      </c>
      <c r="U174" s="7" t="str">
        <f t="shared" si="25"/>
        <v>CLK_CUST_CST_CUDD_V</v>
      </c>
      <c r="V174" s="7" t="s">
        <v>829</v>
      </c>
    </row>
    <row r="175" spans="1:22">
      <c r="A175" s="7" t="str">
        <f>TRIM(ETLMetadata!$B175)</f>
        <v>CLK</v>
      </c>
      <c r="B175" s="7" t="str">
        <f>TRIM(ETLMetadata!$C175)</f>
        <v>CUST_CST_CUDD</v>
      </c>
      <c r="C175" s="7" t="str">
        <f>TRIM(ETLMetadata!$F175)</f>
        <v>LOGICAL_DELETE_DATE</v>
      </c>
      <c r="D175" s="7" t="str">
        <f>TRIM(ETLMetadata!$H175)</f>
        <v>StringType()</v>
      </c>
      <c r="E175" s="7" t="str">
        <f t="shared" si="24"/>
        <v>CLK_CUST_CST_CUDD</v>
      </c>
      <c r="F175" s="7" t="str">
        <f t="shared" si="18"/>
        <v>LOGICAL_DELETE_DATE</v>
      </c>
      <c r="G175" s="7" t="s">
        <v>825</v>
      </c>
      <c r="H175" s="7" t="str">
        <f t="shared" si="19"/>
        <v>CLK_CUST_CST_CUDD</v>
      </c>
      <c r="I175" s="7" t="str">
        <f t="shared" si="20"/>
        <v>LOGICAL_DELETE_DATE</v>
      </c>
      <c r="J175" s="7" t="str">
        <f t="shared" si="21"/>
        <v>DATE</v>
      </c>
      <c r="K175" s="7" t="str">
        <f>TRIM(ETLMetadata!$G175)</f>
        <v>DATE</v>
      </c>
      <c r="L175" s="7" t="str">
        <f>TRIM(ETLMetadata!$I175)</f>
        <v>YYYY-MM-DD</v>
      </c>
      <c r="M175" s="7" t="str">
        <f t="shared" si="22"/>
        <v>TO_DATE(NULLIF(TRIM(LOGICAL_DELETE_DATE),'') , 'YYYY-MM-DD')</v>
      </c>
      <c r="N175" s="7" t="str">
        <f>TRIM(ETLMetadata!$J175)</f>
        <v/>
      </c>
      <c r="O175" s="8" t="str">
        <f>IF(TRIM(Classification!$G175)="","NOT CONFIDENTIAL",TRIM(Classification!$G175))</f>
        <v>NOT CONFIDENTIAL</v>
      </c>
      <c r="P175" s="7" t="str">
        <f t="shared" si="23"/>
        <v>Y</v>
      </c>
      <c r="Q175" s="7" t="s">
        <v>826</v>
      </c>
      <c r="R175" s="9">
        <v>2958465</v>
      </c>
      <c r="S175" s="7" t="s">
        <v>827</v>
      </c>
      <c r="T175" s="7" t="s">
        <v>828</v>
      </c>
      <c r="U175" s="7" t="str">
        <f t="shared" si="25"/>
        <v>CLK_CUST_CST_CUDD_V</v>
      </c>
      <c r="V175" s="7" t="s">
        <v>829</v>
      </c>
    </row>
    <row r="176" spans="1:22">
      <c r="A176" s="7" t="str">
        <f>TRIM(ETLMetadata!$B176)</f>
        <v>CLK</v>
      </c>
      <c r="B176" s="7" t="str">
        <f>TRIM(ETLMetadata!$C176)</f>
        <v>CUST_CST_CUDD</v>
      </c>
      <c r="C176" s="7" t="str">
        <f>TRIM(ETLMetadata!$F176)</f>
        <v>ENVIRONMENT_ID</v>
      </c>
      <c r="D176" s="7" t="str">
        <f>TRIM(ETLMetadata!$H176)</f>
        <v>StringType()</v>
      </c>
      <c r="E176" s="7" t="str">
        <f t="shared" si="24"/>
        <v>CLK_CUST_CST_CUDD</v>
      </c>
      <c r="F176" s="7" t="str">
        <f t="shared" si="18"/>
        <v>ENVIRONMENT_ID</v>
      </c>
      <c r="G176" s="7" t="s">
        <v>825</v>
      </c>
      <c r="H176" s="7" t="str">
        <f t="shared" si="19"/>
        <v>CLK_CUST_CST_CUDD</v>
      </c>
      <c r="I176" s="7" t="str">
        <f t="shared" si="20"/>
        <v>ENVIRONMENT_ID</v>
      </c>
      <c r="J176" s="7" t="str">
        <f t="shared" si="21"/>
        <v>VARCHAR</v>
      </c>
      <c r="K176" s="7" t="str">
        <f>TRIM(ETLMetadata!$G176)</f>
        <v>CHAR(1)</v>
      </c>
      <c r="L176" s="7" t="str">
        <f>TRIM(ETLMetadata!$I176)</f>
        <v/>
      </c>
      <c r="M176" s="7" t="str">
        <f t="shared" si="22"/>
        <v>NULLIF(TRIM(ENVIRONMENT_ID),'')</v>
      </c>
      <c r="N176" s="7" t="str">
        <f>TRIM(ETLMetadata!$J176)</f>
        <v>Y</v>
      </c>
      <c r="O176" s="8" t="str">
        <f>IF(TRIM(Classification!$G176)="","NOT CONFIDENTIAL",TRIM(Classification!$G176))</f>
        <v>NOT CONFIDENTIAL</v>
      </c>
      <c r="P176" s="7" t="str">
        <f t="shared" si="23"/>
        <v>Y</v>
      </c>
      <c r="Q176" s="7" t="s">
        <v>826</v>
      </c>
      <c r="R176" s="9">
        <v>2958465</v>
      </c>
      <c r="S176" s="7" t="s">
        <v>827</v>
      </c>
      <c r="T176" s="7" t="s">
        <v>828</v>
      </c>
      <c r="U176" s="7" t="str">
        <f t="shared" si="25"/>
        <v>CLK_CUST_CST_CUDD_V</v>
      </c>
      <c r="V176" s="7" t="s">
        <v>829</v>
      </c>
    </row>
    <row r="177" spans="1:22">
      <c r="A177" s="7" t="str">
        <f>TRIM(ETLMetadata!$B177)</f>
        <v>CLK</v>
      </c>
      <c r="B177" s="7" t="str">
        <f>TRIM(ETLMetadata!$C177)</f>
        <v>CUST_CST_CUDD</v>
      </c>
      <c r="C177" s="7" t="str">
        <f>TRIM(ETLMetadata!$F177)</f>
        <v>PERSON_ID</v>
      </c>
      <c r="D177" s="7" t="str">
        <f>TRIM(ETLMetadata!$H177)</f>
        <v>StringType()</v>
      </c>
      <c r="E177" s="7" t="str">
        <f t="shared" si="24"/>
        <v>CLK_CUST_CST_CUDD</v>
      </c>
      <c r="F177" s="7" t="str">
        <f t="shared" si="18"/>
        <v>PERSON_ID</v>
      </c>
      <c r="G177" s="7" t="s">
        <v>825</v>
      </c>
      <c r="H177" s="7" t="str">
        <f t="shared" si="19"/>
        <v>CLK_CUST_CST_CUDD</v>
      </c>
      <c r="I177" s="7" t="str">
        <f t="shared" si="20"/>
        <v>PERSON_ID</v>
      </c>
      <c r="J177" s="7" t="str">
        <f t="shared" si="21"/>
        <v>INTEGER</v>
      </c>
      <c r="K177" s="7" t="str">
        <f>TRIM(ETLMetadata!$G177)</f>
        <v>INTEGER</v>
      </c>
      <c r="L177" s="7" t="str">
        <f>TRIM(ETLMetadata!$I177)</f>
        <v/>
      </c>
      <c r="M177" s="7" t="str">
        <f t="shared" si="22"/>
        <v>CAST(NULLIF(TRIM(PERSON_ID),'') AS INTEGER)</v>
      </c>
      <c r="N177" s="7" t="str">
        <f>TRIM(ETLMetadata!$J177)</f>
        <v>Y</v>
      </c>
      <c r="O177" s="8" t="str">
        <f>IF(TRIM(Classification!$G177)="","NOT CONFIDENTIAL",TRIM(Classification!$G177))</f>
        <v>PERSONAL_IDENTITYINFOINDIRECT</v>
      </c>
      <c r="P177" s="7" t="str">
        <f t="shared" si="23"/>
        <v>Y</v>
      </c>
      <c r="Q177" s="7" t="s">
        <v>826</v>
      </c>
      <c r="R177" s="9">
        <v>2958465</v>
      </c>
      <c r="S177" s="7" t="s">
        <v>827</v>
      </c>
      <c r="T177" s="7" t="s">
        <v>828</v>
      </c>
      <c r="U177" s="7" t="str">
        <f t="shared" si="25"/>
        <v>CLK_CUST_CST_CUDD_V</v>
      </c>
      <c r="V177" s="7" t="s">
        <v>829</v>
      </c>
    </row>
    <row r="178" spans="1:22">
      <c r="A178" s="7" t="str">
        <f>TRIM(ETLMetadata!$B178)</f>
        <v>CLK</v>
      </c>
      <c r="B178" s="7" t="str">
        <f>TRIM(ETLMetadata!$C178)</f>
        <v>CUST_CST_CUDD</v>
      </c>
      <c r="C178" s="7" t="str">
        <f>TRIM(ETLMetadata!$F178)</f>
        <v>PROCESSING_SEQUENCE</v>
      </c>
      <c r="D178" s="7" t="str">
        <f>TRIM(ETLMetadata!$H178)</f>
        <v>StringType()</v>
      </c>
      <c r="E178" s="7" t="str">
        <f t="shared" si="24"/>
        <v>CLK_CUST_CST_CUDD</v>
      </c>
      <c r="F178" s="7" t="str">
        <f t="shared" si="18"/>
        <v>PROCESSING_SEQUENCE</v>
      </c>
      <c r="G178" s="7" t="s">
        <v>825</v>
      </c>
      <c r="H178" s="7" t="str">
        <f t="shared" si="19"/>
        <v>CLK_CUST_CST_CUDD</v>
      </c>
      <c r="I178" s="7" t="str">
        <f t="shared" si="20"/>
        <v>PROCESSING_SEQUENCE</v>
      </c>
      <c r="J178" s="7" t="str">
        <f t="shared" si="21"/>
        <v>SMALLINT</v>
      </c>
      <c r="K178" s="7" t="str">
        <f>TRIM(ETLMetadata!$G178)</f>
        <v>SMALLINT</v>
      </c>
      <c r="L178" s="7" t="str">
        <f>TRIM(ETLMetadata!$I178)</f>
        <v/>
      </c>
      <c r="M178" s="7" t="str">
        <f t="shared" si="22"/>
        <v>CAST(NULLIF(TRIM(PROCESSING_SEQUENCE),'') AS SMALLINT)</v>
      </c>
      <c r="N178" s="7" t="str">
        <f>TRIM(ETLMetadata!$J178)</f>
        <v>Y</v>
      </c>
      <c r="O178" s="8" t="str">
        <f>IF(TRIM(Classification!$G178)="","NOT CONFIDENTIAL",TRIM(Classification!$G178))</f>
        <v>NOT CONFIDENTIAL</v>
      </c>
      <c r="P178" s="7" t="str">
        <f t="shared" si="23"/>
        <v>Y</v>
      </c>
      <c r="Q178" s="7" t="s">
        <v>826</v>
      </c>
      <c r="R178" s="9">
        <v>2958465</v>
      </c>
      <c r="S178" s="7" t="s">
        <v>827</v>
      </c>
      <c r="T178" s="7" t="s">
        <v>828</v>
      </c>
      <c r="U178" s="7" t="str">
        <f t="shared" si="25"/>
        <v>CLK_CUST_CST_CUDD_V</v>
      </c>
      <c r="V178" s="7" t="s">
        <v>829</v>
      </c>
    </row>
    <row r="179" spans="1:22">
      <c r="A179" s="7" t="str">
        <f>TRIM(ETLMetadata!$B179)</f>
        <v>CLK</v>
      </c>
      <c r="B179" s="7" t="str">
        <f>TRIM(ETLMetadata!$C179)</f>
        <v>CUST_CST_CUDD</v>
      </c>
      <c r="C179" s="7" t="str">
        <f>TRIM(ETLMetadata!$F179)</f>
        <v>CUDD_AMR_1</v>
      </c>
      <c r="D179" s="7" t="str">
        <f>TRIM(ETLMetadata!$H179)</f>
        <v>StringType()</v>
      </c>
      <c r="E179" s="7" t="str">
        <f t="shared" si="24"/>
        <v>CLK_CUST_CST_CUDD</v>
      </c>
      <c r="F179" s="7" t="str">
        <f t="shared" si="18"/>
        <v>CUDD_AMR_1</v>
      </c>
      <c r="G179" s="7" t="s">
        <v>825</v>
      </c>
      <c r="H179" s="7" t="str">
        <f t="shared" si="19"/>
        <v>CLK_CUST_CST_CUDD</v>
      </c>
      <c r="I179" s="7" t="str">
        <f t="shared" si="20"/>
        <v>CUDD_AMR_1</v>
      </c>
      <c r="J179" s="7" t="str">
        <f t="shared" si="21"/>
        <v>VARCHAR</v>
      </c>
      <c r="K179" s="7" t="str">
        <f>TRIM(ETLMetadata!$G179)</f>
        <v>CHAR(4)</v>
      </c>
      <c r="L179" s="7" t="str">
        <f>TRIM(ETLMetadata!$I179)</f>
        <v/>
      </c>
      <c r="M179" s="7" t="str">
        <f t="shared" si="22"/>
        <v>NULLIF(TRIM(CUDD_AMR_1),'')</v>
      </c>
      <c r="N179" s="7" t="str">
        <f>TRIM(ETLMetadata!$J179)</f>
        <v/>
      </c>
      <c r="O179" s="8" t="str">
        <f>IF(TRIM(Classification!$G179)="","NOT CONFIDENTIAL",TRIM(Classification!$G179))</f>
        <v>NOT CONFIDENTIAL</v>
      </c>
      <c r="P179" s="7" t="str">
        <f t="shared" si="23"/>
        <v>Y</v>
      </c>
      <c r="Q179" s="7" t="s">
        <v>826</v>
      </c>
      <c r="R179" s="9">
        <v>2958465</v>
      </c>
      <c r="S179" s="7" t="s">
        <v>827</v>
      </c>
      <c r="T179" s="7" t="s">
        <v>828</v>
      </c>
      <c r="U179" s="7" t="str">
        <f t="shared" si="25"/>
        <v>CLK_CUST_CST_CUDD_V</v>
      </c>
      <c r="V179" s="7" t="s">
        <v>829</v>
      </c>
    </row>
    <row r="180" spans="1:22">
      <c r="A180" s="7" t="str">
        <f>TRIM(ETLMetadata!$B180)</f>
        <v>CLK</v>
      </c>
      <c r="B180" s="7" t="str">
        <f>TRIM(ETLMetadata!$C180)</f>
        <v>CUST_CST_CUDD</v>
      </c>
      <c r="C180" s="7" t="str">
        <f>TRIM(ETLMetadata!$F180)</f>
        <v>CUDD_AMR_2</v>
      </c>
      <c r="D180" s="7" t="str">
        <f>TRIM(ETLMetadata!$H180)</f>
        <v>StringType()</v>
      </c>
      <c r="E180" s="7" t="str">
        <f t="shared" si="24"/>
        <v>CLK_CUST_CST_CUDD</v>
      </c>
      <c r="F180" s="7" t="str">
        <f t="shared" si="18"/>
        <v>CUDD_AMR_2</v>
      </c>
      <c r="G180" s="7" t="s">
        <v>825</v>
      </c>
      <c r="H180" s="7" t="str">
        <f t="shared" si="19"/>
        <v>CLK_CUST_CST_CUDD</v>
      </c>
      <c r="I180" s="7" t="str">
        <f t="shared" si="20"/>
        <v>CUDD_AMR_2</v>
      </c>
      <c r="J180" s="7" t="str">
        <f t="shared" si="21"/>
        <v>VARCHAR</v>
      </c>
      <c r="K180" s="7" t="str">
        <f>TRIM(ETLMetadata!$G180)</f>
        <v>CHAR(1)</v>
      </c>
      <c r="L180" s="7" t="str">
        <f>TRIM(ETLMetadata!$I180)</f>
        <v/>
      </c>
      <c r="M180" s="7" t="str">
        <f t="shared" si="22"/>
        <v>NULLIF(TRIM(CUDD_AMR_2),'')</v>
      </c>
      <c r="N180" s="7" t="str">
        <f>TRIM(ETLMetadata!$J180)</f>
        <v/>
      </c>
      <c r="O180" s="8" t="str">
        <f>IF(TRIM(Classification!$G180)="","NOT CONFIDENTIAL",TRIM(Classification!$G180))</f>
        <v>NOT CONFIDENTIAL</v>
      </c>
      <c r="P180" s="7" t="str">
        <f t="shared" si="23"/>
        <v>Y</v>
      </c>
      <c r="Q180" s="7" t="s">
        <v>826</v>
      </c>
      <c r="R180" s="9">
        <v>2958465</v>
      </c>
      <c r="S180" s="7" t="s">
        <v>827</v>
      </c>
      <c r="T180" s="7" t="s">
        <v>828</v>
      </c>
      <c r="U180" s="7" t="str">
        <f t="shared" si="25"/>
        <v>CLK_CUST_CST_CUDD_V</v>
      </c>
      <c r="V180" s="7" t="s">
        <v>829</v>
      </c>
    </row>
    <row r="181" spans="1:22">
      <c r="A181" s="7" t="str">
        <f>TRIM(ETLMetadata!$B181)</f>
        <v>CLK</v>
      </c>
      <c r="B181" s="7" t="str">
        <f>TRIM(ETLMetadata!$C181)</f>
        <v>CUST_CST_CUDD</v>
      </c>
      <c r="C181" s="7" t="str">
        <f>TRIM(ETLMetadata!$F181)</f>
        <v>CUDD_AMR_3</v>
      </c>
      <c r="D181" s="7" t="str">
        <f>TRIM(ETLMetadata!$H181)</f>
        <v>StringType()</v>
      </c>
      <c r="E181" s="7" t="str">
        <f t="shared" si="24"/>
        <v>CLK_CUST_CST_CUDD</v>
      </c>
      <c r="F181" s="7" t="str">
        <f t="shared" si="18"/>
        <v>CUDD_AMR_3</v>
      </c>
      <c r="G181" s="7" t="s">
        <v>825</v>
      </c>
      <c r="H181" s="7" t="str">
        <f t="shared" si="19"/>
        <v>CLK_CUST_CST_CUDD</v>
      </c>
      <c r="I181" s="7" t="str">
        <f t="shared" si="20"/>
        <v>CUDD_AMR_3</v>
      </c>
      <c r="J181" s="7" t="str">
        <f t="shared" si="21"/>
        <v>VARCHAR</v>
      </c>
      <c r="K181" s="7" t="str">
        <f>TRIM(ETLMetadata!$G181)</f>
        <v>CHAR(4)</v>
      </c>
      <c r="L181" s="7" t="str">
        <f>TRIM(ETLMetadata!$I181)</f>
        <v/>
      </c>
      <c r="M181" s="7" t="str">
        <f t="shared" si="22"/>
        <v>NULLIF(TRIM(CUDD_AMR_3),'')</v>
      </c>
      <c r="N181" s="7" t="str">
        <f>TRIM(ETLMetadata!$J181)</f>
        <v/>
      </c>
      <c r="O181" s="8" t="str">
        <f>IF(TRIM(Classification!$G181)="","NOT CONFIDENTIAL",TRIM(Classification!$G181))</f>
        <v>NOT CONFIDENTIAL</v>
      </c>
      <c r="P181" s="7" t="str">
        <f t="shared" si="23"/>
        <v>Y</v>
      </c>
      <c r="Q181" s="7" t="s">
        <v>826</v>
      </c>
      <c r="R181" s="9">
        <v>2958465</v>
      </c>
      <c r="S181" s="7" t="s">
        <v>827</v>
      </c>
      <c r="T181" s="7" t="s">
        <v>828</v>
      </c>
      <c r="U181" s="7" t="str">
        <f t="shared" si="25"/>
        <v>CLK_CUST_CST_CUDD_V</v>
      </c>
      <c r="V181" s="7" t="s">
        <v>829</v>
      </c>
    </row>
    <row r="182" spans="1:22">
      <c r="A182" s="7" t="str">
        <f>TRIM(ETLMetadata!$B182)</f>
        <v>CLK</v>
      </c>
      <c r="B182" s="7" t="str">
        <f>TRIM(ETLMetadata!$C182)</f>
        <v>CUST_CST_CUDD</v>
      </c>
      <c r="C182" s="7" t="str">
        <f>TRIM(ETLMetadata!$F182)</f>
        <v>CUDD_DOR</v>
      </c>
      <c r="D182" s="7" t="str">
        <f>TRIM(ETLMetadata!$H182)</f>
        <v>StringType()</v>
      </c>
      <c r="E182" s="7" t="str">
        <f t="shared" si="24"/>
        <v>CLK_CUST_CST_CUDD</v>
      </c>
      <c r="F182" s="7" t="str">
        <f t="shared" si="18"/>
        <v>CUDD_DOR</v>
      </c>
      <c r="G182" s="7" t="s">
        <v>825</v>
      </c>
      <c r="H182" s="7" t="str">
        <f t="shared" si="19"/>
        <v>CLK_CUST_CST_CUDD</v>
      </c>
      <c r="I182" s="7" t="str">
        <f t="shared" si="20"/>
        <v>CUDD_DOR</v>
      </c>
      <c r="J182" s="7" t="str">
        <f t="shared" si="21"/>
        <v>DATE</v>
      </c>
      <c r="K182" s="17" t="s">
        <v>80</v>
      </c>
      <c r="L182" s="7" t="str">
        <f>TRIM(ETLMetadata!$I182)</f>
        <v>YYYY-MM-DD</v>
      </c>
      <c r="M182" s="7" t="str">
        <f t="shared" si="22"/>
        <v>TO_DATE(NULLIF(TRIM(CUDD_DOR),'') , 'YYYY-MM-DD')</v>
      </c>
      <c r="N182" s="7" t="str">
        <f>TRIM(ETLMetadata!$J182)</f>
        <v/>
      </c>
      <c r="O182" s="8" t="str">
        <f>IF(TRIM(Classification!$G182)="","NOT CONFIDENTIAL",TRIM(Classification!$G182))</f>
        <v>NOT CONFIDENTIAL</v>
      </c>
      <c r="P182" s="7" t="str">
        <f t="shared" si="23"/>
        <v>Y</v>
      </c>
      <c r="Q182" s="7" t="s">
        <v>826</v>
      </c>
      <c r="R182" s="9">
        <v>2958465</v>
      </c>
      <c r="S182" s="7" t="s">
        <v>827</v>
      </c>
      <c r="T182" s="7" t="s">
        <v>828</v>
      </c>
      <c r="U182" s="7" t="str">
        <f t="shared" si="25"/>
        <v>CLK_CUST_CST_CUDD_V</v>
      </c>
      <c r="V182" s="7" t="s">
        <v>829</v>
      </c>
    </row>
    <row r="183" spans="1:22">
      <c r="A183" s="7" t="str">
        <f>TRIM(ETLMetadata!$B183)</f>
        <v>CLK</v>
      </c>
      <c r="B183" s="7" t="str">
        <f>TRIM(ETLMetadata!$C183)</f>
        <v>CUST_CST_CUDD</v>
      </c>
      <c r="C183" s="7" t="str">
        <f>TRIM(ETLMetadata!$F183)</f>
        <v>CUDD_DOR_ORIG</v>
      </c>
      <c r="D183" s="7" t="str">
        <f>TRIM(ETLMetadata!$H183)</f>
        <v>StringType()</v>
      </c>
      <c r="E183" s="7" t="str">
        <f t="shared" si="24"/>
        <v>CLK_CUST_CST_CUDD</v>
      </c>
      <c r="F183" s="7" t="str">
        <f t="shared" si="18"/>
        <v>CUDD_DOR_ORIG</v>
      </c>
      <c r="G183" s="7" t="s">
        <v>825</v>
      </c>
      <c r="H183" s="7" t="str">
        <f t="shared" si="19"/>
        <v>CLK_CUST_CST_CUDD</v>
      </c>
      <c r="I183" s="7" t="str">
        <f t="shared" si="20"/>
        <v>CUDD_DOR_ORIG</v>
      </c>
      <c r="J183" s="7" t="str">
        <f t="shared" si="21"/>
        <v>INTEGER</v>
      </c>
      <c r="K183" s="17" t="s">
        <v>90</v>
      </c>
      <c r="L183" s="7" t="str">
        <f>TRIM(ETLMetadata!$I183)</f>
        <v/>
      </c>
      <c r="M183" s="7" t="str">
        <f t="shared" si="22"/>
        <v>CAST(NULLIF(TRIM(CUDD_DOR_ORIG),'') AS INTEGER)</v>
      </c>
      <c r="N183" s="7" t="str">
        <f>TRIM(ETLMetadata!$J183)</f>
        <v/>
      </c>
      <c r="O183" s="8" t="str">
        <f>IF(TRIM(Classification!$G183)="","NOT CONFIDENTIAL",TRIM(Classification!$G183))</f>
        <v>NOT CONFIDENTIAL</v>
      </c>
      <c r="P183" s="7" t="str">
        <f t="shared" si="23"/>
        <v>Y</v>
      </c>
      <c r="Q183" s="7" t="s">
        <v>826</v>
      </c>
      <c r="R183" s="9">
        <v>2958465</v>
      </c>
      <c r="S183" s="7" t="s">
        <v>827</v>
      </c>
      <c r="T183" s="7" t="s">
        <v>828</v>
      </c>
      <c r="U183" s="7" t="str">
        <f t="shared" si="25"/>
        <v>CLK_CUST_CST_CUDD_V</v>
      </c>
      <c r="V183" s="7" t="s">
        <v>829</v>
      </c>
    </row>
    <row r="184" spans="1:22">
      <c r="A184" s="7" t="str">
        <f>TRIM(ETLMetadata!$B184)</f>
        <v>CLK</v>
      </c>
      <c r="B184" s="7" t="str">
        <f>TRIM(ETLMetadata!$C184)</f>
        <v>CUST_CST_CUDD</v>
      </c>
      <c r="C184" s="7" t="str">
        <f>TRIM(ETLMetadata!$F184)</f>
        <v>CUDD_DEATH_DATE</v>
      </c>
      <c r="D184" s="7" t="str">
        <f>TRIM(ETLMetadata!$H184)</f>
        <v>StringType()</v>
      </c>
      <c r="E184" s="7" t="str">
        <f t="shared" si="24"/>
        <v>CLK_CUST_CST_CUDD</v>
      </c>
      <c r="F184" s="7" t="str">
        <f t="shared" si="18"/>
        <v>CUDD_DEATH_DATE</v>
      </c>
      <c r="G184" s="7" t="s">
        <v>825</v>
      </c>
      <c r="H184" s="7" t="str">
        <f t="shared" si="19"/>
        <v>CLK_CUST_CST_CUDD</v>
      </c>
      <c r="I184" s="7" t="str">
        <f t="shared" si="20"/>
        <v>CUDD_DEATH_DATE</v>
      </c>
      <c r="J184" s="7" t="str">
        <f t="shared" si="21"/>
        <v>DATE</v>
      </c>
      <c r="K184" s="17" t="s">
        <v>80</v>
      </c>
      <c r="L184" s="7" t="str">
        <f>TRIM(ETLMetadata!$I184)</f>
        <v>YYYY-MM-DD</v>
      </c>
      <c r="M184" s="7" t="str">
        <f t="shared" si="22"/>
        <v>TO_DATE(NULLIF(TRIM(CUDD_DEATH_DATE),'') , 'YYYY-MM-DD')</v>
      </c>
      <c r="N184" s="7" t="str">
        <f>TRIM(ETLMetadata!$J184)</f>
        <v/>
      </c>
      <c r="O184" s="8" t="str">
        <f>IF(TRIM(Classification!$G184)="","NOT CONFIDENTIAL",TRIM(Classification!$G184))</f>
        <v>PERSONAL_OTHERINFO</v>
      </c>
      <c r="P184" s="7" t="str">
        <f t="shared" si="23"/>
        <v>Y</v>
      </c>
      <c r="Q184" s="7" t="s">
        <v>826</v>
      </c>
      <c r="R184" s="9">
        <v>2958465</v>
      </c>
      <c r="S184" s="7" t="s">
        <v>827</v>
      </c>
      <c r="T184" s="7" t="s">
        <v>828</v>
      </c>
      <c r="U184" s="7" t="str">
        <f t="shared" si="25"/>
        <v>CLK_CUST_CST_CUDD_V</v>
      </c>
      <c r="V184" s="7" t="s">
        <v>829</v>
      </c>
    </row>
    <row r="185" spans="1:22">
      <c r="A185" s="7" t="str">
        <f>TRIM(ETLMetadata!$B185)</f>
        <v>CLK</v>
      </c>
      <c r="B185" s="7" t="str">
        <f>TRIM(ETLMetadata!$C185)</f>
        <v>CUST_CST_CUDD</v>
      </c>
      <c r="C185" s="7" t="str">
        <f>TRIM(ETLMetadata!$F185)</f>
        <v>CUDD_DEATH_DATE_ORIG</v>
      </c>
      <c r="D185" s="7" t="str">
        <f>TRIM(ETLMetadata!$H185)</f>
        <v>StringType()</v>
      </c>
      <c r="E185" s="7" t="str">
        <f t="shared" si="24"/>
        <v>CLK_CUST_CST_CUDD</v>
      </c>
      <c r="F185" s="7" t="str">
        <f t="shared" si="18"/>
        <v>CUDD_DEATH_DATE_ORIG</v>
      </c>
      <c r="G185" s="7" t="s">
        <v>825</v>
      </c>
      <c r="H185" s="7" t="str">
        <f t="shared" si="19"/>
        <v>CLK_CUST_CST_CUDD</v>
      </c>
      <c r="I185" s="7" t="str">
        <f t="shared" si="20"/>
        <v>CUDD_DEATH_DATE_ORIG</v>
      </c>
      <c r="J185" s="7" t="str">
        <f t="shared" si="21"/>
        <v>INTEGER</v>
      </c>
      <c r="K185" s="17" t="s">
        <v>90</v>
      </c>
      <c r="L185" s="7" t="str">
        <f>TRIM(ETLMetadata!$I185)</f>
        <v/>
      </c>
      <c r="M185" s="7" t="str">
        <f t="shared" si="22"/>
        <v>CAST(NULLIF(TRIM(CUDD_DEATH_DATE_ORIG),'') AS INTEGER)</v>
      </c>
      <c r="N185" s="7" t="str">
        <f>TRIM(ETLMetadata!$J185)</f>
        <v/>
      </c>
      <c r="O185" s="8" t="str">
        <f>IF(TRIM(Classification!$G185)="","NOT CONFIDENTIAL",TRIM(Classification!$G185))</f>
        <v>NOT CONFIDENTIAL</v>
      </c>
      <c r="P185" s="7" t="str">
        <f t="shared" si="23"/>
        <v>Y</v>
      </c>
      <c r="Q185" s="7" t="s">
        <v>826</v>
      </c>
      <c r="R185" s="9">
        <v>2958465</v>
      </c>
      <c r="S185" s="7" t="s">
        <v>827</v>
      </c>
      <c r="T185" s="7" t="s">
        <v>828</v>
      </c>
      <c r="U185" s="7" t="str">
        <f t="shared" si="25"/>
        <v>CLK_CUST_CST_CUDD_V</v>
      </c>
      <c r="V185" s="7" t="s">
        <v>829</v>
      </c>
    </row>
    <row r="186" spans="1:22">
      <c r="A186" s="7" t="str">
        <f>TRIM(ETLMetadata!$B186)</f>
        <v>CLK</v>
      </c>
      <c r="B186" s="7" t="str">
        <f>TRIM(ETLMetadata!$C186)</f>
        <v>CUST_CST_CUDD</v>
      </c>
      <c r="C186" s="7" t="str">
        <f>TRIM(ETLMetadata!$F186)</f>
        <v>AMR1_RISL_DTS</v>
      </c>
      <c r="D186" s="7" t="str">
        <f>TRIM(ETLMetadata!$H186)</f>
        <v>StringType()</v>
      </c>
      <c r="E186" s="7" t="str">
        <f t="shared" si="24"/>
        <v>CLK_CUST_CST_CUDD</v>
      </c>
      <c r="F186" s="7" t="str">
        <f t="shared" si="18"/>
        <v>AMR1_RISL_DTS</v>
      </c>
      <c r="G186" s="7" t="s">
        <v>825</v>
      </c>
      <c r="H186" s="7" t="str">
        <f t="shared" si="19"/>
        <v>CLK_CUST_CST_CUDD</v>
      </c>
      <c r="I186" s="7" t="str">
        <f t="shared" si="20"/>
        <v>AMR1_RISL_DTS</v>
      </c>
      <c r="J186" s="7" t="str">
        <f t="shared" si="21"/>
        <v>TIMESTAMP</v>
      </c>
      <c r="K186" s="7" t="str">
        <f>TRIM(ETLMetadata!$G186)</f>
        <v>TIMESTAMP(6)</v>
      </c>
      <c r="L186" s="7" t="str">
        <f>TRIM(ETLMetadata!$I186)</f>
        <v>YYYY-MM-DDBHH:MI:SS.S(6)</v>
      </c>
      <c r="M186" s="7" t="str">
        <f t="shared" si="22"/>
        <v>TO_TIMESTAMP_NTZ(NULLIF(TRIM(AMR1_RISL_DTS),''),'YYYY-MM-DD HH24:MI:SS.FF6')</v>
      </c>
      <c r="N186" s="7" t="str">
        <f>TRIM(ETLMetadata!$J186)</f>
        <v/>
      </c>
      <c r="O186" s="8" t="str">
        <f>IF(TRIM(Classification!$G186)="","NOT CONFIDENTIAL",TRIM(Classification!$G186))</f>
        <v>NOT CONFIDENTIAL</v>
      </c>
      <c r="P186" s="7" t="str">
        <f t="shared" si="23"/>
        <v>Y</v>
      </c>
      <c r="Q186" s="7" t="s">
        <v>826</v>
      </c>
      <c r="R186" s="9">
        <v>2958465</v>
      </c>
      <c r="S186" s="7" t="s">
        <v>827</v>
      </c>
      <c r="T186" s="7" t="s">
        <v>828</v>
      </c>
      <c r="U186" s="7" t="str">
        <f t="shared" si="25"/>
        <v>CLK_CUST_CST_CUDD_V</v>
      </c>
      <c r="V186" s="7" t="s">
        <v>829</v>
      </c>
    </row>
    <row r="187" spans="1:22">
      <c r="A187" s="7" t="str">
        <f>TRIM(ETLMetadata!$B187)</f>
        <v>CLK</v>
      </c>
      <c r="B187" s="7" t="str">
        <f>TRIM(ETLMetadata!$C187)</f>
        <v>CUST_CST_CUDD</v>
      </c>
      <c r="C187" s="7" t="str">
        <f>TRIM(ETLMetadata!$F187)</f>
        <v>AMR3_RISL_DTS</v>
      </c>
      <c r="D187" s="7" t="str">
        <f>TRIM(ETLMetadata!$H187)</f>
        <v>StringType()</v>
      </c>
      <c r="E187" s="7" t="str">
        <f t="shared" si="24"/>
        <v>CLK_CUST_CST_CUDD</v>
      </c>
      <c r="F187" s="7" t="str">
        <f t="shared" si="18"/>
        <v>AMR3_RISL_DTS</v>
      </c>
      <c r="G187" s="7" t="s">
        <v>825</v>
      </c>
      <c r="H187" s="7" t="str">
        <f t="shared" si="19"/>
        <v>CLK_CUST_CST_CUDD</v>
      </c>
      <c r="I187" s="7" t="str">
        <f t="shared" si="20"/>
        <v>AMR3_RISL_DTS</v>
      </c>
      <c r="J187" s="7" t="str">
        <f t="shared" si="21"/>
        <v>TIMESTAMP</v>
      </c>
      <c r="K187" s="7" t="str">
        <f>TRIM(ETLMetadata!$G187)</f>
        <v>TIMESTAMP(6)</v>
      </c>
      <c r="L187" s="7" t="str">
        <f>TRIM(ETLMetadata!$I187)</f>
        <v>YYYY-MM-DDBHH:MI:SS.S(6)</v>
      </c>
      <c r="M187" s="7" t="str">
        <f t="shared" si="22"/>
        <v>TO_TIMESTAMP_NTZ(NULLIF(TRIM(AMR3_RISL_DTS),''),'YYYY-MM-DD HH24:MI:SS.FF6')</v>
      </c>
      <c r="N187" s="7" t="str">
        <f>TRIM(ETLMetadata!$J187)</f>
        <v/>
      </c>
      <c r="O187" s="8" t="str">
        <f>IF(TRIM(Classification!$G187)="","NOT CONFIDENTIAL",TRIM(Classification!$G187))</f>
        <v>NOT CONFIDENTIAL</v>
      </c>
      <c r="P187" s="7" t="str">
        <f t="shared" si="23"/>
        <v>Y</v>
      </c>
      <c r="Q187" s="7" t="s">
        <v>826</v>
      </c>
      <c r="R187" s="9">
        <v>2958465</v>
      </c>
      <c r="S187" s="7" t="s">
        <v>827</v>
      </c>
      <c r="T187" s="7" t="s">
        <v>828</v>
      </c>
      <c r="U187" s="7" t="str">
        <f t="shared" si="25"/>
        <v>CLK_CUST_CST_CUDD_V</v>
      </c>
      <c r="V187" s="7" t="s">
        <v>829</v>
      </c>
    </row>
    <row r="188" spans="1:22">
      <c r="A188" s="7" t="str">
        <f>TRIM(ETLMetadata!$B188)</f>
        <v>CLK</v>
      </c>
      <c r="B188" s="7" t="str">
        <f>TRIM(ETLMetadata!$C188)</f>
        <v>CUST_CST_CUDD</v>
      </c>
      <c r="C188" s="7" t="str">
        <f>TRIM(ETLMetadata!$F188)</f>
        <v>PARTY_ROLE_ID</v>
      </c>
      <c r="D188" s="7" t="str">
        <f>TRIM(ETLMetadata!$H188)</f>
        <v>StringType()</v>
      </c>
      <c r="E188" s="7" t="str">
        <f t="shared" si="24"/>
        <v>CLK_CUST_CST_CUDD</v>
      </c>
      <c r="F188" s="7" t="str">
        <f t="shared" si="18"/>
        <v>PARTY_ROLE_ID</v>
      </c>
      <c r="G188" s="7" t="s">
        <v>825</v>
      </c>
      <c r="H188" s="7" t="str">
        <f t="shared" si="19"/>
        <v>CLK_CUST_CST_CUDD</v>
      </c>
      <c r="I188" s="7" t="str">
        <f t="shared" si="20"/>
        <v>PARTY_ROLE_ID</v>
      </c>
      <c r="J188" s="7" t="str">
        <f t="shared" si="21"/>
        <v>INTEGER</v>
      </c>
      <c r="K188" s="7" t="str">
        <f>TRIM(ETLMetadata!$G188)</f>
        <v>INTEGER</v>
      </c>
      <c r="L188" s="7" t="str">
        <f>TRIM(ETLMetadata!$I188)</f>
        <v/>
      </c>
      <c r="M188" s="7" t="str">
        <f t="shared" si="22"/>
        <v>CAST(NULLIF(TRIM(PARTY_ROLE_ID),'') AS INTEGER)</v>
      </c>
      <c r="N188" s="7" t="str">
        <f>TRIM(ETLMetadata!$J188)</f>
        <v/>
      </c>
      <c r="O188" s="8" t="str">
        <f>IF(TRIM(Classification!$G188)="","NOT CONFIDENTIAL",TRIM(Classification!$G188))</f>
        <v>NOT CONFIDENTIAL</v>
      </c>
      <c r="P188" s="7" t="str">
        <f t="shared" si="23"/>
        <v>Y</v>
      </c>
      <c r="Q188" s="7" t="s">
        <v>826</v>
      </c>
      <c r="R188" s="9">
        <v>2958465</v>
      </c>
      <c r="S188" s="7" t="s">
        <v>827</v>
      </c>
      <c r="T188" s="7" t="s">
        <v>828</v>
      </c>
      <c r="U188" s="7" t="str">
        <f t="shared" si="25"/>
        <v>CLK_CUST_CST_CUDD_V</v>
      </c>
      <c r="V188" s="7" t="s">
        <v>829</v>
      </c>
    </row>
    <row r="189" spans="1:22">
      <c r="A189" s="7" t="str">
        <f>TRIM(ETLMetadata!$B189)</f>
        <v>CLK</v>
      </c>
      <c r="B189" s="7" t="str">
        <f>TRIM(ETLMetadata!$C189)</f>
        <v>CUST_CST_CUDD</v>
      </c>
      <c r="C189" s="7" t="str">
        <f>TRIM(ETLMetadata!$F189)</f>
        <v>ERROR_COUNT</v>
      </c>
      <c r="D189" s="7" t="str">
        <f>TRIM(ETLMetadata!$H189)</f>
        <v>StringType()</v>
      </c>
      <c r="E189" s="7" t="str">
        <f t="shared" si="24"/>
        <v>CLK_CUST_CST_CUDD</v>
      </c>
      <c r="F189" s="7" t="str">
        <f t="shared" si="18"/>
        <v>ERROR_COUNT</v>
      </c>
      <c r="G189" s="7" t="s">
        <v>825</v>
      </c>
      <c r="H189" s="7" t="str">
        <f t="shared" si="19"/>
        <v>CLK_CUST_CST_CUDD</v>
      </c>
      <c r="I189" s="7" t="str">
        <f t="shared" si="20"/>
        <v>ERROR_COUNT</v>
      </c>
      <c r="J189" s="7" t="str">
        <f t="shared" si="21"/>
        <v>SMALLINT</v>
      </c>
      <c r="K189" s="7" t="str">
        <f>TRIM(ETLMetadata!$G189)</f>
        <v>SMALLINT</v>
      </c>
      <c r="L189" s="7" t="str">
        <f>TRIM(ETLMetadata!$I189)</f>
        <v/>
      </c>
      <c r="M189" s="7" t="str">
        <f t="shared" si="22"/>
        <v>CAST(NULLIF(TRIM(ERROR_COUNT),'') AS SMALLINT)</v>
      </c>
      <c r="N189" s="7" t="str">
        <f>TRIM(ETLMetadata!$J189)</f>
        <v/>
      </c>
      <c r="O189" s="8" t="str">
        <f>IF(TRIM(Classification!$G189)="","NOT CONFIDENTIAL",TRIM(Classification!$G189))</f>
        <v>NOT CONFIDENTIAL</v>
      </c>
      <c r="P189" s="7" t="str">
        <f t="shared" si="23"/>
        <v>Y</v>
      </c>
      <c r="Q189" s="7" t="s">
        <v>826</v>
      </c>
      <c r="R189" s="9">
        <v>2958465</v>
      </c>
      <c r="S189" s="7" t="s">
        <v>827</v>
      </c>
      <c r="T189" s="7" t="s">
        <v>828</v>
      </c>
      <c r="U189" s="7" t="str">
        <f t="shared" si="25"/>
        <v>CLK_CUST_CST_CUDD_V</v>
      </c>
      <c r="V189" s="7" t="s">
        <v>829</v>
      </c>
    </row>
    <row r="190" spans="1:22">
      <c r="A190" s="7" t="str">
        <f>TRIM(ETLMetadata!$B190)</f>
        <v>CLK</v>
      </c>
      <c r="B190" s="7" t="str">
        <f>TRIM(ETLMetadata!$C190)</f>
        <v>CUST_CST_CUDD</v>
      </c>
      <c r="C190" s="7" t="str">
        <f>TRIM(ETLMetadata!$F190)</f>
        <v>Start_Date</v>
      </c>
      <c r="D190" s="7" t="str">
        <f>TRIM(ETLMetadata!$H190)</f>
        <v>StringType()</v>
      </c>
      <c r="E190" s="7" t="str">
        <f t="shared" si="24"/>
        <v>CLK_CUST_CST_CUDD</v>
      </c>
      <c r="F190" s="7" t="str">
        <f t="shared" si="18"/>
        <v>STRT_DT</v>
      </c>
      <c r="G190" s="7" t="s">
        <v>825</v>
      </c>
      <c r="H190" s="7" t="str">
        <f t="shared" si="19"/>
        <v>CLK_CUST_CST_CUDD</v>
      </c>
      <c r="I190" s="7" t="str">
        <f t="shared" si="20"/>
        <v>STRT_DT</v>
      </c>
      <c r="J190" s="7" t="str">
        <f t="shared" si="21"/>
        <v>DATE</v>
      </c>
      <c r="K190" s="7" t="str">
        <f>TRIM(ETLMetadata!$G190)</f>
        <v>DATE</v>
      </c>
      <c r="L190" s="7" t="str">
        <f>TRIM(ETLMetadata!$I190)</f>
        <v>YYYY-MM-DD</v>
      </c>
      <c r="M190" s="7" t="str">
        <f t="shared" si="22"/>
        <v>TO_DATE(NULLIF(TRIM(STRT_DT),'') , 'YYYY-MM-DD')</v>
      </c>
      <c r="N190" s="7" t="str">
        <f>TRIM(ETLMetadata!$J190)</f>
        <v/>
      </c>
      <c r="O190" s="8" t="str">
        <f>IF(TRIM(Classification!$G190)="","NOT CONFIDENTIAL",TRIM(Classification!$G190))</f>
        <v>NOT CONFIDENTIAL</v>
      </c>
      <c r="P190" s="7" t="str">
        <f t="shared" si="23"/>
        <v>N</v>
      </c>
      <c r="Q190" s="7" t="s">
        <v>826</v>
      </c>
      <c r="R190" s="9">
        <v>2958465</v>
      </c>
      <c r="S190" s="7" t="s">
        <v>827</v>
      </c>
      <c r="T190" s="7" t="s">
        <v>828</v>
      </c>
      <c r="U190" s="7" t="str">
        <f t="shared" si="25"/>
        <v>CLK_CUST_CST_CUDD_V</v>
      </c>
      <c r="V190" s="7" t="s">
        <v>829</v>
      </c>
    </row>
    <row r="191" spans="1:22">
      <c r="A191" s="7" t="str">
        <f>TRIM(ETLMetadata!$B191)</f>
        <v>CLK</v>
      </c>
      <c r="B191" s="7" t="str">
        <f>TRIM(ETLMetadata!$C191)</f>
        <v>CUST_CST_CUDD</v>
      </c>
      <c r="C191" s="7" t="str">
        <f>TRIM(ETLMetadata!$F191)</f>
        <v>End_Date</v>
      </c>
      <c r="D191" s="7" t="str">
        <f>TRIM(ETLMetadata!$H191)</f>
        <v>StringType()</v>
      </c>
      <c r="E191" s="7" t="str">
        <f t="shared" si="24"/>
        <v>CLK_CUST_CST_CUDD</v>
      </c>
      <c r="F191" s="7" t="str">
        <f t="shared" si="18"/>
        <v>END_DT</v>
      </c>
      <c r="G191" s="7" t="s">
        <v>825</v>
      </c>
      <c r="H191" s="7" t="str">
        <f t="shared" si="19"/>
        <v>CLK_CUST_CST_CUDD</v>
      </c>
      <c r="I191" s="7" t="str">
        <f t="shared" si="20"/>
        <v>END_DT</v>
      </c>
      <c r="J191" s="7" t="str">
        <f t="shared" si="21"/>
        <v>DATE</v>
      </c>
      <c r="K191" s="7" t="str">
        <f>TRIM(ETLMetadata!$G191)</f>
        <v>DATE</v>
      </c>
      <c r="L191" s="7" t="str">
        <f>TRIM(ETLMetadata!$I191)</f>
        <v>YYYY-MM-DD</v>
      </c>
      <c r="M191" s="7" t="str">
        <f t="shared" si="22"/>
        <v>TO_DATE(NULLIF(TRIM(END_DT),'') , 'YYYY-MM-DD')</v>
      </c>
      <c r="N191" s="7" t="str">
        <f>TRIM(ETLMetadata!$J191)</f>
        <v/>
      </c>
      <c r="O191" s="8" t="str">
        <f>IF(TRIM(Classification!$G191)="","NOT CONFIDENTIAL",TRIM(Classification!$G191))</f>
        <v>NOT CONFIDENTIAL</v>
      </c>
      <c r="P191" s="7" t="str">
        <f t="shared" si="23"/>
        <v>N</v>
      </c>
      <c r="Q191" s="7" t="s">
        <v>826</v>
      </c>
      <c r="R191" s="9">
        <v>2958465</v>
      </c>
      <c r="S191" s="7" t="s">
        <v>827</v>
      </c>
      <c r="T191" s="7" t="s">
        <v>828</v>
      </c>
      <c r="U191" s="7" t="str">
        <f t="shared" si="25"/>
        <v>CLK_CUST_CST_CUDD_V</v>
      </c>
      <c r="V191" s="7" t="s">
        <v>829</v>
      </c>
    </row>
    <row r="192" spans="1:22">
      <c r="A192" s="7" t="str">
        <f>TRIM(ETLMetadata!$B192)</f>
        <v>CLK</v>
      </c>
      <c r="B192" s="7" t="str">
        <f>TRIM(ETLMetadata!$C192)</f>
        <v>CUST_CST_CUDD</v>
      </c>
      <c r="C192" s="7" t="str">
        <f>TRIM(ETLMetadata!$F192)</f>
        <v>Record_Deleted_Flag</v>
      </c>
      <c r="D192" s="7" t="str">
        <f>TRIM(ETLMetadata!$H192)</f>
        <v>StringType()</v>
      </c>
      <c r="E192" s="7" t="str">
        <f t="shared" si="24"/>
        <v>CLK_CUST_CST_CUDD</v>
      </c>
      <c r="F192" s="7" t="str">
        <f t="shared" si="18"/>
        <v>RCRD_DEL_IND</v>
      </c>
      <c r="G192" s="7" t="s">
        <v>825</v>
      </c>
      <c r="H192" s="7" t="str">
        <f t="shared" si="19"/>
        <v>CLK_CUST_CST_CUDD</v>
      </c>
      <c r="I192" s="7" t="str">
        <f t="shared" si="20"/>
        <v>RCRD_DEL_IND</v>
      </c>
      <c r="J192" s="7" t="str">
        <f t="shared" si="21"/>
        <v>SMALLINT</v>
      </c>
      <c r="K192" s="7" t="str">
        <f>TRIM(ETLMetadata!$G192)</f>
        <v>BYTEINT</v>
      </c>
      <c r="L192" s="7" t="str">
        <f>TRIM(ETLMetadata!$I192)</f>
        <v/>
      </c>
      <c r="M192" s="7" t="str">
        <f t="shared" si="22"/>
        <v>CAST(NULLIF(TRIM(RCRD_DEL_IND),'') AS SMALLINT)</v>
      </c>
      <c r="N192" s="7" t="str">
        <f>TRIM(ETLMetadata!$J192)</f>
        <v/>
      </c>
      <c r="O192" s="8" t="str">
        <f>IF(TRIM(Classification!$G192)="","NOT CONFIDENTIAL",TRIM(Classification!$G192))</f>
        <v>NOT CONFIDENTIAL</v>
      </c>
      <c r="P192" s="7" t="str">
        <f t="shared" si="23"/>
        <v>N</v>
      </c>
      <c r="Q192" s="7" t="s">
        <v>826</v>
      </c>
      <c r="R192" s="9">
        <v>2958465</v>
      </c>
      <c r="S192" s="7" t="s">
        <v>827</v>
      </c>
      <c r="T192" s="7" t="s">
        <v>828</v>
      </c>
      <c r="U192" s="7" t="str">
        <f t="shared" si="25"/>
        <v>CLK_CUST_CST_CUDD_V</v>
      </c>
      <c r="V192" s="7" t="s">
        <v>829</v>
      </c>
    </row>
    <row r="193" spans="1:22">
      <c r="A193" s="7" t="str">
        <f>TRIM(ETLMetadata!$B193)</f>
        <v>CLK</v>
      </c>
      <c r="B193" s="7" t="str">
        <f>TRIM(ETLMetadata!$C193)</f>
        <v>CUST_CST_CUEM</v>
      </c>
      <c r="C193" s="7" t="str">
        <f>TRIM(ETLMetadata!$F193)</f>
        <v>EXTRACT_DATE</v>
      </c>
      <c r="D193" s="7" t="str">
        <f>TRIM(ETLMetadata!$H193)</f>
        <v>StringType()</v>
      </c>
      <c r="E193" s="7" t="str">
        <f t="shared" si="24"/>
        <v>CLK_CUST_CST_CUEM</v>
      </c>
      <c r="F193" s="7" t="str">
        <f t="shared" si="18"/>
        <v>EXTRACT_DATE</v>
      </c>
      <c r="G193" s="7" t="s">
        <v>825</v>
      </c>
      <c r="H193" s="7" t="str">
        <f t="shared" si="19"/>
        <v>CLK_CUST_CST_CUEM</v>
      </c>
      <c r="I193" s="7" t="str">
        <f t="shared" si="20"/>
        <v>EXTRACT_DATE</v>
      </c>
      <c r="J193" s="7" t="str">
        <f t="shared" si="21"/>
        <v>DATE</v>
      </c>
      <c r="K193" s="7" t="str">
        <f>TRIM(ETLMetadata!$G193)</f>
        <v>DATE</v>
      </c>
      <c r="L193" s="7" t="str">
        <f>TRIM(ETLMetadata!$I193)</f>
        <v>YYYY-MM-DD</v>
      </c>
      <c r="M193" s="7" t="str">
        <f t="shared" si="22"/>
        <v>TO_DATE(NULLIF(TRIM(EXTRACT_DATE),'') , 'YYYY-MM-DD')</v>
      </c>
      <c r="N193" s="7" t="str">
        <f>TRIM(ETLMetadata!$J193)</f>
        <v/>
      </c>
      <c r="O193" s="8" t="str">
        <f>IF(TRIM(Classification!$G193)="","NOT CONFIDENTIAL",TRIM(Classification!$G193))</f>
        <v>NOT CONFIDENTIAL</v>
      </c>
      <c r="P193" s="7" t="str">
        <f t="shared" si="23"/>
        <v>Y</v>
      </c>
      <c r="Q193" s="7" t="s">
        <v>826</v>
      </c>
      <c r="R193" s="9">
        <v>2958465</v>
      </c>
      <c r="S193" s="7" t="s">
        <v>827</v>
      </c>
      <c r="T193" s="7" t="s">
        <v>828</v>
      </c>
      <c r="U193" s="7" t="str">
        <f t="shared" si="25"/>
        <v>CLK_CUST_CST_CUEM_V</v>
      </c>
      <c r="V193" s="7" t="s">
        <v>829</v>
      </c>
    </row>
    <row r="194" spans="1:22">
      <c r="A194" s="7" t="str">
        <f>TRIM(ETLMetadata!$B194)</f>
        <v>CLK</v>
      </c>
      <c r="B194" s="7" t="str">
        <f>TRIM(ETLMetadata!$C194)</f>
        <v>CUST_CST_CUEM</v>
      </c>
      <c r="C194" s="7" t="str">
        <f>TRIM(ETLMetadata!$F194)</f>
        <v>LOGICAL_DELETE_DATE</v>
      </c>
      <c r="D194" s="7" t="str">
        <f>TRIM(ETLMetadata!$H194)</f>
        <v>StringType()</v>
      </c>
      <c r="E194" s="7" t="str">
        <f t="shared" si="24"/>
        <v>CLK_CUST_CST_CUEM</v>
      </c>
      <c r="F194" s="7" t="str">
        <f t="shared" si="18"/>
        <v>LOGICAL_DELETE_DATE</v>
      </c>
      <c r="G194" s="7" t="s">
        <v>825</v>
      </c>
      <c r="H194" s="7" t="str">
        <f t="shared" si="19"/>
        <v>CLK_CUST_CST_CUEM</v>
      </c>
      <c r="I194" s="7" t="str">
        <f t="shared" si="20"/>
        <v>LOGICAL_DELETE_DATE</v>
      </c>
      <c r="J194" s="7" t="str">
        <f t="shared" si="21"/>
        <v>DATE</v>
      </c>
      <c r="K194" s="7" t="str">
        <f>TRIM(ETLMetadata!$G194)</f>
        <v>DATE</v>
      </c>
      <c r="L194" s="7" t="str">
        <f>TRIM(ETLMetadata!$I194)</f>
        <v>YYYY-MM-DD</v>
      </c>
      <c r="M194" s="7" t="str">
        <f t="shared" si="22"/>
        <v>TO_DATE(NULLIF(TRIM(LOGICAL_DELETE_DATE),'') , 'YYYY-MM-DD')</v>
      </c>
      <c r="N194" s="7" t="str">
        <f>TRIM(ETLMetadata!$J194)</f>
        <v/>
      </c>
      <c r="O194" s="8" t="str">
        <f>IF(TRIM(Classification!$G194)="","NOT CONFIDENTIAL",TRIM(Classification!$G194))</f>
        <v>NOT CONFIDENTIAL</v>
      </c>
      <c r="P194" s="7" t="str">
        <f t="shared" si="23"/>
        <v>Y</v>
      </c>
      <c r="Q194" s="7" t="s">
        <v>826</v>
      </c>
      <c r="R194" s="9">
        <v>2958465</v>
      </c>
      <c r="S194" s="7" t="s">
        <v>827</v>
      </c>
      <c r="T194" s="7" t="s">
        <v>828</v>
      </c>
      <c r="U194" s="7" t="str">
        <f t="shared" si="25"/>
        <v>CLK_CUST_CST_CUEM_V</v>
      </c>
      <c r="V194" s="7" t="s">
        <v>829</v>
      </c>
    </row>
    <row r="195" spans="1:22">
      <c r="A195" s="7" t="str">
        <f>TRIM(ETLMetadata!$B195)</f>
        <v>CLK</v>
      </c>
      <c r="B195" s="7" t="str">
        <f>TRIM(ETLMetadata!$C195)</f>
        <v>CUST_CST_CUEM</v>
      </c>
      <c r="C195" s="7" t="str">
        <f>TRIM(ETLMetadata!$F195)</f>
        <v>ENVIRONMENT_ID</v>
      </c>
      <c r="D195" s="7" t="str">
        <f>TRIM(ETLMetadata!$H195)</f>
        <v>StringType()</v>
      </c>
      <c r="E195" s="7" t="str">
        <f t="shared" si="24"/>
        <v>CLK_CUST_CST_CUEM</v>
      </c>
      <c r="F195" s="7" t="str">
        <f t="shared" ref="F195:F258" si="26">IF($C195="Start_Date","STRT_DT",
 IF($C195="End_Date","END_DT",
 IF($C195="Record_Deleted_Flag","RCRD_DEL_IND",
 IF($C195="IsDeleted","RCRD_DEL_IND",
 $C195
))))</f>
        <v>ENVIRONMENT_ID</v>
      </c>
      <c r="G195" s="7" t="s">
        <v>825</v>
      </c>
      <c r="H195" s="7" t="str">
        <f t="shared" ref="H195:H258" si="27">CONCATENATE($A195,"_",$B195)</f>
        <v>CLK_CUST_CST_CUEM</v>
      </c>
      <c r="I195" s="7" t="str">
        <f t="shared" ref="I195:I258" si="28">IF($C195="Start_Date","STRT_DT",
 IF($C195="End_Date","END_DT",
 IF($C195="Record_Deleted_Flag","RCRD_DEL_IND",
 IF($C195="IsDeleted","RCRD_DEL_IND",
 $C195
))))</f>
        <v>ENVIRONMENT_ID</v>
      </c>
      <c r="J195" s="7" t="str">
        <f t="shared" ref="J195:J258" si="29">IF(LEFT(TRIM($K195),7)="VARCHAR","VARCHAR",
 IF(LEFT(TRIM($K195),4)="CHAR","VARCHAR",
 IF(TRIM($K195)="TIMESTAMP(6)","TIMESTAMP",
 IF(TRIM($K195)="DATE","DATE",
 IF(TRIM($K195)="BYTEINT","SMALLINT",
 IF(TRIM($K195)="SMALLINT","SMALLINT",
 IF(TRIM($K195)="INTEGER","INTEGER",
 IF(TRIM($K195)="BIGINT","INTEGER",
 IF(LEFT(TRIM($K195),7)="DECIMAL",TRIM($K195),
 IF(TRIM($K195)="BOOLEAN","BOOLEAN",
 IF(TRIM($K195)="DOUBLE","DOUBLE",
 IF(TRIM($K195)="FLOAT","FLOAT",
 IF(TRIM($K195)="REAL","REAL",
 IF(LEFT(TRIM($K195),6)="STRUCT","VARIANT",
 IF(LEFT(TRIM($K195),5)="ARRAY","VARIANT",
 IF(LEFT(TRIM($K195),3)="MAP","VARIANT",
 IF(LEFT(TRIM($K195),3)="ROW","VARIANT",
 "NONE"
)))))))))))))))))</f>
        <v>VARCHAR</v>
      </c>
      <c r="K195" s="7" t="str">
        <f>TRIM(ETLMetadata!$G195)</f>
        <v>CHAR(1)</v>
      </c>
      <c r="L195" s="7" t="str">
        <f>TRIM(ETLMetadata!$I195)</f>
        <v/>
      </c>
      <c r="M195" s="7" t="str">
        <f t="shared" ref="M195:M258" si="30">IF(LEFT($K195,7)="VARCHAR","NULLIF(TRIM("&amp;$I195&amp;"),'')",
 IF(LEFT($K195,4)="CHAR","NULLIF(TRIM("&amp;$I195&amp;"),'')",
 IF(LEFT($K195,7)="DECIMAL","CAST(NULLIF(TRIM("&amp;$I195&amp;"),'') AS "&amp;$K195&amp;")",
 IF($K195="TIMESTAMP(6)","TO_TIMESTAMP_NTZ(NULLIF(TRIM("&amp;$I195&amp;"),''),'YYYY-MM-DD HH24:MI:SS.FF6')",
 IF($K195="DATE","TO_DATE(NULLIF(TRIM("&amp;$I195&amp;"),'') , 'YYYY-MM-DD')",
 IF($K195="BIGINT","CAST(NULLIF(TRIM("&amp;I195&amp;"),'') AS INTEGER)",
 IF($K195="BYTEINT","CAST(NULLIF(TRIM("&amp;I195&amp;"),'') AS SMALLINT)",
 IF($K195="SMALLINT","CAST(NULLIF(TRIM("&amp;I195&amp;"),'') AS SMALLINT)",
 IF($K195="INTEGER","CAST(NULLIF(TRIM("&amp;I195&amp;"),'') AS INTEGER)",
 IF($K195="BOOLEAN","CAST(NULLIF(TRIM("&amp;I195&amp;"),'') AS BOOLEAN)",
 IF($K195="DOUBLE","CAST(NULLIF(TRIM("&amp;I195&amp;"),'') AS DOUBLE)",
 IF($K195="FLOAT","CAST(NULLIF(TRIM("&amp;I195&amp;"),'') AS FLOAT)",
 IF($K195="REAL","CAST(NULLIF(TRIM("&amp;I195&amp;"),'') AS REAL)",
 IF(OR($K195="STRUCT",$K195="ARRAY",$K195="MAP",$K195="ROW"),"CAST(NULLIF(TRIM("&amp;I195&amp;"),'') AS VARIANT)",
 "NONE"
))))))))))))))</f>
        <v>NULLIF(TRIM(ENVIRONMENT_ID),'')</v>
      </c>
      <c r="N195" s="7" t="str">
        <f>TRIM(ETLMetadata!$J195)</f>
        <v>Y</v>
      </c>
      <c r="O195" s="8" t="str">
        <f>IF(TRIM(Classification!$G195)="","NOT CONFIDENTIAL",TRIM(Classification!$G195))</f>
        <v>NOT CONFIDENTIAL</v>
      </c>
      <c r="P195" s="7" t="str">
        <f t="shared" ref="P195:P258" si="31">IF($C195="Start_Date","N",
 IF($C195="End_Date","N",
 IF($C195="Record_Deleted_Flag","N",
 IF($C195="IsDeleted","N",
 "Y"
))))</f>
        <v>Y</v>
      </c>
      <c r="Q195" s="7" t="s">
        <v>826</v>
      </c>
      <c r="R195" s="9">
        <v>2958465</v>
      </c>
      <c r="S195" s="7" t="s">
        <v>827</v>
      </c>
      <c r="T195" s="7" t="s">
        <v>828</v>
      </c>
      <c r="U195" s="7" t="str">
        <f t="shared" si="25"/>
        <v>CLK_CUST_CST_CUEM_V</v>
      </c>
      <c r="V195" s="7" t="s">
        <v>829</v>
      </c>
    </row>
    <row r="196" spans="1:22">
      <c r="A196" s="7" t="str">
        <f>TRIM(ETLMetadata!$B196)</f>
        <v>CLK</v>
      </c>
      <c r="B196" s="7" t="str">
        <f>TRIM(ETLMetadata!$C196)</f>
        <v>CUST_CST_CUEM</v>
      </c>
      <c r="C196" s="7" t="str">
        <f>TRIM(ETLMetadata!$F196)</f>
        <v>PERSON_ID</v>
      </c>
      <c r="D196" s="7" t="str">
        <f>TRIM(ETLMetadata!$H196)</f>
        <v>StringType()</v>
      </c>
      <c r="E196" s="7" t="str">
        <f t="shared" si="24"/>
        <v>CLK_CUST_CST_CUEM</v>
      </c>
      <c r="F196" s="7" t="str">
        <f t="shared" si="26"/>
        <v>PERSON_ID</v>
      </c>
      <c r="G196" s="7" t="s">
        <v>825</v>
      </c>
      <c r="H196" s="7" t="str">
        <f t="shared" si="27"/>
        <v>CLK_CUST_CST_CUEM</v>
      </c>
      <c r="I196" s="7" t="str">
        <f t="shared" si="28"/>
        <v>PERSON_ID</v>
      </c>
      <c r="J196" s="7" t="str">
        <f t="shared" si="29"/>
        <v>INTEGER</v>
      </c>
      <c r="K196" s="7" t="str">
        <f>TRIM(ETLMetadata!$G196)</f>
        <v>INTEGER</v>
      </c>
      <c r="L196" s="7" t="str">
        <f>TRIM(ETLMetadata!$I196)</f>
        <v/>
      </c>
      <c r="M196" s="7" t="str">
        <f t="shared" si="30"/>
        <v>CAST(NULLIF(TRIM(PERSON_ID),'') AS INTEGER)</v>
      </c>
      <c r="N196" s="7" t="str">
        <f>TRIM(ETLMetadata!$J196)</f>
        <v>Y</v>
      </c>
      <c r="O196" s="8" t="str">
        <f>IF(TRIM(Classification!$G196)="","NOT CONFIDENTIAL",TRIM(Classification!$G196))</f>
        <v>PERSONAL_IDENTITYINFOINDIRECT</v>
      </c>
      <c r="P196" s="7" t="str">
        <f t="shared" si="31"/>
        <v>Y</v>
      </c>
      <c r="Q196" s="7" t="s">
        <v>826</v>
      </c>
      <c r="R196" s="9">
        <v>2958465</v>
      </c>
      <c r="S196" s="7" t="s">
        <v>827</v>
      </c>
      <c r="T196" s="7" t="s">
        <v>828</v>
      </c>
      <c r="U196" s="7" t="str">
        <f t="shared" si="25"/>
        <v>CLK_CUST_CST_CUEM_V</v>
      </c>
      <c r="V196" s="7" t="s">
        <v>829</v>
      </c>
    </row>
    <row r="197" spans="1:22">
      <c r="A197" s="7" t="str">
        <f>TRIM(ETLMetadata!$B197)</f>
        <v>CLK</v>
      </c>
      <c r="B197" s="7" t="str">
        <f>TRIM(ETLMetadata!$C197)</f>
        <v>CUST_CST_CUEM</v>
      </c>
      <c r="C197" s="7" t="str">
        <f>TRIM(ETLMetadata!$F197)</f>
        <v>CUEM_DOE</v>
      </c>
      <c r="D197" s="7" t="str">
        <f>TRIM(ETLMetadata!$H197)</f>
        <v>StringType()</v>
      </c>
      <c r="E197" s="7" t="str">
        <f t="shared" si="24"/>
        <v>CLK_CUST_CST_CUEM</v>
      </c>
      <c r="F197" s="7" t="str">
        <f t="shared" si="26"/>
        <v>CUEM_DOE</v>
      </c>
      <c r="G197" s="7" t="s">
        <v>825</v>
      </c>
      <c r="H197" s="7" t="str">
        <f t="shared" si="27"/>
        <v>CLK_CUST_CST_CUEM</v>
      </c>
      <c r="I197" s="7" t="str">
        <f t="shared" si="28"/>
        <v>CUEM_DOE</v>
      </c>
      <c r="J197" s="7" t="str">
        <f t="shared" si="29"/>
        <v>DATE</v>
      </c>
      <c r="K197" s="17" t="s">
        <v>80</v>
      </c>
      <c r="L197" s="7" t="str">
        <f>TRIM(ETLMetadata!$I197)</f>
        <v>YYYY-MM-DD</v>
      </c>
      <c r="M197" s="7" t="str">
        <f t="shared" si="30"/>
        <v>TO_DATE(NULLIF(TRIM(CUEM_DOE),'') , 'YYYY-MM-DD')</v>
      </c>
      <c r="N197" s="7" t="str">
        <f>TRIM(ETLMetadata!$J197)</f>
        <v/>
      </c>
      <c r="O197" s="8" t="str">
        <f>IF(TRIM(Classification!$G197)="","NOT CONFIDENTIAL",TRIM(Classification!$G197))</f>
        <v>NOT CONFIDENTIAL</v>
      </c>
      <c r="P197" s="7" t="str">
        <f t="shared" si="31"/>
        <v>Y</v>
      </c>
      <c r="Q197" s="7" t="s">
        <v>826</v>
      </c>
      <c r="R197" s="9">
        <v>2958465</v>
      </c>
      <c r="S197" s="7" t="s">
        <v>827</v>
      </c>
      <c r="T197" s="7" t="s">
        <v>828</v>
      </c>
      <c r="U197" s="7" t="str">
        <f t="shared" si="25"/>
        <v>CLK_CUST_CST_CUEM_V</v>
      </c>
      <c r="V197" s="7" t="s">
        <v>829</v>
      </c>
    </row>
    <row r="198" spans="1:22">
      <c r="A198" s="7" t="str">
        <f>TRIM(ETLMetadata!$B198)</f>
        <v>CLK</v>
      </c>
      <c r="B198" s="7" t="str">
        <f>TRIM(ETLMetadata!$C198)</f>
        <v>CUST_CST_CUEM</v>
      </c>
      <c r="C198" s="7" t="str">
        <f>TRIM(ETLMetadata!$F198)</f>
        <v>CUEM_DOE_ORIG</v>
      </c>
      <c r="D198" s="7" t="str">
        <f>TRIM(ETLMetadata!$H198)</f>
        <v>StringType()</v>
      </c>
      <c r="E198" s="7" t="str">
        <f t="shared" si="24"/>
        <v>CLK_CUST_CST_CUEM</v>
      </c>
      <c r="F198" s="7" t="str">
        <f t="shared" si="26"/>
        <v>CUEM_DOE_ORIG</v>
      </c>
      <c r="G198" s="7" t="s">
        <v>825</v>
      </c>
      <c r="H198" s="7" t="str">
        <f t="shared" si="27"/>
        <v>CLK_CUST_CST_CUEM</v>
      </c>
      <c r="I198" s="7" t="str">
        <f t="shared" si="28"/>
        <v>CUEM_DOE_ORIG</v>
      </c>
      <c r="J198" s="7" t="str">
        <f t="shared" si="29"/>
        <v>INTEGER</v>
      </c>
      <c r="K198" s="17" t="s">
        <v>90</v>
      </c>
      <c r="L198" s="7" t="str">
        <f>TRIM(ETLMetadata!$I198)</f>
        <v/>
      </c>
      <c r="M198" s="7" t="str">
        <f t="shared" si="30"/>
        <v>CAST(NULLIF(TRIM(CUEM_DOE_ORIG),'') AS INTEGER)</v>
      </c>
      <c r="N198" s="7" t="str">
        <f>TRIM(ETLMetadata!$J198)</f>
        <v/>
      </c>
      <c r="O198" s="8" t="str">
        <f>IF(TRIM(Classification!$G198)="","NOT CONFIDENTIAL",TRIM(Classification!$G198))</f>
        <v>NOT CONFIDENTIAL</v>
      </c>
      <c r="P198" s="7" t="str">
        <f t="shared" si="31"/>
        <v>Y</v>
      </c>
      <c r="Q198" s="7" t="s">
        <v>826</v>
      </c>
      <c r="R198" s="9">
        <v>2958465</v>
      </c>
      <c r="S198" s="7" t="s">
        <v>827</v>
      </c>
      <c r="T198" s="7" t="s">
        <v>828</v>
      </c>
      <c r="U198" s="7" t="str">
        <f t="shared" si="25"/>
        <v>CLK_CUST_CST_CUEM_V</v>
      </c>
      <c r="V198" s="7" t="s">
        <v>829</v>
      </c>
    </row>
    <row r="199" spans="1:22">
      <c r="A199" s="7" t="str">
        <f>TRIM(ETLMetadata!$B199)</f>
        <v>CLK</v>
      </c>
      <c r="B199" s="7" t="str">
        <f>TRIM(ETLMetadata!$C199)</f>
        <v>CUST_CST_CUEM</v>
      </c>
      <c r="C199" s="7" t="str">
        <f>TRIM(ETLMetadata!$F199)</f>
        <v>CUEM_TYPE_CODE</v>
      </c>
      <c r="D199" s="7" t="str">
        <f>TRIM(ETLMetadata!$H199)</f>
        <v>StringType()</v>
      </c>
      <c r="E199" s="7" t="str">
        <f t="shared" si="24"/>
        <v>CLK_CUST_CST_CUEM</v>
      </c>
      <c r="F199" s="7" t="str">
        <f t="shared" si="26"/>
        <v>CUEM_TYPE_CODE</v>
      </c>
      <c r="G199" s="7" t="s">
        <v>825</v>
      </c>
      <c r="H199" s="7" t="str">
        <f t="shared" si="27"/>
        <v>CLK_CUST_CST_CUEM</v>
      </c>
      <c r="I199" s="7" t="str">
        <f t="shared" si="28"/>
        <v>CUEM_TYPE_CODE</v>
      </c>
      <c r="J199" s="7" t="str">
        <f t="shared" si="29"/>
        <v>VARCHAR</v>
      </c>
      <c r="K199" s="7" t="str">
        <f>TRIM(ETLMetadata!$G199)</f>
        <v>CHAR(4)</v>
      </c>
      <c r="L199" s="7" t="str">
        <f>TRIM(ETLMetadata!$I199)</f>
        <v/>
      </c>
      <c r="M199" s="7" t="str">
        <f t="shared" si="30"/>
        <v>NULLIF(TRIM(CUEM_TYPE_CODE),'')</v>
      </c>
      <c r="N199" s="7" t="str">
        <f>TRIM(ETLMetadata!$J199)</f>
        <v/>
      </c>
      <c r="O199" s="8" t="str">
        <f>IF(TRIM(Classification!$G199)="","NOT CONFIDENTIAL",TRIM(Classification!$G199))</f>
        <v>NOT CONFIDENTIAL</v>
      </c>
      <c r="P199" s="7" t="str">
        <f t="shared" si="31"/>
        <v>Y</v>
      </c>
      <c r="Q199" s="7" t="s">
        <v>826</v>
      </c>
      <c r="R199" s="9">
        <v>2958465</v>
      </c>
      <c r="S199" s="7" t="s">
        <v>827</v>
      </c>
      <c r="T199" s="7" t="s">
        <v>828</v>
      </c>
      <c r="U199" s="7" t="str">
        <f t="shared" si="25"/>
        <v>CLK_CUST_CST_CUEM_V</v>
      </c>
      <c r="V199" s="7" t="s">
        <v>829</v>
      </c>
    </row>
    <row r="200" spans="1:22">
      <c r="A200" s="7" t="str">
        <f>TRIM(ETLMetadata!$B200)</f>
        <v>CLK</v>
      </c>
      <c r="B200" s="7" t="str">
        <f>TRIM(ETLMetadata!$C200)</f>
        <v>CUST_CST_CUEM</v>
      </c>
      <c r="C200" s="7" t="str">
        <f>TRIM(ETLMetadata!$F200)</f>
        <v>PROCESSING_SEQUENCE</v>
      </c>
      <c r="D200" s="7" t="str">
        <f>TRIM(ETLMetadata!$H200)</f>
        <v>StringType()</v>
      </c>
      <c r="E200" s="7" t="str">
        <f t="shared" si="24"/>
        <v>CLK_CUST_CST_CUEM</v>
      </c>
      <c r="F200" s="7" t="str">
        <f t="shared" si="26"/>
        <v>PROCESSING_SEQUENCE</v>
      </c>
      <c r="G200" s="7" t="s">
        <v>825</v>
      </c>
      <c r="H200" s="7" t="str">
        <f t="shared" si="27"/>
        <v>CLK_CUST_CST_CUEM</v>
      </c>
      <c r="I200" s="7" t="str">
        <f t="shared" si="28"/>
        <v>PROCESSING_SEQUENCE</v>
      </c>
      <c r="J200" s="7" t="str">
        <f t="shared" si="29"/>
        <v>SMALLINT</v>
      </c>
      <c r="K200" s="7" t="str">
        <f>TRIM(ETLMetadata!$G200)</f>
        <v>SMALLINT</v>
      </c>
      <c r="L200" s="7" t="str">
        <f>TRIM(ETLMetadata!$I200)</f>
        <v/>
      </c>
      <c r="M200" s="7" t="str">
        <f t="shared" si="30"/>
        <v>CAST(NULLIF(TRIM(PROCESSING_SEQUENCE),'') AS SMALLINT)</v>
      </c>
      <c r="N200" s="7" t="str">
        <f>TRIM(ETLMetadata!$J200)</f>
        <v>Y</v>
      </c>
      <c r="O200" s="8" t="str">
        <f>IF(TRIM(Classification!$G200)="","NOT CONFIDENTIAL",TRIM(Classification!$G200))</f>
        <v>NOT CONFIDENTIAL</v>
      </c>
      <c r="P200" s="7" t="str">
        <f t="shared" si="31"/>
        <v>Y</v>
      </c>
      <c r="Q200" s="7" t="s">
        <v>826</v>
      </c>
      <c r="R200" s="9">
        <v>2958465</v>
      </c>
      <c r="S200" s="7" t="s">
        <v>827</v>
      </c>
      <c r="T200" s="7" t="s">
        <v>828</v>
      </c>
      <c r="U200" s="7" t="str">
        <f t="shared" si="25"/>
        <v>CLK_CUST_CST_CUEM_V</v>
      </c>
      <c r="V200" s="7" t="s">
        <v>829</v>
      </c>
    </row>
    <row r="201" spans="1:22">
      <c r="A201" s="7" t="str">
        <f>TRIM(ETLMetadata!$B201)</f>
        <v>CLK</v>
      </c>
      <c r="B201" s="7" t="str">
        <f>TRIM(ETLMetadata!$C201)</f>
        <v>CUST_CST_CUEM</v>
      </c>
      <c r="C201" s="7" t="str">
        <f>TRIM(ETLMetadata!$F201)</f>
        <v>CUEM_AMR_1</v>
      </c>
      <c r="D201" s="7" t="str">
        <f>TRIM(ETLMetadata!$H201)</f>
        <v>StringType()</v>
      </c>
      <c r="E201" s="7" t="str">
        <f t="shared" si="24"/>
        <v>CLK_CUST_CST_CUEM</v>
      </c>
      <c r="F201" s="7" t="str">
        <f t="shared" si="26"/>
        <v>CUEM_AMR_1</v>
      </c>
      <c r="G201" s="7" t="s">
        <v>825</v>
      </c>
      <c r="H201" s="7" t="str">
        <f t="shared" si="27"/>
        <v>CLK_CUST_CST_CUEM</v>
      </c>
      <c r="I201" s="7" t="str">
        <f t="shared" si="28"/>
        <v>CUEM_AMR_1</v>
      </c>
      <c r="J201" s="7" t="str">
        <f t="shared" si="29"/>
        <v>VARCHAR</v>
      </c>
      <c r="K201" s="7" t="str">
        <f>TRIM(ETLMetadata!$G201)</f>
        <v>CHAR(4)</v>
      </c>
      <c r="L201" s="7" t="str">
        <f>TRIM(ETLMetadata!$I201)</f>
        <v/>
      </c>
      <c r="M201" s="7" t="str">
        <f t="shared" si="30"/>
        <v>NULLIF(TRIM(CUEM_AMR_1),'')</v>
      </c>
      <c r="N201" s="7" t="str">
        <f>TRIM(ETLMetadata!$J201)</f>
        <v/>
      </c>
      <c r="O201" s="8" t="str">
        <f>IF(TRIM(Classification!$G201)="","NOT CONFIDENTIAL",TRIM(Classification!$G201))</f>
        <v>NOT CONFIDENTIAL</v>
      </c>
      <c r="P201" s="7" t="str">
        <f t="shared" si="31"/>
        <v>Y</v>
      </c>
      <c r="Q201" s="7" t="s">
        <v>826</v>
      </c>
      <c r="R201" s="9">
        <v>2958465</v>
      </c>
      <c r="S201" s="7" t="s">
        <v>827</v>
      </c>
      <c r="T201" s="7" t="s">
        <v>828</v>
      </c>
      <c r="U201" s="7" t="str">
        <f t="shared" si="25"/>
        <v>CLK_CUST_CST_CUEM_V</v>
      </c>
      <c r="V201" s="7" t="s">
        <v>829</v>
      </c>
    </row>
    <row r="202" spans="1:22">
      <c r="A202" s="7" t="str">
        <f>TRIM(ETLMetadata!$B202)</f>
        <v>CLK</v>
      </c>
      <c r="B202" s="7" t="str">
        <f>TRIM(ETLMetadata!$C202)</f>
        <v>CUST_CST_CUEM</v>
      </c>
      <c r="C202" s="7" t="str">
        <f>TRIM(ETLMetadata!$F202)</f>
        <v>CUEM_AMR_2</v>
      </c>
      <c r="D202" s="7" t="str">
        <f>TRIM(ETLMetadata!$H202)</f>
        <v>StringType()</v>
      </c>
      <c r="E202" s="7" t="str">
        <f t="shared" si="24"/>
        <v>CLK_CUST_CST_CUEM</v>
      </c>
      <c r="F202" s="7" t="str">
        <f t="shared" si="26"/>
        <v>CUEM_AMR_2</v>
      </c>
      <c r="G202" s="7" t="s">
        <v>825</v>
      </c>
      <c r="H202" s="7" t="str">
        <f t="shared" si="27"/>
        <v>CLK_CUST_CST_CUEM</v>
      </c>
      <c r="I202" s="7" t="str">
        <f t="shared" si="28"/>
        <v>CUEM_AMR_2</v>
      </c>
      <c r="J202" s="7" t="str">
        <f t="shared" si="29"/>
        <v>VARCHAR</v>
      </c>
      <c r="K202" s="7" t="str">
        <f>TRIM(ETLMetadata!$G202)</f>
        <v>CHAR(1)</v>
      </c>
      <c r="L202" s="7" t="str">
        <f>TRIM(ETLMetadata!$I202)</f>
        <v/>
      </c>
      <c r="M202" s="7" t="str">
        <f t="shared" si="30"/>
        <v>NULLIF(TRIM(CUEM_AMR_2),'')</v>
      </c>
      <c r="N202" s="7" t="str">
        <f>TRIM(ETLMetadata!$J202)</f>
        <v/>
      </c>
      <c r="O202" s="8" t="str">
        <f>IF(TRIM(Classification!$G202)="","NOT CONFIDENTIAL",TRIM(Classification!$G202))</f>
        <v>NOT CONFIDENTIAL</v>
      </c>
      <c r="P202" s="7" t="str">
        <f t="shared" si="31"/>
        <v>Y</v>
      </c>
      <c r="Q202" s="7" t="s">
        <v>826</v>
      </c>
      <c r="R202" s="9">
        <v>2958465</v>
      </c>
      <c r="S202" s="7" t="s">
        <v>827</v>
      </c>
      <c r="T202" s="7" t="s">
        <v>828</v>
      </c>
      <c r="U202" s="7" t="str">
        <f t="shared" si="25"/>
        <v>CLK_CUST_CST_CUEM_V</v>
      </c>
      <c r="V202" s="7" t="s">
        <v>829</v>
      </c>
    </row>
    <row r="203" spans="1:22">
      <c r="A203" s="7" t="str">
        <f>TRIM(ETLMetadata!$B203)</f>
        <v>CLK</v>
      </c>
      <c r="B203" s="7" t="str">
        <f>TRIM(ETLMetadata!$C203)</f>
        <v>CUST_CST_CUEM</v>
      </c>
      <c r="C203" s="7" t="str">
        <f>TRIM(ETLMetadata!$F203)</f>
        <v>CUEM_AMR_3</v>
      </c>
      <c r="D203" s="7" t="str">
        <f>TRIM(ETLMetadata!$H203)</f>
        <v>StringType()</v>
      </c>
      <c r="E203" s="7" t="str">
        <f t="shared" si="24"/>
        <v>CLK_CUST_CST_CUEM</v>
      </c>
      <c r="F203" s="7" t="str">
        <f t="shared" si="26"/>
        <v>CUEM_AMR_3</v>
      </c>
      <c r="G203" s="7" t="s">
        <v>825</v>
      </c>
      <c r="H203" s="7" t="str">
        <f t="shared" si="27"/>
        <v>CLK_CUST_CST_CUEM</v>
      </c>
      <c r="I203" s="7" t="str">
        <f t="shared" si="28"/>
        <v>CUEM_AMR_3</v>
      </c>
      <c r="J203" s="7" t="str">
        <f t="shared" si="29"/>
        <v>VARCHAR</v>
      </c>
      <c r="K203" s="7" t="str">
        <f>TRIM(ETLMetadata!$G203)</f>
        <v>CHAR(4)</v>
      </c>
      <c r="L203" s="7" t="str">
        <f>TRIM(ETLMetadata!$I203)</f>
        <v/>
      </c>
      <c r="M203" s="7" t="str">
        <f t="shared" si="30"/>
        <v>NULLIF(TRIM(CUEM_AMR_3),'')</v>
      </c>
      <c r="N203" s="7" t="str">
        <f>TRIM(ETLMetadata!$J203)</f>
        <v/>
      </c>
      <c r="O203" s="8" t="str">
        <f>IF(TRIM(Classification!$G203)="","NOT CONFIDENTIAL",TRIM(Classification!$G203))</f>
        <v>NOT CONFIDENTIAL</v>
      </c>
      <c r="P203" s="7" t="str">
        <f t="shared" si="31"/>
        <v>Y</v>
      </c>
      <c r="Q203" s="7" t="s">
        <v>826</v>
      </c>
      <c r="R203" s="9">
        <v>2958465</v>
      </c>
      <c r="S203" s="7" t="s">
        <v>827</v>
      </c>
      <c r="T203" s="7" t="s">
        <v>828</v>
      </c>
      <c r="U203" s="7" t="str">
        <f t="shared" si="25"/>
        <v>CLK_CUST_CST_CUEM_V</v>
      </c>
      <c r="V203" s="7" t="s">
        <v>829</v>
      </c>
    </row>
    <row r="204" spans="1:22">
      <c r="A204" s="7" t="str">
        <f>TRIM(ETLMetadata!$B204)</f>
        <v>CLK</v>
      </c>
      <c r="B204" s="7" t="str">
        <f>TRIM(ETLMetadata!$C204)</f>
        <v>CUST_CST_CUEM</v>
      </c>
      <c r="C204" s="7" t="str">
        <f>TRIM(ETLMetadata!$F204)</f>
        <v>CUEM_ADDR_ID</v>
      </c>
      <c r="D204" s="7" t="str">
        <f>TRIM(ETLMetadata!$H204)</f>
        <v>StringType()</v>
      </c>
      <c r="E204" s="7" t="str">
        <f t="shared" si="24"/>
        <v>CLK_CUST_CST_CUEM</v>
      </c>
      <c r="F204" s="7" t="str">
        <f t="shared" si="26"/>
        <v>CUEM_ADDR_ID</v>
      </c>
      <c r="G204" s="7" t="s">
        <v>825</v>
      </c>
      <c r="H204" s="7" t="str">
        <f t="shared" si="27"/>
        <v>CLK_CUST_CST_CUEM</v>
      </c>
      <c r="I204" s="7" t="str">
        <f t="shared" si="28"/>
        <v>CUEM_ADDR_ID</v>
      </c>
      <c r="J204" s="7" t="str">
        <f t="shared" si="29"/>
        <v>VARCHAR</v>
      </c>
      <c r="K204" s="7" t="str">
        <f>TRIM(ETLMetadata!$G204)</f>
        <v>VARCHAR(76)</v>
      </c>
      <c r="L204" s="7" t="str">
        <f>TRIM(ETLMetadata!$I204)</f>
        <v/>
      </c>
      <c r="M204" s="7" t="str">
        <f t="shared" si="30"/>
        <v>NULLIF(TRIM(CUEM_ADDR_ID),'')</v>
      </c>
      <c r="N204" s="7" t="str">
        <f>TRIM(ETLMetadata!$J204)</f>
        <v/>
      </c>
      <c r="O204" s="8" t="str">
        <f>IF(TRIM(Classification!$G204)="","NOT CONFIDENTIAL",TRIM(Classification!$G204))</f>
        <v>PERSONAL_CONTACTINFO</v>
      </c>
      <c r="P204" s="7" t="str">
        <f t="shared" si="31"/>
        <v>Y</v>
      </c>
      <c r="Q204" s="7" t="s">
        <v>826</v>
      </c>
      <c r="R204" s="9">
        <v>2958465</v>
      </c>
      <c r="S204" s="7" t="s">
        <v>827</v>
      </c>
      <c r="T204" s="7" t="s">
        <v>828</v>
      </c>
      <c r="U204" s="7" t="str">
        <f t="shared" si="25"/>
        <v>CLK_CUST_CST_CUEM_V</v>
      </c>
      <c r="V204" s="7" t="s">
        <v>829</v>
      </c>
    </row>
    <row r="205" spans="1:22">
      <c r="A205" s="7" t="str">
        <f>TRIM(ETLMetadata!$B205)</f>
        <v>CLK</v>
      </c>
      <c r="B205" s="7" t="str">
        <f>TRIM(ETLMetadata!$C205)</f>
        <v>CUST_CST_CUEM</v>
      </c>
      <c r="C205" s="7" t="str">
        <f>TRIM(ETLMetadata!$F205)</f>
        <v>CUEM_UPDT_USER_CODE</v>
      </c>
      <c r="D205" s="7" t="str">
        <f>TRIM(ETLMetadata!$H205)</f>
        <v>StringType()</v>
      </c>
      <c r="E205" s="7" t="str">
        <f t="shared" si="24"/>
        <v>CLK_CUST_CST_CUEM</v>
      </c>
      <c r="F205" s="7" t="str">
        <f t="shared" si="26"/>
        <v>CUEM_UPDT_USER_CODE</v>
      </c>
      <c r="G205" s="7" t="s">
        <v>825</v>
      </c>
      <c r="H205" s="7" t="str">
        <f t="shared" si="27"/>
        <v>CLK_CUST_CST_CUEM</v>
      </c>
      <c r="I205" s="7" t="str">
        <f t="shared" si="28"/>
        <v>CUEM_UPDT_USER_CODE</v>
      </c>
      <c r="J205" s="7" t="str">
        <f t="shared" si="29"/>
        <v>VARCHAR</v>
      </c>
      <c r="K205" s="7" t="str">
        <f>TRIM(ETLMetadata!$G205)</f>
        <v>VARCHAR(12)</v>
      </c>
      <c r="L205" s="7" t="str">
        <f>TRIM(ETLMetadata!$I205)</f>
        <v/>
      </c>
      <c r="M205" s="7" t="str">
        <f t="shared" si="30"/>
        <v>NULLIF(TRIM(CUEM_UPDT_USER_CODE),'')</v>
      </c>
      <c r="N205" s="7" t="str">
        <f>TRIM(ETLMetadata!$J205)</f>
        <v/>
      </c>
      <c r="O205" s="8" t="str">
        <f>IF(TRIM(Classification!$G205)="","NOT CONFIDENTIAL",TRIM(Classification!$G205))</f>
        <v>NOT CONFIDENTIAL</v>
      </c>
      <c r="P205" s="7" t="str">
        <f t="shared" si="31"/>
        <v>Y</v>
      </c>
      <c r="Q205" s="7" t="s">
        <v>826</v>
      </c>
      <c r="R205" s="9">
        <v>2958465</v>
      </c>
      <c r="S205" s="7" t="s">
        <v>827</v>
      </c>
      <c r="T205" s="7" t="s">
        <v>828</v>
      </c>
      <c r="U205" s="7" t="str">
        <f t="shared" si="25"/>
        <v>CLK_CUST_CST_CUEM_V</v>
      </c>
      <c r="V205" s="7" t="s">
        <v>829</v>
      </c>
    </row>
    <row r="206" spans="1:22">
      <c r="A206" s="7" t="str">
        <f>TRIM(ETLMetadata!$B206)</f>
        <v>CLK</v>
      </c>
      <c r="B206" s="7" t="str">
        <f>TRIM(ETLMetadata!$C206)</f>
        <v>CUST_CST_CUEM</v>
      </c>
      <c r="C206" s="7" t="str">
        <f>TRIM(ETLMetadata!$F206)</f>
        <v>AMR1_RISL_DTS</v>
      </c>
      <c r="D206" s="7" t="str">
        <f>TRIM(ETLMetadata!$H206)</f>
        <v>StringType()</v>
      </c>
      <c r="E206" s="7" t="str">
        <f t="shared" si="24"/>
        <v>CLK_CUST_CST_CUEM</v>
      </c>
      <c r="F206" s="7" t="str">
        <f t="shared" si="26"/>
        <v>AMR1_RISL_DTS</v>
      </c>
      <c r="G206" s="7" t="s">
        <v>825</v>
      </c>
      <c r="H206" s="7" t="str">
        <f t="shared" si="27"/>
        <v>CLK_CUST_CST_CUEM</v>
      </c>
      <c r="I206" s="7" t="str">
        <f t="shared" si="28"/>
        <v>AMR1_RISL_DTS</v>
      </c>
      <c r="J206" s="7" t="str">
        <f t="shared" si="29"/>
        <v>TIMESTAMP</v>
      </c>
      <c r="K206" s="7" t="str">
        <f>TRIM(ETLMetadata!$G206)</f>
        <v>TIMESTAMP(6)</v>
      </c>
      <c r="L206" s="7" t="str">
        <f>TRIM(ETLMetadata!$I206)</f>
        <v>YYYY-MM-DDBHH:MI:SS.S(6)</v>
      </c>
      <c r="M206" s="7" t="str">
        <f t="shared" si="30"/>
        <v>TO_TIMESTAMP_NTZ(NULLIF(TRIM(AMR1_RISL_DTS),''),'YYYY-MM-DD HH24:MI:SS.FF6')</v>
      </c>
      <c r="N206" s="7" t="str">
        <f>TRIM(ETLMetadata!$J206)</f>
        <v/>
      </c>
      <c r="O206" s="8" t="str">
        <f>IF(TRIM(Classification!$G206)="","NOT CONFIDENTIAL",TRIM(Classification!$G206))</f>
        <v>NOT CONFIDENTIAL</v>
      </c>
      <c r="P206" s="7" t="str">
        <f t="shared" si="31"/>
        <v>Y</v>
      </c>
      <c r="Q206" s="7" t="s">
        <v>826</v>
      </c>
      <c r="R206" s="9">
        <v>2958465</v>
      </c>
      <c r="S206" s="7" t="s">
        <v>827</v>
      </c>
      <c r="T206" s="7" t="s">
        <v>828</v>
      </c>
      <c r="U206" s="7" t="str">
        <f t="shared" si="25"/>
        <v>CLK_CUST_CST_CUEM_V</v>
      </c>
      <c r="V206" s="7" t="s">
        <v>829</v>
      </c>
    </row>
    <row r="207" spans="1:22">
      <c r="A207" s="7" t="str">
        <f>TRIM(ETLMetadata!$B207)</f>
        <v>CLK</v>
      </c>
      <c r="B207" s="7" t="str">
        <f>TRIM(ETLMetadata!$C207)</f>
        <v>CUST_CST_CUEM</v>
      </c>
      <c r="C207" s="7" t="str">
        <f>TRIM(ETLMetadata!$F207)</f>
        <v>AMR3_RISL_DTS</v>
      </c>
      <c r="D207" s="7" t="str">
        <f>TRIM(ETLMetadata!$H207)</f>
        <v>StringType()</v>
      </c>
      <c r="E207" s="7" t="str">
        <f t="shared" si="24"/>
        <v>CLK_CUST_CST_CUEM</v>
      </c>
      <c r="F207" s="7" t="str">
        <f t="shared" si="26"/>
        <v>AMR3_RISL_DTS</v>
      </c>
      <c r="G207" s="7" t="s">
        <v>825</v>
      </c>
      <c r="H207" s="7" t="str">
        <f t="shared" si="27"/>
        <v>CLK_CUST_CST_CUEM</v>
      </c>
      <c r="I207" s="7" t="str">
        <f t="shared" si="28"/>
        <v>AMR3_RISL_DTS</v>
      </c>
      <c r="J207" s="7" t="str">
        <f t="shared" si="29"/>
        <v>TIMESTAMP</v>
      </c>
      <c r="K207" s="7" t="str">
        <f>TRIM(ETLMetadata!$G207)</f>
        <v>TIMESTAMP(6)</v>
      </c>
      <c r="L207" s="7" t="str">
        <f>TRIM(ETLMetadata!$I207)</f>
        <v>YYYY-MM-DDBHH:MI:SS.S(6)</v>
      </c>
      <c r="M207" s="7" t="str">
        <f t="shared" si="30"/>
        <v>TO_TIMESTAMP_NTZ(NULLIF(TRIM(AMR3_RISL_DTS),''),'YYYY-MM-DD HH24:MI:SS.FF6')</v>
      </c>
      <c r="N207" s="7" t="str">
        <f>TRIM(ETLMetadata!$J207)</f>
        <v/>
      </c>
      <c r="O207" s="8" t="str">
        <f>IF(TRIM(Classification!$G207)="","NOT CONFIDENTIAL",TRIM(Classification!$G207))</f>
        <v>NOT CONFIDENTIAL</v>
      </c>
      <c r="P207" s="7" t="str">
        <f t="shared" si="31"/>
        <v>Y</v>
      </c>
      <c r="Q207" s="7" t="s">
        <v>826</v>
      </c>
      <c r="R207" s="9">
        <v>2958465</v>
      </c>
      <c r="S207" s="7" t="s">
        <v>827</v>
      </c>
      <c r="T207" s="7" t="s">
        <v>828</v>
      </c>
      <c r="U207" s="7" t="str">
        <f t="shared" si="25"/>
        <v>CLK_CUST_CST_CUEM_V</v>
      </c>
      <c r="V207" s="7" t="s">
        <v>829</v>
      </c>
    </row>
    <row r="208" spans="1:22">
      <c r="A208" s="7" t="str">
        <f>TRIM(ETLMetadata!$B208)</f>
        <v>CLK</v>
      </c>
      <c r="B208" s="7" t="str">
        <f>TRIM(ETLMetadata!$C208)</f>
        <v>CUST_CST_CUEM</v>
      </c>
      <c r="C208" s="7" t="str">
        <f>TRIM(ETLMetadata!$F208)</f>
        <v>PARTY_ROLE_ID</v>
      </c>
      <c r="D208" s="7" t="str">
        <f>TRIM(ETLMetadata!$H208)</f>
        <v>StringType()</v>
      </c>
      <c r="E208" s="7" t="str">
        <f t="shared" si="24"/>
        <v>CLK_CUST_CST_CUEM</v>
      </c>
      <c r="F208" s="7" t="str">
        <f t="shared" si="26"/>
        <v>PARTY_ROLE_ID</v>
      </c>
      <c r="G208" s="7" t="s">
        <v>825</v>
      </c>
      <c r="H208" s="7" t="str">
        <f t="shared" si="27"/>
        <v>CLK_CUST_CST_CUEM</v>
      </c>
      <c r="I208" s="7" t="str">
        <f t="shared" si="28"/>
        <v>PARTY_ROLE_ID</v>
      </c>
      <c r="J208" s="7" t="str">
        <f t="shared" si="29"/>
        <v>INTEGER</v>
      </c>
      <c r="K208" s="7" t="str">
        <f>TRIM(ETLMetadata!$G208)</f>
        <v>INTEGER</v>
      </c>
      <c r="L208" s="7" t="str">
        <f>TRIM(ETLMetadata!$I208)</f>
        <v/>
      </c>
      <c r="M208" s="7" t="str">
        <f t="shared" si="30"/>
        <v>CAST(NULLIF(TRIM(PARTY_ROLE_ID),'') AS INTEGER)</v>
      </c>
      <c r="N208" s="7" t="str">
        <f>TRIM(ETLMetadata!$J208)</f>
        <v/>
      </c>
      <c r="O208" s="8" t="str">
        <f>IF(TRIM(Classification!$G208)="","NOT CONFIDENTIAL",TRIM(Classification!$G208))</f>
        <v>NOT CONFIDENTIAL</v>
      </c>
      <c r="P208" s="7" t="str">
        <f t="shared" si="31"/>
        <v>Y</v>
      </c>
      <c r="Q208" s="7" t="s">
        <v>826</v>
      </c>
      <c r="R208" s="9">
        <v>2958465</v>
      </c>
      <c r="S208" s="7" t="s">
        <v>827</v>
      </c>
      <c r="T208" s="7" t="s">
        <v>828</v>
      </c>
      <c r="U208" s="7" t="str">
        <f t="shared" si="25"/>
        <v>CLK_CUST_CST_CUEM_V</v>
      </c>
      <c r="V208" s="7" t="s">
        <v>829</v>
      </c>
    </row>
    <row r="209" spans="1:22">
      <c r="A209" s="7" t="str">
        <f>TRIM(ETLMetadata!$B209)</f>
        <v>CLK</v>
      </c>
      <c r="B209" s="7" t="str">
        <f>TRIM(ETLMetadata!$C209)</f>
        <v>CUST_CST_CUEM</v>
      </c>
      <c r="C209" s="7" t="str">
        <f>TRIM(ETLMetadata!$F209)</f>
        <v>ERROR_COUNT</v>
      </c>
      <c r="D209" s="7" t="str">
        <f>TRIM(ETLMetadata!$H209)</f>
        <v>StringType()</v>
      </c>
      <c r="E209" s="7" t="str">
        <f t="shared" si="24"/>
        <v>CLK_CUST_CST_CUEM</v>
      </c>
      <c r="F209" s="7" t="str">
        <f t="shared" si="26"/>
        <v>ERROR_COUNT</v>
      </c>
      <c r="G209" s="7" t="s">
        <v>825</v>
      </c>
      <c r="H209" s="7" t="str">
        <f t="shared" si="27"/>
        <v>CLK_CUST_CST_CUEM</v>
      </c>
      <c r="I209" s="7" t="str">
        <f t="shared" si="28"/>
        <v>ERROR_COUNT</v>
      </c>
      <c r="J209" s="7" t="str">
        <f t="shared" si="29"/>
        <v>SMALLINT</v>
      </c>
      <c r="K209" s="7" t="str">
        <f>TRIM(ETLMetadata!$G209)</f>
        <v>SMALLINT</v>
      </c>
      <c r="L209" s="7" t="str">
        <f>TRIM(ETLMetadata!$I209)</f>
        <v/>
      </c>
      <c r="M209" s="7" t="str">
        <f t="shared" si="30"/>
        <v>CAST(NULLIF(TRIM(ERROR_COUNT),'') AS SMALLINT)</v>
      </c>
      <c r="N209" s="7" t="str">
        <f>TRIM(ETLMetadata!$J209)</f>
        <v/>
      </c>
      <c r="O209" s="8" t="str">
        <f>IF(TRIM(Classification!$G209)="","NOT CONFIDENTIAL",TRIM(Classification!$G209))</f>
        <v>NOT CONFIDENTIAL</v>
      </c>
      <c r="P209" s="7" t="str">
        <f t="shared" si="31"/>
        <v>Y</v>
      </c>
      <c r="Q209" s="7" t="s">
        <v>826</v>
      </c>
      <c r="R209" s="9">
        <v>2958465</v>
      </c>
      <c r="S209" s="7" t="s">
        <v>827</v>
      </c>
      <c r="T209" s="7" t="s">
        <v>828</v>
      </c>
      <c r="U209" s="7" t="str">
        <f t="shared" si="25"/>
        <v>CLK_CUST_CST_CUEM_V</v>
      </c>
      <c r="V209" s="7" t="s">
        <v>829</v>
      </c>
    </row>
    <row r="210" spans="1:22">
      <c r="A210" s="7" t="str">
        <f>TRIM(ETLMetadata!$B210)</f>
        <v>CLK</v>
      </c>
      <c r="B210" s="7" t="str">
        <f>TRIM(ETLMetadata!$C210)</f>
        <v>CUST_CST_CUEM</v>
      </c>
      <c r="C210" s="7" t="str">
        <f>TRIM(ETLMetadata!$F210)</f>
        <v>Start_Date</v>
      </c>
      <c r="D210" s="7" t="str">
        <f>TRIM(ETLMetadata!$H210)</f>
        <v>StringType()</v>
      </c>
      <c r="E210" s="7" t="str">
        <f t="shared" si="24"/>
        <v>CLK_CUST_CST_CUEM</v>
      </c>
      <c r="F210" s="7" t="str">
        <f t="shared" si="26"/>
        <v>STRT_DT</v>
      </c>
      <c r="G210" s="7" t="s">
        <v>825</v>
      </c>
      <c r="H210" s="7" t="str">
        <f t="shared" si="27"/>
        <v>CLK_CUST_CST_CUEM</v>
      </c>
      <c r="I210" s="7" t="str">
        <f t="shared" si="28"/>
        <v>STRT_DT</v>
      </c>
      <c r="J210" s="7" t="str">
        <f t="shared" si="29"/>
        <v>DATE</v>
      </c>
      <c r="K210" s="7" t="str">
        <f>TRIM(ETLMetadata!$G210)</f>
        <v>DATE</v>
      </c>
      <c r="L210" s="7" t="str">
        <f>TRIM(ETLMetadata!$I210)</f>
        <v>YYYY-MM-DD</v>
      </c>
      <c r="M210" s="7" t="str">
        <f t="shared" si="30"/>
        <v>TO_DATE(NULLIF(TRIM(STRT_DT),'') , 'YYYY-MM-DD')</v>
      </c>
      <c r="N210" s="7" t="str">
        <f>TRIM(ETLMetadata!$J210)</f>
        <v/>
      </c>
      <c r="O210" s="8" t="str">
        <f>IF(TRIM(Classification!$G210)="","NOT CONFIDENTIAL",TRIM(Classification!$G210))</f>
        <v>NOT CONFIDENTIAL</v>
      </c>
      <c r="P210" s="7" t="str">
        <f t="shared" si="31"/>
        <v>N</v>
      </c>
      <c r="Q210" s="7" t="s">
        <v>826</v>
      </c>
      <c r="R210" s="9">
        <v>2958465</v>
      </c>
      <c r="S210" s="7" t="s">
        <v>827</v>
      </c>
      <c r="T210" s="7" t="s">
        <v>828</v>
      </c>
      <c r="U210" s="7" t="str">
        <f t="shared" si="25"/>
        <v>CLK_CUST_CST_CUEM_V</v>
      </c>
      <c r="V210" s="7" t="s">
        <v>829</v>
      </c>
    </row>
    <row r="211" spans="1:22">
      <c r="A211" s="7" t="str">
        <f>TRIM(ETLMetadata!$B211)</f>
        <v>CLK</v>
      </c>
      <c r="B211" s="7" t="str">
        <f>TRIM(ETLMetadata!$C211)</f>
        <v>CUST_CST_CUEM</v>
      </c>
      <c r="C211" s="7" t="str">
        <f>TRIM(ETLMetadata!$F211)</f>
        <v>End_Date</v>
      </c>
      <c r="D211" s="7" t="str">
        <f>TRIM(ETLMetadata!$H211)</f>
        <v>StringType()</v>
      </c>
      <c r="E211" s="7" t="str">
        <f t="shared" si="24"/>
        <v>CLK_CUST_CST_CUEM</v>
      </c>
      <c r="F211" s="7" t="str">
        <f t="shared" si="26"/>
        <v>END_DT</v>
      </c>
      <c r="G211" s="7" t="s">
        <v>825</v>
      </c>
      <c r="H211" s="7" t="str">
        <f t="shared" si="27"/>
        <v>CLK_CUST_CST_CUEM</v>
      </c>
      <c r="I211" s="7" t="str">
        <f t="shared" si="28"/>
        <v>END_DT</v>
      </c>
      <c r="J211" s="7" t="str">
        <f t="shared" si="29"/>
        <v>DATE</v>
      </c>
      <c r="K211" s="7" t="str">
        <f>TRIM(ETLMetadata!$G211)</f>
        <v>DATE</v>
      </c>
      <c r="L211" s="7" t="str">
        <f>TRIM(ETLMetadata!$I211)</f>
        <v>YYYY-MM-DD</v>
      </c>
      <c r="M211" s="7" t="str">
        <f t="shared" si="30"/>
        <v>TO_DATE(NULLIF(TRIM(END_DT),'') , 'YYYY-MM-DD')</v>
      </c>
      <c r="N211" s="7" t="str">
        <f>TRIM(ETLMetadata!$J211)</f>
        <v/>
      </c>
      <c r="O211" s="8" t="str">
        <f>IF(TRIM(Classification!$G211)="","NOT CONFIDENTIAL",TRIM(Classification!$G211))</f>
        <v>NOT CONFIDENTIAL</v>
      </c>
      <c r="P211" s="7" t="str">
        <f t="shared" si="31"/>
        <v>N</v>
      </c>
      <c r="Q211" s="7" t="s">
        <v>826</v>
      </c>
      <c r="R211" s="9">
        <v>2958465</v>
      </c>
      <c r="S211" s="7" t="s">
        <v>827</v>
      </c>
      <c r="T211" s="7" t="s">
        <v>828</v>
      </c>
      <c r="U211" s="7" t="str">
        <f t="shared" si="25"/>
        <v>CLK_CUST_CST_CUEM_V</v>
      </c>
      <c r="V211" s="7" t="s">
        <v>829</v>
      </c>
    </row>
    <row r="212" spans="1:22">
      <c r="A212" s="7" t="str">
        <f>TRIM(ETLMetadata!$B212)</f>
        <v>CLK</v>
      </c>
      <c r="B212" s="7" t="str">
        <f>TRIM(ETLMetadata!$C212)</f>
        <v>CUST_CST_CUEM</v>
      </c>
      <c r="C212" s="7" t="str">
        <f>TRIM(ETLMetadata!$F212)</f>
        <v>Record_Deleted_Flag</v>
      </c>
      <c r="D212" s="7" t="str">
        <f>TRIM(ETLMetadata!$H212)</f>
        <v>StringType()</v>
      </c>
      <c r="E212" s="7" t="str">
        <f t="shared" si="24"/>
        <v>CLK_CUST_CST_CUEM</v>
      </c>
      <c r="F212" s="7" t="str">
        <f t="shared" si="26"/>
        <v>RCRD_DEL_IND</v>
      </c>
      <c r="G212" s="7" t="s">
        <v>825</v>
      </c>
      <c r="H212" s="7" t="str">
        <f t="shared" si="27"/>
        <v>CLK_CUST_CST_CUEM</v>
      </c>
      <c r="I212" s="7" t="str">
        <f t="shared" si="28"/>
        <v>RCRD_DEL_IND</v>
      </c>
      <c r="J212" s="7" t="str">
        <f t="shared" si="29"/>
        <v>SMALLINT</v>
      </c>
      <c r="K212" s="7" t="str">
        <f>TRIM(ETLMetadata!$G212)</f>
        <v>BYTEINT</v>
      </c>
      <c r="L212" s="7" t="str">
        <f>TRIM(ETLMetadata!$I212)</f>
        <v/>
      </c>
      <c r="M212" s="7" t="str">
        <f t="shared" si="30"/>
        <v>CAST(NULLIF(TRIM(RCRD_DEL_IND),'') AS SMALLINT)</v>
      </c>
      <c r="N212" s="7" t="str">
        <f>TRIM(ETLMetadata!$J212)</f>
        <v/>
      </c>
      <c r="O212" s="8" t="str">
        <f>IF(TRIM(Classification!$G212)="","NOT CONFIDENTIAL",TRIM(Classification!$G212))</f>
        <v>NOT CONFIDENTIAL</v>
      </c>
      <c r="P212" s="7" t="str">
        <f t="shared" si="31"/>
        <v>N</v>
      </c>
      <c r="Q212" s="7" t="s">
        <v>826</v>
      </c>
      <c r="R212" s="9">
        <v>2958465</v>
      </c>
      <c r="S212" s="7" t="s">
        <v>827</v>
      </c>
      <c r="T212" s="7" t="s">
        <v>828</v>
      </c>
      <c r="U212" s="7" t="str">
        <f t="shared" si="25"/>
        <v>CLK_CUST_CST_CUEM_V</v>
      </c>
      <c r="V212" s="7" t="s">
        <v>829</v>
      </c>
    </row>
    <row r="213" spans="1:22">
      <c r="A213" s="7" t="str">
        <f>TRIM(ETLMetadata!$B213)</f>
        <v>CLK</v>
      </c>
      <c r="B213" s="7" t="str">
        <f>TRIM(ETLMetadata!$C213)</f>
        <v>CUST_CST_CUNM_RE</v>
      </c>
      <c r="C213" s="7" t="str">
        <f>TRIM(ETLMetadata!$F213)</f>
        <v>EXTRACT_DATE</v>
      </c>
      <c r="D213" s="7" t="str">
        <f>TRIM(ETLMetadata!$H213)</f>
        <v>StringType()</v>
      </c>
      <c r="E213" s="7" t="str">
        <f t="shared" si="24"/>
        <v>CLK_CUST_CST_CUNM_RE</v>
      </c>
      <c r="F213" s="7" t="str">
        <f t="shared" si="26"/>
        <v>EXTRACT_DATE</v>
      </c>
      <c r="G213" s="7" t="s">
        <v>825</v>
      </c>
      <c r="H213" s="7" t="str">
        <f t="shared" si="27"/>
        <v>CLK_CUST_CST_CUNM_RE</v>
      </c>
      <c r="I213" s="7" t="str">
        <f t="shared" si="28"/>
        <v>EXTRACT_DATE</v>
      </c>
      <c r="J213" s="7" t="str">
        <f t="shared" si="29"/>
        <v>DATE</v>
      </c>
      <c r="K213" s="7" t="str">
        <f>TRIM(ETLMetadata!$G213)</f>
        <v>DATE</v>
      </c>
      <c r="L213" s="7" t="str">
        <f>TRIM(ETLMetadata!$I213)</f>
        <v>YYYY-MM-DD</v>
      </c>
      <c r="M213" s="7" t="str">
        <f t="shared" si="30"/>
        <v>TO_DATE(NULLIF(TRIM(EXTRACT_DATE),'') , 'YYYY-MM-DD')</v>
      </c>
      <c r="N213" s="7" t="str">
        <f>TRIM(ETLMetadata!$J213)</f>
        <v/>
      </c>
      <c r="O213" s="8" t="str">
        <f>IF(TRIM(Classification!$G213)="","NOT CONFIDENTIAL",TRIM(Classification!$G213))</f>
        <v>NOT CONFIDENTIAL</v>
      </c>
      <c r="P213" s="7" t="str">
        <f t="shared" si="31"/>
        <v>Y</v>
      </c>
      <c r="Q213" s="7" t="s">
        <v>826</v>
      </c>
      <c r="R213" s="9">
        <v>2958465</v>
      </c>
      <c r="S213" s="7" t="s">
        <v>827</v>
      </c>
      <c r="T213" s="7" t="s">
        <v>828</v>
      </c>
      <c r="U213" s="7" t="str">
        <f t="shared" si="25"/>
        <v>CLK_CUST_CST_CUNM_RE_V</v>
      </c>
      <c r="V213" s="7" t="s">
        <v>829</v>
      </c>
    </row>
    <row r="214" spans="1:22">
      <c r="A214" s="7" t="str">
        <f>TRIM(ETLMetadata!$B214)</f>
        <v>CLK</v>
      </c>
      <c r="B214" s="7" t="str">
        <f>TRIM(ETLMetadata!$C214)</f>
        <v>CUST_CST_CUNM_RE</v>
      </c>
      <c r="C214" s="7" t="str">
        <f>TRIM(ETLMetadata!$F214)</f>
        <v>LOGICAL_DELETE_DATE</v>
      </c>
      <c r="D214" s="7" t="str">
        <f>TRIM(ETLMetadata!$H214)</f>
        <v>StringType()</v>
      </c>
      <c r="E214" s="7" t="str">
        <f t="shared" si="24"/>
        <v>CLK_CUST_CST_CUNM_RE</v>
      </c>
      <c r="F214" s="7" t="str">
        <f t="shared" si="26"/>
        <v>LOGICAL_DELETE_DATE</v>
      </c>
      <c r="G214" s="7" t="s">
        <v>825</v>
      </c>
      <c r="H214" s="7" t="str">
        <f t="shared" si="27"/>
        <v>CLK_CUST_CST_CUNM_RE</v>
      </c>
      <c r="I214" s="7" t="str">
        <f t="shared" si="28"/>
        <v>LOGICAL_DELETE_DATE</v>
      </c>
      <c r="J214" s="7" t="str">
        <f t="shared" si="29"/>
        <v>DATE</v>
      </c>
      <c r="K214" s="7" t="str">
        <f>TRIM(ETLMetadata!$G214)</f>
        <v>DATE</v>
      </c>
      <c r="L214" s="7" t="str">
        <f>TRIM(ETLMetadata!$I214)</f>
        <v>YYYY-MM-DD</v>
      </c>
      <c r="M214" s="7" t="str">
        <f t="shared" si="30"/>
        <v>TO_DATE(NULLIF(TRIM(LOGICAL_DELETE_DATE),'') , 'YYYY-MM-DD')</v>
      </c>
      <c r="N214" s="7" t="str">
        <f>TRIM(ETLMetadata!$J214)</f>
        <v/>
      </c>
      <c r="O214" s="8" t="str">
        <f>IF(TRIM(Classification!$G214)="","NOT CONFIDENTIAL",TRIM(Classification!$G214))</f>
        <v>NOT CONFIDENTIAL</v>
      </c>
      <c r="P214" s="7" t="str">
        <f t="shared" si="31"/>
        <v>Y</v>
      </c>
      <c r="Q214" s="7" t="s">
        <v>826</v>
      </c>
      <c r="R214" s="9">
        <v>2958465</v>
      </c>
      <c r="S214" s="7" t="s">
        <v>827</v>
      </c>
      <c r="T214" s="7" t="s">
        <v>828</v>
      </c>
      <c r="U214" s="7" t="str">
        <f t="shared" si="25"/>
        <v>CLK_CUST_CST_CUNM_RE_V</v>
      </c>
      <c r="V214" s="7" t="s">
        <v>829</v>
      </c>
    </row>
    <row r="215" spans="1:22">
      <c r="A215" s="7" t="str">
        <f>TRIM(ETLMetadata!$B215)</f>
        <v>CLK</v>
      </c>
      <c r="B215" s="7" t="str">
        <f>TRIM(ETLMetadata!$C215)</f>
        <v>CUST_CST_CUNM_RE</v>
      </c>
      <c r="C215" s="7" t="str">
        <f>TRIM(ETLMetadata!$F215)</f>
        <v>ENVIRONMENT_ID</v>
      </c>
      <c r="D215" s="7" t="str">
        <f>TRIM(ETLMetadata!$H215)</f>
        <v>StringType()</v>
      </c>
      <c r="E215" s="7" t="str">
        <f t="shared" si="24"/>
        <v>CLK_CUST_CST_CUNM_RE</v>
      </c>
      <c r="F215" s="7" t="str">
        <f t="shared" si="26"/>
        <v>ENVIRONMENT_ID</v>
      </c>
      <c r="G215" s="7" t="s">
        <v>825</v>
      </c>
      <c r="H215" s="7" t="str">
        <f t="shared" si="27"/>
        <v>CLK_CUST_CST_CUNM_RE</v>
      </c>
      <c r="I215" s="7" t="str">
        <f t="shared" si="28"/>
        <v>ENVIRONMENT_ID</v>
      </c>
      <c r="J215" s="7" t="str">
        <f t="shared" si="29"/>
        <v>VARCHAR</v>
      </c>
      <c r="K215" s="7" t="str">
        <f>TRIM(ETLMetadata!$G215)</f>
        <v>CHAR(1)</v>
      </c>
      <c r="L215" s="7" t="str">
        <f>TRIM(ETLMetadata!$I215)</f>
        <v/>
      </c>
      <c r="M215" s="7" t="str">
        <f t="shared" si="30"/>
        <v>NULLIF(TRIM(ENVIRONMENT_ID),'')</v>
      </c>
      <c r="N215" s="7" t="str">
        <f>TRIM(ETLMetadata!$J215)</f>
        <v>Y</v>
      </c>
      <c r="O215" s="8" t="str">
        <f>IF(TRIM(Classification!$G215)="","NOT CONFIDENTIAL",TRIM(Classification!$G215))</f>
        <v>NOT CONFIDENTIAL</v>
      </c>
      <c r="P215" s="7" t="str">
        <f t="shared" si="31"/>
        <v>Y</v>
      </c>
      <c r="Q215" s="7" t="s">
        <v>826</v>
      </c>
      <c r="R215" s="9">
        <v>2958465</v>
      </c>
      <c r="S215" s="7" t="s">
        <v>827</v>
      </c>
      <c r="T215" s="7" t="s">
        <v>828</v>
      </c>
      <c r="U215" s="7" t="str">
        <f t="shared" si="25"/>
        <v>CLK_CUST_CST_CUNM_RE_V</v>
      </c>
      <c r="V215" s="7" t="s">
        <v>829</v>
      </c>
    </row>
    <row r="216" spans="1:22">
      <c r="A216" s="7" t="str">
        <f>TRIM(ETLMetadata!$B216)</f>
        <v>CLK</v>
      </c>
      <c r="B216" s="7" t="str">
        <f>TRIM(ETLMetadata!$C216)</f>
        <v>CUST_CST_CUNM_RE</v>
      </c>
      <c r="C216" s="7" t="str">
        <f>TRIM(ETLMetadata!$F216)</f>
        <v>PERSON_ID</v>
      </c>
      <c r="D216" s="7" t="str">
        <f>TRIM(ETLMetadata!$H216)</f>
        <v>StringType()</v>
      </c>
      <c r="E216" s="7" t="str">
        <f t="shared" si="24"/>
        <v>CLK_CUST_CST_CUNM_RE</v>
      </c>
      <c r="F216" s="7" t="str">
        <f t="shared" si="26"/>
        <v>PERSON_ID</v>
      </c>
      <c r="G216" s="7" t="s">
        <v>825</v>
      </c>
      <c r="H216" s="7" t="str">
        <f t="shared" si="27"/>
        <v>CLK_CUST_CST_CUNM_RE</v>
      </c>
      <c r="I216" s="7" t="str">
        <f t="shared" si="28"/>
        <v>PERSON_ID</v>
      </c>
      <c r="J216" s="7" t="str">
        <f t="shared" si="29"/>
        <v>INTEGER</v>
      </c>
      <c r="K216" s="7" t="str">
        <f>TRIM(ETLMetadata!$G216)</f>
        <v>INTEGER</v>
      </c>
      <c r="L216" s="7" t="str">
        <f>TRIM(ETLMetadata!$I216)</f>
        <v/>
      </c>
      <c r="M216" s="7" t="str">
        <f t="shared" si="30"/>
        <v>CAST(NULLIF(TRIM(PERSON_ID),'') AS INTEGER)</v>
      </c>
      <c r="N216" s="7" t="str">
        <f>TRIM(ETLMetadata!$J216)</f>
        <v>Y</v>
      </c>
      <c r="O216" s="8" t="str">
        <f>IF(TRIM(Classification!$G216)="","NOT CONFIDENTIAL",TRIM(Classification!$G216))</f>
        <v>PERSONAL_IDENTITYINFOINDIRECT</v>
      </c>
      <c r="P216" s="7" t="str">
        <f t="shared" si="31"/>
        <v>Y</v>
      </c>
      <c r="Q216" s="7" t="s">
        <v>826</v>
      </c>
      <c r="R216" s="9">
        <v>2958465</v>
      </c>
      <c r="S216" s="7" t="s">
        <v>827</v>
      </c>
      <c r="T216" s="7" t="s">
        <v>828</v>
      </c>
      <c r="U216" s="7" t="str">
        <f t="shared" si="25"/>
        <v>CLK_CUST_CST_CUNM_RE_V</v>
      </c>
      <c r="V216" s="7" t="s">
        <v>829</v>
      </c>
    </row>
    <row r="217" spans="1:22">
      <c r="A217" s="7" t="str">
        <f>TRIM(ETLMetadata!$B217)</f>
        <v>CLK</v>
      </c>
      <c r="B217" s="7" t="str">
        <f>TRIM(ETLMetadata!$C217)</f>
        <v>CUST_CST_CUNM_RE</v>
      </c>
      <c r="C217" s="7" t="str">
        <f>TRIM(ETLMetadata!$F217)</f>
        <v>CUNM_DOV</v>
      </c>
      <c r="D217" s="7" t="str">
        <f>TRIM(ETLMetadata!$H217)</f>
        <v>StringType()</v>
      </c>
      <c r="E217" s="7" t="str">
        <f t="shared" si="24"/>
        <v>CLK_CUST_CST_CUNM_RE</v>
      </c>
      <c r="F217" s="7" t="str">
        <f t="shared" si="26"/>
        <v>CUNM_DOV</v>
      </c>
      <c r="G217" s="7" t="s">
        <v>825</v>
      </c>
      <c r="H217" s="7" t="str">
        <f t="shared" si="27"/>
        <v>CLK_CUST_CST_CUNM_RE</v>
      </c>
      <c r="I217" s="7" t="str">
        <f t="shared" si="28"/>
        <v>CUNM_DOV</v>
      </c>
      <c r="J217" s="7" t="str">
        <f t="shared" si="29"/>
        <v>DATE</v>
      </c>
      <c r="K217" s="17" t="s">
        <v>80</v>
      </c>
      <c r="L217" s="7" t="str">
        <f>TRIM(ETLMetadata!$I217)</f>
        <v>YYYY-MM-DD</v>
      </c>
      <c r="M217" s="7" t="str">
        <f t="shared" si="30"/>
        <v>TO_DATE(NULLIF(TRIM(CUNM_DOV),'') , 'YYYY-MM-DD')</v>
      </c>
      <c r="N217" s="7" t="str">
        <f>TRIM(ETLMetadata!$J217)</f>
        <v/>
      </c>
      <c r="O217" s="8" t="str">
        <f>IF(TRIM(Classification!$G217)="","NOT CONFIDENTIAL",TRIM(Classification!$G217))</f>
        <v>NOT CONFIDENTIAL</v>
      </c>
      <c r="P217" s="7" t="str">
        <f t="shared" si="31"/>
        <v>Y</v>
      </c>
      <c r="Q217" s="7" t="s">
        <v>826</v>
      </c>
      <c r="R217" s="9">
        <v>2958465</v>
      </c>
      <c r="S217" s="7" t="s">
        <v>827</v>
      </c>
      <c r="T217" s="7" t="s">
        <v>828</v>
      </c>
      <c r="U217" s="7" t="str">
        <f t="shared" si="25"/>
        <v>CLK_CUST_CST_CUNM_RE_V</v>
      </c>
      <c r="V217" s="7" t="s">
        <v>829</v>
      </c>
    </row>
    <row r="218" spans="1:22">
      <c r="A218" s="7" t="str">
        <f>TRIM(ETLMetadata!$B218)</f>
        <v>CLK</v>
      </c>
      <c r="B218" s="7" t="str">
        <f>TRIM(ETLMetadata!$C218)</f>
        <v>CUST_CST_CUNM_RE</v>
      </c>
      <c r="C218" s="7" t="str">
        <f>TRIM(ETLMetadata!$F218)</f>
        <v>CUNM_DOV_ORIG</v>
      </c>
      <c r="D218" s="7" t="str">
        <f>TRIM(ETLMetadata!$H218)</f>
        <v>StringType()</v>
      </c>
      <c r="E218" s="7" t="str">
        <f t="shared" si="24"/>
        <v>CLK_CUST_CST_CUNM_RE</v>
      </c>
      <c r="F218" s="7" t="str">
        <f t="shared" si="26"/>
        <v>CUNM_DOV_ORIG</v>
      </c>
      <c r="G218" s="7" t="s">
        <v>825</v>
      </c>
      <c r="H218" s="7" t="str">
        <f t="shared" si="27"/>
        <v>CLK_CUST_CST_CUNM_RE</v>
      </c>
      <c r="I218" s="7" t="str">
        <f t="shared" si="28"/>
        <v>CUNM_DOV_ORIG</v>
      </c>
      <c r="J218" s="7" t="str">
        <f t="shared" si="29"/>
        <v>INTEGER</v>
      </c>
      <c r="K218" s="17" t="s">
        <v>90</v>
      </c>
      <c r="L218" s="7" t="str">
        <f>TRIM(ETLMetadata!$I218)</f>
        <v/>
      </c>
      <c r="M218" s="7" t="str">
        <f t="shared" si="30"/>
        <v>CAST(NULLIF(TRIM(CUNM_DOV_ORIG),'') AS INTEGER)</v>
      </c>
      <c r="N218" s="7" t="str">
        <f>TRIM(ETLMetadata!$J218)</f>
        <v/>
      </c>
      <c r="O218" s="8" t="str">
        <f>IF(TRIM(Classification!$G218)="","NOT CONFIDENTIAL",TRIM(Classification!$G218))</f>
        <v>NOT CONFIDENTIAL</v>
      </c>
      <c r="P218" s="7" t="str">
        <f t="shared" si="31"/>
        <v>Y</v>
      </c>
      <c r="Q218" s="7" t="s">
        <v>826</v>
      </c>
      <c r="R218" s="9">
        <v>2958465</v>
      </c>
      <c r="S218" s="7" t="s">
        <v>827</v>
      </c>
      <c r="T218" s="7" t="s">
        <v>828</v>
      </c>
      <c r="U218" s="7" t="str">
        <f t="shared" si="25"/>
        <v>CLK_CUST_CST_CUNM_RE_V</v>
      </c>
      <c r="V218" s="7" t="s">
        <v>829</v>
      </c>
    </row>
    <row r="219" spans="1:22">
      <c r="A219" s="7" t="str">
        <f>TRIM(ETLMetadata!$B219)</f>
        <v>CLK</v>
      </c>
      <c r="B219" s="7" t="str">
        <f>TRIM(ETLMetadata!$C219)</f>
        <v>CUST_CST_CUNM_RE</v>
      </c>
      <c r="C219" s="7" t="str">
        <f>TRIM(ETLMetadata!$F219)</f>
        <v>CUNM_NAME_TYPE_CODE</v>
      </c>
      <c r="D219" s="7" t="str">
        <f>TRIM(ETLMetadata!$H219)</f>
        <v>StringType()</v>
      </c>
      <c r="E219" s="7" t="str">
        <f t="shared" si="24"/>
        <v>CLK_CUST_CST_CUNM_RE</v>
      </c>
      <c r="F219" s="7" t="str">
        <f t="shared" si="26"/>
        <v>CUNM_NAME_TYPE_CODE</v>
      </c>
      <c r="G219" s="7" t="s">
        <v>825</v>
      </c>
      <c r="H219" s="7" t="str">
        <f t="shared" si="27"/>
        <v>CLK_CUST_CST_CUNM_RE</v>
      </c>
      <c r="I219" s="7" t="str">
        <f t="shared" si="28"/>
        <v>CUNM_NAME_TYPE_CODE</v>
      </c>
      <c r="J219" s="7" t="str">
        <f t="shared" si="29"/>
        <v>VARCHAR</v>
      </c>
      <c r="K219" s="7" t="str">
        <f>TRIM(ETLMetadata!$G219)</f>
        <v>CHAR(3)</v>
      </c>
      <c r="L219" s="7" t="str">
        <f>TRIM(ETLMetadata!$I219)</f>
        <v/>
      </c>
      <c r="M219" s="7" t="str">
        <f t="shared" si="30"/>
        <v>NULLIF(TRIM(CUNM_NAME_TYPE_CODE),'')</v>
      </c>
      <c r="N219" s="7" t="str">
        <f>TRIM(ETLMetadata!$J219)</f>
        <v/>
      </c>
      <c r="O219" s="8" t="str">
        <f>IF(TRIM(Classification!$G219)="","NOT CONFIDENTIAL",TRIM(Classification!$G219))</f>
        <v>NOT CONFIDENTIAL</v>
      </c>
      <c r="P219" s="7" t="str">
        <f t="shared" si="31"/>
        <v>Y</v>
      </c>
      <c r="Q219" s="7" t="s">
        <v>826</v>
      </c>
      <c r="R219" s="9">
        <v>2958465</v>
      </c>
      <c r="S219" s="7" t="s">
        <v>827</v>
      </c>
      <c r="T219" s="7" t="s">
        <v>828</v>
      </c>
      <c r="U219" s="7" t="str">
        <f t="shared" si="25"/>
        <v>CLK_CUST_CST_CUNM_RE_V</v>
      </c>
      <c r="V219" s="7" t="s">
        <v>829</v>
      </c>
    </row>
    <row r="220" spans="1:22">
      <c r="A220" s="7" t="str">
        <f>TRIM(ETLMetadata!$B220)</f>
        <v>CLK</v>
      </c>
      <c r="B220" s="7" t="str">
        <f>TRIM(ETLMetadata!$C220)</f>
        <v>CUST_CST_CUNM_RE</v>
      </c>
      <c r="C220" s="7" t="str">
        <f>TRIM(ETLMetadata!$F220)</f>
        <v>PROCESSING_SEQUENCE</v>
      </c>
      <c r="D220" s="7" t="str">
        <f>TRIM(ETLMetadata!$H220)</f>
        <v>StringType()</v>
      </c>
      <c r="E220" s="7" t="str">
        <f t="shared" si="24"/>
        <v>CLK_CUST_CST_CUNM_RE</v>
      </c>
      <c r="F220" s="7" t="str">
        <f t="shared" si="26"/>
        <v>PROCESSING_SEQUENCE</v>
      </c>
      <c r="G220" s="7" t="s">
        <v>825</v>
      </c>
      <c r="H220" s="7" t="str">
        <f t="shared" si="27"/>
        <v>CLK_CUST_CST_CUNM_RE</v>
      </c>
      <c r="I220" s="7" t="str">
        <f t="shared" si="28"/>
        <v>PROCESSING_SEQUENCE</v>
      </c>
      <c r="J220" s="7" t="str">
        <f t="shared" si="29"/>
        <v>SMALLINT</v>
      </c>
      <c r="K220" s="7" t="str">
        <f>TRIM(ETLMetadata!$G220)</f>
        <v>SMALLINT</v>
      </c>
      <c r="L220" s="7" t="str">
        <f>TRIM(ETLMetadata!$I220)</f>
        <v/>
      </c>
      <c r="M220" s="7" t="str">
        <f t="shared" si="30"/>
        <v>CAST(NULLIF(TRIM(PROCESSING_SEQUENCE),'') AS SMALLINT)</v>
      </c>
      <c r="N220" s="7" t="str">
        <f>TRIM(ETLMetadata!$J220)</f>
        <v>Y</v>
      </c>
      <c r="O220" s="8" t="str">
        <f>IF(TRIM(Classification!$G220)="","NOT CONFIDENTIAL",TRIM(Classification!$G220))</f>
        <v>NOT CONFIDENTIAL</v>
      </c>
      <c r="P220" s="7" t="str">
        <f t="shared" si="31"/>
        <v>Y</v>
      </c>
      <c r="Q220" s="7" t="s">
        <v>826</v>
      </c>
      <c r="R220" s="9">
        <v>2958465</v>
      </c>
      <c r="S220" s="7" t="s">
        <v>827</v>
      </c>
      <c r="T220" s="7" t="s">
        <v>828</v>
      </c>
      <c r="U220" s="7" t="str">
        <f t="shared" si="25"/>
        <v>CLK_CUST_CST_CUNM_RE_V</v>
      </c>
      <c r="V220" s="7" t="s">
        <v>829</v>
      </c>
    </row>
    <row r="221" spans="1:22">
      <c r="A221" s="7" t="str">
        <f>TRIM(ETLMetadata!$B221)</f>
        <v>CLK</v>
      </c>
      <c r="B221" s="7" t="str">
        <f>TRIM(ETLMetadata!$C221)</f>
        <v>CUST_CST_CUNM_RE</v>
      </c>
      <c r="C221" s="7" t="str">
        <f>TRIM(ETLMetadata!$F221)</f>
        <v>CUNM_AMR_1</v>
      </c>
      <c r="D221" s="7" t="str">
        <f>TRIM(ETLMetadata!$H221)</f>
        <v>StringType()</v>
      </c>
      <c r="E221" s="7" t="str">
        <f t="shared" si="24"/>
        <v>CLK_CUST_CST_CUNM_RE</v>
      </c>
      <c r="F221" s="7" t="str">
        <f t="shared" si="26"/>
        <v>CUNM_AMR_1</v>
      </c>
      <c r="G221" s="7" t="s">
        <v>825</v>
      </c>
      <c r="H221" s="7" t="str">
        <f t="shared" si="27"/>
        <v>CLK_CUST_CST_CUNM_RE</v>
      </c>
      <c r="I221" s="7" t="str">
        <f t="shared" si="28"/>
        <v>CUNM_AMR_1</v>
      </c>
      <c r="J221" s="7" t="str">
        <f t="shared" si="29"/>
        <v>VARCHAR</v>
      </c>
      <c r="K221" s="7" t="str">
        <f>TRIM(ETLMetadata!$G221)</f>
        <v>CHAR(4)</v>
      </c>
      <c r="L221" s="7" t="str">
        <f>TRIM(ETLMetadata!$I221)</f>
        <v/>
      </c>
      <c r="M221" s="7" t="str">
        <f t="shared" si="30"/>
        <v>NULLIF(TRIM(CUNM_AMR_1),'')</v>
      </c>
      <c r="N221" s="7" t="str">
        <f>TRIM(ETLMetadata!$J221)</f>
        <v/>
      </c>
      <c r="O221" s="8" t="str">
        <f>IF(TRIM(Classification!$G221)="","NOT CONFIDENTIAL",TRIM(Classification!$G221))</f>
        <v>NOT CONFIDENTIAL</v>
      </c>
      <c r="P221" s="7" t="str">
        <f t="shared" si="31"/>
        <v>Y</v>
      </c>
      <c r="Q221" s="7" t="s">
        <v>826</v>
      </c>
      <c r="R221" s="9">
        <v>2958465</v>
      </c>
      <c r="S221" s="7" t="s">
        <v>827</v>
      </c>
      <c r="T221" s="7" t="s">
        <v>828</v>
      </c>
      <c r="U221" s="7" t="str">
        <f t="shared" si="25"/>
        <v>CLK_CUST_CST_CUNM_RE_V</v>
      </c>
      <c r="V221" s="7" t="s">
        <v>829</v>
      </c>
    </row>
    <row r="222" spans="1:22">
      <c r="A222" s="7" t="str">
        <f>TRIM(ETLMetadata!$B222)</f>
        <v>CLK</v>
      </c>
      <c r="B222" s="7" t="str">
        <f>TRIM(ETLMetadata!$C222)</f>
        <v>CUST_CST_CUNM_RE</v>
      </c>
      <c r="C222" s="7" t="str">
        <f>TRIM(ETLMetadata!$F222)</f>
        <v>CUNM_AMR_2</v>
      </c>
      <c r="D222" s="7" t="str">
        <f>TRIM(ETLMetadata!$H222)</f>
        <v>StringType()</v>
      </c>
      <c r="E222" s="7" t="str">
        <f t="shared" si="24"/>
        <v>CLK_CUST_CST_CUNM_RE</v>
      </c>
      <c r="F222" s="7" t="str">
        <f t="shared" si="26"/>
        <v>CUNM_AMR_2</v>
      </c>
      <c r="G222" s="7" t="s">
        <v>825</v>
      </c>
      <c r="H222" s="7" t="str">
        <f t="shared" si="27"/>
        <v>CLK_CUST_CST_CUNM_RE</v>
      </c>
      <c r="I222" s="7" t="str">
        <f t="shared" si="28"/>
        <v>CUNM_AMR_2</v>
      </c>
      <c r="J222" s="7" t="str">
        <f t="shared" si="29"/>
        <v>VARCHAR</v>
      </c>
      <c r="K222" s="7" t="str">
        <f>TRIM(ETLMetadata!$G222)</f>
        <v>CHAR(1)</v>
      </c>
      <c r="L222" s="7" t="str">
        <f>TRIM(ETLMetadata!$I222)</f>
        <v/>
      </c>
      <c r="M222" s="7" t="str">
        <f t="shared" si="30"/>
        <v>NULLIF(TRIM(CUNM_AMR_2),'')</v>
      </c>
      <c r="N222" s="7" t="str">
        <f>TRIM(ETLMetadata!$J222)</f>
        <v/>
      </c>
      <c r="O222" s="8" t="str">
        <f>IF(TRIM(Classification!$G222)="","NOT CONFIDENTIAL",TRIM(Classification!$G222))</f>
        <v>NOT CONFIDENTIAL</v>
      </c>
      <c r="P222" s="7" t="str">
        <f t="shared" si="31"/>
        <v>Y</v>
      </c>
      <c r="Q222" s="7" t="s">
        <v>826</v>
      </c>
      <c r="R222" s="9">
        <v>2958465</v>
      </c>
      <c r="S222" s="7" t="s">
        <v>827</v>
      </c>
      <c r="T222" s="7" t="s">
        <v>828</v>
      </c>
      <c r="U222" s="7" t="str">
        <f t="shared" si="25"/>
        <v>CLK_CUST_CST_CUNM_RE_V</v>
      </c>
      <c r="V222" s="7" t="s">
        <v>829</v>
      </c>
    </row>
    <row r="223" spans="1:22">
      <c r="A223" s="7" t="str">
        <f>TRIM(ETLMetadata!$B223)</f>
        <v>CLK</v>
      </c>
      <c r="B223" s="7" t="str">
        <f>TRIM(ETLMetadata!$C223)</f>
        <v>CUST_CST_CUNM_RE</v>
      </c>
      <c r="C223" s="7" t="str">
        <f>TRIM(ETLMetadata!$F223)</f>
        <v>CUNM_AMR_3</v>
      </c>
      <c r="D223" s="7" t="str">
        <f>TRIM(ETLMetadata!$H223)</f>
        <v>StringType()</v>
      </c>
      <c r="E223" s="7" t="str">
        <f t="shared" ref="E223:E286" si="32">CONCATENATE($A223,"_",B223)</f>
        <v>CLK_CUST_CST_CUNM_RE</v>
      </c>
      <c r="F223" s="7" t="str">
        <f t="shared" si="26"/>
        <v>CUNM_AMR_3</v>
      </c>
      <c r="G223" s="7" t="s">
        <v>825</v>
      </c>
      <c r="H223" s="7" t="str">
        <f t="shared" si="27"/>
        <v>CLK_CUST_CST_CUNM_RE</v>
      </c>
      <c r="I223" s="7" t="str">
        <f t="shared" si="28"/>
        <v>CUNM_AMR_3</v>
      </c>
      <c r="J223" s="7" t="str">
        <f t="shared" si="29"/>
        <v>VARCHAR</v>
      </c>
      <c r="K223" s="7" t="str">
        <f>TRIM(ETLMetadata!$G223)</f>
        <v>CHAR(4)</v>
      </c>
      <c r="L223" s="7" t="str">
        <f>TRIM(ETLMetadata!$I223)</f>
        <v/>
      </c>
      <c r="M223" s="7" t="str">
        <f t="shared" si="30"/>
        <v>NULLIF(TRIM(CUNM_AMR_3),'')</v>
      </c>
      <c r="N223" s="7" t="str">
        <f>TRIM(ETLMetadata!$J223)</f>
        <v/>
      </c>
      <c r="O223" s="8" t="str">
        <f>IF(TRIM(Classification!$G223)="","NOT CONFIDENTIAL",TRIM(Classification!$G223))</f>
        <v>NOT CONFIDENTIAL</v>
      </c>
      <c r="P223" s="7" t="str">
        <f t="shared" si="31"/>
        <v>Y</v>
      </c>
      <c r="Q223" s="7" t="s">
        <v>826</v>
      </c>
      <c r="R223" s="9">
        <v>2958465</v>
      </c>
      <c r="S223" s="7" t="s">
        <v>827</v>
      </c>
      <c r="T223" s="7" t="s">
        <v>828</v>
      </c>
      <c r="U223" s="7" t="str">
        <f t="shared" ref="U223:U286" si="33">CONCATENATE(A223,"_",B223,"_V")</f>
        <v>CLK_CUST_CST_CUNM_RE_V</v>
      </c>
      <c r="V223" s="7" t="s">
        <v>829</v>
      </c>
    </row>
    <row r="224" spans="1:22">
      <c r="A224" s="7" t="str">
        <f>TRIM(ETLMetadata!$B224)</f>
        <v>CLK</v>
      </c>
      <c r="B224" s="7" t="str">
        <f>TRIM(ETLMetadata!$C224)</f>
        <v>CUST_CST_CUNM_RE</v>
      </c>
      <c r="C224" s="7" t="str">
        <f>TRIM(ETLMetadata!$F224)</f>
        <v>CUNM_DOB</v>
      </c>
      <c r="D224" s="7" t="str">
        <f>TRIM(ETLMetadata!$H224)</f>
        <v>StringType()</v>
      </c>
      <c r="E224" s="7" t="str">
        <f t="shared" si="32"/>
        <v>CLK_CUST_CST_CUNM_RE</v>
      </c>
      <c r="F224" s="7" t="str">
        <f t="shared" si="26"/>
        <v>CUNM_DOB</v>
      </c>
      <c r="G224" s="7" t="s">
        <v>825</v>
      </c>
      <c r="H224" s="7" t="str">
        <f t="shared" si="27"/>
        <v>CLK_CUST_CST_CUNM_RE</v>
      </c>
      <c r="I224" s="7" t="str">
        <f t="shared" si="28"/>
        <v>CUNM_DOB</v>
      </c>
      <c r="J224" s="7" t="str">
        <f t="shared" si="29"/>
        <v>DATE</v>
      </c>
      <c r="K224" s="17" t="s">
        <v>80</v>
      </c>
      <c r="L224" s="7" t="str">
        <f>TRIM(ETLMetadata!$I224)</f>
        <v>YYYY-MM-DD</v>
      </c>
      <c r="M224" s="7" t="str">
        <f t="shared" si="30"/>
        <v>TO_DATE(NULLIF(TRIM(CUNM_DOB),'') , 'YYYY-MM-DD')</v>
      </c>
      <c r="N224" s="7" t="str">
        <f>TRIM(ETLMetadata!$J224)</f>
        <v/>
      </c>
      <c r="O224" s="8" t="str">
        <f>IF(TRIM(Classification!$G224)="","NOT CONFIDENTIAL",TRIM(Classification!$G224))</f>
        <v>PERSONAL_OTHERINFO</v>
      </c>
      <c r="P224" s="7" t="str">
        <f t="shared" si="31"/>
        <v>Y</v>
      </c>
      <c r="Q224" s="7" t="s">
        <v>826</v>
      </c>
      <c r="R224" s="9">
        <v>2958465</v>
      </c>
      <c r="S224" s="7" t="s">
        <v>827</v>
      </c>
      <c r="T224" s="7" t="s">
        <v>828</v>
      </c>
      <c r="U224" s="7" t="str">
        <f t="shared" si="33"/>
        <v>CLK_CUST_CST_CUNM_RE_V</v>
      </c>
      <c r="V224" s="7" t="s">
        <v>829</v>
      </c>
    </row>
    <row r="225" spans="1:22">
      <c r="A225" s="7" t="str">
        <f>TRIM(ETLMetadata!$B225)</f>
        <v>CLK</v>
      </c>
      <c r="B225" s="7" t="str">
        <f>TRIM(ETLMetadata!$C225)</f>
        <v>CUST_CST_CUNM_RE</v>
      </c>
      <c r="C225" s="7" t="str">
        <f>TRIM(ETLMetadata!$F225)</f>
        <v>CUNM_DOB_ORIG</v>
      </c>
      <c r="D225" s="7" t="str">
        <f>TRIM(ETLMetadata!$H225)</f>
        <v>StringType()</v>
      </c>
      <c r="E225" s="7" t="str">
        <f t="shared" si="32"/>
        <v>CLK_CUST_CST_CUNM_RE</v>
      </c>
      <c r="F225" s="7" t="str">
        <f t="shared" si="26"/>
        <v>CUNM_DOB_ORIG</v>
      </c>
      <c r="G225" s="7" t="s">
        <v>825</v>
      </c>
      <c r="H225" s="7" t="str">
        <f t="shared" si="27"/>
        <v>CLK_CUST_CST_CUNM_RE</v>
      </c>
      <c r="I225" s="7" t="str">
        <f t="shared" si="28"/>
        <v>CUNM_DOB_ORIG</v>
      </c>
      <c r="J225" s="7" t="str">
        <f t="shared" si="29"/>
        <v>INTEGER</v>
      </c>
      <c r="K225" s="17" t="s">
        <v>90</v>
      </c>
      <c r="L225" s="7" t="str">
        <f>TRIM(ETLMetadata!$I225)</f>
        <v/>
      </c>
      <c r="M225" s="7" t="str">
        <f t="shared" si="30"/>
        <v>CAST(NULLIF(TRIM(CUNM_DOB_ORIG),'') AS INTEGER)</v>
      </c>
      <c r="N225" s="7" t="str">
        <f>TRIM(ETLMetadata!$J225)</f>
        <v/>
      </c>
      <c r="O225" s="8" t="str">
        <f>IF(TRIM(Classification!$G225)="","NOT CONFIDENTIAL",TRIM(Classification!$G225))</f>
        <v>NOT CONFIDENTIAL</v>
      </c>
      <c r="P225" s="7" t="str">
        <f t="shared" si="31"/>
        <v>Y</v>
      </c>
      <c r="Q225" s="7" t="s">
        <v>826</v>
      </c>
      <c r="R225" s="9">
        <v>2958465</v>
      </c>
      <c r="S225" s="7" t="s">
        <v>827</v>
      </c>
      <c r="T225" s="7" t="s">
        <v>828</v>
      </c>
      <c r="U225" s="7" t="str">
        <f t="shared" si="33"/>
        <v>CLK_CUST_CST_CUNM_RE_V</v>
      </c>
      <c r="V225" s="7" t="s">
        <v>829</v>
      </c>
    </row>
    <row r="226" spans="1:22">
      <c r="A226" s="7" t="str">
        <f>TRIM(ETLMetadata!$B226)</f>
        <v>CLK</v>
      </c>
      <c r="B226" s="7" t="str">
        <f>TRIM(ETLMetadata!$C226)</f>
        <v>CUST_CST_CUNM_RE</v>
      </c>
      <c r="C226" s="7" t="str">
        <f>TRIM(ETLMetadata!$F226)</f>
        <v>CUNM_SEX_CODE</v>
      </c>
      <c r="D226" s="7" t="str">
        <f>TRIM(ETLMetadata!$H226)</f>
        <v>StringType()</v>
      </c>
      <c r="E226" s="7" t="str">
        <f t="shared" si="32"/>
        <v>CLK_CUST_CST_CUNM_RE</v>
      </c>
      <c r="F226" s="7" t="str">
        <f t="shared" si="26"/>
        <v>CUNM_SEX_CODE</v>
      </c>
      <c r="G226" s="7" t="s">
        <v>825</v>
      </c>
      <c r="H226" s="7" t="str">
        <f t="shared" si="27"/>
        <v>CLK_CUST_CST_CUNM_RE</v>
      </c>
      <c r="I226" s="7" t="str">
        <f t="shared" si="28"/>
        <v>CUNM_SEX_CODE</v>
      </c>
      <c r="J226" s="7" t="str">
        <f t="shared" si="29"/>
        <v>VARCHAR</v>
      </c>
      <c r="K226" s="7" t="str">
        <f>TRIM(ETLMetadata!$G226)</f>
        <v>CHAR(1)</v>
      </c>
      <c r="L226" s="7" t="str">
        <f>TRIM(ETLMetadata!$I226)</f>
        <v/>
      </c>
      <c r="M226" s="7" t="str">
        <f t="shared" si="30"/>
        <v>NULLIF(TRIM(CUNM_SEX_CODE),'')</v>
      </c>
      <c r="N226" s="7" t="str">
        <f>TRIM(ETLMetadata!$J226)</f>
        <v/>
      </c>
      <c r="O226" s="8" t="str">
        <f>IF(TRIM(Classification!$G226)="","NOT CONFIDENTIAL",TRIM(Classification!$G226))</f>
        <v>NOT CONFIDENTIAL</v>
      </c>
      <c r="P226" s="7" t="str">
        <f t="shared" si="31"/>
        <v>Y</v>
      </c>
      <c r="Q226" s="7" t="s">
        <v>826</v>
      </c>
      <c r="R226" s="9">
        <v>2958465</v>
      </c>
      <c r="S226" s="7" t="s">
        <v>827</v>
      </c>
      <c r="T226" s="7" t="s">
        <v>828</v>
      </c>
      <c r="U226" s="7" t="str">
        <f t="shared" si="33"/>
        <v>CLK_CUST_CST_CUNM_RE_V</v>
      </c>
      <c r="V226" s="7" t="s">
        <v>829</v>
      </c>
    </row>
    <row r="227" spans="1:22">
      <c r="A227" s="7" t="str">
        <f>TRIM(ETLMetadata!$B227)</f>
        <v>CLK</v>
      </c>
      <c r="B227" s="7" t="str">
        <f>TRIM(ETLMetadata!$C227)</f>
        <v>CUST_CST_CUNM_RE</v>
      </c>
      <c r="C227" s="7" t="str">
        <f>TRIM(ETLMetadata!$F227)</f>
        <v>CUNM_SUFFIX_TITLE</v>
      </c>
      <c r="D227" s="7" t="str">
        <f>TRIM(ETLMetadata!$H227)</f>
        <v>StringType()</v>
      </c>
      <c r="E227" s="7" t="str">
        <f t="shared" si="32"/>
        <v>CLK_CUST_CST_CUNM_RE</v>
      </c>
      <c r="F227" s="7" t="str">
        <f t="shared" si="26"/>
        <v>CUNM_SUFFIX_TITLE</v>
      </c>
      <c r="G227" s="7" t="s">
        <v>825</v>
      </c>
      <c r="H227" s="7" t="str">
        <f t="shared" si="27"/>
        <v>CLK_CUST_CST_CUNM_RE</v>
      </c>
      <c r="I227" s="7" t="str">
        <f t="shared" si="28"/>
        <v>CUNM_SUFFIX_TITLE</v>
      </c>
      <c r="J227" s="7" t="str">
        <f t="shared" si="29"/>
        <v>VARCHAR</v>
      </c>
      <c r="K227" s="7" t="str">
        <f>TRIM(ETLMetadata!$G227)</f>
        <v>VARCHAR(12)</v>
      </c>
      <c r="L227" s="7" t="str">
        <f>TRIM(ETLMetadata!$I227)</f>
        <v/>
      </c>
      <c r="M227" s="7" t="str">
        <f t="shared" si="30"/>
        <v>NULLIF(TRIM(CUNM_SUFFIX_TITLE),'')</v>
      </c>
      <c r="N227" s="7" t="str">
        <f>TRIM(ETLMetadata!$J227)</f>
        <v/>
      </c>
      <c r="O227" s="8" t="str">
        <f>IF(TRIM(Classification!$G227)="","NOT CONFIDENTIAL",TRIM(Classification!$G227))</f>
        <v>PERSONAL_IDENTITYINFODIRECT</v>
      </c>
      <c r="P227" s="7" t="str">
        <f t="shared" si="31"/>
        <v>Y</v>
      </c>
      <c r="Q227" s="7" t="s">
        <v>826</v>
      </c>
      <c r="R227" s="9">
        <v>2958465</v>
      </c>
      <c r="S227" s="7" t="s">
        <v>827</v>
      </c>
      <c r="T227" s="7" t="s">
        <v>828</v>
      </c>
      <c r="U227" s="7" t="str">
        <f t="shared" si="33"/>
        <v>CLK_CUST_CST_CUNM_RE_V</v>
      </c>
      <c r="V227" s="7" t="s">
        <v>829</v>
      </c>
    </row>
    <row r="228" spans="1:22">
      <c r="A228" s="7" t="str">
        <f>TRIM(ETLMetadata!$B228)</f>
        <v>CLK</v>
      </c>
      <c r="B228" s="7" t="str">
        <f>TRIM(ETLMetadata!$C228)</f>
        <v>CUST_CST_CUNM_RE</v>
      </c>
      <c r="C228" s="7" t="str">
        <f>TRIM(ETLMetadata!$F228)</f>
        <v>CUNM_SURNAME</v>
      </c>
      <c r="D228" s="7" t="str">
        <f>TRIM(ETLMetadata!$H228)</f>
        <v>StringType()</v>
      </c>
      <c r="E228" s="7" t="str">
        <f t="shared" si="32"/>
        <v>CLK_CUST_CST_CUNM_RE</v>
      </c>
      <c r="F228" s="7" t="str">
        <f t="shared" si="26"/>
        <v>CUNM_SURNAME</v>
      </c>
      <c r="G228" s="7" t="s">
        <v>825</v>
      </c>
      <c r="H228" s="7" t="str">
        <f t="shared" si="27"/>
        <v>CLK_CUST_CST_CUNM_RE</v>
      </c>
      <c r="I228" s="7" t="str">
        <f t="shared" si="28"/>
        <v>CUNM_SURNAME</v>
      </c>
      <c r="J228" s="7" t="str">
        <f t="shared" si="29"/>
        <v>VARCHAR</v>
      </c>
      <c r="K228" s="7" t="str">
        <f>TRIM(ETLMetadata!$G228)</f>
        <v>VARCHAR(30)</v>
      </c>
      <c r="L228" s="7" t="str">
        <f>TRIM(ETLMetadata!$I228)</f>
        <v/>
      </c>
      <c r="M228" s="7" t="str">
        <f t="shared" si="30"/>
        <v>NULLIF(TRIM(CUNM_SURNAME),'')</v>
      </c>
      <c r="N228" s="7" t="str">
        <f>TRIM(ETLMetadata!$J228)</f>
        <v/>
      </c>
      <c r="O228" s="8" t="str">
        <f>IF(TRIM(Classification!$G228)="","NOT CONFIDENTIAL",TRIM(Classification!$G228))</f>
        <v>PERSONAL_IDENTITYINFODIRECT</v>
      </c>
      <c r="P228" s="7" t="str">
        <f t="shared" si="31"/>
        <v>Y</v>
      </c>
      <c r="Q228" s="7" t="s">
        <v>826</v>
      </c>
      <c r="R228" s="9">
        <v>2958465</v>
      </c>
      <c r="S228" s="7" t="s">
        <v>827</v>
      </c>
      <c r="T228" s="7" t="s">
        <v>828</v>
      </c>
      <c r="U228" s="7" t="str">
        <f t="shared" si="33"/>
        <v>CLK_CUST_CST_CUNM_RE_V</v>
      </c>
      <c r="V228" s="7" t="s">
        <v>829</v>
      </c>
    </row>
    <row r="229" spans="1:22">
      <c r="A229" s="7" t="str">
        <f>TRIM(ETLMetadata!$B229)</f>
        <v>CLK</v>
      </c>
      <c r="B229" s="7" t="str">
        <f>TRIM(ETLMetadata!$C229)</f>
        <v>CUST_CST_CUNM_RE</v>
      </c>
      <c r="C229" s="7" t="str">
        <f>TRIM(ETLMetadata!$F229)</f>
        <v>CUNM_TITLE</v>
      </c>
      <c r="D229" s="7" t="str">
        <f>TRIM(ETLMetadata!$H229)</f>
        <v>StringType()</v>
      </c>
      <c r="E229" s="7" t="str">
        <f t="shared" si="32"/>
        <v>CLK_CUST_CST_CUNM_RE</v>
      </c>
      <c r="F229" s="7" t="str">
        <f t="shared" si="26"/>
        <v>CUNM_TITLE</v>
      </c>
      <c r="G229" s="7" t="s">
        <v>825</v>
      </c>
      <c r="H229" s="7" t="str">
        <f t="shared" si="27"/>
        <v>CLK_CUST_CST_CUNM_RE</v>
      </c>
      <c r="I229" s="7" t="str">
        <f t="shared" si="28"/>
        <v>CUNM_TITLE</v>
      </c>
      <c r="J229" s="7" t="str">
        <f t="shared" si="29"/>
        <v>VARCHAR</v>
      </c>
      <c r="K229" s="7" t="str">
        <f>TRIM(ETLMetadata!$G229)</f>
        <v>VARCHAR(12)</v>
      </c>
      <c r="L229" s="7" t="str">
        <f>TRIM(ETLMetadata!$I229)</f>
        <v/>
      </c>
      <c r="M229" s="7" t="str">
        <f t="shared" si="30"/>
        <v>NULLIF(TRIM(CUNM_TITLE),'')</v>
      </c>
      <c r="N229" s="7" t="str">
        <f>TRIM(ETLMetadata!$J229)</f>
        <v/>
      </c>
      <c r="O229" s="8" t="str">
        <f>IF(TRIM(Classification!$G229)="","NOT CONFIDENTIAL",TRIM(Classification!$G229))</f>
        <v>PERSONAL_IDENTITYINFODIRECT</v>
      </c>
      <c r="P229" s="7" t="str">
        <f t="shared" si="31"/>
        <v>Y</v>
      </c>
      <c r="Q229" s="7" t="s">
        <v>826</v>
      </c>
      <c r="R229" s="9">
        <v>2958465</v>
      </c>
      <c r="S229" s="7" t="s">
        <v>827</v>
      </c>
      <c r="T229" s="7" t="s">
        <v>828</v>
      </c>
      <c r="U229" s="7" t="str">
        <f t="shared" si="33"/>
        <v>CLK_CUST_CST_CUNM_RE_V</v>
      </c>
      <c r="V229" s="7" t="s">
        <v>829</v>
      </c>
    </row>
    <row r="230" spans="1:22">
      <c r="A230" s="7" t="str">
        <f>TRIM(ETLMetadata!$B230)</f>
        <v>CLK</v>
      </c>
      <c r="B230" s="7" t="str">
        <f>TRIM(ETLMetadata!$C230)</f>
        <v>CUST_CST_CUNM_RE</v>
      </c>
      <c r="C230" s="7" t="str">
        <f>TRIM(ETLMetadata!$F230)</f>
        <v>CUNM_1ST_NAME</v>
      </c>
      <c r="D230" s="7" t="str">
        <f>TRIM(ETLMetadata!$H230)</f>
        <v>StringType()</v>
      </c>
      <c r="E230" s="7" t="str">
        <f t="shared" si="32"/>
        <v>CLK_CUST_CST_CUNM_RE</v>
      </c>
      <c r="F230" s="7" t="str">
        <f t="shared" si="26"/>
        <v>CUNM_1ST_NAME</v>
      </c>
      <c r="G230" s="7" t="s">
        <v>825</v>
      </c>
      <c r="H230" s="7" t="str">
        <f t="shared" si="27"/>
        <v>CLK_CUST_CST_CUNM_RE</v>
      </c>
      <c r="I230" s="7" t="str">
        <f t="shared" si="28"/>
        <v>CUNM_1ST_NAME</v>
      </c>
      <c r="J230" s="7" t="str">
        <f t="shared" si="29"/>
        <v>VARCHAR</v>
      </c>
      <c r="K230" s="7" t="str">
        <f>TRIM(ETLMetadata!$G230)</f>
        <v>VARCHAR(30)</v>
      </c>
      <c r="L230" s="7" t="str">
        <f>TRIM(ETLMetadata!$I230)</f>
        <v/>
      </c>
      <c r="M230" s="7" t="str">
        <f t="shared" si="30"/>
        <v>NULLIF(TRIM(CUNM_1ST_NAME),'')</v>
      </c>
      <c r="N230" s="7" t="str">
        <f>TRIM(ETLMetadata!$J230)</f>
        <v/>
      </c>
      <c r="O230" s="8" t="str">
        <f>IF(TRIM(Classification!$G230)="","NOT CONFIDENTIAL",TRIM(Classification!$G230))</f>
        <v>PERSONAL_IDENTITYINFODIRECT</v>
      </c>
      <c r="P230" s="7" t="str">
        <f t="shared" si="31"/>
        <v>Y</v>
      </c>
      <c r="Q230" s="7" t="s">
        <v>826</v>
      </c>
      <c r="R230" s="9">
        <v>2958465</v>
      </c>
      <c r="S230" s="7" t="s">
        <v>827</v>
      </c>
      <c r="T230" s="7" t="s">
        <v>828</v>
      </c>
      <c r="U230" s="7" t="str">
        <f t="shared" si="33"/>
        <v>CLK_CUST_CST_CUNM_RE_V</v>
      </c>
      <c r="V230" s="7" t="s">
        <v>829</v>
      </c>
    </row>
    <row r="231" spans="1:22">
      <c r="A231" s="7" t="str">
        <f>TRIM(ETLMetadata!$B231)</f>
        <v>CLK</v>
      </c>
      <c r="B231" s="7" t="str">
        <f>TRIM(ETLMetadata!$C231)</f>
        <v>CUST_CST_CUNM_RE</v>
      </c>
      <c r="C231" s="7" t="str">
        <f>TRIM(ETLMetadata!$F231)</f>
        <v>CUNM_2ND_NAME</v>
      </c>
      <c r="D231" s="7" t="str">
        <f>TRIM(ETLMetadata!$H231)</f>
        <v>StringType()</v>
      </c>
      <c r="E231" s="7" t="str">
        <f t="shared" si="32"/>
        <v>CLK_CUST_CST_CUNM_RE</v>
      </c>
      <c r="F231" s="7" t="str">
        <f t="shared" si="26"/>
        <v>CUNM_2ND_NAME</v>
      </c>
      <c r="G231" s="7" t="s">
        <v>825</v>
      </c>
      <c r="H231" s="7" t="str">
        <f t="shared" si="27"/>
        <v>CLK_CUST_CST_CUNM_RE</v>
      </c>
      <c r="I231" s="7" t="str">
        <f t="shared" si="28"/>
        <v>CUNM_2ND_NAME</v>
      </c>
      <c r="J231" s="7" t="str">
        <f t="shared" si="29"/>
        <v>VARCHAR</v>
      </c>
      <c r="K231" s="7" t="str">
        <f>TRIM(ETLMetadata!$G231)</f>
        <v>VARCHAR(30)</v>
      </c>
      <c r="L231" s="7" t="str">
        <f>TRIM(ETLMetadata!$I231)</f>
        <v/>
      </c>
      <c r="M231" s="7" t="str">
        <f t="shared" si="30"/>
        <v>NULLIF(TRIM(CUNM_2ND_NAME),'')</v>
      </c>
      <c r="N231" s="7" t="str">
        <f>TRIM(ETLMetadata!$J231)</f>
        <v/>
      </c>
      <c r="O231" s="8" t="str">
        <f>IF(TRIM(Classification!$G231)="","NOT CONFIDENTIAL",TRIM(Classification!$G231))</f>
        <v>PERSONAL_IDENTITYINFODIRECT</v>
      </c>
      <c r="P231" s="7" t="str">
        <f t="shared" si="31"/>
        <v>Y</v>
      </c>
      <c r="Q231" s="7" t="s">
        <v>826</v>
      </c>
      <c r="R231" s="9">
        <v>2958465</v>
      </c>
      <c r="S231" s="7" t="s">
        <v>827</v>
      </c>
      <c r="T231" s="7" t="s">
        <v>828</v>
      </c>
      <c r="U231" s="7" t="str">
        <f t="shared" si="33"/>
        <v>CLK_CUST_CST_CUNM_RE_V</v>
      </c>
      <c r="V231" s="7" t="s">
        <v>829</v>
      </c>
    </row>
    <row r="232" spans="1:22">
      <c r="A232" s="7" t="str">
        <f>TRIM(ETLMetadata!$B232)</f>
        <v>CLK</v>
      </c>
      <c r="B232" s="7" t="str">
        <f>TRIM(ETLMetadata!$C232)</f>
        <v>CUST_CST_CUNM_RE</v>
      </c>
      <c r="C232" s="7" t="str">
        <f>TRIM(ETLMetadata!$F232)</f>
        <v>AMR1_RISL_DTS</v>
      </c>
      <c r="D232" s="7" t="str">
        <f>TRIM(ETLMetadata!$H232)</f>
        <v>StringType()</v>
      </c>
      <c r="E232" s="7" t="str">
        <f t="shared" si="32"/>
        <v>CLK_CUST_CST_CUNM_RE</v>
      </c>
      <c r="F232" s="7" t="str">
        <f t="shared" si="26"/>
        <v>AMR1_RISL_DTS</v>
      </c>
      <c r="G232" s="7" t="s">
        <v>825</v>
      </c>
      <c r="H232" s="7" t="str">
        <f t="shared" si="27"/>
        <v>CLK_CUST_CST_CUNM_RE</v>
      </c>
      <c r="I232" s="7" t="str">
        <f t="shared" si="28"/>
        <v>AMR1_RISL_DTS</v>
      </c>
      <c r="J232" s="7" t="str">
        <f t="shared" si="29"/>
        <v>TIMESTAMP</v>
      </c>
      <c r="K232" s="7" t="str">
        <f>TRIM(ETLMetadata!$G232)</f>
        <v>TIMESTAMP(6)</v>
      </c>
      <c r="L232" s="7" t="str">
        <f>TRIM(ETLMetadata!$I232)</f>
        <v>YYYY-MM-DDBHH:MI:SS.S(6)</v>
      </c>
      <c r="M232" s="7" t="str">
        <f t="shared" si="30"/>
        <v>TO_TIMESTAMP_NTZ(NULLIF(TRIM(AMR1_RISL_DTS),''),'YYYY-MM-DD HH24:MI:SS.FF6')</v>
      </c>
      <c r="N232" s="7" t="str">
        <f>TRIM(ETLMetadata!$J232)</f>
        <v/>
      </c>
      <c r="O232" s="8" t="str">
        <f>IF(TRIM(Classification!$G232)="","NOT CONFIDENTIAL",TRIM(Classification!$G232))</f>
        <v>NOT CONFIDENTIAL</v>
      </c>
      <c r="P232" s="7" t="str">
        <f t="shared" si="31"/>
        <v>Y</v>
      </c>
      <c r="Q232" s="7" t="s">
        <v>826</v>
      </c>
      <c r="R232" s="9">
        <v>2958465</v>
      </c>
      <c r="S232" s="7" t="s">
        <v>827</v>
      </c>
      <c r="T232" s="7" t="s">
        <v>828</v>
      </c>
      <c r="U232" s="7" t="str">
        <f t="shared" si="33"/>
        <v>CLK_CUST_CST_CUNM_RE_V</v>
      </c>
      <c r="V232" s="7" t="s">
        <v>829</v>
      </c>
    </row>
    <row r="233" spans="1:22">
      <c r="A233" s="7" t="str">
        <f>TRIM(ETLMetadata!$B233)</f>
        <v>CLK</v>
      </c>
      <c r="B233" s="7" t="str">
        <f>TRIM(ETLMetadata!$C233)</f>
        <v>CUST_CST_CUNM_RE</v>
      </c>
      <c r="C233" s="7" t="str">
        <f>TRIM(ETLMetadata!$F233)</f>
        <v>AMR3_RISL_DTS</v>
      </c>
      <c r="D233" s="7" t="str">
        <f>TRIM(ETLMetadata!$H233)</f>
        <v>StringType()</v>
      </c>
      <c r="E233" s="7" t="str">
        <f t="shared" si="32"/>
        <v>CLK_CUST_CST_CUNM_RE</v>
      </c>
      <c r="F233" s="7" t="str">
        <f t="shared" si="26"/>
        <v>AMR3_RISL_DTS</v>
      </c>
      <c r="G233" s="7" t="s">
        <v>825</v>
      </c>
      <c r="H233" s="7" t="str">
        <f t="shared" si="27"/>
        <v>CLK_CUST_CST_CUNM_RE</v>
      </c>
      <c r="I233" s="7" t="str">
        <f t="shared" si="28"/>
        <v>AMR3_RISL_DTS</v>
      </c>
      <c r="J233" s="7" t="str">
        <f t="shared" si="29"/>
        <v>TIMESTAMP</v>
      </c>
      <c r="K233" s="7" t="str">
        <f>TRIM(ETLMetadata!$G233)</f>
        <v>TIMESTAMP(6)</v>
      </c>
      <c r="L233" s="7" t="str">
        <f>TRIM(ETLMetadata!$I233)</f>
        <v>YYYY-MM-DDBHH:MI:SS.S(6)</v>
      </c>
      <c r="M233" s="7" t="str">
        <f t="shared" si="30"/>
        <v>TO_TIMESTAMP_NTZ(NULLIF(TRIM(AMR3_RISL_DTS),''),'YYYY-MM-DD HH24:MI:SS.FF6')</v>
      </c>
      <c r="N233" s="7" t="str">
        <f>TRIM(ETLMetadata!$J233)</f>
        <v/>
      </c>
      <c r="O233" s="8" t="str">
        <f>IF(TRIM(Classification!$G233)="","NOT CONFIDENTIAL",TRIM(Classification!$G233))</f>
        <v>NOT CONFIDENTIAL</v>
      </c>
      <c r="P233" s="7" t="str">
        <f t="shared" si="31"/>
        <v>Y</v>
      </c>
      <c r="Q233" s="7" t="s">
        <v>826</v>
      </c>
      <c r="R233" s="9">
        <v>2958465</v>
      </c>
      <c r="S233" s="7" t="s">
        <v>827</v>
      </c>
      <c r="T233" s="7" t="s">
        <v>828</v>
      </c>
      <c r="U233" s="7" t="str">
        <f t="shared" si="33"/>
        <v>CLK_CUST_CST_CUNM_RE_V</v>
      </c>
      <c r="V233" s="7" t="s">
        <v>829</v>
      </c>
    </row>
    <row r="234" spans="1:22">
      <c r="A234" s="7" t="str">
        <f>TRIM(ETLMetadata!$B234)</f>
        <v>CLK</v>
      </c>
      <c r="B234" s="7" t="str">
        <f>TRIM(ETLMetadata!$C234)</f>
        <v>CUST_CST_CUNM_RE</v>
      </c>
      <c r="C234" s="7" t="str">
        <f>TRIM(ETLMetadata!$F234)</f>
        <v>SLKEG</v>
      </c>
      <c r="D234" s="7" t="str">
        <f>TRIM(ETLMetadata!$H234)</f>
        <v>StringType()</v>
      </c>
      <c r="E234" s="7" t="str">
        <f t="shared" si="32"/>
        <v>CLK_CUST_CST_CUNM_RE</v>
      </c>
      <c r="F234" s="7" t="str">
        <f t="shared" si="26"/>
        <v>SLKEG</v>
      </c>
      <c r="G234" s="7" t="s">
        <v>825</v>
      </c>
      <c r="H234" s="7" t="str">
        <f t="shared" si="27"/>
        <v>CLK_CUST_CST_CUNM_RE</v>
      </c>
      <c r="I234" s="7" t="str">
        <f t="shared" si="28"/>
        <v>SLKEG</v>
      </c>
      <c r="J234" s="7" t="str">
        <f t="shared" si="29"/>
        <v>VARCHAR</v>
      </c>
      <c r="K234" s="7" t="str">
        <f>TRIM(ETLMetadata!$G234)</f>
        <v>CHAR(13)</v>
      </c>
      <c r="L234" s="7" t="str">
        <f>TRIM(ETLMetadata!$I234)</f>
        <v/>
      </c>
      <c r="M234" s="7" t="str">
        <f t="shared" si="30"/>
        <v>NULLIF(TRIM(SLKEG),'')</v>
      </c>
      <c r="N234" s="7" t="str">
        <f>TRIM(ETLMetadata!$J234)</f>
        <v/>
      </c>
      <c r="O234" s="8" t="str">
        <f>IF(TRIM(Classification!$G234)="","NOT CONFIDENTIAL",TRIM(Classification!$G234))</f>
        <v>NOT CONFIDENTIAL</v>
      </c>
      <c r="P234" s="7" t="str">
        <f t="shared" si="31"/>
        <v>Y</v>
      </c>
      <c r="Q234" s="7" t="s">
        <v>826</v>
      </c>
      <c r="R234" s="9">
        <v>2958465</v>
      </c>
      <c r="S234" s="7" t="s">
        <v>827</v>
      </c>
      <c r="T234" s="7" t="s">
        <v>828</v>
      </c>
      <c r="U234" s="7" t="str">
        <f t="shared" si="33"/>
        <v>CLK_CUST_CST_CUNM_RE_V</v>
      </c>
      <c r="V234" s="7" t="s">
        <v>829</v>
      </c>
    </row>
    <row r="235" spans="1:22">
      <c r="A235" s="7" t="str">
        <f>TRIM(ETLMetadata!$B235)</f>
        <v>CLK</v>
      </c>
      <c r="B235" s="7" t="str">
        <f>TRIM(ETLMetadata!$C235)</f>
        <v>CUST_CST_CUNM_RE</v>
      </c>
      <c r="C235" s="7" t="str">
        <f>TRIM(ETLMetadata!$F235)</f>
        <v>SLKGC</v>
      </c>
      <c r="D235" s="7" t="str">
        <f>TRIM(ETLMetadata!$H235)</f>
        <v>StringType()</v>
      </c>
      <c r="E235" s="7" t="str">
        <f t="shared" si="32"/>
        <v>CLK_CUST_CST_CUNM_RE</v>
      </c>
      <c r="F235" s="7" t="str">
        <f t="shared" si="26"/>
        <v>SLKGC</v>
      </c>
      <c r="G235" s="7" t="s">
        <v>825</v>
      </c>
      <c r="H235" s="7" t="str">
        <f t="shared" si="27"/>
        <v>CLK_CUST_CST_CUNM_RE</v>
      </c>
      <c r="I235" s="7" t="str">
        <f t="shared" si="28"/>
        <v>SLKGC</v>
      </c>
      <c r="J235" s="7" t="str">
        <f t="shared" si="29"/>
        <v>VARCHAR</v>
      </c>
      <c r="K235" s="7" t="str">
        <f>TRIM(ETLMetadata!$G235)</f>
        <v>CHAR(1)</v>
      </c>
      <c r="L235" s="7" t="str">
        <f>TRIM(ETLMetadata!$I235)</f>
        <v/>
      </c>
      <c r="M235" s="7" t="str">
        <f t="shared" si="30"/>
        <v>NULLIF(TRIM(SLKGC),'')</v>
      </c>
      <c r="N235" s="7" t="str">
        <f>TRIM(ETLMetadata!$J235)</f>
        <v/>
      </c>
      <c r="O235" s="8" t="str">
        <f>IF(TRIM(Classification!$G235)="","NOT CONFIDENTIAL",TRIM(Classification!$G235))</f>
        <v>NOT CONFIDENTIAL</v>
      </c>
      <c r="P235" s="7" t="str">
        <f t="shared" si="31"/>
        <v>Y</v>
      </c>
      <c r="Q235" s="7" t="s">
        <v>826</v>
      </c>
      <c r="R235" s="9">
        <v>2958465</v>
      </c>
      <c r="S235" s="7" t="s">
        <v>827</v>
      </c>
      <c r="T235" s="7" t="s">
        <v>828</v>
      </c>
      <c r="U235" s="7" t="str">
        <f t="shared" si="33"/>
        <v>CLK_CUST_CST_CUNM_RE_V</v>
      </c>
      <c r="V235" s="7" t="s">
        <v>829</v>
      </c>
    </row>
    <row r="236" spans="1:22">
      <c r="A236" s="7" t="str">
        <f>TRIM(ETLMetadata!$B236)</f>
        <v>CLK</v>
      </c>
      <c r="B236" s="7" t="str">
        <f>TRIM(ETLMetadata!$C236)</f>
        <v>CUST_CST_CUNM_RE</v>
      </c>
      <c r="C236" s="7" t="str">
        <f>TRIM(ETLMetadata!$F236)</f>
        <v>PARTY_ROLE_ID</v>
      </c>
      <c r="D236" s="7" t="str">
        <f>TRIM(ETLMetadata!$H236)</f>
        <v>StringType()</v>
      </c>
      <c r="E236" s="7" t="str">
        <f t="shared" si="32"/>
        <v>CLK_CUST_CST_CUNM_RE</v>
      </c>
      <c r="F236" s="7" t="str">
        <f t="shared" si="26"/>
        <v>PARTY_ROLE_ID</v>
      </c>
      <c r="G236" s="7" t="s">
        <v>825</v>
      </c>
      <c r="H236" s="7" t="str">
        <f t="shared" si="27"/>
        <v>CLK_CUST_CST_CUNM_RE</v>
      </c>
      <c r="I236" s="7" t="str">
        <f t="shared" si="28"/>
        <v>PARTY_ROLE_ID</v>
      </c>
      <c r="J236" s="7" t="str">
        <f t="shared" si="29"/>
        <v>INTEGER</v>
      </c>
      <c r="K236" s="7" t="str">
        <f>TRIM(ETLMetadata!$G236)</f>
        <v>INTEGER</v>
      </c>
      <c r="L236" s="7" t="str">
        <f>TRIM(ETLMetadata!$I236)</f>
        <v/>
      </c>
      <c r="M236" s="7" t="str">
        <f t="shared" si="30"/>
        <v>CAST(NULLIF(TRIM(PARTY_ROLE_ID),'') AS INTEGER)</v>
      </c>
      <c r="N236" s="7" t="str">
        <f>TRIM(ETLMetadata!$J236)</f>
        <v/>
      </c>
      <c r="O236" s="8" t="str">
        <f>IF(TRIM(Classification!$G236)="","NOT CONFIDENTIAL",TRIM(Classification!$G236))</f>
        <v>NOT CONFIDENTIAL</v>
      </c>
      <c r="P236" s="7" t="str">
        <f t="shared" si="31"/>
        <v>Y</v>
      </c>
      <c r="Q236" s="7" t="s">
        <v>826</v>
      </c>
      <c r="R236" s="9">
        <v>2958465</v>
      </c>
      <c r="S236" s="7" t="s">
        <v>827</v>
      </c>
      <c r="T236" s="7" t="s">
        <v>828</v>
      </c>
      <c r="U236" s="7" t="str">
        <f t="shared" si="33"/>
        <v>CLK_CUST_CST_CUNM_RE_V</v>
      </c>
      <c r="V236" s="7" t="s">
        <v>829</v>
      </c>
    </row>
    <row r="237" spans="1:22">
      <c r="A237" s="7" t="str">
        <f>TRIM(ETLMetadata!$B237)</f>
        <v>CLK</v>
      </c>
      <c r="B237" s="7" t="str">
        <f>TRIM(ETLMetadata!$C237)</f>
        <v>CUST_CST_CUNM_RE</v>
      </c>
      <c r="C237" s="7" t="str">
        <f>TRIM(ETLMetadata!$F237)</f>
        <v>PARTY_ID</v>
      </c>
      <c r="D237" s="7" t="str">
        <f>TRIM(ETLMetadata!$H237)</f>
        <v>StringType()</v>
      </c>
      <c r="E237" s="7" t="str">
        <f t="shared" si="32"/>
        <v>CLK_CUST_CST_CUNM_RE</v>
      </c>
      <c r="F237" s="7" t="str">
        <f t="shared" si="26"/>
        <v>PARTY_ID</v>
      </c>
      <c r="G237" s="7" t="s">
        <v>825</v>
      </c>
      <c r="H237" s="7" t="str">
        <f t="shared" si="27"/>
        <v>CLK_CUST_CST_CUNM_RE</v>
      </c>
      <c r="I237" s="7" t="str">
        <f t="shared" si="28"/>
        <v>PARTY_ID</v>
      </c>
      <c r="J237" s="7" t="str">
        <f t="shared" si="29"/>
        <v>INTEGER</v>
      </c>
      <c r="K237" s="7" t="str">
        <f>TRIM(ETLMetadata!$G237)</f>
        <v>INTEGER</v>
      </c>
      <c r="L237" s="7" t="str">
        <f>TRIM(ETLMetadata!$I237)</f>
        <v/>
      </c>
      <c r="M237" s="7" t="str">
        <f t="shared" si="30"/>
        <v>CAST(NULLIF(TRIM(PARTY_ID),'') AS INTEGER)</v>
      </c>
      <c r="N237" s="7" t="str">
        <f>TRIM(ETLMetadata!$J237)</f>
        <v/>
      </c>
      <c r="O237" s="8" t="str">
        <f>IF(TRIM(Classification!$G237)="","NOT CONFIDENTIAL",TRIM(Classification!$G237))</f>
        <v>NOT CONFIDENTIAL</v>
      </c>
      <c r="P237" s="7" t="str">
        <f t="shared" si="31"/>
        <v>Y</v>
      </c>
      <c r="Q237" s="7" t="s">
        <v>826</v>
      </c>
      <c r="R237" s="9">
        <v>2958465</v>
      </c>
      <c r="S237" s="7" t="s">
        <v>827</v>
      </c>
      <c r="T237" s="7" t="s">
        <v>828</v>
      </c>
      <c r="U237" s="7" t="str">
        <f t="shared" si="33"/>
        <v>CLK_CUST_CST_CUNM_RE_V</v>
      </c>
      <c r="V237" s="7" t="s">
        <v>829</v>
      </c>
    </row>
    <row r="238" spans="1:22">
      <c r="A238" s="7" t="str">
        <f>TRIM(ETLMetadata!$B238)</f>
        <v>CLK</v>
      </c>
      <c r="B238" s="7" t="str">
        <f>TRIM(ETLMetadata!$C238)</f>
        <v>CUST_CST_CUNM_RE</v>
      </c>
      <c r="C238" s="7" t="str">
        <f>TRIM(ETLMetadata!$F238)</f>
        <v>ERROR_COUNT</v>
      </c>
      <c r="D238" s="7" t="str">
        <f>TRIM(ETLMetadata!$H238)</f>
        <v>StringType()</v>
      </c>
      <c r="E238" s="7" t="str">
        <f t="shared" si="32"/>
        <v>CLK_CUST_CST_CUNM_RE</v>
      </c>
      <c r="F238" s="7" t="str">
        <f t="shared" si="26"/>
        <v>ERROR_COUNT</v>
      </c>
      <c r="G238" s="7" t="s">
        <v>825</v>
      </c>
      <c r="H238" s="7" t="str">
        <f t="shared" si="27"/>
        <v>CLK_CUST_CST_CUNM_RE</v>
      </c>
      <c r="I238" s="7" t="str">
        <f t="shared" si="28"/>
        <v>ERROR_COUNT</v>
      </c>
      <c r="J238" s="7" t="str">
        <f t="shared" si="29"/>
        <v>SMALLINT</v>
      </c>
      <c r="K238" s="7" t="str">
        <f>TRIM(ETLMetadata!$G238)</f>
        <v>SMALLINT</v>
      </c>
      <c r="L238" s="7" t="str">
        <f>TRIM(ETLMetadata!$I238)</f>
        <v/>
      </c>
      <c r="M238" s="7" t="str">
        <f t="shared" si="30"/>
        <v>CAST(NULLIF(TRIM(ERROR_COUNT),'') AS SMALLINT)</v>
      </c>
      <c r="N238" s="7" t="str">
        <f>TRIM(ETLMetadata!$J238)</f>
        <v/>
      </c>
      <c r="O238" s="8" t="str">
        <f>IF(TRIM(Classification!$G238)="","NOT CONFIDENTIAL",TRIM(Classification!$G238))</f>
        <v>NOT CONFIDENTIAL</v>
      </c>
      <c r="P238" s="7" t="str">
        <f t="shared" si="31"/>
        <v>Y</v>
      </c>
      <c r="Q238" s="7" t="s">
        <v>826</v>
      </c>
      <c r="R238" s="9">
        <v>2958465</v>
      </c>
      <c r="S238" s="7" t="s">
        <v>827</v>
      </c>
      <c r="T238" s="7" t="s">
        <v>828</v>
      </c>
      <c r="U238" s="7" t="str">
        <f t="shared" si="33"/>
        <v>CLK_CUST_CST_CUNM_RE_V</v>
      </c>
      <c r="V238" s="7" t="s">
        <v>829</v>
      </c>
    </row>
    <row r="239" spans="1:22">
      <c r="A239" s="7" t="str">
        <f>TRIM(ETLMetadata!$B239)</f>
        <v>CLK</v>
      </c>
      <c r="B239" s="7" t="str">
        <f>TRIM(ETLMetadata!$C239)</f>
        <v>CUST_CST_CUNM_RE</v>
      </c>
      <c r="C239" s="7" t="str">
        <f>TRIM(ETLMetadata!$F239)</f>
        <v>Start_Date</v>
      </c>
      <c r="D239" s="7" t="str">
        <f>TRIM(ETLMetadata!$H239)</f>
        <v>StringType()</v>
      </c>
      <c r="E239" s="7" t="str">
        <f t="shared" si="32"/>
        <v>CLK_CUST_CST_CUNM_RE</v>
      </c>
      <c r="F239" s="7" t="str">
        <f t="shared" si="26"/>
        <v>STRT_DT</v>
      </c>
      <c r="G239" s="7" t="s">
        <v>825</v>
      </c>
      <c r="H239" s="7" t="str">
        <f t="shared" si="27"/>
        <v>CLK_CUST_CST_CUNM_RE</v>
      </c>
      <c r="I239" s="7" t="str">
        <f t="shared" si="28"/>
        <v>STRT_DT</v>
      </c>
      <c r="J239" s="7" t="str">
        <f t="shared" si="29"/>
        <v>DATE</v>
      </c>
      <c r="K239" s="7" t="str">
        <f>TRIM(ETLMetadata!$G239)</f>
        <v>DATE</v>
      </c>
      <c r="L239" s="7" t="str">
        <f>TRIM(ETLMetadata!$I239)</f>
        <v>YYYY-MM-DD</v>
      </c>
      <c r="M239" s="7" t="str">
        <f t="shared" si="30"/>
        <v>TO_DATE(NULLIF(TRIM(STRT_DT),'') , 'YYYY-MM-DD')</v>
      </c>
      <c r="N239" s="7" t="str">
        <f>TRIM(ETLMetadata!$J239)</f>
        <v/>
      </c>
      <c r="O239" s="8" t="str">
        <f>IF(TRIM(Classification!$G239)="","NOT CONFIDENTIAL",TRIM(Classification!$G239))</f>
        <v>NOT CONFIDENTIAL</v>
      </c>
      <c r="P239" s="7" t="str">
        <f t="shared" si="31"/>
        <v>N</v>
      </c>
      <c r="Q239" s="7" t="s">
        <v>826</v>
      </c>
      <c r="R239" s="9">
        <v>2958465</v>
      </c>
      <c r="S239" s="7" t="s">
        <v>827</v>
      </c>
      <c r="T239" s="7" t="s">
        <v>828</v>
      </c>
      <c r="U239" s="7" t="str">
        <f t="shared" si="33"/>
        <v>CLK_CUST_CST_CUNM_RE_V</v>
      </c>
      <c r="V239" s="7" t="s">
        <v>829</v>
      </c>
    </row>
    <row r="240" spans="1:22">
      <c r="A240" s="7" t="str">
        <f>TRIM(ETLMetadata!$B240)</f>
        <v>CLK</v>
      </c>
      <c r="B240" s="7" t="str">
        <f>TRIM(ETLMetadata!$C240)</f>
        <v>CUST_CST_CUNM_RE</v>
      </c>
      <c r="C240" s="7" t="str">
        <f>TRIM(ETLMetadata!$F240)</f>
        <v>End_Date</v>
      </c>
      <c r="D240" s="7" t="str">
        <f>TRIM(ETLMetadata!$H240)</f>
        <v>StringType()</v>
      </c>
      <c r="E240" s="7" t="str">
        <f t="shared" si="32"/>
        <v>CLK_CUST_CST_CUNM_RE</v>
      </c>
      <c r="F240" s="7" t="str">
        <f t="shared" si="26"/>
        <v>END_DT</v>
      </c>
      <c r="G240" s="7" t="s">
        <v>825</v>
      </c>
      <c r="H240" s="7" t="str">
        <f t="shared" si="27"/>
        <v>CLK_CUST_CST_CUNM_RE</v>
      </c>
      <c r="I240" s="7" t="str">
        <f t="shared" si="28"/>
        <v>END_DT</v>
      </c>
      <c r="J240" s="7" t="str">
        <f t="shared" si="29"/>
        <v>DATE</v>
      </c>
      <c r="K240" s="7" t="str">
        <f>TRIM(ETLMetadata!$G240)</f>
        <v>DATE</v>
      </c>
      <c r="L240" s="7" t="str">
        <f>TRIM(ETLMetadata!$I240)</f>
        <v>YYYY-MM-DD</v>
      </c>
      <c r="M240" s="7" t="str">
        <f t="shared" si="30"/>
        <v>TO_DATE(NULLIF(TRIM(END_DT),'') , 'YYYY-MM-DD')</v>
      </c>
      <c r="N240" s="7" t="str">
        <f>TRIM(ETLMetadata!$J240)</f>
        <v/>
      </c>
      <c r="O240" s="8" t="str">
        <f>IF(TRIM(Classification!$G240)="","NOT CONFIDENTIAL",TRIM(Classification!$G240))</f>
        <v>NOT CONFIDENTIAL</v>
      </c>
      <c r="P240" s="7" t="str">
        <f t="shared" si="31"/>
        <v>N</v>
      </c>
      <c r="Q240" s="7" t="s">
        <v>826</v>
      </c>
      <c r="R240" s="9">
        <v>2958465</v>
      </c>
      <c r="S240" s="7" t="s">
        <v>827</v>
      </c>
      <c r="T240" s="7" t="s">
        <v>828</v>
      </c>
      <c r="U240" s="7" t="str">
        <f t="shared" si="33"/>
        <v>CLK_CUST_CST_CUNM_RE_V</v>
      </c>
      <c r="V240" s="7" t="s">
        <v>829</v>
      </c>
    </row>
    <row r="241" spans="1:22">
      <c r="A241" s="7" t="str">
        <f>TRIM(ETLMetadata!$B241)</f>
        <v>CLK</v>
      </c>
      <c r="B241" s="7" t="str">
        <f>TRIM(ETLMetadata!$C241)</f>
        <v>CUST_CST_CUNM_RE</v>
      </c>
      <c r="C241" s="7" t="str">
        <f>TRIM(ETLMetadata!$F241)</f>
        <v>Record_Deleted_Flag</v>
      </c>
      <c r="D241" s="7" t="str">
        <f>TRIM(ETLMetadata!$H241)</f>
        <v>StringType()</v>
      </c>
      <c r="E241" s="7" t="str">
        <f t="shared" si="32"/>
        <v>CLK_CUST_CST_CUNM_RE</v>
      </c>
      <c r="F241" s="7" t="str">
        <f t="shared" si="26"/>
        <v>RCRD_DEL_IND</v>
      </c>
      <c r="G241" s="7" t="s">
        <v>825</v>
      </c>
      <c r="H241" s="7" t="str">
        <f t="shared" si="27"/>
        <v>CLK_CUST_CST_CUNM_RE</v>
      </c>
      <c r="I241" s="7" t="str">
        <f t="shared" si="28"/>
        <v>RCRD_DEL_IND</v>
      </c>
      <c r="J241" s="7" t="str">
        <f t="shared" si="29"/>
        <v>SMALLINT</v>
      </c>
      <c r="K241" s="7" t="str">
        <f>TRIM(ETLMetadata!$G241)</f>
        <v>BYTEINT</v>
      </c>
      <c r="L241" s="7" t="str">
        <f>TRIM(ETLMetadata!$I241)</f>
        <v/>
      </c>
      <c r="M241" s="7" t="str">
        <f t="shared" si="30"/>
        <v>CAST(NULLIF(TRIM(RCRD_DEL_IND),'') AS SMALLINT)</v>
      </c>
      <c r="N241" s="7" t="str">
        <f>TRIM(ETLMetadata!$J241)</f>
        <v/>
      </c>
      <c r="O241" s="8" t="str">
        <f>IF(TRIM(Classification!$G241)="","NOT CONFIDENTIAL",TRIM(Classification!$G241))</f>
        <v>NOT CONFIDENTIAL</v>
      </c>
      <c r="P241" s="7" t="str">
        <f t="shared" si="31"/>
        <v>N</v>
      </c>
      <c r="Q241" s="7" t="s">
        <v>826</v>
      </c>
      <c r="R241" s="9">
        <v>2958465</v>
      </c>
      <c r="S241" s="7" t="s">
        <v>827</v>
      </c>
      <c r="T241" s="7" t="s">
        <v>828</v>
      </c>
      <c r="U241" s="7" t="str">
        <f t="shared" si="33"/>
        <v>CLK_CUST_CST_CUNM_RE_V</v>
      </c>
      <c r="V241" s="7" t="s">
        <v>829</v>
      </c>
    </row>
    <row r="242" spans="1:22">
      <c r="A242" s="7" t="str">
        <f>TRIM(ETLMetadata!$B242)</f>
        <v>CLK</v>
      </c>
      <c r="B242" s="7" t="str">
        <f>TRIM(ETLMetadata!$C242)</f>
        <v>CUST_CST_CUNO_RE</v>
      </c>
      <c r="C242" s="7" t="str">
        <f>TRIM(ETLMetadata!$F242)</f>
        <v>EXTRACT_DATE</v>
      </c>
      <c r="D242" s="7" t="str">
        <f>TRIM(ETLMetadata!$H242)</f>
        <v>StringType()</v>
      </c>
      <c r="E242" s="7" t="str">
        <f t="shared" si="32"/>
        <v>CLK_CUST_CST_CUNO_RE</v>
      </c>
      <c r="F242" s="7" t="str">
        <f t="shared" si="26"/>
        <v>EXTRACT_DATE</v>
      </c>
      <c r="G242" s="7" t="s">
        <v>825</v>
      </c>
      <c r="H242" s="7" t="str">
        <f t="shared" si="27"/>
        <v>CLK_CUST_CST_CUNO_RE</v>
      </c>
      <c r="I242" s="7" t="str">
        <f t="shared" si="28"/>
        <v>EXTRACT_DATE</v>
      </c>
      <c r="J242" s="7" t="str">
        <f t="shared" si="29"/>
        <v>DATE</v>
      </c>
      <c r="K242" s="7" t="str">
        <f>TRIM(ETLMetadata!$G242)</f>
        <v>DATE</v>
      </c>
      <c r="L242" s="7" t="str">
        <f>TRIM(ETLMetadata!$I242)</f>
        <v>YYYY-MM-DD</v>
      </c>
      <c r="M242" s="7" t="str">
        <f t="shared" si="30"/>
        <v>TO_DATE(NULLIF(TRIM(EXTRACT_DATE),'') , 'YYYY-MM-DD')</v>
      </c>
      <c r="N242" s="7" t="str">
        <f>TRIM(ETLMetadata!$J242)</f>
        <v/>
      </c>
      <c r="O242" s="8" t="str">
        <f>IF(TRIM(Classification!$G242)="","NOT CONFIDENTIAL",TRIM(Classification!$G242))</f>
        <v>NOT CONFIDENTIAL</v>
      </c>
      <c r="P242" s="7" t="str">
        <f t="shared" si="31"/>
        <v>Y</v>
      </c>
      <c r="Q242" s="7" t="s">
        <v>826</v>
      </c>
      <c r="R242" s="9">
        <v>2958465</v>
      </c>
      <c r="S242" s="7" t="s">
        <v>827</v>
      </c>
      <c r="T242" s="7" t="s">
        <v>828</v>
      </c>
      <c r="U242" s="7" t="str">
        <f t="shared" si="33"/>
        <v>CLK_CUST_CST_CUNO_RE_V</v>
      </c>
      <c r="V242" s="7" t="s">
        <v>829</v>
      </c>
    </row>
    <row r="243" spans="1:22">
      <c r="A243" s="7" t="str">
        <f>TRIM(ETLMetadata!$B243)</f>
        <v>CLK</v>
      </c>
      <c r="B243" s="7" t="str">
        <f>TRIM(ETLMetadata!$C243)</f>
        <v>CUST_CST_CUNO_RE</v>
      </c>
      <c r="C243" s="7" t="str">
        <f>TRIM(ETLMetadata!$F243)</f>
        <v>LOGICAL_DELETE_DATE</v>
      </c>
      <c r="D243" s="7" t="str">
        <f>TRIM(ETLMetadata!$H243)</f>
        <v>StringType()</v>
      </c>
      <c r="E243" s="7" t="str">
        <f t="shared" si="32"/>
        <v>CLK_CUST_CST_CUNO_RE</v>
      </c>
      <c r="F243" s="7" t="str">
        <f t="shared" si="26"/>
        <v>LOGICAL_DELETE_DATE</v>
      </c>
      <c r="G243" s="7" t="s">
        <v>825</v>
      </c>
      <c r="H243" s="7" t="str">
        <f t="shared" si="27"/>
        <v>CLK_CUST_CST_CUNO_RE</v>
      </c>
      <c r="I243" s="7" t="str">
        <f t="shared" si="28"/>
        <v>LOGICAL_DELETE_DATE</v>
      </c>
      <c r="J243" s="7" t="str">
        <f t="shared" si="29"/>
        <v>DATE</v>
      </c>
      <c r="K243" s="7" t="str">
        <f>TRIM(ETLMetadata!$G243)</f>
        <v>DATE</v>
      </c>
      <c r="L243" s="7" t="str">
        <f>TRIM(ETLMetadata!$I243)</f>
        <v>YYYY-MM-DD</v>
      </c>
      <c r="M243" s="7" t="str">
        <f t="shared" si="30"/>
        <v>TO_DATE(NULLIF(TRIM(LOGICAL_DELETE_DATE),'') , 'YYYY-MM-DD')</v>
      </c>
      <c r="N243" s="7" t="str">
        <f>TRIM(ETLMetadata!$J243)</f>
        <v/>
      </c>
      <c r="O243" s="8" t="str">
        <f>IF(TRIM(Classification!$G243)="","NOT CONFIDENTIAL",TRIM(Classification!$G243))</f>
        <v>NOT CONFIDENTIAL</v>
      </c>
      <c r="P243" s="7" t="str">
        <f t="shared" si="31"/>
        <v>Y</v>
      </c>
      <c r="Q243" s="7" t="s">
        <v>826</v>
      </c>
      <c r="R243" s="9">
        <v>2958465</v>
      </c>
      <c r="S243" s="7" t="s">
        <v>827</v>
      </c>
      <c r="T243" s="7" t="s">
        <v>828</v>
      </c>
      <c r="U243" s="7" t="str">
        <f t="shared" si="33"/>
        <v>CLK_CUST_CST_CUNO_RE_V</v>
      </c>
      <c r="V243" s="7" t="s">
        <v>829</v>
      </c>
    </row>
    <row r="244" spans="1:22">
      <c r="A244" s="7" t="str">
        <f>TRIM(ETLMetadata!$B244)</f>
        <v>CLK</v>
      </c>
      <c r="B244" s="7" t="str">
        <f>TRIM(ETLMetadata!$C244)</f>
        <v>CUST_CST_CUNO_RE</v>
      </c>
      <c r="C244" s="7" t="str">
        <f>TRIM(ETLMetadata!$F244)</f>
        <v>ENVIRONMENT_ID</v>
      </c>
      <c r="D244" s="7" t="str">
        <f>TRIM(ETLMetadata!$H244)</f>
        <v>StringType()</v>
      </c>
      <c r="E244" s="7" t="str">
        <f t="shared" si="32"/>
        <v>CLK_CUST_CST_CUNO_RE</v>
      </c>
      <c r="F244" s="7" t="str">
        <f t="shared" si="26"/>
        <v>ENVIRONMENT_ID</v>
      </c>
      <c r="G244" s="7" t="s">
        <v>825</v>
      </c>
      <c r="H244" s="7" t="str">
        <f t="shared" si="27"/>
        <v>CLK_CUST_CST_CUNO_RE</v>
      </c>
      <c r="I244" s="7" t="str">
        <f t="shared" si="28"/>
        <v>ENVIRONMENT_ID</v>
      </c>
      <c r="J244" s="7" t="str">
        <f t="shared" si="29"/>
        <v>VARCHAR</v>
      </c>
      <c r="K244" s="7" t="str">
        <f>TRIM(ETLMetadata!$G244)</f>
        <v>CHAR(1)</v>
      </c>
      <c r="L244" s="7" t="str">
        <f>TRIM(ETLMetadata!$I244)</f>
        <v/>
      </c>
      <c r="M244" s="7" t="str">
        <f t="shared" si="30"/>
        <v>NULLIF(TRIM(ENVIRONMENT_ID),'')</v>
      </c>
      <c r="N244" s="17" t="s">
        <v>83</v>
      </c>
      <c r="O244" s="8" t="str">
        <f>IF(TRIM(Classification!$G244)="","NOT CONFIDENTIAL",TRIM(Classification!$G244))</f>
        <v>NOT CONFIDENTIAL</v>
      </c>
      <c r="P244" s="7" t="str">
        <f t="shared" si="31"/>
        <v>Y</v>
      </c>
      <c r="Q244" s="7" t="s">
        <v>826</v>
      </c>
      <c r="R244" s="9">
        <v>2958465</v>
      </c>
      <c r="S244" s="7" t="s">
        <v>827</v>
      </c>
      <c r="T244" s="7" t="s">
        <v>828</v>
      </c>
      <c r="U244" s="7" t="str">
        <f t="shared" si="33"/>
        <v>CLK_CUST_CST_CUNO_RE_V</v>
      </c>
      <c r="V244" s="7" t="s">
        <v>829</v>
      </c>
    </row>
    <row r="245" spans="1:22">
      <c r="A245" s="7" t="str">
        <f>TRIM(ETLMetadata!$B245)</f>
        <v>CLK</v>
      </c>
      <c r="B245" s="7" t="str">
        <f>TRIM(ETLMetadata!$C245)</f>
        <v>CUST_CST_CUNO_RE</v>
      </c>
      <c r="C245" s="7" t="str">
        <f>TRIM(ETLMetadata!$F245)</f>
        <v>PERSON_ID</v>
      </c>
      <c r="D245" s="7" t="str">
        <f>TRIM(ETLMetadata!$H245)</f>
        <v>StringType()</v>
      </c>
      <c r="E245" s="7" t="str">
        <f t="shared" si="32"/>
        <v>CLK_CUST_CST_CUNO_RE</v>
      </c>
      <c r="F245" s="7" t="str">
        <f t="shared" si="26"/>
        <v>PERSON_ID</v>
      </c>
      <c r="G245" s="7" t="s">
        <v>825</v>
      </c>
      <c r="H245" s="7" t="str">
        <f t="shared" si="27"/>
        <v>CLK_CUST_CST_CUNO_RE</v>
      </c>
      <c r="I245" s="7" t="str">
        <f t="shared" si="28"/>
        <v>PERSON_ID</v>
      </c>
      <c r="J245" s="7" t="str">
        <f t="shared" si="29"/>
        <v>INTEGER</v>
      </c>
      <c r="K245" s="7" t="str">
        <f>TRIM(ETLMetadata!$G245)</f>
        <v>INTEGER</v>
      </c>
      <c r="L245" s="7" t="str">
        <f>TRIM(ETLMetadata!$I245)</f>
        <v/>
      </c>
      <c r="M245" s="7" t="str">
        <f t="shared" si="30"/>
        <v>CAST(NULLIF(TRIM(PERSON_ID),'') AS INTEGER)</v>
      </c>
      <c r="N245" s="7" t="str">
        <f>TRIM(ETLMetadata!$J245)</f>
        <v>Y</v>
      </c>
      <c r="O245" s="8" t="str">
        <f>IF(TRIM(Classification!$G245)="","NOT CONFIDENTIAL",TRIM(Classification!$G245))</f>
        <v>PERSONAL_IDENTITYINFODIRECT</v>
      </c>
      <c r="P245" s="7" t="str">
        <f t="shared" si="31"/>
        <v>Y</v>
      </c>
      <c r="Q245" s="7" t="s">
        <v>826</v>
      </c>
      <c r="R245" s="9">
        <v>2958465</v>
      </c>
      <c r="S245" s="7" t="s">
        <v>827</v>
      </c>
      <c r="T245" s="7" t="s">
        <v>828</v>
      </c>
      <c r="U245" s="7" t="str">
        <f t="shared" si="33"/>
        <v>CLK_CUST_CST_CUNO_RE_V</v>
      </c>
      <c r="V245" s="7" t="s">
        <v>829</v>
      </c>
    </row>
    <row r="246" spans="1:22">
      <c r="A246" s="7" t="str">
        <f>TRIM(ETLMetadata!$B246)</f>
        <v>CLK</v>
      </c>
      <c r="B246" s="7" t="str">
        <f>TRIM(ETLMetadata!$C246)</f>
        <v>CUST_CST_CUNO_RE</v>
      </c>
      <c r="C246" s="7" t="str">
        <f>TRIM(ETLMetadata!$F246)</f>
        <v>CUNO_AMR_1</v>
      </c>
      <c r="D246" s="7" t="str">
        <f>TRIM(ETLMetadata!$H246)</f>
        <v>StringType()</v>
      </c>
      <c r="E246" s="7" t="str">
        <f t="shared" si="32"/>
        <v>CLK_CUST_CST_CUNO_RE</v>
      </c>
      <c r="F246" s="7" t="str">
        <f t="shared" si="26"/>
        <v>CUNO_AMR_1</v>
      </c>
      <c r="G246" s="7" t="s">
        <v>825</v>
      </c>
      <c r="H246" s="7" t="str">
        <f t="shared" si="27"/>
        <v>CLK_CUST_CST_CUNO_RE</v>
      </c>
      <c r="I246" s="7" t="str">
        <f t="shared" si="28"/>
        <v>CUNO_AMR_1</v>
      </c>
      <c r="J246" s="7" t="str">
        <f t="shared" si="29"/>
        <v>VARCHAR</v>
      </c>
      <c r="K246" s="7" t="str">
        <f>TRIM(ETLMetadata!$G246)</f>
        <v>CHAR(4)</v>
      </c>
      <c r="L246" s="7" t="str">
        <f>TRIM(ETLMetadata!$I246)</f>
        <v/>
      </c>
      <c r="M246" s="7" t="str">
        <f t="shared" si="30"/>
        <v>NULLIF(TRIM(CUNO_AMR_1),'')</v>
      </c>
      <c r="N246" s="7" t="str">
        <f>TRIM(ETLMetadata!$J246)</f>
        <v/>
      </c>
      <c r="O246" s="8" t="str">
        <f>IF(TRIM(Classification!$G246)="","NOT CONFIDENTIAL",TRIM(Classification!$G246))</f>
        <v>NOT CONFIDENTIAL</v>
      </c>
      <c r="P246" s="7" t="str">
        <f t="shared" si="31"/>
        <v>Y</v>
      </c>
      <c r="Q246" s="7" t="s">
        <v>826</v>
      </c>
      <c r="R246" s="9">
        <v>2958465</v>
      </c>
      <c r="S246" s="7" t="s">
        <v>827</v>
      </c>
      <c r="T246" s="7" t="s">
        <v>828</v>
      </c>
      <c r="U246" s="7" t="str">
        <f t="shared" si="33"/>
        <v>CLK_CUST_CST_CUNO_RE_V</v>
      </c>
      <c r="V246" s="7" t="s">
        <v>829</v>
      </c>
    </row>
    <row r="247" spans="1:22">
      <c r="A247" s="7" t="str">
        <f>TRIM(ETLMetadata!$B247)</f>
        <v>CLK</v>
      </c>
      <c r="B247" s="7" t="str">
        <f>TRIM(ETLMetadata!$C247)</f>
        <v>CUST_CST_CUNO_RE</v>
      </c>
      <c r="C247" s="7" t="str">
        <f>TRIM(ETLMetadata!$F247)</f>
        <v>CUNO_AMR_2</v>
      </c>
      <c r="D247" s="7" t="str">
        <f>TRIM(ETLMetadata!$H247)</f>
        <v>StringType()</v>
      </c>
      <c r="E247" s="7" t="str">
        <f t="shared" si="32"/>
        <v>CLK_CUST_CST_CUNO_RE</v>
      </c>
      <c r="F247" s="7" t="str">
        <f t="shared" si="26"/>
        <v>CUNO_AMR_2</v>
      </c>
      <c r="G247" s="7" t="s">
        <v>825</v>
      </c>
      <c r="H247" s="7" t="str">
        <f t="shared" si="27"/>
        <v>CLK_CUST_CST_CUNO_RE</v>
      </c>
      <c r="I247" s="7" t="str">
        <f t="shared" si="28"/>
        <v>CUNO_AMR_2</v>
      </c>
      <c r="J247" s="7" t="str">
        <f t="shared" si="29"/>
        <v>VARCHAR</v>
      </c>
      <c r="K247" s="7" t="str">
        <f>TRIM(ETLMetadata!$G247)</f>
        <v>CHAR(1)</v>
      </c>
      <c r="L247" s="7" t="str">
        <f>TRIM(ETLMetadata!$I247)</f>
        <v/>
      </c>
      <c r="M247" s="7" t="str">
        <f t="shared" si="30"/>
        <v>NULLIF(TRIM(CUNO_AMR_2),'')</v>
      </c>
      <c r="N247" s="7" t="str">
        <f>TRIM(ETLMetadata!$J247)</f>
        <v/>
      </c>
      <c r="O247" s="8" t="str">
        <f>IF(TRIM(Classification!$G247)="","NOT CONFIDENTIAL",TRIM(Classification!$G247))</f>
        <v>NOT CONFIDENTIAL</v>
      </c>
      <c r="P247" s="7" t="str">
        <f t="shared" si="31"/>
        <v>Y</v>
      </c>
      <c r="Q247" s="7" t="s">
        <v>826</v>
      </c>
      <c r="R247" s="9">
        <v>2958465</v>
      </c>
      <c r="S247" s="7" t="s">
        <v>827</v>
      </c>
      <c r="T247" s="7" t="s">
        <v>828</v>
      </c>
      <c r="U247" s="7" t="str">
        <f t="shared" si="33"/>
        <v>CLK_CUST_CST_CUNO_RE_V</v>
      </c>
      <c r="V247" s="7" t="s">
        <v>829</v>
      </c>
    </row>
    <row r="248" spans="1:22">
      <c r="A248" s="7" t="str">
        <f>TRIM(ETLMetadata!$B248)</f>
        <v>CLK</v>
      </c>
      <c r="B248" s="7" t="str">
        <f>TRIM(ETLMetadata!$C248)</f>
        <v>CUST_CST_CUNO_RE</v>
      </c>
      <c r="C248" s="7" t="str">
        <f>TRIM(ETLMetadata!$F248)</f>
        <v>CUNO_AMR_3</v>
      </c>
      <c r="D248" s="7" t="str">
        <f>TRIM(ETLMetadata!$H248)</f>
        <v>StringType()</v>
      </c>
      <c r="E248" s="7" t="str">
        <f t="shared" si="32"/>
        <v>CLK_CUST_CST_CUNO_RE</v>
      </c>
      <c r="F248" s="7" t="str">
        <f t="shared" si="26"/>
        <v>CUNO_AMR_3</v>
      </c>
      <c r="G248" s="7" t="s">
        <v>825</v>
      </c>
      <c r="H248" s="7" t="str">
        <f t="shared" si="27"/>
        <v>CLK_CUST_CST_CUNO_RE</v>
      </c>
      <c r="I248" s="7" t="str">
        <f t="shared" si="28"/>
        <v>CUNO_AMR_3</v>
      </c>
      <c r="J248" s="7" t="str">
        <f t="shared" si="29"/>
        <v>VARCHAR</v>
      </c>
      <c r="K248" s="7" t="str">
        <f>TRIM(ETLMetadata!$G248)</f>
        <v>CHAR(4)</v>
      </c>
      <c r="L248" s="7" t="str">
        <f>TRIM(ETLMetadata!$I248)</f>
        <v/>
      </c>
      <c r="M248" s="7" t="str">
        <f t="shared" si="30"/>
        <v>NULLIF(TRIM(CUNO_AMR_3),'')</v>
      </c>
      <c r="N248" s="7" t="str">
        <f>TRIM(ETLMetadata!$J248)</f>
        <v/>
      </c>
      <c r="O248" s="8" t="str">
        <f>IF(TRIM(Classification!$G248)="","NOT CONFIDENTIAL",TRIM(Classification!$G248))</f>
        <v>NOT CONFIDENTIAL</v>
      </c>
      <c r="P248" s="7" t="str">
        <f t="shared" si="31"/>
        <v>Y</v>
      </c>
      <c r="Q248" s="7" t="s">
        <v>826</v>
      </c>
      <c r="R248" s="9">
        <v>2958465</v>
      </c>
      <c r="S248" s="7" t="s">
        <v>827</v>
      </c>
      <c r="T248" s="7" t="s">
        <v>828</v>
      </c>
      <c r="U248" s="7" t="str">
        <f t="shared" si="33"/>
        <v>CLK_CUST_CST_CUNO_RE_V</v>
      </c>
      <c r="V248" s="7" t="s">
        <v>829</v>
      </c>
    </row>
    <row r="249" spans="1:22">
      <c r="A249" s="7" t="str">
        <f>TRIM(ETLMetadata!$B249)</f>
        <v>CLK</v>
      </c>
      <c r="B249" s="7" t="str">
        <f>TRIM(ETLMetadata!$C249)</f>
        <v>CUST_CST_CUNO_RE</v>
      </c>
      <c r="C249" s="7" t="str">
        <f>TRIM(ETLMetadata!$F249)</f>
        <v>CUNO_DOV</v>
      </c>
      <c r="D249" s="7" t="str">
        <f>TRIM(ETLMetadata!$H249)</f>
        <v>StringType()</v>
      </c>
      <c r="E249" s="7" t="str">
        <f t="shared" si="32"/>
        <v>CLK_CUST_CST_CUNO_RE</v>
      </c>
      <c r="F249" s="7" t="str">
        <f t="shared" si="26"/>
        <v>CUNO_DOV</v>
      </c>
      <c r="G249" s="7" t="s">
        <v>825</v>
      </c>
      <c r="H249" s="7" t="str">
        <f t="shared" si="27"/>
        <v>CLK_CUST_CST_CUNO_RE</v>
      </c>
      <c r="I249" s="7" t="str">
        <f t="shared" si="28"/>
        <v>CUNO_DOV</v>
      </c>
      <c r="J249" s="7" t="str">
        <f t="shared" si="29"/>
        <v>INTEGER</v>
      </c>
      <c r="K249" s="7" t="str">
        <f>TRIM(ETLMetadata!$G249)</f>
        <v>INTEGER</v>
      </c>
      <c r="L249" s="7" t="str">
        <f>TRIM(ETLMetadata!$I249)</f>
        <v/>
      </c>
      <c r="M249" s="7" t="str">
        <f t="shared" si="30"/>
        <v>CAST(NULLIF(TRIM(CUNO_DOV),'') AS INTEGER)</v>
      </c>
      <c r="N249" s="7" t="str">
        <f>TRIM(ETLMetadata!$J249)</f>
        <v/>
      </c>
      <c r="O249" s="8" t="str">
        <f>IF(TRIM(Classification!$G249)="","NOT CONFIDENTIAL",TRIM(Classification!$G249))</f>
        <v>NOT CONFIDENTIAL</v>
      </c>
      <c r="P249" s="7" t="str">
        <f t="shared" si="31"/>
        <v>Y</v>
      </c>
      <c r="Q249" s="7" t="s">
        <v>826</v>
      </c>
      <c r="R249" s="9">
        <v>2958465</v>
      </c>
      <c r="S249" s="7" t="s">
        <v>827</v>
      </c>
      <c r="T249" s="7" t="s">
        <v>828</v>
      </c>
      <c r="U249" s="7" t="str">
        <f t="shared" si="33"/>
        <v>CLK_CUST_CST_CUNO_RE_V</v>
      </c>
      <c r="V249" s="7" t="s">
        <v>829</v>
      </c>
    </row>
    <row r="250" spans="1:22">
      <c r="A250" s="7" t="str">
        <f>TRIM(ETLMetadata!$B250)</f>
        <v>CLK</v>
      </c>
      <c r="B250" s="7" t="str">
        <f>TRIM(ETLMetadata!$C250)</f>
        <v>CUST_CST_CUNO_RE</v>
      </c>
      <c r="C250" s="7" t="str">
        <f>TRIM(ETLMetadata!$F250)</f>
        <v>CUNO_ID</v>
      </c>
      <c r="D250" s="7" t="str">
        <f>TRIM(ETLMetadata!$H250)</f>
        <v>StringType()</v>
      </c>
      <c r="E250" s="7" t="str">
        <f t="shared" si="32"/>
        <v>CLK_CUST_CST_CUNO_RE</v>
      </c>
      <c r="F250" s="7" t="str">
        <f t="shared" si="26"/>
        <v>CUNO_ID</v>
      </c>
      <c r="G250" s="7" t="s">
        <v>825</v>
      </c>
      <c r="H250" s="7" t="str">
        <f t="shared" si="27"/>
        <v>CLK_CUST_CST_CUNO_RE</v>
      </c>
      <c r="I250" s="7" t="str">
        <f t="shared" si="28"/>
        <v>CUNO_ID</v>
      </c>
      <c r="J250" s="7" t="str">
        <f t="shared" si="29"/>
        <v>VARCHAR</v>
      </c>
      <c r="K250" s="7" t="str">
        <f>TRIM(ETLMetadata!$G250)</f>
        <v>CHAR(6)</v>
      </c>
      <c r="L250" s="7" t="str">
        <f>TRIM(ETLMetadata!$I250)</f>
        <v/>
      </c>
      <c r="M250" s="7" t="str">
        <f t="shared" si="30"/>
        <v>NULLIF(TRIM(CUNO_ID),'')</v>
      </c>
      <c r="N250" s="7" t="str">
        <f>TRIM(ETLMetadata!$J250)</f>
        <v/>
      </c>
      <c r="O250" s="8" t="str">
        <f>IF(TRIM(Classification!$G250)="","NOT CONFIDENTIAL",TRIM(Classification!$G250))</f>
        <v>NOT CONFIDENTIAL</v>
      </c>
      <c r="P250" s="7" t="str">
        <f t="shared" si="31"/>
        <v>Y</v>
      </c>
      <c r="Q250" s="7" t="s">
        <v>826</v>
      </c>
      <c r="R250" s="9">
        <v>2958465</v>
      </c>
      <c r="S250" s="7" t="s">
        <v>827</v>
      </c>
      <c r="T250" s="7" t="s">
        <v>828</v>
      </c>
      <c r="U250" s="7" t="str">
        <f t="shared" si="33"/>
        <v>CLK_CUST_CST_CUNO_RE_V</v>
      </c>
      <c r="V250" s="7" t="s">
        <v>829</v>
      </c>
    </row>
    <row r="251" spans="1:22">
      <c r="A251" s="7" t="str">
        <f>TRIM(ETLMetadata!$B251)</f>
        <v>CLK</v>
      </c>
      <c r="B251" s="7" t="str">
        <f>TRIM(ETLMetadata!$C251)</f>
        <v>CUST_CST_CUNO_RE</v>
      </c>
      <c r="C251" s="7" t="str">
        <f>TRIM(ETLMetadata!$F251)</f>
        <v>PROCESSING_SEQUENCE</v>
      </c>
      <c r="D251" s="7" t="str">
        <f>TRIM(ETLMetadata!$H251)</f>
        <v>StringType()</v>
      </c>
      <c r="E251" s="7" t="str">
        <f t="shared" si="32"/>
        <v>CLK_CUST_CST_CUNO_RE</v>
      </c>
      <c r="F251" s="7" t="str">
        <f t="shared" si="26"/>
        <v>PROCESSING_SEQUENCE</v>
      </c>
      <c r="G251" s="7" t="s">
        <v>825</v>
      </c>
      <c r="H251" s="7" t="str">
        <f t="shared" si="27"/>
        <v>CLK_CUST_CST_CUNO_RE</v>
      </c>
      <c r="I251" s="7" t="str">
        <f t="shared" si="28"/>
        <v>PROCESSING_SEQUENCE</v>
      </c>
      <c r="J251" s="7" t="str">
        <f t="shared" si="29"/>
        <v>SMALLINT</v>
      </c>
      <c r="K251" s="7" t="str">
        <f>TRIM(ETLMetadata!$G251)</f>
        <v>SMALLINT</v>
      </c>
      <c r="L251" s="7" t="str">
        <f>TRIM(ETLMetadata!$I251)</f>
        <v/>
      </c>
      <c r="M251" s="7" t="str">
        <f t="shared" si="30"/>
        <v>CAST(NULLIF(TRIM(PROCESSING_SEQUENCE),'') AS SMALLINT)</v>
      </c>
      <c r="N251" s="17" t="s">
        <v>83</v>
      </c>
      <c r="O251" s="8" t="str">
        <f>IF(TRIM(Classification!$G251)="","NOT CONFIDENTIAL",TRIM(Classification!$G251))</f>
        <v>NOT CONFIDENTIAL</v>
      </c>
      <c r="P251" s="7" t="str">
        <f t="shared" si="31"/>
        <v>Y</v>
      </c>
      <c r="Q251" s="7" t="s">
        <v>826</v>
      </c>
      <c r="R251" s="9">
        <v>2958465</v>
      </c>
      <c r="S251" s="7" t="s">
        <v>827</v>
      </c>
      <c r="T251" s="7" t="s">
        <v>828</v>
      </c>
      <c r="U251" s="7" t="str">
        <f t="shared" si="33"/>
        <v>CLK_CUST_CST_CUNO_RE_V</v>
      </c>
      <c r="V251" s="7" t="s">
        <v>829</v>
      </c>
    </row>
    <row r="252" spans="1:22">
      <c r="A252" s="7" t="str">
        <f>TRIM(ETLMetadata!$B252)</f>
        <v>CLK</v>
      </c>
      <c r="B252" s="7" t="str">
        <f>TRIM(ETLMetadata!$C252)</f>
        <v>CUST_CST_CUNO_RE</v>
      </c>
      <c r="C252" s="7" t="str">
        <f>TRIM(ETLMetadata!$F252)</f>
        <v>CUNO_ADDR_TYPE_CODE</v>
      </c>
      <c r="D252" s="7" t="str">
        <f>TRIM(ETLMetadata!$H252)</f>
        <v>StringType()</v>
      </c>
      <c r="E252" s="7" t="str">
        <f t="shared" si="32"/>
        <v>CLK_CUST_CST_CUNO_RE</v>
      </c>
      <c r="F252" s="7" t="str">
        <f t="shared" si="26"/>
        <v>CUNO_ADDR_TYPE_CODE</v>
      </c>
      <c r="G252" s="7" t="s">
        <v>825</v>
      </c>
      <c r="H252" s="7" t="str">
        <f t="shared" si="27"/>
        <v>CLK_CUST_CST_CUNO_RE</v>
      </c>
      <c r="I252" s="7" t="str">
        <f t="shared" si="28"/>
        <v>CUNO_ADDR_TYPE_CODE</v>
      </c>
      <c r="J252" s="7" t="str">
        <f t="shared" si="29"/>
        <v>VARCHAR</v>
      </c>
      <c r="K252" s="7" t="str">
        <f>TRIM(ETLMetadata!$G252)</f>
        <v>CHAR(3)</v>
      </c>
      <c r="L252" s="7" t="str">
        <f>TRIM(ETLMetadata!$I252)</f>
        <v/>
      </c>
      <c r="M252" s="7" t="str">
        <f t="shared" si="30"/>
        <v>NULLIF(TRIM(CUNO_ADDR_TYPE_CODE),'')</v>
      </c>
      <c r="N252" s="7" t="str">
        <f>TRIM(ETLMetadata!$J252)</f>
        <v/>
      </c>
      <c r="O252" s="8" t="str">
        <f>IF(TRIM(Classification!$G252)="","NOT CONFIDENTIAL",TRIM(Classification!$G252))</f>
        <v>NOT CONFIDENTIAL</v>
      </c>
      <c r="P252" s="7" t="str">
        <f t="shared" si="31"/>
        <v>Y</v>
      </c>
      <c r="Q252" s="7" t="s">
        <v>826</v>
      </c>
      <c r="R252" s="9">
        <v>2958465</v>
      </c>
      <c r="S252" s="7" t="s">
        <v>827</v>
      </c>
      <c r="T252" s="7" t="s">
        <v>828</v>
      </c>
      <c r="U252" s="7" t="str">
        <f t="shared" si="33"/>
        <v>CLK_CUST_CST_CUNO_RE_V</v>
      </c>
      <c r="V252" s="7" t="s">
        <v>829</v>
      </c>
    </row>
    <row r="253" spans="1:22">
      <c r="A253" s="7" t="str">
        <f>TRIM(ETLMetadata!$B253)</f>
        <v>CLK</v>
      </c>
      <c r="B253" s="7" t="str">
        <f>TRIM(ETLMetadata!$C253)</f>
        <v>CUST_CST_CUNO_RE</v>
      </c>
      <c r="C253" s="7" t="str">
        <f>TRIM(ETLMetadata!$F253)</f>
        <v>CUNO_ADDR_1ST_LINE</v>
      </c>
      <c r="D253" s="7" t="str">
        <f>TRIM(ETLMetadata!$H253)</f>
        <v>StringType()</v>
      </c>
      <c r="E253" s="7" t="str">
        <f t="shared" si="32"/>
        <v>CLK_CUST_CST_CUNO_RE</v>
      </c>
      <c r="F253" s="7" t="str">
        <f t="shared" si="26"/>
        <v>CUNO_ADDR_1ST_LINE</v>
      </c>
      <c r="G253" s="7" t="s">
        <v>825</v>
      </c>
      <c r="H253" s="7" t="str">
        <f t="shared" si="27"/>
        <v>CLK_CUST_CST_CUNO_RE</v>
      </c>
      <c r="I253" s="7" t="str">
        <f t="shared" si="28"/>
        <v>CUNO_ADDR_1ST_LINE</v>
      </c>
      <c r="J253" s="7" t="str">
        <f t="shared" si="29"/>
        <v>VARCHAR</v>
      </c>
      <c r="K253" s="7" t="str">
        <f>TRIM(ETLMetadata!$G253)</f>
        <v>VARCHAR(50)</v>
      </c>
      <c r="L253" s="7" t="str">
        <f>TRIM(ETLMetadata!$I253)</f>
        <v/>
      </c>
      <c r="M253" s="7" t="str">
        <f t="shared" si="30"/>
        <v>NULLIF(TRIM(CUNO_ADDR_1ST_LINE),'')</v>
      </c>
      <c r="N253" s="7" t="str">
        <f>TRIM(ETLMetadata!$J253)</f>
        <v/>
      </c>
      <c r="O253" s="8" t="str">
        <f>IF(TRIM(Classification!$G253)="","NOT CONFIDENTIAL",TRIM(Classification!$G253))</f>
        <v>PERSONAL_CONTACTINFO</v>
      </c>
      <c r="P253" s="7" t="str">
        <f t="shared" si="31"/>
        <v>Y</v>
      </c>
      <c r="Q253" s="7" t="s">
        <v>826</v>
      </c>
      <c r="R253" s="9">
        <v>2958465</v>
      </c>
      <c r="S253" s="7" t="s">
        <v>827</v>
      </c>
      <c r="T253" s="7" t="s">
        <v>828</v>
      </c>
      <c r="U253" s="7" t="str">
        <f t="shared" si="33"/>
        <v>CLK_CUST_CST_CUNO_RE_V</v>
      </c>
      <c r="V253" s="7" t="s">
        <v>829</v>
      </c>
    </row>
    <row r="254" spans="1:22">
      <c r="A254" s="7" t="str">
        <f>TRIM(ETLMetadata!$B254)</f>
        <v>CLK</v>
      </c>
      <c r="B254" s="7" t="str">
        <f>TRIM(ETLMetadata!$C254)</f>
        <v>CUST_CST_CUNO_RE</v>
      </c>
      <c r="C254" s="7" t="str">
        <f>TRIM(ETLMetadata!$F254)</f>
        <v>CUNO_ADDR_2ND_LINE</v>
      </c>
      <c r="D254" s="7" t="str">
        <f>TRIM(ETLMetadata!$H254)</f>
        <v>StringType()</v>
      </c>
      <c r="E254" s="7" t="str">
        <f t="shared" si="32"/>
        <v>CLK_CUST_CST_CUNO_RE</v>
      </c>
      <c r="F254" s="7" t="str">
        <f t="shared" si="26"/>
        <v>CUNO_ADDR_2ND_LINE</v>
      </c>
      <c r="G254" s="7" t="s">
        <v>825</v>
      </c>
      <c r="H254" s="7" t="str">
        <f t="shared" si="27"/>
        <v>CLK_CUST_CST_CUNO_RE</v>
      </c>
      <c r="I254" s="7" t="str">
        <f t="shared" si="28"/>
        <v>CUNO_ADDR_2ND_LINE</v>
      </c>
      <c r="J254" s="7" t="str">
        <f t="shared" si="29"/>
        <v>VARCHAR</v>
      </c>
      <c r="K254" s="7" t="str">
        <f>TRIM(ETLMetadata!$G254)</f>
        <v>VARCHAR(50)</v>
      </c>
      <c r="L254" s="7" t="str">
        <f>TRIM(ETLMetadata!$I254)</f>
        <v/>
      </c>
      <c r="M254" s="7" t="str">
        <f t="shared" si="30"/>
        <v>NULLIF(TRIM(CUNO_ADDR_2ND_LINE),'')</v>
      </c>
      <c r="N254" s="7" t="str">
        <f>TRIM(ETLMetadata!$J254)</f>
        <v/>
      </c>
      <c r="O254" s="8" t="str">
        <f>IF(TRIM(Classification!$G254)="","NOT CONFIDENTIAL",TRIM(Classification!$G254))</f>
        <v>PERSONAL_CONTACTINFO</v>
      </c>
      <c r="P254" s="7" t="str">
        <f t="shared" si="31"/>
        <v>Y</v>
      </c>
      <c r="Q254" s="7" t="s">
        <v>826</v>
      </c>
      <c r="R254" s="9">
        <v>2958465</v>
      </c>
      <c r="S254" s="7" t="s">
        <v>827</v>
      </c>
      <c r="T254" s="7" t="s">
        <v>828</v>
      </c>
      <c r="U254" s="7" t="str">
        <f t="shared" si="33"/>
        <v>CLK_CUST_CST_CUNO_RE_V</v>
      </c>
      <c r="V254" s="7" t="s">
        <v>829</v>
      </c>
    </row>
    <row r="255" spans="1:22">
      <c r="A255" s="7" t="str">
        <f>TRIM(ETLMetadata!$B255)</f>
        <v>CLK</v>
      </c>
      <c r="B255" s="7" t="str">
        <f>TRIM(ETLMetadata!$C255)</f>
        <v>CUST_CST_CUNO_RE</v>
      </c>
      <c r="C255" s="7" t="str">
        <f>TRIM(ETLMetadata!$F255)</f>
        <v>CUNO_AUS_POSTCODE</v>
      </c>
      <c r="D255" s="7" t="str">
        <f>TRIM(ETLMetadata!$H255)</f>
        <v>StringType()</v>
      </c>
      <c r="E255" s="7" t="str">
        <f t="shared" si="32"/>
        <v>CLK_CUST_CST_CUNO_RE</v>
      </c>
      <c r="F255" s="7" t="str">
        <f t="shared" si="26"/>
        <v>CUNO_AUS_POSTCODE</v>
      </c>
      <c r="G255" s="7" t="s">
        <v>825</v>
      </c>
      <c r="H255" s="7" t="str">
        <f t="shared" si="27"/>
        <v>CLK_CUST_CST_CUNO_RE</v>
      </c>
      <c r="I255" s="7" t="str">
        <f t="shared" si="28"/>
        <v>CUNO_AUS_POSTCODE</v>
      </c>
      <c r="J255" s="7" t="str">
        <f t="shared" si="29"/>
        <v>VARCHAR</v>
      </c>
      <c r="K255" s="7" t="str">
        <f>TRIM(ETLMetadata!$G255)</f>
        <v>CHAR(4)</v>
      </c>
      <c r="L255" s="7" t="str">
        <f>TRIM(ETLMetadata!$I255)</f>
        <v/>
      </c>
      <c r="M255" s="7" t="str">
        <f t="shared" si="30"/>
        <v>NULLIF(TRIM(CUNO_AUS_POSTCODE),'')</v>
      </c>
      <c r="N255" s="7" t="str">
        <f>TRIM(ETLMetadata!$J255)</f>
        <v/>
      </c>
      <c r="O255" s="8" t="str">
        <f>IF(TRIM(Classification!$G255)="","NOT CONFIDENTIAL",TRIM(Classification!$G255))</f>
        <v>PERSONAL_CONTACTINFO</v>
      </c>
      <c r="P255" s="7" t="str">
        <f t="shared" si="31"/>
        <v>Y</v>
      </c>
      <c r="Q255" s="7" t="s">
        <v>826</v>
      </c>
      <c r="R255" s="9">
        <v>2958465</v>
      </c>
      <c r="S255" s="7" t="s">
        <v>827</v>
      </c>
      <c r="T255" s="7" t="s">
        <v>828</v>
      </c>
      <c r="U255" s="7" t="str">
        <f t="shared" si="33"/>
        <v>CLK_CUST_CST_CUNO_RE_V</v>
      </c>
      <c r="V255" s="7" t="s">
        <v>829</v>
      </c>
    </row>
    <row r="256" spans="1:22">
      <c r="A256" s="7" t="str">
        <f>TRIM(ETLMetadata!$B256)</f>
        <v>CLK</v>
      </c>
      <c r="B256" s="7" t="str">
        <f>TRIM(ETLMetadata!$C256)</f>
        <v>CUST_CST_CUNO_RE</v>
      </c>
      <c r="C256" s="7" t="str">
        <f>TRIM(ETLMetadata!$F256)</f>
        <v>CUNO_CMTY_CODE</v>
      </c>
      <c r="D256" s="7" t="str">
        <f>TRIM(ETLMetadata!$H256)</f>
        <v>StringType()</v>
      </c>
      <c r="E256" s="7" t="str">
        <f t="shared" si="32"/>
        <v>CLK_CUST_CST_CUNO_RE</v>
      </c>
      <c r="F256" s="7" t="str">
        <f t="shared" si="26"/>
        <v>CUNO_CMTY_CODE</v>
      </c>
      <c r="G256" s="7" t="s">
        <v>825</v>
      </c>
      <c r="H256" s="7" t="str">
        <f t="shared" si="27"/>
        <v>CLK_CUST_CST_CUNO_RE</v>
      </c>
      <c r="I256" s="7" t="str">
        <f t="shared" si="28"/>
        <v>CUNO_CMTY_CODE</v>
      </c>
      <c r="J256" s="7" t="str">
        <f t="shared" si="29"/>
        <v>VARCHAR</v>
      </c>
      <c r="K256" s="7" t="str">
        <f>TRIM(ETLMetadata!$G256)</f>
        <v>CHAR(4)</v>
      </c>
      <c r="L256" s="7" t="str">
        <f>TRIM(ETLMetadata!$I256)</f>
        <v/>
      </c>
      <c r="M256" s="7" t="str">
        <f t="shared" si="30"/>
        <v>NULLIF(TRIM(CUNO_CMTY_CODE),'')</v>
      </c>
      <c r="N256" s="7" t="str">
        <f>TRIM(ETLMetadata!$J256)</f>
        <v/>
      </c>
      <c r="O256" s="8" t="str">
        <f>IF(TRIM(Classification!$G256)="","NOT CONFIDENTIAL",TRIM(Classification!$G256))</f>
        <v>NOT CONFIDENTIAL</v>
      </c>
      <c r="P256" s="7" t="str">
        <f t="shared" si="31"/>
        <v>Y</v>
      </c>
      <c r="Q256" s="7" t="s">
        <v>826</v>
      </c>
      <c r="R256" s="9">
        <v>2958465</v>
      </c>
      <c r="S256" s="7" t="s">
        <v>827</v>
      </c>
      <c r="T256" s="7" t="s">
        <v>828</v>
      </c>
      <c r="U256" s="7" t="str">
        <f t="shared" si="33"/>
        <v>CLK_CUST_CST_CUNO_RE_V</v>
      </c>
      <c r="V256" s="7" t="s">
        <v>829</v>
      </c>
    </row>
    <row r="257" spans="1:22">
      <c r="A257" s="7" t="str">
        <f>TRIM(ETLMetadata!$B257)</f>
        <v>CLK</v>
      </c>
      <c r="B257" s="7" t="str">
        <f>TRIM(ETLMetadata!$C257)</f>
        <v>CUST_CST_CUNO_RE</v>
      </c>
      <c r="C257" s="7" t="str">
        <f>TRIM(ETLMetadata!$F257)</f>
        <v>CUNO_DLVRY_PNT_ID</v>
      </c>
      <c r="D257" s="7" t="str">
        <f>TRIM(ETLMetadata!$H257)</f>
        <v>StringType()</v>
      </c>
      <c r="E257" s="7" t="str">
        <f t="shared" si="32"/>
        <v>CLK_CUST_CST_CUNO_RE</v>
      </c>
      <c r="F257" s="7" t="str">
        <f t="shared" si="26"/>
        <v>CUNO_DLVRY_PNT_ID</v>
      </c>
      <c r="G257" s="7" t="s">
        <v>825</v>
      </c>
      <c r="H257" s="7" t="str">
        <f t="shared" si="27"/>
        <v>CLK_CUST_CST_CUNO_RE</v>
      </c>
      <c r="I257" s="7" t="str">
        <f t="shared" si="28"/>
        <v>CUNO_DLVRY_PNT_ID</v>
      </c>
      <c r="J257" s="7" t="str">
        <f t="shared" si="29"/>
        <v>VARCHAR</v>
      </c>
      <c r="K257" s="7" t="str">
        <f>TRIM(ETLMetadata!$G257)</f>
        <v>VARCHAR(8)</v>
      </c>
      <c r="L257" s="7" t="str">
        <f>TRIM(ETLMetadata!$I257)</f>
        <v/>
      </c>
      <c r="M257" s="7" t="str">
        <f t="shared" si="30"/>
        <v>NULLIF(TRIM(CUNO_DLVRY_PNT_ID),'')</v>
      </c>
      <c r="N257" s="7" t="str">
        <f>TRIM(ETLMetadata!$J257)</f>
        <v/>
      </c>
      <c r="O257" s="8" t="str">
        <f>IF(TRIM(Classification!$G257)="","NOT CONFIDENTIAL",TRIM(Classification!$G257))</f>
        <v>NOT CONFIDENTIAL</v>
      </c>
      <c r="P257" s="7" t="str">
        <f t="shared" si="31"/>
        <v>Y</v>
      </c>
      <c r="Q257" s="7" t="s">
        <v>826</v>
      </c>
      <c r="R257" s="9">
        <v>2958465</v>
      </c>
      <c r="S257" s="7" t="s">
        <v>827</v>
      </c>
      <c r="T257" s="7" t="s">
        <v>828</v>
      </c>
      <c r="U257" s="7" t="str">
        <f t="shared" si="33"/>
        <v>CLK_CUST_CST_CUNO_RE_V</v>
      </c>
      <c r="V257" s="7" t="s">
        <v>829</v>
      </c>
    </row>
    <row r="258" spans="1:22">
      <c r="A258" s="7" t="str">
        <f>TRIM(ETLMetadata!$B258)</f>
        <v>CLK</v>
      </c>
      <c r="B258" s="7" t="str">
        <f>TRIM(ETLMetadata!$C258)</f>
        <v>CUST_CST_CUNO_RE</v>
      </c>
      <c r="C258" s="7" t="str">
        <f>TRIM(ETLMetadata!$F258)</f>
        <v>CUNO_CTRY_CODE</v>
      </c>
      <c r="D258" s="7" t="str">
        <f>TRIM(ETLMetadata!$H258)</f>
        <v>StringType()</v>
      </c>
      <c r="E258" s="7" t="str">
        <f t="shared" si="32"/>
        <v>CLK_CUST_CST_CUNO_RE</v>
      </c>
      <c r="F258" s="7" t="str">
        <f t="shared" si="26"/>
        <v>CUNO_CTRY_CODE</v>
      </c>
      <c r="G258" s="7" t="s">
        <v>825</v>
      </c>
      <c r="H258" s="7" t="str">
        <f t="shared" si="27"/>
        <v>CLK_CUST_CST_CUNO_RE</v>
      </c>
      <c r="I258" s="7" t="str">
        <f t="shared" si="28"/>
        <v>CUNO_CTRY_CODE</v>
      </c>
      <c r="J258" s="7" t="str">
        <f t="shared" si="29"/>
        <v>VARCHAR</v>
      </c>
      <c r="K258" s="7" t="str">
        <f>TRIM(ETLMetadata!$G258)</f>
        <v>CHAR(2)</v>
      </c>
      <c r="L258" s="7" t="str">
        <f>TRIM(ETLMetadata!$I258)</f>
        <v/>
      </c>
      <c r="M258" s="7" t="str">
        <f t="shared" si="30"/>
        <v>NULLIF(TRIM(CUNO_CTRY_CODE),'')</v>
      </c>
      <c r="N258" s="7" t="str">
        <f>TRIM(ETLMetadata!$J258)</f>
        <v/>
      </c>
      <c r="O258" s="8" t="str">
        <f>IF(TRIM(Classification!$G258)="","NOT CONFIDENTIAL",TRIM(Classification!$G258))</f>
        <v>PERSONAL_CONTACTINFO</v>
      </c>
      <c r="P258" s="7" t="str">
        <f t="shared" si="31"/>
        <v>Y</v>
      </c>
      <c r="Q258" s="7" t="s">
        <v>826</v>
      </c>
      <c r="R258" s="9">
        <v>2958465</v>
      </c>
      <c r="S258" s="7" t="s">
        <v>827</v>
      </c>
      <c r="T258" s="7" t="s">
        <v>828</v>
      </c>
      <c r="U258" s="7" t="str">
        <f t="shared" si="33"/>
        <v>CLK_CUST_CST_CUNO_RE_V</v>
      </c>
      <c r="V258" s="7" t="s">
        <v>829</v>
      </c>
    </row>
    <row r="259" spans="1:22">
      <c r="A259" s="7" t="str">
        <f>TRIM(ETLMetadata!$B259)</f>
        <v>CLK</v>
      </c>
      <c r="B259" s="7" t="str">
        <f>TRIM(ETLMetadata!$C259)</f>
        <v>CUST_CST_CUNO_RE</v>
      </c>
      <c r="C259" s="7" t="str">
        <f>TRIM(ETLMetadata!$F259)</f>
        <v>CUNO_DOB</v>
      </c>
      <c r="D259" s="7" t="str">
        <f>TRIM(ETLMetadata!$H259)</f>
        <v>StringType()</v>
      </c>
      <c r="E259" s="7" t="str">
        <f t="shared" si="32"/>
        <v>CLK_CUST_CST_CUNO_RE</v>
      </c>
      <c r="F259" s="7" t="str">
        <f t="shared" ref="F259:F322" si="34">IF($C259="Start_Date","STRT_DT",
 IF($C259="End_Date","END_DT",
 IF($C259="Record_Deleted_Flag","RCRD_DEL_IND",
 IF($C259="IsDeleted","RCRD_DEL_IND",
 $C259
))))</f>
        <v>CUNO_DOB</v>
      </c>
      <c r="G259" s="7" t="s">
        <v>825</v>
      </c>
      <c r="H259" s="7" t="str">
        <f t="shared" ref="H259:H322" si="35">CONCATENATE($A259,"_",$B259)</f>
        <v>CLK_CUST_CST_CUNO_RE</v>
      </c>
      <c r="I259" s="7" t="str">
        <f t="shared" ref="I259:I322" si="36">IF($C259="Start_Date","STRT_DT",
 IF($C259="End_Date","END_DT",
 IF($C259="Record_Deleted_Flag","RCRD_DEL_IND",
 IF($C259="IsDeleted","RCRD_DEL_IND",
 $C259
))))</f>
        <v>CUNO_DOB</v>
      </c>
      <c r="J259" s="7" t="str">
        <f t="shared" ref="J259:J322" si="37">IF(LEFT(TRIM($K259),7)="VARCHAR","VARCHAR",
 IF(LEFT(TRIM($K259),4)="CHAR","VARCHAR",
 IF(TRIM($K259)="TIMESTAMP(6)","TIMESTAMP",
 IF(TRIM($K259)="DATE","DATE",
 IF(TRIM($K259)="BYTEINT","SMALLINT",
 IF(TRIM($K259)="SMALLINT","SMALLINT",
 IF(TRIM($K259)="INTEGER","INTEGER",
 IF(TRIM($K259)="BIGINT","INTEGER",
 IF(LEFT(TRIM($K259),7)="DECIMAL",TRIM($K259),
 IF(TRIM($K259)="BOOLEAN","BOOLEAN",
 IF(TRIM($K259)="DOUBLE","DOUBLE",
 IF(TRIM($K259)="FLOAT","FLOAT",
 IF(TRIM($K259)="REAL","REAL",
 IF(LEFT(TRIM($K259),6)="STRUCT","VARIANT",
 IF(LEFT(TRIM($K259),5)="ARRAY","VARIANT",
 IF(LEFT(TRIM($K259),3)="MAP","VARIANT",
 IF(LEFT(TRIM($K259),3)="ROW","VARIANT",
 "NONE"
)))))))))))))))))</f>
        <v>INTEGER</v>
      </c>
      <c r="K259" s="17" t="s">
        <v>90</v>
      </c>
      <c r="L259" s="7" t="str">
        <f>TRIM(ETLMetadata!$I259)</f>
        <v/>
      </c>
      <c r="M259" s="7" t="str">
        <f t="shared" ref="M259:M322" si="38">IF(LEFT($K259,7)="VARCHAR","NULLIF(TRIM("&amp;$I259&amp;"),'')",
 IF(LEFT($K259,4)="CHAR","NULLIF(TRIM("&amp;$I259&amp;"),'')",
 IF(LEFT($K259,7)="DECIMAL","CAST(NULLIF(TRIM("&amp;$I259&amp;"),'') AS "&amp;$K259&amp;")",
 IF($K259="TIMESTAMP(6)","TO_TIMESTAMP_NTZ(NULLIF(TRIM("&amp;$I259&amp;"),''),'YYYY-MM-DD HH24:MI:SS.FF6')",
 IF($K259="DATE","TO_DATE(NULLIF(TRIM("&amp;$I259&amp;"),'') , 'YYYY-MM-DD')",
 IF($K259="BIGINT","CAST(NULLIF(TRIM("&amp;I259&amp;"),'') AS INTEGER)",
 IF($K259="BYTEINT","CAST(NULLIF(TRIM("&amp;I259&amp;"),'') AS SMALLINT)",
 IF($K259="SMALLINT","CAST(NULLIF(TRIM("&amp;I259&amp;"),'') AS SMALLINT)",
 IF($K259="INTEGER","CAST(NULLIF(TRIM("&amp;I259&amp;"),'') AS INTEGER)",
 IF($K259="BOOLEAN","CAST(NULLIF(TRIM("&amp;I259&amp;"),'') AS BOOLEAN)",
 IF($K259="DOUBLE","CAST(NULLIF(TRIM("&amp;I259&amp;"),'') AS DOUBLE)",
 IF($K259="FLOAT","CAST(NULLIF(TRIM("&amp;I259&amp;"),'') AS FLOAT)",
 IF($K259="REAL","CAST(NULLIF(TRIM("&amp;I259&amp;"),'') AS REAL)",
 IF(OR($K259="STRUCT",$K259="ARRAY",$K259="MAP",$K259="ROW"),"CAST(NULLIF(TRIM("&amp;I259&amp;"),'') AS VARIANT)",
 "NONE"
))))))))))))))</f>
        <v>CAST(NULLIF(TRIM(CUNO_DOB),'') AS INTEGER)</v>
      </c>
      <c r="N259" s="7" t="str">
        <f>TRIM(ETLMetadata!$J259)</f>
        <v/>
      </c>
      <c r="O259" s="8" t="str">
        <f>IF(TRIM(Classification!$G259)="","NOT CONFIDENTIAL",TRIM(Classification!$G259))</f>
        <v>PERSONAL_OTHERINFO</v>
      </c>
      <c r="P259" s="7" t="str">
        <f t="shared" ref="P259:P322" si="39">IF($C259="Start_Date","N",
 IF($C259="End_Date","N",
 IF($C259="Record_Deleted_Flag","N",
 IF($C259="IsDeleted","N",
 "Y"
))))</f>
        <v>Y</v>
      </c>
      <c r="Q259" s="7" t="s">
        <v>826</v>
      </c>
      <c r="R259" s="9">
        <v>2958465</v>
      </c>
      <c r="S259" s="7" t="s">
        <v>827</v>
      </c>
      <c r="T259" s="7" t="s">
        <v>828</v>
      </c>
      <c r="U259" s="7" t="str">
        <f t="shared" si="33"/>
        <v>CLK_CUST_CST_CUNO_RE_V</v>
      </c>
      <c r="V259" s="7" t="s">
        <v>829</v>
      </c>
    </row>
    <row r="260" spans="1:22">
      <c r="A260" s="7" t="str">
        <f>TRIM(ETLMetadata!$B260)</f>
        <v>CLK</v>
      </c>
      <c r="B260" s="7" t="str">
        <f>TRIM(ETLMetadata!$C260)</f>
        <v>CUST_CST_CUNO_RE</v>
      </c>
      <c r="C260" s="7" t="str">
        <f>TRIM(ETLMetadata!$F260)</f>
        <v>CUNO_INST_CODE</v>
      </c>
      <c r="D260" s="7" t="str">
        <f>TRIM(ETLMetadata!$H260)</f>
        <v>StringType()</v>
      </c>
      <c r="E260" s="7" t="str">
        <f t="shared" si="32"/>
        <v>CLK_CUST_CST_CUNO_RE</v>
      </c>
      <c r="F260" s="7" t="str">
        <f t="shared" si="34"/>
        <v>CUNO_INST_CODE</v>
      </c>
      <c r="G260" s="7" t="s">
        <v>825</v>
      </c>
      <c r="H260" s="7" t="str">
        <f t="shared" si="35"/>
        <v>CLK_CUST_CST_CUNO_RE</v>
      </c>
      <c r="I260" s="7" t="str">
        <f t="shared" si="36"/>
        <v>CUNO_INST_CODE</v>
      </c>
      <c r="J260" s="7" t="str">
        <f t="shared" si="37"/>
        <v>VARCHAR</v>
      </c>
      <c r="K260" s="7" t="str">
        <f>TRIM(ETLMetadata!$G260)</f>
        <v>VARCHAR(8)</v>
      </c>
      <c r="L260" s="7" t="str">
        <f>TRIM(ETLMetadata!$I260)</f>
        <v/>
      </c>
      <c r="M260" s="7" t="str">
        <f t="shared" si="38"/>
        <v>NULLIF(TRIM(CUNO_INST_CODE),'')</v>
      </c>
      <c r="N260" s="7" t="str">
        <f>TRIM(ETLMetadata!$J260)</f>
        <v/>
      </c>
      <c r="O260" s="8" t="str">
        <f>IF(TRIM(Classification!$G260)="","NOT CONFIDENTIAL",TRIM(Classification!$G260))</f>
        <v>NOT CONFIDENTIAL</v>
      </c>
      <c r="P260" s="7" t="str">
        <f t="shared" si="39"/>
        <v>Y</v>
      </c>
      <c r="Q260" s="7" t="s">
        <v>826</v>
      </c>
      <c r="R260" s="9">
        <v>2958465</v>
      </c>
      <c r="S260" s="7" t="s">
        <v>827</v>
      </c>
      <c r="T260" s="7" t="s">
        <v>828</v>
      </c>
      <c r="U260" s="7" t="str">
        <f t="shared" si="33"/>
        <v>CLK_CUST_CST_CUNO_RE_V</v>
      </c>
      <c r="V260" s="7" t="s">
        <v>829</v>
      </c>
    </row>
    <row r="261" spans="1:22">
      <c r="A261" s="7" t="str">
        <f>TRIM(ETLMetadata!$B261)</f>
        <v>CLK</v>
      </c>
      <c r="B261" s="7" t="str">
        <f>TRIM(ETLMetadata!$C261)</f>
        <v>CUST_CST_CUNO_RE</v>
      </c>
      <c r="C261" s="7" t="str">
        <f>TRIM(ETLMetadata!$F261)</f>
        <v>CUNO_NOM_PERSON_ID</v>
      </c>
      <c r="D261" s="7" t="str">
        <f>TRIM(ETLMetadata!$H261)</f>
        <v>StringType()</v>
      </c>
      <c r="E261" s="7" t="str">
        <f t="shared" si="32"/>
        <v>CLK_CUST_CST_CUNO_RE</v>
      </c>
      <c r="F261" s="7" t="str">
        <f t="shared" si="34"/>
        <v>CUNO_NOM_PERSON_ID</v>
      </c>
      <c r="G261" s="7" t="s">
        <v>825</v>
      </c>
      <c r="H261" s="7" t="str">
        <f t="shared" si="35"/>
        <v>CLK_CUST_CST_CUNO_RE</v>
      </c>
      <c r="I261" s="7" t="str">
        <f t="shared" si="36"/>
        <v>CUNO_NOM_PERSON_ID</v>
      </c>
      <c r="J261" s="7" t="str">
        <f t="shared" si="37"/>
        <v>INTEGER</v>
      </c>
      <c r="K261" s="7" t="str">
        <f>TRIM(ETLMetadata!$G261)</f>
        <v>INTEGER</v>
      </c>
      <c r="L261" s="7" t="str">
        <f>TRIM(ETLMetadata!$I261)</f>
        <v/>
      </c>
      <c r="M261" s="7" t="str">
        <f t="shared" si="38"/>
        <v>CAST(NULLIF(TRIM(CUNO_NOM_PERSON_ID),'') AS INTEGER)</v>
      </c>
      <c r="N261" s="7" t="str">
        <f>TRIM(ETLMetadata!$J261)</f>
        <v/>
      </c>
      <c r="O261" s="8" t="str">
        <f>IF(TRIM(Classification!$G261)="","NOT CONFIDENTIAL",TRIM(Classification!$G261))</f>
        <v>PERSONAL_IDENTITYINFODIRECT</v>
      </c>
      <c r="P261" s="7" t="str">
        <f t="shared" si="39"/>
        <v>Y</v>
      </c>
      <c r="Q261" s="7" t="s">
        <v>826</v>
      </c>
      <c r="R261" s="9">
        <v>2958465</v>
      </c>
      <c r="S261" s="7" t="s">
        <v>827</v>
      </c>
      <c r="T261" s="7" t="s">
        <v>828</v>
      </c>
      <c r="U261" s="7" t="str">
        <f t="shared" si="33"/>
        <v>CLK_CUST_CST_CUNO_RE_V</v>
      </c>
      <c r="V261" s="7" t="s">
        <v>829</v>
      </c>
    </row>
    <row r="262" spans="1:22">
      <c r="A262" s="7" t="str">
        <f>TRIM(ETLMetadata!$B262)</f>
        <v>CLK</v>
      </c>
      <c r="B262" s="7" t="str">
        <f>TRIM(ETLMetadata!$C262)</f>
        <v>CUST_CST_CUNO_RE</v>
      </c>
      <c r="C262" s="7" t="str">
        <f>TRIM(ETLMetadata!$F262)</f>
        <v>CUNO_NOM_RSN_CODE</v>
      </c>
      <c r="D262" s="7" t="str">
        <f>TRIM(ETLMetadata!$H262)</f>
        <v>StringType()</v>
      </c>
      <c r="E262" s="7" t="str">
        <f t="shared" si="32"/>
        <v>CLK_CUST_CST_CUNO_RE</v>
      </c>
      <c r="F262" s="7" t="str">
        <f t="shared" si="34"/>
        <v>CUNO_NOM_RSN_CODE</v>
      </c>
      <c r="G262" s="7" t="s">
        <v>825</v>
      </c>
      <c r="H262" s="7" t="str">
        <f t="shared" si="35"/>
        <v>CLK_CUST_CST_CUNO_RE</v>
      </c>
      <c r="I262" s="7" t="str">
        <f t="shared" si="36"/>
        <v>CUNO_NOM_RSN_CODE</v>
      </c>
      <c r="J262" s="7" t="str">
        <f t="shared" si="37"/>
        <v>VARCHAR</v>
      </c>
      <c r="K262" s="7" t="str">
        <f>TRIM(ETLMetadata!$G262)</f>
        <v>CHAR(3)</v>
      </c>
      <c r="L262" s="7" t="str">
        <f>TRIM(ETLMetadata!$I262)</f>
        <v/>
      </c>
      <c r="M262" s="7" t="str">
        <f t="shared" si="38"/>
        <v>NULLIF(TRIM(CUNO_NOM_RSN_CODE),'')</v>
      </c>
      <c r="N262" s="7" t="str">
        <f>TRIM(ETLMetadata!$J262)</f>
        <v/>
      </c>
      <c r="O262" s="8" t="str">
        <f>IF(TRIM(Classification!$G262)="","NOT CONFIDENTIAL",TRIM(Classification!$G262))</f>
        <v>NOT CONFIDENTIAL</v>
      </c>
      <c r="P262" s="7" t="str">
        <f t="shared" si="39"/>
        <v>Y</v>
      </c>
      <c r="Q262" s="7" t="s">
        <v>826</v>
      </c>
      <c r="R262" s="9">
        <v>2958465</v>
      </c>
      <c r="S262" s="7" t="s">
        <v>827</v>
      </c>
      <c r="T262" s="7" t="s">
        <v>828</v>
      </c>
      <c r="U262" s="7" t="str">
        <f t="shared" si="33"/>
        <v>CLK_CUST_CST_CUNO_RE_V</v>
      </c>
      <c r="V262" s="7" t="s">
        <v>829</v>
      </c>
    </row>
    <row r="263" spans="1:22">
      <c r="A263" s="7" t="str">
        <f>TRIM(ETLMetadata!$B263)</f>
        <v>CLK</v>
      </c>
      <c r="B263" s="7" t="str">
        <f>TRIM(ETLMetadata!$C263)</f>
        <v>CUST_CST_CUNO_RE</v>
      </c>
      <c r="C263" s="7" t="str">
        <f>TRIM(ETLMetadata!$F263)</f>
        <v>CUNO_NOM_TYPE_CODE</v>
      </c>
      <c r="D263" s="7" t="str">
        <f>TRIM(ETLMetadata!$H263)</f>
        <v>StringType()</v>
      </c>
      <c r="E263" s="7" t="str">
        <f t="shared" si="32"/>
        <v>CLK_CUST_CST_CUNO_RE</v>
      </c>
      <c r="F263" s="7" t="str">
        <f t="shared" si="34"/>
        <v>CUNO_NOM_TYPE_CODE</v>
      </c>
      <c r="G263" s="7" t="s">
        <v>825</v>
      </c>
      <c r="H263" s="7" t="str">
        <f t="shared" si="35"/>
        <v>CLK_CUST_CST_CUNO_RE</v>
      </c>
      <c r="I263" s="7" t="str">
        <f t="shared" si="36"/>
        <v>CUNO_NOM_TYPE_CODE</v>
      </c>
      <c r="J263" s="7" t="str">
        <f t="shared" si="37"/>
        <v>VARCHAR</v>
      </c>
      <c r="K263" s="7" t="str">
        <f>TRIM(ETLMetadata!$G263)</f>
        <v>CHAR(3)</v>
      </c>
      <c r="L263" s="7" t="str">
        <f>TRIM(ETLMetadata!$I263)</f>
        <v/>
      </c>
      <c r="M263" s="7" t="str">
        <f t="shared" si="38"/>
        <v>NULLIF(TRIM(CUNO_NOM_TYPE_CODE),'')</v>
      </c>
      <c r="N263" s="7" t="str">
        <f>TRIM(ETLMetadata!$J263)</f>
        <v/>
      </c>
      <c r="O263" s="8" t="str">
        <f>IF(TRIM(Classification!$G263)="","NOT CONFIDENTIAL",TRIM(Classification!$G263))</f>
        <v>NOT CONFIDENTIAL</v>
      </c>
      <c r="P263" s="7" t="str">
        <f t="shared" si="39"/>
        <v>Y</v>
      </c>
      <c r="Q263" s="7" t="s">
        <v>826</v>
      </c>
      <c r="R263" s="9">
        <v>2958465</v>
      </c>
      <c r="S263" s="7" t="s">
        <v>827</v>
      </c>
      <c r="T263" s="7" t="s">
        <v>828</v>
      </c>
      <c r="U263" s="7" t="str">
        <f t="shared" si="33"/>
        <v>CLK_CUST_CST_CUNO_RE_V</v>
      </c>
      <c r="V263" s="7" t="s">
        <v>829</v>
      </c>
    </row>
    <row r="264" spans="1:22">
      <c r="A264" s="7" t="str">
        <f>TRIM(ETLMetadata!$B264)</f>
        <v>CLK</v>
      </c>
      <c r="B264" s="7" t="str">
        <f>TRIM(ETLMetadata!$C264)</f>
        <v>CUST_CST_CUNO_RE</v>
      </c>
      <c r="C264" s="7" t="str">
        <f>TRIM(ETLMetadata!$F264)</f>
        <v>CUNO_ORG_NAME</v>
      </c>
      <c r="D264" s="7" t="str">
        <f>TRIM(ETLMetadata!$H264)</f>
        <v>StringType()</v>
      </c>
      <c r="E264" s="7" t="str">
        <f t="shared" si="32"/>
        <v>CLK_CUST_CST_CUNO_RE</v>
      </c>
      <c r="F264" s="7" t="str">
        <f t="shared" si="34"/>
        <v>CUNO_ORG_NAME</v>
      </c>
      <c r="G264" s="7" t="s">
        <v>825</v>
      </c>
      <c r="H264" s="7" t="str">
        <f t="shared" si="35"/>
        <v>CLK_CUST_CST_CUNO_RE</v>
      </c>
      <c r="I264" s="7" t="str">
        <f t="shared" si="36"/>
        <v>CUNO_ORG_NAME</v>
      </c>
      <c r="J264" s="7" t="str">
        <f t="shared" si="37"/>
        <v>VARCHAR</v>
      </c>
      <c r="K264" s="7" t="str">
        <f>TRIM(ETLMetadata!$G264)</f>
        <v>VARCHAR(50)</v>
      </c>
      <c r="L264" s="7" t="str">
        <f>TRIM(ETLMetadata!$I264)</f>
        <v/>
      </c>
      <c r="M264" s="7" t="str">
        <f t="shared" si="38"/>
        <v>NULLIF(TRIM(CUNO_ORG_NAME),'')</v>
      </c>
      <c r="N264" s="7" t="str">
        <f>TRIM(ETLMetadata!$J264)</f>
        <v/>
      </c>
      <c r="O264" s="8" t="str">
        <f>IF(TRIM(Classification!$G264)="","NOT CONFIDENTIAL",TRIM(Classification!$G264))</f>
        <v>PERSONAL_OTHERINFO</v>
      </c>
      <c r="P264" s="7" t="str">
        <f t="shared" si="39"/>
        <v>Y</v>
      </c>
      <c r="Q264" s="7" t="s">
        <v>826</v>
      </c>
      <c r="R264" s="9">
        <v>2958465</v>
      </c>
      <c r="S264" s="7" t="s">
        <v>827</v>
      </c>
      <c r="T264" s="7" t="s">
        <v>828</v>
      </c>
      <c r="U264" s="7" t="str">
        <f t="shared" si="33"/>
        <v>CLK_CUST_CST_CUNO_RE_V</v>
      </c>
      <c r="V264" s="7" t="s">
        <v>829</v>
      </c>
    </row>
    <row r="265" spans="1:22">
      <c r="A265" s="7" t="str">
        <f>TRIM(ETLMetadata!$B265)</f>
        <v>CLK</v>
      </c>
      <c r="B265" s="7" t="str">
        <f>TRIM(ETLMetadata!$C265)</f>
        <v>CUST_CST_CUNO_RE</v>
      </c>
      <c r="C265" s="7" t="str">
        <f>TRIM(ETLMetadata!$F265)</f>
        <v>CUNO_OSEAS_ADDR_3RD_LINE</v>
      </c>
      <c r="D265" s="7" t="str">
        <f>TRIM(ETLMetadata!$H265)</f>
        <v>StringType()</v>
      </c>
      <c r="E265" s="7" t="str">
        <f t="shared" si="32"/>
        <v>CLK_CUST_CST_CUNO_RE</v>
      </c>
      <c r="F265" s="7" t="str">
        <f t="shared" si="34"/>
        <v>CUNO_OSEAS_ADDR_3RD_LINE</v>
      </c>
      <c r="G265" s="7" t="s">
        <v>825</v>
      </c>
      <c r="H265" s="7" t="str">
        <f t="shared" si="35"/>
        <v>CLK_CUST_CST_CUNO_RE</v>
      </c>
      <c r="I265" s="7" t="str">
        <f t="shared" si="36"/>
        <v>CUNO_OSEAS_ADDR_3RD_LINE</v>
      </c>
      <c r="J265" s="7" t="str">
        <f t="shared" si="37"/>
        <v>VARCHAR</v>
      </c>
      <c r="K265" s="7" t="str">
        <f>TRIM(ETLMetadata!$G265)</f>
        <v>VARCHAR(50)</v>
      </c>
      <c r="L265" s="7" t="str">
        <f>TRIM(ETLMetadata!$I265)</f>
        <v/>
      </c>
      <c r="M265" s="7" t="str">
        <f t="shared" si="38"/>
        <v>NULLIF(TRIM(CUNO_OSEAS_ADDR_3RD_LINE),'')</v>
      </c>
      <c r="N265" s="7" t="str">
        <f>TRIM(ETLMetadata!$J265)</f>
        <v/>
      </c>
      <c r="O265" s="8" t="str">
        <f>IF(TRIM(Classification!$G265)="","NOT CONFIDENTIAL",TRIM(Classification!$G265))</f>
        <v>PERSONAL_CONTACTINFO</v>
      </c>
      <c r="P265" s="7" t="str">
        <f t="shared" si="39"/>
        <v>Y</v>
      </c>
      <c r="Q265" s="7" t="s">
        <v>826</v>
      </c>
      <c r="R265" s="9">
        <v>2958465</v>
      </c>
      <c r="S265" s="7" t="s">
        <v>827</v>
      </c>
      <c r="T265" s="7" t="s">
        <v>828</v>
      </c>
      <c r="U265" s="7" t="str">
        <f t="shared" si="33"/>
        <v>CLK_CUST_CST_CUNO_RE_V</v>
      </c>
      <c r="V265" s="7" t="s">
        <v>829</v>
      </c>
    </row>
    <row r="266" spans="1:22">
      <c r="A266" s="7" t="str">
        <f>TRIM(ETLMetadata!$B266)</f>
        <v>CLK</v>
      </c>
      <c r="B266" s="7" t="str">
        <f>TRIM(ETLMetadata!$C266)</f>
        <v>CUST_CST_CUNO_RE</v>
      </c>
      <c r="C266" s="7" t="str">
        <f>TRIM(ETLMetadata!$F266)</f>
        <v>CUNO_OSEAS_POSTCODE</v>
      </c>
      <c r="D266" s="7" t="str">
        <f>TRIM(ETLMetadata!$H266)</f>
        <v>StringType()</v>
      </c>
      <c r="E266" s="7" t="str">
        <f t="shared" si="32"/>
        <v>CLK_CUST_CST_CUNO_RE</v>
      </c>
      <c r="F266" s="7" t="str">
        <f t="shared" si="34"/>
        <v>CUNO_OSEAS_POSTCODE</v>
      </c>
      <c r="G266" s="7" t="s">
        <v>825</v>
      </c>
      <c r="H266" s="7" t="str">
        <f t="shared" si="35"/>
        <v>CLK_CUST_CST_CUNO_RE</v>
      </c>
      <c r="I266" s="7" t="str">
        <f t="shared" si="36"/>
        <v>CUNO_OSEAS_POSTCODE</v>
      </c>
      <c r="J266" s="7" t="str">
        <f t="shared" si="37"/>
        <v>VARCHAR</v>
      </c>
      <c r="K266" s="7" t="str">
        <f>TRIM(ETLMetadata!$G266)</f>
        <v>VARCHAR(12)</v>
      </c>
      <c r="L266" s="7" t="str">
        <f>TRIM(ETLMetadata!$I266)</f>
        <v/>
      </c>
      <c r="M266" s="7" t="str">
        <f t="shared" si="38"/>
        <v>NULLIF(TRIM(CUNO_OSEAS_POSTCODE),'')</v>
      </c>
      <c r="N266" s="7" t="str">
        <f>TRIM(ETLMetadata!$J266)</f>
        <v/>
      </c>
      <c r="O266" s="8" t="str">
        <f>IF(TRIM(Classification!$G266)="","NOT CONFIDENTIAL",TRIM(Classification!$G266))</f>
        <v>PERSONAL_CONTACTINFO</v>
      </c>
      <c r="P266" s="7" t="str">
        <f t="shared" si="39"/>
        <v>Y</v>
      </c>
      <c r="Q266" s="7" t="s">
        <v>826</v>
      </c>
      <c r="R266" s="9">
        <v>2958465</v>
      </c>
      <c r="S266" s="7" t="s">
        <v>827</v>
      </c>
      <c r="T266" s="7" t="s">
        <v>828</v>
      </c>
      <c r="U266" s="7" t="str">
        <f t="shared" si="33"/>
        <v>CLK_CUST_CST_CUNO_RE_V</v>
      </c>
      <c r="V266" s="7" t="s">
        <v>829</v>
      </c>
    </row>
    <row r="267" spans="1:22">
      <c r="A267" s="7" t="str">
        <f>TRIM(ETLMetadata!$B267)</f>
        <v>CLK</v>
      </c>
      <c r="B267" s="7" t="str">
        <f>TRIM(ETLMetadata!$C267)</f>
        <v>CUST_CST_CUNO_RE</v>
      </c>
      <c r="C267" s="7" t="str">
        <f>TRIM(ETLMetadata!$F267)</f>
        <v>CUNO_PASSWORD_TEXT</v>
      </c>
      <c r="D267" s="7" t="str">
        <f>TRIM(ETLMetadata!$H267)</f>
        <v>StringType()</v>
      </c>
      <c r="E267" s="7" t="str">
        <f t="shared" si="32"/>
        <v>CLK_CUST_CST_CUNO_RE</v>
      </c>
      <c r="F267" s="7" t="str">
        <f t="shared" si="34"/>
        <v>CUNO_PASSWORD_TEXT</v>
      </c>
      <c r="G267" s="7" t="s">
        <v>825</v>
      </c>
      <c r="H267" s="7" t="str">
        <f t="shared" si="35"/>
        <v>CLK_CUST_CST_CUNO_RE</v>
      </c>
      <c r="I267" s="7" t="str">
        <f t="shared" si="36"/>
        <v>CUNO_PASSWORD_TEXT</v>
      </c>
      <c r="J267" s="7" t="str">
        <f t="shared" si="37"/>
        <v>VARCHAR</v>
      </c>
      <c r="K267" s="7" t="str">
        <f>TRIM(ETLMetadata!$G267)</f>
        <v>VARCHAR(255)</v>
      </c>
      <c r="L267" s="7" t="str">
        <f>TRIM(ETLMetadata!$I267)</f>
        <v/>
      </c>
      <c r="M267" s="7" t="str">
        <f t="shared" si="38"/>
        <v>NULLIF(TRIM(CUNO_PASSWORD_TEXT),'')</v>
      </c>
      <c r="N267" s="7" t="str">
        <f>TRIM(ETLMetadata!$J267)</f>
        <v/>
      </c>
      <c r="O267" s="8" t="str">
        <f>IF(TRIM(Classification!$G267)="","NOT CONFIDENTIAL",TRIM(Classification!$G267))</f>
        <v>PERSONAL_CONTACTINFO</v>
      </c>
      <c r="P267" s="7" t="str">
        <f t="shared" si="39"/>
        <v>Y</v>
      </c>
      <c r="Q267" s="7" t="s">
        <v>826</v>
      </c>
      <c r="R267" s="9">
        <v>2958465</v>
      </c>
      <c r="S267" s="7" t="s">
        <v>827</v>
      </c>
      <c r="T267" s="7" t="s">
        <v>828</v>
      </c>
      <c r="U267" s="7" t="str">
        <f t="shared" si="33"/>
        <v>CLK_CUST_CST_CUNO_RE_V</v>
      </c>
      <c r="V267" s="7" t="s">
        <v>829</v>
      </c>
    </row>
    <row r="268" spans="1:22">
      <c r="A268" s="7" t="str">
        <f>TRIM(ETLMetadata!$B268)</f>
        <v>CLK</v>
      </c>
      <c r="B268" s="7" t="str">
        <f>TRIM(ETLMetadata!$C268)</f>
        <v>CUST_CST_CUNO_RE</v>
      </c>
      <c r="C268" s="7" t="str">
        <f>TRIM(ETLMetadata!$F268)</f>
        <v>CUNO_PHONE_AREA_CODE</v>
      </c>
      <c r="D268" s="7" t="str">
        <f>TRIM(ETLMetadata!$H268)</f>
        <v>StringType()</v>
      </c>
      <c r="E268" s="7" t="str">
        <f t="shared" si="32"/>
        <v>CLK_CUST_CST_CUNO_RE</v>
      </c>
      <c r="F268" s="7" t="str">
        <f t="shared" si="34"/>
        <v>CUNO_PHONE_AREA_CODE</v>
      </c>
      <c r="G268" s="7" t="s">
        <v>825</v>
      </c>
      <c r="H268" s="7" t="str">
        <f t="shared" si="35"/>
        <v>CLK_CUST_CST_CUNO_RE</v>
      </c>
      <c r="I268" s="7" t="str">
        <f t="shared" si="36"/>
        <v>CUNO_PHONE_AREA_CODE</v>
      </c>
      <c r="J268" s="7" t="str">
        <f t="shared" si="37"/>
        <v>SMALLINT</v>
      </c>
      <c r="K268" s="7" t="str">
        <f>TRIM(ETLMetadata!$G268)</f>
        <v>SMALLINT</v>
      </c>
      <c r="L268" s="7" t="str">
        <f>TRIM(ETLMetadata!$I268)</f>
        <v/>
      </c>
      <c r="M268" s="7" t="str">
        <f t="shared" si="38"/>
        <v>CAST(NULLIF(TRIM(CUNO_PHONE_AREA_CODE),'') AS SMALLINT)</v>
      </c>
      <c r="N268" s="7" t="str">
        <f>TRIM(ETLMetadata!$J268)</f>
        <v/>
      </c>
      <c r="O268" s="8" t="str">
        <f>IF(TRIM(Classification!$G268)="","NOT CONFIDENTIAL",TRIM(Classification!$G268))</f>
        <v>PERSONAL_CONTACTINFO</v>
      </c>
      <c r="P268" s="7" t="str">
        <f t="shared" si="39"/>
        <v>Y</v>
      </c>
      <c r="Q268" s="7" t="s">
        <v>826</v>
      </c>
      <c r="R268" s="9">
        <v>2958465</v>
      </c>
      <c r="S268" s="7" t="s">
        <v>827</v>
      </c>
      <c r="T268" s="7" t="s">
        <v>828</v>
      </c>
      <c r="U268" s="7" t="str">
        <f t="shared" si="33"/>
        <v>CLK_CUST_CST_CUNO_RE_V</v>
      </c>
      <c r="V268" s="7" t="s">
        <v>829</v>
      </c>
    </row>
    <row r="269" spans="1:22">
      <c r="A269" s="7" t="str">
        <f>TRIM(ETLMetadata!$B269)</f>
        <v>CLK</v>
      </c>
      <c r="B269" s="7" t="str">
        <f>TRIM(ETLMetadata!$C269)</f>
        <v>CUST_CST_CUNO_RE</v>
      </c>
      <c r="C269" s="7" t="str">
        <f>TRIM(ETLMetadata!$F269)</f>
        <v>CUNO_PHONE_NUM</v>
      </c>
      <c r="D269" s="7" t="str">
        <f>TRIM(ETLMetadata!$H269)</f>
        <v>StringType()</v>
      </c>
      <c r="E269" s="7" t="str">
        <f t="shared" si="32"/>
        <v>CLK_CUST_CST_CUNO_RE</v>
      </c>
      <c r="F269" s="7" t="str">
        <f t="shared" si="34"/>
        <v>CUNO_PHONE_NUM</v>
      </c>
      <c r="G269" s="7" t="s">
        <v>825</v>
      </c>
      <c r="H269" s="7" t="str">
        <f t="shared" si="35"/>
        <v>CLK_CUST_CST_CUNO_RE</v>
      </c>
      <c r="I269" s="7" t="str">
        <f t="shared" si="36"/>
        <v>CUNO_PHONE_NUM</v>
      </c>
      <c r="J269" s="7" t="str">
        <f t="shared" si="37"/>
        <v>VARCHAR</v>
      </c>
      <c r="K269" s="7" t="str">
        <f>TRIM(ETLMetadata!$G269)</f>
        <v>VARCHAR(18)</v>
      </c>
      <c r="L269" s="7" t="str">
        <f>TRIM(ETLMetadata!$I269)</f>
        <v/>
      </c>
      <c r="M269" s="7" t="str">
        <f t="shared" si="38"/>
        <v>NULLIF(TRIM(CUNO_PHONE_NUM),'')</v>
      </c>
      <c r="N269" s="7" t="str">
        <f>TRIM(ETLMetadata!$J269)</f>
        <v/>
      </c>
      <c r="O269" s="8" t="str">
        <f>IF(TRIM(Classification!$G269)="","NOT CONFIDENTIAL",TRIM(Classification!$G269))</f>
        <v>PERSONAL_CONTACTINFO</v>
      </c>
      <c r="P269" s="7" t="str">
        <f t="shared" si="39"/>
        <v>Y</v>
      </c>
      <c r="Q269" s="7" t="s">
        <v>826</v>
      </c>
      <c r="R269" s="9">
        <v>2958465</v>
      </c>
      <c r="S269" s="7" t="s">
        <v>827</v>
      </c>
      <c r="T269" s="7" t="s">
        <v>828</v>
      </c>
      <c r="U269" s="7" t="str">
        <f t="shared" si="33"/>
        <v>CLK_CUST_CST_CUNO_RE_V</v>
      </c>
      <c r="V269" s="7" t="s">
        <v>829</v>
      </c>
    </row>
    <row r="270" spans="1:22">
      <c r="A270" s="7" t="str">
        <f>TRIM(ETLMetadata!$B270)</f>
        <v>CLK</v>
      </c>
      <c r="B270" s="7" t="str">
        <f>TRIM(ETLMetadata!$C270)</f>
        <v>CUST_CST_CUNO_RE</v>
      </c>
      <c r="C270" s="7" t="str">
        <f>TRIM(ETLMetadata!$F270)</f>
        <v>CUNO_PHONE_TYPE_CODE</v>
      </c>
      <c r="D270" s="7" t="str">
        <f>TRIM(ETLMetadata!$H270)</f>
        <v>StringType()</v>
      </c>
      <c r="E270" s="7" t="str">
        <f t="shared" si="32"/>
        <v>CLK_CUST_CST_CUNO_RE</v>
      </c>
      <c r="F270" s="7" t="str">
        <f t="shared" si="34"/>
        <v>CUNO_PHONE_TYPE_CODE</v>
      </c>
      <c r="G270" s="7" t="s">
        <v>825</v>
      </c>
      <c r="H270" s="7" t="str">
        <f t="shared" si="35"/>
        <v>CLK_CUST_CST_CUNO_RE</v>
      </c>
      <c r="I270" s="7" t="str">
        <f t="shared" si="36"/>
        <v>CUNO_PHONE_TYPE_CODE</v>
      </c>
      <c r="J270" s="7" t="str">
        <f t="shared" si="37"/>
        <v>VARCHAR</v>
      </c>
      <c r="K270" s="7" t="str">
        <f>TRIM(ETLMetadata!$G270)</f>
        <v>CHAR(3)</v>
      </c>
      <c r="L270" s="7" t="str">
        <f>TRIM(ETLMetadata!$I270)</f>
        <v/>
      </c>
      <c r="M270" s="7" t="str">
        <f t="shared" si="38"/>
        <v>NULLIF(TRIM(CUNO_PHONE_TYPE_CODE),'')</v>
      </c>
      <c r="N270" s="7" t="str">
        <f>TRIM(ETLMetadata!$J270)</f>
        <v/>
      </c>
      <c r="O270" s="8" t="str">
        <f>IF(TRIM(Classification!$G270)="","NOT CONFIDENTIAL",TRIM(Classification!$G270))</f>
        <v>NOT CONFIDENTIAL</v>
      </c>
      <c r="P270" s="7" t="str">
        <f t="shared" si="39"/>
        <v>Y</v>
      </c>
      <c r="Q270" s="7" t="s">
        <v>826</v>
      </c>
      <c r="R270" s="9">
        <v>2958465</v>
      </c>
      <c r="S270" s="7" t="s">
        <v>827</v>
      </c>
      <c r="T270" s="7" t="s">
        <v>828</v>
      </c>
      <c r="U270" s="7" t="str">
        <f t="shared" si="33"/>
        <v>CLK_CUST_CST_CUNO_RE_V</v>
      </c>
      <c r="V270" s="7" t="s">
        <v>829</v>
      </c>
    </row>
    <row r="271" spans="1:22">
      <c r="A271" s="7" t="str">
        <f>TRIM(ETLMetadata!$B271)</f>
        <v>CLK</v>
      </c>
      <c r="B271" s="7" t="str">
        <f>TRIM(ETLMetadata!$C271)</f>
        <v>CUST_CST_CUNO_RE</v>
      </c>
      <c r="C271" s="7" t="str">
        <f>TRIM(ETLMetadata!$F271)</f>
        <v>CUNO_REL_TYPE_CODE</v>
      </c>
      <c r="D271" s="7" t="str">
        <f>TRIM(ETLMetadata!$H271)</f>
        <v>StringType()</v>
      </c>
      <c r="E271" s="7" t="str">
        <f t="shared" si="32"/>
        <v>CLK_CUST_CST_CUNO_RE</v>
      </c>
      <c r="F271" s="7" t="str">
        <f t="shared" si="34"/>
        <v>CUNO_REL_TYPE_CODE</v>
      </c>
      <c r="G271" s="7" t="s">
        <v>825</v>
      </c>
      <c r="H271" s="7" t="str">
        <f t="shared" si="35"/>
        <v>CLK_CUST_CST_CUNO_RE</v>
      </c>
      <c r="I271" s="7" t="str">
        <f t="shared" si="36"/>
        <v>CUNO_REL_TYPE_CODE</v>
      </c>
      <c r="J271" s="7" t="str">
        <f t="shared" si="37"/>
        <v>VARCHAR</v>
      </c>
      <c r="K271" s="7" t="str">
        <f>TRIM(ETLMetadata!$G271)</f>
        <v>CHAR(3)</v>
      </c>
      <c r="L271" s="7" t="str">
        <f>TRIM(ETLMetadata!$I271)</f>
        <v/>
      </c>
      <c r="M271" s="7" t="str">
        <f t="shared" si="38"/>
        <v>NULLIF(TRIM(CUNO_REL_TYPE_CODE),'')</v>
      </c>
      <c r="N271" s="7" t="str">
        <f>TRIM(ETLMetadata!$J271)</f>
        <v/>
      </c>
      <c r="O271" s="8" t="str">
        <f>IF(TRIM(Classification!$G271)="","NOT CONFIDENTIAL",TRIM(Classification!$G271))</f>
        <v>NOT CONFIDENTIAL</v>
      </c>
      <c r="P271" s="7" t="str">
        <f t="shared" si="39"/>
        <v>Y</v>
      </c>
      <c r="Q271" s="7" t="s">
        <v>826</v>
      </c>
      <c r="R271" s="9">
        <v>2958465</v>
      </c>
      <c r="S271" s="7" t="s">
        <v>827</v>
      </c>
      <c r="T271" s="7" t="s">
        <v>828</v>
      </c>
      <c r="U271" s="7" t="str">
        <f t="shared" si="33"/>
        <v>CLK_CUST_CST_CUNO_RE_V</v>
      </c>
      <c r="V271" s="7" t="s">
        <v>829</v>
      </c>
    </row>
    <row r="272" spans="1:22">
      <c r="A272" s="7" t="str">
        <f>TRIM(ETLMetadata!$B272)</f>
        <v>CLK</v>
      </c>
      <c r="B272" s="7" t="str">
        <f>TRIM(ETLMetadata!$C272)</f>
        <v>CUST_CST_CUNO_RE</v>
      </c>
      <c r="C272" s="7" t="str">
        <f>TRIM(ETLMetadata!$F272)</f>
        <v>CUNO_SPRS_LTTR_IND</v>
      </c>
      <c r="D272" s="7" t="str">
        <f>TRIM(ETLMetadata!$H272)</f>
        <v>StringType()</v>
      </c>
      <c r="E272" s="7" t="str">
        <f t="shared" si="32"/>
        <v>CLK_CUST_CST_CUNO_RE</v>
      </c>
      <c r="F272" s="7" t="str">
        <f t="shared" si="34"/>
        <v>CUNO_SPRS_LTTR_IND</v>
      </c>
      <c r="G272" s="7" t="s">
        <v>825</v>
      </c>
      <c r="H272" s="7" t="str">
        <f t="shared" si="35"/>
        <v>CLK_CUST_CST_CUNO_RE</v>
      </c>
      <c r="I272" s="7" t="str">
        <f t="shared" si="36"/>
        <v>CUNO_SPRS_LTTR_IND</v>
      </c>
      <c r="J272" s="7" t="str">
        <f t="shared" si="37"/>
        <v>VARCHAR</v>
      </c>
      <c r="K272" s="7" t="str">
        <f>TRIM(ETLMetadata!$G272)</f>
        <v>CHAR(1)</v>
      </c>
      <c r="L272" s="7" t="str">
        <f>TRIM(ETLMetadata!$I272)</f>
        <v/>
      </c>
      <c r="M272" s="7" t="str">
        <f t="shared" si="38"/>
        <v>NULLIF(TRIM(CUNO_SPRS_LTTR_IND),'')</v>
      </c>
      <c r="N272" s="7" t="str">
        <f>TRIM(ETLMetadata!$J272)</f>
        <v/>
      </c>
      <c r="O272" s="8" t="str">
        <f>IF(TRIM(Classification!$G272)="","NOT CONFIDENTIAL",TRIM(Classification!$G272))</f>
        <v>NOT CONFIDENTIAL</v>
      </c>
      <c r="P272" s="7" t="str">
        <f t="shared" si="39"/>
        <v>Y</v>
      </c>
      <c r="Q272" s="7" t="s">
        <v>826</v>
      </c>
      <c r="R272" s="9">
        <v>2958465</v>
      </c>
      <c r="S272" s="7" t="s">
        <v>827</v>
      </c>
      <c r="T272" s="7" t="s">
        <v>828</v>
      </c>
      <c r="U272" s="7" t="str">
        <f t="shared" si="33"/>
        <v>CLK_CUST_CST_CUNO_RE_V</v>
      </c>
      <c r="V272" s="7" t="s">
        <v>829</v>
      </c>
    </row>
    <row r="273" spans="1:22">
      <c r="A273" s="7" t="str">
        <f>TRIM(ETLMetadata!$B273)</f>
        <v>CLK</v>
      </c>
      <c r="B273" s="7" t="str">
        <f>TRIM(ETLMetadata!$C273)</f>
        <v>CUST_CST_CUNO_RE</v>
      </c>
      <c r="C273" s="7" t="str">
        <f>TRIM(ETLMetadata!$F273)</f>
        <v>CUNO_STATE_CODE</v>
      </c>
      <c r="D273" s="7" t="str">
        <f>TRIM(ETLMetadata!$H273)</f>
        <v>StringType()</v>
      </c>
      <c r="E273" s="7" t="str">
        <f t="shared" si="32"/>
        <v>CLK_CUST_CST_CUNO_RE</v>
      </c>
      <c r="F273" s="7" t="str">
        <f t="shared" si="34"/>
        <v>CUNO_STATE_CODE</v>
      </c>
      <c r="G273" s="7" t="s">
        <v>825</v>
      </c>
      <c r="H273" s="7" t="str">
        <f t="shared" si="35"/>
        <v>CLK_CUST_CST_CUNO_RE</v>
      </c>
      <c r="I273" s="7" t="str">
        <f t="shared" si="36"/>
        <v>CUNO_STATE_CODE</v>
      </c>
      <c r="J273" s="7" t="str">
        <f t="shared" si="37"/>
        <v>VARCHAR</v>
      </c>
      <c r="K273" s="7" t="str">
        <f>TRIM(ETLMetadata!$G273)</f>
        <v>CHAR(3)</v>
      </c>
      <c r="L273" s="7" t="str">
        <f>TRIM(ETLMetadata!$I273)</f>
        <v/>
      </c>
      <c r="M273" s="7" t="str">
        <f t="shared" si="38"/>
        <v>NULLIF(TRIM(CUNO_STATE_CODE),'')</v>
      </c>
      <c r="N273" s="7" t="str">
        <f>TRIM(ETLMetadata!$J273)</f>
        <v/>
      </c>
      <c r="O273" s="8" t="str">
        <f>IF(TRIM(Classification!$G273)="","NOT CONFIDENTIAL",TRIM(Classification!$G273))</f>
        <v>PERSONAL_CONTACTINFO</v>
      </c>
      <c r="P273" s="7" t="str">
        <f t="shared" si="39"/>
        <v>Y</v>
      </c>
      <c r="Q273" s="7" t="s">
        <v>826</v>
      </c>
      <c r="R273" s="9">
        <v>2958465</v>
      </c>
      <c r="S273" s="7" t="s">
        <v>827</v>
      </c>
      <c r="T273" s="7" t="s">
        <v>828</v>
      </c>
      <c r="U273" s="7" t="str">
        <f t="shared" si="33"/>
        <v>CLK_CUST_CST_CUNO_RE_V</v>
      </c>
      <c r="V273" s="7" t="s">
        <v>829</v>
      </c>
    </row>
    <row r="274" spans="1:22">
      <c r="A274" s="7" t="str">
        <f>TRIM(ETLMetadata!$B274)</f>
        <v>CLK</v>
      </c>
      <c r="B274" s="7" t="str">
        <f>TRIM(ETLMetadata!$C274)</f>
        <v>CUST_CST_CUNO_RE</v>
      </c>
      <c r="C274" s="7" t="str">
        <f>TRIM(ETLMetadata!$F274)</f>
        <v>CUNO_SUBURB_LOCALITY_NAME</v>
      </c>
      <c r="D274" s="7" t="str">
        <f>TRIM(ETLMetadata!$H274)</f>
        <v>StringType()</v>
      </c>
      <c r="E274" s="7" t="str">
        <f t="shared" si="32"/>
        <v>CLK_CUST_CST_CUNO_RE</v>
      </c>
      <c r="F274" s="7" t="str">
        <f t="shared" si="34"/>
        <v>CUNO_SUBURB_LOCALITY_NAME</v>
      </c>
      <c r="G274" s="7" t="s">
        <v>825</v>
      </c>
      <c r="H274" s="7" t="str">
        <f t="shared" si="35"/>
        <v>CLK_CUST_CST_CUNO_RE</v>
      </c>
      <c r="I274" s="7" t="str">
        <f t="shared" si="36"/>
        <v>CUNO_SUBURB_LOCALITY_NAME</v>
      </c>
      <c r="J274" s="7" t="str">
        <f t="shared" si="37"/>
        <v>VARCHAR</v>
      </c>
      <c r="K274" s="7" t="str">
        <f>TRIM(ETLMetadata!$G274)</f>
        <v>VARCHAR(50)</v>
      </c>
      <c r="L274" s="7" t="str">
        <f>TRIM(ETLMetadata!$I274)</f>
        <v/>
      </c>
      <c r="M274" s="7" t="str">
        <f t="shared" si="38"/>
        <v>NULLIF(TRIM(CUNO_SUBURB_LOCALITY_NAME),'')</v>
      </c>
      <c r="N274" s="7" t="str">
        <f>TRIM(ETLMetadata!$J274)</f>
        <v/>
      </c>
      <c r="O274" s="8" t="str">
        <f>IF(TRIM(Classification!$G274)="","NOT CONFIDENTIAL",TRIM(Classification!$G274))</f>
        <v>PERSONAL_CONTACTINFO</v>
      </c>
      <c r="P274" s="7" t="str">
        <f t="shared" si="39"/>
        <v>Y</v>
      </c>
      <c r="Q274" s="7" t="s">
        <v>826</v>
      </c>
      <c r="R274" s="9">
        <v>2958465</v>
      </c>
      <c r="S274" s="7" t="s">
        <v>827</v>
      </c>
      <c r="T274" s="7" t="s">
        <v>828</v>
      </c>
      <c r="U274" s="7" t="str">
        <f t="shared" si="33"/>
        <v>CLK_CUST_CST_CUNO_RE_V</v>
      </c>
      <c r="V274" s="7" t="s">
        <v>829</v>
      </c>
    </row>
    <row r="275" spans="1:22">
      <c r="A275" s="7" t="str">
        <f>TRIM(ETLMetadata!$B275)</f>
        <v>CLK</v>
      </c>
      <c r="B275" s="7" t="str">
        <f>TRIM(ETLMetadata!$C275)</f>
        <v>CUST_CST_CUNO_RE</v>
      </c>
      <c r="C275" s="7" t="str">
        <f>TRIM(ETLMetadata!$F275)</f>
        <v>CUNO_SURNAME</v>
      </c>
      <c r="D275" s="7" t="str">
        <f>TRIM(ETLMetadata!$H275)</f>
        <v>StringType()</v>
      </c>
      <c r="E275" s="7" t="str">
        <f t="shared" si="32"/>
        <v>CLK_CUST_CST_CUNO_RE</v>
      </c>
      <c r="F275" s="7" t="str">
        <f t="shared" si="34"/>
        <v>CUNO_SURNAME</v>
      </c>
      <c r="G275" s="7" t="s">
        <v>825</v>
      </c>
      <c r="H275" s="7" t="str">
        <f t="shared" si="35"/>
        <v>CLK_CUST_CST_CUNO_RE</v>
      </c>
      <c r="I275" s="7" t="str">
        <f t="shared" si="36"/>
        <v>CUNO_SURNAME</v>
      </c>
      <c r="J275" s="7" t="str">
        <f t="shared" si="37"/>
        <v>VARCHAR</v>
      </c>
      <c r="K275" s="7" t="str">
        <f>TRIM(ETLMetadata!$G275)</f>
        <v>VARCHAR(30)</v>
      </c>
      <c r="L275" s="7" t="str">
        <f>TRIM(ETLMetadata!$I275)</f>
        <v/>
      </c>
      <c r="M275" s="7" t="str">
        <f t="shared" si="38"/>
        <v>NULLIF(TRIM(CUNO_SURNAME),'')</v>
      </c>
      <c r="N275" s="7" t="str">
        <f>TRIM(ETLMetadata!$J275)</f>
        <v/>
      </c>
      <c r="O275" s="8" t="str">
        <f>IF(TRIM(Classification!$G275)="","NOT CONFIDENTIAL",TRIM(Classification!$G275))</f>
        <v>PERSONAL_IDENTITYINFRODIRECT</v>
      </c>
      <c r="P275" s="7" t="str">
        <f t="shared" si="39"/>
        <v>Y</v>
      </c>
      <c r="Q275" s="7" t="s">
        <v>826</v>
      </c>
      <c r="R275" s="9">
        <v>2958465</v>
      </c>
      <c r="S275" s="7" t="s">
        <v>827</v>
      </c>
      <c r="T275" s="7" t="s">
        <v>828</v>
      </c>
      <c r="U275" s="7" t="str">
        <f t="shared" si="33"/>
        <v>CLK_CUST_CST_CUNO_RE_V</v>
      </c>
      <c r="V275" s="7" t="s">
        <v>829</v>
      </c>
    </row>
    <row r="276" spans="1:22">
      <c r="A276" s="7" t="str">
        <f>TRIM(ETLMetadata!$B276)</f>
        <v>CLK</v>
      </c>
      <c r="B276" s="7" t="str">
        <f>TRIM(ETLMetadata!$C276)</f>
        <v>CUST_CST_CUNO_RE</v>
      </c>
      <c r="C276" s="7" t="str">
        <f>TRIM(ETLMetadata!$F276)</f>
        <v>CUNO_TITLE</v>
      </c>
      <c r="D276" s="7" t="str">
        <f>TRIM(ETLMetadata!$H276)</f>
        <v>StringType()</v>
      </c>
      <c r="E276" s="7" t="str">
        <f t="shared" si="32"/>
        <v>CLK_CUST_CST_CUNO_RE</v>
      </c>
      <c r="F276" s="7" t="str">
        <f t="shared" si="34"/>
        <v>CUNO_TITLE</v>
      </c>
      <c r="G276" s="7" t="s">
        <v>825</v>
      </c>
      <c r="H276" s="7" t="str">
        <f t="shared" si="35"/>
        <v>CLK_CUST_CST_CUNO_RE</v>
      </c>
      <c r="I276" s="7" t="str">
        <f t="shared" si="36"/>
        <v>CUNO_TITLE</v>
      </c>
      <c r="J276" s="7" t="str">
        <f t="shared" si="37"/>
        <v>VARCHAR</v>
      </c>
      <c r="K276" s="7" t="str">
        <f>TRIM(ETLMetadata!$G276)</f>
        <v>VARCHAR(12)</v>
      </c>
      <c r="L276" s="7" t="str">
        <f>TRIM(ETLMetadata!$I276)</f>
        <v/>
      </c>
      <c r="M276" s="7" t="str">
        <f t="shared" si="38"/>
        <v>NULLIF(TRIM(CUNO_TITLE),'')</v>
      </c>
      <c r="N276" s="7" t="str">
        <f>TRIM(ETLMetadata!$J276)</f>
        <v/>
      </c>
      <c r="O276" s="8" t="str">
        <f>IF(TRIM(Classification!$G276)="","NOT CONFIDENTIAL",TRIM(Classification!$G276))</f>
        <v>NOT CONFIDENTIAL</v>
      </c>
      <c r="P276" s="7" t="str">
        <f t="shared" si="39"/>
        <v>Y</v>
      </c>
      <c r="Q276" s="7" t="s">
        <v>826</v>
      </c>
      <c r="R276" s="9">
        <v>2958465</v>
      </c>
      <c r="S276" s="7" t="s">
        <v>827</v>
      </c>
      <c r="T276" s="7" t="s">
        <v>828</v>
      </c>
      <c r="U276" s="7" t="str">
        <f t="shared" si="33"/>
        <v>CLK_CUST_CST_CUNO_RE_V</v>
      </c>
      <c r="V276" s="7" t="s">
        <v>829</v>
      </c>
    </row>
    <row r="277" spans="1:22">
      <c r="A277" s="7" t="str">
        <f>TRIM(ETLMetadata!$B277)</f>
        <v>CLK</v>
      </c>
      <c r="B277" s="7" t="str">
        <f>TRIM(ETLMetadata!$C277)</f>
        <v>CUST_CST_CUNO_RE</v>
      </c>
      <c r="C277" s="7" t="str">
        <f>TRIM(ETLMetadata!$F277)</f>
        <v>CUNO_VAR_TEXT</v>
      </c>
      <c r="D277" s="7" t="str">
        <f>TRIM(ETLMetadata!$H277)</f>
        <v>StringType()</v>
      </c>
      <c r="E277" s="7" t="str">
        <f t="shared" si="32"/>
        <v>CLK_CUST_CST_CUNO_RE</v>
      </c>
      <c r="F277" s="7" t="str">
        <f t="shared" si="34"/>
        <v>CUNO_VAR_TEXT</v>
      </c>
      <c r="G277" s="7" t="s">
        <v>825</v>
      </c>
      <c r="H277" s="7" t="str">
        <f t="shared" si="35"/>
        <v>CLK_CUST_CST_CUNO_RE</v>
      </c>
      <c r="I277" s="7" t="str">
        <f t="shared" si="36"/>
        <v>CUNO_VAR_TEXT</v>
      </c>
      <c r="J277" s="7" t="str">
        <f t="shared" si="37"/>
        <v>VARCHAR</v>
      </c>
      <c r="K277" s="7" t="str">
        <f>TRIM(ETLMetadata!$G277)</f>
        <v>VARCHAR(20)</v>
      </c>
      <c r="L277" s="7" t="str">
        <f>TRIM(ETLMetadata!$I277)</f>
        <v/>
      </c>
      <c r="M277" s="7" t="str">
        <f t="shared" si="38"/>
        <v>NULLIF(TRIM(CUNO_VAR_TEXT),'')</v>
      </c>
      <c r="N277" s="7" t="str">
        <f>TRIM(ETLMetadata!$J277)</f>
        <v/>
      </c>
      <c r="O277" s="8" t="str">
        <f>IF(TRIM(Classification!$G277)="","NOT CONFIDENTIAL",TRIM(Classification!$G277))</f>
        <v>NOT CONFIDENTIAL</v>
      </c>
      <c r="P277" s="7" t="str">
        <f t="shared" si="39"/>
        <v>Y</v>
      </c>
      <c r="Q277" s="7" t="s">
        <v>826</v>
      </c>
      <c r="R277" s="9">
        <v>2958465</v>
      </c>
      <c r="S277" s="7" t="s">
        <v>827</v>
      </c>
      <c r="T277" s="7" t="s">
        <v>828</v>
      </c>
      <c r="U277" s="7" t="str">
        <f t="shared" si="33"/>
        <v>CLK_CUST_CST_CUNO_RE_V</v>
      </c>
      <c r="V277" s="7" t="s">
        <v>829</v>
      </c>
    </row>
    <row r="278" spans="1:22">
      <c r="A278" s="7" t="str">
        <f>TRIM(ETLMetadata!$B278)</f>
        <v>CLK</v>
      </c>
      <c r="B278" s="7" t="str">
        <f>TRIM(ETLMetadata!$C278)</f>
        <v>CUST_CST_CUNO_RE</v>
      </c>
      <c r="C278" s="7" t="str">
        <f>TRIM(ETLMetadata!$F278)</f>
        <v>CUNO_1ST_NAME</v>
      </c>
      <c r="D278" s="7" t="str">
        <f>TRIM(ETLMetadata!$H278)</f>
        <v>StringType()</v>
      </c>
      <c r="E278" s="7" t="str">
        <f t="shared" si="32"/>
        <v>CLK_CUST_CST_CUNO_RE</v>
      </c>
      <c r="F278" s="7" t="str">
        <f t="shared" si="34"/>
        <v>CUNO_1ST_NAME</v>
      </c>
      <c r="G278" s="7" t="s">
        <v>825</v>
      </c>
      <c r="H278" s="7" t="str">
        <f t="shared" si="35"/>
        <v>CLK_CUST_CST_CUNO_RE</v>
      </c>
      <c r="I278" s="7" t="str">
        <f t="shared" si="36"/>
        <v>CUNO_1ST_NAME</v>
      </c>
      <c r="J278" s="7" t="str">
        <f t="shared" si="37"/>
        <v>VARCHAR</v>
      </c>
      <c r="K278" s="7" t="str">
        <f>TRIM(ETLMetadata!$G278)</f>
        <v>VARCHAR(30)</v>
      </c>
      <c r="L278" s="7" t="str">
        <f>TRIM(ETLMetadata!$I278)</f>
        <v/>
      </c>
      <c r="M278" s="7" t="str">
        <f t="shared" si="38"/>
        <v>NULLIF(TRIM(CUNO_1ST_NAME),'')</v>
      </c>
      <c r="N278" s="7" t="str">
        <f>TRIM(ETLMetadata!$J278)</f>
        <v/>
      </c>
      <c r="O278" s="8" t="str">
        <f>IF(TRIM(Classification!$G278)="","NOT CONFIDENTIAL",TRIM(Classification!$G278))</f>
        <v>PERSONAL_IDENTITYINFRODIRECT</v>
      </c>
      <c r="P278" s="7" t="str">
        <f t="shared" si="39"/>
        <v>Y</v>
      </c>
      <c r="Q278" s="7" t="s">
        <v>826</v>
      </c>
      <c r="R278" s="9">
        <v>2958465</v>
      </c>
      <c r="S278" s="7" t="s">
        <v>827</v>
      </c>
      <c r="T278" s="7" t="s">
        <v>828</v>
      </c>
      <c r="U278" s="7" t="str">
        <f t="shared" si="33"/>
        <v>CLK_CUST_CST_CUNO_RE_V</v>
      </c>
      <c r="V278" s="7" t="s">
        <v>829</v>
      </c>
    </row>
    <row r="279" spans="1:22">
      <c r="A279" s="7" t="str">
        <f>TRIM(ETLMetadata!$B279)</f>
        <v>CLK</v>
      </c>
      <c r="B279" s="7" t="str">
        <f>TRIM(ETLMetadata!$C279)</f>
        <v>CUST_CST_CUNO_RE</v>
      </c>
      <c r="C279" s="7" t="str">
        <f>TRIM(ETLMetadata!$F279)</f>
        <v>CUNO_2ND_NAME</v>
      </c>
      <c r="D279" s="7" t="str">
        <f>TRIM(ETLMetadata!$H279)</f>
        <v>StringType()</v>
      </c>
      <c r="E279" s="7" t="str">
        <f t="shared" si="32"/>
        <v>CLK_CUST_CST_CUNO_RE</v>
      </c>
      <c r="F279" s="7" t="str">
        <f t="shared" si="34"/>
        <v>CUNO_2ND_NAME</v>
      </c>
      <c r="G279" s="7" t="s">
        <v>825</v>
      </c>
      <c r="H279" s="7" t="str">
        <f t="shared" si="35"/>
        <v>CLK_CUST_CST_CUNO_RE</v>
      </c>
      <c r="I279" s="7" t="str">
        <f t="shared" si="36"/>
        <v>CUNO_2ND_NAME</v>
      </c>
      <c r="J279" s="7" t="str">
        <f t="shared" si="37"/>
        <v>VARCHAR</v>
      </c>
      <c r="K279" s="7" t="str">
        <f>TRIM(ETLMetadata!$G279)</f>
        <v>VARCHAR(30)</v>
      </c>
      <c r="L279" s="7" t="str">
        <f>TRIM(ETLMetadata!$I279)</f>
        <v/>
      </c>
      <c r="M279" s="7" t="str">
        <f t="shared" si="38"/>
        <v>NULLIF(TRIM(CUNO_2ND_NAME),'')</v>
      </c>
      <c r="N279" s="7" t="str">
        <f>TRIM(ETLMetadata!$J279)</f>
        <v/>
      </c>
      <c r="O279" s="8" t="str">
        <f>IF(TRIM(Classification!$G279)="","NOT CONFIDENTIAL",TRIM(Classification!$G279))</f>
        <v>PERSONAL_IDENTITYINFRODIRECT</v>
      </c>
      <c r="P279" s="7" t="str">
        <f t="shared" si="39"/>
        <v>Y</v>
      </c>
      <c r="Q279" s="7" t="s">
        <v>826</v>
      </c>
      <c r="R279" s="9">
        <v>2958465</v>
      </c>
      <c r="S279" s="7" t="s">
        <v>827</v>
      </c>
      <c r="T279" s="7" t="s">
        <v>828</v>
      </c>
      <c r="U279" s="7" t="str">
        <f t="shared" si="33"/>
        <v>CLK_CUST_CST_CUNO_RE_V</v>
      </c>
      <c r="V279" s="7" t="s">
        <v>829</v>
      </c>
    </row>
    <row r="280" spans="1:22">
      <c r="A280" s="7" t="str">
        <f>TRIM(ETLMetadata!$B280)</f>
        <v>CLK</v>
      </c>
      <c r="B280" s="7" t="str">
        <f>TRIM(ETLMetadata!$C280)</f>
        <v>CUST_CST_CUNO_RE</v>
      </c>
      <c r="C280" s="7" t="str">
        <f>TRIM(ETLMetadata!$F280)</f>
        <v>AMR1_RISL_DTS</v>
      </c>
      <c r="D280" s="7" t="str">
        <f>TRIM(ETLMetadata!$H280)</f>
        <v>StringType()</v>
      </c>
      <c r="E280" s="7" t="str">
        <f t="shared" si="32"/>
        <v>CLK_CUST_CST_CUNO_RE</v>
      </c>
      <c r="F280" s="7" t="str">
        <f t="shared" si="34"/>
        <v>AMR1_RISL_DTS</v>
      </c>
      <c r="G280" s="7" t="s">
        <v>825</v>
      </c>
      <c r="H280" s="7" t="str">
        <f t="shared" si="35"/>
        <v>CLK_CUST_CST_CUNO_RE</v>
      </c>
      <c r="I280" s="7" t="str">
        <f t="shared" si="36"/>
        <v>AMR1_RISL_DTS</v>
      </c>
      <c r="J280" s="7" t="str">
        <f t="shared" si="37"/>
        <v>TIMESTAMP</v>
      </c>
      <c r="K280" s="7" t="str">
        <f>TRIM(ETLMetadata!$G280)</f>
        <v>TIMESTAMP(6)</v>
      </c>
      <c r="L280" s="7" t="str">
        <f>TRIM(ETLMetadata!$I280)</f>
        <v>YYYY-MM-DDBHH:MI:SS.S(6)</v>
      </c>
      <c r="M280" s="7" t="str">
        <f t="shared" si="38"/>
        <v>TO_TIMESTAMP_NTZ(NULLIF(TRIM(AMR1_RISL_DTS),''),'YYYY-MM-DD HH24:MI:SS.FF6')</v>
      </c>
      <c r="N280" s="7" t="str">
        <f>TRIM(ETLMetadata!$J280)</f>
        <v/>
      </c>
      <c r="O280" s="8" t="str">
        <f>IF(TRIM(Classification!$G280)="","NOT CONFIDENTIAL",TRIM(Classification!$G280))</f>
        <v>NOT CONFIDENTIAL</v>
      </c>
      <c r="P280" s="7" t="str">
        <f t="shared" si="39"/>
        <v>Y</v>
      </c>
      <c r="Q280" s="7" t="s">
        <v>826</v>
      </c>
      <c r="R280" s="9">
        <v>2958465</v>
      </c>
      <c r="S280" s="7" t="s">
        <v>827</v>
      </c>
      <c r="T280" s="7" t="s">
        <v>828</v>
      </c>
      <c r="U280" s="7" t="str">
        <f t="shared" si="33"/>
        <v>CLK_CUST_CST_CUNO_RE_V</v>
      </c>
      <c r="V280" s="7" t="s">
        <v>829</v>
      </c>
    </row>
    <row r="281" spans="1:22">
      <c r="A281" s="7" t="str">
        <f>TRIM(ETLMetadata!$B281)</f>
        <v>CLK</v>
      </c>
      <c r="B281" s="7" t="str">
        <f>TRIM(ETLMetadata!$C281)</f>
        <v>CUST_CST_CUNO_RE</v>
      </c>
      <c r="C281" s="7" t="str">
        <f>TRIM(ETLMetadata!$F281)</f>
        <v>AMR3_RISL_DTS</v>
      </c>
      <c r="D281" s="7" t="str">
        <f>TRIM(ETLMetadata!$H281)</f>
        <v>StringType()</v>
      </c>
      <c r="E281" s="7" t="str">
        <f t="shared" si="32"/>
        <v>CLK_CUST_CST_CUNO_RE</v>
      </c>
      <c r="F281" s="7" t="str">
        <f t="shared" si="34"/>
        <v>AMR3_RISL_DTS</v>
      </c>
      <c r="G281" s="7" t="s">
        <v>825</v>
      </c>
      <c r="H281" s="7" t="str">
        <f t="shared" si="35"/>
        <v>CLK_CUST_CST_CUNO_RE</v>
      </c>
      <c r="I281" s="7" t="str">
        <f t="shared" si="36"/>
        <v>AMR3_RISL_DTS</v>
      </c>
      <c r="J281" s="7" t="str">
        <f t="shared" si="37"/>
        <v>TIMESTAMP</v>
      </c>
      <c r="K281" s="7" t="str">
        <f>TRIM(ETLMetadata!$G281)</f>
        <v>TIMESTAMP(6)</v>
      </c>
      <c r="L281" s="7" t="str">
        <f>TRIM(ETLMetadata!$I281)</f>
        <v>YYYY-MM-DDBHH:MI:SS.S(6)</v>
      </c>
      <c r="M281" s="7" t="str">
        <f t="shared" si="38"/>
        <v>TO_TIMESTAMP_NTZ(NULLIF(TRIM(AMR3_RISL_DTS),''),'YYYY-MM-DD HH24:MI:SS.FF6')</v>
      </c>
      <c r="N281" s="7" t="str">
        <f>TRIM(ETLMetadata!$J281)</f>
        <v/>
      </c>
      <c r="O281" s="8" t="str">
        <f>IF(TRIM(Classification!$G281)="","NOT CONFIDENTIAL",TRIM(Classification!$G281))</f>
        <v>NOT CONFIDENTIAL</v>
      </c>
      <c r="P281" s="7" t="str">
        <f t="shared" si="39"/>
        <v>Y</v>
      </c>
      <c r="Q281" s="7" t="s">
        <v>826</v>
      </c>
      <c r="R281" s="9">
        <v>2958465</v>
      </c>
      <c r="S281" s="7" t="s">
        <v>827</v>
      </c>
      <c r="T281" s="7" t="s">
        <v>828</v>
      </c>
      <c r="U281" s="7" t="str">
        <f t="shared" si="33"/>
        <v>CLK_CUST_CST_CUNO_RE_V</v>
      </c>
      <c r="V281" s="7" t="s">
        <v>829</v>
      </c>
    </row>
    <row r="282" spans="1:22">
      <c r="A282" s="7" t="str">
        <f>TRIM(ETLMetadata!$B282)</f>
        <v>CLK</v>
      </c>
      <c r="B282" s="7" t="str">
        <f>TRIM(ETLMetadata!$C282)</f>
        <v>CUST_CST_CUNO_RE</v>
      </c>
      <c r="C282" s="7" t="str">
        <f>TRIM(ETLMetadata!$F282)</f>
        <v>PARTY_ROLE_ID</v>
      </c>
      <c r="D282" s="7" t="str">
        <f>TRIM(ETLMetadata!$H282)</f>
        <v>StringType()</v>
      </c>
      <c r="E282" s="7" t="str">
        <f t="shared" si="32"/>
        <v>CLK_CUST_CST_CUNO_RE</v>
      </c>
      <c r="F282" s="7" t="str">
        <f t="shared" si="34"/>
        <v>PARTY_ROLE_ID</v>
      </c>
      <c r="G282" s="7" t="s">
        <v>825</v>
      </c>
      <c r="H282" s="7" t="str">
        <f t="shared" si="35"/>
        <v>CLK_CUST_CST_CUNO_RE</v>
      </c>
      <c r="I282" s="7" t="str">
        <f t="shared" si="36"/>
        <v>PARTY_ROLE_ID</v>
      </c>
      <c r="J282" s="7" t="str">
        <f t="shared" si="37"/>
        <v>INTEGER</v>
      </c>
      <c r="K282" s="7" t="str">
        <f>TRIM(ETLMetadata!$G282)</f>
        <v>INTEGER</v>
      </c>
      <c r="L282" s="7" t="str">
        <f>TRIM(ETLMetadata!$I282)</f>
        <v/>
      </c>
      <c r="M282" s="7" t="str">
        <f t="shared" si="38"/>
        <v>CAST(NULLIF(TRIM(PARTY_ROLE_ID),'') AS INTEGER)</v>
      </c>
      <c r="N282" s="7" t="str">
        <f>TRIM(ETLMetadata!$J282)</f>
        <v/>
      </c>
      <c r="O282" s="8" t="str">
        <f>IF(TRIM(Classification!$G282)="","NOT CONFIDENTIAL",TRIM(Classification!$G282))</f>
        <v>NOT CONFIDENTIAL</v>
      </c>
      <c r="P282" s="7" t="str">
        <f t="shared" si="39"/>
        <v>Y</v>
      </c>
      <c r="Q282" s="7" t="s">
        <v>826</v>
      </c>
      <c r="R282" s="9">
        <v>2958465</v>
      </c>
      <c r="S282" s="7" t="s">
        <v>827</v>
      </c>
      <c r="T282" s="7" t="s">
        <v>828</v>
      </c>
      <c r="U282" s="7" t="str">
        <f t="shared" si="33"/>
        <v>CLK_CUST_CST_CUNO_RE_V</v>
      </c>
      <c r="V282" s="7" t="s">
        <v>829</v>
      </c>
    </row>
    <row r="283" spans="1:22">
      <c r="A283" s="7" t="str">
        <f>TRIM(ETLMetadata!$B283)</f>
        <v>CLK</v>
      </c>
      <c r="B283" s="7" t="str">
        <f>TRIM(ETLMetadata!$C283)</f>
        <v>CUST_CST_CUNO_RE</v>
      </c>
      <c r="C283" s="7" t="str">
        <f>TRIM(ETLMetadata!$F283)</f>
        <v>RELATED_PARTY_ROLE_ID</v>
      </c>
      <c r="D283" s="7" t="str">
        <f>TRIM(ETLMetadata!$H283)</f>
        <v>StringType()</v>
      </c>
      <c r="E283" s="7" t="str">
        <f t="shared" si="32"/>
        <v>CLK_CUST_CST_CUNO_RE</v>
      </c>
      <c r="F283" s="7" t="str">
        <f t="shared" si="34"/>
        <v>RELATED_PARTY_ROLE_ID</v>
      </c>
      <c r="G283" s="7" t="s">
        <v>825</v>
      </c>
      <c r="H283" s="7" t="str">
        <f t="shared" si="35"/>
        <v>CLK_CUST_CST_CUNO_RE</v>
      </c>
      <c r="I283" s="7" t="str">
        <f t="shared" si="36"/>
        <v>RELATED_PARTY_ROLE_ID</v>
      </c>
      <c r="J283" s="7" t="str">
        <f t="shared" si="37"/>
        <v>INTEGER</v>
      </c>
      <c r="K283" s="7" t="str">
        <f>TRIM(ETLMetadata!$G283)</f>
        <v>INTEGER</v>
      </c>
      <c r="L283" s="7" t="str">
        <f>TRIM(ETLMetadata!$I283)</f>
        <v/>
      </c>
      <c r="M283" s="7" t="str">
        <f t="shared" si="38"/>
        <v>CAST(NULLIF(TRIM(RELATED_PARTY_ROLE_ID),'') AS INTEGER)</v>
      </c>
      <c r="N283" s="7" t="str">
        <f>TRIM(ETLMetadata!$J283)</f>
        <v/>
      </c>
      <c r="O283" s="8" t="str">
        <f>IF(TRIM(Classification!$G283)="","NOT CONFIDENTIAL",TRIM(Classification!$G283))</f>
        <v>NOT CONFIDENTIAL</v>
      </c>
      <c r="P283" s="7" t="str">
        <f t="shared" si="39"/>
        <v>Y</v>
      </c>
      <c r="Q283" s="7" t="s">
        <v>826</v>
      </c>
      <c r="R283" s="9">
        <v>2958465</v>
      </c>
      <c r="S283" s="7" t="s">
        <v>827</v>
      </c>
      <c r="T283" s="7" t="s">
        <v>828</v>
      </c>
      <c r="U283" s="7" t="str">
        <f t="shared" si="33"/>
        <v>CLK_CUST_CST_CUNO_RE_V</v>
      </c>
      <c r="V283" s="7" t="s">
        <v>829</v>
      </c>
    </row>
    <row r="284" spans="1:22">
      <c r="A284" s="7" t="str">
        <f>TRIM(ETLMetadata!$B284)</f>
        <v>CLK</v>
      </c>
      <c r="B284" s="7" t="str">
        <f>TRIM(ETLMetadata!$C284)</f>
        <v>CUST_CST_CUNO_RE</v>
      </c>
      <c r="C284" s="7" t="str">
        <f>TRIM(ETLMetadata!$F284)</f>
        <v>ERROR_COUNT</v>
      </c>
      <c r="D284" s="7" t="str">
        <f>TRIM(ETLMetadata!$H284)</f>
        <v>StringType()</v>
      </c>
      <c r="E284" s="7" t="str">
        <f t="shared" si="32"/>
        <v>CLK_CUST_CST_CUNO_RE</v>
      </c>
      <c r="F284" s="7" t="str">
        <f t="shared" si="34"/>
        <v>ERROR_COUNT</v>
      </c>
      <c r="G284" s="7" t="s">
        <v>825</v>
      </c>
      <c r="H284" s="7" t="str">
        <f t="shared" si="35"/>
        <v>CLK_CUST_CST_CUNO_RE</v>
      </c>
      <c r="I284" s="7" t="str">
        <f t="shared" si="36"/>
        <v>ERROR_COUNT</v>
      </c>
      <c r="J284" s="7" t="str">
        <f t="shared" si="37"/>
        <v>SMALLINT</v>
      </c>
      <c r="K284" s="7" t="str">
        <f>TRIM(ETLMetadata!$G284)</f>
        <v>SMALLINT</v>
      </c>
      <c r="L284" s="7" t="str">
        <f>TRIM(ETLMetadata!$I284)</f>
        <v/>
      </c>
      <c r="M284" s="7" t="str">
        <f t="shared" si="38"/>
        <v>CAST(NULLIF(TRIM(ERROR_COUNT),'') AS SMALLINT)</v>
      </c>
      <c r="N284" s="7" t="str">
        <f>TRIM(ETLMetadata!$J284)</f>
        <v/>
      </c>
      <c r="O284" s="8" t="str">
        <f>IF(TRIM(Classification!$G284)="","NOT CONFIDENTIAL",TRIM(Classification!$G284))</f>
        <v>NOT CONFIDENTIAL</v>
      </c>
      <c r="P284" s="7" t="str">
        <f t="shared" si="39"/>
        <v>Y</v>
      </c>
      <c r="Q284" s="7" t="s">
        <v>826</v>
      </c>
      <c r="R284" s="9">
        <v>2958465</v>
      </c>
      <c r="S284" s="7" t="s">
        <v>827</v>
      </c>
      <c r="T284" s="7" t="s">
        <v>828</v>
      </c>
      <c r="U284" s="7" t="str">
        <f t="shared" si="33"/>
        <v>CLK_CUST_CST_CUNO_RE_V</v>
      </c>
      <c r="V284" s="7" t="s">
        <v>829</v>
      </c>
    </row>
    <row r="285" spans="1:22">
      <c r="A285" s="7" t="str">
        <f>TRIM(ETLMetadata!$B285)</f>
        <v>CLK</v>
      </c>
      <c r="B285" s="7" t="str">
        <f>TRIM(ETLMetadata!$C285)</f>
        <v>CUST_CST_CUNO_RE</v>
      </c>
      <c r="C285" s="7" t="str">
        <f>TRIM(ETLMetadata!$F285)</f>
        <v>Start_Date</v>
      </c>
      <c r="D285" s="7" t="str">
        <f>TRIM(ETLMetadata!$H285)</f>
        <v>StringType()</v>
      </c>
      <c r="E285" s="7" t="str">
        <f t="shared" si="32"/>
        <v>CLK_CUST_CST_CUNO_RE</v>
      </c>
      <c r="F285" s="7" t="str">
        <f t="shared" si="34"/>
        <v>STRT_DT</v>
      </c>
      <c r="G285" s="7" t="s">
        <v>825</v>
      </c>
      <c r="H285" s="7" t="str">
        <f t="shared" si="35"/>
        <v>CLK_CUST_CST_CUNO_RE</v>
      </c>
      <c r="I285" s="7" t="str">
        <f t="shared" si="36"/>
        <v>STRT_DT</v>
      </c>
      <c r="J285" s="7" t="str">
        <f t="shared" si="37"/>
        <v>DATE</v>
      </c>
      <c r="K285" s="7" t="str">
        <f>TRIM(ETLMetadata!$G285)</f>
        <v>DATE</v>
      </c>
      <c r="L285" s="7" t="str">
        <f>TRIM(ETLMetadata!$I285)</f>
        <v>YYYY-MM-DD</v>
      </c>
      <c r="M285" s="7" t="str">
        <f t="shared" si="38"/>
        <v>TO_DATE(NULLIF(TRIM(STRT_DT),'') , 'YYYY-MM-DD')</v>
      </c>
      <c r="N285" s="7" t="str">
        <f>TRIM(ETLMetadata!$J285)</f>
        <v/>
      </c>
      <c r="O285" s="8" t="str">
        <f>IF(TRIM(Classification!$G285)="","NOT CONFIDENTIAL",TRIM(Classification!$G285))</f>
        <v>NOT CONFIDENTIAL</v>
      </c>
      <c r="P285" s="7" t="str">
        <f t="shared" si="39"/>
        <v>N</v>
      </c>
      <c r="Q285" s="7" t="s">
        <v>826</v>
      </c>
      <c r="R285" s="9">
        <v>2958465</v>
      </c>
      <c r="S285" s="7" t="s">
        <v>827</v>
      </c>
      <c r="T285" s="7" t="s">
        <v>828</v>
      </c>
      <c r="U285" s="7" t="str">
        <f t="shared" si="33"/>
        <v>CLK_CUST_CST_CUNO_RE_V</v>
      </c>
      <c r="V285" s="7" t="s">
        <v>829</v>
      </c>
    </row>
    <row r="286" spans="1:22">
      <c r="A286" s="7" t="str">
        <f>TRIM(ETLMetadata!$B286)</f>
        <v>CLK</v>
      </c>
      <c r="B286" s="7" t="str">
        <f>TRIM(ETLMetadata!$C286)</f>
        <v>CUST_CST_CUNO_RE</v>
      </c>
      <c r="C286" s="7" t="str">
        <f>TRIM(ETLMetadata!$F286)</f>
        <v>End_Date</v>
      </c>
      <c r="D286" s="7" t="str">
        <f>TRIM(ETLMetadata!$H286)</f>
        <v>StringType()</v>
      </c>
      <c r="E286" s="7" t="str">
        <f t="shared" si="32"/>
        <v>CLK_CUST_CST_CUNO_RE</v>
      </c>
      <c r="F286" s="7" t="str">
        <f t="shared" si="34"/>
        <v>END_DT</v>
      </c>
      <c r="G286" s="7" t="s">
        <v>825</v>
      </c>
      <c r="H286" s="7" t="str">
        <f t="shared" si="35"/>
        <v>CLK_CUST_CST_CUNO_RE</v>
      </c>
      <c r="I286" s="7" t="str">
        <f t="shared" si="36"/>
        <v>END_DT</v>
      </c>
      <c r="J286" s="7" t="str">
        <f t="shared" si="37"/>
        <v>DATE</v>
      </c>
      <c r="K286" s="7" t="str">
        <f>TRIM(ETLMetadata!$G286)</f>
        <v>DATE</v>
      </c>
      <c r="L286" s="7" t="str">
        <f>TRIM(ETLMetadata!$I286)</f>
        <v>YYYY-MM-DD</v>
      </c>
      <c r="M286" s="7" t="str">
        <f t="shared" si="38"/>
        <v>TO_DATE(NULLIF(TRIM(END_DT),'') , 'YYYY-MM-DD')</v>
      </c>
      <c r="N286" s="7" t="str">
        <f>TRIM(ETLMetadata!$J286)</f>
        <v/>
      </c>
      <c r="O286" s="8" t="str">
        <f>IF(TRIM(Classification!$G286)="","NOT CONFIDENTIAL",TRIM(Classification!$G286))</f>
        <v>NOT CONFIDENTIAL</v>
      </c>
      <c r="P286" s="7" t="str">
        <f t="shared" si="39"/>
        <v>N</v>
      </c>
      <c r="Q286" s="7" t="s">
        <v>826</v>
      </c>
      <c r="R286" s="9">
        <v>2958465</v>
      </c>
      <c r="S286" s="7" t="s">
        <v>827</v>
      </c>
      <c r="T286" s="7" t="s">
        <v>828</v>
      </c>
      <c r="U286" s="7" t="str">
        <f t="shared" si="33"/>
        <v>CLK_CUST_CST_CUNO_RE_V</v>
      </c>
      <c r="V286" s="7" t="s">
        <v>829</v>
      </c>
    </row>
    <row r="287" spans="1:22">
      <c r="A287" s="7" t="str">
        <f>TRIM(ETLMetadata!$B287)</f>
        <v>CLK</v>
      </c>
      <c r="B287" s="7" t="str">
        <f>TRIM(ETLMetadata!$C287)</f>
        <v>CUST_CST_CUNO_RE</v>
      </c>
      <c r="C287" s="7" t="str">
        <f>TRIM(ETLMetadata!$F287)</f>
        <v>Record_Deleted_Flag</v>
      </c>
      <c r="D287" s="7" t="str">
        <f>TRIM(ETLMetadata!$H287)</f>
        <v>StringType()</v>
      </c>
      <c r="E287" s="7" t="str">
        <f t="shared" ref="E287:E350" si="40">CONCATENATE($A287,"_",B287)</f>
        <v>CLK_CUST_CST_CUNO_RE</v>
      </c>
      <c r="F287" s="7" t="str">
        <f t="shared" si="34"/>
        <v>RCRD_DEL_IND</v>
      </c>
      <c r="G287" s="7" t="s">
        <v>825</v>
      </c>
      <c r="H287" s="7" t="str">
        <f t="shared" si="35"/>
        <v>CLK_CUST_CST_CUNO_RE</v>
      </c>
      <c r="I287" s="7" t="str">
        <f t="shared" si="36"/>
        <v>RCRD_DEL_IND</v>
      </c>
      <c r="J287" s="7" t="str">
        <f t="shared" si="37"/>
        <v>SMALLINT</v>
      </c>
      <c r="K287" s="7" t="str">
        <f>TRIM(ETLMetadata!$G287)</f>
        <v>BYTEINT</v>
      </c>
      <c r="L287" s="7" t="str">
        <f>TRIM(ETLMetadata!$I287)</f>
        <v/>
      </c>
      <c r="M287" s="7" t="str">
        <f t="shared" si="38"/>
        <v>CAST(NULLIF(TRIM(RCRD_DEL_IND),'') AS SMALLINT)</v>
      </c>
      <c r="N287" s="7" t="str">
        <f>TRIM(ETLMetadata!$J287)</f>
        <v/>
      </c>
      <c r="O287" s="8" t="str">
        <f>IF(TRIM(Classification!$G287)="","NOT CONFIDENTIAL",TRIM(Classification!$G287))</f>
        <v>NOT CONFIDENTIAL</v>
      </c>
      <c r="P287" s="7" t="str">
        <f t="shared" si="39"/>
        <v>N</v>
      </c>
      <c r="Q287" s="7" t="s">
        <v>826</v>
      </c>
      <c r="R287" s="9">
        <v>2958465</v>
      </c>
      <c r="S287" s="7" t="s">
        <v>827</v>
      </c>
      <c r="T287" s="7" t="s">
        <v>828</v>
      </c>
      <c r="U287" s="7" t="str">
        <f t="shared" ref="U287:U350" si="41">CONCATENATE(A287,"_",B287,"_V")</f>
        <v>CLK_CUST_CST_CUNO_RE_V</v>
      </c>
      <c r="V287" s="7" t="s">
        <v>829</v>
      </c>
    </row>
    <row r="288" spans="1:22">
      <c r="A288" s="7" t="str">
        <f>TRIM(ETLMetadata!$B288)</f>
        <v>CLK</v>
      </c>
      <c r="B288" s="7" t="str">
        <f>TRIM(ETLMetadata!$C288)</f>
        <v>CUST_CST_CUOR</v>
      </c>
      <c r="C288" s="7" t="str">
        <f>TRIM(ETLMetadata!$F288)</f>
        <v>EXTRACT_DATE</v>
      </c>
      <c r="D288" s="7" t="str">
        <f>TRIM(ETLMetadata!$H288)</f>
        <v>StringType()</v>
      </c>
      <c r="E288" s="7" t="str">
        <f t="shared" si="40"/>
        <v>CLK_CUST_CST_CUOR</v>
      </c>
      <c r="F288" s="7" t="str">
        <f t="shared" si="34"/>
        <v>EXTRACT_DATE</v>
      </c>
      <c r="G288" s="7" t="s">
        <v>825</v>
      </c>
      <c r="H288" s="7" t="str">
        <f t="shared" si="35"/>
        <v>CLK_CUST_CST_CUOR</v>
      </c>
      <c r="I288" s="7" t="str">
        <f t="shared" si="36"/>
        <v>EXTRACT_DATE</v>
      </c>
      <c r="J288" s="7" t="str">
        <f t="shared" si="37"/>
        <v>DATE</v>
      </c>
      <c r="K288" s="7" t="str">
        <f>TRIM(ETLMetadata!$G288)</f>
        <v>DATE</v>
      </c>
      <c r="L288" s="7" t="str">
        <f>TRIM(ETLMetadata!$I288)</f>
        <v>YYYY-MM-DD</v>
      </c>
      <c r="M288" s="7" t="str">
        <f t="shared" si="38"/>
        <v>TO_DATE(NULLIF(TRIM(EXTRACT_DATE),'') , 'YYYY-MM-DD')</v>
      </c>
      <c r="N288" s="7" t="str">
        <f>TRIM(ETLMetadata!$J288)</f>
        <v/>
      </c>
      <c r="O288" s="8" t="str">
        <f>IF(TRIM(Classification!$G288)="","NOT CONFIDENTIAL",TRIM(Classification!$G288))</f>
        <v>NOT CONFIDENTIAL</v>
      </c>
      <c r="P288" s="7" t="str">
        <f t="shared" si="39"/>
        <v>Y</v>
      </c>
      <c r="Q288" s="7" t="s">
        <v>826</v>
      </c>
      <c r="R288" s="9">
        <v>2958465</v>
      </c>
      <c r="S288" s="7" t="s">
        <v>827</v>
      </c>
      <c r="T288" s="7" t="s">
        <v>828</v>
      </c>
      <c r="U288" s="7" t="str">
        <f t="shared" si="41"/>
        <v>CLK_CUST_CST_CUOR_V</v>
      </c>
      <c r="V288" s="7" t="s">
        <v>829</v>
      </c>
    </row>
    <row r="289" spans="1:22">
      <c r="A289" s="7" t="str">
        <f>TRIM(ETLMetadata!$B289)</f>
        <v>CLK</v>
      </c>
      <c r="B289" s="7" t="str">
        <f>TRIM(ETLMetadata!$C289)</f>
        <v>CUST_CST_CUOR</v>
      </c>
      <c r="C289" s="7" t="str">
        <f>TRIM(ETLMetadata!$F289)</f>
        <v>LOGICAL_DELETE_DATE</v>
      </c>
      <c r="D289" s="7" t="str">
        <f>TRIM(ETLMetadata!$H289)</f>
        <v>StringType()</v>
      </c>
      <c r="E289" s="7" t="str">
        <f t="shared" si="40"/>
        <v>CLK_CUST_CST_CUOR</v>
      </c>
      <c r="F289" s="7" t="str">
        <f t="shared" si="34"/>
        <v>LOGICAL_DELETE_DATE</v>
      </c>
      <c r="G289" s="7" t="s">
        <v>825</v>
      </c>
      <c r="H289" s="7" t="str">
        <f t="shared" si="35"/>
        <v>CLK_CUST_CST_CUOR</v>
      </c>
      <c r="I289" s="7" t="str">
        <f t="shared" si="36"/>
        <v>LOGICAL_DELETE_DATE</v>
      </c>
      <c r="J289" s="7" t="str">
        <f t="shared" si="37"/>
        <v>DATE</v>
      </c>
      <c r="K289" s="7" t="str">
        <f>TRIM(ETLMetadata!$G289)</f>
        <v>DATE</v>
      </c>
      <c r="L289" s="7" t="str">
        <f>TRIM(ETLMetadata!$I289)</f>
        <v>YYYY-MM-DD</v>
      </c>
      <c r="M289" s="7" t="str">
        <f t="shared" si="38"/>
        <v>TO_DATE(NULLIF(TRIM(LOGICAL_DELETE_DATE),'') , 'YYYY-MM-DD')</v>
      </c>
      <c r="N289" s="7" t="str">
        <f>TRIM(ETLMetadata!$J289)</f>
        <v/>
      </c>
      <c r="O289" s="8" t="str">
        <f>IF(TRIM(Classification!$G289)="","NOT CONFIDENTIAL",TRIM(Classification!$G289))</f>
        <v>NOT CONFIDENTIAL</v>
      </c>
      <c r="P289" s="7" t="str">
        <f t="shared" si="39"/>
        <v>Y</v>
      </c>
      <c r="Q289" s="7" t="s">
        <v>826</v>
      </c>
      <c r="R289" s="9">
        <v>2958465</v>
      </c>
      <c r="S289" s="7" t="s">
        <v>827</v>
      </c>
      <c r="T289" s="7" t="s">
        <v>828</v>
      </c>
      <c r="U289" s="7" t="str">
        <f t="shared" si="41"/>
        <v>CLK_CUST_CST_CUOR_V</v>
      </c>
      <c r="V289" s="7" t="s">
        <v>829</v>
      </c>
    </row>
    <row r="290" spans="1:22">
      <c r="A290" s="7" t="str">
        <f>TRIM(ETLMetadata!$B290)</f>
        <v>CLK</v>
      </c>
      <c r="B290" s="7" t="str">
        <f>TRIM(ETLMetadata!$C290)</f>
        <v>CUST_CST_CUOR</v>
      </c>
      <c r="C290" s="7" t="str">
        <f>TRIM(ETLMetadata!$F290)</f>
        <v>ENVIRONMENT_ID</v>
      </c>
      <c r="D290" s="7" t="str">
        <f>TRIM(ETLMetadata!$H290)</f>
        <v>StringType()</v>
      </c>
      <c r="E290" s="7" t="str">
        <f t="shared" si="40"/>
        <v>CLK_CUST_CST_CUOR</v>
      </c>
      <c r="F290" s="7" t="str">
        <f t="shared" si="34"/>
        <v>ENVIRONMENT_ID</v>
      </c>
      <c r="G290" s="7" t="s">
        <v>825</v>
      </c>
      <c r="H290" s="7" t="str">
        <f t="shared" si="35"/>
        <v>CLK_CUST_CST_CUOR</v>
      </c>
      <c r="I290" s="7" t="str">
        <f t="shared" si="36"/>
        <v>ENVIRONMENT_ID</v>
      </c>
      <c r="J290" s="7" t="str">
        <f t="shared" si="37"/>
        <v>VARCHAR</v>
      </c>
      <c r="K290" s="7" t="str">
        <f>TRIM(ETLMetadata!$G290)</f>
        <v>CHAR(1)</v>
      </c>
      <c r="L290" s="7" t="str">
        <f>TRIM(ETLMetadata!$I290)</f>
        <v/>
      </c>
      <c r="M290" s="7" t="str">
        <f t="shared" si="38"/>
        <v>NULLIF(TRIM(ENVIRONMENT_ID),'')</v>
      </c>
      <c r="N290" s="7" t="str">
        <f>TRIM(ETLMetadata!$J290)</f>
        <v>Y</v>
      </c>
      <c r="O290" s="8" t="str">
        <f>IF(TRIM(Classification!$G290)="","NOT CONFIDENTIAL",TRIM(Classification!$G290))</f>
        <v>NOT CONFIDENTIAL</v>
      </c>
      <c r="P290" s="7" t="str">
        <f t="shared" si="39"/>
        <v>Y</v>
      </c>
      <c r="Q290" s="7" t="s">
        <v>826</v>
      </c>
      <c r="R290" s="9">
        <v>2958465</v>
      </c>
      <c r="S290" s="7" t="s">
        <v>827</v>
      </c>
      <c r="T290" s="7" t="s">
        <v>828</v>
      </c>
      <c r="U290" s="7" t="str">
        <f t="shared" si="41"/>
        <v>CLK_CUST_CST_CUOR_V</v>
      </c>
      <c r="V290" s="7" t="s">
        <v>829</v>
      </c>
    </row>
    <row r="291" spans="1:22">
      <c r="A291" s="7" t="str">
        <f>TRIM(ETLMetadata!$B291)</f>
        <v>CLK</v>
      </c>
      <c r="B291" s="7" t="str">
        <f>TRIM(ETLMetadata!$C291)</f>
        <v>CUST_CST_CUOR</v>
      </c>
      <c r="C291" s="7" t="str">
        <f>TRIM(ETLMetadata!$F291)</f>
        <v>PERSON_ID</v>
      </c>
      <c r="D291" s="7" t="str">
        <f>TRIM(ETLMetadata!$H291)</f>
        <v>StringType()</v>
      </c>
      <c r="E291" s="7" t="str">
        <f t="shared" si="40"/>
        <v>CLK_CUST_CST_CUOR</v>
      </c>
      <c r="F291" s="7" t="str">
        <f t="shared" si="34"/>
        <v>PERSON_ID</v>
      </c>
      <c r="G291" s="7" t="s">
        <v>825</v>
      </c>
      <c r="H291" s="7" t="str">
        <f t="shared" si="35"/>
        <v>CLK_CUST_CST_CUOR</v>
      </c>
      <c r="I291" s="7" t="str">
        <f t="shared" si="36"/>
        <v>PERSON_ID</v>
      </c>
      <c r="J291" s="7" t="str">
        <f t="shared" si="37"/>
        <v>INTEGER</v>
      </c>
      <c r="K291" s="7" t="str">
        <f>TRIM(ETLMetadata!$G291)</f>
        <v>INTEGER</v>
      </c>
      <c r="L291" s="7" t="str">
        <f>TRIM(ETLMetadata!$I291)</f>
        <v/>
      </c>
      <c r="M291" s="7" t="str">
        <f t="shared" si="38"/>
        <v>CAST(NULLIF(TRIM(PERSON_ID),'') AS INTEGER)</v>
      </c>
      <c r="N291" s="7" t="str">
        <f>TRIM(ETLMetadata!$J291)</f>
        <v>Y</v>
      </c>
      <c r="O291" s="8" t="str">
        <f>IF(TRIM(Classification!$G291)="","NOT CONFIDENTIAL",TRIM(Classification!$G291))</f>
        <v>PERSONAL_IDENTITYINFODIRECT</v>
      </c>
      <c r="P291" s="7" t="str">
        <f t="shared" si="39"/>
        <v>Y</v>
      </c>
      <c r="Q291" s="7" t="s">
        <v>826</v>
      </c>
      <c r="R291" s="9">
        <v>2958465</v>
      </c>
      <c r="S291" s="7" t="s">
        <v>827</v>
      </c>
      <c r="T291" s="7" t="s">
        <v>828</v>
      </c>
      <c r="U291" s="7" t="str">
        <f t="shared" si="41"/>
        <v>CLK_CUST_CST_CUOR_V</v>
      </c>
      <c r="V291" s="7" t="s">
        <v>829</v>
      </c>
    </row>
    <row r="292" spans="1:22">
      <c r="A292" s="7" t="str">
        <f>TRIM(ETLMetadata!$B292)</f>
        <v>CLK</v>
      </c>
      <c r="B292" s="7" t="str">
        <f>TRIM(ETLMetadata!$C292)</f>
        <v>CUST_CST_CUOR</v>
      </c>
      <c r="C292" s="7" t="str">
        <f>TRIM(ETLMetadata!$F292)</f>
        <v>PROCESSING_SEQUENCE</v>
      </c>
      <c r="D292" s="7" t="str">
        <f>TRIM(ETLMetadata!$H292)</f>
        <v>StringType()</v>
      </c>
      <c r="E292" s="7" t="str">
        <f t="shared" si="40"/>
        <v>CLK_CUST_CST_CUOR</v>
      </c>
      <c r="F292" s="7" t="str">
        <f t="shared" si="34"/>
        <v>PROCESSING_SEQUENCE</v>
      </c>
      <c r="G292" s="7" t="s">
        <v>825</v>
      </c>
      <c r="H292" s="7" t="str">
        <f t="shared" si="35"/>
        <v>CLK_CUST_CST_CUOR</v>
      </c>
      <c r="I292" s="7" t="str">
        <f t="shared" si="36"/>
        <v>PROCESSING_SEQUENCE</v>
      </c>
      <c r="J292" s="7" t="str">
        <f t="shared" si="37"/>
        <v>SMALLINT</v>
      </c>
      <c r="K292" s="7" t="str">
        <f>TRIM(ETLMetadata!$G292)</f>
        <v>SMALLINT</v>
      </c>
      <c r="L292" s="7" t="str">
        <f>TRIM(ETLMetadata!$I292)</f>
        <v/>
      </c>
      <c r="M292" s="7" t="str">
        <f t="shared" si="38"/>
        <v>CAST(NULLIF(TRIM(PROCESSING_SEQUENCE),'') AS SMALLINT)</v>
      </c>
      <c r="N292" s="7" t="str">
        <f>TRIM(ETLMetadata!$J292)</f>
        <v>Y</v>
      </c>
      <c r="O292" s="8" t="str">
        <f>IF(TRIM(Classification!$G292)="","NOT CONFIDENTIAL",TRIM(Classification!$G292))</f>
        <v>NOT CONFIDENTIAL</v>
      </c>
      <c r="P292" s="7" t="str">
        <f t="shared" si="39"/>
        <v>Y</v>
      </c>
      <c r="Q292" s="7" t="s">
        <v>826</v>
      </c>
      <c r="R292" s="9">
        <v>2958465</v>
      </c>
      <c r="S292" s="7" t="s">
        <v>827</v>
      </c>
      <c r="T292" s="7" t="s">
        <v>828</v>
      </c>
      <c r="U292" s="7" t="str">
        <f t="shared" si="41"/>
        <v>CLK_CUST_CST_CUOR_V</v>
      </c>
      <c r="V292" s="7" t="s">
        <v>829</v>
      </c>
    </row>
    <row r="293" spans="1:22">
      <c r="A293" s="7" t="str">
        <f>TRIM(ETLMetadata!$B293)</f>
        <v>CLK</v>
      </c>
      <c r="B293" s="7" t="str">
        <f>TRIM(ETLMetadata!$C293)</f>
        <v>CUST_CST_CUOR</v>
      </c>
      <c r="C293" s="7" t="str">
        <f>TRIM(ETLMetadata!$F293)</f>
        <v>CUOR_AMR_1</v>
      </c>
      <c r="D293" s="7" t="str">
        <f>TRIM(ETLMetadata!$H293)</f>
        <v>StringType()</v>
      </c>
      <c r="E293" s="7" t="str">
        <f t="shared" si="40"/>
        <v>CLK_CUST_CST_CUOR</v>
      </c>
      <c r="F293" s="7" t="str">
        <f t="shared" si="34"/>
        <v>CUOR_AMR_1</v>
      </c>
      <c r="G293" s="7" t="s">
        <v>825</v>
      </c>
      <c r="H293" s="7" t="str">
        <f t="shared" si="35"/>
        <v>CLK_CUST_CST_CUOR</v>
      </c>
      <c r="I293" s="7" t="str">
        <f t="shared" si="36"/>
        <v>CUOR_AMR_1</v>
      </c>
      <c r="J293" s="7" t="str">
        <f t="shared" si="37"/>
        <v>VARCHAR</v>
      </c>
      <c r="K293" s="7" t="str">
        <f>TRIM(ETLMetadata!$G293)</f>
        <v>CHAR(4)</v>
      </c>
      <c r="L293" s="7" t="str">
        <f>TRIM(ETLMetadata!$I293)</f>
        <v/>
      </c>
      <c r="M293" s="7" t="str">
        <f t="shared" si="38"/>
        <v>NULLIF(TRIM(CUOR_AMR_1),'')</v>
      </c>
      <c r="N293" s="7" t="str">
        <f>TRIM(ETLMetadata!$J293)</f>
        <v/>
      </c>
      <c r="O293" s="8" t="str">
        <f>IF(TRIM(Classification!$G293)="","NOT CONFIDENTIAL",TRIM(Classification!$G293))</f>
        <v>NOT CONFIDENTIAL</v>
      </c>
      <c r="P293" s="7" t="str">
        <f t="shared" si="39"/>
        <v>Y</v>
      </c>
      <c r="Q293" s="7" t="s">
        <v>826</v>
      </c>
      <c r="R293" s="9">
        <v>2958465</v>
      </c>
      <c r="S293" s="7" t="s">
        <v>827</v>
      </c>
      <c r="T293" s="7" t="s">
        <v>828</v>
      </c>
      <c r="U293" s="7" t="str">
        <f t="shared" si="41"/>
        <v>CLK_CUST_CST_CUOR_V</v>
      </c>
      <c r="V293" s="7" t="s">
        <v>829</v>
      </c>
    </row>
    <row r="294" spans="1:22">
      <c r="A294" s="7" t="str">
        <f>TRIM(ETLMetadata!$B294)</f>
        <v>CLK</v>
      </c>
      <c r="B294" s="7" t="str">
        <f>TRIM(ETLMetadata!$C294)</f>
        <v>CUST_CST_CUOR</v>
      </c>
      <c r="C294" s="7" t="str">
        <f>TRIM(ETLMetadata!$F294)</f>
        <v>CUOR_AMR_2</v>
      </c>
      <c r="D294" s="7" t="str">
        <f>TRIM(ETLMetadata!$H294)</f>
        <v>StringType()</v>
      </c>
      <c r="E294" s="7" t="str">
        <f t="shared" si="40"/>
        <v>CLK_CUST_CST_CUOR</v>
      </c>
      <c r="F294" s="7" t="str">
        <f t="shared" si="34"/>
        <v>CUOR_AMR_2</v>
      </c>
      <c r="G294" s="7" t="s">
        <v>825</v>
      </c>
      <c r="H294" s="7" t="str">
        <f t="shared" si="35"/>
        <v>CLK_CUST_CST_CUOR</v>
      </c>
      <c r="I294" s="7" t="str">
        <f t="shared" si="36"/>
        <v>CUOR_AMR_2</v>
      </c>
      <c r="J294" s="7" t="str">
        <f t="shared" si="37"/>
        <v>VARCHAR</v>
      </c>
      <c r="K294" s="7" t="str">
        <f>TRIM(ETLMetadata!$G294)</f>
        <v>CHAR(1)</v>
      </c>
      <c r="L294" s="7" t="str">
        <f>TRIM(ETLMetadata!$I294)</f>
        <v/>
      </c>
      <c r="M294" s="7" t="str">
        <f t="shared" si="38"/>
        <v>NULLIF(TRIM(CUOR_AMR_2),'')</v>
      </c>
      <c r="N294" s="7" t="str">
        <f>TRIM(ETLMetadata!$J294)</f>
        <v/>
      </c>
      <c r="O294" s="8" t="str">
        <f>IF(TRIM(Classification!$G294)="","NOT CONFIDENTIAL",TRIM(Classification!$G294))</f>
        <v>NOT CONFIDENTIAL</v>
      </c>
      <c r="P294" s="7" t="str">
        <f t="shared" si="39"/>
        <v>Y</v>
      </c>
      <c r="Q294" s="7" t="s">
        <v>826</v>
      </c>
      <c r="R294" s="9">
        <v>2958465</v>
      </c>
      <c r="S294" s="7" t="s">
        <v>827</v>
      </c>
      <c r="T294" s="7" t="s">
        <v>828</v>
      </c>
      <c r="U294" s="7" t="str">
        <f t="shared" si="41"/>
        <v>CLK_CUST_CST_CUOR_V</v>
      </c>
      <c r="V294" s="7" t="s">
        <v>829</v>
      </c>
    </row>
    <row r="295" spans="1:22">
      <c r="A295" s="7" t="str">
        <f>TRIM(ETLMetadata!$B295)</f>
        <v>CLK</v>
      </c>
      <c r="B295" s="7" t="str">
        <f>TRIM(ETLMetadata!$C295)</f>
        <v>CUST_CST_CUOR</v>
      </c>
      <c r="C295" s="7" t="str">
        <f>TRIM(ETLMetadata!$F295)</f>
        <v>CUOR_AMR_3</v>
      </c>
      <c r="D295" s="7" t="str">
        <f>TRIM(ETLMetadata!$H295)</f>
        <v>StringType()</v>
      </c>
      <c r="E295" s="7" t="str">
        <f t="shared" si="40"/>
        <v>CLK_CUST_CST_CUOR</v>
      </c>
      <c r="F295" s="7" t="str">
        <f t="shared" si="34"/>
        <v>CUOR_AMR_3</v>
      </c>
      <c r="G295" s="7" t="s">
        <v>825</v>
      </c>
      <c r="H295" s="7" t="str">
        <f t="shared" si="35"/>
        <v>CLK_CUST_CST_CUOR</v>
      </c>
      <c r="I295" s="7" t="str">
        <f t="shared" si="36"/>
        <v>CUOR_AMR_3</v>
      </c>
      <c r="J295" s="7" t="str">
        <f t="shared" si="37"/>
        <v>VARCHAR</v>
      </c>
      <c r="K295" s="7" t="str">
        <f>TRIM(ETLMetadata!$G295)</f>
        <v>CHAR(4)</v>
      </c>
      <c r="L295" s="7" t="str">
        <f>TRIM(ETLMetadata!$I295)</f>
        <v/>
      </c>
      <c r="M295" s="7" t="str">
        <f t="shared" si="38"/>
        <v>NULLIF(TRIM(CUOR_AMR_3),'')</v>
      </c>
      <c r="N295" s="7" t="str">
        <f>TRIM(ETLMetadata!$J295)</f>
        <v/>
      </c>
      <c r="O295" s="8" t="str">
        <f>IF(TRIM(Classification!$G295)="","NOT CONFIDENTIAL",TRIM(Classification!$G295))</f>
        <v>NOT CONFIDENTIAL</v>
      </c>
      <c r="P295" s="7" t="str">
        <f t="shared" si="39"/>
        <v>Y</v>
      </c>
      <c r="Q295" s="7" t="s">
        <v>826</v>
      </c>
      <c r="R295" s="9">
        <v>2958465</v>
      </c>
      <c r="S295" s="7" t="s">
        <v>827</v>
      </c>
      <c r="T295" s="7" t="s">
        <v>828</v>
      </c>
      <c r="U295" s="7" t="str">
        <f t="shared" si="41"/>
        <v>CLK_CUST_CST_CUOR_V</v>
      </c>
      <c r="V295" s="7" t="s">
        <v>829</v>
      </c>
    </row>
    <row r="296" spans="1:22">
      <c r="A296" s="7" t="str">
        <f>TRIM(ETLMetadata!$B296)</f>
        <v>CLK</v>
      </c>
      <c r="B296" s="7" t="str">
        <f>TRIM(ETLMetadata!$C296)</f>
        <v>CUST_CST_CUOR</v>
      </c>
      <c r="C296" s="7" t="str">
        <f>TRIM(ETLMetadata!$F296)</f>
        <v>CUOR_DOV</v>
      </c>
      <c r="D296" s="7" t="str">
        <f>TRIM(ETLMetadata!$H296)</f>
        <v>StringType()</v>
      </c>
      <c r="E296" s="7" t="str">
        <f t="shared" si="40"/>
        <v>CLK_CUST_CST_CUOR</v>
      </c>
      <c r="F296" s="7" t="str">
        <f t="shared" si="34"/>
        <v>CUOR_DOV</v>
      </c>
      <c r="G296" s="7" t="s">
        <v>825</v>
      </c>
      <c r="H296" s="7" t="str">
        <f t="shared" si="35"/>
        <v>CLK_CUST_CST_CUOR</v>
      </c>
      <c r="I296" s="7" t="str">
        <f t="shared" si="36"/>
        <v>CUOR_DOV</v>
      </c>
      <c r="J296" s="7" t="str">
        <f t="shared" si="37"/>
        <v>DATE</v>
      </c>
      <c r="K296" s="17" t="s">
        <v>80</v>
      </c>
      <c r="L296" s="7" t="str">
        <f>TRIM(ETLMetadata!$I296)</f>
        <v>YYYY-MM-DD</v>
      </c>
      <c r="M296" s="7" t="str">
        <f t="shared" si="38"/>
        <v>TO_DATE(NULLIF(TRIM(CUOR_DOV),'') , 'YYYY-MM-DD')</v>
      </c>
      <c r="N296" s="7" t="str">
        <f>TRIM(ETLMetadata!$J296)</f>
        <v/>
      </c>
      <c r="O296" s="8" t="str">
        <f>IF(TRIM(Classification!$G296)="","NOT CONFIDENTIAL",TRIM(Classification!$G296))</f>
        <v>NOT CONFIDENTIAL</v>
      </c>
      <c r="P296" s="7" t="str">
        <f t="shared" si="39"/>
        <v>Y</v>
      </c>
      <c r="Q296" s="7" t="s">
        <v>826</v>
      </c>
      <c r="R296" s="9">
        <v>2958465</v>
      </c>
      <c r="S296" s="7" t="s">
        <v>827</v>
      </c>
      <c r="T296" s="7" t="s">
        <v>828</v>
      </c>
      <c r="U296" s="7" t="str">
        <f t="shared" si="41"/>
        <v>CLK_CUST_CST_CUOR_V</v>
      </c>
      <c r="V296" s="7" t="s">
        <v>829</v>
      </c>
    </row>
    <row r="297" spans="1:22">
      <c r="A297" s="7" t="str">
        <f>TRIM(ETLMetadata!$B297)</f>
        <v>CLK</v>
      </c>
      <c r="B297" s="7" t="str">
        <f>TRIM(ETLMetadata!$C297)</f>
        <v>CUST_CST_CUOR</v>
      </c>
      <c r="C297" s="7" t="str">
        <f>TRIM(ETLMetadata!$F297)</f>
        <v>CUOR_DOV_ORIG</v>
      </c>
      <c r="D297" s="7" t="str">
        <f>TRIM(ETLMetadata!$H297)</f>
        <v>StringType()</v>
      </c>
      <c r="E297" s="7" t="str">
        <f t="shared" si="40"/>
        <v>CLK_CUST_CST_CUOR</v>
      </c>
      <c r="F297" s="7" t="str">
        <f t="shared" si="34"/>
        <v>CUOR_DOV_ORIG</v>
      </c>
      <c r="G297" s="7" t="s">
        <v>825</v>
      </c>
      <c r="H297" s="7" t="str">
        <f t="shared" si="35"/>
        <v>CLK_CUST_CST_CUOR</v>
      </c>
      <c r="I297" s="7" t="str">
        <f t="shared" si="36"/>
        <v>CUOR_DOV_ORIG</v>
      </c>
      <c r="J297" s="7" t="str">
        <f t="shared" si="37"/>
        <v>INTEGER</v>
      </c>
      <c r="K297" s="17" t="s">
        <v>90</v>
      </c>
      <c r="L297" s="7" t="str">
        <f>TRIM(ETLMetadata!$I297)</f>
        <v/>
      </c>
      <c r="M297" s="7" t="str">
        <f t="shared" si="38"/>
        <v>CAST(NULLIF(TRIM(CUOR_DOV_ORIG),'') AS INTEGER)</v>
      </c>
      <c r="N297" s="7" t="str">
        <f>TRIM(ETLMetadata!$J297)</f>
        <v/>
      </c>
      <c r="O297" s="8" t="str">
        <f>IF(TRIM(Classification!$G297)="","NOT CONFIDENTIAL",TRIM(Classification!$G297))</f>
        <v>NOT CONFIDENTIAL</v>
      </c>
      <c r="P297" s="7" t="str">
        <f t="shared" si="39"/>
        <v>Y</v>
      </c>
      <c r="Q297" s="7" t="s">
        <v>826</v>
      </c>
      <c r="R297" s="9">
        <v>2958465</v>
      </c>
      <c r="S297" s="7" t="s">
        <v>827</v>
      </c>
      <c r="T297" s="7" t="s">
        <v>828</v>
      </c>
      <c r="U297" s="7" t="str">
        <f t="shared" si="41"/>
        <v>CLK_CUST_CST_CUOR_V</v>
      </c>
      <c r="V297" s="7" t="s">
        <v>829</v>
      </c>
    </row>
    <row r="298" spans="1:22">
      <c r="A298" s="7" t="str">
        <f>TRIM(ETLMetadata!$B298)</f>
        <v>CLK</v>
      </c>
      <c r="B298" s="7" t="str">
        <f>TRIM(ETLMetadata!$C298)</f>
        <v>CUST_CST_CUOR</v>
      </c>
      <c r="C298" s="7" t="str">
        <f>TRIM(ETLMetadata!$F298)</f>
        <v>CUOR_REL_CHG_RSN_CODE</v>
      </c>
      <c r="D298" s="7" t="str">
        <f>TRIM(ETLMetadata!$H298)</f>
        <v>StringType()</v>
      </c>
      <c r="E298" s="7" t="str">
        <f t="shared" si="40"/>
        <v>CLK_CUST_CST_CUOR</v>
      </c>
      <c r="F298" s="7" t="str">
        <f t="shared" si="34"/>
        <v>CUOR_REL_CHG_RSN_CODE</v>
      </c>
      <c r="G298" s="7" t="s">
        <v>825</v>
      </c>
      <c r="H298" s="7" t="str">
        <f t="shared" si="35"/>
        <v>CLK_CUST_CST_CUOR</v>
      </c>
      <c r="I298" s="7" t="str">
        <f t="shared" si="36"/>
        <v>CUOR_REL_CHG_RSN_CODE</v>
      </c>
      <c r="J298" s="7" t="str">
        <f t="shared" si="37"/>
        <v>VARCHAR</v>
      </c>
      <c r="K298" s="7" t="str">
        <f>TRIM(ETLMetadata!$G298)</f>
        <v>CHAR(3)</v>
      </c>
      <c r="L298" s="7" t="str">
        <f>TRIM(ETLMetadata!$I298)</f>
        <v/>
      </c>
      <c r="M298" s="7" t="str">
        <f t="shared" si="38"/>
        <v>NULLIF(TRIM(CUOR_REL_CHG_RSN_CODE),'')</v>
      </c>
      <c r="N298" s="7" t="str">
        <f>TRIM(ETLMetadata!$J298)</f>
        <v/>
      </c>
      <c r="O298" s="8" t="str">
        <f>IF(TRIM(Classification!$G298)="","NOT CONFIDENTIAL",TRIM(Classification!$G298))</f>
        <v>NOT CONFIDENTIAL</v>
      </c>
      <c r="P298" s="7" t="str">
        <f t="shared" si="39"/>
        <v>Y</v>
      </c>
      <c r="Q298" s="7" t="s">
        <v>826</v>
      </c>
      <c r="R298" s="9">
        <v>2958465</v>
      </c>
      <c r="S298" s="7" t="s">
        <v>827</v>
      </c>
      <c r="T298" s="7" t="s">
        <v>828</v>
      </c>
      <c r="U298" s="7" t="str">
        <f t="shared" si="41"/>
        <v>CLK_CUST_CST_CUOR_V</v>
      </c>
      <c r="V298" s="7" t="s">
        <v>829</v>
      </c>
    </row>
    <row r="299" spans="1:22">
      <c r="A299" s="7" t="str">
        <f>TRIM(ETLMetadata!$B299)</f>
        <v>CLK</v>
      </c>
      <c r="B299" s="7" t="str">
        <f>TRIM(ETLMetadata!$C299)</f>
        <v>CUST_CST_CUOR</v>
      </c>
      <c r="C299" s="7" t="str">
        <f>TRIM(ETLMetadata!$F299)</f>
        <v>CUOR_REL_ENV_ID</v>
      </c>
      <c r="D299" s="7" t="str">
        <f>TRIM(ETLMetadata!$H299)</f>
        <v>StringType()</v>
      </c>
      <c r="E299" s="7" t="str">
        <f t="shared" si="40"/>
        <v>CLK_CUST_CST_CUOR</v>
      </c>
      <c r="F299" s="7" t="str">
        <f t="shared" si="34"/>
        <v>CUOR_REL_ENV_ID</v>
      </c>
      <c r="G299" s="7" t="s">
        <v>825</v>
      </c>
      <c r="H299" s="7" t="str">
        <f t="shared" si="35"/>
        <v>CLK_CUST_CST_CUOR</v>
      </c>
      <c r="I299" s="7" t="str">
        <f t="shared" si="36"/>
        <v>CUOR_REL_ENV_ID</v>
      </c>
      <c r="J299" s="7" t="str">
        <f t="shared" si="37"/>
        <v>VARCHAR</v>
      </c>
      <c r="K299" s="7" t="str">
        <f>TRIM(ETLMetadata!$G299)</f>
        <v>CHAR(1)</v>
      </c>
      <c r="L299" s="7" t="str">
        <f>TRIM(ETLMetadata!$I299)</f>
        <v/>
      </c>
      <c r="M299" s="7" t="str">
        <f t="shared" si="38"/>
        <v>NULLIF(TRIM(CUOR_REL_ENV_ID),'')</v>
      </c>
      <c r="N299" s="7" t="str">
        <f>TRIM(ETLMetadata!$J299)</f>
        <v/>
      </c>
      <c r="O299" s="8" t="str">
        <f>IF(TRIM(Classification!$G299)="","NOT CONFIDENTIAL",TRIM(Classification!$G299))</f>
        <v>NOT CONFIDENTIAL</v>
      </c>
      <c r="P299" s="7" t="str">
        <f t="shared" si="39"/>
        <v>Y</v>
      </c>
      <c r="Q299" s="7" t="s">
        <v>826</v>
      </c>
      <c r="R299" s="9">
        <v>2958465</v>
      </c>
      <c r="S299" s="7" t="s">
        <v>827</v>
      </c>
      <c r="T299" s="7" t="s">
        <v>828</v>
      </c>
      <c r="U299" s="7" t="str">
        <f t="shared" si="41"/>
        <v>CLK_CUST_CST_CUOR_V</v>
      </c>
      <c r="V299" s="7" t="s">
        <v>829</v>
      </c>
    </row>
    <row r="300" spans="1:22">
      <c r="A300" s="7" t="str">
        <f>TRIM(ETLMetadata!$B300)</f>
        <v>CLK</v>
      </c>
      <c r="B300" s="7" t="str">
        <f>TRIM(ETLMetadata!$C300)</f>
        <v>CUST_CST_CUOR</v>
      </c>
      <c r="C300" s="7" t="str">
        <f>TRIM(ETLMetadata!$F300)</f>
        <v>CUOR_REL_SSR</v>
      </c>
      <c r="D300" s="7" t="str">
        <f>TRIM(ETLMetadata!$H300)</f>
        <v>StringType()</v>
      </c>
      <c r="E300" s="7" t="str">
        <f t="shared" si="40"/>
        <v>CLK_CUST_CST_CUOR</v>
      </c>
      <c r="F300" s="7" t="str">
        <f t="shared" si="34"/>
        <v>CUOR_REL_SSR</v>
      </c>
      <c r="G300" s="7" t="s">
        <v>825</v>
      </c>
      <c r="H300" s="7" t="str">
        <f t="shared" si="35"/>
        <v>CLK_CUST_CST_CUOR</v>
      </c>
      <c r="I300" s="7" t="str">
        <f t="shared" si="36"/>
        <v>CUOR_REL_SSR</v>
      </c>
      <c r="J300" s="7" t="str">
        <f t="shared" si="37"/>
        <v>INTEGER</v>
      </c>
      <c r="K300" s="7" t="str">
        <f>TRIM(ETLMetadata!$G300)</f>
        <v>INTEGER</v>
      </c>
      <c r="L300" s="7" t="str">
        <f>TRIM(ETLMetadata!$I300)</f>
        <v/>
      </c>
      <c r="M300" s="7" t="str">
        <f t="shared" si="38"/>
        <v>CAST(NULLIF(TRIM(CUOR_REL_SSR),'') AS INTEGER)</v>
      </c>
      <c r="N300" s="7" t="str">
        <f>TRIM(ETLMetadata!$J300)</f>
        <v/>
      </c>
      <c r="O300" s="8" t="str">
        <f>IF(TRIM(Classification!$G300)="","NOT CONFIDENTIAL",TRIM(Classification!$G300))</f>
        <v>PERSONAL_IDENTITYINFODIRECT</v>
      </c>
      <c r="P300" s="7" t="str">
        <f t="shared" si="39"/>
        <v>Y</v>
      </c>
      <c r="Q300" s="7" t="s">
        <v>826</v>
      </c>
      <c r="R300" s="9">
        <v>2958465</v>
      </c>
      <c r="S300" s="7" t="s">
        <v>827</v>
      </c>
      <c r="T300" s="7" t="s">
        <v>828</v>
      </c>
      <c r="U300" s="7" t="str">
        <f t="shared" si="41"/>
        <v>CLK_CUST_CST_CUOR_V</v>
      </c>
      <c r="V300" s="7" t="s">
        <v>829</v>
      </c>
    </row>
    <row r="301" spans="1:22">
      <c r="A301" s="7" t="str">
        <f>TRIM(ETLMetadata!$B301)</f>
        <v>CLK</v>
      </c>
      <c r="B301" s="7" t="str">
        <f>TRIM(ETLMetadata!$C301)</f>
        <v>CUST_CST_CUOR</v>
      </c>
      <c r="C301" s="7" t="str">
        <f>TRIM(ETLMetadata!$F301)</f>
        <v>CUOR_REL_SVC_RSN_CODE</v>
      </c>
      <c r="D301" s="7" t="str">
        <f>TRIM(ETLMetadata!$H301)</f>
        <v>StringType()</v>
      </c>
      <c r="E301" s="7" t="str">
        <f t="shared" si="40"/>
        <v>CLK_CUST_CST_CUOR</v>
      </c>
      <c r="F301" s="7" t="str">
        <f t="shared" si="34"/>
        <v>CUOR_REL_SVC_RSN_CODE</v>
      </c>
      <c r="G301" s="7" t="s">
        <v>825</v>
      </c>
      <c r="H301" s="7" t="str">
        <f t="shared" si="35"/>
        <v>CLK_CUST_CST_CUOR</v>
      </c>
      <c r="I301" s="7" t="str">
        <f t="shared" si="36"/>
        <v>CUOR_REL_SVC_RSN_CODE</v>
      </c>
      <c r="J301" s="7" t="str">
        <f t="shared" si="37"/>
        <v>VARCHAR</v>
      </c>
      <c r="K301" s="7" t="str">
        <f>TRIM(ETLMetadata!$G301)</f>
        <v>CHAR(3)</v>
      </c>
      <c r="L301" s="7" t="str">
        <f>TRIM(ETLMetadata!$I301)</f>
        <v/>
      </c>
      <c r="M301" s="7" t="str">
        <f t="shared" si="38"/>
        <v>NULLIF(TRIM(CUOR_REL_SVC_RSN_CODE),'')</v>
      </c>
      <c r="N301" s="7" t="str">
        <f>TRIM(ETLMetadata!$J301)</f>
        <v/>
      </c>
      <c r="O301" s="8" t="str">
        <f>IF(TRIM(Classification!$G301)="","NOT CONFIDENTIAL",TRIM(Classification!$G301))</f>
        <v>NOT CONFIDENTIAL</v>
      </c>
      <c r="P301" s="7" t="str">
        <f t="shared" si="39"/>
        <v>Y</v>
      </c>
      <c r="Q301" s="7" t="s">
        <v>826</v>
      </c>
      <c r="R301" s="9">
        <v>2958465</v>
      </c>
      <c r="S301" s="7" t="s">
        <v>827</v>
      </c>
      <c r="T301" s="7" t="s">
        <v>828</v>
      </c>
      <c r="U301" s="7" t="str">
        <f t="shared" si="41"/>
        <v>CLK_CUST_CST_CUOR_V</v>
      </c>
      <c r="V301" s="7" t="s">
        <v>829</v>
      </c>
    </row>
    <row r="302" spans="1:22">
      <c r="A302" s="7" t="str">
        <f>TRIM(ETLMetadata!$B302)</f>
        <v>CLK</v>
      </c>
      <c r="B302" s="7" t="str">
        <f>TRIM(ETLMetadata!$C302)</f>
        <v>CUST_CST_CUOR</v>
      </c>
      <c r="C302" s="7" t="str">
        <f>TRIM(ETLMetadata!$F302)</f>
        <v>CUOR_REL_TYPE_CODE</v>
      </c>
      <c r="D302" s="7" t="str">
        <f>TRIM(ETLMetadata!$H302)</f>
        <v>StringType()</v>
      </c>
      <c r="E302" s="7" t="str">
        <f t="shared" si="40"/>
        <v>CLK_CUST_CST_CUOR</v>
      </c>
      <c r="F302" s="7" t="str">
        <f t="shared" si="34"/>
        <v>CUOR_REL_TYPE_CODE</v>
      </c>
      <c r="G302" s="7" t="s">
        <v>825</v>
      </c>
      <c r="H302" s="7" t="str">
        <f t="shared" si="35"/>
        <v>CLK_CUST_CST_CUOR</v>
      </c>
      <c r="I302" s="7" t="str">
        <f t="shared" si="36"/>
        <v>CUOR_REL_TYPE_CODE</v>
      </c>
      <c r="J302" s="7" t="str">
        <f t="shared" si="37"/>
        <v>VARCHAR</v>
      </c>
      <c r="K302" s="7" t="str">
        <f>TRIM(ETLMetadata!$G302)</f>
        <v>CHAR(3)</v>
      </c>
      <c r="L302" s="7" t="str">
        <f>TRIM(ETLMetadata!$I302)</f>
        <v/>
      </c>
      <c r="M302" s="7" t="str">
        <f t="shared" si="38"/>
        <v>NULLIF(TRIM(CUOR_REL_TYPE_CODE),'')</v>
      </c>
      <c r="N302" s="7" t="str">
        <f>TRIM(ETLMetadata!$J302)</f>
        <v/>
      </c>
      <c r="O302" s="8" t="str">
        <f>IF(TRIM(Classification!$G302)="","NOT CONFIDENTIAL",TRIM(Classification!$G302))</f>
        <v>NOT CONFIDENTIAL</v>
      </c>
      <c r="P302" s="7" t="str">
        <f t="shared" si="39"/>
        <v>Y</v>
      </c>
      <c r="Q302" s="7" t="s">
        <v>826</v>
      </c>
      <c r="R302" s="9">
        <v>2958465</v>
      </c>
      <c r="S302" s="7" t="s">
        <v>827</v>
      </c>
      <c r="T302" s="7" t="s">
        <v>828</v>
      </c>
      <c r="U302" s="7" t="str">
        <f t="shared" si="41"/>
        <v>CLK_CUST_CST_CUOR_V</v>
      </c>
      <c r="V302" s="7" t="s">
        <v>829</v>
      </c>
    </row>
    <row r="303" spans="1:22">
      <c r="A303" s="7" t="str">
        <f>TRIM(ETLMetadata!$B303)</f>
        <v>CLK</v>
      </c>
      <c r="B303" s="7" t="str">
        <f>TRIM(ETLMetadata!$C303)</f>
        <v>CUST_CST_CUOR</v>
      </c>
      <c r="C303" s="7" t="str">
        <f>TRIM(ETLMetadata!$F303)</f>
        <v>CUOR_SVC_RSN_CODE</v>
      </c>
      <c r="D303" s="7" t="str">
        <f>TRIM(ETLMetadata!$H303)</f>
        <v>StringType()</v>
      </c>
      <c r="E303" s="7" t="str">
        <f t="shared" si="40"/>
        <v>CLK_CUST_CST_CUOR</v>
      </c>
      <c r="F303" s="7" t="str">
        <f t="shared" si="34"/>
        <v>CUOR_SVC_RSN_CODE</v>
      </c>
      <c r="G303" s="7" t="s">
        <v>825</v>
      </c>
      <c r="H303" s="7" t="str">
        <f t="shared" si="35"/>
        <v>CLK_CUST_CST_CUOR</v>
      </c>
      <c r="I303" s="7" t="str">
        <f t="shared" si="36"/>
        <v>CUOR_SVC_RSN_CODE</v>
      </c>
      <c r="J303" s="7" t="str">
        <f t="shared" si="37"/>
        <v>VARCHAR</v>
      </c>
      <c r="K303" s="7" t="str">
        <f>TRIM(ETLMetadata!$G303)</f>
        <v>CHAR(3)</v>
      </c>
      <c r="L303" s="7" t="str">
        <f>TRIM(ETLMetadata!$I303)</f>
        <v/>
      </c>
      <c r="M303" s="7" t="str">
        <f t="shared" si="38"/>
        <v>NULLIF(TRIM(CUOR_SVC_RSN_CODE),'')</v>
      </c>
      <c r="N303" s="7" t="str">
        <f>TRIM(ETLMetadata!$J303)</f>
        <v/>
      </c>
      <c r="O303" s="8" t="str">
        <f>IF(TRIM(Classification!$G303)="","NOT CONFIDENTIAL",TRIM(Classification!$G303))</f>
        <v>NOT CONFIDENTIAL</v>
      </c>
      <c r="P303" s="7" t="str">
        <f t="shared" si="39"/>
        <v>Y</v>
      </c>
      <c r="Q303" s="7" t="s">
        <v>826</v>
      </c>
      <c r="R303" s="9">
        <v>2958465</v>
      </c>
      <c r="S303" s="7" t="s">
        <v>827</v>
      </c>
      <c r="T303" s="7" t="s">
        <v>828</v>
      </c>
      <c r="U303" s="7" t="str">
        <f t="shared" si="41"/>
        <v>CLK_CUST_CST_CUOR_V</v>
      </c>
      <c r="V303" s="7" t="s">
        <v>829</v>
      </c>
    </row>
    <row r="304" spans="1:22">
      <c r="A304" s="7" t="str">
        <f>TRIM(ETLMetadata!$B304)</f>
        <v>CLK</v>
      </c>
      <c r="B304" s="7" t="str">
        <f>TRIM(ETLMetadata!$C304)</f>
        <v>CUST_CST_CUOR</v>
      </c>
      <c r="C304" s="7" t="str">
        <f>TRIM(ETLMetadata!$F304)</f>
        <v>PARTY_ROLE_ID</v>
      </c>
      <c r="D304" s="7" t="str">
        <f>TRIM(ETLMetadata!$H304)</f>
        <v>StringType()</v>
      </c>
      <c r="E304" s="7" t="str">
        <f t="shared" si="40"/>
        <v>CLK_CUST_CST_CUOR</v>
      </c>
      <c r="F304" s="7" t="str">
        <f t="shared" si="34"/>
        <v>PARTY_ROLE_ID</v>
      </c>
      <c r="G304" s="7" t="s">
        <v>825</v>
      </c>
      <c r="H304" s="7" t="str">
        <f t="shared" si="35"/>
        <v>CLK_CUST_CST_CUOR</v>
      </c>
      <c r="I304" s="7" t="str">
        <f t="shared" si="36"/>
        <v>PARTY_ROLE_ID</v>
      </c>
      <c r="J304" s="7" t="str">
        <f t="shared" si="37"/>
        <v>INTEGER</v>
      </c>
      <c r="K304" s="7" t="str">
        <f>TRIM(ETLMetadata!$G304)</f>
        <v>INTEGER</v>
      </c>
      <c r="L304" s="7" t="str">
        <f>TRIM(ETLMetadata!$I304)</f>
        <v/>
      </c>
      <c r="M304" s="7" t="str">
        <f t="shared" si="38"/>
        <v>CAST(NULLIF(TRIM(PARTY_ROLE_ID),'') AS INTEGER)</v>
      </c>
      <c r="N304" s="7" t="str">
        <f>TRIM(ETLMetadata!$J304)</f>
        <v/>
      </c>
      <c r="O304" s="8" t="str">
        <f>IF(TRIM(Classification!$G304)="","NOT CONFIDENTIAL",TRIM(Classification!$G304))</f>
        <v>NOT CONFIDENTIAL</v>
      </c>
      <c r="P304" s="7" t="str">
        <f t="shared" si="39"/>
        <v>Y</v>
      </c>
      <c r="Q304" s="7" t="s">
        <v>826</v>
      </c>
      <c r="R304" s="9">
        <v>2958465</v>
      </c>
      <c r="S304" s="7" t="s">
        <v>827</v>
      </c>
      <c r="T304" s="7" t="s">
        <v>828</v>
      </c>
      <c r="U304" s="7" t="str">
        <f t="shared" si="41"/>
        <v>CLK_CUST_CST_CUOR_V</v>
      </c>
      <c r="V304" s="7" t="s">
        <v>829</v>
      </c>
    </row>
    <row r="305" spans="1:22">
      <c r="A305" s="7" t="str">
        <f>TRIM(ETLMetadata!$B305)</f>
        <v>CLK</v>
      </c>
      <c r="B305" s="7" t="str">
        <f>TRIM(ETLMetadata!$C305)</f>
        <v>CUST_CST_CUOR</v>
      </c>
      <c r="C305" s="7" t="str">
        <f>TRIM(ETLMetadata!$F305)</f>
        <v>RELATED_PARTY_ROLE_ID</v>
      </c>
      <c r="D305" s="7" t="str">
        <f>TRIM(ETLMetadata!$H305)</f>
        <v>StringType()</v>
      </c>
      <c r="E305" s="7" t="str">
        <f t="shared" si="40"/>
        <v>CLK_CUST_CST_CUOR</v>
      </c>
      <c r="F305" s="7" t="str">
        <f t="shared" si="34"/>
        <v>RELATED_PARTY_ROLE_ID</v>
      </c>
      <c r="G305" s="7" t="s">
        <v>825</v>
      </c>
      <c r="H305" s="7" t="str">
        <f t="shared" si="35"/>
        <v>CLK_CUST_CST_CUOR</v>
      </c>
      <c r="I305" s="7" t="str">
        <f t="shared" si="36"/>
        <v>RELATED_PARTY_ROLE_ID</v>
      </c>
      <c r="J305" s="7" t="str">
        <f t="shared" si="37"/>
        <v>INTEGER</v>
      </c>
      <c r="K305" s="7" t="str">
        <f>TRIM(ETLMetadata!$G305)</f>
        <v>INTEGER</v>
      </c>
      <c r="L305" s="7" t="str">
        <f>TRIM(ETLMetadata!$I305)</f>
        <v/>
      </c>
      <c r="M305" s="7" t="str">
        <f t="shared" si="38"/>
        <v>CAST(NULLIF(TRIM(RELATED_PARTY_ROLE_ID),'') AS INTEGER)</v>
      </c>
      <c r="N305" s="7" t="str">
        <f>TRIM(ETLMetadata!$J305)</f>
        <v/>
      </c>
      <c r="O305" s="8" t="str">
        <f>IF(TRIM(Classification!$G305)="","NOT CONFIDENTIAL",TRIM(Classification!$G305))</f>
        <v>NOT CONFIDENTIAL</v>
      </c>
      <c r="P305" s="7" t="str">
        <f t="shared" si="39"/>
        <v>Y</v>
      </c>
      <c r="Q305" s="7" t="s">
        <v>826</v>
      </c>
      <c r="R305" s="9">
        <v>2958465</v>
      </c>
      <c r="S305" s="7" t="s">
        <v>827</v>
      </c>
      <c r="T305" s="7" t="s">
        <v>828</v>
      </c>
      <c r="U305" s="7" t="str">
        <f t="shared" si="41"/>
        <v>CLK_CUST_CST_CUOR_V</v>
      </c>
      <c r="V305" s="7" t="s">
        <v>829</v>
      </c>
    </row>
    <row r="306" spans="1:22">
      <c r="A306" s="7" t="str">
        <f>TRIM(ETLMetadata!$B306)</f>
        <v>CLK</v>
      </c>
      <c r="B306" s="7" t="str">
        <f>TRIM(ETLMetadata!$C306)</f>
        <v>CUST_CST_CUOR</v>
      </c>
      <c r="C306" s="7" t="str">
        <f>TRIM(ETLMetadata!$F306)</f>
        <v>AMR1_RISL_DTS</v>
      </c>
      <c r="D306" s="7" t="str">
        <f>TRIM(ETLMetadata!$H306)</f>
        <v>StringType()</v>
      </c>
      <c r="E306" s="7" t="str">
        <f t="shared" si="40"/>
        <v>CLK_CUST_CST_CUOR</v>
      </c>
      <c r="F306" s="7" t="str">
        <f t="shared" si="34"/>
        <v>AMR1_RISL_DTS</v>
      </c>
      <c r="G306" s="7" t="s">
        <v>825</v>
      </c>
      <c r="H306" s="7" t="str">
        <f t="shared" si="35"/>
        <v>CLK_CUST_CST_CUOR</v>
      </c>
      <c r="I306" s="7" t="str">
        <f t="shared" si="36"/>
        <v>AMR1_RISL_DTS</v>
      </c>
      <c r="J306" s="7" t="str">
        <f t="shared" si="37"/>
        <v>TIMESTAMP</v>
      </c>
      <c r="K306" s="7" t="str">
        <f>TRIM(ETLMetadata!$G306)</f>
        <v>TIMESTAMP(6)</v>
      </c>
      <c r="L306" s="7" t="str">
        <f>TRIM(ETLMetadata!$I306)</f>
        <v>YYYY-MM-DDBHH:MI:SS.S(6)</v>
      </c>
      <c r="M306" s="7" t="str">
        <f t="shared" si="38"/>
        <v>TO_TIMESTAMP_NTZ(NULLIF(TRIM(AMR1_RISL_DTS),''),'YYYY-MM-DD HH24:MI:SS.FF6')</v>
      </c>
      <c r="N306" s="7" t="str">
        <f>TRIM(ETLMetadata!$J306)</f>
        <v/>
      </c>
      <c r="O306" s="8" t="str">
        <f>IF(TRIM(Classification!$G306)="","NOT CONFIDENTIAL",TRIM(Classification!$G306))</f>
        <v>NOT CONFIDENTIAL</v>
      </c>
      <c r="P306" s="7" t="str">
        <f t="shared" si="39"/>
        <v>Y</v>
      </c>
      <c r="Q306" s="7" t="s">
        <v>826</v>
      </c>
      <c r="R306" s="9">
        <v>2958465</v>
      </c>
      <c r="S306" s="7" t="s">
        <v>827</v>
      </c>
      <c r="T306" s="7" t="s">
        <v>828</v>
      </c>
      <c r="U306" s="7" t="str">
        <f t="shared" si="41"/>
        <v>CLK_CUST_CST_CUOR_V</v>
      </c>
      <c r="V306" s="7" t="s">
        <v>829</v>
      </c>
    </row>
    <row r="307" spans="1:22">
      <c r="A307" s="7" t="str">
        <f>TRIM(ETLMetadata!$B307)</f>
        <v>CLK</v>
      </c>
      <c r="B307" s="7" t="str">
        <f>TRIM(ETLMetadata!$C307)</f>
        <v>CUST_CST_CUOR</v>
      </c>
      <c r="C307" s="7" t="str">
        <f>TRIM(ETLMetadata!$F307)</f>
        <v>AMR3_RISL_DTS</v>
      </c>
      <c r="D307" s="7" t="str">
        <f>TRIM(ETLMetadata!$H307)</f>
        <v>StringType()</v>
      </c>
      <c r="E307" s="7" t="str">
        <f t="shared" si="40"/>
        <v>CLK_CUST_CST_CUOR</v>
      </c>
      <c r="F307" s="7" t="str">
        <f t="shared" si="34"/>
        <v>AMR3_RISL_DTS</v>
      </c>
      <c r="G307" s="7" t="s">
        <v>825</v>
      </c>
      <c r="H307" s="7" t="str">
        <f t="shared" si="35"/>
        <v>CLK_CUST_CST_CUOR</v>
      </c>
      <c r="I307" s="7" t="str">
        <f t="shared" si="36"/>
        <v>AMR3_RISL_DTS</v>
      </c>
      <c r="J307" s="7" t="str">
        <f t="shared" si="37"/>
        <v>TIMESTAMP</v>
      </c>
      <c r="K307" s="7" t="str">
        <f>TRIM(ETLMetadata!$G307)</f>
        <v>TIMESTAMP(6)</v>
      </c>
      <c r="L307" s="7" t="str">
        <f>TRIM(ETLMetadata!$I307)</f>
        <v>YYYY-MM-DDBHH:MI:SS.S(6)</v>
      </c>
      <c r="M307" s="7" t="str">
        <f t="shared" si="38"/>
        <v>TO_TIMESTAMP_NTZ(NULLIF(TRIM(AMR3_RISL_DTS),''),'YYYY-MM-DD HH24:MI:SS.FF6')</v>
      </c>
      <c r="N307" s="7" t="str">
        <f>TRIM(ETLMetadata!$J307)</f>
        <v/>
      </c>
      <c r="O307" s="8" t="str">
        <f>IF(TRIM(Classification!$G307)="","NOT CONFIDENTIAL",TRIM(Classification!$G307))</f>
        <v>NOT CONFIDENTIAL</v>
      </c>
      <c r="P307" s="7" t="str">
        <f t="shared" si="39"/>
        <v>Y</v>
      </c>
      <c r="Q307" s="7" t="s">
        <v>826</v>
      </c>
      <c r="R307" s="9">
        <v>2958465</v>
      </c>
      <c r="S307" s="7" t="s">
        <v>827</v>
      </c>
      <c r="T307" s="7" t="s">
        <v>828</v>
      </c>
      <c r="U307" s="7" t="str">
        <f t="shared" si="41"/>
        <v>CLK_CUST_CST_CUOR_V</v>
      </c>
      <c r="V307" s="7" t="s">
        <v>829</v>
      </c>
    </row>
    <row r="308" spans="1:22">
      <c r="A308" s="7" t="str">
        <f>TRIM(ETLMetadata!$B308)</f>
        <v>CLK</v>
      </c>
      <c r="B308" s="7" t="str">
        <f>TRIM(ETLMetadata!$C308)</f>
        <v>CUST_CST_CUOR</v>
      </c>
      <c r="C308" s="7" t="str">
        <f>TRIM(ETLMetadata!$F308)</f>
        <v>ERROR_COUNT</v>
      </c>
      <c r="D308" s="7" t="str">
        <f>TRIM(ETLMetadata!$H308)</f>
        <v>StringType()</v>
      </c>
      <c r="E308" s="7" t="str">
        <f t="shared" si="40"/>
        <v>CLK_CUST_CST_CUOR</v>
      </c>
      <c r="F308" s="7" t="str">
        <f t="shared" si="34"/>
        <v>ERROR_COUNT</v>
      </c>
      <c r="G308" s="7" t="s">
        <v>825</v>
      </c>
      <c r="H308" s="7" t="str">
        <f t="shared" si="35"/>
        <v>CLK_CUST_CST_CUOR</v>
      </c>
      <c r="I308" s="7" t="str">
        <f t="shared" si="36"/>
        <v>ERROR_COUNT</v>
      </c>
      <c r="J308" s="7" t="str">
        <f t="shared" si="37"/>
        <v>SMALLINT</v>
      </c>
      <c r="K308" s="7" t="str">
        <f>TRIM(ETLMetadata!$G308)</f>
        <v>SMALLINT</v>
      </c>
      <c r="L308" s="7" t="str">
        <f>TRIM(ETLMetadata!$I308)</f>
        <v/>
      </c>
      <c r="M308" s="7" t="str">
        <f t="shared" si="38"/>
        <v>CAST(NULLIF(TRIM(ERROR_COUNT),'') AS SMALLINT)</v>
      </c>
      <c r="N308" s="7" t="str">
        <f>TRIM(ETLMetadata!$J308)</f>
        <v/>
      </c>
      <c r="O308" s="8" t="str">
        <f>IF(TRIM(Classification!$G308)="","NOT CONFIDENTIAL",TRIM(Classification!$G308))</f>
        <v>NOT CONFIDENTIAL</v>
      </c>
      <c r="P308" s="7" t="str">
        <f t="shared" si="39"/>
        <v>Y</v>
      </c>
      <c r="Q308" s="7" t="s">
        <v>826</v>
      </c>
      <c r="R308" s="9">
        <v>2958465</v>
      </c>
      <c r="S308" s="7" t="s">
        <v>827</v>
      </c>
      <c r="T308" s="7" t="s">
        <v>828</v>
      </c>
      <c r="U308" s="7" t="str">
        <f t="shared" si="41"/>
        <v>CLK_CUST_CST_CUOR_V</v>
      </c>
      <c r="V308" s="7" t="s">
        <v>829</v>
      </c>
    </row>
    <row r="309" spans="1:22">
      <c r="A309" s="7" t="str">
        <f>TRIM(ETLMetadata!$B309)</f>
        <v>CLK</v>
      </c>
      <c r="B309" s="7" t="str">
        <f>TRIM(ETLMetadata!$C309)</f>
        <v>CUST_CST_CUOR</v>
      </c>
      <c r="C309" s="7" t="str">
        <f>TRIM(ETLMetadata!$F309)</f>
        <v>Start_Date</v>
      </c>
      <c r="D309" s="7" t="str">
        <f>TRIM(ETLMetadata!$H309)</f>
        <v>StringType()</v>
      </c>
      <c r="E309" s="7" t="str">
        <f t="shared" si="40"/>
        <v>CLK_CUST_CST_CUOR</v>
      </c>
      <c r="F309" s="7" t="str">
        <f t="shared" si="34"/>
        <v>STRT_DT</v>
      </c>
      <c r="G309" s="7" t="s">
        <v>825</v>
      </c>
      <c r="H309" s="7" t="str">
        <f t="shared" si="35"/>
        <v>CLK_CUST_CST_CUOR</v>
      </c>
      <c r="I309" s="7" t="str">
        <f t="shared" si="36"/>
        <v>STRT_DT</v>
      </c>
      <c r="J309" s="7" t="str">
        <f t="shared" si="37"/>
        <v>DATE</v>
      </c>
      <c r="K309" s="7" t="str">
        <f>TRIM(ETLMetadata!$G309)</f>
        <v>DATE</v>
      </c>
      <c r="L309" s="7" t="str">
        <f>TRIM(ETLMetadata!$I309)</f>
        <v>YYYY-MM-DD</v>
      </c>
      <c r="M309" s="7" t="str">
        <f t="shared" si="38"/>
        <v>TO_DATE(NULLIF(TRIM(STRT_DT),'') , 'YYYY-MM-DD')</v>
      </c>
      <c r="N309" s="7" t="str">
        <f>TRIM(ETLMetadata!$J309)</f>
        <v/>
      </c>
      <c r="O309" s="8" t="str">
        <f>IF(TRIM(Classification!$G309)="","NOT CONFIDENTIAL",TRIM(Classification!$G309))</f>
        <v>NOT CONFIDENTIAL</v>
      </c>
      <c r="P309" s="7" t="str">
        <f t="shared" si="39"/>
        <v>N</v>
      </c>
      <c r="Q309" s="7" t="s">
        <v>826</v>
      </c>
      <c r="R309" s="9">
        <v>2958465</v>
      </c>
      <c r="S309" s="7" t="s">
        <v>827</v>
      </c>
      <c r="T309" s="7" t="s">
        <v>828</v>
      </c>
      <c r="U309" s="7" t="str">
        <f t="shared" si="41"/>
        <v>CLK_CUST_CST_CUOR_V</v>
      </c>
      <c r="V309" s="7" t="s">
        <v>829</v>
      </c>
    </row>
    <row r="310" spans="1:22">
      <c r="A310" s="7" t="str">
        <f>TRIM(ETLMetadata!$B310)</f>
        <v>CLK</v>
      </c>
      <c r="B310" s="7" t="str">
        <f>TRIM(ETLMetadata!$C310)</f>
        <v>CUST_CST_CUOR</v>
      </c>
      <c r="C310" s="7" t="str">
        <f>TRIM(ETLMetadata!$F310)</f>
        <v>End_Date</v>
      </c>
      <c r="D310" s="7" t="str">
        <f>TRIM(ETLMetadata!$H310)</f>
        <v>StringType()</v>
      </c>
      <c r="E310" s="7" t="str">
        <f t="shared" si="40"/>
        <v>CLK_CUST_CST_CUOR</v>
      </c>
      <c r="F310" s="7" t="str">
        <f t="shared" si="34"/>
        <v>END_DT</v>
      </c>
      <c r="G310" s="7" t="s">
        <v>825</v>
      </c>
      <c r="H310" s="7" t="str">
        <f t="shared" si="35"/>
        <v>CLK_CUST_CST_CUOR</v>
      </c>
      <c r="I310" s="7" t="str">
        <f t="shared" si="36"/>
        <v>END_DT</v>
      </c>
      <c r="J310" s="7" t="str">
        <f t="shared" si="37"/>
        <v>DATE</v>
      </c>
      <c r="K310" s="7" t="str">
        <f>TRIM(ETLMetadata!$G310)</f>
        <v>DATE</v>
      </c>
      <c r="L310" s="7" t="str">
        <f>TRIM(ETLMetadata!$I310)</f>
        <v>YYYY-MM-DD</v>
      </c>
      <c r="M310" s="7" t="str">
        <f t="shared" si="38"/>
        <v>TO_DATE(NULLIF(TRIM(END_DT),'') , 'YYYY-MM-DD')</v>
      </c>
      <c r="N310" s="7" t="str">
        <f>TRIM(ETLMetadata!$J310)</f>
        <v/>
      </c>
      <c r="O310" s="8" t="str">
        <f>IF(TRIM(Classification!$G310)="","NOT CONFIDENTIAL",TRIM(Classification!$G310))</f>
        <v>NOT CONFIDENTIAL</v>
      </c>
      <c r="P310" s="7" t="str">
        <f t="shared" si="39"/>
        <v>N</v>
      </c>
      <c r="Q310" s="7" t="s">
        <v>826</v>
      </c>
      <c r="R310" s="9">
        <v>2958465</v>
      </c>
      <c r="S310" s="7" t="s">
        <v>827</v>
      </c>
      <c r="T310" s="7" t="s">
        <v>828</v>
      </c>
      <c r="U310" s="7" t="str">
        <f t="shared" si="41"/>
        <v>CLK_CUST_CST_CUOR_V</v>
      </c>
      <c r="V310" s="7" t="s">
        <v>829</v>
      </c>
    </row>
    <row r="311" spans="1:22">
      <c r="A311" s="7" t="str">
        <f>TRIM(ETLMetadata!$B311)</f>
        <v>CLK</v>
      </c>
      <c r="B311" s="7" t="str">
        <f>TRIM(ETLMetadata!$C311)</f>
        <v>CUST_CST_CUOR</v>
      </c>
      <c r="C311" s="7" t="str">
        <f>TRIM(ETLMetadata!$F311)</f>
        <v>Record_Deleted_Flag</v>
      </c>
      <c r="D311" s="7" t="str">
        <f>TRIM(ETLMetadata!$H311)</f>
        <v>StringType()</v>
      </c>
      <c r="E311" s="7" t="str">
        <f t="shared" si="40"/>
        <v>CLK_CUST_CST_CUOR</v>
      </c>
      <c r="F311" s="7" t="str">
        <f t="shared" si="34"/>
        <v>RCRD_DEL_IND</v>
      </c>
      <c r="G311" s="7" t="s">
        <v>825</v>
      </c>
      <c r="H311" s="7" t="str">
        <f t="shared" si="35"/>
        <v>CLK_CUST_CST_CUOR</v>
      </c>
      <c r="I311" s="7" t="str">
        <f t="shared" si="36"/>
        <v>RCRD_DEL_IND</v>
      </c>
      <c r="J311" s="7" t="str">
        <f t="shared" si="37"/>
        <v>SMALLINT</v>
      </c>
      <c r="K311" s="7" t="str">
        <f>TRIM(ETLMetadata!$G311)</f>
        <v>BYTEINT</v>
      </c>
      <c r="L311" s="7" t="str">
        <f>TRIM(ETLMetadata!$I311)</f>
        <v/>
      </c>
      <c r="M311" s="7" t="str">
        <f t="shared" si="38"/>
        <v>CAST(NULLIF(TRIM(RCRD_DEL_IND),'') AS SMALLINT)</v>
      </c>
      <c r="N311" s="7" t="str">
        <f>TRIM(ETLMetadata!$J311)</f>
        <v/>
      </c>
      <c r="O311" s="8" t="str">
        <f>IF(TRIM(Classification!$G311)="","NOT CONFIDENTIAL",TRIM(Classification!$G311))</f>
        <v>NOT CONFIDENTIAL</v>
      </c>
      <c r="P311" s="7" t="str">
        <f t="shared" si="39"/>
        <v>N</v>
      </c>
      <c r="Q311" s="7" t="s">
        <v>826</v>
      </c>
      <c r="R311" s="9">
        <v>2958465</v>
      </c>
      <c r="S311" s="7" t="s">
        <v>827</v>
      </c>
      <c r="T311" s="7" t="s">
        <v>828</v>
      </c>
      <c r="U311" s="7" t="str">
        <f t="shared" si="41"/>
        <v>CLK_CUST_CST_CUOR_V</v>
      </c>
      <c r="V311" s="7" t="s">
        <v>829</v>
      </c>
    </row>
    <row r="312" spans="1:22">
      <c r="A312" s="7" t="str">
        <f>TRIM(ETLMetadata!$B312)</f>
        <v>CLK</v>
      </c>
      <c r="B312" s="7" t="str">
        <f>TRIM(ETLMetadata!$C312)</f>
        <v>CUST_CST_CUPT</v>
      </c>
      <c r="C312" s="7" t="str">
        <f>TRIM(ETLMetadata!$F312)</f>
        <v>EXTRACT_DATE</v>
      </c>
      <c r="D312" s="7" t="str">
        <f>TRIM(ETLMetadata!$H312)</f>
        <v>StringType()</v>
      </c>
      <c r="E312" s="7" t="str">
        <f t="shared" si="40"/>
        <v>CLK_CUST_CST_CUPT</v>
      </c>
      <c r="F312" s="7" t="str">
        <f t="shared" si="34"/>
        <v>EXTRACT_DATE</v>
      </c>
      <c r="G312" s="7" t="s">
        <v>825</v>
      </c>
      <c r="H312" s="7" t="str">
        <f t="shared" si="35"/>
        <v>CLK_CUST_CST_CUPT</v>
      </c>
      <c r="I312" s="7" t="str">
        <f t="shared" si="36"/>
        <v>EXTRACT_DATE</v>
      </c>
      <c r="J312" s="7" t="str">
        <f t="shared" si="37"/>
        <v>DATE</v>
      </c>
      <c r="K312" s="7" t="str">
        <f>TRIM(ETLMetadata!$G312)</f>
        <v>DATE</v>
      </c>
      <c r="L312" s="7" t="str">
        <f>TRIM(ETLMetadata!$I312)</f>
        <v>YYYY-MM-DD</v>
      </c>
      <c r="M312" s="7" t="str">
        <f t="shared" si="38"/>
        <v>TO_DATE(NULLIF(TRIM(EXTRACT_DATE),'') , 'YYYY-MM-DD')</v>
      </c>
      <c r="N312" s="7" t="str">
        <f>TRIM(ETLMetadata!$J312)</f>
        <v/>
      </c>
      <c r="O312" s="8" t="str">
        <f>IF(TRIM(Classification!$G312)="","NOT CONFIDENTIAL",TRIM(Classification!$G312))</f>
        <v>NOT CONFIDENTIAL</v>
      </c>
      <c r="P312" s="7" t="str">
        <f t="shared" si="39"/>
        <v>Y</v>
      </c>
      <c r="Q312" s="7" t="s">
        <v>826</v>
      </c>
      <c r="R312" s="9">
        <v>2958465</v>
      </c>
      <c r="S312" s="7" t="s">
        <v>827</v>
      </c>
      <c r="T312" s="7" t="s">
        <v>828</v>
      </c>
      <c r="U312" s="7" t="str">
        <f t="shared" si="41"/>
        <v>CLK_CUST_CST_CUPT_V</v>
      </c>
      <c r="V312" s="7" t="s">
        <v>829</v>
      </c>
    </row>
    <row r="313" spans="1:22">
      <c r="A313" s="7" t="str">
        <f>TRIM(ETLMetadata!$B313)</f>
        <v>CLK</v>
      </c>
      <c r="B313" s="7" t="str">
        <f>TRIM(ETLMetadata!$C313)</f>
        <v>CUST_CST_CUPT</v>
      </c>
      <c r="C313" s="7" t="str">
        <f>TRIM(ETLMetadata!$F313)</f>
        <v>LOGICAL_DELETE_DATE</v>
      </c>
      <c r="D313" s="7" t="str">
        <f>TRIM(ETLMetadata!$H313)</f>
        <v>StringType()</v>
      </c>
      <c r="E313" s="7" t="str">
        <f t="shared" si="40"/>
        <v>CLK_CUST_CST_CUPT</v>
      </c>
      <c r="F313" s="7" t="str">
        <f t="shared" si="34"/>
        <v>LOGICAL_DELETE_DATE</v>
      </c>
      <c r="G313" s="7" t="s">
        <v>825</v>
      </c>
      <c r="H313" s="7" t="str">
        <f t="shared" si="35"/>
        <v>CLK_CUST_CST_CUPT</v>
      </c>
      <c r="I313" s="7" t="str">
        <f t="shared" si="36"/>
        <v>LOGICAL_DELETE_DATE</v>
      </c>
      <c r="J313" s="7" t="str">
        <f t="shared" si="37"/>
        <v>DATE</v>
      </c>
      <c r="K313" s="7" t="str">
        <f>TRIM(ETLMetadata!$G313)</f>
        <v>DATE</v>
      </c>
      <c r="L313" s="7" t="str">
        <f>TRIM(ETLMetadata!$I313)</f>
        <v>YYYY-MM-DD</v>
      </c>
      <c r="M313" s="7" t="str">
        <f t="shared" si="38"/>
        <v>TO_DATE(NULLIF(TRIM(LOGICAL_DELETE_DATE),'') , 'YYYY-MM-DD')</v>
      </c>
      <c r="N313" s="7" t="str">
        <f>TRIM(ETLMetadata!$J313)</f>
        <v/>
      </c>
      <c r="O313" s="8" t="str">
        <f>IF(TRIM(Classification!$G313)="","NOT CONFIDENTIAL",TRIM(Classification!$G313))</f>
        <v>NOT CONFIDENTIAL</v>
      </c>
      <c r="P313" s="7" t="str">
        <f t="shared" si="39"/>
        <v>Y</v>
      </c>
      <c r="Q313" s="7" t="s">
        <v>826</v>
      </c>
      <c r="R313" s="9">
        <v>2958465</v>
      </c>
      <c r="S313" s="7" t="s">
        <v>827</v>
      </c>
      <c r="T313" s="7" t="s">
        <v>828</v>
      </c>
      <c r="U313" s="7" t="str">
        <f t="shared" si="41"/>
        <v>CLK_CUST_CST_CUPT_V</v>
      </c>
      <c r="V313" s="7" t="s">
        <v>829</v>
      </c>
    </row>
    <row r="314" spans="1:22">
      <c r="A314" s="7" t="str">
        <f>TRIM(ETLMetadata!$B314)</f>
        <v>CLK</v>
      </c>
      <c r="B314" s="7" t="str">
        <f>TRIM(ETLMetadata!$C314)</f>
        <v>CUST_CST_CUPT</v>
      </c>
      <c r="C314" s="7" t="str">
        <f>TRIM(ETLMetadata!$F314)</f>
        <v>ENVIRONMENT_ID</v>
      </c>
      <c r="D314" s="7" t="str">
        <f>TRIM(ETLMetadata!$H314)</f>
        <v>StringType()</v>
      </c>
      <c r="E314" s="7" t="str">
        <f t="shared" si="40"/>
        <v>CLK_CUST_CST_CUPT</v>
      </c>
      <c r="F314" s="7" t="str">
        <f t="shared" si="34"/>
        <v>ENVIRONMENT_ID</v>
      </c>
      <c r="G314" s="7" t="s">
        <v>825</v>
      </c>
      <c r="H314" s="7" t="str">
        <f t="shared" si="35"/>
        <v>CLK_CUST_CST_CUPT</v>
      </c>
      <c r="I314" s="7" t="str">
        <f t="shared" si="36"/>
        <v>ENVIRONMENT_ID</v>
      </c>
      <c r="J314" s="7" t="str">
        <f t="shared" si="37"/>
        <v>VARCHAR</v>
      </c>
      <c r="K314" s="7" t="str">
        <f>TRIM(ETLMetadata!$G314)</f>
        <v>CHAR(1)</v>
      </c>
      <c r="L314" s="7" t="str">
        <f>TRIM(ETLMetadata!$I314)</f>
        <v/>
      </c>
      <c r="M314" s="7" t="str">
        <f t="shared" si="38"/>
        <v>NULLIF(TRIM(ENVIRONMENT_ID),'')</v>
      </c>
      <c r="N314" s="7" t="str">
        <f>TRIM(ETLMetadata!$J314)</f>
        <v>Y</v>
      </c>
      <c r="O314" s="8" t="str">
        <f>IF(TRIM(Classification!$G314)="","NOT CONFIDENTIAL",TRIM(Classification!$G314))</f>
        <v>NOT CONFIDENTIAL</v>
      </c>
      <c r="P314" s="7" t="str">
        <f t="shared" si="39"/>
        <v>Y</v>
      </c>
      <c r="Q314" s="7" t="s">
        <v>826</v>
      </c>
      <c r="R314" s="9">
        <v>2958465</v>
      </c>
      <c r="S314" s="7" t="s">
        <v>827</v>
      </c>
      <c r="T314" s="7" t="s">
        <v>828</v>
      </c>
      <c r="U314" s="7" t="str">
        <f t="shared" si="41"/>
        <v>CLK_CUST_CST_CUPT_V</v>
      </c>
      <c r="V314" s="7" t="s">
        <v>829</v>
      </c>
    </row>
    <row r="315" spans="1:22">
      <c r="A315" s="7" t="str">
        <f>TRIM(ETLMetadata!$B315)</f>
        <v>CLK</v>
      </c>
      <c r="B315" s="7" t="str">
        <f>TRIM(ETLMetadata!$C315)</f>
        <v>CUST_CST_CUPT</v>
      </c>
      <c r="C315" s="7" t="str">
        <f>TRIM(ETLMetadata!$F315)</f>
        <v>PERSON_ID</v>
      </c>
      <c r="D315" s="7" t="str">
        <f>TRIM(ETLMetadata!$H315)</f>
        <v>StringType()</v>
      </c>
      <c r="E315" s="7" t="str">
        <f t="shared" si="40"/>
        <v>CLK_CUST_CST_CUPT</v>
      </c>
      <c r="F315" s="7" t="str">
        <f t="shared" si="34"/>
        <v>PERSON_ID</v>
      </c>
      <c r="G315" s="7" t="s">
        <v>825</v>
      </c>
      <c r="H315" s="7" t="str">
        <f t="shared" si="35"/>
        <v>CLK_CUST_CST_CUPT</v>
      </c>
      <c r="I315" s="7" t="str">
        <f t="shared" si="36"/>
        <v>PERSON_ID</v>
      </c>
      <c r="J315" s="7" t="str">
        <f t="shared" si="37"/>
        <v>INTEGER</v>
      </c>
      <c r="K315" s="7" t="str">
        <f>TRIM(ETLMetadata!$G315)</f>
        <v>INTEGER</v>
      </c>
      <c r="L315" s="7" t="str">
        <f>TRIM(ETLMetadata!$I315)</f>
        <v/>
      </c>
      <c r="M315" s="7" t="str">
        <f t="shared" si="38"/>
        <v>CAST(NULLIF(TRIM(PERSON_ID),'') AS INTEGER)</v>
      </c>
      <c r="N315" s="7" t="str">
        <f>TRIM(ETLMetadata!$J315)</f>
        <v>Y</v>
      </c>
      <c r="O315" s="8" t="str">
        <f>IF(TRIM(Classification!$G315)="","NOT CONFIDENTIAL",TRIM(Classification!$G315))</f>
        <v>PERSONAL_IDENTITYINFODIRECT</v>
      </c>
      <c r="P315" s="7" t="str">
        <f t="shared" si="39"/>
        <v>Y</v>
      </c>
      <c r="Q315" s="7" t="s">
        <v>826</v>
      </c>
      <c r="R315" s="9">
        <v>2958465</v>
      </c>
      <c r="S315" s="7" t="s">
        <v>827</v>
      </c>
      <c r="T315" s="7" t="s">
        <v>828</v>
      </c>
      <c r="U315" s="7" t="str">
        <f t="shared" si="41"/>
        <v>CLK_CUST_CST_CUPT_V</v>
      </c>
      <c r="V315" s="7" t="s">
        <v>829</v>
      </c>
    </row>
    <row r="316" spans="1:22">
      <c r="A316" s="7" t="str">
        <f>TRIM(ETLMetadata!$B316)</f>
        <v>CLK</v>
      </c>
      <c r="B316" s="7" t="str">
        <f>TRIM(ETLMetadata!$C316)</f>
        <v>CUST_CST_CUPT</v>
      </c>
      <c r="C316" s="7" t="str">
        <f>TRIM(ETLMetadata!$F316)</f>
        <v>CUPT_DOV</v>
      </c>
      <c r="D316" s="7" t="str">
        <f>TRIM(ETLMetadata!$H316)</f>
        <v>StringType()</v>
      </c>
      <c r="E316" s="7" t="str">
        <f t="shared" si="40"/>
        <v>CLK_CUST_CST_CUPT</v>
      </c>
      <c r="F316" s="7" t="str">
        <f t="shared" si="34"/>
        <v>CUPT_DOV</v>
      </c>
      <c r="G316" s="7" t="s">
        <v>825</v>
      </c>
      <c r="H316" s="7" t="str">
        <f t="shared" si="35"/>
        <v>CLK_CUST_CST_CUPT</v>
      </c>
      <c r="I316" s="7" t="str">
        <f t="shared" si="36"/>
        <v>CUPT_DOV</v>
      </c>
      <c r="J316" s="7" t="str">
        <f t="shared" si="37"/>
        <v>DATE</v>
      </c>
      <c r="K316" s="17" t="s">
        <v>80</v>
      </c>
      <c r="L316" s="7" t="str">
        <f>TRIM(ETLMetadata!$I316)</f>
        <v>YYYY-MM-DD</v>
      </c>
      <c r="M316" s="7" t="str">
        <f t="shared" si="38"/>
        <v>TO_DATE(NULLIF(TRIM(CUPT_DOV),'') , 'YYYY-MM-DD')</v>
      </c>
      <c r="N316" s="7" t="str">
        <f>TRIM(ETLMetadata!$J316)</f>
        <v/>
      </c>
      <c r="O316" s="8" t="str">
        <f>IF(TRIM(Classification!$G316)="","NOT CONFIDENTIAL",TRIM(Classification!$G316))</f>
        <v>NOT CONFIDENTIAL</v>
      </c>
      <c r="P316" s="7" t="str">
        <f t="shared" si="39"/>
        <v>Y</v>
      </c>
      <c r="Q316" s="7" t="s">
        <v>826</v>
      </c>
      <c r="R316" s="9">
        <v>2958465</v>
      </c>
      <c r="S316" s="7" t="s">
        <v>827</v>
      </c>
      <c r="T316" s="7" t="s">
        <v>828</v>
      </c>
      <c r="U316" s="7" t="str">
        <f t="shared" si="41"/>
        <v>CLK_CUST_CST_CUPT_V</v>
      </c>
      <c r="V316" s="7" t="s">
        <v>829</v>
      </c>
    </row>
    <row r="317" spans="1:22">
      <c r="A317" s="7" t="str">
        <f>TRIM(ETLMetadata!$B317)</f>
        <v>CLK</v>
      </c>
      <c r="B317" s="7" t="str">
        <f>TRIM(ETLMetadata!$C317)</f>
        <v>CUST_CST_CUPT</v>
      </c>
      <c r="C317" s="7" t="str">
        <f>TRIM(ETLMetadata!$F317)</f>
        <v>CUPT_DOV_ORIG</v>
      </c>
      <c r="D317" s="7" t="str">
        <f>TRIM(ETLMetadata!$H317)</f>
        <v>StringType()</v>
      </c>
      <c r="E317" s="7" t="str">
        <f t="shared" si="40"/>
        <v>CLK_CUST_CST_CUPT</v>
      </c>
      <c r="F317" s="7" t="str">
        <f t="shared" si="34"/>
        <v>CUPT_DOV_ORIG</v>
      </c>
      <c r="G317" s="7" t="s">
        <v>825</v>
      </c>
      <c r="H317" s="7" t="str">
        <f t="shared" si="35"/>
        <v>CLK_CUST_CST_CUPT</v>
      </c>
      <c r="I317" s="7" t="str">
        <f t="shared" si="36"/>
        <v>CUPT_DOV_ORIG</v>
      </c>
      <c r="J317" s="7" t="str">
        <f t="shared" si="37"/>
        <v>INTEGER</v>
      </c>
      <c r="K317" s="17" t="s">
        <v>90</v>
      </c>
      <c r="L317" s="7" t="str">
        <f>TRIM(ETLMetadata!$I317)</f>
        <v/>
      </c>
      <c r="M317" s="7" t="str">
        <f t="shared" si="38"/>
        <v>CAST(NULLIF(TRIM(CUPT_DOV_ORIG),'') AS INTEGER)</v>
      </c>
      <c r="N317" s="7" t="str">
        <f>TRIM(ETLMetadata!$J317)</f>
        <v/>
      </c>
      <c r="O317" s="8" t="str">
        <f>IF(TRIM(Classification!$G317)="","NOT CONFIDENTIAL",TRIM(Classification!$G317))</f>
        <v>NOT CONFIDENTIAL</v>
      </c>
      <c r="P317" s="7" t="str">
        <f t="shared" si="39"/>
        <v>Y</v>
      </c>
      <c r="Q317" s="7" t="s">
        <v>826</v>
      </c>
      <c r="R317" s="9">
        <v>2958465</v>
      </c>
      <c r="S317" s="7" t="s">
        <v>827</v>
      </c>
      <c r="T317" s="7" t="s">
        <v>828</v>
      </c>
      <c r="U317" s="7" t="str">
        <f t="shared" si="41"/>
        <v>CLK_CUST_CST_CUPT_V</v>
      </c>
      <c r="V317" s="7" t="s">
        <v>829</v>
      </c>
    </row>
    <row r="318" spans="1:22">
      <c r="A318" s="7" t="str">
        <f>TRIM(ETLMetadata!$B318)</f>
        <v>CLK</v>
      </c>
      <c r="B318" s="7" t="str">
        <f>TRIM(ETLMetadata!$C318)</f>
        <v>CUST_CST_CUPT</v>
      </c>
      <c r="C318" s="7" t="str">
        <f>TRIM(ETLMetadata!$F318)</f>
        <v>PROCESSING_SEQUENCE</v>
      </c>
      <c r="D318" s="7" t="str">
        <f>TRIM(ETLMetadata!$H318)</f>
        <v>StringType()</v>
      </c>
      <c r="E318" s="7" t="str">
        <f t="shared" si="40"/>
        <v>CLK_CUST_CST_CUPT</v>
      </c>
      <c r="F318" s="7" t="str">
        <f t="shared" si="34"/>
        <v>PROCESSING_SEQUENCE</v>
      </c>
      <c r="G318" s="7" t="s">
        <v>825</v>
      </c>
      <c r="H318" s="7" t="str">
        <f t="shared" si="35"/>
        <v>CLK_CUST_CST_CUPT</v>
      </c>
      <c r="I318" s="7" t="str">
        <f t="shared" si="36"/>
        <v>PROCESSING_SEQUENCE</v>
      </c>
      <c r="J318" s="7" t="str">
        <f t="shared" si="37"/>
        <v>SMALLINT</v>
      </c>
      <c r="K318" s="7" t="str">
        <f>TRIM(ETLMetadata!$G318)</f>
        <v>SMALLINT</v>
      </c>
      <c r="L318" s="7" t="str">
        <f>TRIM(ETLMetadata!$I318)</f>
        <v/>
      </c>
      <c r="M318" s="7" t="str">
        <f t="shared" si="38"/>
        <v>CAST(NULLIF(TRIM(PROCESSING_SEQUENCE),'') AS SMALLINT)</v>
      </c>
      <c r="N318" s="7" t="str">
        <f>TRIM(ETLMetadata!$J318)</f>
        <v>Y</v>
      </c>
      <c r="O318" s="8" t="str">
        <f>IF(TRIM(Classification!$G318)="","NOT CONFIDENTIAL",TRIM(Classification!$G318))</f>
        <v>NOT CONFIDENTIAL</v>
      </c>
      <c r="P318" s="7" t="str">
        <f t="shared" si="39"/>
        <v>Y</v>
      </c>
      <c r="Q318" s="7" t="s">
        <v>826</v>
      </c>
      <c r="R318" s="9">
        <v>2958465</v>
      </c>
      <c r="S318" s="7" t="s">
        <v>827</v>
      </c>
      <c r="T318" s="7" t="s">
        <v>828</v>
      </c>
      <c r="U318" s="7" t="str">
        <f t="shared" si="41"/>
        <v>CLK_CUST_CST_CUPT_V</v>
      </c>
      <c r="V318" s="7" t="s">
        <v>829</v>
      </c>
    </row>
    <row r="319" spans="1:22">
      <c r="A319" s="7" t="str">
        <f>TRIM(ETLMetadata!$B319)</f>
        <v>CLK</v>
      </c>
      <c r="B319" s="7" t="str">
        <f>TRIM(ETLMetadata!$C319)</f>
        <v>CUST_CST_CUPT</v>
      </c>
      <c r="C319" s="7" t="str">
        <f>TRIM(ETLMetadata!$F319)</f>
        <v>CUPT_AMR_1</v>
      </c>
      <c r="D319" s="7" t="str">
        <f>TRIM(ETLMetadata!$H319)</f>
        <v>StringType()</v>
      </c>
      <c r="E319" s="7" t="str">
        <f t="shared" si="40"/>
        <v>CLK_CUST_CST_CUPT</v>
      </c>
      <c r="F319" s="7" t="str">
        <f t="shared" si="34"/>
        <v>CUPT_AMR_1</v>
      </c>
      <c r="G319" s="7" t="s">
        <v>825</v>
      </c>
      <c r="H319" s="7" t="str">
        <f t="shared" si="35"/>
        <v>CLK_CUST_CST_CUPT</v>
      </c>
      <c r="I319" s="7" t="str">
        <f t="shared" si="36"/>
        <v>CUPT_AMR_1</v>
      </c>
      <c r="J319" s="7" t="str">
        <f t="shared" si="37"/>
        <v>VARCHAR</v>
      </c>
      <c r="K319" s="7" t="str">
        <f>TRIM(ETLMetadata!$G319)</f>
        <v>CHAR(4)</v>
      </c>
      <c r="L319" s="7" t="str">
        <f>TRIM(ETLMetadata!$I319)</f>
        <v/>
      </c>
      <c r="M319" s="7" t="str">
        <f t="shared" si="38"/>
        <v>NULLIF(TRIM(CUPT_AMR_1),'')</v>
      </c>
      <c r="N319" s="7" t="str">
        <f>TRIM(ETLMetadata!$J319)</f>
        <v/>
      </c>
      <c r="O319" s="8" t="str">
        <f>IF(TRIM(Classification!$G319)="","NOT CONFIDENTIAL",TRIM(Classification!$G319))</f>
        <v>NOT CONFIDENTIAL</v>
      </c>
      <c r="P319" s="7" t="str">
        <f t="shared" si="39"/>
        <v>Y</v>
      </c>
      <c r="Q319" s="7" t="s">
        <v>826</v>
      </c>
      <c r="R319" s="9">
        <v>2958465</v>
      </c>
      <c r="S319" s="7" t="s">
        <v>827</v>
      </c>
      <c r="T319" s="7" t="s">
        <v>828</v>
      </c>
      <c r="U319" s="7" t="str">
        <f t="shared" si="41"/>
        <v>CLK_CUST_CST_CUPT_V</v>
      </c>
      <c r="V319" s="7" t="s">
        <v>829</v>
      </c>
    </row>
    <row r="320" spans="1:22">
      <c r="A320" s="7" t="str">
        <f>TRIM(ETLMetadata!$B320)</f>
        <v>CLK</v>
      </c>
      <c r="B320" s="7" t="str">
        <f>TRIM(ETLMetadata!$C320)</f>
        <v>CUST_CST_CUPT</v>
      </c>
      <c r="C320" s="7" t="str">
        <f>TRIM(ETLMetadata!$F320)</f>
        <v>CUPT_AMR_2</v>
      </c>
      <c r="D320" s="7" t="str">
        <f>TRIM(ETLMetadata!$H320)</f>
        <v>StringType()</v>
      </c>
      <c r="E320" s="7" t="str">
        <f t="shared" si="40"/>
        <v>CLK_CUST_CST_CUPT</v>
      </c>
      <c r="F320" s="7" t="str">
        <f t="shared" si="34"/>
        <v>CUPT_AMR_2</v>
      </c>
      <c r="G320" s="7" t="s">
        <v>825</v>
      </c>
      <c r="H320" s="7" t="str">
        <f t="shared" si="35"/>
        <v>CLK_CUST_CST_CUPT</v>
      </c>
      <c r="I320" s="7" t="str">
        <f t="shared" si="36"/>
        <v>CUPT_AMR_2</v>
      </c>
      <c r="J320" s="7" t="str">
        <f t="shared" si="37"/>
        <v>VARCHAR</v>
      </c>
      <c r="K320" s="7" t="str">
        <f>TRIM(ETLMetadata!$G320)</f>
        <v>CHAR(1)</v>
      </c>
      <c r="L320" s="7" t="str">
        <f>TRIM(ETLMetadata!$I320)</f>
        <v/>
      </c>
      <c r="M320" s="7" t="str">
        <f t="shared" si="38"/>
        <v>NULLIF(TRIM(CUPT_AMR_2),'')</v>
      </c>
      <c r="N320" s="7" t="str">
        <f>TRIM(ETLMetadata!$J320)</f>
        <v/>
      </c>
      <c r="O320" s="8" t="str">
        <f>IF(TRIM(Classification!$G320)="","NOT CONFIDENTIAL",TRIM(Classification!$G320))</f>
        <v>NOT CONFIDENTIAL</v>
      </c>
      <c r="P320" s="7" t="str">
        <f t="shared" si="39"/>
        <v>Y</v>
      </c>
      <c r="Q320" s="7" t="s">
        <v>826</v>
      </c>
      <c r="R320" s="9">
        <v>2958465</v>
      </c>
      <c r="S320" s="7" t="s">
        <v>827</v>
      </c>
      <c r="T320" s="7" t="s">
        <v>828</v>
      </c>
      <c r="U320" s="7" t="str">
        <f t="shared" si="41"/>
        <v>CLK_CUST_CST_CUPT_V</v>
      </c>
      <c r="V320" s="7" t="s">
        <v>829</v>
      </c>
    </row>
    <row r="321" spans="1:22">
      <c r="A321" s="7" t="str">
        <f>TRIM(ETLMetadata!$B321)</f>
        <v>CLK</v>
      </c>
      <c r="B321" s="7" t="str">
        <f>TRIM(ETLMetadata!$C321)</f>
        <v>CUST_CST_CUPT</v>
      </c>
      <c r="C321" s="7" t="str">
        <f>TRIM(ETLMetadata!$F321)</f>
        <v>CUPT_AMR_3</v>
      </c>
      <c r="D321" s="7" t="str">
        <f>TRIM(ETLMetadata!$H321)</f>
        <v>StringType()</v>
      </c>
      <c r="E321" s="7" t="str">
        <f t="shared" si="40"/>
        <v>CLK_CUST_CST_CUPT</v>
      </c>
      <c r="F321" s="7" t="str">
        <f t="shared" si="34"/>
        <v>CUPT_AMR_3</v>
      </c>
      <c r="G321" s="7" t="s">
        <v>825</v>
      </c>
      <c r="H321" s="7" t="str">
        <f t="shared" si="35"/>
        <v>CLK_CUST_CST_CUPT</v>
      </c>
      <c r="I321" s="7" t="str">
        <f t="shared" si="36"/>
        <v>CUPT_AMR_3</v>
      </c>
      <c r="J321" s="7" t="str">
        <f t="shared" si="37"/>
        <v>VARCHAR</v>
      </c>
      <c r="K321" s="7" t="str">
        <f>TRIM(ETLMetadata!$G321)</f>
        <v>CHAR(4)</v>
      </c>
      <c r="L321" s="7" t="str">
        <f>TRIM(ETLMetadata!$I321)</f>
        <v/>
      </c>
      <c r="M321" s="7" t="str">
        <f t="shared" si="38"/>
        <v>NULLIF(TRIM(CUPT_AMR_3),'')</v>
      </c>
      <c r="N321" s="7" t="str">
        <f>TRIM(ETLMetadata!$J321)</f>
        <v/>
      </c>
      <c r="O321" s="8" t="str">
        <f>IF(TRIM(Classification!$G321)="","NOT CONFIDENTIAL",TRIM(Classification!$G321))</f>
        <v>NOT CONFIDENTIAL</v>
      </c>
      <c r="P321" s="7" t="str">
        <f t="shared" si="39"/>
        <v>Y</v>
      </c>
      <c r="Q321" s="7" t="s">
        <v>826</v>
      </c>
      <c r="R321" s="9">
        <v>2958465</v>
      </c>
      <c r="S321" s="7" t="s">
        <v>827</v>
      </c>
      <c r="T321" s="7" t="s">
        <v>828</v>
      </c>
      <c r="U321" s="7" t="str">
        <f t="shared" si="41"/>
        <v>CLK_CUST_CST_CUPT_V</v>
      </c>
      <c r="V321" s="7" t="s">
        <v>829</v>
      </c>
    </row>
    <row r="322" spans="1:22">
      <c r="A322" s="7" t="str">
        <f>TRIM(ETLMetadata!$B322)</f>
        <v>CLK</v>
      </c>
      <c r="B322" s="7" t="str">
        <f>TRIM(ETLMetadata!$C322)</f>
        <v>CUST_CST_CUPT</v>
      </c>
      <c r="C322" s="7" t="str">
        <f>TRIM(ETLMetadata!$F322)</f>
        <v>CUPT_MARITAL_STS_CODE</v>
      </c>
      <c r="D322" s="7" t="str">
        <f>TRIM(ETLMetadata!$H322)</f>
        <v>StringType()</v>
      </c>
      <c r="E322" s="7" t="str">
        <f t="shared" si="40"/>
        <v>CLK_CUST_CST_CUPT</v>
      </c>
      <c r="F322" s="7" t="str">
        <f t="shared" si="34"/>
        <v>CUPT_MARITAL_STS_CODE</v>
      </c>
      <c r="G322" s="7" t="s">
        <v>825</v>
      </c>
      <c r="H322" s="7" t="str">
        <f t="shared" si="35"/>
        <v>CLK_CUST_CST_CUPT</v>
      </c>
      <c r="I322" s="7" t="str">
        <f t="shared" si="36"/>
        <v>CUPT_MARITAL_STS_CODE</v>
      </c>
      <c r="J322" s="7" t="str">
        <f t="shared" si="37"/>
        <v>VARCHAR</v>
      </c>
      <c r="K322" s="7" t="str">
        <f>TRIM(ETLMetadata!$G322)</f>
        <v>CHAR(3)</v>
      </c>
      <c r="L322" s="7" t="str">
        <f>TRIM(ETLMetadata!$I322)</f>
        <v/>
      </c>
      <c r="M322" s="7" t="str">
        <f t="shared" si="38"/>
        <v>NULLIF(TRIM(CUPT_MARITAL_STS_CODE),'')</v>
      </c>
      <c r="N322" s="7" t="str">
        <f>TRIM(ETLMetadata!$J322)</f>
        <v/>
      </c>
      <c r="O322" s="8" t="str">
        <f>IF(TRIM(Classification!$G322)="","NOT CONFIDENTIAL",TRIM(Classification!$G322))</f>
        <v>NOT CONFIDENTIAL</v>
      </c>
      <c r="P322" s="7" t="str">
        <f t="shared" si="39"/>
        <v>Y</v>
      </c>
      <c r="Q322" s="7" t="s">
        <v>826</v>
      </c>
      <c r="R322" s="9">
        <v>2958465</v>
      </c>
      <c r="S322" s="7" t="s">
        <v>827</v>
      </c>
      <c r="T322" s="7" t="s">
        <v>828</v>
      </c>
      <c r="U322" s="7" t="str">
        <f t="shared" si="41"/>
        <v>CLK_CUST_CST_CUPT_V</v>
      </c>
      <c r="V322" s="7" t="s">
        <v>829</v>
      </c>
    </row>
    <row r="323" spans="1:22">
      <c r="A323" s="7" t="str">
        <f>TRIM(ETLMetadata!$B323)</f>
        <v>CLK</v>
      </c>
      <c r="B323" s="7" t="str">
        <f>TRIM(ETLMetadata!$C323)</f>
        <v>CUST_CST_CUPT</v>
      </c>
      <c r="C323" s="7" t="str">
        <f>TRIM(ETLMetadata!$F323)</f>
        <v>CUPT_PPE_CODE</v>
      </c>
      <c r="D323" s="7" t="str">
        <f>TRIM(ETLMetadata!$H323)</f>
        <v>StringType()</v>
      </c>
      <c r="E323" s="7" t="str">
        <f t="shared" si="40"/>
        <v>CLK_CUST_CST_CUPT</v>
      </c>
      <c r="F323" s="7" t="str">
        <f t="shared" ref="F323:F386" si="42">IF($C323="Start_Date","STRT_DT",
 IF($C323="End_Date","END_DT",
 IF($C323="Record_Deleted_Flag","RCRD_DEL_IND",
 IF($C323="IsDeleted","RCRD_DEL_IND",
 $C323
))))</f>
        <v>CUPT_PPE_CODE</v>
      </c>
      <c r="G323" s="7" t="s">
        <v>825</v>
      </c>
      <c r="H323" s="7" t="str">
        <f t="shared" ref="H323:H386" si="43">CONCATENATE($A323,"_",$B323)</f>
        <v>CLK_CUST_CST_CUPT</v>
      </c>
      <c r="I323" s="7" t="str">
        <f t="shared" ref="I323:I386" si="44">IF($C323="Start_Date","STRT_DT",
 IF($C323="End_Date","END_DT",
 IF($C323="Record_Deleted_Flag","RCRD_DEL_IND",
 IF($C323="IsDeleted","RCRD_DEL_IND",
 $C323
))))</f>
        <v>CUPT_PPE_CODE</v>
      </c>
      <c r="J323" s="7" t="str">
        <f t="shared" ref="J323:J386" si="45">IF(LEFT(TRIM($K323),7)="VARCHAR","VARCHAR",
 IF(LEFT(TRIM($K323),4)="CHAR","VARCHAR",
 IF(TRIM($K323)="TIMESTAMP(6)","TIMESTAMP",
 IF(TRIM($K323)="DATE","DATE",
 IF(TRIM($K323)="BYTEINT","SMALLINT",
 IF(TRIM($K323)="SMALLINT","SMALLINT",
 IF(TRIM($K323)="INTEGER","INTEGER",
 IF(TRIM($K323)="BIGINT","INTEGER",
 IF(LEFT(TRIM($K323),7)="DECIMAL",TRIM($K323),
 IF(TRIM($K323)="BOOLEAN","BOOLEAN",
 IF(TRIM($K323)="DOUBLE","DOUBLE",
 IF(TRIM($K323)="FLOAT","FLOAT",
 IF(TRIM($K323)="REAL","REAL",
 IF(LEFT(TRIM($K323),6)="STRUCT","VARIANT",
 IF(LEFT(TRIM($K323),5)="ARRAY","VARIANT",
 IF(LEFT(TRIM($K323),3)="MAP","VARIANT",
 IF(LEFT(TRIM($K323),3)="ROW","VARIANT",
 "NONE"
)))))))))))))))))</f>
        <v>VARCHAR</v>
      </c>
      <c r="K323" s="7" t="str">
        <f>TRIM(ETLMetadata!$G323)</f>
        <v>CHAR(1)</v>
      </c>
      <c r="L323" s="7" t="str">
        <f>TRIM(ETLMetadata!$I323)</f>
        <v/>
      </c>
      <c r="M323" s="7" t="str">
        <f t="shared" ref="M323:M386" si="46">IF(LEFT($K323,7)="VARCHAR","NULLIF(TRIM("&amp;$I323&amp;"),'')",
 IF(LEFT($K323,4)="CHAR","NULLIF(TRIM("&amp;$I323&amp;"),'')",
 IF(LEFT($K323,7)="DECIMAL","CAST(NULLIF(TRIM("&amp;$I323&amp;"),'') AS "&amp;$K323&amp;")",
 IF($K323="TIMESTAMP(6)","TO_TIMESTAMP_NTZ(NULLIF(TRIM("&amp;$I323&amp;"),''),'YYYY-MM-DD HH24:MI:SS.FF6')",
 IF($K323="DATE","TO_DATE(NULLIF(TRIM("&amp;$I323&amp;"),'') , 'YYYY-MM-DD')",
 IF($K323="BIGINT","CAST(NULLIF(TRIM("&amp;I323&amp;"),'') AS INTEGER)",
 IF($K323="BYTEINT","CAST(NULLIF(TRIM("&amp;I323&amp;"),'') AS SMALLINT)",
 IF($K323="SMALLINT","CAST(NULLIF(TRIM("&amp;I323&amp;"),'') AS SMALLINT)",
 IF($K323="INTEGER","CAST(NULLIF(TRIM("&amp;I323&amp;"),'') AS INTEGER)",
 IF($K323="BOOLEAN","CAST(NULLIF(TRIM("&amp;I323&amp;"),'') AS BOOLEAN)",
 IF($K323="DOUBLE","CAST(NULLIF(TRIM("&amp;I323&amp;"),'') AS DOUBLE)",
 IF($K323="FLOAT","CAST(NULLIF(TRIM("&amp;I323&amp;"),'') AS FLOAT)",
 IF($K323="REAL","CAST(NULLIF(TRIM("&amp;I323&amp;"),'') AS REAL)",
 IF(OR($K323="STRUCT",$K323="ARRAY",$K323="MAP",$K323="ROW"),"CAST(NULLIF(TRIM("&amp;I323&amp;"),'') AS VARIANT)",
 "NONE"
))))))))))))))</f>
        <v>NULLIF(TRIM(CUPT_PPE_CODE),'')</v>
      </c>
      <c r="N323" s="7" t="str">
        <f>TRIM(ETLMetadata!$J323)</f>
        <v/>
      </c>
      <c r="O323" s="8" t="str">
        <f>IF(TRIM(Classification!$G323)="","NOT CONFIDENTIAL",TRIM(Classification!$G323))</f>
        <v>NOT CONFIDENTIAL</v>
      </c>
      <c r="P323" s="7" t="str">
        <f t="shared" ref="P323:P386" si="47">IF($C323="Start_Date","N",
 IF($C323="End_Date","N",
 IF($C323="Record_Deleted_Flag","N",
 IF($C323="IsDeleted","N",
 "Y"
))))</f>
        <v>Y</v>
      </c>
      <c r="Q323" s="7" t="s">
        <v>826</v>
      </c>
      <c r="R323" s="9">
        <v>2958465</v>
      </c>
      <c r="S323" s="7" t="s">
        <v>827</v>
      </c>
      <c r="T323" s="7" t="s">
        <v>828</v>
      </c>
      <c r="U323" s="7" t="str">
        <f t="shared" si="41"/>
        <v>CLK_CUST_CST_CUPT_V</v>
      </c>
      <c r="V323" s="7" t="s">
        <v>829</v>
      </c>
    </row>
    <row r="324" spans="1:22">
      <c r="A324" s="7" t="str">
        <f>TRIM(ETLMetadata!$B324)</f>
        <v>CLK</v>
      </c>
      <c r="B324" s="7" t="str">
        <f>TRIM(ETLMetadata!$C324)</f>
        <v>CUST_CST_CUPT</v>
      </c>
      <c r="C324" s="7" t="str">
        <f>TRIM(ETLMetadata!$F324)</f>
        <v>CUPT_PTNR_SSR</v>
      </c>
      <c r="D324" s="7" t="str">
        <f>TRIM(ETLMetadata!$H324)</f>
        <v>StringType()</v>
      </c>
      <c r="E324" s="7" t="str">
        <f t="shared" si="40"/>
        <v>CLK_CUST_CST_CUPT</v>
      </c>
      <c r="F324" s="7" t="str">
        <f t="shared" si="42"/>
        <v>CUPT_PTNR_SSR</v>
      </c>
      <c r="G324" s="7" t="s">
        <v>825</v>
      </c>
      <c r="H324" s="7" t="str">
        <f t="shared" si="43"/>
        <v>CLK_CUST_CST_CUPT</v>
      </c>
      <c r="I324" s="7" t="str">
        <f t="shared" si="44"/>
        <v>CUPT_PTNR_SSR</v>
      </c>
      <c r="J324" s="7" t="str">
        <f t="shared" si="45"/>
        <v>INTEGER</v>
      </c>
      <c r="K324" s="7" t="str">
        <f>TRIM(ETLMetadata!$G324)</f>
        <v>INTEGER</v>
      </c>
      <c r="L324" s="7" t="str">
        <f>TRIM(ETLMetadata!$I324)</f>
        <v/>
      </c>
      <c r="M324" s="7" t="str">
        <f t="shared" si="46"/>
        <v>CAST(NULLIF(TRIM(CUPT_PTNR_SSR),'') AS INTEGER)</v>
      </c>
      <c r="N324" s="7" t="str">
        <f>TRIM(ETLMetadata!$J324)</f>
        <v/>
      </c>
      <c r="O324" s="8" t="str">
        <f>IF(TRIM(Classification!$G324)="","NOT CONFIDENTIAL",TRIM(Classification!$G324))</f>
        <v>NOT CONFIDENTIAL</v>
      </c>
      <c r="P324" s="7" t="str">
        <f t="shared" si="47"/>
        <v>Y</v>
      </c>
      <c r="Q324" s="7" t="s">
        <v>826</v>
      </c>
      <c r="R324" s="9">
        <v>2958465</v>
      </c>
      <c r="S324" s="7" t="s">
        <v>827</v>
      </c>
      <c r="T324" s="7" t="s">
        <v>828</v>
      </c>
      <c r="U324" s="7" t="str">
        <f t="shared" si="41"/>
        <v>CLK_CUST_CST_CUPT_V</v>
      </c>
      <c r="V324" s="7" t="s">
        <v>829</v>
      </c>
    </row>
    <row r="325" spans="1:22">
      <c r="A325" s="7" t="str">
        <f>TRIM(ETLMetadata!$B325)</f>
        <v>CLK</v>
      </c>
      <c r="B325" s="7" t="str">
        <f>TRIM(ETLMetadata!$C325)</f>
        <v>CUST_CST_CUPT</v>
      </c>
      <c r="C325" s="7" t="str">
        <f>TRIM(ETLMetadata!$F325)</f>
        <v>CUPT_REL_QUAL_CODE</v>
      </c>
      <c r="D325" s="7" t="str">
        <f>TRIM(ETLMetadata!$H325)</f>
        <v>StringType()</v>
      </c>
      <c r="E325" s="7" t="str">
        <f t="shared" si="40"/>
        <v>CLK_CUST_CST_CUPT</v>
      </c>
      <c r="F325" s="7" t="str">
        <f t="shared" si="42"/>
        <v>CUPT_REL_QUAL_CODE</v>
      </c>
      <c r="G325" s="7" t="s">
        <v>825</v>
      </c>
      <c r="H325" s="7" t="str">
        <f t="shared" si="43"/>
        <v>CLK_CUST_CST_CUPT</v>
      </c>
      <c r="I325" s="7" t="str">
        <f t="shared" si="44"/>
        <v>CUPT_REL_QUAL_CODE</v>
      </c>
      <c r="J325" s="7" t="str">
        <f t="shared" si="45"/>
        <v>VARCHAR</v>
      </c>
      <c r="K325" s="7" t="str">
        <f>TRIM(ETLMetadata!$G325)</f>
        <v>CHAR(3)</v>
      </c>
      <c r="L325" s="7" t="str">
        <f>TRIM(ETLMetadata!$I325)</f>
        <v/>
      </c>
      <c r="M325" s="7" t="str">
        <f t="shared" si="46"/>
        <v>NULLIF(TRIM(CUPT_REL_QUAL_CODE),'')</v>
      </c>
      <c r="N325" s="7" t="str">
        <f>TRIM(ETLMetadata!$J325)</f>
        <v/>
      </c>
      <c r="O325" s="8" t="str">
        <f>IF(TRIM(Classification!$G325)="","NOT CONFIDENTIAL",TRIM(Classification!$G325))</f>
        <v>NOT CONFIDENTIAL</v>
      </c>
      <c r="P325" s="7" t="str">
        <f t="shared" si="47"/>
        <v>Y</v>
      </c>
      <c r="Q325" s="7" t="s">
        <v>826</v>
      </c>
      <c r="R325" s="9">
        <v>2958465</v>
      </c>
      <c r="S325" s="7" t="s">
        <v>827</v>
      </c>
      <c r="T325" s="7" t="s">
        <v>828</v>
      </c>
      <c r="U325" s="7" t="str">
        <f t="shared" si="41"/>
        <v>CLK_CUST_CST_CUPT_V</v>
      </c>
      <c r="V325" s="7" t="s">
        <v>829</v>
      </c>
    </row>
    <row r="326" spans="1:22">
      <c r="A326" s="7" t="str">
        <f>TRIM(ETLMetadata!$B326)</f>
        <v>CLK</v>
      </c>
      <c r="B326" s="7" t="str">
        <f>TRIM(ETLMetadata!$C326)</f>
        <v>CUST_CST_CUPT</v>
      </c>
      <c r="C326" s="7" t="str">
        <f>TRIM(ETLMetadata!$F326)</f>
        <v>AMR1_RISL_DTS</v>
      </c>
      <c r="D326" s="7" t="str">
        <f>TRIM(ETLMetadata!$H326)</f>
        <v>StringType()</v>
      </c>
      <c r="E326" s="7" t="str">
        <f t="shared" si="40"/>
        <v>CLK_CUST_CST_CUPT</v>
      </c>
      <c r="F326" s="7" t="str">
        <f t="shared" si="42"/>
        <v>AMR1_RISL_DTS</v>
      </c>
      <c r="G326" s="7" t="s">
        <v>825</v>
      </c>
      <c r="H326" s="7" t="str">
        <f t="shared" si="43"/>
        <v>CLK_CUST_CST_CUPT</v>
      </c>
      <c r="I326" s="7" t="str">
        <f t="shared" si="44"/>
        <v>AMR1_RISL_DTS</v>
      </c>
      <c r="J326" s="7" t="str">
        <f t="shared" si="45"/>
        <v>TIMESTAMP</v>
      </c>
      <c r="K326" s="7" t="str">
        <f>TRIM(ETLMetadata!$G326)</f>
        <v>TIMESTAMP(6)</v>
      </c>
      <c r="L326" s="7" t="str">
        <f>TRIM(ETLMetadata!$I326)</f>
        <v>YYYY-MM-DDBHH:MI:SS.S(6)</v>
      </c>
      <c r="M326" s="7" t="str">
        <f t="shared" si="46"/>
        <v>TO_TIMESTAMP_NTZ(NULLIF(TRIM(AMR1_RISL_DTS),''),'YYYY-MM-DD HH24:MI:SS.FF6')</v>
      </c>
      <c r="N326" s="7" t="str">
        <f>TRIM(ETLMetadata!$J326)</f>
        <v/>
      </c>
      <c r="O326" s="8" t="str">
        <f>IF(TRIM(Classification!$G326)="","NOT CONFIDENTIAL",TRIM(Classification!$G326))</f>
        <v>NOT CONFIDENTIAL</v>
      </c>
      <c r="P326" s="7" t="str">
        <f t="shared" si="47"/>
        <v>Y</v>
      </c>
      <c r="Q326" s="7" t="s">
        <v>826</v>
      </c>
      <c r="R326" s="9">
        <v>2958465</v>
      </c>
      <c r="S326" s="7" t="s">
        <v>827</v>
      </c>
      <c r="T326" s="7" t="s">
        <v>828</v>
      </c>
      <c r="U326" s="7" t="str">
        <f t="shared" si="41"/>
        <v>CLK_CUST_CST_CUPT_V</v>
      </c>
      <c r="V326" s="7" t="s">
        <v>829</v>
      </c>
    </row>
    <row r="327" spans="1:22">
      <c r="A327" s="7" t="str">
        <f>TRIM(ETLMetadata!$B327)</f>
        <v>CLK</v>
      </c>
      <c r="B327" s="7" t="str">
        <f>TRIM(ETLMetadata!$C327)</f>
        <v>CUST_CST_CUPT</v>
      </c>
      <c r="C327" s="7" t="str">
        <f>TRIM(ETLMetadata!$F327)</f>
        <v>AMR3_RISL_DTS</v>
      </c>
      <c r="D327" s="7" t="str">
        <f>TRIM(ETLMetadata!$H327)</f>
        <v>StringType()</v>
      </c>
      <c r="E327" s="7" t="str">
        <f t="shared" si="40"/>
        <v>CLK_CUST_CST_CUPT</v>
      </c>
      <c r="F327" s="7" t="str">
        <f t="shared" si="42"/>
        <v>AMR3_RISL_DTS</v>
      </c>
      <c r="G327" s="7" t="s">
        <v>825</v>
      </c>
      <c r="H327" s="7" t="str">
        <f t="shared" si="43"/>
        <v>CLK_CUST_CST_CUPT</v>
      </c>
      <c r="I327" s="7" t="str">
        <f t="shared" si="44"/>
        <v>AMR3_RISL_DTS</v>
      </c>
      <c r="J327" s="7" t="str">
        <f t="shared" si="45"/>
        <v>TIMESTAMP</v>
      </c>
      <c r="K327" s="7" t="str">
        <f>TRIM(ETLMetadata!$G327)</f>
        <v>TIMESTAMP(6)</v>
      </c>
      <c r="L327" s="7" t="str">
        <f>TRIM(ETLMetadata!$I327)</f>
        <v>YYYY-MM-DDBHH:MI:SS.S(6)</v>
      </c>
      <c r="M327" s="7" t="str">
        <f t="shared" si="46"/>
        <v>TO_TIMESTAMP_NTZ(NULLIF(TRIM(AMR3_RISL_DTS),''),'YYYY-MM-DD HH24:MI:SS.FF6')</v>
      </c>
      <c r="N327" s="7" t="str">
        <f>TRIM(ETLMetadata!$J327)</f>
        <v/>
      </c>
      <c r="O327" s="8" t="str">
        <f>IF(TRIM(Classification!$G327)="","NOT CONFIDENTIAL",TRIM(Classification!$G327))</f>
        <v>NOT CONFIDENTIAL</v>
      </c>
      <c r="P327" s="7" t="str">
        <f t="shared" si="47"/>
        <v>Y</v>
      </c>
      <c r="Q327" s="7" t="s">
        <v>826</v>
      </c>
      <c r="R327" s="9">
        <v>2958465</v>
      </c>
      <c r="S327" s="7" t="s">
        <v>827</v>
      </c>
      <c r="T327" s="7" t="s">
        <v>828</v>
      </c>
      <c r="U327" s="7" t="str">
        <f t="shared" si="41"/>
        <v>CLK_CUST_CST_CUPT_V</v>
      </c>
      <c r="V327" s="7" t="s">
        <v>829</v>
      </c>
    </row>
    <row r="328" spans="1:22">
      <c r="A328" s="7" t="str">
        <f>TRIM(ETLMetadata!$B328)</f>
        <v>CLK</v>
      </c>
      <c r="B328" s="7" t="str">
        <f>TRIM(ETLMetadata!$C328)</f>
        <v>CUST_CST_CUPT</v>
      </c>
      <c r="C328" s="7" t="str">
        <f>TRIM(ETLMetadata!$F328)</f>
        <v>PARTNER_PARTY_ROLE_ID</v>
      </c>
      <c r="D328" s="7" t="str">
        <f>TRIM(ETLMetadata!$H328)</f>
        <v>StringType()</v>
      </c>
      <c r="E328" s="7" t="str">
        <f t="shared" si="40"/>
        <v>CLK_CUST_CST_CUPT</v>
      </c>
      <c r="F328" s="7" t="str">
        <f t="shared" si="42"/>
        <v>PARTNER_PARTY_ROLE_ID</v>
      </c>
      <c r="G328" s="7" t="s">
        <v>825</v>
      </c>
      <c r="H328" s="7" t="str">
        <f t="shared" si="43"/>
        <v>CLK_CUST_CST_CUPT</v>
      </c>
      <c r="I328" s="7" t="str">
        <f t="shared" si="44"/>
        <v>PARTNER_PARTY_ROLE_ID</v>
      </c>
      <c r="J328" s="7" t="str">
        <f t="shared" si="45"/>
        <v>INTEGER</v>
      </c>
      <c r="K328" s="7" t="str">
        <f>TRIM(ETLMetadata!$G328)</f>
        <v>INTEGER</v>
      </c>
      <c r="L328" s="7" t="str">
        <f>TRIM(ETLMetadata!$I328)</f>
        <v/>
      </c>
      <c r="M328" s="7" t="str">
        <f t="shared" si="46"/>
        <v>CAST(NULLIF(TRIM(PARTNER_PARTY_ROLE_ID),'') AS INTEGER)</v>
      </c>
      <c r="N328" s="7" t="str">
        <f>TRIM(ETLMetadata!$J328)</f>
        <v/>
      </c>
      <c r="O328" s="8" t="str">
        <f>IF(TRIM(Classification!$G328)="","NOT CONFIDENTIAL",TRIM(Classification!$G328))</f>
        <v>NOT CONFIDENTIAL</v>
      </c>
      <c r="P328" s="7" t="str">
        <f t="shared" si="47"/>
        <v>Y</v>
      </c>
      <c r="Q328" s="7" t="s">
        <v>826</v>
      </c>
      <c r="R328" s="9">
        <v>2958465</v>
      </c>
      <c r="S328" s="7" t="s">
        <v>827</v>
      </c>
      <c r="T328" s="7" t="s">
        <v>828</v>
      </c>
      <c r="U328" s="7" t="str">
        <f t="shared" si="41"/>
        <v>CLK_CUST_CST_CUPT_V</v>
      </c>
      <c r="V328" s="7" t="s">
        <v>829</v>
      </c>
    </row>
    <row r="329" spans="1:22">
      <c r="A329" s="7" t="str">
        <f>TRIM(ETLMetadata!$B329)</f>
        <v>CLK</v>
      </c>
      <c r="B329" s="7" t="str">
        <f>TRIM(ETLMetadata!$C329)</f>
        <v>CUST_CST_CUPT</v>
      </c>
      <c r="C329" s="7" t="str">
        <f>TRIM(ETLMetadata!$F329)</f>
        <v>PARTY_ROLE_ID</v>
      </c>
      <c r="D329" s="7" t="str">
        <f>TRIM(ETLMetadata!$H329)</f>
        <v>StringType()</v>
      </c>
      <c r="E329" s="7" t="str">
        <f t="shared" si="40"/>
        <v>CLK_CUST_CST_CUPT</v>
      </c>
      <c r="F329" s="7" t="str">
        <f t="shared" si="42"/>
        <v>PARTY_ROLE_ID</v>
      </c>
      <c r="G329" s="7" t="s">
        <v>825</v>
      </c>
      <c r="H329" s="7" t="str">
        <f t="shared" si="43"/>
        <v>CLK_CUST_CST_CUPT</v>
      </c>
      <c r="I329" s="7" t="str">
        <f t="shared" si="44"/>
        <v>PARTY_ROLE_ID</v>
      </c>
      <c r="J329" s="7" t="str">
        <f t="shared" si="45"/>
        <v>INTEGER</v>
      </c>
      <c r="K329" s="7" t="str">
        <f>TRIM(ETLMetadata!$G329)</f>
        <v>INTEGER</v>
      </c>
      <c r="L329" s="7" t="str">
        <f>TRIM(ETLMetadata!$I329)</f>
        <v/>
      </c>
      <c r="M329" s="7" t="str">
        <f t="shared" si="46"/>
        <v>CAST(NULLIF(TRIM(PARTY_ROLE_ID),'') AS INTEGER)</v>
      </c>
      <c r="N329" s="7" t="str">
        <f>TRIM(ETLMetadata!$J329)</f>
        <v/>
      </c>
      <c r="O329" s="8" t="str">
        <f>IF(TRIM(Classification!$G329)="","NOT CONFIDENTIAL",TRIM(Classification!$G329))</f>
        <v>NOT CONFIDENTIAL</v>
      </c>
      <c r="P329" s="7" t="str">
        <f t="shared" si="47"/>
        <v>Y</v>
      </c>
      <c r="Q329" s="7" t="s">
        <v>826</v>
      </c>
      <c r="R329" s="9">
        <v>2958465</v>
      </c>
      <c r="S329" s="7" t="s">
        <v>827</v>
      </c>
      <c r="T329" s="7" t="s">
        <v>828</v>
      </c>
      <c r="U329" s="7" t="str">
        <f t="shared" si="41"/>
        <v>CLK_CUST_CST_CUPT_V</v>
      </c>
      <c r="V329" s="7" t="s">
        <v>829</v>
      </c>
    </row>
    <row r="330" spans="1:22">
      <c r="A330" s="7" t="str">
        <f>TRIM(ETLMetadata!$B330)</f>
        <v>CLK</v>
      </c>
      <c r="B330" s="7" t="str">
        <f>TRIM(ETLMetadata!$C330)</f>
        <v>CUST_CST_CUPT</v>
      </c>
      <c r="C330" s="7" t="str">
        <f>TRIM(ETLMetadata!$F330)</f>
        <v>RELATED_PARTY_ROLE_ID</v>
      </c>
      <c r="D330" s="7" t="str">
        <f>TRIM(ETLMetadata!$H330)</f>
        <v>StringType()</v>
      </c>
      <c r="E330" s="7" t="str">
        <f t="shared" si="40"/>
        <v>CLK_CUST_CST_CUPT</v>
      </c>
      <c r="F330" s="7" t="str">
        <f t="shared" si="42"/>
        <v>RELATED_PARTY_ROLE_ID</v>
      </c>
      <c r="G330" s="7" t="s">
        <v>825</v>
      </c>
      <c r="H330" s="7" t="str">
        <f t="shared" si="43"/>
        <v>CLK_CUST_CST_CUPT</v>
      </c>
      <c r="I330" s="7" t="str">
        <f t="shared" si="44"/>
        <v>RELATED_PARTY_ROLE_ID</v>
      </c>
      <c r="J330" s="7" t="str">
        <f t="shared" si="45"/>
        <v>INTEGER</v>
      </c>
      <c r="K330" s="7" t="str">
        <f>TRIM(ETLMetadata!$G330)</f>
        <v>INTEGER</v>
      </c>
      <c r="L330" s="7" t="str">
        <f>TRIM(ETLMetadata!$I330)</f>
        <v/>
      </c>
      <c r="M330" s="7" t="str">
        <f t="shared" si="46"/>
        <v>CAST(NULLIF(TRIM(RELATED_PARTY_ROLE_ID),'') AS INTEGER)</v>
      </c>
      <c r="N330" s="7" t="str">
        <f>TRIM(ETLMetadata!$J330)</f>
        <v/>
      </c>
      <c r="O330" s="8" t="str">
        <f>IF(TRIM(Classification!$G330)="","NOT CONFIDENTIAL",TRIM(Classification!$G330))</f>
        <v>NOT CONFIDENTIAL</v>
      </c>
      <c r="P330" s="7" t="str">
        <f t="shared" si="47"/>
        <v>Y</v>
      </c>
      <c r="Q330" s="7" t="s">
        <v>826</v>
      </c>
      <c r="R330" s="9">
        <v>2958465</v>
      </c>
      <c r="S330" s="7" t="s">
        <v>827</v>
      </c>
      <c r="T330" s="7" t="s">
        <v>828</v>
      </c>
      <c r="U330" s="7" t="str">
        <f t="shared" si="41"/>
        <v>CLK_CUST_CST_CUPT_V</v>
      </c>
      <c r="V330" s="7" t="s">
        <v>829</v>
      </c>
    </row>
    <row r="331" spans="1:22">
      <c r="A331" s="7" t="str">
        <f>TRIM(ETLMetadata!$B331)</f>
        <v>CLK</v>
      </c>
      <c r="B331" s="7" t="str">
        <f>TRIM(ETLMetadata!$C331)</f>
        <v>CUST_CST_CUPT</v>
      </c>
      <c r="C331" s="7" t="str">
        <f>TRIM(ETLMetadata!$F331)</f>
        <v>ERROR_COUNT</v>
      </c>
      <c r="D331" s="7" t="str">
        <f>TRIM(ETLMetadata!$H331)</f>
        <v>StringType()</v>
      </c>
      <c r="E331" s="7" t="str">
        <f t="shared" si="40"/>
        <v>CLK_CUST_CST_CUPT</v>
      </c>
      <c r="F331" s="7" t="str">
        <f t="shared" si="42"/>
        <v>ERROR_COUNT</v>
      </c>
      <c r="G331" s="7" t="s">
        <v>825</v>
      </c>
      <c r="H331" s="7" t="str">
        <f t="shared" si="43"/>
        <v>CLK_CUST_CST_CUPT</v>
      </c>
      <c r="I331" s="7" t="str">
        <f t="shared" si="44"/>
        <v>ERROR_COUNT</v>
      </c>
      <c r="J331" s="7" t="str">
        <f t="shared" si="45"/>
        <v>SMALLINT</v>
      </c>
      <c r="K331" s="7" t="str">
        <f>TRIM(ETLMetadata!$G331)</f>
        <v>SMALLINT</v>
      </c>
      <c r="L331" s="7" t="str">
        <f>TRIM(ETLMetadata!$I331)</f>
        <v/>
      </c>
      <c r="M331" s="7" t="str">
        <f t="shared" si="46"/>
        <v>CAST(NULLIF(TRIM(ERROR_COUNT),'') AS SMALLINT)</v>
      </c>
      <c r="N331" s="7" t="str">
        <f>TRIM(ETLMetadata!$J331)</f>
        <v/>
      </c>
      <c r="O331" s="8" t="str">
        <f>IF(TRIM(Classification!$G331)="","NOT CONFIDENTIAL",TRIM(Classification!$G331))</f>
        <v>NOT CONFIDENTIAL</v>
      </c>
      <c r="P331" s="7" t="str">
        <f t="shared" si="47"/>
        <v>Y</v>
      </c>
      <c r="Q331" s="7" t="s">
        <v>826</v>
      </c>
      <c r="R331" s="9">
        <v>2958465</v>
      </c>
      <c r="S331" s="7" t="s">
        <v>827</v>
      </c>
      <c r="T331" s="7" t="s">
        <v>828</v>
      </c>
      <c r="U331" s="7" t="str">
        <f t="shared" si="41"/>
        <v>CLK_CUST_CST_CUPT_V</v>
      </c>
      <c r="V331" s="7" t="s">
        <v>829</v>
      </c>
    </row>
    <row r="332" spans="1:22">
      <c r="A332" s="7" t="str">
        <f>TRIM(ETLMetadata!$B332)</f>
        <v>CLK</v>
      </c>
      <c r="B332" s="7" t="str">
        <f>TRIM(ETLMetadata!$C332)</f>
        <v>CUST_CST_CUPT</v>
      </c>
      <c r="C332" s="7" t="str">
        <f>TRIM(ETLMetadata!$F332)</f>
        <v>Start_Date</v>
      </c>
      <c r="D332" s="7" t="str">
        <f>TRIM(ETLMetadata!$H332)</f>
        <v>StringType()</v>
      </c>
      <c r="E332" s="7" t="str">
        <f t="shared" si="40"/>
        <v>CLK_CUST_CST_CUPT</v>
      </c>
      <c r="F332" s="7" t="str">
        <f t="shared" si="42"/>
        <v>STRT_DT</v>
      </c>
      <c r="G332" s="7" t="s">
        <v>825</v>
      </c>
      <c r="H332" s="7" t="str">
        <f t="shared" si="43"/>
        <v>CLK_CUST_CST_CUPT</v>
      </c>
      <c r="I332" s="7" t="str">
        <f t="shared" si="44"/>
        <v>STRT_DT</v>
      </c>
      <c r="J332" s="7" t="str">
        <f t="shared" si="45"/>
        <v>DATE</v>
      </c>
      <c r="K332" s="7" t="str">
        <f>TRIM(ETLMetadata!$G332)</f>
        <v>DATE</v>
      </c>
      <c r="L332" s="7" t="str">
        <f>TRIM(ETLMetadata!$I332)</f>
        <v>YYYY-MM-DD</v>
      </c>
      <c r="M332" s="7" t="str">
        <f t="shared" si="46"/>
        <v>TO_DATE(NULLIF(TRIM(STRT_DT),'') , 'YYYY-MM-DD')</v>
      </c>
      <c r="N332" s="7" t="str">
        <f>TRIM(ETLMetadata!$J332)</f>
        <v/>
      </c>
      <c r="O332" s="8" t="str">
        <f>IF(TRIM(Classification!$G332)="","NOT CONFIDENTIAL",TRIM(Classification!$G332))</f>
        <v>NOT CONFIDENTIAL</v>
      </c>
      <c r="P332" s="7" t="str">
        <f t="shared" si="47"/>
        <v>N</v>
      </c>
      <c r="Q332" s="7" t="s">
        <v>826</v>
      </c>
      <c r="R332" s="9">
        <v>2958465</v>
      </c>
      <c r="S332" s="7" t="s">
        <v>827</v>
      </c>
      <c r="T332" s="7" t="s">
        <v>828</v>
      </c>
      <c r="U332" s="7" t="str">
        <f t="shared" si="41"/>
        <v>CLK_CUST_CST_CUPT_V</v>
      </c>
      <c r="V332" s="7" t="s">
        <v>829</v>
      </c>
    </row>
    <row r="333" spans="1:22">
      <c r="A333" s="7" t="str">
        <f>TRIM(ETLMetadata!$B333)</f>
        <v>CLK</v>
      </c>
      <c r="B333" s="7" t="str">
        <f>TRIM(ETLMetadata!$C333)</f>
        <v>CUST_CST_CUPT</v>
      </c>
      <c r="C333" s="7" t="str">
        <f>TRIM(ETLMetadata!$F333)</f>
        <v>End_Date</v>
      </c>
      <c r="D333" s="7" t="str">
        <f>TRIM(ETLMetadata!$H333)</f>
        <v>StringType()</v>
      </c>
      <c r="E333" s="7" t="str">
        <f t="shared" si="40"/>
        <v>CLK_CUST_CST_CUPT</v>
      </c>
      <c r="F333" s="7" t="str">
        <f t="shared" si="42"/>
        <v>END_DT</v>
      </c>
      <c r="G333" s="7" t="s">
        <v>825</v>
      </c>
      <c r="H333" s="7" t="str">
        <f t="shared" si="43"/>
        <v>CLK_CUST_CST_CUPT</v>
      </c>
      <c r="I333" s="7" t="str">
        <f t="shared" si="44"/>
        <v>END_DT</v>
      </c>
      <c r="J333" s="7" t="str">
        <f t="shared" si="45"/>
        <v>DATE</v>
      </c>
      <c r="K333" s="7" t="str">
        <f>TRIM(ETLMetadata!$G333)</f>
        <v>DATE</v>
      </c>
      <c r="L333" s="7" t="str">
        <f>TRIM(ETLMetadata!$I333)</f>
        <v>YYYY-MM-DD</v>
      </c>
      <c r="M333" s="7" t="str">
        <f t="shared" si="46"/>
        <v>TO_DATE(NULLIF(TRIM(END_DT),'') , 'YYYY-MM-DD')</v>
      </c>
      <c r="N333" s="7" t="str">
        <f>TRIM(ETLMetadata!$J333)</f>
        <v/>
      </c>
      <c r="O333" s="8" t="str">
        <f>IF(TRIM(Classification!$G333)="","NOT CONFIDENTIAL",TRIM(Classification!$G333))</f>
        <v>NOT CONFIDENTIAL</v>
      </c>
      <c r="P333" s="7" t="str">
        <f t="shared" si="47"/>
        <v>N</v>
      </c>
      <c r="Q333" s="7" t="s">
        <v>826</v>
      </c>
      <c r="R333" s="9">
        <v>2958465</v>
      </c>
      <c r="S333" s="7" t="s">
        <v>827</v>
      </c>
      <c r="T333" s="7" t="s">
        <v>828</v>
      </c>
      <c r="U333" s="7" t="str">
        <f t="shared" si="41"/>
        <v>CLK_CUST_CST_CUPT_V</v>
      </c>
      <c r="V333" s="7" t="s">
        <v>829</v>
      </c>
    </row>
    <row r="334" spans="1:22">
      <c r="A334" s="7" t="str">
        <f>TRIM(ETLMetadata!$B334)</f>
        <v>CLK</v>
      </c>
      <c r="B334" s="7" t="str">
        <f>TRIM(ETLMetadata!$C334)</f>
        <v>CUST_CST_CUPT</v>
      </c>
      <c r="C334" s="7" t="str">
        <f>TRIM(ETLMetadata!$F334)</f>
        <v>Record_Deleted_Flag</v>
      </c>
      <c r="D334" s="7" t="str">
        <f>TRIM(ETLMetadata!$H334)</f>
        <v>StringType()</v>
      </c>
      <c r="E334" s="7" t="str">
        <f t="shared" si="40"/>
        <v>CLK_CUST_CST_CUPT</v>
      </c>
      <c r="F334" s="7" t="str">
        <f t="shared" si="42"/>
        <v>RCRD_DEL_IND</v>
      </c>
      <c r="G334" s="7" t="s">
        <v>825</v>
      </c>
      <c r="H334" s="7" t="str">
        <f t="shared" si="43"/>
        <v>CLK_CUST_CST_CUPT</v>
      </c>
      <c r="I334" s="7" t="str">
        <f t="shared" si="44"/>
        <v>RCRD_DEL_IND</v>
      </c>
      <c r="J334" s="7" t="str">
        <f t="shared" si="45"/>
        <v>SMALLINT</v>
      </c>
      <c r="K334" s="7" t="str">
        <f>TRIM(ETLMetadata!$G334)</f>
        <v>BYTEINT</v>
      </c>
      <c r="L334" s="7" t="str">
        <f>TRIM(ETLMetadata!$I334)</f>
        <v/>
      </c>
      <c r="M334" s="7" t="str">
        <f t="shared" si="46"/>
        <v>CAST(NULLIF(TRIM(RCRD_DEL_IND),'') AS SMALLINT)</v>
      </c>
      <c r="N334" s="7" t="str">
        <f>TRIM(ETLMetadata!$J334)</f>
        <v/>
      </c>
      <c r="O334" s="8" t="str">
        <f>IF(TRIM(Classification!$G334)="","NOT CONFIDENTIAL",TRIM(Classification!$G334))</f>
        <v>NOT CONFIDENTIAL</v>
      </c>
      <c r="P334" s="7" t="str">
        <f t="shared" si="47"/>
        <v>N</v>
      </c>
      <c r="Q334" s="7" t="s">
        <v>826</v>
      </c>
      <c r="R334" s="9">
        <v>2958465</v>
      </c>
      <c r="S334" s="7" t="s">
        <v>827</v>
      </c>
      <c r="T334" s="7" t="s">
        <v>828</v>
      </c>
      <c r="U334" s="7" t="str">
        <f t="shared" si="41"/>
        <v>CLK_CUST_CST_CUPT_V</v>
      </c>
      <c r="V334" s="7" t="s">
        <v>829</v>
      </c>
    </row>
    <row r="335" spans="1:22">
      <c r="A335" s="7" t="str">
        <f>TRIM(ETLMetadata!$B335)</f>
        <v>CLK</v>
      </c>
      <c r="B335" s="7" t="str">
        <f>TRIM(ETLMetadata!$C335)</f>
        <v>DETM_DETIS_BBDS</v>
      </c>
      <c r="C335" s="7" t="str">
        <f>TRIM(ETLMetadata!$F335)</f>
        <v>EXTRACT_DATE</v>
      </c>
      <c r="D335" s="7" t="str">
        <f>TRIM(ETLMetadata!$H335)</f>
        <v>StringType()</v>
      </c>
      <c r="E335" s="7" t="str">
        <f t="shared" si="40"/>
        <v>CLK_DETM_DETIS_BBDS</v>
      </c>
      <c r="F335" s="7" t="str">
        <f t="shared" si="42"/>
        <v>EXTRACT_DATE</v>
      </c>
      <c r="G335" s="7" t="s">
        <v>825</v>
      </c>
      <c r="H335" s="7" t="str">
        <f t="shared" si="43"/>
        <v>CLK_DETM_DETIS_BBDS</v>
      </c>
      <c r="I335" s="7" t="str">
        <f t="shared" si="44"/>
        <v>EXTRACT_DATE</v>
      </c>
      <c r="J335" s="7" t="str">
        <f t="shared" si="45"/>
        <v>DATE</v>
      </c>
      <c r="K335" s="7" t="str">
        <f>TRIM(ETLMetadata!$G335)</f>
        <v>DATE</v>
      </c>
      <c r="L335" s="7" t="str">
        <f>TRIM(ETLMetadata!$I335)</f>
        <v>YYYY-MM-DD</v>
      </c>
      <c r="M335" s="7" t="str">
        <f t="shared" si="46"/>
        <v>TO_DATE(NULLIF(TRIM(EXTRACT_DATE),'') , 'YYYY-MM-DD')</v>
      </c>
      <c r="N335" s="7" t="str">
        <f>TRIM(ETLMetadata!$J335)</f>
        <v/>
      </c>
      <c r="O335" s="8" t="str">
        <f>IF(TRIM(Classification!$G335)="","NOT CONFIDENTIAL",TRIM(Classification!$G335))</f>
        <v>NOT CONFIDENTIAL</v>
      </c>
      <c r="P335" s="7" t="str">
        <f t="shared" si="47"/>
        <v>Y</v>
      </c>
      <c r="Q335" s="7" t="s">
        <v>826</v>
      </c>
      <c r="R335" s="9">
        <v>2958465</v>
      </c>
      <c r="S335" s="7" t="s">
        <v>827</v>
      </c>
      <c r="T335" s="7" t="s">
        <v>828</v>
      </c>
      <c r="U335" s="7" t="str">
        <f t="shared" si="41"/>
        <v>CLK_DETM_DETIS_BBDS_V</v>
      </c>
      <c r="V335" s="7" t="s">
        <v>829</v>
      </c>
    </row>
    <row r="336" spans="1:22">
      <c r="A336" s="7" t="str">
        <f>TRIM(ETLMetadata!$B336)</f>
        <v>CLK</v>
      </c>
      <c r="B336" s="7" t="str">
        <f>TRIM(ETLMetadata!$C336)</f>
        <v>DETM_DETIS_BBDS</v>
      </c>
      <c r="C336" s="7" t="str">
        <f>TRIM(ETLMetadata!$F336)</f>
        <v>LOGICAL_DELETE_DATE</v>
      </c>
      <c r="D336" s="7" t="str">
        <f>TRIM(ETLMetadata!$H336)</f>
        <v>StringType()</v>
      </c>
      <c r="E336" s="7" t="str">
        <f t="shared" si="40"/>
        <v>CLK_DETM_DETIS_BBDS</v>
      </c>
      <c r="F336" s="7" t="str">
        <f t="shared" si="42"/>
        <v>LOGICAL_DELETE_DATE</v>
      </c>
      <c r="G336" s="7" t="s">
        <v>825</v>
      </c>
      <c r="H336" s="7" t="str">
        <f t="shared" si="43"/>
        <v>CLK_DETM_DETIS_BBDS</v>
      </c>
      <c r="I336" s="7" t="str">
        <f t="shared" si="44"/>
        <v>LOGICAL_DELETE_DATE</v>
      </c>
      <c r="J336" s="7" t="str">
        <f t="shared" si="45"/>
        <v>DATE</v>
      </c>
      <c r="K336" s="7" t="str">
        <f>TRIM(ETLMetadata!$G336)</f>
        <v>DATE</v>
      </c>
      <c r="L336" s="7" t="str">
        <f>TRIM(ETLMetadata!$I336)</f>
        <v>YYYY-MM-DD</v>
      </c>
      <c r="M336" s="7" t="str">
        <f t="shared" si="46"/>
        <v>TO_DATE(NULLIF(TRIM(LOGICAL_DELETE_DATE),'') , 'YYYY-MM-DD')</v>
      </c>
      <c r="N336" s="7" t="str">
        <f>TRIM(ETLMetadata!$J336)</f>
        <v/>
      </c>
      <c r="O336" s="8" t="str">
        <f>IF(TRIM(Classification!$G336)="","NOT CONFIDENTIAL",TRIM(Classification!$G336))</f>
        <v>NOT CONFIDENTIAL</v>
      </c>
      <c r="P336" s="7" t="str">
        <f t="shared" si="47"/>
        <v>Y</v>
      </c>
      <c r="Q336" s="7" t="s">
        <v>826</v>
      </c>
      <c r="R336" s="9">
        <v>2958465</v>
      </c>
      <c r="S336" s="7" t="s">
        <v>827</v>
      </c>
      <c r="T336" s="7" t="s">
        <v>828</v>
      </c>
      <c r="U336" s="7" t="str">
        <f t="shared" si="41"/>
        <v>CLK_DETM_DETIS_BBDS_V</v>
      </c>
      <c r="V336" s="7" t="s">
        <v>829</v>
      </c>
    </row>
    <row r="337" spans="1:22">
      <c r="A337" s="7" t="str">
        <f>TRIM(ETLMetadata!$B337)</f>
        <v>CLK</v>
      </c>
      <c r="B337" s="7" t="str">
        <f>TRIM(ETLMetadata!$C337)</f>
        <v>DETM_DETIS_BBDS</v>
      </c>
      <c r="C337" s="7" t="str">
        <f>TRIM(ETLMetadata!$F337)</f>
        <v>ENVIRONMENT_ID</v>
      </c>
      <c r="D337" s="7" t="str">
        <f>TRIM(ETLMetadata!$H337)</f>
        <v>StringType()</v>
      </c>
      <c r="E337" s="7" t="str">
        <f t="shared" si="40"/>
        <v>CLK_DETM_DETIS_BBDS</v>
      </c>
      <c r="F337" s="7" t="str">
        <f t="shared" si="42"/>
        <v>ENVIRONMENT_ID</v>
      </c>
      <c r="G337" s="7" t="s">
        <v>825</v>
      </c>
      <c r="H337" s="7" t="str">
        <f t="shared" si="43"/>
        <v>CLK_DETM_DETIS_BBDS</v>
      </c>
      <c r="I337" s="7" t="str">
        <f t="shared" si="44"/>
        <v>ENVIRONMENT_ID</v>
      </c>
      <c r="J337" s="7" t="str">
        <f t="shared" si="45"/>
        <v>VARCHAR</v>
      </c>
      <c r="K337" s="7" t="str">
        <f>TRIM(ETLMetadata!$G337)</f>
        <v>CHAR(1)</v>
      </c>
      <c r="L337" s="7" t="str">
        <f>TRIM(ETLMetadata!$I337)</f>
        <v/>
      </c>
      <c r="M337" s="7" t="str">
        <f t="shared" si="46"/>
        <v>NULLIF(TRIM(ENVIRONMENT_ID),'')</v>
      </c>
      <c r="N337" s="7" t="str">
        <f>TRIM(ETLMetadata!$J337)</f>
        <v>Y</v>
      </c>
      <c r="O337" s="8" t="str">
        <f>IF(TRIM(Classification!$G337)="","NOT CONFIDENTIAL",TRIM(Classification!$G337))</f>
        <v>NOT CONFIDENTIAL</v>
      </c>
      <c r="P337" s="7" t="str">
        <f t="shared" si="47"/>
        <v>Y</v>
      </c>
      <c r="Q337" s="7" t="s">
        <v>826</v>
      </c>
      <c r="R337" s="9">
        <v>2958465</v>
      </c>
      <c r="S337" s="7" t="s">
        <v>827</v>
      </c>
      <c r="T337" s="7" t="s">
        <v>828</v>
      </c>
      <c r="U337" s="7" t="str">
        <f t="shared" si="41"/>
        <v>CLK_DETM_DETIS_BBDS_V</v>
      </c>
      <c r="V337" s="7" t="s">
        <v>829</v>
      </c>
    </row>
    <row r="338" spans="1:22">
      <c r="A338" s="7" t="str">
        <f>TRIM(ETLMetadata!$B338)</f>
        <v>CLK</v>
      </c>
      <c r="B338" s="7" t="str">
        <f>TRIM(ETLMetadata!$C338)</f>
        <v>DETM_DETIS_BBDS</v>
      </c>
      <c r="C338" s="7" t="str">
        <f>TRIM(ETLMetadata!$F338)</f>
        <v>PERSON_ID</v>
      </c>
      <c r="D338" s="7" t="str">
        <f>TRIM(ETLMetadata!$H338)</f>
        <v>StringType()</v>
      </c>
      <c r="E338" s="7" t="str">
        <f t="shared" si="40"/>
        <v>CLK_DETM_DETIS_BBDS</v>
      </c>
      <c r="F338" s="7" t="str">
        <f t="shared" si="42"/>
        <v>PERSON_ID</v>
      </c>
      <c r="G338" s="7" t="s">
        <v>825</v>
      </c>
      <c r="H338" s="7" t="str">
        <f t="shared" si="43"/>
        <v>CLK_DETM_DETIS_BBDS</v>
      </c>
      <c r="I338" s="7" t="str">
        <f t="shared" si="44"/>
        <v>PERSON_ID</v>
      </c>
      <c r="J338" s="7" t="str">
        <f t="shared" si="45"/>
        <v>INTEGER</v>
      </c>
      <c r="K338" s="7" t="str">
        <f>TRIM(ETLMetadata!$G338)</f>
        <v>INTEGER</v>
      </c>
      <c r="L338" s="7" t="str">
        <f>TRIM(ETLMetadata!$I338)</f>
        <v/>
      </c>
      <c r="M338" s="7" t="str">
        <f t="shared" si="46"/>
        <v>CAST(NULLIF(TRIM(PERSON_ID),'') AS INTEGER)</v>
      </c>
      <c r="N338" s="7" t="str">
        <f>TRIM(ETLMetadata!$J338)</f>
        <v>Y</v>
      </c>
      <c r="O338" s="8" t="str">
        <f>IF(TRIM(Classification!$G338)="","NOT CONFIDENTIAL",TRIM(Classification!$G338))</f>
        <v>PERSONAL_IDENTITYINFOINDIRECT</v>
      </c>
      <c r="P338" s="7" t="str">
        <f t="shared" si="47"/>
        <v>Y</v>
      </c>
      <c r="Q338" s="7" t="s">
        <v>826</v>
      </c>
      <c r="R338" s="9">
        <v>2958465</v>
      </c>
      <c r="S338" s="7" t="s">
        <v>827</v>
      </c>
      <c r="T338" s="7" t="s">
        <v>828</v>
      </c>
      <c r="U338" s="7" t="str">
        <f t="shared" si="41"/>
        <v>CLK_DETM_DETIS_BBDS_V</v>
      </c>
      <c r="V338" s="7" t="s">
        <v>829</v>
      </c>
    </row>
    <row r="339" spans="1:22">
      <c r="A339" s="7" t="str">
        <f>TRIM(ETLMetadata!$B339)</f>
        <v>CLK</v>
      </c>
      <c r="B339" s="7" t="str">
        <f>TRIM(ETLMetadata!$C339)</f>
        <v>DETM_DETIS_BBDS</v>
      </c>
      <c r="C339" s="7" t="str">
        <f>TRIM(ETLMetadata!$F339)</f>
        <v>BBDS_DOE</v>
      </c>
      <c r="D339" s="7" t="str">
        <f>TRIM(ETLMetadata!$H339)</f>
        <v>StringType()</v>
      </c>
      <c r="E339" s="7" t="str">
        <f t="shared" si="40"/>
        <v>CLK_DETM_DETIS_BBDS</v>
      </c>
      <c r="F339" s="7" t="str">
        <f t="shared" si="42"/>
        <v>BBDS_DOE</v>
      </c>
      <c r="G339" s="7" t="s">
        <v>825</v>
      </c>
      <c r="H339" s="7" t="str">
        <f t="shared" si="43"/>
        <v>CLK_DETM_DETIS_BBDS</v>
      </c>
      <c r="I339" s="7" t="str">
        <f t="shared" si="44"/>
        <v>BBDS_DOE</v>
      </c>
      <c r="J339" s="7" t="str">
        <f t="shared" si="45"/>
        <v>DATE</v>
      </c>
      <c r="K339" s="17" t="s">
        <v>80</v>
      </c>
      <c r="L339" s="7" t="str">
        <f>TRIM(ETLMetadata!$I339)</f>
        <v>YYYY-MM-DD</v>
      </c>
      <c r="M339" s="7" t="str">
        <f t="shared" si="46"/>
        <v>TO_DATE(NULLIF(TRIM(BBDS_DOE),'') , 'YYYY-MM-DD')</v>
      </c>
      <c r="N339" s="7" t="str">
        <f>TRIM(ETLMetadata!$J339)</f>
        <v/>
      </c>
      <c r="O339" s="8" t="str">
        <f>IF(TRIM(Classification!$G339)="","NOT CONFIDENTIAL",TRIM(Classification!$G339))</f>
        <v>NOT CONFIDENTIAL</v>
      </c>
      <c r="P339" s="7" t="str">
        <f t="shared" si="47"/>
        <v>Y</v>
      </c>
      <c r="Q339" s="7" t="s">
        <v>826</v>
      </c>
      <c r="R339" s="9">
        <v>2958465</v>
      </c>
      <c r="S339" s="7" t="s">
        <v>827</v>
      </c>
      <c r="T339" s="7" t="s">
        <v>828</v>
      </c>
      <c r="U339" s="7" t="str">
        <f t="shared" si="41"/>
        <v>CLK_DETM_DETIS_BBDS_V</v>
      </c>
      <c r="V339" s="7" t="s">
        <v>829</v>
      </c>
    </row>
    <row r="340" spans="1:22">
      <c r="A340" s="7" t="str">
        <f>TRIM(ETLMetadata!$B340)</f>
        <v>CLK</v>
      </c>
      <c r="B340" s="7" t="str">
        <f>TRIM(ETLMetadata!$C340)</f>
        <v>DETM_DETIS_BBDS</v>
      </c>
      <c r="C340" s="7" t="str">
        <f>TRIM(ETLMetadata!$F340)</f>
        <v>BBDS_DOE_ORIG</v>
      </c>
      <c r="D340" s="7" t="str">
        <f>TRIM(ETLMetadata!$H340)</f>
        <v>StringType()</v>
      </c>
      <c r="E340" s="7" t="str">
        <f t="shared" si="40"/>
        <v>CLK_DETM_DETIS_BBDS</v>
      </c>
      <c r="F340" s="7" t="str">
        <f t="shared" si="42"/>
        <v>BBDS_DOE_ORIG</v>
      </c>
      <c r="G340" s="7" t="s">
        <v>825</v>
      </c>
      <c r="H340" s="7" t="str">
        <f t="shared" si="43"/>
        <v>CLK_DETM_DETIS_BBDS</v>
      </c>
      <c r="I340" s="7" t="str">
        <f t="shared" si="44"/>
        <v>BBDS_DOE_ORIG</v>
      </c>
      <c r="J340" s="7" t="str">
        <f t="shared" si="45"/>
        <v>INTEGER</v>
      </c>
      <c r="K340" s="17" t="s">
        <v>90</v>
      </c>
      <c r="L340" s="7" t="str">
        <f>TRIM(ETLMetadata!$I340)</f>
        <v/>
      </c>
      <c r="M340" s="7" t="str">
        <f t="shared" si="46"/>
        <v>CAST(NULLIF(TRIM(BBDS_DOE_ORIG),'') AS INTEGER)</v>
      </c>
      <c r="N340" s="7" t="str">
        <f>TRIM(ETLMetadata!$J340)</f>
        <v/>
      </c>
      <c r="O340" s="8" t="str">
        <f>IF(TRIM(Classification!$G340)="","NOT CONFIDENTIAL",TRIM(Classification!$G340))</f>
        <v>NOT CONFIDENTIAL</v>
      </c>
      <c r="P340" s="7" t="str">
        <f t="shared" si="47"/>
        <v>Y</v>
      </c>
      <c r="Q340" s="7" t="s">
        <v>826</v>
      </c>
      <c r="R340" s="9">
        <v>2958465</v>
      </c>
      <c r="S340" s="7" t="s">
        <v>827</v>
      </c>
      <c r="T340" s="7" t="s">
        <v>828</v>
      </c>
      <c r="U340" s="7" t="str">
        <f t="shared" si="41"/>
        <v>CLK_DETM_DETIS_BBDS_V</v>
      </c>
      <c r="V340" s="7" t="s">
        <v>829</v>
      </c>
    </row>
    <row r="341" spans="1:22">
      <c r="A341" s="7" t="str">
        <f>TRIM(ETLMetadata!$B341)</f>
        <v>CLK</v>
      </c>
      <c r="B341" s="7" t="str">
        <f>TRIM(ETLMetadata!$C341)</f>
        <v>DETM_DETIS_BBDS</v>
      </c>
      <c r="C341" s="7" t="str">
        <f>TRIM(ETLMetadata!$F341)</f>
        <v>PROCESSING_SEQUENCE</v>
      </c>
      <c r="D341" s="7" t="str">
        <f>TRIM(ETLMetadata!$H341)</f>
        <v>StringType()</v>
      </c>
      <c r="E341" s="7" t="str">
        <f t="shared" si="40"/>
        <v>CLK_DETM_DETIS_BBDS</v>
      </c>
      <c r="F341" s="7" t="str">
        <f t="shared" si="42"/>
        <v>PROCESSING_SEQUENCE</v>
      </c>
      <c r="G341" s="7" t="s">
        <v>825</v>
      </c>
      <c r="H341" s="7" t="str">
        <f t="shared" si="43"/>
        <v>CLK_DETM_DETIS_BBDS</v>
      </c>
      <c r="I341" s="7" t="str">
        <f t="shared" si="44"/>
        <v>PROCESSING_SEQUENCE</v>
      </c>
      <c r="J341" s="7" t="str">
        <f t="shared" si="45"/>
        <v>SMALLINT</v>
      </c>
      <c r="K341" s="7" t="str">
        <f>TRIM(ETLMetadata!$G341)</f>
        <v>SMALLINT</v>
      </c>
      <c r="L341" s="7" t="str">
        <f>TRIM(ETLMetadata!$I341)</f>
        <v/>
      </c>
      <c r="M341" s="7" t="str">
        <f t="shared" si="46"/>
        <v>CAST(NULLIF(TRIM(PROCESSING_SEQUENCE),'') AS SMALLINT)</v>
      </c>
      <c r="N341" s="7" t="str">
        <f>TRIM(ETLMetadata!$J341)</f>
        <v>Y</v>
      </c>
      <c r="O341" s="8" t="str">
        <f>IF(TRIM(Classification!$G341)="","NOT CONFIDENTIAL",TRIM(Classification!$G341))</f>
        <v>NOT CONFIDENTIAL</v>
      </c>
      <c r="P341" s="7" t="str">
        <f t="shared" si="47"/>
        <v>Y</v>
      </c>
      <c r="Q341" s="7" t="s">
        <v>826</v>
      </c>
      <c r="R341" s="9">
        <v>2958465</v>
      </c>
      <c r="S341" s="7" t="s">
        <v>827</v>
      </c>
      <c r="T341" s="7" t="s">
        <v>828</v>
      </c>
      <c r="U341" s="7" t="str">
        <f t="shared" si="41"/>
        <v>CLK_DETM_DETIS_BBDS_V</v>
      </c>
      <c r="V341" s="7" t="s">
        <v>829</v>
      </c>
    </row>
    <row r="342" spans="1:22">
      <c r="A342" s="7" t="str">
        <f>TRIM(ETLMetadata!$B342)</f>
        <v>CLK</v>
      </c>
      <c r="B342" s="7" t="str">
        <f>TRIM(ETLMetadata!$C342)</f>
        <v>DETM_DETIS_BBDS</v>
      </c>
      <c r="C342" s="7" t="str">
        <f>TRIM(ETLMetadata!$F342)</f>
        <v>BBDS_AMR_1</v>
      </c>
      <c r="D342" s="7" t="str">
        <f>TRIM(ETLMetadata!$H342)</f>
        <v>StringType()</v>
      </c>
      <c r="E342" s="7" t="str">
        <f t="shared" si="40"/>
        <v>CLK_DETM_DETIS_BBDS</v>
      </c>
      <c r="F342" s="7" t="str">
        <f t="shared" si="42"/>
        <v>BBDS_AMR_1</v>
      </c>
      <c r="G342" s="7" t="s">
        <v>825</v>
      </c>
      <c r="H342" s="7" t="str">
        <f t="shared" si="43"/>
        <v>CLK_DETM_DETIS_BBDS</v>
      </c>
      <c r="I342" s="7" t="str">
        <f t="shared" si="44"/>
        <v>BBDS_AMR_1</v>
      </c>
      <c r="J342" s="7" t="str">
        <f t="shared" si="45"/>
        <v>VARCHAR</v>
      </c>
      <c r="K342" s="7" t="str">
        <f>TRIM(ETLMetadata!$G342)</f>
        <v>CHAR(4)</v>
      </c>
      <c r="L342" s="7" t="str">
        <f>TRIM(ETLMetadata!$I342)</f>
        <v/>
      </c>
      <c r="M342" s="7" t="str">
        <f t="shared" si="46"/>
        <v>NULLIF(TRIM(BBDS_AMR_1),'')</v>
      </c>
      <c r="N342" s="7" t="str">
        <f>TRIM(ETLMetadata!$J342)</f>
        <v/>
      </c>
      <c r="O342" s="8" t="str">
        <f>IF(TRIM(Classification!$G342)="","NOT CONFIDENTIAL",TRIM(Classification!$G342))</f>
        <v>NOT CONFIDENTIAL</v>
      </c>
      <c r="P342" s="7" t="str">
        <f t="shared" si="47"/>
        <v>Y</v>
      </c>
      <c r="Q342" s="7" t="s">
        <v>826</v>
      </c>
      <c r="R342" s="9">
        <v>2958465</v>
      </c>
      <c r="S342" s="7" t="s">
        <v>827</v>
      </c>
      <c r="T342" s="7" t="s">
        <v>828</v>
      </c>
      <c r="U342" s="7" t="str">
        <f t="shared" si="41"/>
        <v>CLK_DETM_DETIS_BBDS_V</v>
      </c>
      <c r="V342" s="7" t="s">
        <v>829</v>
      </c>
    </row>
    <row r="343" spans="1:22">
      <c r="A343" s="7" t="str">
        <f>TRIM(ETLMetadata!$B343)</f>
        <v>CLK</v>
      </c>
      <c r="B343" s="7" t="str">
        <f>TRIM(ETLMetadata!$C343)</f>
        <v>DETM_DETIS_BBDS</v>
      </c>
      <c r="C343" s="7" t="str">
        <f>TRIM(ETLMetadata!$F343)</f>
        <v>BBDS_AMR_2</v>
      </c>
      <c r="D343" s="7" t="str">
        <f>TRIM(ETLMetadata!$H343)</f>
        <v>StringType()</v>
      </c>
      <c r="E343" s="7" t="str">
        <f t="shared" si="40"/>
        <v>CLK_DETM_DETIS_BBDS</v>
      </c>
      <c r="F343" s="7" t="str">
        <f t="shared" si="42"/>
        <v>BBDS_AMR_2</v>
      </c>
      <c r="G343" s="7" t="s">
        <v>825</v>
      </c>
      <c r="H343" s="7" t="str">
        <f t="shared" si="43"/>
        <v>CLK_DETM_DETIS_BBDS</v>
      </c>
      <c r="I343" s="7" t="str">
        <f t="shared" si="44"/>
        <v>BBDS_AMR_2</v>
      </c>
      <c r="J343" s="7" t="str">
        <f t="shared" si="45"/>
        <v>VARCHAR</v>
      </c>
      <c r="K343" s="7" t="str">
        <f>TRIM(ETLMetadata!$G343)</f>
        <v>CHAR(1)</v>
      </c>
      <c r="L343" s="7" t="str">
        <f>TRIM(ETLMetadata!$I343)</f>
        <v/>
      </c>
      <c r="M343" s="7" t="str">
        <f t="shared" si="46"/>
        <v>NULLIF(TRIM(BBDS_AMR_2),'')</v>
      </c>
      <c r="N343" s="7" t="str">
        <f>TRIM(ETLMetadata!$J343)</f>
        <v/>
      </c>
      <c r="O343" s="8" t="str">
        <f>IF(TRIM(Classification!$G343)="","NOT CONFIDENTIAL",TRIM(Classification!$G343))</f>
        <v>NOT CONFIDENTIAL</v>
      </c>
      <c r="P343" s="7" t="str">
        <f t="shared" si="47"/>
        <v>Y</v>
      </c>
      <c r="Q343" s="7" t="s">
        <v>826</v>
      </c>
      <c r="R343" s="9">
        <v>2958465</v>
      </c>
      <c r="S343" s="7" t="s">
        <v>827</v>
      </c>
      <c r="T343" s="7" t="s">
        <v>828</v>
      </c>
      <c r="U343" s="7" t="str">
        <f t="shared" si="41"/>
        <v>CLK_DETM_DETIS_BBDS_V</v>
      </c>
      <c r="V343" s="7" t="s">
        <v>829</v>
      </c>
    </row>
    <row r="344" spans="1:22">
      <c r="A344" s="7" t="str">
        <f>TRIM(ETLMetadata!$B344)</f>
        <v>CLK</v>
      </c>
      <c r="B344" s="7" t="str">
        <f>TRIM(ETLMetadata!$C344)</f>
        <v>DETM_DETIS_BBDS</v>
      </c>
      <c r="C344" s="7" t="str">
        <f>TRIM(ETLMetadata!$F344)</f>
        <v>BBDS_AMR_3</v>
      </c>
      <c r="D344" s="7" t="str">
        <f>TRIM(ETLMetadata!$H344)</f>
        <v>StringType()</v>
      </c>
      <c r="E344" s="7" t="str">
        <f t="shared" si="40"/>
        <v>CLK_DETM_DETIS_BBDS</v>
      </c>
      <c r="F344" s="7" t="str">
        <f t="shared" si="42"/>
        <v>BBDS_AMR_3</v>
      </c>
      <c r="G344" s="7" t="s">
        <v>825</v>
      </c>
      <c r="H344" s="7" t="str">
        <f t="shared" si="43"/>
        <v>CLK_DETM_DETIS_BBDS</v>
      </c>
      <c r="I344" s="7" t="str">
        <f t="shared" si="44"/>
        <v>BBDS_AMR_3</v>
      </c>
      <c r="J344" s="7" t="str">
        <f t="shared" si="45"/>
        <v>VARCHAR</v>
      </c>
      <c r="K344" s="7" t="str">
        <f>TRIM(ETLMetadata!$G344)</f>
        <v>CHAR(4)</v>
      </c>
      <c r="L344" s="7" t="str">
        <f>TRIM(ETLMetadata!$I344)</f>
        <v/>
      </c>
      <c r="M344" s="7" t="str">
        <f t="shared" si="46"/>
        <v>NULLIF(TRIM(BBDS_AMR_3),'')</v>
      </c>
      <c r="N344" s="7" t="str">
        <f>TRIM(ETLMetadata!$J344)</f>
        <v/>
      </c>
      <c r="O344" s="8" t="str">
        <f>IF(TRIM(Classification!$G344)="","NOT CONFIDENTIAL",TRIM(Classification!$G344))</f>
        <v>NOT CONFIDENTIAL</v>
      </c>
      <c r="P344" s="7" t="str">
        <f t="shared" si="47"/>
        <v>Y</v>
      </c>
      <c r="Q344" s="7" t="s">
        <v>826</v>
      </c>
      <c r="R344" s="9">
        <v>2958465</v>
      </c>
      <c r="S344" s="7" t="s">
        <v>827</v>
      </c>
      <c r="T344" s="7" t="s">
        <v>828</v>
      </c>
      <c r="U344" s="7" t="str">
        <f t="shared" si="41"/>
        <v>CLK_DETM_DETIS_BBDS_V</v>
      </c>
      <c r="V344" s="7" t="s">
        <v>829</v>
      </c>
    </row>
    <row r="345" spans="1:22">
      <c r="A345" s="7" t="str">
        <f>TRIM(ETLMetadata!$B345)</f>
        <v>CLK</v>
      </c>
      <c r="B345" s="7" t="str">
        <f>TRIM(ETLMetadata!$C345)</f>
        <v>DETM_DETIS_BBDS</v>
      </c>
      <c r="C345" s="7" t="str">
        <f>TRIM(ETLMetadata!$F345)</f>
        <v>BBDS_BEN_TYPE_CODE</v>
      </c>
      <c r="D345" s="7" t="str">
        <f>TRIM(ETLMetadata!$H345)</f>
        <v>StringType()</v>
      </c>
      <c r="E345" s="7" t="str">
        <f t="shared" si="40"/>
        <v>CLK_DETM_DETIS_BBDS</v>
      </c>
      <c r="F345" s="7" t="str">
        <f t="shared" si="42"/>
        <v>BBDS_BEN_TYPE_CODE</v>
      </c>
      <c r="G345" s="7" t="s">
        <v>825</v>
      </c>
      <c r="H345" s="7" t="str">
        <f t="shared" si="43"/>
        <v>CLK_DETM_DETIS_BBDS</v>
      </c>
      <c r="I345" s="7" t="str">
        <f t="shared" si="44"/>
        <v>BBDS_BEN_TYPE_CODE</v>
      </c>
      <c r="J345" s="7" t="str">
        <f t="shared" si="45"/>
        <v>VARCHAR</v>
      </c>
      <c r="K345" s="7" t="str">
        <f>TRIM(ETLMetadata!$G345)</f>
        <v>CHAR(3)</v>
      </c>
      <c r="L345" s="7" t="str">
        <f>TRIM(ETLMetadata!$I345)</f>
        <v/>
      </c>
      <c r="M345" s="7" t="str">
        <f t="shared" si="46"/>
        <v>NULLIF(TRIM(BBDS_BEN_TYPE_CODE),'')</v>
      </c>
      <c r="N345" s="7" t="str">
        <f>TRIM(ETLMetadata!$J345)</f>
        <v/>
      </c>
      <c r="O345" s="8" t="str">
        <f>IF(TRIM(Classification!$G345)="","NOT CONFIDENTIAL",TRIM(Classification!$G345))</f>
        <v>NOT CONFIDENTIAL</v>
      </c>
      <c r="P345" s="7" t="str">
        <f t="shared" si="47"/>
        <v>Y</v>
      </c>
      <c r="Q345" s="7" t="s">
        <v>826</v>
      </c>
      <c r="R345" s="9">
        <v>2958465</v>
      </c>
      <c r="S345" s="7" t="s">
        <v>827</v>
      </c>
      <c r="T345" s="7" t="s">
        <v>828</v>
      </c>
      <c r="U345" s="7" t="str">
        <f t="shared" si="41"/>
        <v>CLK_DETM_DETIS_BBDS_V</v>
      </c>
      <c r="V345" s="7" t="s">
        <v>829</v>
      </c>
    </row>
    <row r="346" spans="1:22">
      <c r="A346" s="7" t="str">
        <f>TRIM(ETLMetadata!$B346)</f>
        <v>CLK</v>
      </c>
      <c r="B346" s="7" t="str">
        <f>TRIM(ETLMetadata!$C346)</f>
        <v>DETM_DETIS_BBDS</v>
      </c>
      <c r="C346" s="7" t="str">
        <f>TRIM(ETLMetadata!$F346)</f>
        <v>BBDS_STS_CODE</v>
      </c>
      <c r="D346" s="7" t="str">
        <f>TRIM(ETLMetadata!$H346)</f>
        <v>StringType()</v>
      </c>
      <c r="E346" s="7" t="str">
        <f t="shared" si="40"/>
        <v>CLK_DETM_DETIS_BBDS</v>
      </c>
      <c r="F346" s="7" t="str">
        <f t="shared" si="42"/>
        <v>BBDS_STS_CODE</v>
      </c>
      <c r="G346" s="7" t="s">
        <v>825</v>
      </c>
      <c r="H346" s="7" t="str">
        <f t="shared" si="43"/>
        <v>CLK_DETM_DETIS_BBDS</v>
      </c>
      <c r="I346" s="7" t="str">
        <f t="shared" si="44"/>
        <v>BBDS_STS_CODE</v>
      </c>
      <c r="J346" s="7" t="str">
        <f t="shared" si="45"/>
        <v>VARCHAR</v>
      </c>
      <c r="K346" s="7" t="str">
        <f>TRIM(ETLMetadata!$G346)</f>
        <v>CHAR(3)</v>
      </c>
      <c r="L346" s="7" t="str">
        <f>TRIM(ETLMetadata!$I346)</f>
        <v/>
      </c>
      <c r="M346" s="7" t="str">
        <f t="shared" si="46"/>
        <v>NULLIF(TRIM(BBDS_STS_CODE),'')</v>
      </c>
      <c r="N346" s="7" t="str">
        <f>TRIM(ETLMetadata!$J346)</f>
        <v/>
      </c>
      <c r="O346" s="8" t="str">
        <f>IF(TRIM(Classification!$G346)="","NOT CONFIDENTIAL",TRIM(Classification!$G346))</f>
        <v>NOT CONFIDENTIAL</v>
      </c>
      <c r="P346" s="7" t="str">
        <f t="shared" si="47"/>
        <v>Y</v>
      </c>
      <c r="Q346" s="7" t="s">
        <v>826</v>
      </c>
      <c r="R346" s="9">
        <v>2958465</v>
      </c>
      <c r="S346" s="7" t="s">
        <v>827</v>
      </c>
      <c r="T346" s="7" t="s">
        <v>828</v>
      </c>
      <c r="U346" s="7" t="str">
        <f t="shared" si="41"/>
        <v>CLK_DETM_DETIS_BBDS_V</v>
      </c>
      <c r="V346" s="7" t="s">
        <v>829</v>
      </c>
    </row>
    <row r="347" spans="1:22">
      <c r="A347" s="7" t="str">
        <f>TRIM(ETLMetadata!$B347)</f>
        <v>CLK</v>
      </c>
      <c r="B347" s="7" t="str">
        <f>TRIM(ETLMetadata!$C347)</f>
        <v>DETM_DETIS_BBDS</v>
      </c>
      <c r="C347" s="7" t="str">
        <f>TRIM(ETLMetadata!$F347)</f>
        <v>BBDS_RSN_CODE</v>
      </c>
      <c r="D347" s="7" t="str">
        <f>TRIM(ETLMetadata!$H347)</f>
        <v>StringType()</v>
      </c>
      <c r="E347" s="7" t="str">
        <f t="shared" si="40"/>
        <v>CLK_DETM_DETIS_BBDS</v>
      </c>
      <c r="F347" s="7" t="str">
        <f t="shared" si="42"/>
        <v>BBDS_RSN_CODE</v>
      </c>
      <c r="G347" s="7" t="s">
        <v>825</v>
      </c>
      <c r="H347" s="7" t="str">
        <f t="shared" si="43"/>
        <v>CLK_DETM_DETIS_BBDS</v>
      </c>
      <c r="I347" s="7" t="str">
        <f t="shared" si="44"/>
        <v>BBDS_RSN_CODE</v>
      </c>
      <c r="J347" s="7" t="str">
        <f t="shared" si="45"/>
        <v>VARCHAR</v>
      </c>
      <c r="K347" s="7" t="str">
        <f>TRIM(ETLMetadata!$G347)</f>
        <v>CHAR(3)</v>
      </c>
      <c r="L347" s="7" t="str">
        <f>TRIM(ETLMetadata!$I347)</f>
        <v/>
      </c>
      <c r="M347" s="7" t="str">
        <f t="shared" si="46"/>
        <v>NULLIF(TRIM(BBDS_RSN_CODE),'')</v>
      </c>
      <c r="N347" s="7" t="str">
        <f>TRIM(ETLMetadata!$J347)</f>
        <v/>
      </c>
      <c r="O347" s="8" t="str">
        <f>IF(TRIM(Classification!$G347)="","NOT CONFIDENTIAL",TRIM(Classification!$G347))</f>
        <v>NOT CONFIDENTIAL</v>
      </c>
      <c r="P347" s="7" t="str">
        <f t="shared" si="47"/>
        <v>Y</v>
      </c>
      <c r="Q347" s="7" t="s">
        <v>826</v>
      </c>
      <c r="R347" s="9">
        <v>2958465</v>
      </c>
      <c r="S347" s="7" t="s">
        <v>827</v>
      </c>
      <c r="T347" s="7" t="s">
        <v>828</v>
      </c>
      <c r="U347" s="7" t="str">
        <f t="shared" si="41"/>
        <v>CLK_DETM_DETIS_BBDS_V</v>
      </c>
      <c r="V347" s="7" t="s">
        <v>829</v>
      </c>
    </row>
    <row r="348" spans="1:22">
      <c r="A348" s="7" t="str">
        <f>TRIM(ETLMetadata!$B348)</f>
        <v>CLK</v>
      </c>
      <c r="B348" s="7" t="str">
        <f>TRIM(ETLMetadata!$C348)</f>
        <v>DETM_DETIS_BBDS</v>
      </c>
      <c r="C348" s="7" t="str">
        <f>TRIM(ETLMetadata!$F348)</f>
        <v>BBDS_UNIQ_ID</v>
      </c>
      <c r="D348" s="7" t="str">
        <f>TRIM(ETLMetadata!$H348)</f>
        <v>StringType()</v>
      </c>
      <c r="E348" s="7" t="str">
        <f t="shared" si="40"/>
        <v>CLK_DETM_DETIS_BBDS</v>
      </c>
      <c r="F348" s="7" t="str">
        <f t="shared" si="42"/>
        <v>BBDS_UNIQ_ID</v>
      </c>
      <c r="G348" s="7" t="s">
        <v>825</v>
      </c>
      <c r="H348" s="7" t="str">
        <f t="shared" si="43"/>
        <v>CLK_DETM_DETIS_BBDS</v>
      </c>
      <c r="I348" s="7" t="str">
        <f t="shared" si="44"/>
        <v>BBDS_UNIQ_ID</v>
      </c>
      <c r="J348" s="7" t="str">
        <f t="shared" si="45"/>
        <v>VARCHAR</v>
      </c>
      <c r="K348" s="7" t="str">
        <f>TRIM(ETLMetadata!$G348)</f>
        <v>VARCHAR(8)</v>
      </c>
      <c r="L348" s="7" t="str">
        <f>TRIM(ETLMetadata!$I348)</f>
        <v/>
      </c>
      <c r="M348" s="7" t="str">
        <f t="shared" si="46"/>
        <v>NULLIF(TRIM(BBDS_UNIQ_ID),'')</v>
      </c>
      <c r="N348" s="7" t="str">
        <f>TRIM(ETLMetadata!$J348)</f>
        <v/>
      </c>
      <c r="O348" s="8" t="str">
        <f>IF(TRIM(Classification!$G348)="","NOT CONFIDENTIAL",TRIM(Classification!$G348))</f>
        <v>NOT CONFIDENTIAL</v>
      </c>
      <c r="P348" s="7" t="str">
        <f t="shared" si="47"/>
        <v>Y</v>
      </c>
      <c r="Q348" s="7" t="s">
        <v>826</v>
      </c>
      <c r="R348" s="9">
        <v>2958465</v>
      </c>
      <c r="S348" s="7" t="s">
        <v>827</v>
      </c>
      <c r="T348" s="7" t="s">
        <v>828</v>
      </c>
      <c r="U348" s="7" t="str">
        <f t="shared" si="41"/>
        <v>CLK_DETM_DETIS_BBDS_V</v>
      </c>
      <c r="V348" s="7" t="s">
        <v>829</v>
      </c>
    </row>
    <row r="349" spans="1:22">
      <c r="A349" s="7" t="str">
        <f>TRIM(ETLMetadata!$B349)</f>
        <v>CLK</v>
      </c>
      <c r="B349" s="7" t="str">
        <f>TRIM(ETLMetadata!$C349)</f>
        <v>DETM_DETIS_BBDS</v>
      </c>
      <c r="C349" s="7" t="str">
        <f>TRIM(ETLMetadata!$F349)</f>
        <v>AMR1_RISL_DTS</v>
      </c>
      <c r="D349" s="7" t="str">
        <f>TRIM(ETLMetadata!$H349)</f>
        <v>StringType()</v>
      </c>
      <c r="E349" s="7" t="str">
        <f t="shared" si="40"/>
        <v>CLK_DETM_DETIS_BBDS</v>
      </c>
      <c r="F349" s="7" t="str">
        <f t="shared" si="42"/>
        <v>AMR1_RISL_DTS</v>
      </c>
      <c r="G349" s="7" t="s">
        <v>825</v>
      </c>
      <c r="H349" s="7" t="str">
        <f t="shared" si="43"/>
        <v>CLK_DETM_DETIS_BBDS</v>
      </c>
      <c r="I349" s="7" t="str">
        <f t="shared" si="44"/>
        <v>AMR1_RISL_DTS</v>
      </c>
      <c r="J349" s="7" t="str">
        <f t="shared" si="45"/>
        <v>TIMESTAMP</v>
      </c>
      <c r="K349" s="7" t="str">
        <f>TRIM(ETLMetadata!$G349)</f>
        <v>TIMESTAMP(6)</v>
      </c>
      <c r="L349" s="7" t="str">
        <f>TRIM(ETLMetadata!$I349)</f>
        <v>YYYY-MM-DDBHH:MI:SS.S(6)</v>
      </c>
      <c r="M349" s="7" t="str">
        <f t="shared" si="46"/>
        <v>TO_TIMESTAMP_NTZ(NULLIF(TRIM(AMR1_RISL_DTS),''),'YYYY-MM-DD HH24:MI:SS.FF6')</v>
      </c>
      <c r="N349" s="7" t="str">
        <f>TRIM(ETLMetadata!$J349)</f>
        <v/>
      </c>
      <c r="O349" s="8" t="str">
        <f>IF(TRIM(Classification!$G349)="","NOT CONFIDENTIAL",TRIM(Classification!$G349))</f>
        <v>NOT CONFIDENTIAL</v>
      </c>
      <c r="P349" s="7" t="str">
        <f t="shared" si="47"/>
        <v>Y</v>
      </c>
      <c r="Q349" s="7" t="s">
        <v>826</v>
      </c>
      <c r="R349" s="9">
        <v>2958465</v>
      </c>
      <c r="S349" s="7" t="s">
        <v>827</v>
      </c>
      <c r="T349" s="7" t="s">
        <v>828</v>
      </c>
      <c r="U349" s="7" t="str">
        <f t="shared" si="41"/>
        <v>CLK_DETM_DETIS_BBDS_V</v>
      </c>
      <c r="V349" s="7" t="s">
        <v>829</v>
      </c>
    </row>
    <row r="350" spans="1:22">
      <c r="A350" s="7" t="str">
        <f>TRIM(ETLMetadata!$B350)</f>
        <v>CLK</v>
      </c>
      <c r="B350" s="7" t="str">
        <f>TRIM(ETLMetadata!$C350)</f>
        <v>DETM_DETIS_BBDS</v>
      </c>
      <c r="C350" s="7" t="str">
        <f>TRIM(ETLMetadata!$F350)</f>
        <v>AMR3_RISL_DTS</v>
      </c>
      <c r="D350" s="7" t="str">
        <f>TRIM(ETLMetadata!$H350)</f>
        <v>StringType()</v>
      </c>
      <c r="E350" s="7" t="str">
        <f t="shared" si="40"/>
        <v>CLK_DETM_DETIS_BBDS</v>
      </c>
      <c r="F350" s="7" t="str">
        <f t="shared" si="42"/>
        <v>AMR3_RISL_DTS</v>
      </c>
      <c r="G350" s="7" t="s">
        <v>825</v>
      </c>
      <c r="H350" s="7" t="str">
        <f t="shared" si="43"/>
        <v>CLK_DETM_DETIS_BBDS</v>
      </c>
      <c r="I350" s="7" t="str">
        <f t="shared" si="44"/>
        <v>AMR3_RISL_DTS</v>
      </c>
      <c r="J350" s="7" t="str">
        <f t="shared" si="45"/>
        <v>TIMESTAMP</v>
      </c>
      <c r="K350" s="7" t="str">
        <f>TRIM(ETLMetadata!$G350)</f>
        <v>TIMESTAMP(6)</v>
      </c>
      <c r="L350" s="7" t="str">
        <f>TRIM(ETLMetadata!$I350)</f>
        <v>YYYY-MM-DDBHH:MI:SS.S(6)</v>
      </c>
      <c r="M350" s="7" t="str">
        <f t="shared" si="46"/>
        <v>TO_TIMESTAMP_NTZ(NULLIF(TRIM(AMR3_RISL_DTS),''),'YYYY-MM-DD HH24:MI:SS.FF6')</v>
      </c>
      <c r="N350" s="7" t="str">
        <f>TRIM(ETLMetadata!$J350)</f>
        <v/>
      </c>
      <c r="O350" s="8" t="str">
        <f>IF(TRIM(Classification!$G350)="","NOT CONFIDENTIAL",TRIM(Classification!$G350))</f>
        <v>NOT CONFIDENTIAL</v>
      </c>
      <c r="P350" s="7" t="str">
        <f t="shared" si="47"/>
        <v>Y</v>
      </c>
      <c r="Q350" s="7" t="s">
        <v>826</v>
      </c>
      <c r="R350" s="9">
        <v>2958465</v>
      </c>
      <c r="S350" s="7" t="s">
        <v>827</v>
      </c>
      <c r="T350" s="7" t="s">
        <v>828</v>
      </c>
      <c r="U350" s="7" t="str">
        <f t="shared" si="41"/>
        <v>CLK_DETM_DETIS_BBDS_V</v>
      </c>
      <c r="V350" s="7" t="s">
        <v>829</v>
      </c>
    </row>
    <row r="351" spans="1:22">
      <c r="A351" s="7" t="str">
        <f>TRIM(ETLMetadata!$B351)</f>
        <v>CLK</v>
      </c>
      <c r="B351" s="7" t="str">
        <f>TRIM(ETLMetadata!$C351)</f>
        <v>DETM_DETIS_BBDS</v>
      </c>
      <c r="C351" s="7" t="str">
        <f>TRIM(ETLMetadata!$F351)</f>
        <v>EPISODE_ID</v>
      </c>
      <c r="D351" s="7" t="str">
        <f>TRIM(ETLMetadata!$H351)</f>
        <v>StringType()</v>
      </c>
      <c r="E351" s="7" t="str">
        <f t="shared" ref="E351:E414" si="48">CONCATENATE($A351,"_",B351)</f>
        <v>CLK_DETM_DETIS_BBDS</v>
      </c>
      <c r="F351" s="7" t="str">
        <f t="shared" si="42"/>
        <v>EPISODE_ID</v>
      </c>
      <c r="G351" s="7" t="s">
        <v>825</v>
      </c>
      <c r="H351" s="7" t="str">
        <f t="shared" si="43"/>
        <v>CLK_DETM_DETIS_BBDS</v>
      </c>
      <c r="I351" s="7" t="str">
        <f t="shared" si="44"/>
        <v>EPISODE_ID</v>
      </c>
      <c r="J351" s="7" t="str">
        <f t="shared" si="45"/>
        <v>INTEGER</v>
      </c>
      <c r="K351" s="7" t="str">
        <f>TRIM(ETLMetadata!$G351)</f>
        <v>INTEGER</v>
      </c>
      <c r="L351" s="7" t="str">
        <f>TRIM(ETLMetadata!$I351)</f>
        <v/>
      </c>
      <c r="M351" s="7" t="str">
        <f t="shared" si="46"/>
        <v>CAST(NULLIF(TRIM(EPISODE_ID),'') AS INTEGER)</v>
      </c>
      <c r="N351" s="7" t="str">
        <f>TRIM(ETLMetadata!$J351)</f>
        <v/>
      </c>
      <c r="O351" s="8" t="str">
        <f>IF(TRIM(Classification!$G351)="","NOT CONFIDENTIAL",TRIM(Classification!$G351))</f>
        <v>NOT CONFIDENTIAL</v>
      </c>
      <c r="P351" s="7" t="str">
        <f t="shared" si="47"/>
        <v>Y</v>
      </c>
      <c r="Q351" s="7" t="s">
        <v>826</v>
      </c>
      <c r="R351" s="9">
        <v>2958465</v>
      </c>
      <c r="S351" s="7" t="s">
        <v>827</v>
      </c>
      <c r="T351" s="7" t="s">
        <v>828</v>
      </c>
      <c r="U351" s="7" t="str">
        <f t="shared" ref="U351:U414" si="49">CONCATENATE(A351,"_",B351,"_V")</f>
        <v>CLK_DETM_DETIS_BBDS_V</v>
      </c>
      <c r="V351" s="7" t="s">
        <v>829</v>
      </c>
    </row>
    <row r="352" spans="1:22">
      <c r="A352" s="7" t="str">
        <f>TRIM(ETLMetadata!$B352)</f>
        <v>CLK</v>
      </c>
      <c r="B352" s="7" t="str">
        <f>TRIM(ETLMetadata!$C352)</f>
        <v>DETM_DETIS_BBDS</v>
      </c>
      <c r="C352" s="7" t="str">
        <f>TRIM(ETLMetadata!$F352)</f>
        <v>PARTY_ROLE_ID</v>
      </c>
      <c r="D352" s="7" t="str">
        <f>TRIM(ETLMetadata!$H352)</f>
        <v>StringType()</v>
      </c>
      <c r="E352" s="7" t="str">
        <f t="shared" si="48"/>
        <v>CLK_DETM_DETIS_BBDS</v>
      </c>
      <c r="F352" s="7" t="str">
        <f t="shared" si="42"/>
        <v>PARTY_ROLE_ID</v>
      </c>
      <c r="G352" s="7" t="s">
        <v>825</v>
      </c>
      <c r="H352" s="7" t="str">
        <f t="shared" si="43"/>
        <v>CLK_DETM_DETIS_BBDS</v>
      </c>
      <c r="I352" s="7" t="str">
        <f t="shared" si="44"/>
        <v>PARTY_ROLE_ID</v>
      </c>
      <c r="J352" s="7" t="str">
        <f t="shared" si="45"/>
        <v>INTEGER</v>
      </c>
      <c r="K352" s="7" t="str">
        <f>TRIM(ETLMetadata!$G352)</f>
        <v>INTEGER</v>
      </c>
      <c r="L352" s="7" t="str">
        <f>TRIM(ETLMetadata!$I352)</f>
        <v/>
      </c>
      <c r="M352" s="7" t="str">
        <f t="shared" si="46"/>
        <v>CAST(NULLIF(TRIM(PARTY_ROLE_ID),'') AS INTEGER)</v>
      </c>
      <c r="N352" s="7" t="str">
        <f>TRIM(ETLMetadata!$J352)</f>
        <v/>
      </c>
      <c r="O352" s="8" t="str">
        <f>IF(TRIM(Classification!$G352)="","NOT CONFIDENTIAL",TRIM(Classification!$G352))</f>
        <v>NOT CONFIDENTIAL</v>
      </c>
      <c r="P352" s="7" t="str">
        <f t="shared" si="47"/>
        <v>Y</v>
      </c>
      <c r="Q352" s="7" t="s">
        <v>826</v>
      </c>
      <c r="R352" s="9">
        <v>2958465</v>
      </c>
      <c r="S352" s="7" t="s">
        <v>827</v>
      </c>
      <c r="T352" s="7" t="s">
        <v>828</v>
      </c>
      <c r="U352" s="7" t="str">
        <f t="shared" si="49"/>
        <v>CLK_DETM_DETIS_BBDS_V</v>
      </c>
      <c r="V352" s="7" t="s">
        <v>829</v>
      </c>
    </row>
    <row r="353" spans="1:22">
      <c r="A353" s="7" t="str">
        <f>TRIM(ETLMetadata!$B353)</f>
        <v>CLK</v>
      </c>
      <c r="B353" s="7" t="str">
        <f>TRIM(ETLMetadata!$C353)</f>
        <v>DETM_DETIS_BBDS</v>
      </c>
      <c r="C353" s="7" t="str">
        <f>TRIM(ETLMetadata!$F353)</f>
        <v>PAYMENT_TYPE_ID</v>
      </c>
      <c r="D353" s="7" t="str">
        <f>TRIM(ETLMetadata!$H353)</f>
        <v>StringType()</v>
      </c>
      <c r="E353" s="7" t="str">
        <f t="shared" si="48"/>
        <v>CLK_DETM_DETIS_BBDS</v>
      </c>
      <c r="F353" s="7" t="str">
        <f t="shared" si="42"/>
        <v>PAYMENT_TYPE_ID</v>
      </c>
      <c r="G353" s="7" t="s">
        <v>825</v>
      </c>
      <c r="H353" s="7" t="str">
        <f t="shared" si="43"/>
        <v>CLK_DETM_DETIS_BBDS</v>
      </c>
      <c r="I353" s="7" t="str">
        <f t="shared" si="44"/>
        <v>PAYMENT_TYPE_ID</v>
      </c>
      <c r="J353" s="7" t="str">
        <f t="shared" si="45"/>
        <v>INTEGER</v>
      </c>
      <c r="K353" s="7" t="str">
        <f>TRIM(ETLMetadata!$G353)</f>
        <v>INTEGER</v>
      </c>
      <c r="L353" s="7" t="str">
        <f>TRIM(ETLMetadata!$I353)</f>
        <v/>
      </c>
      <c r="M353" s="7" t="str">
        <f t="shared" si="46"/>
        <v>CAST(NULLIF(TRIM(PAYMENT_TYPE_ID),'') AS INTEGER)</v>
      </c>
      <c r="N353" s="7" t="str">
        <f>TRIM(ETLMetadata!$J353)</f>
        <v/>
      </c>
      <c r="O353" s="8" t="str">
        <f>IF(TRIM(Classification!$G353)="","NOT CONFIDENTIAL",TRIM(Classification!$G353))</f>
        <v>NOT CONFIDENTIAL</v>
      </c>
      <c r="P353" s="7" t="str">
        <f t="shared" si="47"/>
        <v>Y</v>
      </c>
      <c r="Q353" s="7" t="s">
        <v>826</v>
      </c>
      <c r="R353" s="9">
        <v>2958465</v>
      </c>
      <c r="S353" s="7" t="s">
        <v>827</v>
      </c>
      <c r="T353" s="7" t="s">
        <v>828</v>
      </c>
      <c r="U353" s="7" t="str">
        <f t="shared" si="49"/>
        <v>CLK_DETM_DETIS_BBDS_V</v>
      </c>
      <c r="V353" s="7" t="s">
        <v>829</v>
      </c>
    </row>
    <row r="354" spans="1:22">
      <c r="A354" s="7" t="str">
        <f>TRIM(ETLMetadata!$B354)</f>
        <v>CLK</v>
      </c>
      <c r="B354" s="7" t="str">
        <f>TRIM(ETLMetadata!$C354)</f>
        <v>DETM_DETIS_BBDS</v>
      </c>
      <c r="C354" s="7" t="str">
        <f>TRIM(ETLMetadata!$F354)</f>
        <v>ERROR_COUNT</v>
      </c>
      <c r="D354" s="7" t="str">
        <f>TRIM(ETLMetadata!$H354)</f>
        <v>StringType()</v>
      </c>
      <c r="E354" s="7" t="str">
        <f t="shared" si="48"/>
        <v>CLK_DETM_DETIS_BBDS</v>
      </c>
      <c r="F354" s="7" t="str">
        <f t="shared" si="42"/>
        <v>ERROR_COUNT</v>
      </c>
      <c r="G354" s="7" t="s">
        <v>825</v>
      </c>
      <c r="H354" s="7" t="str">
        <f t="shared" si="43"/>
        <v>CLK_DETM_DETIS_BBDS</v>
      </c>
      <c r="I354" s="7" t="str">
        <f t="shared" si="44"/>
        <v>ERROR_COUNT</v>
      </c>
      <c r="J354" s="7" t="str">
        <f t="shared" si="45"/>
        <v>SMALLINT</v>
      </c>
      <c r="K354" s="7" t="str">
        <f>TRIM(ETLMetadata!$G354)</f>
        <v>SMALLINT</v>
      </c>
      <c r="L354" s="7" t="str">
        <f>TRIM(ETLMetadata!$I354)</f>
        <v/>
      </c>
      <c r="M354" s="7" t="str">
        <f t="shared" si="46"/>
        <v>CAST(NULLIF(TRIM(ERROR_COUNT),'') AS SMALLINT)</v>
      </c>
      <c r="N354" s="7" t="str">
        <f>TRIM(ETLMetadata!$J354)</f>
        <v/>
      </c>
      <c r="O354" s="8" t="str">
        <f>IF(TRIM(Classification!$G354)="","NOT CONFIDENTIAL",TRIM(Classification!$G354))</f>
        <v>NOT CONFIDENTIAL</v>
      </c>
      <c r="P354" s="7" t="str">
        <f t="shared" si="47"/>
        <v>Y</v>
      </c>
      <c r="Q354" s="7" t="s">
        <v>826</v>
      </c>
      <c r="R354" s="9">
        <v>2958465</v>
      </c>
      <c r="S354" s="7" t="s">
        <v>827</v>
      </c>
      <c r="T354" s="7" t="s">
        <v>828</v>
      </c>
      <c r="U354" s="7" t="str">
        <f t="shared" si="49"/>
        <v>CLK_DETM_DETIS_BBDS_V</v>
      </c>
      <c r="V354" s="7" t="s">
        <v>829</v>
      </c>
    </row>
    <row r="355" spans="1:22">
      <c r="A355" s="7" t="str">
        <f>TRIM(ETLMetadata!$B355)</f>
        <v>CLK</v>
      </c>
      <c r="B355" s="7" t="str">
        <f>TRIM(ETLMetadata!$C355)</f>
        <v>DETM_DETIS_BBDS</v>
      </c>
      <c r="C355" s="7" t="str">
        <f>TRIM(ETLMetadata!$F355)</f>
        <v>Start_Date</v>
      </c>
      <c r="D355" s="7" t="str">
        <f>TRIM(ETLMetadata!$H355)</f>
        <v>StringType()</v>
      </c>
      <c r="E355" s="7" t="str">
        <f t="shared" si="48"/>
        <v>CLK_DETM_DETIS_BBDS</v>
      </c>
      <c r="F355" s="7" t="str">
        <f t="shared" si="42"/>
        <v>STRT_DT</v>
      </c>
      <c r="G355" s="7" t="s">
        <v>825</v>
      </c>
      <c r="H355" s="7" t="str">
        <f t="shared" si="43"/>
        <v>CLK_DETM_DETIS_BBDS</v>
      </c>
      <c r="I355" s="7" t="str">
        <f t="shared" si="44"/>
        <v>STRT_DT</v>
      </c>
      <c r="J355" s="7" t="str">
        <f t="shared" si="45"/>
        <v>DATE</v>
      </c>
      <c r="K355" s="7" t="str">
        <f>TRIM(ETLMetadata!$G355)</f>
        <v>DATE</v>
      </c>
      <c r="L355" s="7" t="str">
        <f>TRIM(ETLMetadata!$I355)</f>
        <v>YYYY-MM-DD</v>
      </c>
      <c r="M355" s="7" t="str">
        <f t="shared" si="46"/>
        <v>TO_DATE(NULLIF(TRIM(STRT_DT),'') , 'YYYY-MM-DD')</v>
      </c>
      <c r="N355" s="7" t="str">
        <f>TRIM(ETLMetadata!$J355)</f>
        <v/>
      </c>
      <c r="O355" s="8" t="str">
        <f>IF(TRIM(Classification!$G355)="","NOT CONFIDENTIAL",TRIM(Classification!$G355))</f>
        <v>NOT CONFIDENTIAL</v>
      </c>
      <c r="P355" s="7" t="str">
        <f t="shared" si="47"/>
        <v>N</v>
      </c>
      <c r="Q355" s="7" t="s">
        <v>826</v>
      </c>
      <c r="R355" s="9">
        <v>2958465</v>
      </c>
      <c r="S355" s="7" t="s">
        <v>827</v>
      </c>
      <c r="T355" s="7" t="s">
        <v>828</v>
      </c>
      <c r="U355" s="7" t="str">
        <f t="shared" si="49"/>
        <v>CLK_DETM_DETIS_BBDS_V</v>
      </c>
      <c r="V355" s="7" t="s">
        <v>829</v>
      </c>
    </row>
    <row r="356" spans="1:22">
      <c r="A356" s="7" t="str">
        <f>TRIM(ETLMetadata!$B356)</f>
        <v>CLK</v>
      </c>
      <c r="B356" s="7" t="str">
        <f>TRIM(ETLMetadata!$C356)</f>
        <v>DETM_DETIS_BBDS</v>
      </c>
      <c r="C356" s="7" t="str">
        <f>TRIM(ETLMetadata!$F356)</f>
        <v>End_Date</v>
      </c>
      <c r="D356" s="7" t="str">
        <f>TRIM(ETLMetadata!$H356)</f>
        <v>StringType()</v>
      </c>
      <c r="E356" s="7" t="str">
        <f t="shared" si="48"/>
        <v>CLK_DETM_DETIS_BBDS</v>
      </c>
      <c r="F356" s="7" t="str">
        <f t="shared" si="42"/>
        <v>END_DT</v>
      </c>
      <c r="G356" s="7" t="s">
        <v>825</v>
      </c>
      <c r="H356" s="7" t="str">
        <f t="shared" si="43"/>
        <v>CLK_DETM_DETIS_BBDS</v>
      </c>
      <c r="I356" s="7" t="str">
        <f t="shared" si="44"/>
        <v>END_DT</v>
      </c>
      <c r="J356" s="7" t="str">
        <f t="shared" si="45"/>
        <v>DATE</v>
      </c>
      <c r="K356" s="7" t="str">
        <f>TRIM(ETLMetadata!$G356)</f>
        <v>DATE</v>
      </c>
      <c r="L356" s="7" t="str">
        <f>TRIM(ETLMetadata!$I356)</f>
        <v>YYYY-MM-DD</v>
      </c>
      <c r="M356" s="7" t="str">
        <f t="shared" si="46"/>
        <v>TO_DATE(NULLIF(TRIM(END_DT),'') , 'YYYY-MM-DD')</v>
      </c>
      <c r="N356" s="7" t="str">
        <f>TRIM(ETLMetadata!$J356)</f>
        <v/>
      </c>
      <c r="O356" s="8" t="str">
        <f>IF(TRIM(Classification!$G356)="","NOT CONFIDENTIAL",TRIM(Classification!$G356))</f>
        <v>NOT CONFIDENTIAL</v>
      </c>
      <c r="P356" s="7" t="str">
        <f t="shared" si="47"/>
        <v>N</v>
      </c>
      <c r="Q356" s="7" t="s">
        <v>826</v>
      </c>
      <c r="R356" s="9">
        <v>2958465</v>
      </c>
      <c r="S356" s="7" t="s">
        <v>827</v>
      </c>
      <c r="T356" s="7" t="s">
        <v>828</v>
      </c>
      <c r="U356" s="7" t="str">
        <f t="shared" si="49"/>
        <v>CLK_DETM_DETIS_BBDS_V</v>
      </c>
      <c r="V356" s="7" t="s">
        <v>829</v>
      </c>
    </row>
    <row r="357" spans="1:22">
      <c r="A357" s="7" t="str">
        <f>TRIM(ETLMetadata!$B357)</f>
        <v>CLK</v>
      </c>
      <c r="B357" s="7" t="str">
        <f>TRIM(ETLMetadata!$C357)</f>
        <v>DETM_DETIS_BBDS</v>
      </c>
      <c r="C357" s="7" t="str">
        <f>TRIM(ETLMetadata!$F357)</f>
        <v>Record_Deleted_Flag</v>
      </c>
      <c r="D357" s="7" t="str">
        <f>TRIM(ETLMetadata!$H357)</f>
        <v>StringType()</v>
      </c>
      <c r="E357" s="7" t="str">
        <f t="shared" si="48"/>
        <v>CLK_DETM_DETIS_BBDS</v>
      </c>
      <c r="F357" s="7" t="str">
        <f t="shared" si="42"/>
        <v>RCRD_DEL_IND</v>
      </c>
      <c r="G357" s="7" t="s">
        <v>825</v>
      </c>
      <c r="H357" s="7" t="str">
        <f t="shared" si="43"/>
        <v>CLK_DETM_DETIS_BBDS</v>
      </c>
      <c r="I357" s="7" t="str">
        <f t="shared" si="44"/>
        <v>RCRD_DEL_IND</v>
      </c>
      <c r="J357" s="7" t="str">
        <f t="shared" si="45"/>
        <v>SMALLINT</v>
      </c>
      <c r="K357" s="7" t="str">
        <f>TRIM(ETLMetadata!$G357)</f>
        <v>BYTEINT</v>
      </c>
      <c r="L357" s="7" t="str">
        <f>TRIM(ETLMetadata!$I357)</f>
        <v/>
      </c>
      <c r="M357" s="7" t="str">
        <f t="shared" si="46"/>
        <v>CAST(NULLIF(TRIM(RCRD_DEL_IND),'') AS SMALLINT)</v>
      </c>
      <c r="N357" s="7" t="str">
        <f>TRIM(ETLMetadata!$J357)</f>
        <v/>
      </c>
      <c r="O357" s="8" t="str">
        <f>IF(TRIM(Classification!$G357)="","NOT CONFIDENTIAL",TRIM(Classification!$G357))</f>
        <v>NOT CONFIDENTIAL</v>
      </c>
      <c r="P357" s="7" t="str">
        <f t="shared" si="47"/>
        <v>N</v>
      </c>
      <c r="Q357" s="7" t="s">
        <v>826</v>
      </c>
      <c r="R357" s="9">
        <v>2958465</v>
      </c>
      <c r="S357" s="7" t="s">
        <v>827</v>
      </c>
      <c r="T357" s="7" t="s">
        <v>828</v>
      </c>
      <c r="U357" s="7" t="str">
        <f t="shared" si="49"/>
        <v>CLK_DETM_DETIS_BBDS_V</v>
      </c>
      <c r="V357" s="7" t="s">
        <v>829</v>
      </c>
    </row>
    <row r="358" spans="1:22">
      <c r="A358" s="7" t="str">
        <f>TRIM(ETLMetadata!$B358)</f>
        <v>CLK</v>
      </c>
      <c r="B358" s="7" t="str">
        <f>TRIM(ETLMetadata!$C358)</f>
        <v>DETM_DETIS_C9DS</v>
      </c>
      <c r="C358" s="7" t="str">
        <f>TRIM(ETLMetadata!$F358)</f>
        <v>EXTRACT_DATE</v>
      </c>
      <c r="D358" s="7" t="str">
        <f>TRIM(ETLMetadata!$H358)</f>
        <v>StringType()</v>
      </c>
      <c r="E358" s="7" t="str">
        <f t="shared" si="48"/>
        <v>CLK_DETM_DETIS_C9DS</v>
      </c>
      <c r="F358" s="7" t="str">
        <f t="shared" si="42"/>
        <v>EXTRACT_DATE</v>
      </c>
      <c r="G358" s="7" t="s">
        <v>825</v>
      </c>
      <c r="H358" s="7" t="str">
        <f t="shared" si="43"/>
        <v>CLK_DETM_DETIS_C9DS</v>
      </c>
      <c r="I358" s="7" t="str">
        <f t="shared" si="44"/>
        <v>EXTRACT_DATE</v>
      </c>
      <c r="J358" s="7" t="str">
        <f t="shared" si="45"/>
        <v>DATE</v>
      </c>
      <c r="K358" s="7" t="str">
        <f>TRIM(ETLMetadata!$G358)</f>
        <v>DATE</v>
      </c>
      <c r="L358" s="7" t="str">
        <f>TRIM(ETLMetadata!$I358)</f>
        <v>YYYY-MM-DD</v>
      </c>
      <c r="M358" s="7" t="str">
        <f t="shared" si="46"/>
        <v>TO_DATE(NULLIF(TRIM(EXTRACT_DATE),'') , 'YYYY-MM-DD')</v>
      </c>
      <c r="N358" s="7" t="str">
        <f>TRIM(ETLMetadata!$J358)</f>
        <v/>
      </c>
      <c r="O358" s="8" t="str">
        <f>IF(TRIM(Classification!$G358)="","NOT CONFIDENTIAL",TRIM(Classification!$G358))</f>
        <v>NOT CONFIDENTIAL</v>
      </c>
      <c r="P358" s="7" t="str">
        <f t="shared" si="47"/>
        <v>Y</v>
      </c>
      <c r="Q358" s="7" t="s">
        <v>826</v>
      </c>
      <c r="R358" s="9">
        <v>2958465</v>
      </c>
      <c r="S358" s="7" t="s">
        <v>827</v>
      </c>
      <c r="T358" s="7" t="s">
        <v>828</v>
      </c>
      <c r="U358" s="7" t="str">
        <f t="shared" si="49"/>
        <v>CLK_DETM_DETIS_C9DS_V</v>
      </c>
      <c r="V358" s="7" t="s">
        <v>829</v>
      </c>
    </row>
    <row r="359" spans="1:22">
      <c r="A359" s="7" t="str">
        <f>TRIM(ETLMetadata!$B359)</f>
        <v>CLK</v>
      </c>
      <c r="B359" s="7" t="str">
        <f>TRIM(ETLMetadata!$C359)</f>
        <v>DETM_DETIS_C9DS</v>
      </c>
      <c r="C359" s="7" t="str">
        <f>TRIM(ETLMetadata!$F359)</f>
        <v>LOGICAL_DELETE_DATE</v>
      </c>
      <c r="D359" s="7" t="str">
        <f>TRIM(ETLMetadata!$H359)</f>
        <v>StringType()</v>
      </c>
      <c r="E359" s="7" t="str">
        <f t="shared" si="48"/>
        <v>CLK_DETM_DETIS_C9DS</v>
      </c>
      <c r="F359" s="7" t="str">
        <f t="shared" si="42"/>
        <v>LOGICAL_DELETE_DATE</v>
      </c>
      <c r="G359" s="7" t="s">
        <v>825</v>
      </c>
      <c r="H359" s="7" t="str">
        <f t="shared" si="43"/>
        <v>CLK_DETM_DETIS_C9DS</v>
      </c>
      <c r="I359" s="7" t="str">
        <f t="shared" si="44"/>
        <v>LOGICAL_DELETE_DATE</v>
      </c>
      <c r="J359" s="7" t="str">
        <f t="shared" si="45"/>
        <v>DATE</v>
      </c>
      <c r="K359" s="7" t="str">
        <f>TRIM(ETLMetadata!$G359)</f>
        <v>DATE</v>
      </c>
      <c r="L359" s="7" t="str">
        <f>TRIM(ETLMetadata!$I359)</f>
        <v>YYYY-MM-DD</v>
      </c>
      <c r="M359" s="7" t="str">
        <f t="shared" si="46"/>
        <v>TO_DATE(NULLIF(TRIM(LOGICAL_DELETE_DATE),'') , 'YYYY-MM-DD')</v>
      </c>
      <c r="N359" s="7" t="str">
        <f>TRIM(ETLMetadata!$J359)</f>
        <v/>
      </c>
      <c r="O359" s="8" t="str">
        <f>IF(TRIM(Classification!$G359)="","NOT CONFIDENTIAL",TRIM(Classification!$G359))</f>
        <v>NOT CONFIDENTIAL</v>
      </c>
      <c r="P359" s="7" t="str">
        <f t="shared" si="47"/>
        <v>Y</v>
      </c>
      <c r="Q359" s="7" t="s">
        <v>826</v>
      </c>
      <c r="R359" s="9">
        <v>2958465</v>
      </c>
      <c r="S359" s="7" t="s">
        <v>827</v>
      </c>
      <c r="T359" s="7" t="s">
        <v>828</v>
      </c>
      <c r="U359" s="7" t="str">
        <f t="shared" si="49"/>
        <v>CLK_DETM_DETIS_C9DS_V</v>
      </c>
      <c r="V359" s="7" t="s">
        <v>829</v>
      </c>
    </row>
    <row r="360" spans="1:22">
      <c r="A360" s="7" t="str">
        <f>TRIM(ETLMetadata!$B360)</f>
        <v>CLK</v>
      </c>
      <c r="B360" s="7" t="str">
        <f>TRIM(ETLMetadata!$C360)</f>
        <v>DETM_DETIS_C9DS</v>
      </c>
      <c r="C360" s="7" t="str">
        <f>TRIM(ETLMetadata!$F360)</f>
        <v>ENVIRONMENT_ID</v>
      </c>
      <c r="D360" s="7" t="str">
        <f>TRIM(ETLMetadata!$H360)</f>
        <v>StringType()</v>
      </c>
      <c r="E360" s="7" t="str">
        <f t="shared" si="48"/>
        <v>CLK_DETM_DETIS_C9DS</v>
      </c>
      <c r="F360" s="7" t="str">
        <f t="shared" si="42"/>
        <v>ENVIRONMENT_ID</v>
      </c>
      <c r="G360" s="7" t="s">
        <v>825</v>
      </c>
      <c r="H360" s="7" t="str">
        <f t="shared" si="43"/>
        <v>CLK_DETM_DETIS_C9DS</v>
      </c>
      <c r="I360" s="7" t="str">
        <f t="shared" si="44"/>
        <v>ENVIRONMENT_ID</v>
      </c>
      <c r="J360" s="7" t="str">
        <f t="shared" si="45"/>
        <v>VARCHAR</v>
      </c>
      <c r="K360" s="7" t="str">
        <f>TRIM(ETLMetadata!$G360)</f>
        <v>CHAR(1)</v>
      </c>
      <c r="L360" s="7" t="str">
        <f>TRIM(ETLMetadata!$I360)</f>
        <v/>
      </c>
      <c r="M360" s="7" t="str">
        <f t="shared" si="46"/>
        <v>NULLIF(TRIM(ENVIRONMENT_ID),'')</v>
      </c>
      <c r="N360" s="7" t="str">
        <f>TRIM(ETLMetadata!$J360)</f>
        <v>Y</v>
      </c>
      <c r="O360" s="8" t="str">
        <f>IF(TRIM(Classification!$G360)="","NOT CONFIDENTIAL",TRIM(Classification!$G360))</f>
        <v>NOT CONFIDENTIAL</v>
      </c>
      <c r="P360" s="7" t="str">
        <f t="shared" si="47"/>
        <v>Y</v>
      </c>
      <c r="Q360" s="7" t="s">
        <v>826</v>
      </c>
      <c r="R360" s="9">
        <v>2958465</v>
      </c>
      <c r="S360" s="7" t="s">
        <v>827</v>
      </c>
      <c r="T360" s="7" t="s">
        <v>828</v>
      </c>
      <c r="U360" s="7" t="str">
        <f t="shared" si="49"/>
        <v>CLK_DETM_DETIS_C9DS_V</v>
      </c>
      <c r="V360" s="7" t="s">
        <v>829</v>
      </c>
    </row>
    <row r="361" spans="1:22">
      <c r="A361" s="7" t="str">
        <f>TRIM(ETLMetadata!$B361)</f>
        <v>CLK</v>
      </c>
      <c r="B361" s="7" t="str">
        <f>TRIM(ETLMetadata!$C361)</f>
        <v>DETM_DETIS_C9DS</v>
      </c>
      <c r="C361" s="7" t="str">
        <f>TRIM(ETLMetadata!$F361)</f>
        <v>PERSON_ID</v>
      </c>
      <c r="D361" s="7" t="str">
        <f>TRIM(ETLMetadata!$H361)</f>
        <v>StringType()</v>
      </c>
      <c r="E361" s="7" t="str">
        <f t="shared" si="48"/>
        <v>CLK_DETM_DETIS_C9DS</v>
      </c>
      <c r="F361" s="7" t="str">
        <f t="shared" si="42"/>
        <v>PERSON_ID</v>
      </c>
      <c r="G361" s="7" t="s">
        <v>825</v>
      </c>
      <c r="H361" s="7" t="str">
        <f t="shared" si="43"/>
        <v>CLK_DETM_DETIS_C9DS</v>
      </c>
      <c r="I361" s="7" t="str">
        <f t="shared" si="44"/>
        <v>PERSON_ID</v>
      </c>
      <c r="J361" s="7" t="str">
        <f t="shared" si="45"/>
        <v>INTEGER</v>
      </c>
      <c r="K361" s="7" t="str">
        <f>TRIM(ETLMetadata!$G361)</f>
        <v>INTEGER</v>
      </c>
      <c r="L361" s="7" t="str">
        <f>TRIM(ETLMetadata!$I361)</f>
        <v/>
      </c>
      <c r="M361" s="7" t="str">
        <f t="shared" si="46"/>
        <v>CAST(NULLIF(TRIM(PERSON_ID),'') AS INTEGER)</v>
      </c>
      <c r="N361" s="7" t="str">
        <f>TRIM(ETLMetadata!$J361)</f>
        <v>Y</v>
      </c>
      <c r="O361" s="8" t="str">
        <f>IF(TRIM(Classification!$G361)="","NOT CONFIDENTIAL",TRIM(Classification!$G361))</f>
        <v>PERSONAL_IDENTITYINFOINDIRECT</v>
      </c>
      <c r="P361" s="7" t="str">
        <f t="shared" si="47"/>
        <v>Y</v>
      </c>
      <c r="Q361" s="7" t="s">
        <v>826</v>
      </c>
      <c r="R361" s="9">
        <v>2958465</v>
      </c>
      <c r="S361" s="7" t="s">
        <v>827</v>
      </c>
      <c r="T361" s="7" t="s">
        <v>828</v>
      </c>
      <c r="U361" s="7" t="str">
        <f t="shared" si="49"/>
        <v>CLK_DETM_DETIS_C9DS_V</v>
      </c>
      <c r="V361" s="7" t="s">
        <v>829</v>
      </c>
    </row>
    <row r="362" spans="1:22">
      <c r="A362" s="7" t="str">
        <f>TRIM(ETLMetadata!$B362)</f>
        <v>CLK</v>
      </c>
      <c r="B362" s="7" t="str">
        <f>TRIM(ETLMetadata!$C362)</f>
        <v>DETM_DETIS_C9DS</v>
      </c>
      <c r="C362" s="7" t="str">
        <f>TRIM(ETLMetadata!$F362)</f>
        <v>C9DS_DOE</v>
      </c>
      <c r="D362" s="7" t="str">
        <f>TRIM(ETLMetadata!$H362)</f>
        <v>StringType()</v>
      </c>
      <c r="E362" s="7" t="str">
        <f t="shared" si="48"/>
        <v>CLK_DETM_DETIS_C9DS</v>
      </c>
      <c r="F362" s="7" t="str">
        <f t="shared" si="42"/>
        <v>C9DS_DOE</v>
      </c>
      <c r="G362" s="7" t="s">
        <v>825</v>
      </c>
      <c r="H362" s="7" t="str">
        <f t="shared" si="43"/>
        <v>CLK_DETM_DETIS_C9DS</v>
      </c>
      <c r="I362" s="7" t="str">
        <f t="shared" si="44"/>
        <v>C9DS_DOE</v>
      </c>
      <c r="J362" s="7" t="str">
        <f t="shared" si="45"/>
        <v>DATE</v>
      </c>
      <c r="K362" s="17" t="s">
        <v>80</v>
      </c>
      <c r="L362" s="7" t="str">
        <f>TRIM(ETLMetadata!$I362)</f>
        <v>YYYY-MM-DD</v>
      </c>
      <c r="M362" s="7" t="str">
        <f t="shared" si="46"/>
        <v>TO_DATE(NULLIF(TRIM(C9DS_DOE),'') , 'YYYY-MM-DD')</v>
      </c>
      <c r="N362" s="7" t="str">
        <f>TRIM(ETLMetadata!$J362)</f>
        <v/>
      </c>
      <c r="O362" s="8" t="str">
        <f>IF(TRIM(Classification!$G362)="","NOT CONFIDENTIAL",TRIM(Classification!$G362))</f>
        <v>NOT CONFIDENTIAL</v>
      </c>
      <c r="P362" s="7" t="str">
        <f t="shared" si="47"/>
        <v>Y</v>
      </c>
      <c r="Q362" s="7" t="s">
        <v>826</v>
      </c>
      <c r="R362" s="9">
        <v>2958465</v>
      </c>
      <c r="S362" s="7" t="s">
        <v>827</v>
      </c>
      <c r="T362" s="7" t="s">
        <v>828</v>
      </c>
      <c r="U362" s="7" t="str">
        <f t="shared" si="49"/>
        <v>CLK_DETM_DETIS_C9DS_V</v>
      </c>
      <c r="V362" s="7" t="s">
        <v>829</v>
      </c>
    </row>
    <row r="363" spans="1:22">
      <c r="A363" s="7" t="str">
        <f>TRIM(ETLMetadata!$B363)</f>
        <v>CLK</v>
      </c>
      <c r="B363" s="7" t="str">
        <f>TRIM(ETLMetadata!$C363)</f>
        <v>DETM_DETIS_C9DS</v>
      </c>
      <c r="C363" s="7" t="str">
        <f>TRIM(ETLMetadata!$F363)</f>
        <v>C9DS_DOE_ORIG</v>
      </c>
      <c r="D363" s="7" t="str">
        <f>TRIM(ETLMetadata!$H363)</f>
        <v>StringType()</v>
      </c>
      <c r="E363" s="7" t="str">
        <f t="shared" si="48"/>
        <v>CLK_DETM_DETIS_C9DS</v>
      </c>
      <c r="F363" s="7" t="str">
        <f t="shared" si="42"/>
        <v>C9DS_DOE_ORIG</v>
      </c>
      <c r="G363" s="7" t="s">
        <v>825</v>
      </c>
      <c r="H363" s="7" t="str">
        <f t="shared" si="43"/>
        <v>CLK_DETM_DETIS_C9DS</v>
      </c>
      <c r="I363" s="7" t="str">
        <f t="shared" si="44"/>
        <v>C9DS_DOE_ORIG</v>
      </c>
      <c r="J363" s="7" t="str">
        <f t="shared" si="45"/>
        <v>INTEGER</v>
      </c>
      <c r="K363" s="17" t="s">
        <v>90</v>
      </c>
      <c r="L363" s="7" t="str">
        <f>TRIM(ETLMetadata!$I363)</f>
        <v/>
      </c>
      <c r="M363" s="7" t="str">
        <f t="shared" si="46"/>
        <v>CAST(NULLIF(TRIM(C9DS_DOE_ORIG),'') AS INTEGER)</v>
      </c>
      <c r="N363" s="7" t="str">
        <f>TRIM(ETLMetadata!$J363)</f>
        <v/>
      </c>
      <c r="O363" s="8" t="str">
        <f>IF(TRIM(Classification!$G363)="","NOT CONFIDENTIAL",TRIM(Classification!$G363))</f>
        <v>NOT CONFIDENTIAL</v>
      </c>
      <c r="P363" s="7" t="str">
        <f t="shared" si="47"/>
        <v>Y</v>
      </c>
      <c r="Q363" s="7" t="s">
        <v>826</v>
      </c>
      <c r="R363" s="9">
        <v>2958465</v>
      </c>
      <c r="S363" s="7" t="s">
        <v>827</v>
      </c>
      <c r="T363" s="7" t="s">
        <v>828</v>
      </c>
      <c r="U363" s="7" t="str">
        <f t="shared" si="49"/>
        <v>CLK_DETM_DETIS_C9DS_V</v>
      </c>
      <c r="V363" s="7" t="s">
        <v>829</v>
      </c>
    </row>
    <row r="364" spans="1:22">
      <c r="A364" s="7" t="str">
        <f>TRIM(ETLMetadata!$B364)</f>
        <v>CLK</v>
      </c>
      <c r="B364" s="7" t="str">
        <f>TRIM(ETLMetadata!$C364)</f>
        <v>DETM_DETIS_C9DS</v>
      </c>
      <c r="C364" s="7" t="str">
        <f>TRIM(ETLMetadata!$F364)</f>
        <v>PROCESSING_SEQUENCE</v>
      </c>
      <c r="D364" s="7" t="str">
        <f>TRIM(ETLMetadata!$H364)</f>
        <v>StringType()</v>
      </c>
      <c r="E364" s="7" t="str">
        <f t="shared" si="48"/>
        <v>CLK_DETM_DETIS_C9DS</v>
      </c>
      <c r="F364" s="7" t="str">
        <f t="shared" si="42"/>
        <v>PROCESSING_SEQUENCE</v>
      </c>
      <c r="G364" s="7" t="s">
        <v>825</v>
      </c>
      <c r="H364" s="7" t="str">
        <f t="shared" si="43"/>
        <v>CLK_DETM_DETIS_C9DS</v>
      </c>
      <c r="I364" s="7" t="str">
        <f t="shared" si="44"/>
        <v>PROCESSING_SEQUENCE</v>
      </c>
      <c r="J364" s="7" t="str">
        <f t="shared" si="45"/>
        <v>SMALLINT</v>
      </c>
      <c r="K364" s="7" t="str">
        <f>TRIM(ETLMetadata!$G364)</f>
        <v>SMALLINT</v>
      </c>
      <c r="L364" s="7" t="str">
        <f>TRIM(ETLMetadata!$I364)</f>
        <v/>
      </c>
      <c r="M364" s="7" t="str">
        <f t="shared" si="46"/>
        <v>CAST(NULLIF(TRIM(PROCESSING_SEQUENCE),'') AS SMALLINT)</v>
      </c>
      <c r="N364" s="7" t="str">
        <f>TRIM(ETLMetadata!$J364)</f>
        <v>Y</v>
      </c>
      <c r="O364" s="8" t="str">
        <f>IF(TRIM(Classification!$G364)="","NOT CONFIDENTIAL",TRIM(Classification!$G364))</f>
        <v>NOT CONFIDENTIAL</v>
      </c>
      <c r="P364" s="7" t="str">
        <f t="shared" si="47"/>
        <v>Y</v>
      </c>
      <c r="Q364" s="7" t="s">
        <v>826</v>
      </c>
      <c r="R364" s="9">
        <v>2958465</v>
      </c>
      <c r="S364" s="7" t="s">
        <v>827</v>
      </c>
      <c r="T364" s="7" t="s">
        <v>828</v>
      </c>
      <c r="U364" s="7" t="str">
        <f t="shared" si="49"/>
        <v>CLK_DETM_DETIS_C9DS_V</v>
      </c>
      <c r="V364" s="7" t="s">
        <v>829</v>
      </c>
    </row>
    <row r="365" spans="1:22">
      <c r="A365" s="7" t="str">
        <f>TRIM(ETLMetadata!$B365)</f>
        <v>CLK</v>
      </c>
      <c r="B365" s="7" t="str">
        <f>TRIM(ETLMetadata!$C365)</f>
        <v>DETM_DETIS_C9DS</v>
      </c>
      <c r="C365" s="7" t="str">
        <f>TRIM(ETLMetadata!$F365)</f>
        <v>C9DS_AMR_1</v>
      </c>
      <c r="D365" s="7" t="str">
        <f>TRIM(ETLMetadata!$H365)</f>
        <v>StringType()</v>
      </c>
      <c r="E365" s="7" t="str">
        <f t="shared" si="48"/>
        <v>CLK_DETM_DETIS_C9DS</v>
      </c>
      <c r="F365" s="7" t="str">
        <f t="shared" si="42"/>
        <v>C9DS_AMR_1</v>
      </c>
      <c r="G365" s="7" t="s">
        <v>825</v>
      </c>
      <c r="H365" s="7" t="str">
        <f t="shared" si="43"/>
        <v>CLK_DETM_DETIS_C9DS</v>
      </c>
      <c r="I365" s="7" t="str">
        <f t="shared" si="44"/>
        <v>C9DS_AMR_1</v>
      </c>
      <c r="J365" s="7" t="str">
        <f t="shared" si="45"/>
        <v>VARCHAR</v>
      </c>
      <c r="K365" s="7" t="str">
        <f>TRIM(ETLMetadata!$G365)</f>
        <v>CHAR(4)</v>
      </c>
      <c r="L365" s="7" t="str">
        <f>TRIM(ETLMetadata!$I365)</f>
        <v/>
      </c>
      <c r="M365" s="7" t="str">
        <f t="shared" si="46"/>
        <v>NULLIF(TRIM(C9DS_AMR_1),'')</v>
      </c>
      <c r="N365" s="7" t="str">
        <f>TRIM(ETLMetadata!$J365)</f>
        <v/>
      </c>
      <c r="O365" s="8" t="str">
        <f>IF(TRIM(Classification!$G365)="","NOT CONFIDENTIAL",TRIM(Classification!$G365))</f>
        <v>NOT CONFIDENTIAL</v>
      </c>
      <c r="P365" s="7" t="str">
        <f t="shared" si="47"/>
        <v>Y</v>
      </c>
      <c r="Q365" s="7" t="s">
        <v>826</v>
      </c>
      <c r="R365" s="9">
        <v>2958465</v>
      </c>
      <c r="S365" s="7" t="s">
        <v>827</v>
      </c>
      <c r="T365" s="7" t="s">
        <v>828</v>
      </c>
      <c r="U365" s="7" t="str">
        <f t="shared" si="49"/>
        <v>CLK_DETM_DETIS_C9DS_V</v>
      </c>
      <c r="V365" s="7" t="s">
        <v>829</v>
      </c>
    </row>
    <row r="366" spans="1:22">
      <c r="A366" s="7" t="str">
        <f>TRIM(ETLMetadata!$B366)</f>
        <v>CLK</v>
      </c>
      <c r="B366" s="7" t="str">
        <f>TRIM(ETLMetadata!$C366)</f>
        <v>DETM_DETIS_C9DS</v>
      </c>
      <c r="C366" s="7" t="str">
        <f>TRIM(ETLMetadata!$F366)</f>
        <v>C9DS_AMR_2</v>
      </c>
      <c r="D366" s="7" t="str">
        <f>TRIM(ETLMetadata!$H366)</f>
        <v>StringType()</v>
      </c>
      <c r="E366" s="7" t="str">
        <f t="shared" si="48"/>
        <v>CLK_DETM_DETIS_C9DS</v>
      </c>
      <c r="F366" s="7" t="str">
        <f t="shared" si="42"/>
        <v>C9DS_AMR_2</v>
      </c>
      <c r="G366" s="7" t="s">
        <v>825</v>
      </c>
      <c r="H366" s="7" t="str">
        <f t="shared" si="43"/>
        <v>CLK_DETM_DETIS_C9DS</v>
      </c>
      <c r="I366" s="7" t="str">
        <f t="shared" si="44"/>
        <v>C9DS_AMR_2</v>
      </c>
      <c r="J366" s="7" t="str">
        <f t="shared" si="45"/>
        <v>VARCHAR</v>
      </c>
      <c r="K366" s="7" t="str">
        <f>TRIM(ETLMetadata!$G366)</f>
        <v>CHAR(1)</v>
      </c>
      <c r="L366" s="7" t="str">
        <f>TRIM(ETLMetadata!$I366)</f>
        <v/>
      </c>
      <c r="M366" s="7" t="str">
        <f t="shared" si="46"/>
        <v>NULLIF(TRIM(C9DS_AMR_2),'')</v>
      </c>
      <c r="N366" s="7" t="str">
        <f>TRIM(ETLMetadata!$J366)</f>
        <v/>
      </c>
      <c r="O366" s="8" t="str">
        <f>IF(TRIM(Classification!$G366)="","NOT CONFIDENTIAL",TRIM(Classification!$G366))</f>
        <v>NOT CONFIDENTIAL</v>
      </c>
      <c r="P366" s="7" t="str">
        <f t="shared" si="47"/>
        <v>Y</v>
      </c>
      <c r="Q366" s="7" t="s">
        <v>826</v>
      </c>
      <c r="R366" s="9">
        <v>2958465</v>
      </c>
      <c r="S366" s="7" t="s">
        <v>827</v>
      </c>
      <c r="T366" s="7" t="s">
        <v>828</v>
      </c>
      <c r="U366" s="7" t="str">
        <f t="shared" si="49"/>
        <v>CLK_DETM_DETIS_C9DS_V</v>
      </c>
      <c r="V366" s="7" t="s">
        <v>829</v>
      </c>
    </row>
    <row r="367" spans="1:22">
      <c r="A367" s="7" t="str">
        <f>TRIM(ETLMetadata!$B367)</f>
        <v>CLK</v>
      </c>
      <c r="B367" s="7" t="str">
        <f>TRIM(ETLMetadata!$C367)</f>
        <v>DETM_DETIS_C9DS</v>
      </c>
      <c r="C367" s="7" t="str">
        <f>TRIM(ETLMetadata!$F367)</f>
        <v>C9DS_AMR_3</v>
      </c>
      <c r="D367" s="7" t="str">
        <f>TRIM(ETLMetadata!$H367)</f>
        <v>StringType()</v>
      </c>
      <c r="E367" s="7" t="str">
        <f t="shared" si="48"/>
        <v>CLK_DETM_DETIS_C9DS</v>
      </c>
      <c r="F367" s="7" t="str">
        <f t="shared" si="42"/>
        <v>C9DS_AMR_3</v>
      </c>
      <c r="G367" s="7" t="s">
        <v>825</v>
      </c>
      <c r="H367" s="7" t="str">
        <f t="shared" si="43"/>
        <v>CLK_DETM_DETIS_C9DS</v>
      </c>
      <c r="I367" s="7" t="str">
        <f t="shared" si="44"/>
        <v>C9DS_AMR_3</v>
      </c>
      <c r="J367" s="7" t="str">
        <f t="shared" si="45"/>
        <v>VARCHAR</v>
      </c>
      <c r="K367" s="7" t="str">
        <f>TRIM(ETLMetadata!$G367)</f>
        <v>CHAR(4)</v>
      </c>
      <c r="L367" s="7" t="str">
        <f>TRIM(ETLMetadata!$I367)</f>
        <v/>
      </c>
      <c r="M367" s="7" t="str">
        <f t="shared" si="46"/>
        <v>NULLIF(TRIM(C9DS_AMR_3),'')</v>
      </c>
      <c r="N367" s="7" t="str">
        <f>TRIM(ETLMetadata!$J367)</f>
        <v/>
      </c>
      <c r="O367" s="8" t="str">
        <f>IF(TRIM(Classification!$G367)="","NOT CONFIDENTIAL",TRIM(Classification!$G367))</f>
        <v>NOT CONFIDENTIAL</v>
      </c>
      <c r="P367" s="7" t="str">
        <f t="shared" si="47"/>
        <v>Y</v>
      </c>
      <c r="Q367" s="7" t="s">
        <v>826</v>
      </c>
      <c r="R367" s="9">
        <v>2958465</v>
      </c>
      <c r="S367" s="7" t="s">
        <v>827</v>
      </c>
      <c r="T367" s="7" t="s">
        <v>828</v>
      </c>
      <c r="U367" s="7" t="str">
        <f t="shared" si="49"/>
        <v>CLK_DETM_DETIS_C9DS_V</v>
      </c>
      <c r="V367" s="7" t="s">
        <v>829</v>
      </c>
    </row>
    <row r="368" spans="1:22">
      <c r="A368" s="7" t="str">
        <f>TRIM(ETLMetadata!$B368)</f>
        <v>CLK</v>
      </c>
      <c r="B368" s="7" t="str">
        <f>TRIM(ETLMetadata!$C368)</f>
        <v>DETM_DETIS_C9DS</v>
      </c>
      <c r="C368" s="7" t="str">
        <f>TRIM(ETLMetadata!$F368)</f>
        <v>C9DS_BEN_TYPE_CODE</v>
      </c>
      <c r="D368" s="7" t="str">
        <f>TRIM(ETLMetadata!$H368)</f>
        <v>StringType()</v>
      </c>
      <c r="E368" s="7" t="str">
        <f t="shared" si="48"/>
        <v>CLK_DETM_DETIS_C9DS</v>
      </c>
      <c r="F368" s="7" t="str">
        <f t="shared" si="42"/>
        <v>C9DS_BEN_TYPE_CODE</v>
      </c>
      <c r="G368" s="7" t="s">
        <v>825</v>
      </c>
      <c r="H368" s="7" t="str">
        <f t="shared" si="43"/>
        <v>CLK_DETM_DETIS_C9DS</v>
      </c>
      <c r="I368" s="7" t="str">
        <f t="shared" si="44"/>
        <v>C9DS_BEN_TYPE_CODE</v>
      </c>
      <c r="J368" s="7" t="str">
        <f t="shared" si="45"/>
        <v>VARCHAR</v>
      </c>
      <c r="K368" s="7" t="str">
        <f>TRIM(ETLMetadata!$G368)</f>
        <v>CHAR(3)</v>
      </c>
      <c r="L368" s="7" t="str">
        <f>TRIM(ETLMetadata!$I368)</f>
        <v/>
      </c>
      <c r="M368" s="7" t="str">
        <f t="shared" si="46"/>
        <v>NULLIF(TRIM(C9DS_BEN_TYPE_CODE),'')</v>
      </c>
      <c r="N368" s="7" t="str">
        <f>TRIM(ETLMetadata!$J368)</f>
        <v/>
      </c>
      <c r="O368" s="8" t="str">
        <f>IF(TRIM(Classification!$G368)="","NOT CONFIDENTIAL",TRIM(Classification!$G368))</f>
        <v>NOT CONFIDENTIAL</v>
      </c>
      <c r="P368" s="7" t="str">
        <f t="shared" si="47"/>
        <v>Y</v>
      </c>
      <c r="Q368" s="7" t="s">
        <v>826</v>
      </c>
      <c r="R368" s="9">
        <v>2958465</v>
      </c>
      <c r="S368" s="7" t="s">
        <v>827</v>
      </c>
      <c r="T368" s="7" t="s">
        <v>828</v>
      </c>
      <c r="U368" s="7" t="str">
        <f t="shared" si="49"/>
        <v>CLK_DETM_DETIS_C9DS_V</v>
      </c>
      <c r="V368" s="7" t="s">
        <v>829</v>
      </c>
    </row>
    <row r="369" spans="1:22">
      <c r="A369" s="7" t="str">
        <f>TRIM(ETLMetadata!$B369)</f>
        <v>CLK</v>
      </c>
      <c r="B369" s="7" t="str">
        <f>TRIM(ETLMetadata!$C369)</f>
        <v>DETM_DETIS_C9DS</v>
      </c>
      <c r="C369" s="7" t="str">
        <f>TRIM(ETLMetadata!$F369)</f>
        <v>C9DS_STS_CODE</v>
      </c>
      <c r="D369" s="7" t="str">
        <f>TRIM(ETLMetadata!$H369)</f>
        <v>StringType()</v>
      </c>
      <c r="E369" s="7" t="str">
        <f t="shared" si="48"/>
        <v>CLK_DETM_DETIS_C9DS</v>
      </c>
      <c r="F369" s="7" t="str">
        <f t="shared" si="42"/>
        <v>C9DS_STS_CODE</v>
      </c>
      <c r="G369" s="7" t="s">
        <v>825</v>
      </c>
      <c r="H369" s="7" t="str">
        <f t="shared" si="43"/>
        <v>CLK_DETM_DETIS_C9DS</v>
      </c>
      <c r="I369" s="7" t="str">
        <f t="shared" si="44"/>
        <v>C9DS_STS_CODE</v>
      </c>
      <c r="J369" s="7" t="str">
        <f t="shared" si="45"/>
        <v>VARCHAR</v>
      </c>
      <c r="K369" s="7" t="str">
        <f>TRIM(ETLMetadata!$G369)</f>
        <v>CHAR(3)</v>
      </c>
      <c r="L369" s="7" t="str">
        <f>TRIM(ETLMetadata!$I369)</f>
        <v/>
      </c>
      <c r="M369" s="7" t="str">
        <f t="shared" si="46"/>
        <v>NULLIF(TRIM(C9DS_STS_CODE),'')</v>
      </c>
      <c r="N369" s="7" t="str">
        <f>TRIM(ETLMetadata!$J369)</f>
        <v/>
      </c>
      <c r="O369" s="8" t="str">
        <f>IF(TRIM(Classification!$G369)="","NOT CONFIDENTIAL",TRIM(Classification!$G369))</f>
        <v>NOT CONFIDENTIAL</v>
      </c>
      <c r="P369" s="7" t="str">
        <f t="shared" si="47"/>
        <v>Y</v>
      </c>
      <c r="Q369" s="7" t="s">
        <v>826</v>
      </c>
      <c r="R369" s="9">
        <v>2958465</v>
      </c>
      <c r="S369" s="7" t="s">
        <v>827</v>
      </c>
      <c r="T369" s="7" t="s">
        <v>828</v>
      </c>
      <c r="U369" s="7" t="str">
        <f t="shared" si="49"/>
        <v>CLK_DETM_DETIS_C9DS_V</v>
      </c>
      <c r="V369" s="7" t="s">
        <v>829</v>
      </c>
    </row>
    <row r="370" spans="1:22">
      <c r="A370" s="7" t="str">
        <f>TRIM(ETLMetadata!$B370)</f>
        <v>CLK</v>
      </c>
      <c r="B370" s="7" t="str">
        <f>TRIM(ETLMetadata!$C370)</f>
        <v>DETM_DETIS_C9DS</v>
      </c>
      <c r="C370" s="7" t="str">
        <f>TRIM(ETLMetadata!$F370)</f>
        <v>C9DS_RSN_CODE</v>
      </c>
      <c r="D370" s="7" t="str">
        <f>TRIM(ETLMetadata!$H370)</f>
        <v>StringType()</v>
      </c>
      <c r="E370" s="7" t="str">
        <f t="shared" si="48"/>
        <v>CLK_DETM_DETIS_C9DS</v>
      </c>
      <c r="F370" s="7" t="str">
        <f t="shared" si="42"/>
        <v>C9DS_RSN_CODE</v>
      </c>
      <c r="G370" s="7" t="s">
        <v>825</v>
      </c>
      <c r="H370" s="7" t="str">
        <f t="shared" si="43"/>
        <v>CLK_DETM_DETIS_C9DS</v>
      </c>
      <c r="I370" s="7" t="str">
        <f t="shared" si="44"/>
        <v>C9DS_RSN_CODE</v>
      </c>
      <c r="J370" s="7" t="str">
        <f t="shared" si="45"/>
        <v>VARCHAR</v>
      </c>
      <c r="K370" s="7" t="str">
        <f>TRIM(ETLMetadata!$G370)</f>
        <v>CHAR(3)</v>
      </c>
      <c r="L370" s="7" t="str">
        <f>TRIM(ETLMetadata!$I370)</f>
        <v/>
      </c>
      <c r="M370" s="7" t="str">
        <f t="shared" si="46"/>
        <v>NULLIF(TRIM(C9DS_RSN_CODE),'')</v>
      </c>
      <c r="N370" s="7" t="str">
        <f>TRIM(ETLMetadata!$J370)</f>
        <v/>
      </c>
      <c r="O370" s="8" t="str">
        <f>IF(TRIM(Classification!$G370)="","NOT CONFIDENTIAL",TRIM(Classification!$G370))</f>
        <v>NOT CONFIDENTIAL</v>
      </c>
      <c r="P370" s="7" t="str">
        <f t="shared" si="47"/>
        <v>Y</v>
      </c>
      <c r="Q370" s="7" t="s">
        <v>826</v>
      </c>
      <c r="R370" s="9">
        <v>2958465</v>
      </c>
      <c r="S370" s="7" t="s">
        <v>827</v>
      </c>
      <c r="T370" s="7" t="s">
        <v>828</v>
      </c>
      <c r="U370" s="7" t="str">
        <f t="shared" si="49"/>
        <v>CLK_DETM_DETIS_C9DS_V</v>
      </c>
      <c r="V370" s="7" t="s">
        <v>829</v>
      </c>
    </row>
    <row r="371" spans="1:22">
      <c r="A371" s="7" t="str">
        <f>TRIM(ETLMetadata!$B371)</f>
        <v>CLK</v>
      </c>
      <c r="B371" s="7" t="str">
        <f>TRIM(ETLMetadata!$C371)</f>
        <v>DETM_DETIS_C9DS</v>
      </c>
      <c r="C371" s="7" t="str">
        <f>TRIM(ETLMetadata!$F371)</f>
        <v>C9DS_UNIQ_ID</v>
      </c>
      <c r="D371" s="7" t="str">
        <f>TRIM(ETLMetadata!$H371)</f>
        <v>StringType()</v>
      </c>
      <c r="E371" s="7" t="str">
        <f t="shared" si="48"/>
        <v>CLK_DETM_DETIS_C9DS</v>
      </c>
      <c r="F371" s="7" t="str">
        <f t="shared" si="42"/>
        <v>C9DS_UNIQ_ID</v>
      </c>
      <c r="G371" s="7" t="s">
        <v>825</v>
      </c>
      <c r="H371" s="7" t="str">
        <f t="shared" si="43"/>
        <v>CLK_DETM_DETIS_C9DS</v>
      </c>
      <c r="I371" s="7" t="str">
        <f t="shared" si="44"/>
        <v>C9DS_UNIQ_ID</v>
      </c>
      <c r="J371" s="7" t="str">
        <f t="shared" si="45"/>
        <v>VARCHAR</v>
      </c>
      <c r="K371" s="7" t="str">
        <f>TRIM(ETLMetadata!$G371)</f>
        <v>VARCHAR(8)</v>
      </c>
      <c r="L371" s="7" t="str">
        <f>TRIM(ETLMetadata!$I371)</f>
        <v/>
      </c>
      <c r="M371" s="7" t="str">
        <f t="shared" si="46"/>
        <v>NULLIF(TRIM(C9DS_UNIQ_ID),'')</v>
      </c>
      <c r="N371" s="7" t="str">
        <f>TRIM(ETLMetadata!$J371)</f>
        <v/>
      </c>
      <c r="O371" s="8" t="str">
        <f>IF(TRIM(Classification!$G371)="","NOT CONFIDENTIAL",TRIM(Classification!$G371))</f>
        <v>NOT CONFIDENTIAL</v>
      </c>
      <c r="P371" s="7" t="str">
        <f t="shared" si="47"/>
        <v>Y</v>
      </c>
      <c r="Q371" s="7" t="s">
        <v>826</v>
      </c>
      <c r="R371" s="9">
        <v>2958465</v>
      </c>
      <c r="S371" s="7" t="s">
        <v>827</v>
      </c>
      <c r="T371" s="7" t="s">
        <v>828</v>
      </c>
      <c r="U371" s="7" t="str">
        <f t="shared" si="49"/>
        <v>CLK_DETM_DETIS_C9DS_V</v>
      </c>
      <c r="V371" s="7" t="s">
        <v>829</v>
      </c>
    </row>
    <row r="372" spans="1:22">
      <c r="A372" s="7" t="str">
        <f>TRIM(ETLMetadata!$B372)</f>
        <v>CLK</v>
      </c>
      <c r="B372" s="7" t="str">
        <f>TRIM(ETLMetadata!$C372)</f>
        <v>DETM_DETIS_C9DS</v>
      </c>
      <c r="C372" s="7" t="str">
        <f>TRIM(ETLMetadata!$F372)</f>
        <v>AMR1_RISL_DTS</v>
      </c>
      <c r="D372" s="7" t="str">
        <f>TRIM(ETLMetadata!$H372)</f>
        <v>StringType()</v>
      </c>
      <c r="E372" s="7" t="str">
        <f t="shared" si="48"/>
        <v>CLK_DETM_DETIS_C9DS</v>
      </c>
      <c r="F372" s="7" t="str">
        <f t="shared" si="42"/>
        <v>AMR1_RISL_DTS</v>
      </c>
      <c r="G372" s="7" t="s">
        <v>825</v>
      </c>
      <c r="H372" s="7" t="str">
        <f t="shared" si="43"/>
        <v>CLK_DETM_DETIS_C9DS</v>
      </c>
      <c r="I372" s="7" t="str">
        <f t="shared" si="44"/>
        <v>AMR1_RISL_DTS</v>
      </c>
      <c r="J372" s="7" t="str">
        <f t="shared" si="45"/>
        <v>TIMESTAMP</v>
      </c>
      <c r="K372" s="7" t="str">
        <f>TRIM(ETLMetadata!$G372)</f>
        <v>TIMESTAMP(6)</v>
      </c>
      <c r="L372" s="7" t="str">
        <f>TRIM(ETLMetadata!$I372)</f>
        <v>YYYY-MM-DDBHH:MI:SS.S(6)</v>
      </c>
      <c r="M372" s="7" t="str">
        <f t="shared" si="46"/>
        <v>TO_TIMESTAMP_NTZ(NULLIF(TRIM(AMR1_RISL_DTS),''),'YYYY-MM-DD HH24:MI:SS.FF6')</v>
      </c>
      <c r="N372" s="7" t="str">
        <f>TRIM(ETLMetadata!$J372)</f>
        <v/>
      </c>
      <c r="O372" s="8" t="str">
        <f>IF(TRIM(Classification!$G372)="","NOT CONFIDENTIAL",TRIM(Classification!$G372))</f>
        <v>NOT CONFIDENTIAL</v>
      </c>
      <c r="P372" s="7" t="str">
        <f t="shared" si="47"/>
        <v>Y</v>
      </c>
      <c r="Q372" s="7" t="s">
        <v>826</v>
      </c>
      <c r="R372" s="9">
        <v>2958465</v>
      </c>
      <c r="S372" s="7" t="s">
        <v>827</v>
      </c>
      <c r="T372" s="7" t="s">
        <v>828</v>
      </c>
      <c r="U372" s="7" t="str">
        <f t="shared" si="49"/>
        <v>CLK_DETM_DETIS_C9DS_V</v>
      </c>
      <c r="V372" s="7" t="s">
        <v>829</v>
      </c>
    </row>
    <row r="373" spans="1:22">
      <c r="A373" s="7" t="str">
        <f>TRIM(ETLMetadata!$B373)</f>
        <v>CLK</v>
      </c>
      <c r="B373" s="7" t="str">
        <f>TRIM(ETLMetadata!$C373)</f>
        <v>DETM_DETIS_C9DS</v>
      </c>
      <c r="C373" s="7" t="str">
        <f>TRIM(ETLMetadata!$F373)</f>
        <v>AMR3_RISL_DTS</v>
      </c>
      <c r="D373" s="7" t="str">
        <f>TRIM(ETLMetadata!$H373)</f>
        <v>StringType()</v>
      </c>
      <c r="E373" s="7" t="str">
        <f t="shared" si="48"/>
        <v>CLK_DETM_DETIS_C9DS</v>
      </c>
      <c r="F373" s="7" t="str">
        <f t="shared" si="42"/>
        <v>AMR3_RISL_DTS</v>
      </c>
      <c r="G373" s="7" t="s">
        <v>825</v>
      </c>
      <c r="H373" s="7" t="str">
        <f t="shared" si="43"/>
        <v>CLK_DETM_DETIS_C9DS</v>
      </c>
      <c r="I373" s="7" t="str">
        <f t="shared" si="44"/>
        <v>AMR3_RISL_DTS</v>
      </c>
      <c r="J373" s="7" t="str">
        <f t="shared" si="45"/>
        <v>TIMESTAMP</v>
      </c>
      <c r="K373" s="7" t="str">
        <f>TRIM(ETLMetadata!$G373)</f>
        <v>TIMESTAMP(6)</v>
      </c>
      <c r="L373" s="7" t="str">
        <f>TRIM(ETLMetadata!$I373)</f>
        <v>YYYY-MM-DDBHH:MI:SS.S(6)</v>
      </c>
      <c r="M373" s="7" t="str">
        <f t="shared" si="46"/>
        <v>TO_TIMESTAMP_NTZ(NULLIF(TRIM(AMR3_RISL_DTS),''),'YYYY-MM-DD HH24:MI:SS.FF6')</v>
      </c>
      <c r="N373" s="7" t="str">
        <f>TRIM(ETLMetadata!$J373)</f>
        <v/>
      </c>
      <c r="O373" s="8" t="str">
        <f>IF(TRIM(Classification!$G373)="","NOT CONFIDENTIAL",TRIM(Classification!$G373))</f>
        <v>NOT CONFIDENTIAL</v>
      </c>
      <c r="P373" s="7" t="str">
        <f t="shared" si="47"/>
        <v>Y</v>
      </c>
      <c r="Q373" s="7" t="s">
        <v>826</v>
      </c>
      <c r="R373" s="9">
        <v>2958465</v>
      </c>
      <c r="S373" s="7" t="s">
        <v>827</v>
      </c>
      <c r="T373" s="7" t="s">
        <v>828</v>
      </c>
      <c r="U373" s="7" t="str">
        <f t="shared" si="49"/>
        <v>CLK_DETM_DETIS_C9DS_V</v>
      </c>
      <c r="V373" s="7" t="s">
        <v>829</v>
      </c>
    </row>
    <row r="374" spans="1:22">
      <c r="A374" s="7" t="str">
        <f>TRIM(ETLMetadata!$B374)</f>
        <v>CLK</v>
      </c>
      <c r="B374" s="7" t="str">
        <f>TRIM(ETLMetadata!$C374)</f>
        <v>DETM_DETIS_C9DS</v>
      </c>
      <c r="C374" s="7" t="str">
        <f>TRIM(ETLMetadata!$F374)</f>
        <v>EPISODE_ID</v>
      </c>
      <c r="D374" s="7" t="str">
        <f>TRIM(ETLMetadata!$H374)</f>
        <v>StringType()</v>
      </c>
      <c r="E374" s="7" t="str">
        <f t="shared" si="48"/>
        <v>CLK_DETM_DETIS_C9DS</v>
      </c>
      <c r="F374" s="7" t="str">
        <f t="shared" si="42"/>
        <v>EPISODE_ID</v>
      </c>
      <c r="G374" s="7" t="s">
        <v>825</v>
      </c>
      <c r="H374" s="7" t="str">
        <f t="shared" si="43"/>
        <v>CLK_DETM_DETIS_C9DS</v>
      </c>
      <c r="I374" s="7" t="str">
        <f t="shared" si="44"/>
        <v>EPISODE_ID</v>
      </c>
      <c r="J374" s="7" t="str">
        <f t="shared" si="45"/>
        <v>INTEGER</v>
      </c>
      <c r="K374" s="7" t="str">
        <f>TRIM(ETLMetadata!$G374)</f>
        <v>INTEGER</v>
      </c>
      <c r="L374" s="7" t="str">
        <f>TRIM(ETLMetadata!$I374)</f>
        <v/>
      </c>
      <c r="M374" s="7" t="str">
        <f t="shared" si="46"/>
        <v>CAST(NULLIF(TRIM(EPISODE_ID),'') AS INTEGER)</v>
      </c>
      <c r="N374" s="7" t="str">
        <f>TRIM(ETLMetadata!$J374)</f>
        <v/>
      </c>
      <c r="O374" s="8" t="str">
        <f>IF(TRIM(Classification!$G374)="","NOT CONFIDENTIAL",TRIM(Classification!$G374))</f>
        <v>NOT CONFIDENTIAL</v>
      </c>
      <c r="P374" s="7" t="str">
        <f t="shared" si="47"/>
        <v>Y</v>
      </c>
      <c r="Q374" s="7" t="s">
        <v>826</v>
      </c>
      <c r="R374" s="9">
        <v>2958465</v>
      </c>
      <c r="S374" s="7" t="s">
        <v>827</v>
      </c>
      <c r="T374" s="7" t="s">
        <v>828</v>
      </c>
      <c r="U374" s="7" t="str">
        <f t="shared" si="49"/>
        <v>CLK_DETM_DETIS_C9DS_V</v>
      </c>
      <c r="V374" s="7" t="s">
        <v>829</v>
      </c>
    </row>
    <row r="375" spans="1:22">
      <c r="A375" s="7" t="str">
        <f>TRIM(ETLMetadata!$B375)</f>
        <v>CLK</v>
      </c>
      <c r="B375" s="7" t="str">
        <f>TRIM(ETLMetadata!$C375)</f>
        <v>DETM_DETIS_C9DS</v>
      </c>
      <c r="C375" s="7" t="str">
        <f>TRIM(ETLMetadata!$F375)</f>
        <v>PARTY_ROLE_ID</v>
      </c>
      <c r="D375" s="7" t="str">
        <f>TRIM(ETLMetadata!$H375)</f>
        <v>StringType()</v>
      </c>
      <c r="E375" s="7" t="str">
        <f t="shared" si="48"/>
        <v>CLK_DETM_DETIS_C9DS</v>
      </c>
      <c r="F375" s="7" t="str">
        <f t="shared" si="42"/>
        <v>PARTY_ROLE_ID</v>
      </c>
      <c r="G375" s="7" t="s">
        <v>825</v>
      </c>
      <c r="H375" s="7" t="str">
        <f t="shared" si="43"/>
        <v>CLK_DETM_DETIS_C9DS</v>
      </c>
      <c r="I375" s="7" t="str">
        <f t="shared" si="44"/>
        <v>PARTY_ROLE_ID</v>
      </c>
      <c r="J375" s="7" t="str">
        <f t="shared" si="45"/>
        <v>INTEGER</v>
      </c>
      <c r="K375" s="7" t="str">
        <f>TRIM(ETLMetadata!$G375)</f>
        <v>INTEGER</v>
      </c>
      <c r="L375" s="7" t="str">
        <f>TRIM(ETLMetadata!$I375)</f>
        <v/>
      </c>
      <c r="M375" s="7" t="str">
        <f t="shared" si="46"/>
        <v>CAST(NULLIF(TRIM(PARTY_ROLE_ID),'') AS INTEGER)</v>
      </c>
      <c r="N375" s="7" t="str">
        <f>TRIM(ETLMetadata!$J375)</f>
        <v/>
      </c>
      <c r="O375" s="8" t="str">
        <f>IF(TRIM(Classification!$G375)="","NOT CONFIDENTIAL",TRIM(Classification!$G375))</f>
        <v>NOT CONFIDENTIAL</v>
      </c>
      <c r="P375" s="7" t="str">
        <f t="shared" si="47"/>
        <v>Y</v>
      </c>
      <c r="Q375" s="7" t="s">
        <v>826</v>
      </c>
      <c r="R375" s="9">
        <v>2958465</v>
      </c>
      <c r="S375" s="7" t="s">
        <v>827</v>
      </c>
      <c r="T375" s="7" t="s">
        <v>828</v>
      </c>
      <c r="U375" s="7" t="str">
        <f t="shared" si="49"/>
        <v>CLK_DETM_DETIS_C9DS_V</v>
      </c>
      <c r="V375" s="7" t="s">
        <v>829</v>
      </c>
    </row>
    <row r="376" spans="1:22">
      <c r="A376" s="7" t="str">
        <f>TRIM(ETLMetadata!$B376)</f>
        <v>CLK</v>
      </c>
      <c r="B376" s="7" t="str">
        <f>TRIM(ETLMetadata!$C376)</f>
        <v>DETM_DETIS_C9DS</v>
      </c>
      <c r="C376" s="7" t="str">
        <f>TRIM(ETLMetadata!$F376)</f>
        <v>PAYMENT_TYPE_ID</v>
      </c>
      <c r="D376" s="7" t="str">
        <f>TRIM(ETLMetadata!$H376)</f>
        <v>StringType()</v>
      </c>
      <c r="E376" s="7" t="str">
        <f t="shared" si="48"/>
        <v>CLK_DETM_DETIS_C9DS</v>
      </c>
      <c r="F376" s="7" t="str">
        <f t="shared" si="42"/>
        <v>PAYMENT_TYPE_ID</v>
      </c>
      <c r="G376" s="7" t="s">
        <v>825</v>
      </c>
      <c r="H376" s="7" t="str">
        <f t="shared" si="43"/>
        <v>CLK_DETM_DETIS_C9DS</v>
      </c>
      <c r="I376" s="7" t="str">
        <f t="shared" si="44"/>
        <v>PAYMENT_TYPE_ID</v>
      </c>
      <c r="J376" s="7" t="str">
        <f t="shared" si="45"/>
        <v>INTEGER</v>
      </c>
      <c r="K376" s="7" t="str">
        <f>TRIM(ETLMetadata!$G376)</f>
        <v>INTEGER</v>
      </c>
      <c r="L376" s="7" t="str">
        <f>TRIM(ETLMetadata!$I376)</f>
        <v/>
      </c>
      <c r="M376" s="7" t="str">
        <f t="shared" si="46"/>
        <v>CAST(NULLIF(TRIM(PAYMENT_TYPE_ID),'') AS INTEGER)</v>
      </c>
      <c r="N376" s="7" t="str">
        <f>TRIM(ETLMetadata!$J376)</f>
        <v/>
      </c>
      <c r="O376" s="8" t="str">
        <f>IF(TRIM(Classification!$G376)="","NOT CONFIDENTIAL",TRIM(Classification!$G376))</f>
        <v>NOT CONFIDENTIAL</v>
      </c>
      <c r="P376" s="7" t="str">
        <f t="shared" si="47"/>
        <v>Y</v>
      </c>
      <c r="Q376" s="7" t="s">
        <v>826</v>
      </c>
      <c r="R376" s="9">
        <v>2958465</v>
      </c>
      <c r="S376" s="7" t="s">
        <v>827</v>
      </c>
      <c r="T376" s="7" t="s">
        <v>828</v>
      </c>
      <c r="U376" s="7" t="str">
        <f t="shared" si="49"/>
        <v>CLK_DETM_DETIS_C9DS_V</v>
      </c>
      <c r="V376" s="7" t="s">
        <v>829</v>
      </c>
    </row>
    <row r="377" spans="1:22">
      <c r="A377" s="7" t="str">
        <f>TRIM(ETLMetadata!$B377)</f>
        <v>CLK</v>
      </c>
      <c r="B377" s="7" t="str">
        <f>TRIM(ETLMetadata!$C377)</f>
        <v>DETM_DETIS_C9DS</v>
      </c>
      <c r="C377" s="7" t="str">
        <f>TRIM(ETLMetadata!$F377)</f>
        <v>ERROR_COUNT</v>
      </c>
      <c r="D377" s="7" t="str">
        <f>TRIM(ETLMetadata!$H377)</f>
        <v>StringType()</v>
      </c>
      <c r="E377" s="7" t="str">
        <f t="shared" si="48"/>
        <v>CLK_DETM_DETIS_C9DS</v>
      </c>
      <c r="F377" s="7" t="str">
        <f t="shared" si="42"/>
        <v>ERROR_COUNT</v>
      </c>
      <c r="G377" s="7" t="s">
        <v>825</v>
      </c>
      <c r="H377" s="7" t="str">
        <f t="shared" si="43"/>
        <v>CLK_DETM_DETIS_C9DS</v>
      </c>
      <c r="I377" s="7" t="str">
        <f t="shared" si="44"/>
        <v>ERROR_COUNT</v>
      </c>
      <c r="J377" s="7" t="str">
        <f t="shared" si="45"/>
        <v>SMALLINT</v>
      </c>
      <c r="K377" s="7" t="str">
        <f>TRIM(ETLMetadata!$G377)</f>
        <v>SMALLINT</v>
      </c>
      <c r="L377" s="7" t="str">
        <f>TRIM(ETLMetadata!$I377)</f>
        <v/>
      </c>
      <c r="M377" s="7" t="str">
        <f t="shared" si="46"/>
        <v>CAST(NULLIF(TRIM(ERROR_COUNT),'') AS SMALLINT)</v>
      </c>
      <c r="N377" s="7" t="str">
        <f>TRIM(ETLMetadata!$J377)</f>
        <v/>
      </c>
      <c r="O377" s="8" t="str">
        <f>IF(TRIM(Classification!$G377)="","NOT CONFIDENTIAL",TRIM(Classification!$G377))</f>
        <v>NOT CONFIDENTIAL</v>
      </c>
      <c r="P377" s="7" t="str">
        <f t="shared" si="47"/>
        <v>Y</v>
      </c>
      <c r="Q377" s="7" t="s">
        <v>826</v>
      </c>
      <c r="R377" s="9">
        <v>2958465</v>
      </c>
      <c r="S377" s="7" t="s">
        <v>827</v>
      </c>
      <c r="T377" s="7" t="s">
        <v>828</v>
      </c>
      <c r="U377" s="7" t="str">
        <f t="shared" si="49"/>
        <v>CLK_DETM_DETIS_C9DS_V</v>
      </c>
      <c r="V377" s="7" t="s">
        <v>829</v>
      </c>
    </row>
    <row r="378" spans="1:22">
      <c r="A378" s="7" t="str">
        <f>TRIM(ETLMetadata!$B378)</f>
        <v>CLK</v>
      </c>
      <c r="B378" s="7" t="str">
        <f>TRIM(ETLMetadata!$C378)</f>
        <v>DETM_DETIS_C9DS</v>
      </c>
      <c r="C378" s="7" t="str">
        <f>TRIM(ETLMetadata!$F378)</f>
        <v>Start_Date</v>
      </c>
      <c r="D378" s="7" t="str">
        <f>TRIM(ETLMetadata!$H378)</f>
        <v>StringType()</v>
      </c>
      <c r="E378" s="7" t="str">
        <f t="shared" si="48"/>
        <v>CLK_DETM_DETIS_C9DS</v>
      </c>
      <c r="F378" s="7" t="str">
        <f t="shared" si="42"/>
        <v>STRT_DT</v>
      </c>
      <c r="G378" s="7" t="s">
        <v>825</v>
      </c>
      <c r="H378" s="7" t="str">
        <f t="shared" si="43"/>
        <v>CLK_DETM_DETIS_C9DS</v>
      </c>
      <c r="I378" s="7" t="str">
        <f t="shared" si="44"/>
        <v>STRT_DT</v>
      </c>
      <c r="J378" s="7" t="str">
        <f t="shared" si="45"/>
        <v>DATE</v>
      </c>
      <c r="K378" s="7" t="str">
        <f>TRIM(ETLMetadata!$G378)</f>
        <v>DATE</v>
      </c>
      <c r="L378" s="7" t="str">
        <f>TRIM(ETLMetadata!$I378)</f>
        <v>YYYY-MM-DD</v>
      </c>
      <c r="M378" s="7" t="str">
        <f t="shared" si="46"/>
        <v>TO_DATE(NULLIF(TRIM(STRT_DT),'') , 'YYYY-MM-DD')</v>
      </c>
      <c r="N378" s="7" t="str">
        <f>TRIM(ETLMetadata!$J378)</f>
        <v/>
      </c>
      <c r="O378" s="8" t="str">
        <f>IF(TRIM(Classification!$G378)="","NOT CONFIDENTIAL",TRIM(Classification!$G378))</f>
        <v>NOT CONFIDENTIAL</v>
      </c>
      <c r="P378" s="7" t="str">
        <f t="shared" si="47"/>
        <v>N</v>
      </c>
      <c r="Q378" s="7" t="s">
        <v>826</v>
      </c>
      <c r="R378" s="9">
        <v>2958465</v>
      </c>
      <c r="S378" s="7" t="s">
        <v>827</v>
      </c>
      <c r="T378" s="7" t="s">
        <v>828</v>
      </c>
      <c r="U378" s="7" t="str">
        <f t="shared" si="49"/>
        <v>CLK_DETM_DETIS_C9DS_V</v>
      </c>
      <c r="V378" s="7" t="s">
        <v>829</v>
      </c>
    </row>
    <row r="379" spans="1:22">
      <c r="A379" s="7" t="str">
        <f>TRIM(ETLMetadata!$B379)</f>
        <v>CLK</v>
      </c>
      <c r="B379" s="7" t="str">
        <f>TRIM(ETLMetadata!$C379)</f>
        <v>DETM_DETIS_C9DS</v>
      </c>
      <c r="C379" s="7" t="str">
        <f>TRIM(ETLMetadata!$F379)</f>
        <v>End_Date</v>
      </c>
      <c r="D379" s="7" t="str">
        <f>TRIM(ETLMetadata!$H379)</f>
        <v>StringType()</v>
      </c>
      <c r="E379" s="7" t="str">
        <f t="shared" si="48"/>
        <v>CLK_DETM_DETIS_C9DS</v>
      </c>
      <c r="F379" s="7" t="str">
        <f t="shared" si="42"/>
        <v>END_DT</v>
      </c>
      <c r="G379" s="7" t="s">
        <v>825</v>
      </c>
      <c r="H379" s="7" t="str">
        <f t="shared" si="43"/>
        <v>CLK_DETM_DETIS_C9DS</v>
      </c>
      <c r="I379" s="7" t="str">
        <f t="shared" si="44"/>
        <v>END_DT</v>
      </c>
      <c r="J379" s="7" t="str">
        <f t="shared" si="45"/>
        <v>DATE</v>
      </c>
      <c r="K379" s="7" t="str">
        <f>TRIM(ETLMetadata!$G379)</f>
        <v>DATE</v>
      </c>
      <c r="L379" s="7" t="str">
        <f>TRIM(ETLMetadata!$I379)</f>
        <v>YYYY-MM-DD</v>
      </c>
      <c r="M379" s="7" t="str">
        <f t="shared" si="46"/>
        <v>TO_DATE(NULLIF(TRIM(END_DT),'') , 'YYYY-MM-DD')</v>
      </c>
      <c r="N379" s="7" t="str">
        <f>TRIM(ETLMetadata!$J379)</f>
        <v/>
      </c>
      <c r="O379" s="8" t="str">
        <f>IF(TRIM(Classification!$G379)="","NOT CONFIDENTIAL",TRIM(Classification!$G379))</f>
        <v>NOT CONFIDENTIAL</v>
      </c>
      <c r="P379" s="7" t="str">
        <f t="shared" si="47"/>
        <v>N</v>
      </c>
      <c r="Q379" s="7" t="s">
        <v>826</v>
      </c>
      <c r="R379" s="9">
        <v>2958465</v>
      </c>
      <c r="S379" s="7" t="s">
        <v>827</v>
      </c>
      <c r="T379" s="7" t="s">
        <v>828</v>
      </c>
      <c r="U379" s="7" t="str">
        <f t="shared" si="49"/>
        <v>CLK_DETM_DETIS_C9DS_V</v>
      </c>
      <c r="V379" s="7" t="s">
        <v>829</v>
      </c>
    </row>
    <row r="380" spans="1:22">
      <c r="A380" s="7" t="str">
        <f>TRIM(ETLMetadata!$B380)</f>
        <v>CLK</v>
      </c>
      <c r="B380" s="7" t="str">
        <f>TRIM(ETLMetadata!$C380)</f>
        <v>DETM_DETIS_C9DS</v>
      </c>
      <c r="C380" s="7" t="str">
        <f>TRIM(ETLMetadata!$F380)</f>
        <v>Record_Deleted_Flag</v>
      </c>
      <c r="D380" s="7" t="str">
        <f>TRIM(ETLMetadata!$H380)</f>
        <v>StringType()</v>
      </c>
      <c r="E380" s="7" t="str">
        <f t="shared" si="48"/>
        <v>CLK_DETM_DETIS_C9DS</v>
      </c>
      <c r="F380" s="7" t="str">
        <f t="shared" si="42"/>
        <v>RCRD_DEL_IND</v>
      </c>
      <c r="G380" s="7" t="s">
        <v>825</v>
      </c>
      <c r="H380" s="7" t="str">
        <f t="shared" si="43"/>
        <v>CLK_DETM_DETIS_C9DS</v>
      </c>
      <c r="I380" s="7" t="str">
        <f t="shared" si="44"/>
        <v>RCRD_DEL_IND</v>
      </c>
      <c r="J380" s="7" t="str">
        <f t="shared" si="45"/>
        <v>SMALLINT</v>
      </c>
      <c r="K380" s="7" t="str">
        <f>TRIM(ETLMetadata!$G380)</f>
        <v>BYTEINT</v>
      </c>
      <c r="L380" s="7" t="str">
        <f>TRIM(ETLMetadata!$I380)</f>
        <v/>
      </c>
      <c r="M380" s="7" t="str">
        <f t="shared" si="46"/>
        <v>CAST(NULLIF(TRIM(RCRD_DEL_IND),'') AS SMALLINT)</v>
      </c>
      <c r="N380" s="7" t="str">
        <f>TRIM(ETLMetadata!$J380)</f>
        <v/>
      </c>
      <c r="O380" s="8" t="str">
        <f>IF(TRIM(Classification!$G380)="","NOT CONFIDENTIAL",TRIM(Classification!$G380))</f>
        <v>NOT CONFIDENTIAL</v>
      </c>
      <c r="P380" s="7" t="str">
        <f t="shared" si="47"/>
        <v>N</v>
      </c>
      <c r="Q380" s="7" t="s">
        <v>826</v>
      </c>
      <c r="R380" s="9">
        <v>2958465</v>
      </c>
      <c r="S380" s="7" t="s">
        <v>827</v>
      </c>
      <c r="T380" s="7" t="s">
        <v>828</v>
      </c>
      <c r="U380" s="7" t="str">
        <f t="shared" si="49"/>
        <v>CLK_DETM_DETIS_C9DS_V</v>
      </c>
      <c r="V380" s="7" t="s">
        <v>829</v>
      </c>
    </row>
    <row r="381" spans="1:22">
      <c r="A381" s="7" t="str">
        <f>TRIM(ETLMetadata!$B381)</f>
        <v>CLK</v>
      </c>
      <c r="B381" s="7" t="str">
        <f>TRIM(ETLMetadata!$C381)</f>
        <v>DETM_DETIS_CBDS</v>
      </c>
      <c r="C381" s="7" t="str">
        <f>TRIM(ETLMetadata!$F381)</f>
        <v>EXTRACT_DATE</v>
      </c>
      <c r="D381" s="7" t="str">
        <f>TRIM(ETLMetadata!$H381)</f>
        <v>StringType()</v>
      </c>
      <c r="E381" s="7" t="str">
        <f t="shared" si="48"/>
        <v>CLK_DETM_DETIS_CBDS</v>
      </c>
      <c r="F381" s="7" t="str">
        <f t="shared" si="42"/>
        <v>EXTRACT_DATE</v>
      </c>
      <c r="G381" s="7" t="s">
        <v>825</v>
      </c>
      <c r="H381" s="7" t="str">
        <f t="shared" si="43"/>
        <v>CLK_DETM_DETIS_CBDS</v>
      </c>
      <c r="I381" s="7" t="str">
        <f t="shared" si="44"/>
        <v>EXTRACT_DATE</v>
      </c>
      <c r="J381" s="7" t="str">
        <f t="shared" si="45"/>
        <v>DATE</v>
      </c>
      <c r="K381" s="7" t="str">
        <f>TRIM(ETLMetadata!$G381)</f>
        <v>DATE</v>
      </c>
      <c r="L381" s="7" t="str">
        <f>TRIM(ETLMetadata!$I381)</f>
        <v>YYYY-MM-DD</v>
      </c>
      <c r="M381" s="7" t="str">
        <f t="shared" si="46"/>
        <v>TO_DATE(NULLIF(TRIM(EXTRACT_DATE),'') , 'YYYY-MM-DD')</v>
      </c>
      <c r="N381" s="7" t="str">
        <f>TRIM(ETLMetadata!$J381)</f>
        <v/>
      </c>
      <c r="O381" s="8" t="str">
        <f>IF(TRIM(Classification!$G381)="","NOT CONFIDENTIAL",TRIM(Classification!$G381))</f>
        <v>NOT CONFIDENTIAL</v>
      </c>
      <c r="P381" s="7" t="str">
        <f t="shared" si="47"/>
        <v>Y</v>
      </c>
      <c r="Q381" s="7" t="s">
        <v>826</v>
      </c>
      <c r="R381" s="9">
        <v>2958465</v>
      </c>
      <c r="S381" s="7" t="s">
        <v>827</v>
      </c>
      <c r="T381" s="7" t="s">
        <v>828</v>
      </c>
      <c r="U381" s="7" t="str">
        <f t="shared" si="49"/>
        <v>CLK_DETM_DETIS_CBDS_V</v>
      </c>
      <c r="V381" s="7" t="s">
        <v>829</v>
      </c>
    </row>
    <row r="382" spans="1:22">
      <c r="A382" s="7" t="str">
        <f>TRIM(ETLMetadata!$B382)</f>
        <v>CLK</v>
      </c>
      <c r="B382" s="7" t="str">
        <f>TRIM(ETLMetadata!$C382)</f>
        <v>DETM_DETIS_CBDS</v>
      </c>
      <c r="C382" s="7" t="str">
        <f>TRIM(ETLMetadata!$F382)</f>
        <v>LOGICAL_DELETE_DATE</v>
      </c>
      <c r="D382" s="7" t="str">
        <f>TRIM(ETLMetadata!$H382)</f>
        <v>StringType()</v>
      </c>
      <c r="E382" s="7" t="str">
        <f t="shared" si="48"/>
        <v>CLK_DETM_DETIS_CBDS</v>
      </c>
      <c r="F382" s="7" t="str">
        <f t="shared" si="42"/>
        <v>LOGICAL_DELETE_DATE</v>
      </c>
      <c r="G382" s="7" t="s">
        <v>825</v>
      </c>
      <c r="H382" s="7" t="str">
        <f t="shared" si="43"/>
        <v>CLK_DETM_DETIS_CBDS</v>
      </c>
      <c r="I382" s="7" t="str">
        <f t="shared" si="44"/>
        <v>LOGICAL_DELETE_DATE</v>
      </c>
      <c r="J382" s="7" t="str">
        <f t="shared" si="45"/>
        <v>DATE</v>
      </c>
      <c r="K382" s="7" t="str">
        <f>TRIM(ETLMetadata!$G382)</f>
        <v>DATE</v>
      </c>
      <c r="L382" s="7" t="str">
        <f>TRIM(ETLMetadata!$I382)</f>
        <v>YYYY-MM-DD</v>
      </c>
      <c r="M382" s="7" t="str">
        <f t="shared" si="46"/>
        <v>TO_DATE(NULLIF(TRIM(LOGICAL_DELETE_DATE),'') , 'YYYY-MM-DD')</v>
      </c>
      <c r="N382" s="7" t="str">
        <f>TRIM(ETLMetadata!$J382)</f>
        <v/>
      </c>
      <c r="O382" s="8" t="str">
        <f>IF(TRIM(Classification!$G382)="","NOT CONFIDENTIAL",TRIM(Classification!$G382))</f>
        <v>NOT CONFIDENTIAL</v>
      </c>
      <c r="P382" s="7" t="str">
        <f t="shared" si="47"/>
        <v>Y</v>
      </c>
      <c r="Q382" s="7" t="s">
        <v>826</v>
      </c>
      <c r="R382" s="9">
        <v>2958465</v>
      </c>
      <c r="S382" s="7" t="s">
        <v>827</v>
      </c>
      <c r="T382" s="7" t="s">
        <v>828</v>
      </c>
      <c r="U382" s="7" t="str">
        <f t="shared" si="49"/>
        <v>CLK_DETM_DETIS_CBDS_V</v>
      </c>
      <c r="V382" s="7" t="s">
        <v>829</v>
      </c>
    </row>
    <row r="383" spans="1:22">
      <c r="A383" s="7" t="str">
        <f>TRIM(ETLMetadata!$B383)</f>
        <v>CLK</v>
      </c>
      <c r="B383" s="7" t="str">
        <f>TRIM(ETLMetadata!$C383)</f>
        <v>DETM_DETIS_CBDS</v>
      </c>
      <c r="C383" s="7" t="str">
        <f>TRIM(ETLMetadata!$F383)</f>
        <v>ENVIRONMENT_ID</v>
      </c>
      <c r="D383" s="7" t="str">
        <f>TRIM(ETLMetadata!$H383)</f>
        <v>StringType()</v>
      </c>
      <c r="E383" s="7" t="str">
        <f t="shared" si="48"/>
        <v>CLK_DETM_DETIS_CBDS</v>
      </c>
      <c r="F383" s="7" t="str">
        <f t="shared" si="42"/>
        <v>ENVIRONMENT_ID</v>
      </c>
      <c r="G383" s="7" t="s">
        <v>825</v>
      </c>
      <c r="H383" s="7" t="str">
        <f t="shared" si="43"/>
        <v>CLK_DETM_DETIS_CBDS</v>
      </c>
      <c r="I383" s="7" t="str">
        <f t="shared" si="44"/>
        <v>ENVIRONMENT_ID</v>
      </c>
      <c r="J383" s="7" t="str">
        <f t="shared" si="45"/>
        <v>VARCHAR</v>
      </c>
      <c r="K383" s="7" t="str">
        <f>TRIM(ETLMetadata!$G383)</f>
        <v>CHAR(1)</v>
      </c>
      <c r="L383" s="7" t="str">
        <f>TRIM(ETLMetadata!$I383)</f>
        <v/>
      </c>
      <c r="M383" s="7" t="str">
        <f t="shared" si="46"/>
        <v>NULLIF(TRIM(ENVIRONMENT_ID),'')</v>
      </c>
      <c r="N383" s="7" t="str">
        <f>TRIM(ETLMetadata!$J383)</f>
        <v>Y</v>
      </c>
      <c r="O383" s="8" t="str">
        <f>IF(TRIM(Classification!$G383)="","NOT CONFIDENTIAL",TRIM(Classification!$G383))</f>
        <v>NOT CONFIDENTIAL</v>
      </c>
      <c r="P383" s="7" t="str">
        <f t="shared" si="47"/>
        <v>Y</v>
      </c>
      <c r="Q383" s="7" t="s">
        <v>826</v>
      </c>
      <c r="R383" s="9">
        <v>2958465</v>
      </c>
      <c r="S383" s="7" t="s">
        <v>827</v>
      </c>
      <c r="T383" s="7" t="s">
        <v>828</v>
      </c>
      <c r="U383" s="7" t="str">
        <f t="shared" si="49"/>
        <v>CLK_DETM_DETIS_CBDS_V</v>
      </c>
      <c r="V383" s="7" t="s">
        <v>829</v>
      </c>
    </row>
    <row r="384" spans="1:22">
      <c r="A384" s="7" t="str">
        <f>TRIM(ETLMetadata!$B384)</f>
        <v>CLK</v>
      </c>
      <c r="B384" s="7" t="str">
        <f>TRIM(ETLMetadata!$C384)</f>
        <v>DETM_DETIS_CBDS</v>
      </c>
      <c r="C384" s="7" t="str">
        <f>TRIM(ETLMetadata!$F384)</f>
        <v>PERSON_ID</v>
      </c>
      <c r="D384" s="7" t="str">
        <f>TRIM(ETLMetadata!$H384)</f>
        <v>StringType()</v>
      </c>
      <c r="E384" s="7" t="str">
        <f t="shared" si="48"/>
        <v>CLK_DETM_DETIS_CBDS</v>
      </c>
      <c r="F384" s="7" t="str">
        <f t="shared" si="42"/>
        <v>PERSON_ID</v>
      </c>
      <c r="G384" s="7" t="s">
        <v>825</v>
      </c>
      <c r="H384" s="7" t="str">
        <f t="shared" si="43"/>
        <v>CLK_DETM_DETIS_CBDS</v>
      </c>
      <c r="I384" s="7" t="str">
        <f t="shared" si="44"/>
        <v>PERSON_ID</v>
      </c>
      <c r="J384" s="7" t="str">
        <f t="shared" si="45"/>
        <v>INTEGER</v>
      </c>
      <c r="K384" s="7" t="str">
        <f>TRIM(ETLMetadata!$G384)</f>
        <v>INTEGER</v>
      </c>
      <c r="L384" s="7" t="str">
        <f>TRIM(ETLMetadata!$I384)</f>
        <v/>
      </c>
      <c r="M384" s="7" t="str">
        <f t="shared" si="46"/>
        <v>CAST(NULLIF(TRIM(PERSON_ID),'') AS INTEGER)</v>
      </c>
      <c r="N384" s="7" t="str">
        <f>TRIM(ETLMetadata!$J384)</f>
        <v>Y</v>
      </c>
      <c r="O384" s="8" t="str">
        <f>IF(TRIM(Classification!$G384)="","NOT CONFIDENTIAL",TRIM(Classification!$G384))</f>
        <v>PERSONAL_IDENTITYINFOINDIRECT</v>
      </c>
      <c r="P384" s="7" t="str">
        <f t="shared" si="47"/>
        <v>Y</v>
      </c>
      <c r="Q384" s="7" t="s">
        <v>826</v>
      </c>
      <c r="R384" s="9">
        <v>2958465</v>
      </c>
      <c r="S384" s="7" t="s">
        <v>827</v>
      </c>
      <c r="T384" s="7" t="s">
        <v>828</v>
      </c>
      <c r="U384" s="7" t="str">
        <f t="shared" si="49"/>
        <v>CLK_DETM_DETIS_CBDS_V</v>
      </c>
      <c r="V384" s="7" t="s">
        <v>829</v>
      </c>
    </row>
    <row r="385" spans="1:22">
      <c r="A385" s="7" t="str">
        <f>TRIM(ETLMetadata!$B385)</f>
        <v>CLK</v>
      </c>
      <c r="B385" s="7" t="str">
        <f>TRIM(ETLMetadata!$C385)</f>
        <v>DETM_DETIS_CBDS</v>
      </c>
      <c r="C385" s="7" t="str">
        <f>TRIM(ETLMetadata!$F385)</f>
        <v>PROCESSING_SEQUENCE</v>
      </c>
      <c r="D385" s="7" t="str">
        <f>TRIM(ETLMetadata!$H385)</f>
        <v>StringType()</v>
      </c>
      <c r="E385" s="7" t="str">
        <f t="shared" si="48"/>
        <v>CLK_DETM_DETIS_CBDS</v>
      </c>
      <c r="F385" s="7" t="str">
        <f t="shared" si="42"/>
        <v>PROCESSING_SEQUENCE</v>
      </c>
      <c r="G385" s="7" t="s">
        <v>825</v>
      </c>
      <c r="H385" s="7" t="str">
        <f t="shared" si="43"/>
        <v>CLK_DETM_DETIS_CBDS</v>
      </c>
      <c r="I385" s="7" t="str">
        <f t="shared" si="44"/>
        <v>PROCESSING_SEQUENCE</v>
      </c>
      <c r="J385" s="7" t="str">
        <f t="shared" si="45"/>
        <v>SMALLINT</v>
      </c>
      <c r="K385" s="7" t="str">
        <f>TRIM(ETLMetadata!$G385)</f>
        <v>SMALLINT</v>
      </c>
      <c r="L385" s="7" t="str">
        <f>TRIM(ETLMetadata!$I385)</f>
        <v/>
      </c>
      <c r="M385" s="7" t="str">
        <f t="shared" si="46"/>
        <v>CAST(NULLIF(TRIM(PROCESSING_SEQUENCE),'') AS SMALLINT)</v>
      </c>
      <c r="N385" s="7" t="str">
        <f>TRIM(ETLMetadata!$J385)</f>
        <v>Y</v>
      </c>
      <c r="O385" s="8" t="str">
        <f>IF(TRIM(Classification!$G385)="","NOT CONFIDENTIAL",TRIM(Classification!$G385))</f>
        <v>NOT CONFIDENTIAL</v>
      </c>
      <c r="P385" s="7" t="str">
        <f t="shared" si="47"/>
        <v>Y</v>
      </c>
      <c r="Q385" s="7" t="s">
        <v>826</v>
      </c>
      <c r="R385" s="9">
        <v>2958465</v>
      </c>
      <c r="S385" s="7" t="s">
        <v>827</v>
      </c>
      <c r="T385" s="7" t="s">
        <v>828</v>
      </c>
      <c r="U385" s="7" t="str">
        <f t="shared" si="49"/>
        <v>CLK_DETM_DETIS_CBDS_V</v>
      </c>
      <c r="V385" s="7" t="s">
        <v>829</v>
      </c>
    </row>
    <row r="386" spans="1:22">
      <c r="A386" s="7" t="str">
        <f>TRIM(ETLMetadata!$B386)</f>
        <v>CLK</v>
      </c>
      <c r="B386" s="7" t="str">
        <f>TRIM(ETLMetadata!$C386)</f>
        <v>DETM_DETIS_CBDS</v>
      </c>
      <c r="C386" s="7" t="str">
        <f>TRIM(ETLMetadata!$F386)</f>
        <v>CBDS_AMR_1</v>
      </c>
      <c r="D386" s="7" t="str">
        <f>TRIM(ETLMetadata!$H386)</f>
        <v>StringType()</v>
      </c>
      <c r="E386" s="7" t="str">
        <f t="shared" si="48"/>
        <v>CLK_DETM_DETIS_CBDS</v>
      </c>
      <c r="F386" s="7" t="str">
        <f t="shared" si="42"/>
        <v>CBDS_AMR_1</v>
      </c>
      <c r="G386" s="7" t="s">
        <v>825</v>
      </c>
      <c r="H386" s="7" t="str">
        <f t="shared" si="43"/>
        <v>CLK_DETM_DETIS_CBDS</v>
      </c>
      <c r="I386" s="7" t="str">
        <f t="shared" si="44"/>
        <v>CBDS_AMR_1</v>
      </c>
      <c r="J386" s="7" t="str">
        <f t="shared" si="45"/>
        <v>VARCHAR</v>
      </c>
      <c r="K386" s="7" t="str">
        <f>TRIM(ETLMetadata!$G386)</f>
        <v>CHAR(4)</v>
      </c>
      <c r="L386" s="7" t="str">
        <f>TRIM(ETLMetadata!$I386)</f>
        <v/>
      </c>
      <c r="M386" s="7" t="str">
        <f t="shared" si="46"/>
        <v>NULLIF(TRIM(CBDS_AMR_1),'')</v>
      </c>
      <c r="N386" s="7" t="str">
        <f>TRIM(ETLMetadata!$J386)</f>
        <v/>
      </c>
      <c r="O386" s="8" t="str">
        <f>IF(TRIM(Classification!$G386)="","NOT CONFIDENTIAL",TRIM(Classification!$G386))</f>
        <v>NOT CONFIDENTIAL</v>
      </c>
      <c r="P386" s="7" t="str">
        <f t="shared" si="47"/>
        <v>Y</v>
      </c>
      <c r="Q386" s="7" t="s">
        <v>826</v>
      </c>
      <c r="R386" s="9">
        <v>2958465</v>
      </c>
      <c r="S386" s="7" t="s">
        <v>827</v>
      </c>
      <c r="T386" s="7" t="s">
        <v>828</v>
      </c>
      <c r="U386" s="7" t="str">
        <f t="shared" si="49"/>
        <v>CLK_DETM_DETIS_CBDS_V</v>
      </c>
      <c r="V386" s="7" t="s">
        <v>829</v>
      </c>
    </row>
    <row r="387" spans="1:22">
      <c r="A387" s="7" t="str">
        <f>TRIM(ETLMetadata!$B387)</f>
        <v>CLK</v>
      </c>
      <c r="B387" s="7" t="str">
        <f>TRIM(ETLMetadata!$C387)</f>
        <v>DETM_DETIS_CBDS</v>
      </c>
      <c r="C387" s="7" t="str">
        <f>TRIM(ETLMetadata!$F387)</f>
        <v>CBDS_AMR_2</v>
      </c>
      <c r="D387" s="7" t="str">
        <f>TRIM(ETLMetadata!$H387)</f>
        <v>StringType()</v>
      </c>
      <c r="E387" s="7" t="str">
        <f t="shared" si="48"/>
        <v>CLK_DETM_DETIS_CBDS</v>
      </c>
      <c r="F387" s="7" t="str">
        <f t="shared" ref="F387:F450" si="50">IF($C387="Start_Date","STRT_DT",
 IF($C387="End_Date","END_DT",
 IF($C387="Record_Deleted_Flag","RCRD_DEL_IND",
 IF($C387="IsDeleted","RCRD_DEL_IND",
 $C387
))))</f>
        <v>CBDS_AMR_2</v>
      </c>
      <c r="G387" s="7" t="s">
        <v>825</v>
      </c>
      <c r="H387" s="7" t="str">
        <f t="shared" ref="H387:H450" si="51">CONCATENATE($A387,"_",$B387)</f>
        <v>CLK_DETM_DETIS_CBDS</v>
      </c>
      <c r="I387" s="7" t="str">
        <f t="shared" ref="I387:I450" si="52">IF($C387="Start_Date","STRT_DT",
 IF($C387="End_Date","END_DT",
 IF($C387="Record_Deleted_Flag","RCRD_DEL_IND",
 IF($C387="IsDeleted","RCRD_DEL_IND",
 $C387
))))</f>
        <v>CBDS_AMR_2</v>
      </c>
      <c r="J387" s="7" t="str">
        <f t="shared" ref="J387:J450" si="53">IF(LEFT(TRIM($K387),7)="VARCHAR","VARCHAR",
 IF(LEFT(TRIM($K387),4)="CHAR","VARCHAR",
 IF(TRIM($K387)="TIMESTAMP(6)","TIMESTAMP",
 IF(TRIM($K387)="DATE","DATE",
 IF(TRIM($K387)="BYTEINT","SMALLINT",
 IF(TRIM($K387)="SMALLINT","SMALLINT",
 IF(TRIM($K387)="INTEGER","INTEGER",
 IF(TRIM($K387)="BIGINT","INTEGER",
 IF(LEFT(TRIM($K387),7)="DECIMAL",TRIM($K387),
 IF(TRIM($K387)="BOOLEAN","BOOLEAN",
 IF(TRIM($K387)="DOUBLE","DOUBLE",
 IF(TRIM($K387)="FLOAT","FLOAT",
 IF(TRIM($K387)="REAL","REAL",
 IF(LEFT(TRIM($K387),6)="STRUCT","VARIANT",
 IF(LEFT(TRIM($K387),5)="ARRAY","VARIANT",
 IF(LEFT(TRIM($K387),3)="MAP","VARIANT",
 IF(LEFT(TRIM($K387),3)="ROW","VARIANT",
 "NONE"
)))))))))))))))))</f>
        <v>VARCHAR</v>
      </c>
      <c r="K387" s="7" t="str">
        <f>TRIM(ETLMetadata!$G387)</f>
        <v>CHAR(1)</v>
      </c>
      <c r="L387" s="7" t="str">
        <f>TRIM(ETLMetadata!$I387)</f>
        <v/>
      </c>
      <c r="M387" s="7" t="str">
        <f t="shared" ref="M387:M450" si="54">IF(LEFT($K387,7)="VARCHAR","NULLIF(TRIM("&amp;$I387&amp;"),'')",
 IF(LEFT($K387,4)="CHAR","NULLIF(TRIM("&amp;$I387&amp;"),'')",
 IF(LEFT($K387,7)="DECIMAL","CAST(NULLIF(TRIM("&amp;$I387&amp;"),'') AS "&amp;$K387&amp;")",
 IF($K387="TIMESTAMP(6)","TO_TIMESTAMP_NTZ(NULLIF(TRIM("&amp;$I387&amp;"),''),'YYYY-MM-DD HH24:MI:SS.FF6')",
 IF($K387="DATE","TO_DATE(NULLIF(TRIM("&amp;$I387&amp;"),'') , 'YYYY-MM-DD')",
 IF($K387="BIGINT","CAST(NULLIF(TRIM("&amp;I387&amp;"),'') AS INTEGER)",
 IF($K387="BYTEINT","CAST(NULLIF(TRIM("&amp;I387&amp;"),'') AS SMALLINT)",
 IF($K387="SMALLINT","CAST(NULLIF(TRIM("&amp;I387&amp;"),'') AS SMALLINT)",
 IF($K387="INTEGER","CAST(NULLIF(TRIM("&amp;I387&amp;"),'') AS INTEGER)",
 IF($K387="BOOLEAN","CAST(NULLIF(TRIM("&amp;I387&amp;"),'') AS BOOLEAN)",
 IF($K387="DOUBLE","CAST(NULLIF(TRIM("&amp;I387&amp;"),'') AS DOUBLE)",
 IF($K387="FLOAT","CAST(NULLIF(TRIM("&amp;I387&amp;"),'') AS FLOAT)",
 IF($K387="REAL","CAST(NULLIF(TRIM("&amp;I387&amp;"),'') AS REAL)",
 IF(OR($K387="STRUCT",$K387="ARRAY",$K387="MAP",$K387="ROW"),"CAST(NULLIF(TRIM("&amp;I387&amp;"),'') AS VARIANT)",
 "NONE"
))))))))))))))</f>
        <v>NULLIF(TRIM(CBDS_AMR_2),'')</v>
      </c>
      <c r="N387" s="7" t="str">
        <f>TRIM(ETLMetadata!$J387)</f>
        <v/>
      </c>
      <c r="O387" s="8" t="str">
        <f>IF(TRIM(Classification!$G387)="","NOT CONFIDENTIAL",TRIM(Classification!$G387))</f>
        <v>NOT CONFIDENTIAL</v>
      </c>
      <c r="P387" s="7" t="str">
        <f t="shared" ref="P387:P450" si="55">IF($C387="Start_Date","N",
 IF($C387="End_Date","N",
 IF($C387="Record_Deleted_Flag","N",
 IF($C387="IsDeleted","N",
 "Y"
))))</f>
        <v>Y</v>
      </c>
      <c r="Q387" s="7" t="s">
        <v>826</v>
      </c>
      <c r="R387" s="9">
        <v>2958465</v>
      </c>
      <c r="S387" s="7" t="s">
        <v>827</v>
      </c>
      <c r="T387" s="7" t="s">
        <v>828</v>
      </c>
      <c r="U387" s="7" t="str">
        <f t="shared" si="49"/>
        <v>CLK_DETM_DETIS_CBDS_V</v>
      </c>
      <c r="V387" s="7" t="s">
        <v>829</v>
      </c>
    </row>
    <row r="388" spans="1:22">
      <c r="A388" s="7" t="str">
        <f>TRIM(ETLMetadata!$B388)</f>
        <v>CLK</v>
      </c>
      <c r="B388" s="7" t="str">
        <f>TRIM(ETLMetadata!$C388)</f>
        <v>DETM_DETIS_CBDS</v>
      </c>
      <c r="C388" s="7" t="str">
        <f>TRIM(ETLMetadata!$F388)</f>
        <v>CBDS_AMR_3</v>
      </c>
      <c r="D388" s="7" t="str">
        <f>TRIM(ETLMetadata!$H388)</f>
        <v>StringType()</v>
      </c>
      <c r="E388" s="7" t="str">
        <f t="shared" si="48"/>
        <v>CLK_DETM_DETIS_CBDS</v>
      </c>
      <c r="F388" s="7" t="str">
        <f t="shared" si="50"/>
        <v>CBDS_AMR_3</v>
      </c>
      <c r="G388" s="7" t="s">
        <v>825</v>
      </c>
      <c r="H388" s="7" t="str">
        <f t="shared" si="51"/>
        <v>CLK_DETM_DETIS_CBDS</v>
      </c>
      <c r="I388" s="7" t="str">
        <f t="shared" si="52"/>
        <v>CBDS_AMR_3</v>
      </c>
      <c r="J388" s="7" t="str">
        <f t="shared" si="53"/>
        <v>VARCHAR</v>
      </c>
      <c r="K388" s="7" t="str">
        <f>TRIM(ETLMetadata!$G388)</f>
        <v>CHAR(4)</v>
      </c>
      <c r="L388" s="7" t="str">
        <f>TRIM(ETLMetadata!$I388)</f>
        <v/>
      </c>
      <c r="M388" s="7" t="str">
        <f t="shared" si="54"/>
        <v>NULLIF(TRIM(CBDS_AMR_3),'')</v>
      </c>
      <c r="N388" s="7" t="str">
        <f>TRIM(ETLMetadata!$J388)</f>
        <v/>
      </c>
      <c r="O388" s="8" t="str">
        <f>IF(TRIM(Classification!$G388)="","NOT CONFIDENTIAL",TRIM(Classification!$G388))</f>
        <v>NOT CONFIDENTIAL</v>
      </c>
      <c r="P388" s="7" t="str">
        <f t="shared" si="55"/>
        <v>Y</v>
      </c>
      <c r="Q388" s="7" t="s">
        <v>826</v>
      </c>
      <c r="R388" s="9">
        <v>2958465</v>
      </c>
      <c r="S388" s="7" t="s">
        <v>827</v>
      </c>
      <c r="T388" s="7" t="s">
        <v>828</v>
      </c>
      <c r="U388" s="7" t="str">
        <f t="shared" si="49"/>
        <v>CLK_DETM_DETIS_CBDS_V</v>
      </c>
      <c r="V388" s="7" t="s">
        <v>829</v>
      </c>
    </row>
    <row r="389" spans="1:22">
      <c r="A389" s="7" t="str">
        <f>TRIM(ETLMetadata!$B389)</f>
        <v>CLK</v>
      </c>
      <c r="B389" s="7" t="str">
        <f>TRIM(ETLMetadata!$C389)</f>
        <v>DETM_DETIS_CBDS</v>
      </c>
      <c r="C389" s="7" t="str">
        <f>TRIM(ETLMetadata!$F389)</f>
        <v>CBDS_BEN_TYPE_CODE</v>
      </c>
      <c r="D389" s="7" t="str">
        <f>TRIM(ETLMetadata!$H389)</f>
        <v>StringType()</v>
      </c>
      <c r="E389" s="7" t="str">
        <f t="shared" si="48"/>
        <v>CLK_DETM_DETIS_CBDS</v>
      </c>
      <c r="F389" s="7" t="str">
        <f t="shared" si="50"/>
        <v>CBDS_BEN_TYPE_CODE</v>
      </c>
      <c r="G389" s="7" t="s">
        <v>825</v>
      </c>
      <c r="H389" s="7" t="str">
        <f t="shared" si="51"/>
        <v>CLK_DETM_DETIS_CBDS</v>
      </c>
      <c r="I389" s="7" t="str">
        <f t="shared" si="52"/>
        <v>CBDS_BEN_TYPE_CODE</v>
      </c>
      <c r="J389" s="7" t="str">
        <f t="shared" si="53"/>
        <v>VARCHAR</v>
      </c>
      <c r="K389" s="7" t="str">
        <f>TRIM(ETLMetadata!$G389)</f>
        <v>CHAR(3)</v>
      </c>
      <c r="L389" s="7" t="str">
        <f>TRIM(ETLMetadata!$I389)</f>
        <v/>
      </c>
      <c r="M389" s="7" t="str">
        <f t="shared" si="54"/>
        <v>NULLIF(TRIM(CBDS_BEN_TYPE_CODE),'')</v>
      </c>
      <c r="N389" s="7" t="str">
        <f>TRIM(ETLMetadata!$J389)</f>
        <v/>
      </c>
      <c r="O389" s="8" t="str">
        <f>IF(TRIM(Classification!$G389)="","NOT CONFIDENTIAL",TRIM(Classification!$G389))</f>
        <v>NOT CONFIDENTIAL</v>
      </c>
      <c r="P389" s="7" t="str">
        <f t="shared" si="55"/>
        <v>Y</v>
      </c>
      <c r="Q389" s="7" t="s">
        <v>826</v>
      </c>
      <c r="R389" s="9">
        <v>2958465</v>
      </c>
      <c r="S389" s="7" t="s">
        <v>827</v>
      </c>
      <c r="T389" s="7" t="s">
        <v>828</v>
      </c>
      <c r="U389" s="7" t="str">
        <f t="shared" si="49"/>
        <v>CLK_DETM_DETIS_CBDS_V</v>
      </c>
      <c r="V389" s="7" t="s">
        <v>829</v>
      </c>
    </row>
    <row r="390" spans="1:22">
      <c r="A390" s="7" t="str">
        <f>TRIM(ETLMetadata!$B390)</f>
        <v>CLK</v>
      </c>
      <c r="B390" s="7" t="str">
        <f>TRIM(ETLMetadata!$C390)</f>
        <v>DETM_DETIS_CBDS</v>
      </c>
      <c r="C390" s="7" t="str">
        <f>TRIM(ETLMetadata!$F390)</f>
        <v>CBDS_DOE</v>
      </c>
      <c r="D390" s="7" t="str">
        <f>TRIM(ETLMetadata!$H390)</f>
        <v>StringType()</v>
      </c>
      <c r="E390" s="7" t="str">
        <f t="shared" si="48"/>
        <v>CLK_DETM_DETIS_CBDS</v>
      </c>
      <c r="F390" s="7" t="str">
        <f t="shared" si="50"/>
        <v>CBDS_DOE</v>
      </c>
      <c r="G390" s="7" t="s">
        <v>825</v>
      </c>
      <c r="H390" s="7" t="str">
        <f t="shared" si="51"/>
        <v>CLK_DETM_DETIS_CBDS</v>
      </c>
      <c r="I390" s="7" t="str">
        <f t="shared" si="52"/>
        <v>CBDS_DOE</v>
      </c>
      <c r="J390" s="7" t="str">
        <f t="shared" si="53"/>
        <v>DATE</v>
      </c>
      <c r="K390" s="17" t="s">
        <v>80</v>
      </c>
      <c r="L390" s="7" t="str">
        <f>TRIM(ETLMetadata!$I390)</f>
        <v>YYYY-MM-DD</v>
      </c>
      <c r="M390" s="7" t="str">
        <f t="shared" si="54"/>
        <v>TO_DATE(NULLIF(TRIM(CBDS_DOE),'') , 'YYYY-MM-DD')</v>
      </c>
      <c r="N390" s="7" t="str">
        <f>TRIM(ETLMetadata!$J390)</f>
        <v/>
      </c>
      <c r="O390" s="8" t="str">
        <f>IF(TRIM(Classification!$G390)="","NOT CONFIDENTIAL",TRIM(Classification!$G390))</f>
        <v>NOT CONFIDENTIAL</v>
      </c>
      <c r="P390" s="7" t="str">
        <f t="shared" si="55"/>
        <v>Y</v>
      </c>
      <c r="Q390" s="7" t="s">
        <v>826</v>
      </c>
      <c r="R390" s="9">
        <v>2958465</v>
      </c>
      <c r="S390" s="7" t="s">
        <v>827</v>
      </c>
      <c r="T390" s="7" t="s">
        <v>828</v>
      </c>
      <c r="U390" s="7" t="str">
        <f t="shared" si="49"/>
        <v>CLK_DETM_DETIS_CBDS_V</v>
      </c>
      <c r="V390" s="7" t="s">
        <v>829</v>
      </c>
    </row>
    <row r="391" spans="1:22">
      <c r="A391" s="7" t="str">
        <f>TRIM(ETLMetadata!$B391)</f>
        <v>CLK</v>
      </c>
      <c r="B391" s="7" t="str">
        <f>TRIM(ETLMetadata!$C391)</f>
        <v>DETM_DETIS_CBDS</v>
      </c>
      <c r="C391" s="7" t="str">
        <f>TRIM(ETLMetadata!$F391)</f>
        <v>CBDS_DOE_ORIG</v>
      </c>
      <c r="D391" s="7" t="str">
        <f>TRIM(ETLMetadata!$H391)</f>
        <v>StringType()</v>
      </c>
      <c r="E391" s="7" t="str">
        <f t="shared" si="48"/>
        <v>CLK_DETM_DETIS_CBDS</v>
      </c>
      <c r="F391" s="7" t="str">
        <f t="shared" si="50"/>
        <v>CBDS_DOE_ORIG</v>
      </c>
      <c r="G391" s="7" t="s">
        <v>825</v>
      </c>
      <c r="H391" s="7" t="str">
        <f t="shared" si="51"/>
        <v>CLK_DETM_DETIS_CBDS</v>
      </c>
      <c r="I391" s="7" t="str">
        <f t="shared" si="52"/>
        <v>CBDS_DOE_ORIG</v>
      </c>
      <c r="J391" s="7" t="str">
        <f t="shared" si="53"/>
        <v>INTEGER</v>
      </c>
      <c r="K391" s="17" t="s">
        <v>90</v>
      </c>
      <c r="L391" s="7" t="str">
        <f>TRIM(ETLMetadata!$I391)</f>
        <v/>
      </c>
      <c r="M391" s="7" t="str">
        <f t="shared" si="54"/>
        <v>CAST(NULLIF(TRIM(CBDS_DOE_ORIG),'') AS INTEGER)</v>
      </c>
      <c r="N391" s="7" t="str">
        <f>TRIM(ETLMetadata!$J391)</f>
        <v/>
      </c>
      <c r="O391" s="8" t="str">
        <f>IF(TRIM(Classification!$G391)="","NOT CONFIDENTIAL",TRIM(Classification!$G391))</f>
        <v>NOT CONFIDENTIAL</v>
      </c>
      <c r="P391" s="7" t="str">
        <f t="shared" si="55"/>
        <v>Y</v>
      </c>
      <c r="Q391" s="7" t="s">
        <v>826</v>
      </c>
      <c r="R391" s="9">
        <v>2958465</v>
      </c>
      <c r="S391" s="7" t="s">
        <v>827</v>
      </c>
      <c r="T391" s="7" t="s">
        <v>828</v>
      </c>
      <c r="U391" s="7" t="str">
        <f t="shared" si="49"/>
        <v>CLK_DETM_DETIS_CBDS_V</v>
      </c>
      <c r="V391" s="7" t="s">
        <v>829</v>
      </c>
    </row>
    <row r="392" spans="1:22">
      <c r="A392" s="7" t="str">
        <f>TRIM(ETLMetadata!$B392)</f>
        <v>CLK</v>
      </c>
      <c r="B392" s="7" t="str">
        <f>TRIM(ETLMetadata!$C392)</f>
        <v>DETM_DETIS_CBDS</v>
      </c>
      <c r="C392" s="7" t="str">
        <f>TRIM(ETLMetadata!$F392)</f>
        <v>CBDS_RSN_CODE</v>
      </c>
      <c r="D392" s="7" t="str">
        <f>TRIM(ETLMetadata!$H392)</f>
        <v>StringType()</v>
      </c>
      <c r="E392" s="7" t="str">
        <f t="shared" si="48"/>
        <v>CLK_DETM_DETIS_CBDS</v>
      </c>
      <c r="F392" s="7" t="str">
        <f t="shared" si="50"/>
        <v>CBDS_RSN_CODE</v>
      </c>
      <c r="G392" s="7" t="s">
        <v>825</v>
      </c>
      <c r="H392" s="7" t="str">
        <f t="shared" si="51"/>
        <v>CLK_DETM_DETIS_CBDS</v>
      </c>
      <c r="I392" s="7" t="str">
        <f t="shared" si="52"/>
        <v>CBDS_RSN_CODE</v>
      </c>
      <c r="J392" s="7" t="str">
        <f t="shared" si="53"/>
        <v>VARCHAR</v>
      </c>
      <c r="K392" s="7" t="str">
        <f>TRIM(ETLMetadata!$G392)</f>
        <v>CHAR(3)</v>
      </c>
      <c r="L392" s="7" t="str">
        <f>TRIM(ETLMetadata!$I392)</f>
        <v/>
      </c>
      <c r="M392" s="7" t="str">
        <f t="shared" si="54"/>
        <v>NULLIF(TRIM(CBDS_RSN_CODE),'')</v>
      </c>
      <c r="N392" s="7" t="str">
        <f>TRIM(ETLMetadata!$J392)</f>
        <v/>
      </c>
      <c r="O392" s="8" t="str">
        <f>IF(TRIM(Classification!$G392)="","NOT CONFIDENTIAL",TRIM(Classification!$G392))</f>
        <v>NOT CONFIDENTIAL</v>
      </c>
      <c r="P392" s="7" t="str">
        <f t="shared" si="55"/>
        <v>Y</v>
      </c>
      <c r="Q392" s="7" t="s">
        <v>826</v>
      </c>
      <c r="R392" s="9">
        <v>2958465</v>
      </c>
      <c r="S392" s="7" t="s">
        <v>827</v>
      </c>
      <c r="T392" s="7" t="s">
        <v>828</v>
      </c>
      <c r="U392" s="7" t="str">
        <f t="shared" si="49"/>
        <v>CLK_DETM_DETIS_CBDS_V</v>
      </c>
      <c r="V392" s="7" t="s">
        <v>829</v>
      </c>
    </row>
    <row r="393" spans="1:22">
      <c r="A393" s="7" t="str">
        <f>TRIM(ETLMetadata!$B393)</f>
        <v>CLK</v>
      </c>
      <c r="B393" s="7" t="str">
        <f>TRIM(ETLMetadata!$C393)</f>
        <v>DETM_DETIS_CBDS</v>
      </c>
      <c r="C393" s="7" t="str">
        <f>TRIM(ETLMetadata!$F393)</f>
        <v>CBDS_STS_CODE</v>
      </c>
      <c r="D393" s="7" t="str">
        <f>TRIM(ETLMetadata!$H393)</f>
        <v>StringType()</v>
      </c>
      <c r="E393" s="7" t="str">
        <f t="shared" si="48"/>
        <v>CLK_DETM_DETIS_CBDS</v>
      </c>
      <c r="F393" s="7" t="str">
        <f t="shared" si="50"/>
        <v>CBDS_STS_CODE</v>
      </c>
      <c r="G393" s="7" t="s">
        <v>825</v>
      </c>
      <c r="H393" s="7" t="str">
        <f t="shared" si="51"/>
        <v>CLK_DETM_DETIS_CBDS</v>
      </c>
      <c r="I393" s="7" t="str">
        <f t="shared" si="52"/>
        <v>CBDS_STS_CODE</v>
      </c>
      <c r="J393" s="7" t="str">
        <f t="shared" si="53"/>
        <v>VARCHAR</v>
      </c>
      <c r="K393" s="7" t="str">
        <f>TRIM(ETLMetadata!$G393)</f>
        <v>CHAR(3)</v>
      </c>
      <c r="L393" s="7" t="str">
        <f>TRIM(ETLMetadata!$I393)</f>
        <v/>
      </c>
      <c r="M393" s="7" t="str">
        <f t="shared" si="54"/>
        <v>NULLIF(TRIM(CBDS_STS_CODE),'')</v>
      </c>
      <c r="N393" s="7" t="str">
        <f>TRIM(ETLMetadata!$J393)</f>
        <v/>
      </c>
      <c r="O393" s="8" t="str">
        <f>IF(TRIM(Classification!$G393)="","NOT CONFIDENTIAL",TRIM(Classification!$G393))</f>
        <v>NOT CONFIDENTIAL</v>
      </c>
      <c r="P393" s="7" t="str">
        <f t="shared" si="55"/>
        <v>Y</v>
      </c>
      <c r="Q393" s="7" t="s">
        <v>826</v>
      </c>
      <c r="R393" s="9">
        <v>2958465</v>
      </c>
      <c r="S393" s="7" t="s">
        <v>827</v>
      </c>
      <c r="T393" s="7" t="s">
        <v>828</v>
      </c>
      <c r="U393" s="7" t="str">
        <f t="shared" si="49"/>
        <v>CLK_DETM_DETIS_CBDS_V</v>
      </c>
      <c r="V393" s="7" t="s">
        <v>829</v>
      </c>
    </row>
    <row r="394" spans="1:22">
      <c r="A394" s="7" t="str">
        <f>TRIM(ETLMetadata!$B394)</f>
        <v>CLK</v>
      </c>
      <c r="B394" s="7" t="str">
        <f>TRIM(ETLMetadata!$C394)</f>
        <v>DETM_DETIS_CBDS</v>
      </c>
      <c r="C394" s="7" t="str">
        <f>TRIM(ETLMetadata!$F394)</f>
        <v>ERROR_COUNT</v>
      </c>
      <c r="D394" s="7" t="str">
        <f>TRIM(ETLMetadata!$H394)</f>
        <v>StringType()</v>
      </c>
      <c r="E394" s="7" t="str">
        <f t="shared" si="48"/>
        <v>CLK_DETM_DETIS_CBDS</v>
      </c>
      <c r="F394" s="7" t="str">
        <f t="shared" si="50"/>
        <v>ERROR_COUNT</v>
      </c>
      <c r="G394" s="7" t="s">
        <v>825</v>
      </c>
      <c r="H394" s="7" t="str">
        <f t="shared" si="51"/>
        <v>CLK_DETM_DETIS_CBDS</v>
      </c>
      <c r="I394" s="7" t="str">
        <f t="shared" si="52"/>
        <v>ERROR_COUNT</v>
      </c>
      <c r="J394" s="7" t="str">
        <f t="shared" si="53"/>
        <v>SMALLINT</v>
      </c>
      <c r="K394" s="7" t="str">
        <f>TRIM(ETLMetadata!$G394)</f>
        <v>SMALLINT</v>
      </c>
      <c r="L394" s="7" t="str">
        <f>TRIM(ETLMetadata!$I394)</f>
        <v/>
      </c>
      <c r="M394" s="7" t="str">
        <f t="shared" si="54"/>
        <v>CAST(NULLIF(TRIM(ERROR_COUNT),'') AS SMALLINT)</v>
      </c>
      <c r="N394" s="7" t="str">
        <f>TRIM(ETLMetadata!$J394)</f>
        <v/>
      </c>
      <c r="O394" s="8" t="str">
        <f>IF(TRIM(Classification!$G394)="","NOT CONFIDENTIAL",TRIM(Classification!$G394))</f>
        <v>NOT CONFIDENTIAL</v>
      </c>
      <c r="P394" s="7" t="str">
        <f t="shared" si="55"/>
        <v>Y</v>
      </c>
      <c r="Q394" s="7" t="s">
        <v>826</v>
      </c>
      <c r="R394" s="9">
        <v>2958465</v>
      </c>
      <c r="S394" s="7" t="s">
        <v>827</v>
      </c>
      <c r="T394" s="7" t="s">
        <v>828</v>
      </c>
      <c r="U394" s="7" t="str">
        <f t="shared" si="49"/>
        <v>CLK_DETM_DETIS_CBDS_V</v>
      </c>
      <c r="V394" s="7" t="s">
        <v>829</v>
      </c>
    </row>
    <row r="395" spans="1:22">
      <c r="A395" s="7" t="str">
        <f>TRIM(ETLMetadata!$B395)</f>
        <v>CLK</v>
      </c>
      <c r="B395" s="7" t="str">
        <f>TRIM(ETLMetadata!$C395)</f>
        <v>DETM_DETIS_CBDS</v>
      </c>
      <c r="C395" s="7" t="str">
        <f>TRIM(ETLMetadata!$F395)</f>
        <v>AMR1_RISL_DTS</v>
      </c>
      <c r="D395" s="7" t="str">
        <f>TRIM(ETLMetadata!$H395)</f>
        <v>StringType()</v>
      </c>
      <c r="E395" s="7" t="str">
        <f t="shared" si="48"/>
        <v>CLK_DETM_DETIS_CBDS</v>
      </c>
      <c r="F395" s="7" t="str">
        <f t="shared" si="50"/>
        <v>AMR1_RISL_DTS</v>
      </c>
      <c r="G395" s="7" t="s">
        <v>825</v>
      </c>
      <c r="H395" s="7" t="str">
        <f t="shared" si="51"/>
        <v>CLK_DETM_DETIS_CBDS</v>
      </c>
      <c r="I395" s="7" t="str">
        <f t="shared" si="52"/>
        <v>AMR1_RISL_DTS</v>
      </c>
      <c r="J395" s="7" t="str">
        <f t="shared" si="53"/>
        <v>TIMESTAMP</v>
      </c>
      <c r="K395" s="7" t="str">
        <f>TRIM(ETLMetadata!$G395)</f>
        <v>TIMESTAMP(6)</v>
      </c>
      <c r="L395" s="7" t="str">
        <f>TRIM(ETLMetadata!$I395)</f>
        <v>YYYY-MM-DDBHH:MI:SS.S(6)</v>
      </c>
      <c r="M395" s="7" t="str">
        <f t="shared" si="54"/>
        <v>TO_TIMESTAMP_NTZ(NULLIF(TRIM(AMR1_RISL_DTS),''),'YYYY-MM-DD HH24:MI:SS.FF6')</v>
      </c>
      <c r="N395" s="7" t="str">
        <f>TRIM(ETLMetadata!$J395)</f>
        <v/>
      </c>
      <c r="O395" s="8" t="str">
        <f>IF(TRIM(Classification!$G395)="","NOT CONFIDENTIAL",TRIM(Classification!$G395))</f>
        <v>NOT CONFIDENTIAL</v>
      </c>
      <c r="P395" s="7" t="str">
        <f t="shared" si="55"/>
        <v>Y</v>
      </c>
      <c r="Q395" s="7" t="s">
        <v>826</v>
      </c>
      <c r="R395" s="9">
        <v>2958465</v>
      </c>
      <c r="S395" s="7" t="s">
        <v>827</v>
      </c>
      <c r="T395" s="7" t="s">
        <v>828</v>
      </c>
      <c r="U395" s="7" t="str">
        <f t="shared" si="49"/>
        <v>CLK_DETM_DETIS_CBDS_V</v>
      </c>
      <c r="V395" s="7" t="s">
        <v>829</v>
      </c>
    </row>
    <row r="396" spans="1:22">
      <c r="A396" s="7" t="str">
        <f>TRIM(ETLMetadata!$B396)</f>
        <v>CLK</v>
      </c>
      <c r="B396" s="7" t="str">
        <f>TRIM(ETLMetadata!$C396)</f>
        <v>DETM_DETIS_CBDS</v>
      </c>
      <c r="C396" s="7" t="str">
        <f>TRIM(ETLMetadata!$F396)</f>
        <v>AMR3_RISL_DTS</v>
      </c>
      <c r="D396" s="7" t="str">
        <f>TRIM(ETLMetadata!$H396)</f>
        <v>StringType()</v>
      </c>
      <c r="E396" s="7" t="str">
        <f t="shared" si="48"/>
        <v>CLK_DETM_DETIS_CBDS</v>
      </c>
      <c r="F396" s="7" t="str">
        <f t="shared" si="50"/>
        <v>AMR3_RISL_DTS</v>
      </c>
      <c r="G396" s="7" t="s">
        <v>825</v>
      </c>
      <c r="H396" s="7" t="str">
        <f t="shared" si="51"/>
        <v>CLK_DETM_DETIS_CBDS</v>
      </c>
      <c r="I396" s="7" t="str">
        <f t="shared" si="52"/>
        <v>AMR3_RISL_DTS</v>
      </c>
      <c r="J396" s="7" t="str">
        <f t="shared" si="53"/>
        <v>TIMESTAMP</v>
      </c>
      <c r="K396" s="7" t="str">
        <f>TRIM(ETLMetadata!$G396)</f>
        <v>TIMESTAMP(6)</v>
      </c>
      <c r="L396" s="7" t="str">
        <f>TRIM(ETLMetadata!$I396)</f>
        <v>YYYY-MM-DDBHH:MI:SS.S(6)</v>
      </c>
      <c r="M396" s="7" t="str">
        <f t="shared" si="54"/>
        <v>TO_TIMESTAMP_NTZ(NULLIF(TRIM(AMR3_RISL_DTS),''),'YYYY-MM-DD HH24:MI:SS.FF6')</v>
      </c>
      <c r="N396" s="7" t="str">
        <f>TRIM(ETLMetadata!$J396)</f>
        <v/>
      </c>
      <c r="O396" s="8" t="str">
        <f>IF(TRIM(Classification!$G396)="","NOT CONFIDENTIAL",TRIM(Classification!$G396))</f>
        <v>NOT CONFIDENTIAL</v>
      </c>
      <c r="P396" s="7" t="str">
        <f t="shared" si="55"/>
        <v>Y</v>
      </c>
      <c r="Q396" s="7" t="s">
        <v>826</v>
      </c>
      <c r="R396" s="9">
        <v>2958465</v>
      </c>
      <c r="S396" s="7" t="s">
        <v>827</v>
      </c>
      <c r="T396" s="7" t="s">
        <v>828</v>
      </c>
      <c r="U396" s="7" t="str">
        <f t="shared" si="49"/>
        <v>CLK_DETM_DETIS_CBDS_V</v>
      </c>
      <c r="V396" s="7" t="s">
        <v>829</v>
      </c>
    </row>
    <row r="397" spans="1:22">
      <c r="A397" s="7" t="str">
        <f>TRIM(ETLMetadata!$B397)</f>
        <v>CLK</v>
      </c>
      <c r="B397" s="7" t="str">
        <f>TRIM(ETLMetadata!$C397)</f>
        <v>DETM_DETIS_CBDS</v>
      </c>
      <c r="C397" s="7" t="str">
        <f>TRIM(ETLMetadata!$F397)</f>
        <v>PARTY_ROLE_ID</v>
      </c>
      <c r="D397" s="7" t="str">
        <f>TRIM(ETLMetadata!$H397)</f>
        <v>StringType()</v>
      </c>
      <c r="E397" s="7" t="str">
        <f t="shared" si="48"/>
        <v>CLK_DETM_DETIS_CBDS</v>
      </c>
      <c r="F397" s="7" t="str">
        <f t="shared" si="50"/>
        <v>PARTY_ROLE_ID</v>
      </c>
      <c r="G397" s="7" t="s">
        <v>825</v>
      </c>
      <c r="H397" s="7" t="str">
        <f t="shared" si="51"/>
        <v>CLK_DETM_DETIS_CBDS</v>
      </c>
      <c r="I397" s="7" t="str">
        <f t="shared" si="52"/>
        <v>PARTY_ROLE_ID</v>
      </c>
      <c r="J397" s="7" t="str">
        <f t="shared" si="53"/>
        <v>INTEGER</v>
      </c>
      <c r="K397" s="7" t="str">
        <f>TRIM(ETLMetadata!$G397)</f>
        <v>INTEGER</v>
      </c>
      <c r="L397" s="7" t="str">
        <f>TRIM(ETLMetadata!$I397)</f>
        <v/>
      </c>
      <c r="M397" s="7" t="str">
        <f t="shared" si="54"/>
        <v>CAST(NULLIF(TRIM(PARTY_ROLE_ID),'') AS INTEGER)</v>
      </c>
      <c r="N397" s="7" t="str">
        <f>TRIM(ETLMetadata!$J397)</f>
        <v/>
      </c>
      <c r="O397" s="8" t="str">
        <f>IF(TRIM(Classification!$G397)="","NOT CONFIDENTIAL",TRIM(Classification!$G397))</f>
        <v>NOT CONFIDENTIAL</v>
      </c>
      <c r="P397" s="7" t="str">
        <f t="shared" si="55"/>
        <v>Y</v>
      </c>
      <c r="Q397" s="7" t="s">
        <v>826</v>
      </c>
      <c r="R397" s="9">
        <v>2958465</v>
      </c>
      <c r="S397" s="7" t="s">
        <v>827</v>
      </c>
      <c r="T397" s="7" t="s">
        <v>828</v>
      </c>
      <c r="U397" s="7" t="str">
        <f t="shared" si="49"/>
        <v>CLK_DETM_DETIS_CBDS_V</v>
      </c>
      <c r="V397" s="7" t="s">
        <v>829</v>
      </c>
    </row>
    <row r="398" spans="1:22">
      <c r="A398" s="7" t="str">
        <f>TRIM(ETLMetadata!$B398)</f>
        <v>CLK</v>
      </c>
      <c r="B398" s="7" t="str">
        <f>TRIM(ETLMetadata!$C398)</f>
        <v>DETM_DETIS_CBDS</v>
      </c>
      <c r="C398" s="7" t="str">
        <f>TRIM(ETLMetadata!$F398)</f>
        <v>EPISODE_ID</v>
      </c>
      <c r="D398" s="7" t="str">
        <f>TRIM(ETLMetadata!$H398)</f>
        <v>StringType()</v>
      </c>
      <c r="E398" s="7" t="str">
        <f t="shared" si="48"/>
        <v>CLK_DETM_DETIS_CBDS</v>
      </c>
      <c r="F398" s="7" t="str">
        <f t="shared" si="50"/>
        <v>EPISODE_ID</v>
      </c>
      <c r="G398" s="7" t="s">
        <v>825</v>
      </c>
      <c r="H398" s="7" t="str">
        <f t="shared" si="51"/>
        <v>CLK_DETM_DETIS_CBDS</v>
      </c>
      <c r="I398" s="7" t="str">
        <f t="shared" si="52"/>
        <v>EPISODE_ID</v>
      </c>
      <c r="J398" s="7" t="str">
        <f t="shared" si="53"/>
        <v>INTEGER</v>
      </c>
      <c r="K398" s="7" t="str">
        <f>TRIM(ETLMetadata!$G398)</f>
        <v>INTEGER</v>
      </c>
      <c r="L398" s="7" t="str">
        <f>TRIM(ETLMetadata!$I398)</f>
        <v/>
      </c>
      <c r="M398" s="7" t="str">
        <f t="shared" si="54"/>
        <v>CAST(NULLIF(TRIM(EPISODE_ID),'') AS INTEGER)</v>
      </c>
      <c r="N398" s="7" t="str">
        <f>TRIM(ETLMetadata!$J398)</f>
        <v/>
      </c>
      <c r="O398" s="8" t="str">
        <f>IF(TRIM(Classification!$G398)="","NOT CONFIDENTIAL",TRIM(Classification!$G398))</f>
        <v>NOT CONFIDENTIAL</v>
      </c>
      <c r="P398" s="7" t="str">
        <f t="shared" si="55"/>
        <v>Y</v>
      </c>
      <c r="Q398" s="7" t="s">
        <v>826</v>
      </c>
      <c r="R398" s="9">
        <v>2958465</v>
      </c>
      <c r="S398" s="7" t="s">
        <v>827</v>
      </c>
      <c r="T398" s="7" t="s">
        <v>828</v>
      </c>
      <c r="U398" s="7" t="str">
        <f t="shared" si="49"/>
        <v>CLK_DETM_DETIS_CBDS_V</v>
      </c>
      <c r="V398" s="7" t="s">
        <v>829</v>
      </c>
    </row>
    <row r="399" spans="1:22">
      <c r="A399" s="7" t="str">
        <f>TRIM(ETLMetadata!$B399)</f>
        <v>CLK</v>
      </c>
      <c r="B399" s="7" t="str">
        <f>TRIM(ETLMetadata!$C399)</f>
        <v>DETM_DETIS_CBDS</v>
      </c>
      <c r="C399" s="7" t="str">
        <f>TRIM(ETLMetadata!$F399)</f>
        <v>PAYMENT_TYPE_ID</v>
      </c>
      <c r="D399" s="7" t="str">
        <f>TRIM(ETLMetadata!$H399)</f>
        <v>StringType()</v>
      </c>
      <c r="E399" s="7" t="str">
        <f t="shared" si="48"/>
        <v>CLK_DETM_DETIS_CBDS</v>
      </c>
      <c r="F399" s="7" t="str">
        <f t="shared" si="50"/>
        <v>PAYMENT_TYPE_ID</v>
      </c>
      <c r="G399" s="7" t="s">
        <v>825</v>
      </c>
      <c r="H399" s="7" t="str">
        <f t="shared" si="51"/>
        <v>CLK_DETM_DETIS_CBDS</v>
      </c>
      <c r="I399" s="7" t="str">
        <f t="shared" si="52"/>
        <v>PAYMENT_TYPE_ID</v>
      </c>
      <c r="J399" s="7" t="str">
        <f t="shared" si="53"/>
        <v>INTEGER</v>
      </c>
      <c r="K399" s="7" t="str">
        <f>TRIM(ETLMetadata!$G399)</f>
        <v>INTEGER</v>
      </c>
      <c r="L399" s="7" t="str">
        <f>TRIM(ETLMetadata!$I399)</f>
        <v/>
      </c>
      <c r="M399" s="7" t="str">
        <f t="shared" si="54"/>
        <v>CAST(NULLIF(TRIM(PAYMENT_TYPE_ID),'') AS INTEGER)</v>
      </c>
      <c r="N399" s="7" t="str">
        <f>TRIM(ETLMetadata!$J399)</f>
        <v/>
      </c>
      <c r="O399" s="8" t="str">
        <f>IF(TRIM(Classification!$G399)="","NOT CONFIDENTIAL",TRIM(Classification!$G399))</f>
        <v>NOT CONFIDENTIAL</v>
      </c>
      <c r="P399" s="7" t="str">
        <f t="shared" si="55"/>
        <v>Y</v>
      </c>
      <c r="Q399" s="7" t="s">
        <v>826</v>
      </c>
      <c r="R399" s="9">
        <v>2958465</v>
      </c>
      <c r="S399" s="7" t="s">
        <v>827</v>
      </c>
      <c r="T399" s="7" t="s">
        <v>828</v>
      </c>
      <c r="U399" s="7" t="str">
        <f t="shared" si="49"/>
        <v>CLK_DETM_DETIS_CBDS_V</v>
      </c>
      <c r="V399" s="7" t="s">
        <v>829</v>
      </c>
    </row>
    <row r="400" spans="1:22">
      <c r="A400" s="7" t="str">
        <f>TRIM(ETLMetadata!$B400)</f>
        <v>CLK</v>
      </c>
      <c r="B400" s="7" t="str">
        <f>TRIM(ETLMetadata!$C400)</f>
        <v>DETM_DETIS_CBDS</v>
      </c>
      <c r="C400" s="7" t="str">
        <f>TRIM(ETLMetadata!$F400)</f>
        <v>Start_Date</v>
      </c>
      <c r="D400" s="7" t="str">
        <f>TRIM(ETLMetadata!$H400)</f>
        <v>StringType()</v>
      </c>
      <c r="E400" s="7" t="str">
        <f t="shared" si="48"/>
        <v>CLK_DETM_DETIS_CBDS</v>
      </c>
      <c r="F400" s="7" t="str">
        <f t="shared" si="50"/>
        <v>STRT_DT</v>
      </c>
      <c r="G400" s="7" t="s">
        <v>825</v>
      </c>
      <c r="H400" s="7" t="str">
        <f t="shared" si="51"/>
        <v>CLK_DETM_DETIS_CBDS</v>
      </c>
      <c r="I400" s="7" t="str">
        <f t="shared" si="52"/>
        <v>STRT_DT</v>
      </c>
      <c r="J400" s="7" t="str">
        <f t="shared" si="53"/>
        <v>DATE</v>
      </c>
      <c r="K400" s="7" t="str">
        <f>TRIM(ETLMetadata!$G400)</f>
        <v>DATE</v>
      </c>
      <c r="L400" s="7" t="str">
        <f>TRIM(ETLMetadata!$I400)</f>
        <v>YYYY-MM-DD</v>
      </c>
      <c r="M400" s="7" t="str">
        <f t="shared" si="54"/>
        <v>TO_DATE(NULLIF(TRIM(STRT_DT),'') , 'YYYY-MM-DD')</v>
      </c>
      <c r="N400" s="7" t="str">
        <f>TRIM(ETLMetadata!$J400)</f>
        <v/>
      </c>
      <c r="O400" s="8" t="str">
        <f>IF(TRIM(Classification!$G400)="","NOT CONFIDENTIAL",TRIM(Classification!$G400))</f>
        <v>NOT CONFIDENTIAL</v>
      </c>
      <c r="P400" s="7" t="str">
        <f t="shared" si="55"/>
        <v>N</v>
      </c>
      <c r="Q400" s="7" t="s">
        <v>826</v>
      </c>
      <c r="R400" s="9">
        <v>2958465</v>
      </c>
      <c r="S400" s="7" t="s">
        <v>827</v>
      </c>
      <c r="T400" s="7" t="s">
        <v>828</v>
      </c>
      <c r="U400" s="7" t="str">
        <f t="shared" si="49"/>
        <v>CLK_DETM_DETIS_CBDS_V</v>
      </c>
      <c r="V400" s="7" t="s">
        <v>829</v>
      </c>
    </row>
    <row r="401" spans="1:22">
      <c r="A401" s="7" t="str">
        <f>TRIM(ETLMetadata!$B401)</f>
        <v>CLK</v>
      </c>
      <c r="B401" s="7" t="str">
        <f>TRIM(ETLMetadata!$C401)</f>
        <v>DETM_DETIS_CBDS</v>
      </c>
      <c r="C401" s="7" t="str">
        <f>TRIM(ETLMetadata!$F401)</f>
        <v>End_Date</v>
      </c>
      <c r="D401" s="7" t="str">
        <f>TRIM(ETLMetadata!$H401)</f>
        <v>StringType()</v>
      </c>
      <c r="E401" s="7" t="str">
        <f t="shared" si="48"/>
        <v>CLK_DETM_DETIS_CBDS</v>
      </c>
      <c r="F401" s="7" t="str">
        <f t="shared" si="50"/>
        <v>END_DT</v>
      </c>
      <c r="G401" s="7" t="s">
        <v>825</v>
      </c>
      <c r="H401" s="7" t="str">
        <f t="shared" si="51"/>
        <v>CLK_DETM_DETIS_CBDS</v>
      </c>
      <c r="I401" s="7" t="str">
        <f t="shared" si="52"/>
        <v>END_DT</v>
      </c>
      <c r="J401" s="7" t="str">
        <f t="shared" si="53"/>
        <v>DATE</v>
      </c>
      <c r="K401" s="7" t="str">
        <f>TRIM(ETLMetadata!$G401)</f>
        <v>DATE</v>
      </c>
      <c r="L401" s="7" t="str">
        <f>TRIM(ETLMetadata!$I401)</f>
        <v>YYYY-MM-DD</v>
      </c>
      <c r="M401" s="7" t="str">
        <f t="shared" si="54"/>
        <v>TO_DATE(NULLIF(TRIM(END_DT),'') , 'YYYY-MM-DD')</v>
      </c>
      <c r="N401" s="7" t="str">
        <f>TRIM(ETLMetadata!$J401)</f>
        <v/>
      </c>
      <c r="O401" s="8" t="str">
        <f>IF(TRIM(Classification!$G401)="","NOT CONFIDENTIAL",TRIM(Classification!$G401))</f>
        <v>NOT CONFIDENTIAL</v>
      </c>
      <c r="P401" s="7" t="str">
        <f t="shared" si="55"/>
        <v>N</v>
      </c>
      <c r="Q401" s="7" t="s">
        <v>826</v>
      </c>
      <c r="R401" s="9">
        <v>2958465</v>
      </c>
      <c r="S401" s="7" t="s">
        <v>827</v>
      </c>
      <c r="T401" s="7" t="s">
        <v>828</v>
      </c>
      <c r="U401" s="7" t="str">
        <f t="shared" si="49"/>
        <v>CLK_DETM_DETIS_CBDS_V</v>
      </c>
      <c r="V401" s="7" t="s">
        <v>829</v>
      </c>
    </row>
    <row r="402" spans="1:22">
      <c r="A402" s="7" t="str">
        <f>TRIM(ETLMetadata!$B402)</f>
        <v>CLK</v>
      </c>
      <c r="B402" s="7" t="str">
        <f>TRIM(ETLMetadata!$C402)</f>
        <v>DETM_DETIS_CBDS</v>
      </c>
      <c r="C402" s="7" t="str">
        <f>TRIM(ETLMetadata!$F402)</f>
        <v>Record_Deleted_Flag</v>
      </c>
      <c r="D402" s="7" t="str">
        <f>TRIM(ETLMetadata!$H402)</f>
        <v>StringType()</v>
      </c>
      <c r="E402" s="7" t="str">
        <f t="shared" si="48"/>
        <v>CLK_DETM_DETIS_CBDS</v>
      </c>
      <c r="F402" s="7" t="str">
        <f t="shared" si="50"/>
        <v>RCRD_DEL_IND</v>
      </c>
      <c r="G402" s="7" t="s">
        <v>825</v>
      </c>
      <c r="H402" s="7" t="str">
        <f t="shared" si="51"/>
        <v>CLK_DETM_DETIS_CBDS</v>
      </c>
      <c r="I402" s="7" t="str">
        <f t="shared" si="52"/>
        <v>RCRD_DEL_IND</v>
      </c>
      <c r="J402" s="7" t="str">
        <f t="shared" si="53"/>
        <v>SMALLINT</v>
      </c>
      <c r="K402" s="7" t="str">
        <f>TRIM(ETLMetadata!$G402)</f>
        <v>BYTEINT</v>
      </c>
      <c r="L402" s="7" t="str">
        <f>TRIM(ETLMetadata!$I402)</f>
        <v/>
      </c>
      <c r="M402" s="7" t="str">
        <f t="shared" si="54"/>
        <v>CAST(NULLIF(TRIM(RCRD_DEL_IND),'') AS SMALLINT)</v>
      </c>
      <c r="N402" s="7" t="str">
        <f>TRIM(ETLMetadata!$J402)</f>
        <v/>
      </c>
      <c r="O402" s="8" t="str">
        <f>IF(TRIM(Classification!$G402)="","NOT CONFIDENTIAL",TRIM(Classification!$G402))</f>
        <v>NOT CONFIDENTIAL</v>
      </c>
      <c r="P402" s="7" t="str">
        <f t="shared" si="55"/>
        <v>N</v>
      </c>
      <c r="Q402" s="7" t="s">
        <v>826</v>
      </c>
      <c r="R402" s="9">
        <v>2958465</v>
      </c>
      <c r="S402" s="7" t="s">
        <v>827</v>
      </c>
      <c r="T402" s="7" t="s">
        <v>828</v>
      </c>
      <c r="U402" s="7" t="str">
        <f t="shared" si="49"/>
        <v>CLK_DETM_DETIS_CBDS_V</v>
      </c>
      <c r="V402" s="7" t="s">
        <v>829</v>
      </c>
    </row>
    <row r="403" spans="1:22">
      <c r="A403" s="7" t="str">
        <f>TRIM(ETLMetadata!$B403)</f>
        <v>CLK</v>
      </c>
      <c r="B403" s="7" t="str">
        <f>TRIM(ETLMetadata!$C403)</f>
        <v>DETM_DETIS_CCDS</v>
      </c>
      <c r="C403" s="7" t="str">
        <f>TRIM(ETLMetadata!$F403)</f>
        <v>EXTRACT_DATE</v>
      </c>
      <c r="D403" s="7" t="str">
        <f>TRIM(ETLMetadata!$H403)</f>
        <v>StringType()</v>
      </c>
      <c r="E403" s="7" t="str">
        <f t="shared" si="48"/>
        <v>CLK_DETM_DETIS_CCDS</v>
      </c>
      <c r="F403" s="7" t="str">
        <f t="shared" si="50"/>
        <v>EXTRACT_DATE</v>
      </c>
      <c r="G403" s="7" t="s">
        <v>825</v>
      </c>
      <c r="H403" s="7" t="str">
        <f t="shared" si="51"/>
        <v>CLK_DETM_DETIS_CCDS</v>
      </c>
      <c r="I403" s="7" t="str">
        <f t="shared" si="52"/>
        <v>EXTRACT_DATE</v>
      </c>
      <c r="J403" s="7" t="str">
        <f t="shared" si="53"/>
        <v>DATE</v>
      </c>
      <c r="K403" s="7" t="str">
        <f>TRIM(ETLMetadata!$G403)</f>
        <v>DATE</v>
      </c>
      <c r="L403" s="7" t="str">
        <f>TRIM(ETLMetadata!$I403)</f>
        <v>YYYY-MM-DD</v>
      </c>
      <c r="M403" s="7" t="str">
        <f t="shared" si="54"/>
        <v>TO_DATE(NULLIF(TRIM(EXTRACT_DATE),'') , 'YYYY-MM-DD')</v>
      </c>
      <c r="N403" s="7" t="str">
        <f>TRIM(ETLMetadata!$J403)</f>
        <v/>
      </c>
      <c r="O403" s="8" t="str">
        <f>IF(TRIM(Classification!$G403)="","NOT CONFIDENTIAL",TRIM(Classification!$G403))</f>
        <v>NOT CONFIDENTIAL</v>
      </c>
      <c r="P403" s="7" t="str">
        <f t="shared" si="55"/>
        <v>Y</v>
      </c>
      <c r="Q403" s="7" t="s">
        <v>826</v>
      </c>
      <c r="R403" s="9">
        <v>2958465</v>
      </c>
      <c r="S403" s="7" t="s">
        <v>827</v>
      </c>
      <c r="T403" s="7" t="s">
        <v>828</v>
      </c>
      <c r="U403" s="7" t="str">
        <f t="shared" si="49"/>
        <v>CLK_DETM_DETIS_CCDS_V</v>
      </c>
      <c r="V403" s="7" t="s">
        <v>829</v>
      </c>
    </row>
    <row r="404" spans="1:22">
      <c r="A404" s="7" t="str">
        <f>TRIM(ETLMetadata!$B404)</f>
        <v>CLK</v>
      </c>
      <c r="B404" s="7" t="str">
        <f>TRIM(ETLMetadata!$C404)</f>
        <v>DETM_DETIS_CCDS</v>
      </c>
      <c r="C404" s="7" t="str">
        <f>TRIM(ETLMetadata!$F404)</f>
        <v>LOGICAL_DELETE_DATE</v>
      </c>
      <c r="D404" s="7" t="str">
        <f>TRIM(ETLMetadata!$H404)</f>
        <v>StringType()</v>
      </c>
      <c r="E404" s="7" t="str">
        <f t="shared" si="48"/>
        <v>CLK_DETM_DETIS_CCDS</v>
      </c>
      <c r="F404" s="7" t="str">
        <f t="shared" si="50"/>
        <v>LOGICAL_DELETE_DATE</v>
      </c>
      <c r="G404" s="7" t="s">
        <v>825</v>
      </c>
      <c r="H404" s="7" t="str">
        <f t="shared" si="51"/>
        <v>CLK_DETM_DETIS_CCDS</v>
      </c>
      <c r="I404" s="7" t="str">
        <f t="shared" si="52"/>
        <v>LOGICAL_DELETE_DATE</v>
      </c>
      <c r="J404" s="7" t="str">
        <f t="shared" si="53"/>
        <v>DATE</v>
      </c>
      <c r="K404" s="7" t="str">
        <f>TRIM(ETLMetadata!$G404)</f>
        <v>DATE</v>
      </c>
      <c r="L404" s="7" t="str">
        <f>TRIM(ETLMetadata!$I404)</f>
        <v>YYYY-MM-DD</v>
      </c>
      <c r="M404" s="7" t="str">
        <f t="shared" si="54"/>
        <v>TO_DATE(NULLIF(TRIM(LOGICAL_DELETE_DATE),'') , 'YYYY-MM-DD')</v>
      </c>
      <c r="N404" s="7" t="str">
        <f>TRIM(ETLMetadata!$J404)</f>
        <v/>
      </c>
      <c r="O404" s="8" t="str">
        <f>IF(TRIM(Classification!$G404)="","NOT CONFIDENTIAL",TRIM(Classification!$G404))</f>
        <v>NOT CONFIDENTIAL</v>
      </c>
      <c r="P404" s="7" t="str">
        <f t="shared" si="55"/>
        <v>Y</v>
      </c>
      <c r="Q404" s="7" t="s">
        <v>826</v>
      </c>
      <c r="R404" s="9">
        <v>2958465</v>
      </c>
      <c r="S404" s="7" t="s">
        <v>827</v>
      </c>
      <c r="T404" s="7" t="s">
        <v>828</v>
      </c>
      <c r="U404" s="7" t="str">
        <f t="shared" si="49"/>
        <v>CLK_DETM_DETIS_CCDS_V</v>
      </c>
      <c r="V404" s="7" t="s">
        <v>829</v>
      </c>
    </row>
    <row r="405" spans="1:22">
      <c r="A405" s="7" t="str">
        <f>TRIM(ETLMetadata!$B405)</f>
        <v>CLK</v>
      </c>
      <c r="B405" s="7" t="str">
        <f>TRIM(ETLMetadata!$C405)</f>
        <v>DETM_DETIS_CCDS</v>
      </c>
      <c r="C405" s="7" t="str">
        <f>TRIM(ETLMetadata!$F405)</f>
        <v>ENVIRONMENT_ID</v>
      </c>
      <c r="D405" s="7" t="str">
        <f>TRIM(ETLMetadata!$H405)</f>
        <v>StringType()</v>
      </c>
      <c r="E405" s="7" t="str">
        <f t="shared" si="48"/>
        <v>CLK_DETM_DETIS_CCDS</v>
      </c>
      <c r="F405" s="7" t="str">
        <f t="shared" si="50"/>
        <v>ENVIRONMENT_ID</v>
      </c>
      <c r="G405" s="7" t="s">
        <v>825</v>
      </c>
      <c r="H405" s="7" t="str">
        <f t="shared" si="51"/>
        <v>CLK_DETM_DETIS_CCDS</v>
      </c>
      <c r="I405" s="7" t="str">
        <f t="shared" si="52"/>
        <v>ENVIRONMENT_ID</v>
      </c>
      <c r="J405" s="7" t="str">
        <f t="shared" si="53"/>
        <v>VARCHAR</v>
      </c>
      <c r="K405" s="7" t="str">
        <f>TRIM(ETLMetadata!$G405)</f>
        <v>CHAR(1)</v>
      </c>
      <c r="L405" s="7" t="str">
        <f>TRIM(ETLMetadata!$I405)</f>
        <v/>
      </c>
      <c r="M405" s="7" t="str">
        <f t="shared" si="54"/>
        <v>NULLIF(TRIM(ENVIRONMENT_ID),'')</v>
      </c>
      <c r="N405" s="7" t="str">
        <f>TRIM(ETLMetadata!$J405)</f>
        <v>Y</v>
      </c>
      <c r="O405" s="8" t="str">
        <f>IF(TRIM(Classification!$G405)="","NOT CONFIDENTIAL",TRIM(Classification!$G405))</f>
        <v>NOT CONFIDENTIAL</v>
      </c>
      <c r="P405" s="7" t="str">
        <f t="shared" si="55"/>
        <v>Y</v>
      </c>
      <c r="Q405" s="7" t="s">
        <v>826</v>
      </c>
      <c r="R405" s="9">
        <v>2958465</v>
      </c>
      <c r="S405" s="7" t="s">
        <v>827</v>
      </c>
      <c r="T405" s="7" t="s">
        <v>828</v>
      </c>
      <c r="U405" s="7" t="str">
        <f t="shared" si="49"/>
        <v>CLK_DETM_DETIS_CCDS_V</v>
      </c>
      <c r="V405" s="7" t="s">
        <v>829</v>
      </c>
    </row>
    <row r="406" spans="1:22">
      <c r="A406" s="7" t="str">
        <f>TRIM(ETLMetadata!$B406)</f>
        <v>CLK</v>
      </c>
      <c r="B406" s="7" t="str">
        <f>TRIM(ETLMetadata!$C406)</f>
        <v>DETM_DETIS_CCDS</v>
      </c>
      <c r="C406" s="7" t="str">
        <f>TRIM(ETLMetadata!$F406)</f>
        <v>PERSON_ID</v>
      </c>
      <c r="D406" s="7" t="str">
        <f>TRIM(ETLMetadata!$H406)</f>
        <v>StringType()</v>
      </c>
      <c r="E406" s="7" t="str">
        <f t="shared" si="48"/>
        <v>CLK_DETM_DETIS_CCDS</v>
      </c>
      <c r="F406" s="7" t="str">
        <f t="shared" si="50"/>
        <v>PERSON_ID</v>
      </c>
      <c r="G406" s="7" t="s">
        <v>825</v>
      </c>
      <c r="H406" s="7" t="str">
        <f t="shared" si="51"/>
        <v>CLK_DETM_DETIS_CCDS</v>
      </c>
      <c r="I406" s="7" t="str">
        <f t="shared" si="52"/>
        <v>PERSON_ID</v>
      </c>
      <c r="J406" s="7" t="str">
        <f t="shared" si="53"/>
        <v>INTEGER</v>
      </c>
      <c r="K406" s="7" t="str">
        <f>TRIM(ETLMetadata!$G406)</f>
        <v>INTEGER</v>
      </c>
      <c r="L406" s="7" t="str">
        <f>TRIM(ETLMetadata!$I406)</f>
        <v/>
      </c>
      <c r="M406" s="7" t="str">
        <f t="shared" si="54"/>
        <v>CAST(NULLIF(TRIM(PERSON_ID),'') AS INTEGER)</v>
      </c>
      <c r="N406" s="7" t="str">
        <f>TRIM(ETLMetadata!$J406)</f>
        <v>Y</v>
      </c>
      <c r="O406" s="8" t="str">
        <f>IF(TRIM(Classification!$G406)="","NOT CONFIDENTIAL",TRIM(Classification!$G406))</f>
        <v>PERSONAL_IDENTITYINFOINDIRECT</v>
      </c>
      <c r="P406" s="7" t="str">
        <f t="shared" si="55"/>
        <v>Y</v>
      </c>
      <c r="Q406" s="7" t="s">
        <v>826</v>
      </c>
      <c r="R406" s="9">
        <v>2958465</v>
      </c>
      <c r="S406" s="7" t="s">
        <v>827</v>
      </c>
      <c r="T406" s="7" t="s">
        <v>828</v>
      </c>
      <c r="U406" s="7" t="str">
        <f t="shared" si="49"/>
        <v>CLK_DETM_DETIS_CCDS_V</v>
      </c>
      <c r="V406" s="7" t="s">
        <v>829</v>
      </c>
    </row>
    <row r="407" spans="1:22">
      <c r="A407" s="7" t="str">
        <f>TRIM(ETLMetadata!$B407)</f>
        <v>CLK</v>
      </c>
      <c r="B407" s="7" t="str">
        <f>TRIM(ETLMetadata!$C407)</f>
        <v>DETM_DETIS_CCDS</v>
      </c>
      <c r="C407" s="7" t="str">
        <f>TRIM(ETLMetadata!$F407)</f>
        <v>CCDS_DOE</v>
      </c>
      <c r="D407" s="7" t="str">
        <f>TRIM(ETLMetadata!$H407)</f>
        <v>StringType()</v>
      </c>
      <c r="E407" s="7" t="str">
        <f t="shared" si="48"/>
        <v>CLK_DETM_DETIS_CCDS</v>
      </c>
      <c r="F407" s="7" t="str">
        <f t="shared" si="50"/>
        <v>CCDS_DOE</v>
      </c>
      <c r="G407" s="7" t="s">
        <v>825</v>
      </c>
      <c r="H407" s="7" t="str">
        <f t="shared" si="51"/>
        <v>CLK_DETM_DETIS_CCDS</v>
      </c>
      <c r="I407" s="7" t="str">
        <f t="shared" si="52"/>
        <v>CCDS_DOE</v>
      </c>
      <c r="J407" s="7" t="str">
        <f t="shared" si="53"/>
        <v>DATE</v>
      </c>
      <c r="K407" s="17" t="s">
        <v>80</v>
      </c>
      <c r="L407" s="7" t="str">
        <f>TRIM(ETLMetadata!$I407)</f>
        <v>YYYY-MM-DD</v>
      </c>
      <c r="M407" s="7" t="str">
        <f t="shared" si="54"/>
        <v>TO_DATE(NULLIF(TRIM(CCDS_DOE),'') , 'YYYY-MM-DD')</v>
      </c>
      <c r="N407" s="7" t="str">
        <f>TRIM(ETLMetadata!$J407)</f>
        <v/>
      </c>
      <c r="O407" s="8" t="str">
        <f>IF(TRIM(Classification!$G407)="","NOT CONFIDENTIAL",TRIM(Classification!$G407))</f>
        <v>NOT CONFIDENTIAL</v>
      </c>
      <c r="P407" s="7" t="str">
        <f t="shared" si="55"/>
        <v>Y</v>
      </c>
      <c r="Q407" s="7" t="s">
        <v>826</v>
      </c>
      <c r="R407" s="9">
        <v>2958465</v>
      </c>
      <c r="S407" s="7" t="s">
        <v>827</v>
      </c>
      <c r="T407" s="7" t="s">
        <v>828</v>
      </c>
      <c r="U407" s="7" t="str">
        <f t="shared" si="49"/>
        <v>CLK_DETM_DETIS_CCDS_V</v>
      </c>
      <c r="V407" s="7" t="s">
        <v>829</v>
      </c>
    </row>
    <row r="408" spans="1:22">
      <c r="A408" s="7" t="str">
        <f>TRIM(ETLMetadata!$B408)</f>
        <v>CLK</v>
      </c>
      <c r="B408" s="7" t="str">
        <f>TRIM(ETLMetadata!$C408)</f>
        <v>DETM_DETIS_CCDS</v>
      </c>
      <c r="C408" s="7" t="str">
        <f>TRIM(ETLMetadata!$F408)</f>
        <v>CCDS_DOE_ORIG</v>
      </c>
      <c r="D408" s="7" t="str">
        <f>TRIM(ETLMetadata!$H408)</f>
        <v>StringType()</v>
      </c>
      <c r="E408" s="7" t="str">
        <f t="shared" si="48"/>
        <v>CLK_DETM_DETIS_CCDS</v>
      </c>
      <c r="F408" s="7" t="str">
        <f t="shared" si="50"/>
        <v>CCDS_DOE_ORIG</v>
      </c>
      <c r="G408" s="7" t="s">
        <v>825</v>
      </c>
      <c r="H408" s="7" t="str">
        <f t="shared" si="51"/>
        <v>CLK_DETM_DETIS_CCDS</v>
      </c>
      <c r="I408" s="7" t="str">
        <f t="shared" si="52"/>
        <v>CCDS_DOE_ORIG</v>
      </c>
      <c r="J408" s="7" t="str">
        <f t="shared" si="53"/>
        <v>INTEGER</v>
      </c>
      <c r="K408" s="17" t="s">
        <v>90</v>
      </c>
      <c r="L408" s="7" t="str">
        <f>TRIM(ETLMetadata!$I408)</f>
        <v/>
      </c>
      <c r="M408" s="7" t="str">
        <f t="shared" si="54"/>
        <v>CAST(NULLIF(TRIM(CCDS_DOE_ORIG),'') AS INTEGER)</v>
      </c>
      <c r="N408" s="7" t="str">
        <f>TRIM(ETLMetadata!$J408)</f>
        <v/>
      </c>
      <c r="O408" s="8" t="str">
        <f>IF(TRIM(Classification!$G408)="","NOT CONFIDENTIAL",TRIM(Classification!$G408))</f>
        <v>NOT CONFIDENTIAL</v>
      </c>
      <c r="P408" s="7" t="str">
        <f t="shared" si="55"/>
        <v>Y</v>
      </c>
      <c r="Q408" s="7" t="s">
        <v>826</v>
      </c>
      <c r="R408" s="9">
        <v>2958465</v>
      </c>
      <c r="S408" s="7" t="s">
        <v>827</v>
      </c>
      <c r="T408" s="7" t="s">
        <v>828</v>
      </c>
      <c r="U408" s="7" t="str">
        <f t="shared" si="49"/>
        <v>CLK_DETM_DETIS_CCDS_V</v>
      </c>
      <c r="V408" s="7" t="s">
        <v>829</v>
      </c>
    </row>
    <row r="409" spans="1:22">
      <c r="A409" s="7" t="str">
        <f>TRIM(ETLMetadata!$B409)</f>
        <v>CLK</v>
      </c>
      <c r="B409" s="7" t="str">
        <f>TRIM(ETLMetadata!$C409)</f>
        <v>DETM_DETIS_CCDS</v>
      </c>
      <c r="C409" s="7" t="str">
        <f>TRIM(ETLMetadata!$F409)</f>
        <v>PROCESSING_SEQUENCE</v>
      </c>
      <c r="D409" s="7" t="str">
        <f>TRIM(ETLMetadata!$H409)</f>
        <v>StringType()</v>
      </c>
      <c r="E409" s="7" t="str">
        <f t="shared" si="48"/>
        <v>CLK_DETM_DETIS_CCDS</v>
      </c>
      <c r="F409" s="7" t="str">
        <f t="shared" si="50"/>
        <v>PROCESSING_SEQUENCE</v>
      </c>
      <c r="G409" s="7" t="s">
        <v>825</v>
      </c>
      <c r="H409" s="7" t="str">
        <f t="shared" si="51"/>
        <v>CLK_DETM_DETIS_CCDS</v>
      </c>
      <c r="I409" s="7" t="str">
        <f t="shared" si="52"/>
        <v>PROCESSING_SEQUENCE</v>
      </c>
      <c r="J409" s="7" t="str">
        <f t="shared" si="53"/>
        <v>SMALLINT</v>
      </c>
      <c r="K409" s="7" t="str">
        <f>TRIM(ETLMetadata!$G409)</f>
        <v>SMALLINT</v>
      </c>
      <c r="L409" s="7" t="str">
        <f>TRIM(ETLMetadata!$I409)</f>
        <v/>
      </c>
      <c r="M409" s="7" t="str">
        <f t="shared" si="54"/>
        <v>CAST(NULLIF(TRIM(PROCESSING_SEQUENCE),'') AS SMALLINT)</v>
      </c>
      <c r="N409" s="7" t="str">
        <f>TRIM(ETLMetadata!$J409)</f>
        <v>Y</v>
      </c>
      <c r="O409" s="8" t="str">
        <f>IF(TRIM(Classification!$G409)="","NOT CONFIDENTIAL",TRIM(Classification!$G409))</f>
        <v>NOT CONFIDENTIAL</v>
      </c>
      <c r="P409" s="7" t="str">
        <f t="shared" si="55"/>
        <v>Y</v>
      </c>
      <c r="Q409" s="7" t="s">
        <v>826</v>
      </c>
      <c r="R409" s="9">
        <v>2958465</v>
      </c>
      <c r="S409" s="7" t="s">
        <v>827</v>
      </c>
      <c r="T409" s="7" t="s">
        <v>828</v>
      </c>
      <c r="U409" s="7" t="str">
        <f t="shared" si="49"/>
        <v>CLK_DETM_DETIS_CCDS_V</v>
      </c>
      <c r="V409" s="7" t="s">
        <v>829</v>
      </c>
    </row>
    <row r="410" spans="1:22">
      <c r="A410" s="7" t="str">
        <f>TRIM(ETLMetadata!$B410)</f>
        <v>CLK</v>
      </c>
      <c r="B410" s="7" t="str">
        <f>TRIM(ETLMetadata!$C410)</f>
        <v>DETM_DETIS_CCDS</v>
      </c>
      <c r="C410" s="7" t="str">
        <f>TRIM(ETLMetadata!$F410)</f>
        <v>CCDS_AMR_1</v>
      </c>
      <c r="D410" s="7" t="str">
        <f>TRIM(ETLMetadata!$H410)</f>
        <v>StringType()</v>
      </c>
      <c r="E410" s="7" t="str">
        <f t="shared" si="48"/>
        <v>CLK_DETM_DETIS_CCDS</v>
      </c>
      <c r="F410" s="7" t="str">
        <f t="shared" si="50"/>
        <v>CCDS_AMR_1</v>
      </c>
      <c r="G410" s="7" t="s">
        <v>825</v>
      </c>
      <c r="H410" s="7" t="str">
        <f t="shared" si="51"/>
        <v>CLK_DETM_DETIS_CCDS</v>
      </c>
      <c r="I410" s="7" t="str">
        <f t="shared" si="52"/>
        <v>CCDS_AMR_1</v>
      </c>
      <c r="J410" s="7" t="str">
        <f t="shared" si="53"/>
        <v>VARCHAR</v>
      </c>
      <c r="K410" s="7" t="str">
        <f>TRIM(ETLMetadata!$G410)</f>
        <v>CHAR(4)</v>
      </c>
      <c r="L410" s="7" t="str">
        <f>TRIM(ETLMetadata!$I410)</f>
        <v/>
      </c>
      <c r="M410" s="7" t="str">
        <f t="shared" si="54"/>
        <v>NULLIF(TRIM(CCDS_AMR_1),'')</v>
      </c>
      <c r="N410" s="7" t="str">
        <f>TRIM(ETLMetadata!$J410)</f>
        <v/>
      </c>
      <c r="O410" s="8" t="str">
        <f>IF(TRIM(Classification!$G410)="","NOT CONFIDENTIAL",TRIM(Classification!$G410))</f>
        <v>NOT CONFIDENTIAL</v>
      </c>
      <c r="P410" s="7" t="str">
        <f t="shared" si="55"/>
        <v>Y</v>
      </c>
      <c r="Q410" s="7" t="s">
        <v>826</v>
      </c>
      <c r="R410" s="9">
        <v>2958465</v>
      </c>
      <c r="S410" s="7" t="s">
        <v>827</v>
      </c>
      <c r="T410" s="7" t="s">
        <v>828</v>
      </c>
      <c r="U410" s="7" t="str">
        <f t="shared" si="49"/>
        <v>CLK_DETM_DETIS_CCDS_V</v>
      </c>
      <c r="V410" s="7" t="s">
        <v>829</v>
      </c>
    </row>
    <row r="411" spans="1:22">
      <c r="A411" s="7" t="str">
        <f>TRIM(ETLMetadata!$B411)</f>
        <v>CLK</v>
      </c>
      <c r="B411" s="7" t="str">
        <f>TRIM(ETLMetadata!$C411)</f>
        <v>DETM_DETIS_CCDS</v>
      </c>
      <c r="C411" s="7" t="str">
        <f>TRIM(ETLMetadata!$F411)</f>
        <v>CCDS_AMR_2</v>
      </c>
      <c r="D411" s="7" t="str">
        <f>TRIM(ETLMetadata!$H411)</f>
        <v>StringType()</v>
      </c>
      <c r="E411" s="7" t="str">
        <f t="shared" si="48"/>
        <v>CLK_DETM_DETIS_CCDS</v>
      </c>
      <c r="F411" s="7" t="str">
        <f t="shared" si="50"/>
        <v>CCDS_AMR_2</v>
      </c>
      <c r="G411" s="7" t="s">
        <v>825</v>
      </c>
      <c r="H411" s="7" t="str">
        <f t="shared" si="51"/>
        <v>CLK_DETM_DETIS_CCDS</v>
      </c>
      <c r="I411" s="7" t="str">
        <f t="shared" si="52"/>
        <v>CCDS_AMR_2</v>
      </c>
      <c r="J411" s="7" t="str">
        <f t="shared" si="53"/>
        <v>VARCHAR</v>
      </c>
      <c r="K411" s="7" t="str">
        <f>TRIM(ETLMetadata!$G411)</f>
        <v>CHAR(1)</v>
      </c>
      <c r="L411" s="7" t="str">
        <f>TRIM(ETLMetadata!$I411)</f>
        <v/>
      </c>
      <c r="M411" s="7" t="str">
        <f t="shared" si="54"/>
        <v>NULLIF(TRIM(CCDS_AMR_2),'')</v>
      </c>
      <c r="N411" s="7" t="str">
        <f>TRIM(ETLMetadata!$J411)</f>
        <v/>
      </c>
      <c r="O411" s="8" t="str">
        <f>IF(TRIM(Classification!$G411)="","NOT CONFIDENTIAL",TRIM(Classification!$G411))</f>
        <v>NOT CONFIDENTIAL</v>
      </c>
      <c r="P411" s="7" t="str">
        <f t="shared" si="55"/>
        <v>Y</v>
      </c>
      <c r="Q411" s="7" t="s">
        <v>826</v>
      </c>
      <c r="R411" s="9">
        <v>2958465</v>
      </c>
      <c r="S411" s="7" t="s">
        <v>827</v>
      </c>
      <c r="T411" s="7" t="s">
        <v>828</v>
      </c>
      <c r="U411" s="7" t="str">
        <f t="shared" si="49"/>
        <v>CLK_DETM_DETIS_CCDS_V</v>
      </c>
      <c r="V411" s="7" t="s">
        <v>829</v>
      </c>
    </row>
    <row r="412" spans="1:22">
      <c r="A412" s="7" t="str">
        <f>TRIM(ETLMetadata!$B412)</f>
        <v>CLK</v>
      </c>
      <c r="B412" s="7" t="str">
        <f>TRIM(ETLMetadata!$C412)</f>
        <v>DETM_DETIS_CCDS</v>
      </c>
      <c r="C412" s="7" t="str">
        <f>TRIM(ETLMetadata!$F412)</f>
        <v>CCDS_AMR_3</v>
      </c>
      <c r="D412" s="7" t="str">
        <f>TRIM(ETLMetadata!$H412)</f>
        <v>StringType()</v>
      </c>
      <c r="E412" s="7" t="str">
        <f t="shared" si="48"/>
        <v>CLK_DETM_DETIS_CCDS</v>
      </c>
      <c r="F412" s="7" t="str">
        <f t="shared" si="50"/>
        <v>CCDS_AMR_3</v>
      </c>
      <c r="G412" s="7" t="s">
        <v>825</v>
      </c>
      <c r="H412" s="7" t="str">
        <f t="shared" si="51"/>
        <v>CLK_DETM_DETIS_CCDS</v>
      </c>
      <c r="I412" s="7" t="str">
        <f t="shared" si="52"/>
        <v>CCDS_AMR_3</v>
      </c>
      <c r="J412" s="7" t="str">
        <f t="shared" si="53"/>
        <v>VARCHAR</v>
      </c>
      <c r="K412" s="7" t="str">
        <f>TRIM(ETLMetadata!$G412)</f>
        <v>CHAR(4)</v>
      </c>
      <c r="L412" s="7" t="str">
        <f>TRIM(ETLMetadata!$I412)</f>
        <v/>
      </c>
      <c r="M412" s="7" t="str">
        <f t="shared" si="54"/>
        <v>NULLIF(TRIM(CCDS_AMR_3),'')</v>
      </c>
      <c r="N412" s="7" t="str">
        <f>TRIM(ETLMetadata!$J412)</f>
        <v/>
      </c>
      <c r="O412" s="8" t="str">
        <f>IF(TRIM(Classification!$G412)="","NOT CONFIDENTIAL",TRIM(Classification!$G412))</f>
        <v>NOT CONFIDENTIAL</v>
      </c>
      <c r="P412" s="7" t="str">
        <f t="shared" si="55"/>
        <v>Y</v>
      </c>
      <c r="Q412" s="7" t="s">
        <v>826</v>
      </c>
      <c r="R412" s="9">
        <v>2958465</v>
      </c>
      <c r="S412" s="7" t="s">
        <v>827</v>
      </c>
      <c r="T412" s="7" t="s">
        <v>828</v>
      </c>
      <c r="U412" s="7" t="str">
        <f t="shared" si="49"/>
        <v>CLK_DETM_DETIS_CCDS_V</v>
      </c>
      <c r="V412" s="7" t="s">
        <v>829</v>
      </c>
    </row>
    <row r="413" spans="1:22">
      <c r="A413" s="7" t="str">
        <f>TRIM(ETLMetadata!$B413)</f>
        <v>CLK</v>
      </c>
      <c r="B413" s="7" t="str">
        <f>TRIM(ETLMetadata!$C413)</f>
        <v>DETM_DETIS_CCDS</v>
      </c>
      <c r="C413" s="7" t="str">
        <f>TRIM(ETLMetadata!$F413)</f>
        <v>CCDS_BEN_TYPE_CODE</v>
      </c>
      <c r="D413" s="7" t="str">
        <f>TRIM(ETLMetadata!$H413)</f>
        <v>StringType()</v>
      </c>
      <c r="E413" s="7" t="str">
        <f t="shared" si="48"/>
        <v>CLK_DETM_DETIS_CCDS</v>
      </c>
      <c r="F413" s="7" t="str">
        <f t="shared" si="50"/>
        <v>CCDS_BEN_TYPE_CODE</v>
      </c>
      <c r="G413" s="7" t="s">
        <v>825</v>
      </c>
      <c r="H413" s="7" t="str">
        <f t="shared" si="51"/>
        <v>CLK_DETM_DETIS_CCDS</v>
      </c>
      <c r="I413" s="7" t="str">
        <f t="shared" si="52"/>
        <v>CCDS_BEN_TYPE_CODE</v>
      </c>
      <c r="J413" s="7" t="str">
        <f t="shared" si="53"/>
        <v>VARCHAR</v>
      </c>
      <c r="K413" s="7" t="str">
        <f>TRIM(ETLMetadata!$G413)</f>
        <v>CHAR(3)</v>
      </c>
      <c r="L413" s="7" t="str">
        <f>TRIM(ETLMetadata!$I413)</f>
        <v/>
      </c>
      <c r="M413" s="7" t="str">
        <f t="shared" si="54"/>
        <v>NULLIF(TRIM(CCDS_BEN_TYPE_CODE),'')</v>
      </c>
      <c r="N413" s="7" t="str">
        <f>TRIM(ETLMetadata!$J413)</f>
        <v/>
      </c>
      <c r="O413" s="8" t="str">
        <f>IF(TRIM(Classification!$G413)="","NOT CONFIDENTIAL",TRIM(Classification!$G413))</f>
        <v>NOT CONFIDENTIAL</v>
      </c>
      <c r="P413" s="7" t="str">
        <f t="shared" si="55"/>
        <v>Y</v>
      </c>
      <c r="Q413" s="7" t="s">
        <v>826</v>
      </c>
      <c r="R413" s="9">
        <v>2958465</v>
      </c>
      <c r="S413" s="7" t="s">
        <v>827</v>
      </c>
      <c r="T413" s="7" t="s">
        <v>828</v>
      </c>
      <c r="U413" s="7" t="str">
        <f t="shared" si="49"/>
        <v>CLK_DETM_DETIS_CCDS_V</v>
      </c>
      <c r="V413" s="7" t="s">
        <v>829</v>
      </c>
    </row>
    <row r="414" spans="1:22">
      <c r="A414" s="7" t="str">
        <f>TRIM(ETLMetadata!$B414)</f>
        <v>CLK</v>
      </c>
      <c r="B414" s="7" t="str">
        <f>TRIM(ETLMetadata!$C414)</f>
        <v>DETM_DETIS_CCDS</v>
      </c>
      <c r="C414" s="7" t="str">
        <f>TRIM(ETLMetadata!$F414)</f>
        <v>CCDS_STS_CODE</v>
      </c>
      <c r="D414" s="7" t="str">
        <f>TRIM(ETLMetadata!$H414)</f>
        <v>StringType()</v>
      </c>
      <c r="E414" s="7" t="str">
        <f t="shared" si="48"/>
        <v>CLK_DETM_DETIS_CCDS</v>
      </c>
      <c r="F414" s="7" t="str">
        <f t="shared" si="50"/>
        <v>CCDS_STS_CODE</v>
      </c>
      <c r="G414" s="7" t="s">
        <v>825</v>
      </c>
      <c r="H414" s="7" t="str">
        <f t="shared" si="51"/>
        <v>CLK_DETM_DETIS_CCDS</v>
      </c>
      <c r="I414" s="7" t="str">
        <f t="shared" si="52"/>
        <v>CCDS_STS_CODE</v>
      </c>
      <c r="J414" s="7" t="str">
        <f t="shared" si="53"/>
        <v>VARCHAR</v>
      </c>
      <c r="K414" s="7" t="str">
        <f>TRIM(ETLMetadata!$G414)</f>
        <v>CHAR(3)</v>
      </c>
      <c r="L414" s="7" t="str">
        <f>TRIM(ETLMetadata!$I414)</f>
        <v/>
      </c>
      <c r="M414" s="7" t="str">
        <f t="shared" si="54"/>
        <v>NULLIF(TRIM(CCDS_STS_CODE),'')</v>
      </c>
      <c r="N414" s="7" t="str">
        <f>TRIM(ETLMetadata!$J414)</f>
        <v/>
      </c>
      <c r="O414" s="8" t="str">
        <f>IF(TRIM(Classification!$G414)="","NOT CONFIDENTIAL",TRIM(Classification!$G414))</f>
        <v>NOT CONFIDENTIAL</v>
      </c>
      <c r="P414" s="7" t="str">
        <f t="shared" si="55"/>
        <v>Y</v>
      </c>
      <c r="Q414" s="7" t="s">
        <v>826</v>
      </c>
      <c r="R414" s="9">
        <v>2958465</v>
      </c>
      <c r="S414" s="7" t="s">
        <v>827</v>
      </c>
      <c r="T414" s="7" t="s">
        <v>828</v>
      </c>
      <c r="U414" s="7" t="str">
        <f t="shared" si="49"/>
        <v>CLK_DETM_DETIS_CCDS_V</v>
      </c>
      <c r="V414" s="7" t="s">
        <v>829</v>
      </c>
    </row>
    <row r="415" spans="1:22">
      <c r="A415" s="7" t="str">
        <f>TRIM(ETLMetadata!$B415)</f>
        <v>CLK</v>
      </c>
      <c r="B415" s="7" t="str">
        <f>TRIM(ETLMetadata!$C415)</f>
        <v>DETM_DETIS_CCDS</v>
      </c>
      <c r="C415" s="7" t="str">
        <f>TRIM(ETLMetadata!$F415)</f>
        <v>CCDS_RSN_CODE</v>
      </c>
      <c r="D415" s="7" t="str">
        <f>TRIM(ETLMetadata!$H415)</f>
        <v>StringType()</v>
      </c>
      <c r="E415" s="7" t="str">
        <f t="shared" ref="E415:E478" si="56">CONCATENATE($A415,"_",B415)</f>
        <v>CLK_DETM_DETIS_CCDS</v>
      </c>
      <c r="F415" s="7" t="str">
        <f t="shared" si="50"/>
        <v>CCDS_RSN_CODE</v>
      </c>
      <c r="G415" s="7" t="s">
        <v>825</v>
      </c>
      <c r="H415" s="7" t="str">
        <f t="shared" si="51"/>
        <v>CLK_DETM_DETIS_CCDS</v>
      </c>
      <c r="I415" s="7" t="str">
        <f t="shared" si="52"/>
        <v>CCDS_RSN_CODE</v>
      </c>
      <c r="J415" s="7" t="str">
        <f t="shared" si="53"/>
        <v>VARCHAR</v>
      </c>
      <c r="K415" s="7" t="str">
        <f>TRIM(ETLMetadata!$G415)</f>
        <v>CHAR(3)</v>
      </c>
      <c r="L415" s="7" t="str">
        <f>TRIM(ETLMetadata!$I415)</f>
        <v/>
      </c>
      <c r="M415" s="7" t="str">
        <f t="shared" si="54"/>
        <v>NULLIF(TRIM(CCDS_RSN_CODE),'')</v>
      </c>
      <c r="N415" s="7" t="str">
        <f>TRIM(ETLMetadata!$J415)</f>
        <v/>
      </c>
      <c r="O415" s="8" t="str">
        <f>IF(TRIM(Classification!$G415)="","NOT CONFIDENTIAL",TRIM(Classification!$G415))</f>
        <v>NOT CONFIDENTIAL</v>
      </c>
      <c r="P415" s="7" t="str">
        <f t="shared" si="55"/>
        <v>Y</v>
      </c>
      <c r="Q415" s="7" t="s">
        <v>826</v>
      </c>
      <c r="R415" s="9">
        <v>2958465</v>
      </c>
      <c r="S415" s="7" t="s">
        <v>827</v>
      </c>
      <c r="T415" s="7" t="s">
        <v>828</v>
      </c>
      <c r="U415" s="7" t="str">
        <f t="shared" ref="U415:U478" si="57">CONCATENATE(A415,"_",B415,"_V")</f>
        <v>CLK_DETM_DETIS_CCDS_V</v>
      </c>
      <c r="V415" s="7" t="s">
        <v>829</v>
      </c>
    </row>
    <row r="416" spans="1:22">
      <c r="A416" s="7" t="str">
        <f>TRIM(ETLMetadata!$B416)</f>
        <v>CLK</v>
      </c>
      <c r="B416" s="7" t="str">
        <f>TRIM(ETLMetadata!$C416)</f>
        <v>DETM_DETIS_CCDS</v>
      </c>
      <c r="C416" s="7" t="str">
        <f>TRIM(ETLMetadata!$F416)</f>
        <v>CCDS_UNIQ_ID</v>
      </c>
      <c r="D416" s="7" t="str">
        <f>TRIM(ETLMetadata!$H416)</f>
        <v>StringType()</v>
      </c>
      <c r="E416" s="7" t="str">
        <f t="shared" si="56"/>
        <v>CLK_DETM_DETIS_CCDS</v>
      </c>
      <c r="F416" s="7" t="str">
        <f t="shared" si="50"/>
        <v>CCDS_UNIQ_ID</v>
      </c>
      <c r="G416" s="7" t="s">
        <v>825</v>
      </c>
      <c r="H416" s="7" t="str">
        <f t="shared" si="51"/>
        <v>CLK_DETM_DETIS_CCDS</v>
      </c>
      <c r="I416" s="7" t="str">
        <f t="shared" si="52"/>
        <v>CCDS_UNIQ_ID</v>
      </c>
      <c r="J416" s="7" t="str">
        <f t="shared" si="53"/>
        <v>VARCHAR</v>
      </c>
      <c r="K416" s="7" t="str">
        <f>TRIM(ETLMetadata!$G416)</f>
        <v>VARCHAR(8)</v>
      </c>
      <c r="L416" s="7" t="str">
        <f>TRIM(ETLMetadata!$I416)</f>
        <v/>
      </c>
      <c r="M416" s="7" t="str">
        <f t="shared" si="54"/>
        <v>NULLIF(TRIM(CCDS_UNIQ_ID),'')</v>
      </c>
      <c r="N416" s="7" t="str">
        <f>TRIM(ETLMetadata!$J416)</f>
        <v/>
      </c>
      <c r="O416" s="8" t="str">
        <f>IF(TRIM(Classification!$G416)="","NOT CONFIDENTIAL",TRIM(Classification!$G416))</f>
        <v>NOT CONFIDENTIAL</v>
      </c>
      <c r="P416" s="7" t="str">
        <f t="shared" si="55"/>
        <v>Y</v>
      </c>
      <c r="Q416" s="7" t="s">
        <v>826</v>
      </c>
      <c r="R416" s="9">
        <v>2958465</v>
      </c>
      <c r="S416" s="7" t="s">
        <v>827</v>
      </c>
      <c r="T416" s="7" t="s">
        <v>828</v>
      </c>
      <c r="U416" s="7" t="str">
        <f t="shared" si="57"/>
        <v>CLK_DETM_DETIS_CCDS_V</v>
      </c>
      <c r="V416" s="7" t="s">
        <v>829</v>
      </c>
    </row>
    <row r="417" spans="1:22">
      <c r="A417" s="7" t="str">
        <f>TRIM(ETLMetadata!$B417)</f>
        <v>CLK</v>
      </c>
      <c r="B417" s="7" t="str">
        <f>TRIM(ETLMetadata!$C417)</f>
        <v>DETM_DETIS_CCDS</v>
      </c>
      <c r="C417" s="7" t="str">
        <f>TRIM(ETLMetadata!$F417)</f>
        <v>AMR1_RISL_DTS</v>
      </c>
      <c r="D417" s="7" t="str">
        <f>TRIM(ETLMetadata!$H417)</f>
        <v>StringType()</v>
      </c>
      <c r="E417" s="7" t="str">
        <f t="shared" si="56"/>
        <v>CLK_DETM_DETIS_CCDS</v>
      </c>
      <c r="F417" s="7" t="str">
        <f t="shared" si="50"/>
        <v>AMR1_RISL_DTS</v>
      </c>
      <c r="G417" s="7" t="s">
        <v>825</v>
      </c>
      <c r="H417" s="7" t="str">
        <f t="shared" si="51"/>
        <v>CLK_DETM_DETIS_CCDS</v>
      </c>
      <c r="I417" s="7" t="str">
        <f t="shared" si="52"/>
        <v>AMR1_RISL_DTS</v>
      </c>
      <c r="J417" s="7" t="str">
        <f t="shared" si="53"/>
        <v>TIMESTAMP</v>
      </c>
      <c r="K417" s="7" t="str">
        <f>TRIM(ETLMetadata!$G417)</f>
        <v>TIMESTAMP(6)</v>
      </c>
      <c r="L417" s="7" t="str">
        <f>TRIM(ETLMetadata!$I417)</f>
        <v>YYYY-MM-DDBHH:MI:SS.S(6)</v>
      </c>
      <c r="M417" s="7" t="str">
        <f t="shared" si="54"/>
        <v>TO_TIMESTAMP_NTZ(NULLIF(TRIM(AMR1_RISL_DTS),''),'YYYY-MM-DD HH24:MI:SS.FF6')</v>
      </c>
      <c r="N417" s="7" t="str">
        <f>TRIM(ETLMetadata!$J417)</f>
        <v/>
      </c>
      <c r="O417" s="8" t="str">
        <f>IF(TRIM(Classification!$G417)="","NOT CONFIDENTIAL",TRIM(Classification!$G417))</f>
        <v>NOT CONFIDENTIAL</v>
      </c>
      <c r="P417" s="7" t="str">
        <f t="shared" si="55"/>
        <v>Y</v>
      </c>
      <c r="Q417" s="7" t="s">
        <v>826</v>
      </c>
      <c r="R417" s="9">
        <v>2958465</v>
      </c>
      <c r="S417" s="7" t="s">
        <v>827</v>
      </c>
      <c r="T417" s="7" t="s">
        <v>828</v>
      </c>
      <c r="U417" s="7" t="str">
        <f t="shared" si="57"/>
        <v>CLK_DETM_DETIS_CCDS_V</v>
      </c>
      <c r="V417" s="7" t="s">
        <v>829</v>
      </c>
    </row>
    <row r="418" spans="1:22">
      <c r="A418" s="7" t="str">
        <f>TRIM(ETLMetadata!$B418)</f>
        <v>CLK</v>
      </c>
      <c r="B418" s="7" t="str">
        <f>TRIM(ETLMetadata!$C418)</f>
        <v>DETM_DETIS_CCDS</v>
      </c>
      <c r="C418" s="7" t="str">
        <f>TRIM(ETLMetadata!$F418)</f>
        <v>AMR3_RISL_DTS</v>
      </c>
      <c r="D418" s="7" t="str">
        <f>TRIM(ETLMetadata!$H418)</f>
        <v>StringType()</v>
      </c>
      <c r="E418" s="7" t="str">
        <f t="shared" si="56"/>
        <v>CLK_DETM_DETIS_CCDS</v>
      </c>
      <c r="F418" s="7" t="str">
        <f t="shared" si="50"/>
        <v>AMR3_RISL_DTS</v>
      </c>
      <c r="G418" s="7" t="s">
        <v>825</v>
      </c>
      <c r="H418" s="7" t="str">
        <f t="shared" si="51"/>
        <v>CLK_DETM_DETIS_CCDS</v>
      </c>
      <c r="I418" s="7" t="str">
        <f t="shared" si="52"/>
        <v>AMR3_RISL_DTS</v>
      </c>
      <c r="J418" s="7" t="str">
        <f t="shared" si="53"/>
        <v>TIMESTAMP</v>
      </c>
      <c r="K418" s="7" t="str">
        <f>TRIM(ETLMetadata!$G418)</f>
        <v>TIMESTAMP(6)</v>
      </c>
      <c r="L418" s="7" t="str">
        <f>TRIM(ETLMetadata!$I418)</f>
        <v>YYYY-MM-DDBHH:MI:SS.S(6)</v>
      </c>
      <c r="M418" s="7" t="str">
        <f t="shared" si="54"/>
        <v>TO_TIMESTAMP_NTZ(NULLIF(TRIM(AMR3_RISL_DTS),''),'YYYY-MM-DD HH24:MI:SS.FF6')</v>
      </c>
      <c r="N418" s="7" t="str">
        <f>TRIM(ETLMetadata!$J418)</f>
        <v/>
      </c>
      <c r="O418" s="8" t="str">
        <f>IF(TRIM(Classification!$G418)="","NOT CONFIDENTIAL",TRIM(Classification!$G418))</f>
        <v>NOT CONFIDENTIAL</v>
      </c>
      <c r="P418" s="7" t="str">
        <f t="shared" si="55"/>
        <v>Y</v>
      </c>
      <c r="Q418" s="7" t="s">
        <v>826</v>
      </c>
      <c r="R418" s="9">
        <v>2958465</v>
      </c>
      <c r="S418" s="7" t="s">
        <v>827</v>
      </c>
      <c r="T418" s="7" t="s">
        <v>828</v>
      </c>
      <c r="U418" s="7" t="str">
        <f t="shared" si="57"/>
        <v>CLK_DETM_DETIS_CCDS_V</v>
      </c>
      <c r="V418" s="7" t="s">
        <v>829</v>
      </c>
    </row>
    <row r="419" spans="1:22">
      <c r="A419" s="7" t="str">
        <f>TRIM(ETLMetadata!$B419)</f>
        <v>CLK</v>
      </c>
      <c r="B419" s="7" t="str">
        <f>TRIM(ETLMetadata!$C419)</f>
        <v>DETM_DETIS_CCDS</v>
      </c>
      <c r="C419" s="7" t="str">
        <f>TRIM(ETLMetadata!$F419)</f>
        <v>EPISODE_ID</v>
      </c>
      <c r="D419" s="7" t="str">
        <f>TRIM(ETLMetadata!$H419)</f>
        <v>StringType()</v>
      </c>
      <c r="E419" s="7" t="str">
        <f t="shared" si="56"/>
        <v>CLK_DETM_DETIS_CCDS</v>
      </c>
      <c r="F419" s="7" t="str">
        <f t="shared" si="50"/>
        <v>EPISODE_ID</v>
      </c>
      <c r="G419" s="7" t="s">
        <v>825</v>
      </c>
      <c r="H419" s="7" t="str">
        <f t="shared" si="51"/>
        <v>CLK_DETM_DETIS_CCDS</v>
      </c>
      <c r="I419" s="7" t="str">
        <f t="shared" si="52"/>
        <v>EPISODE_ID</v>
      </c>
      <c r="J419" s="7" t="str">
        <f t="shared" si="53"/>
        <v>INTEGER</v>
      </c>
      <c r="K419" s="7" t="str">
        <f>TRIM(ETLMetadata!$G419)</f>
        <v>INTEGER</v>
      </c>
      <c r="L419" s="7" t="str">
        <f>TRIM(ETLMetadata!$I419)</f>
        <v/>
      </c>
      <c r="M419" s="7" t="str">
        <f t="shared" si="54"/>
        <v>CAST(NULLIF(TRIM(EPISODE_ID),'') AS INTEGER)</v>
      </c>
      <c r="N419" s="7" t="str">
        <f>TRIM(ETLMetadata!$J419)</f>
        <v/>
      </c>
      <c r="O419" s="8" t="str">
        <f>IF(TRIM(Classification!$G419)="","NOT CONFIDENTIAL",TRIM(Classification!$G419))</f>
        <v>NOT CONFIDENTIAL</v>
      </c>
      <c r="P419" s="7" t="str">
        <f t="shared" si="55"/>
        <v>Y</v>
      </c>
      <c r="Q419" s="7" t="s">
        <v>826</v>
      </c>
      <c r="R419" s="9">
        <v>2958465</v>
      </c>
      <c r="S419" s="7" t="s">
        <v>827</v>
      </c>
      <c r="T419" s="7" t="s">
        <v>828</v>
      </c>
      <c r="U419" s="7" t="str">
        <f t="shared" si="57"/>
        <v>CLK_DETM_DETIS_CCDS_V</v>
      </c>
      <c r="V419" s="7" t="s">
        <v>829</v>
      </c>
    </row>
    <row r="420" spans="1:22">
      <c r="A420" s="7" t="str">
        <f>TRIM(ETLMetadata!$B420)</f>
        <v>CLK</v>
      </c>
      <c r="B420" s="7" t="str">
        <f>TRIM(ETLMetadata!$C420)</f>
        <v>DETM_DETIS_CCDS</v>
      </c>
      <c r="C420" s="7" t="str">
        <f>TRIM(ETLMetadata!$F420)</f>
        <v>PARTY_ROLE_ID</v>
      </c>
      <c r="D420" s="7" t="str">
        <f>TRIM(ETLMetadata!$H420)</f>
        <v>StringType()</v>
      </c>
      <c r="E420" s="7" t="str">
        <f t="shared" si="56"/>
        <v>CLK_DETM_DETIS_CCDS</v>
      </c>
      <c r="F420" s="7" t="str">
        <f t="shared" si="50"/>
        <v>PARTY_ROLE_ID</v>
      </c>
      <c r="G420" s="7" t="s">
        <v>825</v>
      </c>
      <c r="H420" s="7" t="str">
        <f t="shared" si="51"/>
        <v>CLK_DETM_DETIS_CCDS</v>
      </c>
      <c r="I420" s="7" t="str">
        <f t="shared" si="52"/>
        <v>PARTY_ROLE_ID</v>
      </c>
      <c r="J420" s="7" t="str">
        <f t="shared" si="53"/>
        <v>INTEGER</v>
      </c>
      <c r="K420" s="7" t="str">
        <f>TRIM(ETLMetadata!$G420)</f>
        <v>INTEGER</v>
      </c>
      <c r="L420" s="7" t="str">
        <f>TRIM(ETLMetadata!$I420)</f>
        <v/>
      </c>
      <c r="M420" s="7" t="str">
        <f t="shared" si="54"/>
        <v>CAST(NULLIF(TRIM(PARTY_ROLE_ID),'') AS INTEGER)</v>
      </c>
      <c r="N420" s="7" t="str">
        <f>TRIM(ETLMetadata!$J420)</f>
        <v/>
      </c>
      <c r="O420" s="8" t="str">
        <f>IF(TRIM(Classification!$G420)="","NOT CONFIDENTIAL",TRIM(Classification!$G420))</f>
        <v>NOT CONFIDENTIAL</v>
      </c>
      <c r="P420" s="7" t="str">
        <f t="shared" si="55"/>
        <v>Y</v>
      </c>
      <c r="Q420" s="7" t="s">
        <v>826</v>
      </c>
      <c r="R420" s="9">
        <v>2958465</v>
      </c>
      <c r="S420" s="7" t="s">
        <v>827</v>
      </c>
      <c r="T420" s="7" t="s">
        <v>828</v>
      </c>
      <c r="U420" s="7" t="str">
        <f t="shared" si="57"/>
        <v>CLK_DETM_DETIS_CCDS_V</v>
      </c>
      <c r="V420" s="7" t="s">
        <v>829</v>
      </c>
    </row>
    <row r="421" spans="1:22">
      <c r="A421" s="7" t="str">
        <f>TRIM(ETLMetadata!$B421)</f>
        <v>CLK</v>
      </c>
      <c r="B421" s="7" t="str">
        <f>TRIM(ETLMetadata!$C421)</f>
        <v>DETM_DETIS_CCDS</v>
      </c>
      <c r="C421" s="7" t="str">
        <f>TRIM(ETLMetadata!$F421)</f>
        <v>PAYMENT_TYPE_ID</v>
      </c>
      <c r="D421" s="7" t="str">
        <f>TRIM(ETLMetadata!$H421)</f>
        <v>StringType()</v>
      </c>
      <c r="E421" s="7" t="str">
        <f t="shared" si="56"/>
        <v>CLK_DETM_DETIS_CCDS</v>
      </c>
      <c r="F421" s="7" t="str">
        <f t="shared" si="50"/>
        <v>PAYMENT_TYPE_ID</v>
      </c>
      <c r="G421" s="7" t="s">
        <v>825</v>
      </c>
      <c r="H421" s="7" t="str">
        <f t="shared" si="51"/>
        <v>CLK_DETM_DETIS_CCDS</v>
      </c>
      <c r="I421" s="7" t="str">
        <f t="shared" si="52"/>
        <v>PAYMENT_TYPE_ID</v>
      </c>
      <c r="J421" s="7" t="str">
        <f t="shared" si="53"/>
        <v>INTEGER</v>
      </c>
      <c r="K421" s="7" t="str">
        <f>TRIM(ETLMetadata!$G421)</f>
        <v>INTEGER</v>
      </c>
      <c r="L421" s="7" t="str">
        <f>TRIM(ETLMetadata!$I421)</f>
        <v/>
      </c>
      <c r="M421" s="7" t="str">
        <f t="shared" si="54"/>
        <v>CAST(NULLIF(TRIM(PAYMENT_TYPE_ID),'') AS INTEGER)</v>
      </c>
      <c r="N421" s="7" t="str">
        <f>TRIM(ETLMetadata!$J421)</f>
        <v/>
      </c>
      <c r="O421" s="8" t="str">
        <f>IF(TRIM(Classification!$G421)="","NOT CONFIDENTIAL",TRIM(Classification!$G421))</f>
        <v>NOT CONFIDENTIAL</v>
      </c>
      <c r="P421" s="7" t="str">
        <f t="shared" si="55"/>
        <v>Y</v>
      </c>
      <c r="Q421" s="7" t="s">
        <v>826</v>
      </c>
      <c r="R421" s="9">
        <v>2958465</v>
      </c>
      <c r="S421" s="7" t="s">
        <v>827</v>
      </c>
      <c r="T421" s="7" t="s">
        <v>828</v>
      </c>
      <c r="U421" s="7" t="str">
        <f t="shared" si="57"/>
        <v>CLK_DETM_DETIS_CCDS_V</v>
      </c>
      <c r="V421" s="7" t="s">
        <v>829</v>
      </c>
    </row>
    <row r="422" spans="1:22">
      <c r="A422" s="7" t="str">
        <f>TRIM(ETLMetadata!$B422)</f>
        <v>CLK</v>
      </c>
      <c r="B422" s="7" t="str">
        <f>TRIM(ETLMetadata!$C422)</f>
        <v>DETM_DETIS_CCDS</v>
      </c>
      <c r="C422" s="7" t="str">
        <f>TRIM(ETLMetadata!$F422)</f>
        <v>ERROR_COUNT</v>
      </c>
      <c r="D422" s="7" t="str">
        <f>TRIM(ETLMetadata!$H422)</f>
        <v>StringType()</v>
      </c>
      <c r="E422" s="7" t="str">
        <f t="shared" si="56"/>
        <v>CLK_DETM_DETIS_CCDS</v>
      </c>
      <c r="F422" s="7" t="str">
        <f t="shared" si="50"/>
        <v>ERROR_COUNT</v>
      </c>
      <c r="G422" s="7" t="s">
        <v>825</v>
      </c>
      <c r="H422" s="7" t="str">
        <f t="shared" si="51"/>
        <v>CLK_DETM_DETIS_CCDS</v>
      </c>
      <c r="I422" s="7" t="str">
        <f t="shared" si="52"/>
        <v>ERROR_COUNT</v>
      </c>
      <c r="J422" s="7" t="str">
        <f t="shared" si="53"/>
        <v>SMALLINT</v>
      </c>
      <c r="K422" s="7" t="str">
        <f>TRIM(ETLMetadata!$G422)</f>
        <v>SMALLINT</v>
      </c>
      <c r="L422" s="7" t="str">
        <f>TRIM(ETLMetadata!$I422)</f>
        <v/>
      </c>
      <c r="M422" s="7" t="str">
        <f t="shared" si="54"/>
        <v>CAST(NULLIF(TRIM(ERROR_COUNT),'') AS SMALLINT)</v>
      </c>
      <c r="N422" s="7" t="str">
        <f>TRIM(ETLMetadata!$J422)</f>
        <v/>
      </c>
      <c r="O422" s="8" t="str">
        <f>IF(TRIM(Classification!$G422)="","NOT CONFIDENTIAL",TRIM(Classification!$G422))</f>
        <v>NOT CONFIDENTIAL</v>
      </c>
      <c r="P422" s="7" t="str">
        <f t="shared" si="55"/>
        <v>Y</v>
      </c>
      <c r="Q422" s="7" t="s">
        <v>826</v>
      </c>
      <c r="R422" s="9">
        <v>2958465</v>
      </c>
      <c r="S422" s="7" t="s">
        <v>827</v>
      </c>
      <c r="T422" s="7" t="s">
        <v>828</v>
      </c>
      <c r="U422" s="7" t="str">
        <f t="shared" si="57"/>
        <v>CLK_DETM_DETIS_CCDS_V</v>
      </c>
      <c r="V422" s="7" t="s">
        <v>829</v>
      </c>
    </row>
    <row r="423" spans="1:22">
      <c r="A423" s="7" t="str">
        <f>TRIM(ETLMetadata!$B423)</f>
        <v>CLK</v>
      </c>
      <c r="B423" s="7" t="str">
        <f>TRIM(ETLMetadata!$C423)</f>
        <v>DETM_DETIS_CCDS</v>
      </c>
      <c r="C423" s="7" t="str">
        <f>TRIM(ETLMetadata!$F423)</f>
        <v>Start_Date</v>
      </c>
      <c r="D423" s="7" t="str">
        <f>TRIM(ETLMetadata!$H423)</f>
        <v>StringType()</v>
      </c>
      <c r="E423" s="7" t="str">
        <f t="shared" si="56"/>
        <v>CLK_DETM_DETIS_CCDS</v>
      </c>
      <c r="F423" s="7" t="str">
        <f t="shared" si="50"/>
        <v>STRT_DT</v>
      </c>
      <c r="G423" s="7" t="s">
        <v>825</v>
      </c>
      <c r="H423" s="7" t="str">
        <f t="shared" si="51"/>
        <v>CLK_DETM_DETIS_CCDS</v>
      </c>
      <c r="I423" s="7" t="str">
        <f t="shared" si="52"/>
        <v>STRT_DT</v>
      </c>
      <c r="J423" s="7" t="str">
        <f t="shared" si="53"/>
        <v>DATE</v>
      </c>
      <c r="K423" s="7" t="str">
        <f>TRIM(ETLMetadata!$G423)</f>
        <v>DATE</v>
      </c>
      <c r="L423" s="7" t="str">
        <f>TRIM(ETLMetadata!$I423)</f>
        <v>YYYY-MM-DD</v>
      </c>
      <c r="M423" s="7" t="str">
        <f t="shared" si="54"/>
        <v>TO_DATE(NULLIF(TRIM(STRT_DT),'') , 'YYYY-MM-DD')</v>
      </c>
      <c r="N423" s="7" t="str">
        <f>TRIM(ETLMetadata!$J423)</f>
        <v/>
      </c>
      <c r="O423" s="8" t="str">
        <f>IF(TRIM(Classification!$G423)="","NOT CONFIDENTIAL",TRIM(Classification!$G423))</f>
        <v>NOT CONFIDENTIAL</v>
      </c>
      <c r="P423" s="7" t="str">
        <f t="shared" si="55"/>
        <v>N</v>
      </c>
      <c r="Q423" s="7" t="s">
        <v>826</v>
      </c>
      <c r="R423" s="9">
        <v>2958465</v>
      </c>
      <c r="S423" s="7" t="s">
        <v>827</v>
      </c>
      <c r="T423" s="7" t="s">
        <v>828</v>
      </c>
      <c r="U423" s="7" t="str">
        <f t="shared" si="57"/>
        <v>CLK_DETM_DETIS_CCDS_V</v>
      </c>
      <c r="V423" s="7" t="s">
        <v>829</v>
      </c>
    </row>
    <row r="424" spans="1:22">
      <c r="A424" s="7" t="str">
        <f>TRIM(ETLMetadata!$B424)</f>
        <v>CLK</v>
      </c>
      <c r="B424" s="7" t="str">
        <f>TRIM(ETLMetadata!$C424)</f>
        <v>DETM_DETIS_CCDS</v>
      </c>
      <c r="C424" s="7" t="str">
        <f>TRIM(ETLMetadata!$F424)</f>
        <v>End_Date</v>
      </c>
      <c r="D424" s="7" t="str">
        <f>TRIM(ETLMetadata!$H424)</f>
        <v>StringType()</v>
      </c>
      <c r="E424" s="7" t="str">
        <f t="shared" si="56"/>
        <v>CLK_DETM_DETIS_CCDS</v>
      </c>
      <c r="F424" s="7" t="str">
        <f t="shared" si="50"/>
        <v>END_DT</v>
      </c>
      <c r="G424" s="7" t="s">
        <v>825</v>
      </c>
      <c r="H424" s="7" t="str">
        <f t="shared" si="51"/>
        <v>CLK_DETM_DETIS_CCDS</v>
      </c>
      <c r="I424" s="7" t="str">
        <f t="shared" si="52"/>
        <v>END_DT</v>
      </c>
      <c r="J424" s="7" t="str">
        <f t="shared" si="53"/>
        <v>DATE</v>
      </c>
      <c r="K424" s="7" t="str">
        <f>TRIM(ETLMetadata!$G424)</f>
        <v>DATE</v>
      </c>
      <c r="L424" s="7" t="str">
        <f>TRIM(ETLMetadata!$I424)</f>
        <v>YYYY-MM-DD</v>
      </c>
      <c r="M424" s="7" t="str">
        <f t="shared" si="54"/>
        <v>TO_DATE(NULLIF(TRIM(END_DT),'') , 'YYYY-MM-DD')</v>
      </c>
      <c r="N424" s="7" t="str">
        <f>TRIM(ETLMetadata!$J424)</f>
        <v/>
      </c>
      <c r="O424" s="8" t="str">
        <f>IF(TRIM(Classification!$G424)="","NOT CONFIDENTIAL",TRIM(Classification!$G424))</f>
        <v>NOT CONFIDENTIAL</v>
      </c>
      <c r="P424" s="7" t="str">
        <f t="shared" si="55"/>
        <v>N</v>
      </c>
      <c r="Q424" s="7" t="s">
        <v>826</v>
      </c>
      <c r="R424" s="9">
        <v>2958465</v>
      </c>
      <c r="S424" s="7" t="s">
        <v>827</v>
      </c>
      <c r="T424" s="7" t="s">
        <v>828</v>
      </c>
      <c r="U424" s="7" t="str">
        <f t="shared" si="57"/>
        <v>CLK_DETM_DETIS_CCDS_V</v>
      </c>
      <c r="V424" s="7" t="s">
        <v>829</v>
      </c>
    </row>
    <row r="425" spans="1:22">
      <c r="A425" s="7" t="str">
        <f>TRIM(ETLMetadata!$B425)</f>
        <v>CLK</v>
      </c>
      <c r="B425" s="7" t="str">
        <f>TRIM(ETLMetadata!$C425)</f>
        <v>DETM_DETIS_CCDS</v>
      </c>
      <c r="C425" s="7" t="str">
        <f>TRIM(ETLMetadata!$F425)</f>
        <v>Record_Deleted_Flag</v>
      </c>
      <c r="D425" s="7" t="str">
        <f>TRIM(ETLMetadata!$H425)</f>
        <v>StringType()</v>
      </c>
      <c r="E425" s="7" t="str">
        <f t="shared" si="56"/>
        <v>CLK_DETM_DETIS_CCDS</v>
      </c>
      <c r="F425" s="7" t="str">
        <f t="shared" si="50"/>
        <v>RCRD_DEL_IND</v>
      </c>
      <c r="G425" s="7" t="s">
        <v>825</v>
      </c>
      <c r="H425" s="7" t="str">
        <f t="shared" si="51"/>
        <v>CLK_DETM_DETIS_CCDS</v>
      </c>
      <c r="I425" s="7" t="str">
        <f t="shared" si="52"/>
        <v>RCRD_DEL_IND</v>
      </c>
      <c r="J425" s="7" t="str">
        <f t="shared" si="53"/>
        <v>SMALLINT</v>
      </c>
      <c r="K425" s="7" t="str">
        <f>TRIM(ETLMetadata!$G425)</f>
        <v>BYTEINT</v>
      </c>
      <c r="L425" s="7" t="str">
        <f>TRIM(ETLMetadata!$I425)</f>
        <v/>
      </c>
      <c r="M425" s="7" t="str">
        <f t="shared" si="54"/>
        <v>CAST(NULLIF(TRIM(RCRD_DEL_IND),'') AS SMALLINT)</v>
      </c>
      <c r="N425" s="7" t="str">
        <f>TRIM(ETLMetadata!$J425)</f>
        <v/>
      </c>
      <c r="O425" s="8" t="str">
        <f>IF(TRIM(Classification!$G425)="","NOT CONFIDENTIAL",TRIM(Classification!$G425))</f>
        <v>NOT CONFIDENTIAL</v>
      </c>
      <c r="P425" s="7" t="str">
        <f t="shared" si="55"/>
        <v>N</v>
      </c>
      <c r="Q425" s="7" t="s">
        <v>826</v>
      </c>
      <c r="R425" s="9">
        <v>2958465</v>
      </c>
      <c r="S425" s="7" t="s">
        <v>827</v>
      </c>
      <c r="T425" s="7" t="s">
        <v>828</v>
      </c>
      <c r="U425" s="7" t="str">
        <f t="shared" si="57"/>
        <v>CLK_DETM_DETIS_CCDS_V</v>
      </c>
      <c r="V425" s="7" t="s">
        <v>829</v>
      </c>
    </row>
    <row r="426" spans="1:22">
      <c r="A426" s="7" t="str">
        <f>TRIM(ETLMetadata!$B426)</f>
        <v>CLK</v>
      </c>
      <c r="B426" s="7" t="str">
        <f>TRIM(ETLMetadata!$C426)</f>
        <v>DETM_DETIS_CJDS</v>
      </c>
      <c r="C426" s="7" t="str">
        <f>TRIM(ETLMetadata!$F426)</f>
        <v>EXTRACT_DATE</v>
      </c>
      <c r="D426" s="7" t="str">
        <f>TRIM(ETLMetadata!$H426)</f>
        <v>StringType()</v>
      </c>
      <c r="E426" s="7" t="str">
        <f t="shared" si="56"/>
        <v>CLK_DETM_DETIS_CJDS</v>
      </c>
      <c r="F426" s="7" t="str">
        <f t="shared" si="50"/>
        <v>EXTRACT_DATE</v>
      </c>
      <c r="G426" s="7" t="s">
        <v>825</v>
      </c>
      <c r="H426" s="7" t="str">
        <f t="shared" si="51"/>
        <v>CLK_DETM_DETIS_CJDS</v>
      </c>
      <c r="I426" s="7" t="str">
        <f t="shared" si="52"/>
        <v>EXTRACT_DATE</v>
      </c>
      <c r="J426" s="7" t="str">
        <f t="shared" si="53"/>
        <v>DATE</v>
      </c>
      <c r="K426" s="7" t="str">
        <f>TRIM(ETLMetadata!$G426)</f>
        <v>DATE</v>
      </c>
      <c r="L426" s="7" t="str">
        <f>TRIM(ETLMetadata!$I426)</f>
        <v>YYYY-MM-DD</v>
      </c>
      <c r="M426" s="7" t="str">
        <f t="shared" si="54"/>
        <v>TO_DATE(NULLIF(TRIM(EXTRACT_DATE),'') , 'YYYY-MM-DD')</v>
      </c>
      <c r="N426" s="7" t="str">
        <f>TRIM(ETLMetadata!$J426)</f>
        <v/>
      </c>
      <c r="O426" s="8" t="str">
        <f>IF(TRIM(Classification!$G426)="","NOT CONFIDENTIAL",TRIM(Classification!$G426))</f>
        <v>NOT CONFIDENTIAL</v>
      </c>
      <c r="P426" s="7" t="str">
        <f t="shared" si="55"/>
        <v>Y</v>
      </c>
      <c r="Q426" s="7" t="s">
        <v>826</v>
      </c>
      <c r="R426" s="9">
        <v>2958465</v>
      </c>
      <c r="S426" s="7" t="s">
        <v>827</v>
      </c>
      <c r="T426" s="7" t="s">
        <v>828</v>
      </c>
      <c r="U426" s="7" t="str">
        <f t="shared" si="57"/>
        <v>CLK_DETM_DETIS_CJDS_V</v>
      </c>
      <c r="V426" s="7" t="s">
        <v>829</v>
      </c>
    </row>
    <row r="427" spans="1:22">
      <c r="A427" s="7" t="str">
        <f>TRIM(ETLMetadata!$B427)</f>
        <v>CLK</v>
      </c>
      <c r="B427" s="7" t="str">
        <f>TRIM(ETLMetadata!$C427)</f>
        <v>DETM_DETIS_CJDS</v>
      </c>
      <c r="C427" s="7" t="str">
        <f>TRIM(ETLMetadata!$F427)</f>
        <v>LOGICAL_DELETE_DATE</v>
      </c>
      <c r="D427" s="7" t="str">
        <f>TRIM(ETLMetadata!$H427)</f>
        <v>StringType()</v>
      </c>
      <c r="E427" s="7" t="str">
        <f t="shared" si="56"/>
        <v>CLK_DETM_DETIS_CJDS</v>
      </c>
      <c r="F427" s="7" t="str">
        <f t="shared" si="50"/>
        <v>LOGICAL_DELETE_DATE</v>
      </c>
      <c r="G427" s="7" t="s">
        <v>825</v>
      </c>
      <c r="H427" s="7" t="str">
        <f t="shared" si="51"/>
        <v>CLK_DETM_DETIS_CJDS</v>
      </c>
      <c r="I427" s="7" t="str">
        <f t="shared" si="52"/>
        <v>LOGICAL_DELETE_DATE</v>
      </c>
      <c r="J427" s="7" t="str">
        <f t="shared" si="53"/>
        <v>DATE</v>
      </c>
      <c r="K427" s="7" t="str">
        <f>TRIM(ETLMetadata!$G427)</f>
        <v>DATE</v>
      </c>
      <c r="L427" s="7" t="str">
        <f>TRIM(ETLMetadata!$I427)</f>
        <v>YYYY-MM-DD</v>
      </c>
      <c r="M427" s="7" t="str">
        <f t="shared" si="54"/>
        <v>TO_DATE(NULLIF(TRIM(LOGICAL_DELETE_DATE),'') , 'YYYY-MM-DD')</v>
      </c>
      <c r="N427" s="7" t="str">
        <f>TRIM(ETLMetadata!$J427)</f>
        <v/>
      </c>
      <c r="O427" s="8" t="str">
        <f>IF(TRIM(Classification!$G427)="","NOT CONFIDENTIAL",TRIM(Classification!$G427))</f>
        <v>NOT CONFIDENTIAL</v>
      </c>
      <c r="P427" s="7" t="str">
        <f t="shared" si="55"/>
        <v>Y</v>
      </c>
      <c r="Q427" s="7" t="s">
        <v>826</v>
      </c>
      <c r="R427" s="9">
        <v>2958465</v>
      </c>
      <c r="S427" s="7" t="s">
        <v>827</v>
      </c>
      <c r="T427" s="7" t="s">
        <v>828</v>
      </c>
      <c r="U427" s="7" t="str">
        <f t="shared" si="57"/>
        <v>CLK_DETM_DETIS_CJDS_V</v>
      </c>
      <c r="V427" s="7" t="s">
        <v>829</v>
      </c>
    </row>
    <row r="428" spans="1:22">
      <c r="A428" s="7" t="str">
        <f>TRIM(ETLMetadata!$B428)</f>
        <v>CLK</v>
      </c>
      <c r="B428" s="7" t="str">
        <f>TRIM(ETLMetadata!$C428)</f>
        <v>DETM_DETIS_CJDS</v>
      </c>
      <c r="C428" s="7" t="str">
        <f>TRIM(ETLMetadata!$F428)</f>
        <v>ENVIRONMENT_ID</v>
      </c>
      <c r="D428" s="7" t="str">
        <f>TRIM(ETLMetadata!$H428)</f>
        <v>StringType()</v>
      </c>
      <c r="E428" s="7" t="str">
        <f t="shared" si="56"/>
        <v>CLK_DETM_DETIS_CJDS</v>
      </c>
      <c r="F428" s="7" t="str">
        <f t="shared" si="50"/>
        <v>ENVIRONMENT_ID</v>
      </c>
      <c r="G428" s="7" t="s">
        <v>825</v>
      </c>
      <c r="H428" s="7" t="str">
        <f t="shared" si="51"/>
        <v>CLK_DETM_DETIS_CJDS</v>
      </c>
      <c r="I428" s="7" t="str">
        <f t="shared" si="52"/>
        <v>ENVIRONMENT_ID</v>
      </c>
      <c r="J428" s="7" t="str">
        <f t="shared" si="53"/>
        <v>VARCHAR</v>
      </c>
      <c r="K428" s="7" t="str">
        <f>TRIM(ETLMetadata!$G428)</f>
        <v>CHAR(1)</v>
      </c>
      <c r="L428" s="7" t="str">
        <f>TRIM(ETLMetadata!$I428)</f>
        <v/>
      </c>
      <c r="M428" s="7" t="str">
        <f t="shared" si="54"/>
        <v>NULLIF(TRIM(ENVIRONMENT_ID),'')</v>
      </c>
      <c r="N428" s="7" t="str">
        <f>TRIM(ETLMetadata!$J428)</f>
        <v>Y</v>
      </c>
      <c r="O428" s="8" t="str">
        <f>IF(TRIM(Classification!$G428)="","NOT CONFIDENTIAL",TRIM(Classification!$G428))</f>
        <v>NOT CONFIDENTIAL</v>
      </c>
      <c r="P428" s="7" t="str">
        <f t="shared" si="55"/>
        <v>Y</v>
      </c>
      <c r="Q428" s="7" t="s">
        <v>826</v>
      </c>
      <c r="R428" s="9">
        <v>2958465</v>
      </c>
      <c r="S428" s="7" t="s">
        <v>827</v>
      </c>
      <c r="T428" s="7" t="s">
        <v>828</v>
      </c>
      <c r="U428" s="7" t="str">
        <f t="shared" si="57"/>
        <v>CLK_DETM_DETIS_CJDS_V</v>
      </c>
      <c r="V428" s="7" t="s">
        <v>829</v>
      </c>
    </row>
    <row r="429" spans="1:22">
      <c r="A429" s="7" t="str">
        <f>TRIM(ETLMetadata!$B429)</f>
        <v>CLK</v>
      </c>
      <c r="B429" s="7" t="str">
        <f>TRIM(ETLMetadata!$C429)</f>
        <v>DETM_DETIS_CJDS</v>
      </c>
      <c r="C429" s="7" t="str">
        <f>TRIM(ETLMetadata!$F429)</f>
        <v>PERSON_ID</v>
      </c>
      <c r="D429" s="7" t="str">
        <f>TRIM(ETLMetadata!$H429)</f>
        <v>StringType()</v>
      </c>
      <c r="E429" s="7" t="str">
        <f t="shared" si="56"/>
        <v>CLK_DETM_DETIS_CJDS</v>
      </c>
      <c r="F429" s="7" t="str">
        <f t="shared" si="50"/>
        <v>PERSON_ID</v>
      </c>
      <c r="G429" s="7" t="s">
        <v>825</v>
      </c>
      <c r="H429" s="7" t="str">
        <f t="shared" si="51"/>
        <v>CLK_DETM_DETIS_CJDS</v>
      </c>
      <c r="I429" s="7" t="str">
        <f t="shared" si="52"/>
        <v>PERSON_ID</v>
      </c>
      <c r="J429" s="7" t="str">
        <f t="shared" si="53"/>
        <v>INTEGER</v>
      </c>
      <c r="K429" s="7" t="str">
        <f>TRIM(ETLMetadata!$G429)</f>
        <v>INTEGER</v>
      </c>
      <c r="L429" s="7" t="str">
        <f>TRIM(ETLMetadata!$I429)</f>
        <v/>
      </c>
      <c r="M429" s="7" t="str">
        <f t="shared" si="54"/>
        <v>CAST(NULLIF(TRIM(PERSON_ID),'') AS INTEGER)</v>
      </c>
      <c r="N429" s="7" t="str">
        <f>TRIM(ETLMetadata!$J429)</f>
        <v>Y</v>
      </c>
      <c r="O429" s="8" t="str">
        <f>IF(TRIM(Classification!$G429)="","NOT CONFIDENTIAL",TRIM(Classification!$G429))</f>
        <v>PERSONAL_IDENTITYINFOINDIRECT</v>
      </c>
      <c r="P429" s="7" t="str">
        <f t="shared" si="55"/>
        <v>Y</v>
      </c>
      <c r="Q429" s="7" t="s">
        <v>826</v>
      </c>
      <c r="R429" s="9">
        <v>2958465</v>
      </c>
      <c r="S429" s="7" t="s">
        <v>827</v>
      </c>
      <c r="T429" s="7" t="s">
        <v>828</v>
      </c>
      <c r="U429" s="7" t="str">
        <f t="shared" si="57"/>
        <v>CLK_DETM_DETIS_CJDS_V</v>
      </c>
      <c r="V429" s="7" t="s">
        <v>829</v>
      </c>
    </row>
    <row r="430" spans="1:22">
      <c r="A430" s="7" t="str">
        <f>TRIM(ETLMetadata!$B430)</f>
        <v>CLK</v>
      </c>
      <c r="B430" s="7" t="str">
        <f>TRIM(ETLMetadata!$C430)</f>
        <v>DETM_DETIS_CJDS</v>
      </c>
      <c r="C430" s="7" t="str">
        <f>TRIM(ETLMetadata!$F430)</f>
        <v>CJDS_DOE</v>
      </c>
      <c r="D430" s="7" t="str">
        <f>TRIM(ETLMetadata!$H430)</f>
        <v>StringType()</v>
      </c>
      <c r="E430" s="7" t="str">
        <f t="shared" si="56"/>
        <v>CLK_DETM_DETIS_CJDS</v>
      </c>
      <c r="F430" s="7" t="str">
        <f t="shared" si="50"/>
        <v>CJDS_DOE</v>
      </c>
      <c r="G430" s="7" t="s">
        <v>825</v>
      </c>
      <c r="H430" s="7" t="str">
        <f t="shared" si="51"/>
        <v>CLK_DETM_DETIS_CJDS</v>
      </c>
      <c r="I430" s="7" t="str">
        <f t="shared" si="52"/>
        <v>CJDS_DOE</v>
      </c>
      <c r="J430" s="7" t="str">
        <f t="shared" si="53"/>
        <v>DATE</v>
      </c>
      <c r="K430" s="17" t="s">
        <v>80</v>
      </c>
      <c r="L430" s="7" t="str">
        <f>TRIM(ETLMetadata!$I430)</f>
        <v>YYYY-MM-DD</v>
      </c>
      <c r="M430" s="7" t="str">
        <f t="shared" si="54"/>
        <v>TO_DATE(NULLIF(TRIM(CJDS_DOE),'') , 'YYYY-MM-DD')</v>
      </c>
      <c r="N430" s="7" t="str">
        <f>TRIM(ETLMetadata!$J430)</f>
        <v/>
      </c>
      <c r="O430" s="8" t="str">
        <f>IF(TRIM(Classification!$G430)="","NOT CONFIDENTIAL",TRIM(Classification!$G430))</f>
        <v>NOT CONFIDENTIAL</v>
      </c>
      <c r="P430" s="7" t="str">
        <f t="shared" si="55"/>
        <v>Y</v>
      </c>
      <c r="Q430" s="7" t="s">
        <v>826</v>
      </c>
      <c r="R430" s="9">
        <v>2958465</v>
      </c>
      <c r="S430" s="7" t="s">
        <v>827</v>
      </c>
      <c r="T430" s="7" t="s">
        <v>828</v>
      </c>
      <c r="U430" s="7" t="str">
        <f t="shared" si="57"/>
        <v>CLK_DETM_DETIS_CJDS_V</v>
      </c>
      <c r="V430" s="7" t="s">
        <v>829</v>
      </c>
    </row>
    <row r="431" spans="1:22">
      <c r="A431" s="7" t="str">
        <f>TRIM(ETLMetadata!$B431)</f>
        <v>CLK</v>
      </c>
      <c r="B431" s="7" t="str">
        <f>TRIM(ETLMetadata!$C431)</f>
        <v>DETM_DETIS_CJDS</v>
      </c>
      <c r="C431" s="7" t="str">
        <f>TRIM(ETLMetadata!$F431)</f>
        <v>CJDS_DOE_ORIG</v>
      </c>
      <c r="D431" s="7" t="str">
        <f>TRIM(ETLMetadata!$H431)</f>
        <v>StringType()</v>
      </c>
      <c r="E431" s="7" t="str">
        <f t="shared" si="56"/>
        <v>CLK_DETM_DETIS_CJDS</v>
      </c>
      <c r="F431" s="7" t="str">
        <f t="shared" si="50"/>
        <v>CJDS_DOE_ORIG</v>
      </c>
      <c r="G431" s="7" t="s">
        <v>825</v>
      </c>
      <c r="H431" s="7" t="str">
        <f t="shared" si="51"/>
        <v>CLK_DETM_DETIS_CJDS</v>
      </c>
      <c r="I431" s="7" t="str">
        <f t="shared" si="52"/>
        <v>CJDS_DOE_ORIG</v>
      </c>
      <c r="J431" s="7" t="str">
        <f t="shared" si="53"/>
        <v>INTEGER</v>
      </c>
      <c r="K431" s="17" t="s">
        <v>90</v>
      </c>
      <c r="L431" s="7" t="str">
        <f>TRIM(ETLMetadata!$I431)</f>
        <v/>
      </c>
      <c r="M431" s="7" t="str">
        <f t="shared" si="54"/>
        <v>CAST(NULLIF(TRIM(CJDS_DOE_ORIG),'') AS INTEGER)</v>
      </c>
      <c r="N431" s="7" t="str">
        <f>TRIM(ETLMetadata!$J431)</f>
        <v/>
      </c>
      <c r="O431" s="8" t="str">
        <f>IF(TRIM(Classification!$G431)="","NOT CONFIDENTIAL",TRIM(Classification!$G431))</f>
        <v>NOT CONFIDENTIAL</v>
      </c>
      <c r="P431" s="7" t="str">
        <f t="shared" si="55"/>
        <v>Y</v>
      </c>
      <c r="Q431" s="7" t="s">
        <v>826</v>
      </c>
      <c r="R431" s="9">
        <v>2958465</v>
      </c>
      <c r="S431" s="7" t="s">
        <v>827</v>
      </c>
      <c r="T431" s="7" t="s">
        <v>828</v>
      </c>
      <c r="U431" s="7" t="str">
        <f t="shared" si="57"/>
        <v>CLK_DETM_DETIS_CJDS_V</v>
      </c>
      <c r="V431" s="7" t="s">
        <v>829</v>
      </c>
    </row>
    <row r="432" spans="1:22">
      <c r="A432" s="7" t="str">
        <f>TRIM(ETLMetadata!$B432)</f>
        <v>CLK</v>
      </c>
      <c r="B432" s="7" t="str">
        <f>TRIM(ETLMetadata!$C432)</f>
        <v>DETM_DETIS_CJDS</v>
      </c>
      <c r="C432" s="7" t="str">
        <f>TRIM(ETLMetadata!$F432)</f>
        <v>PROCESSING_SEQUENCE</v>
      </c>
      <c r="D432" s="7" t="str">
        <f>TRIM(ETLMetadata!$H432)</f>
        <v>StringType()</v>
      </c>
      <c r="E432" s="7" t="str">
        <f t="shared" si="56"/>
        <v>CLK_DETM_DETIS_CJDS</v>
      </c>
      <c r="F432" s="7" t="str">
        <f t="shared" si="50"/>
        <v>PROCESSING_SEQUENCE</v>
      </c>
      <c r="G432" s="7" t="s">
        <v>825</v>
      </c>
      <c r="H432" s="7" t="str">
        <f t="shared" si="51"/>
        <v>CLK_DETM_DETIS_CJDS</v>
      </c>
      <c r="I432" s="7" t="str">
        <f t="shared" si="52"/>
        <v>PROCESSING_SEQUENCE</v>
      </c>
      <c r="J432" s="7" t="str">
        <f t="shared" si="53"/>
        <v>SMALLINT</v>
      </c>
      <c r="K432" s="7" t="str">
        <f>TRIM(ETLMetadata!$G432)</f>
        <v>SMALLINT</v>
      </c>
      <c r="L432" s="7" t="str">
        <f>TRIM(ETLMetadata!$I432)</f>
        <v/>
      </c>
      <c r="M432" s="7" t="str">
        <f t="shared" si="54"/>
        <v>CAST(NULLIF(TRIM(PROCESSING_SEQUENCE),'') AS SMALLINT)</v>
      </c>
      <c r="N432" s="7" t="str">
        <f>TRIM(ETLMetadata!$J432)</f>
        <v>Y</v>
      </c>
      <c r="O432" s="8" t="str">
        <f>IF(TRIM(Classification!$G432)="","NOT CONFIDENTIAL",TRIM(Classification!$G432))</f>
        <v>NOT CONFIDENTIAL</v>
      </c>
      <c r="P432" s="7" t="str">
        <f t="shared" si="55"/>
        <v>Y</v>
      </c>
      <c r="Q432" s="7" t="s">
        <v>826</v>
      </c>
      <c r="R432" s="9">
        <v>2958465</v>
      </c>
      <c r="S432" s="7" t="s">
        <v>827</v>
      </c>
      <c r="T432" s="7" t="s">
        <v>828</v>
      </c>
      <c r="U432" s="7" t="str">
        <f t="shared" si="57"/>
        <v>CLK_DETM_DETIS_CJDS_V</v>
      </c>
      <c r="V432" s="7" t="s">
        <v>829</v>
      </c>
    </row>
    <row r="433" spans="1:22">
      <c r="A433" s="7" t="str">
        <f>TRIM(ETLMetadata!$B433)</f>
        <v>CLK</v>
      </c>
      <c r="B433" s="7" t="str">
        <f>TRIM(ETLMetadata!$C433)</f>
        <v>DETM_DETIS_CJDS</v>
      </c>
      <c r="C433" s="7" t="str">
        <f>TRIM(ETLMetadata!$F433)</f>
        <v>CJDS_AMR_1</v>
      </c>
      <c r="D433" s="7" t="str">
        <f>TRIM(ETLMetadata!$H433)</f>
        <v>StringType()</v>
      </c>
      <c r="E433" s="7" t="str">
        <f t="shared" si="56"/>
        <v>CLK_DETM_DETIS_CJDS</v>
      </c>
      <c r="F433" s="7" t="str">
        <f t="shared" si="50"/>
        <v>CJDS_AMR_1</v>
      </c>
      <c r="G433" s="7" t="s">
        <v>825</v>
      </c>
      <c r="H433" s="7" t="str">
        <f t="shared" si="51"/>
        <v>CLK_DETM_DETIS_CJDS</v>
      </c>
      <c r="I433" s="7" t="str">
        <f t="shared" si="52"/>
        <v>CJDS_AMR_1</v>
      </c>
      <c r="J433" s="7" t="str">
        <f t="shared" si="53"/>
        <v>VARCHAR</v>
      </c>
      <c r="K433" s="7" t="str">
        <f>TRIM(ETLMetadata!$G433)</f>
        <v>CHAR(4)</v>
      </c>
      <c r="L433" s="7" t="str">
        <f>TRIM(ETLMetadata!$I433)</f>
        <v/>
      </c>
      <c r="M433" s="7" t="str">
        <f t="shared" si="54"/>
        <v>NULLIF(TRIM(CJDS_AMR_1),'')</v>
      </c>
      <c r="N433" s="7" t="str">
        <f>TRIM(ETLMetadata!$J433)</f>
        <v/>
      </c>
      <c r="O433" s="8" t="str">
        <f>IF(TRIM(Classification!$G433)="","NOT CONFIDENTIAL",TRIM(Classification!$G433))</f>
        <v>NOT CONFIDENTIAL</v>
      </c>
      <c r="P433" s="7" t="str">
        <f t="shared" si="55"/>
        <v>Y</v>
      </c>
      <c r="Q433" s="7" t="s">
        <v>826</v>
      </c>
      <c r="R433" s="9">
        <v>2958465</v>
      </c>
      <c r="S433" s="7" t="s">
        <v>827</v>
      </c>
      <c r="T433" s="7" t="s">
        <v>828</v>
      </c>
      <c r="U433" s="7" t="str">
        <f t="shared" si="57"/>
        <v>CLK_DETM_DETIS_CJDS_V</v>
      </c>
      <c r="V433" s="7" t="s">
        <v>829</v>
      </c>
    </row>
    <row r="434" spans="1:22">
      <c r="A434" s="7" t="str">
        <f>TRIM(ETLMetadata!$B434)</f>
        <v>CLK</v>
      </c>
      <c r="B434" s="7" t="str">
        <f>TRIM(ETLMetadata!$C434)</f>
        <v>DETM_DETIS_CJDS</v>
      </c>
      <c r="C434" s="7" t="str">
        <f>TRIM(ETLMetadata!$F434)</f>
        <v>CJDS_AMR_2</v>
      </c>
      <c r="D434" s="7" t="str">
        <f>TRIM(ETLMetadata!$H434)</f>
        <v>StringType()</v>
      </c>
      <c r="E434" s="7" t="str">
        <f t="shared" si="56"/>
        <v>CLK_DETM_DETIS_CJDS</v>
      </c>
      <c r="F434" s="7" t="str">
        <f t="shared" si="50"/>
        <v>CJDS_AMR_2</v>
      </c>
      <c r="G434" s="7" t="s">
        <v>825</v>
      </c>
      <c r="H434" s="7" t="str">
        <f t="shared" si="51"/>
        <v>CLK_DETM_DETIS_CJDS</v>
      </c>
      <c r="I434" s="7" t="str">
        <f t="shared" si="52"/>
        <v>CJDS_AMR_2</v>
      </c>
      <c r="J434" s="7" t="str">
        <f t="shared" si="53"/>
        <v>VARCHAR</v>
      </c>
      <c r="K434" s="7" t="str">
        <f>TRIM(ETLMetadata!$G434)</f>
        <v>CHAR(1)</v>
      </c>
      <c r="L434" s="7" t="str">
        <f>TRIM(ETLMetadata!$I434)</f>
        <v/>
      </c>
      <c r="M434" s="7" t="str">
        <f t="shared" si="54"/>
        <v>NULLIF(TRIM(CJDS_AMR_2),'')</v>
      </c>
      <c r="N434" s="7" t="str">
        <f>TRIM(ETLMetadata!$J434)</f>
        <v/>
      </c>
      <c r="O434" s="8" t="str">
        <f>IF(TRIM(Classification!$G434)="","NOT CONFIDENTIAL",TRIM(Classification!$G434))</f>
        <v>NOT CONFIDENTIAL</v>
      </c>
      <c r="P434" s="7" t="str">
        <f t="shared" si="55"/>
        <v>Y</v>
      </c>
      <c r="Q434" s="7" t="s">
        <v>826</v>
      </c>
      <c r="R434" s="9">
        <v>2958465</v>
      </c>
      <c r="S434" s="7" t="s">
        <v>827</v>
      </c>
      <c r="T434" s="7" t="s">
        <v>828</v>
      </c>
      <c r="U434" s="7" t="str">
        <f t="shared" si="57"/>
        <v>CLK_DETM_DETIS_CJDS_V</v>
      </c>
      <c r="V434" s="7" t="s">
        <v>829</v>
      </c>
    </row>
    <row r="435" spans="1:22">
      <c r="A435" s="7" t="str">
        <f>TRIM(ETLMetadata!$B435)</f>
        <v>CLK</v>
      </c>
      <c r="B435" s="7" t="str">
        <f>TRIM(ETLMetadata!$C435)</f>
        <v>DETM_DETIS_CJDS</v>
      </c>
      <c r="C435" s="7" t="str">
        <f>TRIM(ETLMetadata!$F435)</f>
        <v>CJDS_AMR_3</v>
      </c>
      <c r="D435" s="7" t="str">
        <f>TRIM(ETLMetadata!$H435)</f>
        <v>StringType()</v>
      </c>
      <c r="E435" s="7" t="str">
        <f t="shared" si="56"/>
        <v>CLK_DETM_DETIS_CJDS</v>
      </c>
      <c r="F435" s="7" t="str">
        <f t="shared" si="50"/>
        <v>CJDS_AMR_3</v>
      </c>
      <c r="G435" s="7" t="s">
        <v>825</v>
      </c>
      <c r="H435" s="7" t="str">
        <f t="shared" si="51"/>
        <v>CLK_DETM_DETIS_CJDS</v>
      </c>
      <c r="I435" s="7" t="str">
        <f t="shared" si="52"/>
        <v>CJDS_AMR_3</v>
      </c>
      <c r="J435" s="7" t="str">
        <f t="shared" si="53"/>
        <v>VARCHAR</v>
      </c>
      <c r="K435" s="7" t="str">
        <f>TRIM(ETLMetadata!$G435)</f>
        <v>CHAR(4)</v>
      </c>
      <c r="L435" s="7" t="str">
        <f>TRIM(ETLMetadata!$I435)</f>
        <v/>
      </c>
      <c r="M435" s="7" t="str">
        <f t="shared" si="54"/>
        <v>NULLIF(TRIM(CJDS_AMR_3),'')</v>
      </c>
      <c r="N435" s="7" t="str">
        <f>TRIM(ETLMetadata!$J435)</f>
        <v/>
      </c>
      <c r="O435" s="8" t="str">
        <f>IF(TRIM(Classification!$G435)="","NOT CONFIDENTIAL",TRIM(Classification!$G435))</f>
        <v>NOT CONFIDENTIAL</v>
      </c>
      <c r="P435" s="7" t="str">
        <f t="shared" si="55"/>
        <v>Y</v>
      </c>
      <c r="Q435" s="7" t="s">
        <v>826</v>
      </c>
      <c r="R435" s="9">
        <v>2958465</v>
      </c>
      <c r="S435" s="7" t="s">
        <v>827</v>
      </c>
      <c r="T435" s="7" t="s">
        <v>828</v>
      </c>
      <c r="U435" s="7" t="str">
        <f t="shared" si="57"/>
        <v>CLK_DETM_DETIS_CJDS_V</v>
      </c>
      <c r="V435" s="7" t="s">
        <v>829</v>
      </c>
    </row>
    <row r="436" spans="1:22">
      <c r="A436" s="7" t="str">
        <f>TRIM(ETLMetadata!$B436)</f>
        <v>CLK</v>
      </c>
      <c r="B436" s="7" t="str">
        <f>TRIM(ETLMetadata!$C436)</f>
        <v>DETM_DETIS_CJDS</v>
      </c>
      <c r="C436" s="7" t="str">
        <f>TRIM(ETLMetadata!$F436)</f>
        <v>CJDS_BEN_TYPE_CODE</v>
      </c>
      <c r="D436" s="7" t="str">
        <f>TRIM(ETLMetadata!$H436)</f>
        <v>StringType()</v>
      </c>
      <c r="E436" s="7" t="str">
        <f t="shared" si="56"/>
        <v>CLK_DETM_DETIS_CJDS</v>
      </c>
      <c r="F436" s="7" t="str">
        <f t="shared" si="50"/>
        <v>CJDS_BEN_TYPE_CODE</v>
      </c>
      <c r="G436" s="7" t="s">
        <v>825</v>
      </c>
      <c r="H436" s="7" t="str">
        <f t="shared" si="51"/>
        <v>CLK_DETM_DETIS_CJDS</v>
      </c>
      <c r="I436" s="7" t="str">
        <f t="shared" si="52"/>
        <v>CJDS_BEN_TYPE_CODE</v>
      </c>
      <c r="J436" s="7" t="str">
        <f t="shared" si="53"/>
        <v>VARCHAR</v>
      </c>
      <c r="K436" s="7" t="str">
        <f>TRIM(ETLMetadata!$G436)</f>
        <v>CHAR(3)</v>
      </c>
      <c r="L436" s="7" t="str">
        <f>TRIM(ETLMetadata!$I436)</f>
        <v/>
      </c>
      <c r="M436" s="7" t="str">
        <f t="shared" si="54"/>
        <v>NULLIF(TRIM(CJDS_BEN_TYPE_CODE),'')</v>
      </c>
      <c r="N436" s="7" t="str">
        <f>TRIM(ETLMetadata!$J436)</f>
        <v/>
      </c>
      <c r="O436" s="8" t="str">
        <f>IF(TRIM(Classification!$G436)="","NOT CONFIDENTIAL",TRIM(Classification!$G436))</f>
        <v>NOT CONFIDENTIAL</v>
      </c>
      <c r="P436" s="7" t="str">
        <f t="shared" si="55"/>
        <v>Y</v>
      </c>
      <c r="Q436" s="7" t="s">
        <v>826</v>
      </c>
      <c r="R436" s="9">
        <v>2958465</v>
      </c>
      <c r="S436" s="7" t="s">
        <v>827</v>
      </c>
      <c r="T436" s="7" t="s">
        <v>828</v>
      </c>
      <c r="U436" s="7" t="str">
        <f t="shared" si="57"/>
        <v>CLK_DETM_DETIS_CJDS_V</v>
      </c>
      <c r="V436" s="7" t="s">
        <v>829</v>
      </c>
    </row>
    <row r="437" spans="1:22">
      <c r="A437" s="7" t="str">
        <f>TRIM(ETLMetadata!$B437)</f>
        <v>CLK</v>
      </c>
      <c r="B437" s="7" t="str">
        <f>TRIM(ETLMetadata!$C437)</f>
        <v>DETM_DETIS_CJDS</v>
      </c>
      <c r="C437" s="7" t="str">
        <f>TRIM(ETLMetadata!$F437)</f>
        <v>CJDS_STS_CODE</v>
      </c>
      <c r="D437" s="7" t="str">
        <f>TRIM(ETLMetadata!$H437)</f>
        <v>StringType()</v>
      </c>
      <c r="E437" s="7" t="str">
        <f t="shared" si="56"/>
        <v>CLK_DETM_DETIS_CJDS</v>
      </c>
      <c r="F437" s="7" t="str">
        <f t="shared" si="50"/>
        <v>CJDS_STS_CODE</v>
      </c>
      <c r="G437" s="7" t="s">
        <v>825</v>
      </c>
      <c r="H437" s="7" t="str">
        <f t="shared" si="51"/>
        <v>CLK_DETM_DETIS_CJDS</v>
      </c>
      <c r="I437" s="7" t="str">
        <f t="shared" si="52"/>
        <v>CJDS_STS_CODE</v>
      </c>
      <c r="J437" s="7" t="str">
        <f t="shared" si="53"/>
        <v>VARCHAR</v>
      </c>
      <c r="K437" s="7" t="str">
        <f>TRIM(ETLMetadata!$G437)</f>
        <v>CHAR(3)</v>
      </c>
      <c r="L437" s="7" t="str">
        <f>TRIM(ETLMetadata!$I437)</f>
        <v/>
      </c>
      <c r="M437" s="7" t="str">
        <f t="shared" si="54"/>
        <v>NULLIF(TRIM(CJDS_STS_CODE),'')</v>
      </c>
      <c r="N437" s="7" t="str">
        <f>TRIM(ETLMetadata!$J437)</f>
        <v/>
      </c>
      <c r="O437" s="8" t="str">
        <f>IF(TRIM(Classification!$G437)="","NOT CONFIDENTIAL",TRIM(Classification!$G437))</f>
        <v>NOT CONFIDENTIAL</v>
      </c>
      <c r="P437" s="7" t="str">
        <f t="shared" si="55"/>
        <v>Y</v>
      </c>
      <c r="Q437" s="7" t="s">
        <v>826</v>
      </c>
      <c r="R437" s="9">
        <v>2958465</v>
      </c>
      <c r="S437" s="7" t="s">
        <v>827</v>
      </c>
      <c r="T437" s="7" t="s">
        <v>828</v>
      </c>
      <c r="U437" s="7" t="str">
        <f t="shared" si="57"/>
        <v>CLK_DETM_DETIS_CJDS_V</v>
      </c>
      <c r="V437" s="7" t="s">
        <v>829</v>
      </c>
    </row>
    <row r="438" spans="1:22">
      <c r="A438" s="7" t="str">
        <f>TRIM(ETLMetadata!$B438)</f>
        <v>CLK</v>
      </c>
      <c r="B438" s="7" t="str">
        <f>TRIM(ETLMetadata!$C438)</f>
        <v>DETM_DETIS_CJDS</v>
      </c>
      <c r="C438" s="7" t="str">
        <f>TRIM(ETLMetadata!$F438)</f>
        <v>CJDS_RSN_CODE</v>
      </c>
      <c r="D438" s="7" t="str">
        <f>TRIM(ETLMetadata!$H438)</f>
        <v>StringType()</v>
      </c>
      <c r="E438" s="7" t="str">
        <f t="shared" si="56"/>
        <v>CLK_DETM_DETIS_CJDS</v>
      </c>
      <c r="F438" s="7" t="str">
        <f t="shared" si="50"/>
        <v>CJDS_RSN_CODE</v>
      </c>
      <c r="G438" s="7" t="s">
        <v>825</v>
      </c>
      <c r="H438" s="7" t="str">
        <f t="shared" si="51"/>
        <v>CLK_DETM_DETIS_CJDS</v>
      </c>
      <c r="I438" s="7" t="str">
        <f t="shared" si="52"/>
        <v>CJDS_RSN_CODE</v>
      </c>
      <c r="J438" s="7" t="str">
        <f t="shared" si="53"/>
        <v>VARCHAR</v>
      </c>
      <c r="K438" s="7" t="str">
        <f>TRIM(ETLMetadata!$G438)</f>
        <v>CHAR(3)</v>
      </c>
      <c r="L438" s="7" t="str">
        <f>TRIM(ETLMetadata!$I438)</f>
        <v/>
      </c>
      <c r="M438" s="7" t="str">
        <f t="shared" si="54"/>
        <v>NULLIF(TRIM(CJDS_RSN_CODE),'')</v>
      </c>
      <c r="N438" s="7" t="str">
        <f>TRIM(ETLMetadata!$J438)</f>
        <v/>
      </c>
      <c r="O438" s="8" t="str">
        <f>IF(TRIM(Classification!$G438)="","NOT CONFIDENTIAL",TRIM(Classification!$G438))</f>
        <v>NOT CONFIDENTIAL</v>
      </c>
      <c r="P438" s="7" t="str">
        <f t="shared" si="55"/>
        <v>Y</v>
      </c>
      <c r="Q438" s="7" t="s">
        <v>826</v>
      </c>
      <c r="R438" s="9">
        <v>2958465</v>
      </c>
      <c r="S438" s="7" t="s">
        <v>827</v>
      </c>
      <c r="T438" s="7" t="s">
        <v>828</v>
      </c>
      <c r="U438" s="7" t="str">
        <f t="shared" si="57"/>
        <v>CLK_DETM_DETIS_CJDS_V</v>
      </c>
      <c r="V438" s="7" t="s">
        <v>829</v>
      </c>
    </row>
    <row r="439" spans="1:22">
      <c r="A439" s="7" t="str">
        <f>TRIM(ETLMetadata!$B439)</f>
        <v>CLK</v>
      </c>
      <c r="B439" s="7" t="str">
        <f>TRIM(ETLMetadata!$C439)</f>
        <v>DETM_DETIS_CJDS</v>
      </c>
      <c r="C439" s="7" t="str">
        <f>TRIM(ETLMetadata!$F439)</f>
        <v>CJDS_UNIQ_ID</v>
      </c>
      <c r="D439" s="7" t="str">
        <f>TRIM(ETLMetadata!$H439)</f>
        <v>StringType()</v>
      </c>
      <c r="E439" s="7" t="str">
        <f t="shared" si="56"/>
        <v>CLK_DETM_DETIS_CJDS</v>
      </c>
      <c r="F439" s="7" t="str">
        <f t="shared" si="50"/>
        <v>CJDS_UNIQ_ID</v>
      </c>
      <c r="G439" s="7" t="s">
        <v>825</v>
      </c>
      <c r="H439" s="7" t="str">
        <f t="shared" si="51"/>
        <v>CLK_DETM_DETIS_CJDS</v>
      </c>
      <c r="I439" s="7" t="str">
        <f t="shared" si="52"/>
        <v>CJDS_UNIQ_ID</v>
      </c>
      <c r="J439" s="7" t="str">
        <f t="shared" si="53"/>
        <v>VARCHAR</v>
      </c>
      <c r="K439" s="7" t="str">
        <f>TRIM(ETLMetadata!$G439)</f>
        <v>VARCHAR(8)</v>
      </c>
      <c r="L439" s="7" t="str">
        <f>TRIM(ETLMetadata!$I439)</f>
        <v/>
      </c>
      <c r="M439" s="7" t="str">
        <f t="shared" si="54"/>
        <v>NULLIF(TRIM(CJDS_UNIQ_ID),'')</v>
      </c>
      <c r="N439" s="7" t="str">
        <f>TRIM(ETLMetadata!$J439)</f>
        <v/>
      </c>
      <c r="O439" s="8" t="str">
        <f>IF(TRIM(Classification!$G439)="","NOT CONFIDENTIAL",TRIM(Classification!$G439))</f>
        <v>NOT CONFIDENTIAL</v>
      </c>
      <c r="P439" s="7" t="str">
        <f t="shared" si="55"/>
        <v>Y</v>
      </c>
      <c r="Q439" s="7" t="s">
        <v>826</v>
      </c>
      <c r="R439" s="9">
        <v>2958465</v>
      </c>
      <c r="S439" s="7" t="s">
        <v>827</v>
      </c>
      <c r="T439" s="7" t="s">
        <v>828</v>
      </c>
      <c r="U439" s="7" t="str">
        <f t="shared" si="57"/>
        <v>CLK_DETM_DETIS_CJDS_V</v>
      </c>
      <c r="V439" s="7" t="s">
        <v>829</v>
      </c>
    </row>
    <row r="440" spans="1:22">
      <c r="A440" s="7" t="str">
        <f>TRIM(ETLMetadata!$B440)</f>
        <v>CLK</v>
      </c>
      <c r="B440" s="7" t="str">
        <f>TRIM(ETLMetadata!$C440)</f>
        <v>DETM_DETIS_CJDS</v>
      </c>
      <c r="C440" s="7" t="str">
        <f>TRIM(ETLMetadata!$F440)</f>
        <v>AMR1_RISL_DTS</v>
      </c>
      <c r="D440" s="7" t="str">
        <f>TRIM(ETLMetadata!$H440)</f>
        <v>StringType()</v>
      </c>
      <c r="E440" s="7" t="str">
        <f t="shared" si="56"/>
        <v>CLK_DETM_DETIS_CJDS</v>
      </c>
      <c r="F440" s="7" t="str">
        <f t="shared" si="50"/>
        <v>AMR1_RISL_DTS</v>
      </c>
      <c r="G440" s="7" t="s">
        <v>825</v>
      </c>
      <c r="H440" s="7" t="str">
        <f t="shared" si="51"/>
        <v>CLK_DETM_DETIS_CJDS</v>
      </c>
      <c r="I440" s="7" t="str">
        <f t="shared" si="52"/>
        <v>AMR1_RISL_DTS</v>
      </c>
      <c r="J440" s="7" t="str">
        <f t="shared" si="53"/>
        <v>TIMESTAMP</v>
      </c>
      <c r="K440" s="7" t="str">
        <f>TRIM(ETLMetadata!$G440)</f>
        <v>TIMESTAMP(6)</v>
      </c>
      <c r="L440" s="7" t="str">
        <f>TRIM(ETLMetadata!$I440)</f>
        <v>YYYY-MM-DDBHH:MI:SS.S(6)</v>
      </c>
      <c r="M440" s="7" t="str">
        <f t="shared" si="54"/>
        <v>TO_TIMESTAMP_NTZ(NULLIF(TRIM(AMR1_RISL_DTS),''),'YYYY-MM-DD HH24:MI:SS.FF6')</v>
      </c>
      <c r="N440" s="7" t="str">
        <f>TRIM(ETLMetadata!$J440)</f>
        <v/>
      </c>
      <c r="O440" s="8" t="str">
        <f>IF(TRIM(Classification!$G440)="","NOT CONFIDENTIAL",TRIM(Classification!$G440))</f>
        <v>NOT CONFIDENTIAL</v>
      </c>
      <c r="P440" s="7" t="str">
        <f t="shared" si="55"/>
        <v>Y</v>
      </c>
      <c r="Q440" s="7" t="s">
        <v>826</v>
      </c>
      <c r="R440" s="9">
        <v>2958465</v>
      </c>
      <c r="S440" s="7" t="s">
        <v>827</v>
      </c>
      <c r="T440" s="7" t="s">
        <v>828</v>
      </c>
      <c r="U440" s="7" t="str">
        <f t="shared" si="57"/>
        <v>CLK_DETM_DETIS_CJDS_V</v>
      </c>
      <c r="V440" s="7" t="s">
        <v>829</v>
      </c>
    </row>
    <row r="441" spans="1:22">
      <c r="A441" s="7" t="str">
        <f>TRIM(ETLMetadata!$B441)</f>
        <v>CLK</v>
      </c>
      <c r="B441" s="7" t="str">
        <f>TRIM(ETLMetadata!$C441)</f>
        <v>DETM_DETIS_CJDS</v>
      </c>
      <c r="C441" s="7" t="str">
        <f>TRIM(ETLMetadata!$F441)</f>
        <v>AMR3_RISL_DTS</v>
      </c>
      <c r="D441" s="7" t="str">
        <f>TRIM(ETLMetadata!$H441)</f>
        <v>StringType()</v>
      </c>
      <c r="E441" s="7" t="str">
        <f t="shared" si="56"/>
        <v>CLK_DETM_DETIS_CJDS</v>
      </c>
      <c r="F441" s="7" t="str">
        <f t="shared" si="50"/>
        <v>AMR3_RISL_DTS</v>
      </c>
      <c r="G441" s="7" t="s">
        <v>825</v>
      </c>
      <c r="H441" s="7" t="str">
        <f t="shared" si="51"/>
        <v>CLK_DETM_DETIS_CJDS</v>
      </c>
      <c r="I441" s="7" t="str">
        <f t="shared" si="52"/>
        <v>AMR3_RISL_DTS</v>
      </c>
      <c r="J441" s="7" t="str">
        <f t="shared" si="53"/>
        <v>TIMESTAMP</v>
      </c>
      <c r="K441" s="7" t="str">
        <f>TRIM(ETLMetadata!$G441)</f>
        <v>TIMESTAMP(6)</v>
      </c>
      <c r="L441" s="7" t="str">
        <f>TRIM(ETLMetadata!$I441)</f>
        <v>YYYY-MM-DDBHH:MI:SS.S(6)</v>
      </c>
      <c r="M441" s="7" t="str">
        <f t="shared" si="54"/>
        <v>TO_TIMESTAMP_NTZ(NULLIF(TRIM(AMR3_RISL_DTS),''),'YYYY-MM-DD HH24:MI:SS.FF6')</v>
      </c>
      <c r="N441" s="7" t="str">
        <f>TRIM(ETLMetadata!$J441)</f>
        <v/>
      </c>
      <c r="O441" s="8" t="str">
        <f>IF(TRIM(Classification!$G441)="","NOT CONFIDENTIAL",TRIM(Classification!$G441))</f>
        <v>NOT CONFIDENTIAL</v>
      </c>
      <c r="P441" s="7" t="str">
        <f t="shared" si="55"/>
        <v>Y</v>
      </c>
      <c r="Q441" s="7" t="s">
        <v>826</v>
      </c>
      <c r="R441" s="9">
        <v>2958465</v>
      </c>
      <c r="S441" s="7" t="s">
        <v>827</v>
      </c>
      <c r="T441" s="7" t="s">
        <v>828</v>
      </c>
      <c r="U441" s="7" t="str">
        <f t="shared" si="57"/>
        <v>CLK_DETM_DETIS_CJDS_V</v>
      </c>
      <c r="V441" s="7" t="s">
        <v>829</v>
      </c>
    </row>
    <row r="442" spans="1:22">
      <c r="A442" s="7" t="str">
        <f>TRIM(ETLMetadata!$B442)</f>
        <v>CLK</v>
      </c>
      <c r="B442" s="7" t="str">
        <f>TRIM(ETLMetadata!$C442)</f>
        <v>DETM_DETIS_CJDS</v>
      </c>
      <c r="C442" s="7" t="str">
        <f>TRIM(ETLMetadata!$F442)</f>
        <v>EPISODE_ID</v>
      </c>
      <c r="D442" s="7" t="str">
        <f>TRIM(ETLMetadata!$H442)</f>
        <v>StringType()</v>
      </c>
      <c r="E442" s="7" t="str">
        <f t="shared" si="56"/>
        <v>CLK_DETM_DETIS_CJDS</v>
      </c>
      <c r="F442" s="7" t="str">
        <f t="shared" si="50"/>
        <v>EPISODE_ID</v>
      </c>
      <c r="G442" s="7" t="s">
        <v>825</v>
      </c>
      <c r="H442" s="7" t="str">
        <f t="shared" si="51"/>
        <v>CLK_DETM_DETIS_CJDS</v>
      </c>
      <c r="I442" s="7" t="str">
        <f t="shared" si="52"/>
        <v>EPISODE_ID</v>
      </c>
      <c r="J442" s="7" t="str">
        <f t="shared" si="53"/>
        <v>INTEGER</v>
      </c>
      <c r="K442" s="7" t="str">
        <f>TRIM(ETLMetadata!$G442)</f>
        <v>INTEGER</v>
      </c>
      <c r="L442" s="7" t="str">
        <f>TRIM(ETLMetadata!$I442)</f>
        <v/>
      </c>
      <c r="M442" s="7" t="str">
        <f t="shared" si="54"/>
        <v>CAST(NULLIF(TRIM(EPISODE_ID),'') AS INTEGER)</v>
      </c>
      <c r="N442" s="7" t="str">
        <f>TRIM(ETLMetadata!$J442)</f>
        <v/>
      </c>
      <c r="O442" s="8" t="str">
        <f>IF(TRIM(Classification!$G442)="","NOT CONFIDENTIAL",TRIM(Classification!$G442))</f>
        <v>NOT CONFIDENTIAL</v>
      </c>
      <c r="P442" s="7" t="str">
        <f t="shared" si="55"/>
        <v>Y</v>
      </c>
      <c r="Q442" s="7" t="s">
        <v>826</v>
      </c>
      <c r="R442" s="9">
        <v>2958465</v>
      </c>
      <c r="S442" s="7" t="s">
        <v>827</v>
      </c>
      <c r="T442" s="7" t="s">
        <v>828</v>
      </c>
      <c r="U442" s="7" t="str">
        <f t="shared" si="57"/>
        <v>CLK_DETM_DETIS_CJDS_V</v>
      </c>
      <c r="V442" s="7" t="s">
        <v>829</v>
      </c>
    </row>
    <row r="443" spans="1:22">
      <c r="A443" s="7" t="str">
        <f>TRIM(ETLMetadata!$B443)</f>
        <v>CLK</v>
      </c>
      <c r="B443" s="7" t="str">
        <f>TRIM(ETLMetadata!$C443)</f>
        <v>DETM_DETIS_CJDS</v>
      </c>
      <c r="C443" s="7" t="str">
        <f>TRIM(ETLMetadata!$F443)</f>
        <v>PARTY_ROLE_ID</v>
      </c>
      <c r="D443" s="7" t="str">
        <f>TRIM(ETLMetadata!$H443)</f>
        <v>StringType()</v>
      </c>
      <c r="E443" s="7" t="str">
        <f t="shared" si="56"/>
        <v>CLK_DETM_DETIS_CJDS</v>
      </c>
      <c r="F443" s="7" t="str">
        <f t="shared" si="50"/>
        <v>PARTY_ROLE_ID</v>
      </c>
      <c r="G443" s="7" t="s">
        <v>825</v>
      </c>
      <c r="H443" s="7" t="str">
        <f t="shared" si="51"/>
        <v>CLK_DETM_DETIS_CJDS</v>
      </c>
      <c r="I443" s="7" t="str">
        <f t="shared" si="52"/>
        <v>PARTY_ROLE_ID</v>
      </c>
      <c r="J443" s="7" t="str">
        <f t="shared" si="53"/>
        <v>INTEGER</v>
      </c>
      <c r="K443" s="7" t="str">
        <f>TRIM(ETLMetadata!$G443)</f>
        <v>INTEGER</v>
      </c>
      <c r="L443" s="7" t="str">
        <f>TRIM(ETLMetadata!$I443)</f>
        <v/>
      </c>
      <c r="M443" s="7" t="str">
        <f t="shared" si="54"/>
        <v>CAST(NULLIF(TRIM(PARTY_ROLE_ID),'') AS INTEGER)</v>
      </c>
      <c r="N443" s="7" t="str">
        <f>TRIM(ETLMetadata!$J443)</f>
        <v/>
      </c>
      <c r="O443" s="8" t="str">
        <f>IF(TRIM(Classification!$G443)="","NOT CONFIDENTIAL",TRIM(Classification!$G443))</f>
        <v>NOT CONFIDENTIAL</v>
      </c>
      <c r="P443" s="7" t="str">
        <f t="shared" si="55"/>
        <v>Y</v>
      </c>
      <c r="Q443" s="7" t="s">
        <v>826</v>
      </c>
      <c r="R443" s="9">
        <v>2958465</v>
      </c>
      <c r="S443" s="7" t="s">
        <v>827</v>
      </c>
      <c r="T443" s="7" t="s">
        <v>828</v>
      </c>
      <c r="U443" s="7" t="str">
        <f t="shared" si="57"/>
        <v>CLK_DETM_DETIS_CJDS_V</v>
      </c>
      <c r="V443" s="7" t="s">
        <v>829</v>
      </c>
    </row>
    <row r="444" spans="1:22">
      <c r="A444" s="7" t="str">
        <f>TRIM(ETLMetadata!$B444)</f>
        <v>CLK</v>
      </c>
      <c r="B444" s="7" t="str">
        <f>TRIM(ETLMetadata!$C444)</f>
        <v>DETM_DETIS_CJDS</v>
      </c>
      <c r="C444" s="7" t="str">
        <f>TRIM(ETLMetadata!$F444)</f>
        <v>PAYMENT_TYPE_ID</v>
      </c>
      <c r="D444" s="7" t="str">
        <f>TRIM(ETLMetadata!$H444)</f>
        <v>StringType()</v>
      </c>
      <c r="E444" s="7" t="str">
        <f t="shared" si="56"/>
        <v>CLK_DETM_DETIS_CJDS</v>
      </c>
      <c r="F444" s="7" t="str">
        <f t="shared" si="50"/>
        <v>PAYMENT_TYPE_ID</v>
      </c>
      <c r="G444" s="7" t="s">
        <v>825</v>
      </c>
      <c r="H444" s="7" t="str">
        <f t="shared" si="51"/>
        <v>CLK_DETM_DETIS_CJDS</v>
      </c>
      <c r="I444" s="7" t="str">
        <f t="shared" si="52"/>
        <v>PAYMENT_TYPE_ID</v>
      </c>
      <c r="J444" s="7" t="str">
        <f t="shared" si="53"/>
        <v>INTEGER</v>
      </c>
      <c r="K444" s="7" t="str">
        <f>TRIM(ETLMetadata!$G444)</f>
        <v>INTEGER</v>
      </c>
      <c r="L444" s="7" t="str">
        <f>TRIM(ETLMetadata!$I444)</f>
        <v/>
      </c>
      <c r="M444" s="7" t="str">
        <f t="shared" si="54"/>
        <v>CAST(NULLIF(TRIM(PAYMENT_TYPE_ID),'') AS INTEGER)</v>
      </c>
      <c r="N444" s="7" t="str">
        <f>TRIM(ETLMetadata!$J444)</f>
        <v/>
      </c>
      <c r="O444" s="8" t="str">
        <f>IF(TRIM(Classification!$G444)="","NOT CONFIDENTIAL",TRIM(Classification!$G444))</f>
        <v>NOT CONFIDENTIAL</v>
      </c>
      <c r="P444" s="7" t="str">
        <f t="shared" si="55"/>
        <v>Y</v>
      </c>
      <c r="Q444" s="7" t="s">
        <v>826</v>
      </c>
      <c r="R444" s="9">
        <v>2958465</v>
      </c>
      <c r="S444" s="7" t="s">
        <v>827</v>
      </c>
      <c r="T444" s="7" t="s">
        <v>828</v>
      </c>
      <c r="U444" s="7" t="str">
        <f t="shared" si="57"/>
        <v>CLK_DETM_DETIS_CJDS_V</v>
      </c>
      <c r="V444" s="7" t="s">
        <v>829</v>
      </c>
    </row>
    <row r="445" spans="1:22">
      <c r="A445" s="7" t="str">
        <f>TRIM(ETLMetadata!$B445)</f>
        <v>CLK</v>
      </c>
      <c r="B445" s="7" t="str">
        <f>TRIM(ETLMetadata!$C445)</f>
        <v>DETM_DETIS_CJDS</v>
      </c>
      <c r="C445" s="7" t="str">
        <f>TRIM(ETLMetadata!$F445)</f>
        <v>ERROR_COUNT</v>
      </c>
      <c r="D445" s="7" t="str">
        <f>TRIM(ETLMetadata!$H445)</f>
        <v>StringType()</v>
      </c>
      <c r="E445" s="7" t="str">
        <f t="shared" si="56"/>
        <v>CLK_DETM_DETIS_CJDS</v>
      </c>
      <c r="F445" s="7" t="str">
        <f t="shared" si="50"/>
        <v>ERROR_COUNT</v>
      </c>
      <c r="G445" s="7" t="s">
        <v>825</v>
      </c>
      <c r="H445" s="7" t="str">
        <f t="shared" si="51"/>
        <v>CLK_DETM_DETIS_CJDS</v>
      </c>
      <c r="I445" s="7" t="str">
        <f t="shared" si="52"/>
        <v>ERROR_COUNT</v>
      </c>
      <c r="J445" s="7" t="str">
        <f t="shared" si="53"/>
        <v>SMALLINT</v>
      </c>
      <c r="K445" s="7" t="str">
        <f>TRIM(ETLMetadata!$G445)</f>
        <v>SMALLINT</v>
      </c>
      <c r="L445" s="7" t="str">
        <f>TRIM(ETLMetadata!$I445)</f>
        <v/>
      </c>
      <c r="M445" s="7" t="str">
        <f t="shared" si="54"/>
        <v>CAST(NULLIF(TRIM(ERROR_COUNT),'') AS SMALLINT)</v>
      </c>
      <c r="N445" s="7" t="str">
        <f>TRIM(ETLMetadata!$J445)</f>
        <v/>
      </c>
      <c r="O445" s="8" t="str">
        <f>IF(TRIM(Classification!$G445)="","NOT CONFIDENTIAL",TRIM(Classification!$G445))</f>
        <v>NOT CONFIDENTIAL</v>
      </c>
      <c r="P445" s="7" t="str">
        <f t="shared" si="55"/>
        <v>Y</v>
      </c>
      <c r="Q445" s="7" t="s">
        <v>826</v>
      </c>
      <c r="R445" s="9">
        <v>2958465</v>
      </c>
      <c r="S445" s="7" t="s">
        <v>827</v>
      </c>
      <c r="T445" s="7" t="s">
        <v>828</v>
      </c>
      <c r="U445" s="7" t="str">
        <f t="shared" si="57"/>
        <v>CLK_DETM_DETIS_CJDS_V</v>
      </c>
      <c r="V445" s="7" t="s">
        <v>829</v>
      </c>
    </row>
    <row r="446" spans="1:22">
      <c r="A446" s="7" t="str">
        <f>TRIM(ETLMetadata!$B446)</f>
        <v>CLK</v>
      </c>
      <c r="B446" s="7" t="str">
        <f>TRIM(ETLMetadata!$C446)</f>
        <v>DETM_DETIS_CJDS</v>
      </c>
      <c r="C446" s="7" t="str">
        <f>TRIM(ETLMetadata!$F446)</f>
        <v>Start_Date</v>
      </c>
      <c r="D446" s="7" t="str">
        <f>TRIM(ETLMetadata!$H446)</f>
        <v>StringType()</v>
      </c>
      <c r="E446" s="7" t="str">
        <f t="shared" si="56"/>
        <v>CLK_DETM_DETIS_CJDS</v>
      </c>
      <c r="F446" s="7" t="str">
        <f t="shared" si="50"/>
        <v>STRT_DT</v>
      </c>
      <c r="G446" s="7" t="s">
        <v>825</v>
      </c>
      <c r="H446" s="7" t="str">
        <f t="shared" si="51"/>
        <v>CLK_DETM_DETIS_CJDS</v>
      </c>
      <c r="I446" s="7" t="str">
        <f t="shared" si="52"/>
        <v>STRT_DT</v>
      </c>
      <c r="J446" s="7" t="str">
        <f t="shared" si="53"/>
        <v>DATE</v>
      </c>
      <c r="K446" s="7" t="str">
        <f>TRIM(ETLMetadata!$G446)</f>
        <v>DATE</v>
      </c>
      <c r="L446" s="7" t="str">
        <f>TRIM(ETLMetadata!$I446)</f>
        <v>YYYY-MM-DD</v>
      </c>
      <c r="M446" s="7" t="str">
        <f t="shared" si="54"/>
        <v>TO_DATE(NULLIF(TRIM(STRT_DT),'') , 'YYYY-MM-DD')</v>
      </c>
      <c r="N446" s="7" t="str">
        <f>TRIM(ETLMetadata!$J446)</f>
        <v/>
      </c>
      <c r="O446" s="8" t="str">
        <f>IF(TRIM(Classification!$G446)="","NOT CONFIDENTIAL",TRIM(Classification!$G446))</f>
        <v>NOT CONFIDENTIAL</v>
      </c>
      <c r="P446" s="7" t="str">
        <f t="shared" si="55"/>
        <v>N</v>
      </c>
      <c r="Q446" s="7" t="s">
        <v>826</v>
      </c>
      <c r="R446" s="9">
        <v>2958465</v>
      </c>
      <c r="S446" s="7" t="s">
        <v>827</v>
      </c>
      <c r="T446" s="7" t="s">
        <v>828</v>
      </c>
      <c r="U446" s="7" t="str">
        <f t="shared" si="57"/>
        <v>CLK_DETM_DETIS_CJDS_V</v>
      </c>
      <c r="V446" s="7" t="s">
        <v>829</v>
      </c>
    </row>
    <row r="447" spans="1:22">
      <c r="A447" s="7" t="str">
        <f>TRIM(ETLMetadata!$B447)</f>
        <v>CLK</v>
      </c>
      <c r="B447" s="7" t="str">
        <f>TRIM(ETLMetadata!$C447)</f>
        <v>DETM_DETIS_CJDS</v>
      </c>
      <c r="C447" s="7" t="str">
        <f>TRIM(ETLMetadata!$F447)</f>
        <v>End_Date</v>
      </c>
      <c r="D447" s="7" t="str">
        <f>TRIM(ETLMetadata!$H447)</f>
        <v>StringType()</v>
      </c>
      <c r="E447" s="7" t="str">
        <f t="shared" si="56"/>
        <v>CLK_DETM_DETIS_CJDS</v>
      </c>
      <c r="F447" s="7" t="str">
        <f t="shared" si="50"/>
        <v>END_DT</v>
      </c>
      <c r="G447" s="7" t="s">
        <v>825</v>
      </c>
      <c r="H447" s="7" t="str">
        <f t="shared" si="51"/>
        <v>CLK_DETM_DETIS_CJDS</v>
      </c>
      <c r="I447" s="7" t="str">
        <f t="shared" si="52"/>
        <v>END_DT</v>
      </c>
      <c r="J447" s="7" t="str">
        <f t="shared" si="53"/>
        <v>DATE</v>
      </c>
      <c r="K447" s="7" t="str">
        <f>TRIM(ETLMetadata!$G447)</f>
        <v>DATE</v>
      </c>
      <c r="L447" s="7" t="str">
        <f>TRIM(ETLMetadata!$I447)</f>
        <v>YYYY-MM-DD</v>
      </c>
      <c r="M447" s="7" t="str">
        <f t="shared" si="54"/>
        <v>TO_DATE(NULLIF(TRIM(END_DT),'') , 'YYYY-MM-DD')</v>
      </c>
      <c r="N447" s="7" t="str">
        <f>TRIM(ETLMetadata!$J447)</f>
        <v/>
      </c>
      <c r="O447" s="8" t="str">
        <f>IF(TRIM(Classification!$G447)="","NOT CONFIDENTIAL",TRIM(Classification!$G447))</f>
        <v>NOT CONFIDENTIAL</v>
      </c>
      <c r="P447" s="7" t="str">
        <f t="shared" si="55"/>
        <v>N</v>
      </c>
      <c r="Q447" s="7" t="s">
        <v>826</v>
      </c>
      <c r="R447" s="9">
        <v>2958465</v>
      </c>
      <c r="S447" s="7" t="s">
        <v>827</v>
      </c>
      <c r="T447" s="7" t="s">
        <v>828</v>
      </c>
      <c r="U447" s="7" t="str">
        <f t="shared" si="57"/>
        <v>CLK_DETM_DETIS_CJDS_V</v>
      </c>
      <c r="V447" s="7" t="s">
        <v>829</v>
      </c>
    </row>
    <row r="448" spans="1:22">
      <c r="A448" s="7" t="str">
        <f>TRIM(ETLMetadata!$B448)</f>
        <v>CLK</v>
      </c>
      <c r="B448" s="7" t="str">
        <f>TRIM(ETLMetadata!$C448)</f>
        <v>DETM_DETIS_CJDS</v>
      </c>
      <c r="C448" s="7" t="str">
        <f>TRIM(ETLMetadata!$F448)</f>
        <v>Record_Deleted_Flag</v>
      </c>
      <c r="D448" s="7" t="str">
        <f>TRIM(ETLMetadata!$H448)</f>
        <v>StringType()</v>
      </c>
      <c r="E448" s="7" t="str">
        <f t="shared" si="56"/>
        <v>CLK_DETM_DETIS_CJDS</v>
      </c>
      <c r="F448" s="7" t="str">
        <f t="shared" si="50"/>
        <v>RCRD_DEL_IND</v>
      </c>
      <c r="G448" s="7" t="s">
        <v>825</v>
      </c>
      <c r="H448" s="7" t="str">
        <f t="shared" si="51"/>
        <v>CLK_DETM_DETIS_CJDS</v>
      </c>
      <c r="I448" s="7" t="str">
        <f t="shared" si="52"/>
        <v>RCRD_DEL_IND</v>
      </c>
      <c r="J448" s="7" t="str">
        <f t="shared" si="53"/>
        <v>SMALLINT</v>
      </c>
      <c r="K448" s="7" t="str">
        <f>TRIM(ETLMetadata!$G448)</f>
        <v>BYTEINT</v>
      </c>
      <c r="L448" s="7" t="str">
        <f>TRIM(ETLMetadata!$I448)</f>
        <v/>
      </c>
      <c r="M448" s="7" t="str">
        <f t="shared" si="54"/>
        <v>CAST(NULLIF(TRIM(RCRD_DEL_IND),'') AS SMALLINT)</v>
      </c>
      <c r="N448" s="7" t="str">
        <f>TRIM(ETLMetadata!$J448)</f>
        <v/>
      </c>
      <c r="O448" s="8" t="str">
        <f>IF(TRIM(Classification!$G448)="","NOT CONFIDENTIAL",TRIM(Classification!$G448))</f>
        <v>NOT CONFIDENTIAL</v>
      </c>
      <c r="P448" s="7" t="str">
        <f t="shared" si="55"/>
        <v>N</v>
      </c>
      <c r="Q448" s="7" t="s">
        <v>826</v>
      </c>
      <c r="R448" s="9">
        <v>2958465</v>
      </c>
      <c r="S448" s="7" t="s">
        <v>827</v>
      </c>
      <c r="T448" s="7" t="s">
        <v>828</v>
      </c>
      <c r="U448" s="7" t="str">
        <f t="shared" si="57"/>
        <v>CLK_DETM_DETIS_CJDS_V</v>
      </c>
      <c r="V448" s="7" t="s">
        <v>829</v>
      </c>
    </row>
    <row r="449" spans="1:22">
      <c r="A449" s="7" t="str">
        <f>TRIM(ETLMetadata!$B449)</f>
        <v>CLK</v>
      </c>
      <c r="B449" s="7" t="str">
        <f>TRIM(ETLMetadata!$C449)</f>
        <v>DETM_DETIS_CZDS</v>
      </c>
      <c r="C449" s="7" t="str">
        <f>TRIM(ETLMetadata!$F449)</f>
        <v>EXTRACT_DATE</v>
      </c>
      <c r="D449" s="7" t="str">
        <f>TRIM(ETLMetadata!$H449)</f>
        <v>StringType()</v>
      </c>
      <c r="E449" s="7" t="str">
        <f t="shared" si="56"/>
        <v>CLK_DETM_DETIS_CZDS</v>
      </c>
      <c r="F449" s="7" t="str">
        <f t="shared" si="50"/>
        <v>EXTRACT_DATE</v>
      </c>
      <c r="G449" s="7" t="s">
        <v>825</v>
      </c>
      <c r="H449" s="7" t="str">
        <f t="shared" si="51"/>
        <v>CLK_DETM_DETIS_CZDS</v>
      </c>
      <c r="I449" s="7" t="str">
        <f t="shared" si="52"/>
        <v>EXTRACT_DATE</v>
      </c>
      <c r="J449" s="7" t="str">
        <f t="shared" si="53"/>
        <v>DATE</v>
      </c>
      <c r="K449" s="7" t="str">
        <f>TRIM(ETLMetadata!$G449)</f>
        <v>DATE</v>
      </c>
      <c r="L449" s="7" t="str">
        <f>TRIM(ETLMetadata!$I449)</f>
        <v>YYYY-MM-DD</v>
      </c>
      <c r="M449" s="7" t="str">
        <f t="shared" si="54"/>
        <v>TO_DATE(NULLIF(TRIM(EXTRACT_DATE),'') , 'YYYY-MM-DD')</v>
      </c>
      <c r="N449" s="7" t="str">
        <f>TRIM(ETLMetadata!$J449)</f>
        <v/>
      </c>
      <c r="O449" s="8" t="str">
        <f>IF(TRIM(Classification!$G449)="","NOT CONFIDENTIAL",TRIM(Classification!$G449))</f>
        <v>NOT CONFIDENTIAL</v>
      </c>
      <c r="P449" s="7" t="str">
        <f t="shared" si="55"/>
        <v>Y</v>
      </c>
      <c r="Q449" s="7" t="s">
        <v>826</v>
      </c>
      <c r="R449" s="9">
        <v>2958465</v>
      </c>
      <c r="S449" s="7" t="s">
        <v>827</v>
      </c>
      <c r="T449" s="7" t="s">
        <v>828</v>
      </c>
      <c r="U449" s="7" t="str">
        <f t="shared" si="57"/>
        <v>CLK_DETM_DETIS_CZDS_V</v>
      </c>
      <c r="V449" s="7" t="s">
        <v>829</v>
      </c>
    </row>
    <row r="450" spans="1:22">
      <c r="A450" s="7" t="str">
        <f>TRIM(ETLMetadata!$B450)</f>
        <v>CLK</v>
      </c>
      <c r="B450" s="7" t="str">
        <f>TRIM(ETLMetadata!$C450)</f>
        <v>DETM_DETIS_CZDS</v>
      </c>
      <c r="C450" s="7" t="str">
        <f>TRIM(ETLMetadata!$F450)</f>
        <v>LOGICAL_DELETE_DATE</v>
      </c>
      <c r="D450" s="7" t="str">
        <f>TRIM(ETLMetadata!$H450)</f>
        <v>StringType()</v>
      </c>
      <c r="E450" s="7" t="str">
        <f t="shared" si="56"/>
        <v>CLK_DETM_DETIS_CZDS</v>
      </c>
      <c r="F450" s="7" t="str">
        <f t="shared" si="50"/>
        <v>LOGICAL_DELETE_DATE</v>
      </c>
      <c r="G450" s="7" t="s">
        <v>825</v>
      </c>
      <c r="H450" s="7" t="str">
        <f t="shared" si="51"/>
        <v>CLK_DETM_DETIS_CZDS</v>
      </c>
      <c r="I450" s="7" t="str">
        <f t="shared" si="52"/>
        <v>LOGICAL_DELETE_DATE</v>
      </c>
      <c r="J450" s="7" t="str">
        <f t="shared" si="53"/>
        <v>DATE</v>
      </c>
      <c r="K450" s="7" t="str">
        <f>TRIM(ETLMetadata!$G450)</f>
        <v>DATE</v>
      </c>
      <c r="L450" s="7" t="str">
        <f>TRIM(ETLMetadata!$I450)</f>
        <v>YYYY-MM-DD</v>
      </c>
      <c r="M450" s="7" t="str">
        <f t="shared" si="54"/>
        <v>TO_DATE(NULLIF(TRIM(LOGICAL_DELETE_DATE),'') , 'YYYY-MM-DD')</v>
      </c>
      <c r="N450" s="7" t="str">
        <f>TRIM(ETLMetadata!$J450)</f>
        <v/>
      </c>
      <c r="O450" s="8" t="str">
        <f>IF(TRIM(Classification!$G450)="","NOT CONFIDENTIAL",TRIM(Classification!$G450))</f>
        <v>NOT CONFIDENTIAL</v>
      </c>
      <c r="P450" s="7" t="str">
        <f t="shared" si="55"/>
        <v>Y</v>
      </c>
      <c r="Q450" s="7" t="s">
        <v>826</v>
      </c>
      <c r="R450" s="9">
        <v>2958465</v>
      </c>
      <c r="S450" s="7" t="s">
        <v>827</v>
      </c>
      <c r="T450" s="7" t="s">
        <v>828</v>
      </c>
      <c r="U450" s="7" t="str">
        <f t="shared" si="57"/>
        <v>CLK_DETM_DETIS_CZDS_V</v>
      </c>
      <c r="V450" s="7" t="s">
        <v>829</v>
      </c>
    </row>
    <row r="451" spans="1:22">
      <c r="A451" s="7" t="str">
        <f>TRIM(ETLMetadata!$B451)</f>
        <v>CLK</v>
      </c>
      <c r="B451" s="7" t="str">
        <f>TRIM(ETLMetadata!$C451)</f>
        <v>DETM_DETIS_CZDS</v>
      </c>
      <c r="C451" s="7" t="str">
        <f>TRIM(ETLMetadata!$F451)</f>
        <v>ENVIRONMENT_ID</v>
      </c>
      <c r="D451" s="7" t="str">
        <f>TRIM(ETLMetadata!$H451)</f>
        <v>StringType()</v>
      </c>
      <c r="E451" s="7" t="str">
        <f t="shared" si="56"/>
        <v>CLK_DETM_DETIS_CZDS</v>
      </c>
      <c r="F451" s="7" t="str">
        <f t="shared" ref="F451:F514" si="58">IF($C451="Start_Date","STRT_DT",
 IF($C451="End_Date","END_DT",
 IF($C451="Record_Deleted_Flag","RCRD_DEL_IND",
 IF($C451="IsDeleted","RCRD_DEL_IND",
 $C451
))))</f>
        <v>ENVIRONMENT_ID</v>
      </c>
      <c r="G451" s="7" t="s">
        <v>825</v>
      </c>
      <c r="H451" s="7" t="str">
        <f t="shared" ref="H451:H514" si="59">CONCATENATE($A451,"_",$B451)</f>
        <v>CLK_DETM_DETIS_CZDS</v>
      </c>
      <c r="I451" s="7" t="str">
        <f t="shared" ref="I451:I514" si="60">IF($C451="Start_Date","STRT_DT",
 IF($C451="End_Date","END_DT",
 IF($C451="Record_Deleted_Flag","RCRD_DEL_IND",
 IF($C451="IsDeleted","RCRD_DEL_IND",
 $C451
))))</f>
        <v>ENVIRONMENT_ID</v>
      </c>
      <c r="J451" s="7" t="str">
        <f t="shared" ref="J451:J514" si="61">IF(LEFT(TRIM($K451),7)="VARCHAR","VARCHAR",
 IF(LEFT(TRIM($K451),4)="CHAR","VARCHAR",
 IF(TRIM($K451)="TIMESTAMP(6)","TIMESTAMP",
 IF(TRIM($K451)="DATE","DATE",
 IF(TRIM($K451)="BYTEINT","SMALLINT",
 IF(TRIM($K451)="SMALLINT","SMALLINT",
 IF(TRIM($K451)="INTEGER","INTEGER",
 IF(TRIM($K451)="BIGINT","INTEGER",
 IF(LEFT(TRIM($K451),7)="DECIMAL",TRIM($K451),
 IF(TRIM($K451)="BOOLEAN","BOOLEAN",
 IF(TRIM($K451)="DOUBLE","DOUBLE",
 IF(TRIM($K451)="FLOAT","FLOAT",
 IF(TRIM($K451)="REAL","REAL",
 IF(LEFT(TRIM($K451),6)="STRUCT","VARIANT",
 IF(LEFT(TRIM($K451),5)="ARRAY","VARIANT",
 IF(LEFT(TRIM($K451),3)="MAP","VARIANT",
 IF(LEFT(TRIM($K451),3)="ROW","VARIANT",
 "NONE"
)))))))))))))))))</f>
        <v>VARCHAR</v>
      </c>
      <c r="K451" s="7" t="str">
        <f>TRIM(ETLMetadata!$G451)</f>
        <v>CHAR(1)</v>
      </c>
      <c r="L451" s="7" t="str">
        <f>TRIM(ETLMetadata!$I451)</f>
        <v/>
      </c>
      <c r="M451" s="7" t="str">
        <f t="shared" ref="M451:M514" si="62">IF(LEFT($K451,7)="VARCHAR","NULLIF(TRIM("&amp;$I451&amp;"),'')",
 IF(LEFT($K451,4)="CHAR","NULLIF(TRIM("&amp;$I451&amp;"),'')",
 IF(LEFT($K451,7)="DECIMAL","CAST(NULLIF(TRIM("&amp;$I451&amp;"),'') AS "&amp;$K451&amp;")",
 IF($K451="TIMESTAMP(6)","TO_TIMESTAMP_NTZ(NULLIF(TRIM("&amp;$I451&amp;"),''),'YYYY-MM-DD HH24:MI:SS.FF6')",
 IF($K451="DATE","TO_DATE(NULLIF(TRIM("&amp;$I451&amp;"),'') , 'YYYY-MM-DD')",
 IF($K451="BIGINT","CAST(NULLIF(TRIM("&amp;I451&amp;"),'') AS INTEGER)",
 IF($K451="BYTEINT","CAST(NULLIF(TRIM("&amp;I451&amp;"),'') AS SMALLINT)",
 IF($K451="SMALLINT","CAST(NULLIF(TRIM("&amp;I451&amp;"),'') AS SMALLINT)",
 IF($K451="INTEGER","CAST(NULLIF(TRIM("&amp;I451&amp;"),'') AS INTEGER)",
 IF($K451="BOOLEAN","CAST(NULLIF(TRIM("&amp;I451&amp;"),'') AS BOOLEAN)",
 IF($K451="DOUBLE","CAST(NULLIF(TRIM("&amp;I451&amp;"),'') AS DOUBLE)",
 IF($K451="FLOAT","CAST(NULLIF(TRIM("&amp;I451&amp;"),'') AS FLOAT)",
 IF($K451="REAL","CAST(NULLIF(TRIM("&amp;I451&amp;"),'') AS REAL)",
 IF(OR($K451="STRUCT",$K451="ARRAY",$K451="MAP",$K451="ROW"),"CAST(NULLIF(TRIM("&amp;I451&amp;"),'') AS VARIANT)",
 "NONE"
))))))))))))))</f>
        <v>NULLIF(TRIM(ENVIRONMENT_ID),'')</v>
      </c>
      <c r="N451" s="7" t="str">
        <f>TRIM(ETLMetadata!$J451)</f>
        <v>Y</v>
      </c>
      <c r="O451" s="8" t="str">
        <f>IF(TRIM(Classification!$G451)="","NOT CONFIDENTIAL",TRIM(Classification!$G451))</f>
        <v>NOT CONFIDENTIAL</v>
      </c>
      <c r="P451" s="7" t="str">
        <f t="shared" ref="P451:P514" si="63">IF($C451="Start_Date","N",
 IF($C451="End_Date","N",
 IF($C451="Record_Deleted_Flag","N",
 IF($C451="IsDeleted","N",
 "Y"
))))</f>
        <v>Y</v>
      </c>
      <c r="Q451" s="7" t="s">
        <v>826</v>
      </c>
      <c r="R451" s="9">
        <v>2958465</v>
      </c>
      <c r="S451" s="7" t="s">
        <v>827</v>
      </c>
      <c r="T451" s="7" t="s">
        <v>828</v>
      </c>
      <c r="U451" s="7" t="str">
        <f t="shared" si="57"/>
        <v>CLK_DETM_DETIS_CZDS_V</v>
      </c>
      <c r="V451" s="7" t="s">
        <v>829</v>
      </c>
    </row>
    <row r="452" spans="1:22">
      <c r="A452" s="7" t="str">
        <f>TRIM(ETLMetadata!$B452)</f>
        <v>CLK</v>
      </c>
      <c r="B452" s="7" t="str">
        <f>TRIM(ETLMetadata!$C452)</f>
        <v>DETM_DETIS_CZDS</v>
      </c>
      <c r="C452" s="7" t="str">
        <f>TRIM(ETLMetadata!$F452)</f>
        <v>PERSON_ID</v>
      </c>
      <c r="D452" s="7" t="str">
        <f>TRIM(ETLMetadata!$H452)</f>
        <v>StringType()</v>
      </c>
      <c r="E452" s="7" t="str">
        <f t="shared" si="56"/>
        <v>CLK_DETM_DETIS_CZDS</v>
      </c>
      <c r="F452" s="7" t="str">
        <f t="shared" si="58"/>
        <v>PERSON_ID</v>
      </c>
      <c r="G452" s="7" t="s">
        <v>825</v>
      </c>
      <c r="H452" s="7" t="str">
        <f t="shared" si="59"/>
        <v>CLK_DETM_DETIS_CZDS</v>
      </c>
      <c r="I452" s="7" t="str">
        <f t="shared" si="60"/>
        <v>PERSON_ID</v>
      </c>
      <c r="J452" s="7" t="str">
        <f t="shared" si="61"/>
        <v>INTEGER</v>
      </c>
      <c r="K452" s="7" t="str">
        <f>TRIM(ETLMetadata!$G452)</f>
        <v>INTEGER</v>
      </c>
      <c r="L452" s="7" t="str">
        <f>TRIM(ETLMetadata!$I452)</f>
        <v/>
      </c>
      <c r="M452" s="7" t="str">
        <f t="shared" si="62"/>
        <v>CAST(NULLIF(TRIM(PERSON_ID),'') AS INTEGER)</v>
      </c>
      <c r="N452" s="7" t="str">
        <f>TRIM(ETLMetadata!$J452)</f>
        <v>Y</v>
      </c>
      <c r="O452" s="8" t="str">
        <f>IF(TRIM(Classification!$G452)="","NOT CONFIDENTIAL",TRIM(Classification!$G452))</f>
        <v>PERSONAL_IDENTITYINFOINDIRECT</v>
      </c>
      <c r="P452" s="7" t="str">
        <f t="shared" si="63"/>
        <v>Y</v>
      </c>
      <c r="Q452" s="7" t="s">
        <v>826</v>
      </c>
      <c r="R452" s="9">
        <v>2958465</v>
      </c>
      <c r="S452" s="7" t="s">
        <v>827</v>
      </c>
      <c r="T452" s="7" t="s">
        <v>828</v>
      </c>
      <c r="U452" s="7" t="str">
        <f t="shared" si="57"/>
        <v>CLK_DETM_DETIS_CZDS_V</v>
      </c>
      <c r="V452" s="7" t="s">
        <v>829</v>
      </c>
    </row>
    <row r="453" spans="1:22">
      <c r="A453" s="7" t="str">
        <f>TRIM(ETLMetadata!$B453)</f>
        <v>CLK</v>
      </c>
      <c r="B453" s="7" t="str">
        <f>TRIM(ETLMetadata!$C453)</f>
        <v>DETM_DETIS_CZDS</v>
      </c>
      <c r="C453" s="7" t="str">
        <f>TRIM(ETLMetadata!$F453)</f>
        <v>CZDS_DOE</v>
      </c>
      <c r="D453" s="7" t="str">
        <f>TRIM(ETLMetadata!$H453)</f>
        <v>StringType()</v>
      </c>
      <c r="E453" s="7" t="str">
        <f t="shared" si="56"/>
        <v>CLK_DETM_DETIS_CZDS</v>
      </c>
      <c r="F453" s="7" t="str">
        <f t="shared" si="58"/>
        <v>CZDS_DOE</v>
      </c>
      <c r="G453" s="7" t="s">
        <v>825</v>
      </c>
      <c r="H453" s="7" t="str">
        <f t="shared" si="59"/>
        <v>CLK_DETM_DETIS_CZDS</v>
      </c>
      <c r="I453" s="7" t="str">
        <f t="shared" si="60"/>
        <v>CZDS_DOE</v>
      </c>
      <c r="J453" s="7" t="str">
        <f t="shared" si="61"/>
        <v>DATE</v>
      </c>
      <c r="K453" s="17" t="s">
        <v>80</v>
      </c>
      <c r="L453" s="7" t="str">
        <f>TRIM(ETLMetadata!$I453)</f>
        <v>YYYY-MM-DD</v>
      </c>
      <c r="M453" s="7" t="str">
        <f t="shared" si="62"/>
        <v>TO_DATE(NULLIF(TRIM(CZDS_DOE),'') , 'YYYY-MM-DD')</v>
      </c>
      <c r="N453" s="7" t="str">
        <f>TRIM(ETLMetadata!$J453)</f>
        <v/>
      </c>
      <c r="O453" s="8" t="str">
        <f>IF(TRIM(Classification!$G453)="","NOT CONFIDENTIAL",TRIM(Classification!$G453))</f>
        <v>NOT CONFIDENTIAL</v>
      </c>
      <c r="P453" s="7" t="str">
        <f t="shared" si="63"/>
        <v>Y</v>
      </c>
      <c r="Q453" s="7" t="s">
        <v>826</v>
      </c>
      <c r="R453" s="9">
        <v>2958465</v>
      </c>
      <c r="S453" s="7" t="s">
        <v>827</v>
      </c>
      <c r="T453" s="7" t="s">
        <v>828</v>
      </c>
      <c r="U453" s="7" t="str">
        <f t="shared" si="57"/>
        <v>CLK_DETM_DETIS_CZDS_V</v>
      </c>
      <c r="V453" s="7" t="s">
        <v>829</v>
      </c>
    </row>
    <row r="454" spans="1:22">
      <c r="A454" s="7" t="str">
        <f>TRIM(ETLMetadata!$B454)</f>
        <v>CLK</v>
      </c>
      <c r="B454" s="7" t="str">
        <f>TRIM(ETLMetadata!$C454)</f>
        <v>DETM_DETIS_CZDS</v>
      </c>
      <c r="C454" s="7" t="str">
        <f>TRIM(ETLMetadata!$F454)</f>
        <v>CZDS_DOE_ORIG</v>
      </c>
      <c r="D454" s="7" t="str">
        <f>TRIM(ETLMetadata!$H454)</f>
        <v>StringType()</v>
      </c>
      <c r="E454" s="7" t="str">
        <f t="shared" si="56"/>
        <v>CLK_DETM_DETIS_CZDS</v>
      </c>
      <c r="F454" s="7" t="str">
        <f t="shared" si="58"/>
        <v>CZDS_DOE_ORIG</v>
      </c>
      <c r="G454" s="7" t="s">
        <v>825</v>
      </c>
      <c r="H454" s="7" t="str">
        <f t="shared" si="59"/>
        <v>CLK_DETM_DETIS_CZDS</v>
      </c>
      <c r="I454" s="7" t="str">
        <f t="shared" si="60"/>
        <v>CZDS_DOE_ORIG</v>
      </c>
      <c r="J454" s="7" t="str">
        <f t="shared" si="61"/>
        <v>INTEGER</v>
      </c>
      <c r="K454" s="17" t="s">
        <v>90</v>
      </c>
      <c r="L454" s="7" t="str">
        <f>TRIM(ETLMetadata!$I454)</f>
        <v/>
      </c>
      <c r="M454" s="7" t="str">
        <f t="shared" si="62"/>
        <v>CAST(NULLIF(TRIM(CZDS_DOE_ORIG),'') AS INTEGER)</v>
      </c>
      <c r="N454" s="7" t="str">
        <f>TRIM(ETLMetadata!$J454)</f>
        <v/>
      </c>
      <c r="O454" s="8" t="str">
        <f>IF(TRIM(Classification!$G454)="","NOT CONFIDENTIAL",TRIM(Classification!$G454))</f>
        <v>NOT CONFIDENTIAL</v>
      </c>
      <c r="P454" s="7" t="str">
        <f t="shared" si="63"/>
        <v>Y</v>
      </c>
      <c r="Q454" s="7" t="s">
        <v>826</v>
      </c>
      <c r="R454" s="9">
        <v>2958465</v>
      </c>
      <c r="S454" s="7" t="s">
        <v>827</v>
      </c>
      <c r="T454" s="7" t="s">
        <v>828</v>
      </c>
      <c r="U454" s="7" t="str">
        <f t="shared" si="57"/>
        <v>CLK_DETM_DETIS_CZDS_V</v>
      </c>
      <c r="V454" s="7" t="s">
        <v>829</v>
      </c>
    </row>
    <row r="455" spans="1:22">
      <c r="A455" s="7" t="str">
        <f>TRIM(ETLMetadata!$B455)</f>
        <v>CLK</v>
      </c>
      <c r="B455" s="7" t="str">
        <f>TRIM(ETLMetadata!$C455)</f>
        <v>DETM_DETIS_CZDS</v>
      </c>
      <c r="C455" s="7" t="str">
        <f>TRIM(ETLMetadata!$F455)</f>
        <v>PROCESSING_SEQUENCE</v>
      </c>
      <c r="D455" s="7" t="str">
        <f>TRIM(ETLMetadata!$H455)</f>
        <v>StringType()</v>
      </c>
      <c r="E455" s="7" t="str">
        <f t="shared" si="56"/>
        <v>CLK_DETM_DETIS_CZDS</v>
      </c>
      <c r="F455" s="7" t="str">
        <f t="shared" si="58"/>
        <v>PROCESSING_SEQUENCE</v>
      </c>
      <c r="G455" s="7" t="s">
        <v>825</v>
      </c>
      <c r="H455" s="7" t="str">
        <f t="shared" si="59"/>
        <v>CLK_DETM_DETIS_CZDS</v>
      </c>
      <c r="I455" s="7" t="str">
        <f t="shared" si="60"/>
        <v>PROCESSING_SEQUENCE</v>
      </c>
      <c r="J455" s="7" t="str">
        <f t="shared" si="61"/>
        <v>SMALLINT</v>
      </c>
      <c r="K455" s="7" t="str">
        <f>TRIM(ETLMetadata!$G455)</f>
        <v>SMALLINT</v>
      </c>
      <c r="L455" s="7" t="str">
        <f>TRIM(ETLMetadata!$I455)</f>
        <v/>
      </c>
      <c r="M455" s="7" t="str">
        <f t="shared" si="62"/>
        <v>CAST(NULLIF(TRIM(PROCESSING_SEQUENCE),'') AS SMALLINT)</v>
      </c>
      <c r="N455" s="7" t="str">
        <f>TRIM(ETLMetadata!$J455)</f>
        <v>Y</v>
      </c>
      <c r="O455" s="8" t="str">
        <f>IF(TRIM(Classification!$G455)="","NOT CONFIDENTIAL",TRIM(Classification!$G455))</f>
        <v>NOT CONFIDENTIAL</v>
      </c>
      <c r="P455" s="7" t="str">
        <f t="shared" si="63"/>
        <v>Y</v>
      </c>
      <c r="Q455" s="7" t="s">
        <v>826</v>
      </c>
      <c r="R455" s="9">
        <v>2958465</v>
      </c>
      <c r="S455" s="7" t="s">
        <v>827</v>
      </c>
      <c r="T455" s="7" t="s">
        <v>828</v>
      </c>
      <c r="U455" s="7" t="str">
        <f t="shared" si="57"/>
        <v>CLK_DETM_DETIS_CZDS_V</v>
      </c>
      <c r="V455" s="7" t="s">
        <v>829</v>
      </c>
    </row>
    <row r="456" spans="1:22">
      <c r="A456" s="7" t="str">
        <f>TRIM(ETLMetadata!$B456)</f>
        <v>CLK</v>
      </c>
      <c r="B456" s="7" t="str">
        <f>TRIM(ETLMetadata!$C456)</f>
        <v>DETM_DETIS_CZDS</v>
      </c>
      <c r="C456" s="7" t="str">
        <f>TRIM(ETLMetadata!$F456)</f>
        <v>CZDS_AMR_1</v>
      </c>
      <c r="D456" s="7" t="str">
        <f>TRIM(ETLMetadata!$H456)</f>
        <v>StringType()</v>
      </c>
      <c r="E456" s="7" t="str">
        <f t="shared" si="56"/>
        <v>CLK_DETM_DETIS_CZDS</v>
      </c>
      <c r="F456" s="7" t="str">
        <f t="shared" si="58"/>
        <v>CZDS_AMR_1</v>
      </c>
      <c r="G456" s="7" t="s">
        <v>825</v>
      </c>
      <c r="H456" s="7" t="str">
        <f t="shared" si="59"/>
        <v>CLK_DETM_DETIS_CZDS</v>
      </c>
      <c r="I456" s="7" t="str">
        <f t="shared" si="60"/>
        <v>CZDS_AMR_1</v>
      </c>
      <c r="J456" s="7" t="str">
        <f t="shared" si="61"/>
        <v>VARCHAR</v>
      </c>
      <c r="K456" s="7" t="str">
        <f>TRIM(ETLMetadata!$G456)</f>
        <v>CHAR(4)</v>
      </c>
      <c r="L456" s="7" t="str">
        <f>TRIM(ETLMetadata!$I456)</f>
        <v/>
      </c>
      <c r="M456" s="7" t="str">
        <f t="shared" si="62"/>
        <v>NULLIF(TRIM(CZDS_AMR_1),'')</v>
      </c>
      <c r="N456" s="7" t="str">
        <f>TRIM(ETLMetadata!$J456)</f>
        <v/>
      </c>
      <c r="O456" s="8" t="str">
        <f>IF(TRIM(Classification!$G456)="","NOT CONFIDENTIAL",TRIM(Classification!$G456))</f>
        <v>NOT CONFIDENTIAL</v>
      </c>
      <c r="P456" s="7" t="str">
        <f t="shared" si="63"/>
        <v>Y</v>
      </c>
      <c r="Q456" s="7" t="s">
        <v>826</v>
      </c>
      <c r="R456" s="9">
        <v>2958465</v>
      </c>
      <c r="S456" s="7" t="s">
        <v>827</v>
      </c>
      <c r="T456" s="7" t="s">
        <v>828</v>
      </c>
      <c r="U456" s="7" t="str">
        <f t="shared" si="57"/>
        <v>CLK_DETM_DETIS_CZDS_V</v>
      </c>
      <c r="V456" s="7" t="s">
        <v>829</v>
      </c>
    </row>
    <row r="457" spans="1:22">
      <c r="A457" s="7" t="str">
        <f>TRIM(ETLMetadata!$B457)</f>
        <v>CLK</v>
      </c>
      <c r="B457" s="7" t="str">
        <f>TRIM(ETLMetadata!$C457)</f>
        <v>DETM_DETIS_CZDS</v>
      </c>
      <c r="C457" s="7" t="str">
        <f>TRIM(ETLMetadata!$F457)</f>
        <v>CZDS_AMR_2</v>
      </c>
      <c r="D457" s="7" t="str">
        <f>TRIM(ETLMetadata!$H457)</f>
        <v>StringType()</v>
      </c>
      <c r="E457" s="7" t="str">
        <f t="shared" si="56"/>
        <v>CLK_DETM_DETIS_CZDS</v>
      </c>
      <c r="F457" s="7" t="str">
        <f t="shared" si="58"/>
        <v>CZDS_AMR_2</v>
      </c>
      <c r="G457" s="7" t="s">
        <v>825</v>
      </c>
      <c r="H457" s="7" t="str">
        <f t="shared" si="59"/>
        <v>CLK_DETM_DETIS_CZDS</v>
      </c>
      <c r="I457" s="7" t="str">
        <f t="shared" si="60"/>
        <v>CZDS_AMR_2</v>
      </c>
      <c r="J457" s="7" t="str">
        <f t="shared" si="61"/>
        <v>VARCHAR</v>
      </c>
      <c r="K457" s="7" t="str">
        <f>TRIM(ETLMetadata!$G457)</f>
        <v>CHAR(1)</v>
      </c>
      <c r="L457" s="7" t="str">
        <f>TRIM(ETLMetadata!$I457)</f>
        <v/>
      </c>
      <c r="M457" s="7" t="str">
        <f t="shared" si="62"/>
        <v>NULLIF(TRIM(CZDS_AMR_2),'')</v>
      </c>
      <c r="N457" s="7" t="str">
        <f>TRIM(ETLMetadata!$J457)</f>
        <v/>
      </c>
      <c r="O457" s="8" t="str">
        <f>IF(TRIM(Classification!$G457)="","NOT CONFIDENTIAL",TRIM(Classification!$G457))</f>
        <v>NOT CONFIDENTIAL</v>
      </c>
      <c r="P457" s="7" t="str">
        <f t="shared" si="63"/>
        <v>Y</v>
      </c>
      <c r="Q457" s="7" t="s">
        <v>826</v>
      </c>
      <c r="R457" s="9">
        <v>2958465</v>
      </c>
      <c r="S457" s="7" t="s">
        <v>827</v>
      </c>
      <c r="T457" s="7" t="s">
        <v>828</v>
      </c>
      <c r="U457" s="7" t="str">
        <f t="shared" si="57"/>
        <v>CLK_DETM_DETIS_CZDS_V</v>
      </c>
      <c r="V457" s="7" t="s">
        <v>829</v>
      </c>
    </row>
    <row r="458" spans="1:22">
      <c r="A458" s="7" t="str">
        <f>TRIM(ETLMetadata!$B458)</f>
        <v>CLK</v>
      </c>
      <c r="B458" s="7" t="str">
        <f>TRIM(ETLMetadata!$C458)</f>
        <v>DETM_DETIS_CZDS</v>
      </c>
      <c r="C458" s="7" t="str">
        <f>TRIM(ETLMetadata!$F458)</f>
        <v>CZDS_AMR_3</v>
      </c>
      <c r="D458" s="7" t="str">
        <f>TRIM(ETLMetadata!$H458)</f>
        <v>StringType()</v>
      </c>
      <c r="E458" s="7" t="str">
        <f t="shared" si="56"/>
        <v>CLK_DETM_DETIS_CZDS</v>
      </c>
      <c r="F458" s="7" t="str">
        <f t="shared" si="58"/>
        <v>CZDS_AMR_3</v>
      </c>
      <c r="G458" s="7" t="s">
        <v>825</v>
      </c>
      <c r="H458" s="7" t="str">
        <f t="shared" si="59"/>
        <v>CLK_DETM_DETIS_CZDS</v>
      </c>
      <c r="I458" s="7" t="str">
        <f t="shared" si="60"/>
        <v>CZDS_AMR_3</v>
      </c>
      <c r="J458" s="7" t="str">
        <f t="shared" si="61"/>
        <v>VARCHAR</v>
      </c>
      <c r="K458" s="7" t="str">
        <f>TRIM(ETLMetadata!$G458)</f>
        <v>CHAR(4)</v>
      </c>
      <c r="L458" s="7" t="str">
        <f>TRIM(ETLMetadata!$I458)</f>
        <v/>
      </c>
      <c r="M458" s="7" t="str">
        <f t="shared" si="62"/>
        <v>NULLIF(TRIM(CZDS_AMR_3),'')</v>
      </c>
      <c r="N458" s="7" t="str">
        <f>TRIM(ETLMetadata!$J458)</f>
        <v/>
      </c>
      <c r="O458" s="8" t="str">
        <f>IF(TRIM(Classification!$G458)="","NOT CONFIDENTIAL",TRIM(Classification!$G458))</f>
        <v>NOT CONFIDENTIAL</v>
      </c>
      <c r="P458" s="7" t="str">
        <f t="shared" si="63"/>
        <v>Y</v>
      </c>
      <c r="Q458" s="7" t="s">
        <v>826</v>
      </c>
      <c r="R458" s="9">
        <v>2958465</v>
      </c>
      <c r="S458" s="7" t="s">
        <v>827</v>
      </c>
      <c r="T458" s="7" t="s">
        <v>828</v>
      </c>
      <c r="U458" s="7" t="str">
        <f t="shared" si="57"/>
        <v>CLK_DETM_DETIS_CZDS_V</v>
      </c>
      <c r="V458" s="7" t="s">
        <v>829</v>
      </c>
    </row>
    <row r="459" spans="1:22">
      <c r="A459" s="7" t="str">
        <f>TRIM(ETLMetadata!$B459)</f>
        <v>CLK</v>
      </c>
      <c r="B459" s="7" t="str">
        <f>TRIM(ETLMetadata!$C459)</f>
        <v>DETM_DETIS_CZDS</v>
      </c>
      <c r="C459" s="7" t="str">
        <f>TRIM(ETLMetadata!$F459)</f>
        <v>CZDS_BEN_TYPE_CODE</v>
      </c>
      <c r="D459" s="7" t="str">
        <f>TRIM(ETLMetadata!$H459)</f>
        <v>StringType()</v>
      </c>
      <c r="E459" s="7" t="str">
        <f t="shared" si="56"/>
        <v>CLK_DETM_DETIS_CZDS</v>
      </c>
      <c r="F459" s="7" t="str">
        <f t="shared" si="58"/>
        <v>CZDS_BEN_TYPE_CODE</v>
      </c>
      <c r="G459" s="7" t="s">
        <v>825</v>
      </c>
      <c r="H459" s="7" t="str">
        <f t="shared" si="59"/>
        <v>CLK_DETM_DETIS_CZDS</v>
      </c>
      <c r="I459" s="7" t="str">
        <f t="shared" si="60"/>
        <v>CZDS_BEN_TYPE_CODE</v>
      </c>
      <c r="J459" s="7" t="str">
        <f t="shared" si="61"/>
        <v>VARCHAR</v>
      </c>
      <c r="K459" s="7" t="str">
        <f>TRIM(ETLMetadata!$G459)</f>
        <v>CHAR(3)</v>
      </c>
      <c r="L459" s="7" t="str">
        <f>TRIM(ETLMetadata!$I459)</f>
        <v/>
      </c>
      <c r="M459" s="7" t="str">
        <f t="shared" si="62"/>
        <v>NULLIF(TRIM(CZDS_BEN_TYPE_CODE),'')</v>
      </c>
      <c r="N459" s="7" t="str">
        <f>TRIM(ETLMetadata!$J459)</f>
        <v/>
      </c>
      <c r="O459" s="8" t="str">
        <f>IF(TRIM(Classification!$G459)="","NOT CONFIDENTIAL",TRIM(Classification!$G459))</f>
        <v>NOT CONFIDENTIAL</v>
      </c>
      <c r="P459" s="7" t="str">
        <f t="shared" si="63"/>
        <v>Y</v>
      </c>
      <c r="Q459" s="7" t="s">
        <v>826</v>
      </c>
      <c r="R459" s="9">
        <v>2958465</v>
      </c>
      <c r="S459" s="7" t="s">
        <v>827</v>
      </c>
      <c r="T459" s="7" t="s">
        <v>828</v>
      </c>
      <c r="U459" s="7" t="str">
        <f t="shared" si="57"/>
        <v>CLK_DETM_DETIS_CZDS_V</v>
      </c>
      <c r="V459" s="7" t="s">
        <v>829</v>
      </c>
    </row>
    <row r="460" spans="1:22">
      <c r="A460" s="7" t="str">
        <f>TRIM(ETLMetadata!$B460)</f>
        <v>CLK</v>
      </c>
      <c r="B460" s="7" t="str">
        <f>TRIM(ETLMetadata!$C460)</f>
        <v>DETM_DETIS_CZDS</v>
      </c>
      <c r="C460" s="7" t="str">
        <f>TRIM(ETLMetadata!$F460)</f>
        <v>CZDS_STS_CODE</v>
      </c>
      <c r="D460" s="7" t="str">
        <f>TRIM(ETLMetadata!$H460)</f>
        <v>StringType()</v>
      </c>
      <c r="E460" s="7" t="str">
        <f t="shared" si="56"/>
        <v>CLK_DETM_DETIS_CZDS</v>
      </c>
      <c r="F460" s="7" t="str">
        <f t="shared" si="58"/>
        <v>CZDS_STS_CODE</v>
      </c>
      <c r="G460" s="7" t="s">
        <v>825</v>
      </c>
      <c r="H460" s="7" t="str">
        <f t="shared" si="59"/>
        <v>CLK_DETM_DETIS_CZDS</v>
      </c>
      <c r="I460" s="7" t="str">
        <f t="shared" si="60"/>
        <v>CZDS_STS_CODE</v>
      </c>
      <c r="J460" s="7" t="str">
        <f t="shared" si="61"/>
        <v>VARCHAR</v>
      </c>
      <c r="K460" s="7" t="str">
        <f>TRIM(ETLMetadata!$G460)</f>
        <v>CHAR(3)</v>
      </c>
      <c r="L460" s="7" t="str">
        <f>TRIM(ETLMetadata!$I460)</f>
        <v/>
      </c>
      <c r="M460" s="7" t="str">
        <f t="shared" si="62"/>
        <v>NULLIF(TRIM(CZDS_STS_CODE),'')</v>
      </c>
      <c r="N460" s="7" t="str">
        <f>TRIM(ETLMetadata!$J460)</f>
        <v/>
      </c>
      <c r="O460" s="8" t="str">
        <f>IF(TRIM(Classification!$G460)="","NOT CONFIDENTIAL",TRIM(Classification!$G460))</f>
        <v>NOT CONFIDENTIAL</v>
      </c>
      <c r="P460" s="7" t="str">
        <f t="shared" si="63"/>
        <v>Y</v>
      </c>
      <c r="Q460" s="7" t="s">
        <v>826</v>
      </c>
      <c r="R460" s="9">
        <v>2958465</v>
      </c>
      <c r="S460" s="7" t="s">
        <v>827</v>
      </c>
      <c r="T460" s="7" t="s">
        <v>828</v>
      </c>
      <c r="U460" s="7" t="str">
        <f t="shared" si="57"/>
        <v>CLK_DETM_DETIS_CZDS_V</v>
      </c>
      <c r="V460" s="7" t="s">
        <v>829</v>
      </c>
    </row>
    <row r="461" spans="1:22">
      <c r="A461" s="7" t="str">
        <f>TRIM(ETLMetadata!$B461)</f>
        <v>CLK</v>
      </c>
      <c r="B461" s="7" t="str">
        <f>TRIM(ETLMetadata!$C461)</f>
        <v>DETM_DETIS_CZDS</v>
      </c>
      <c r="C461" s="7" t="str">
        <f>TRIM(ETLMetadata!$F461)</f>
        <v>CZDS_RSN_CODE</v>
      </c>
      <c r="D461" s="7" t="str">
        <f>TRIM(ETLMetadata!$H461)</f>
        <v>StringType()</v>
      </c>
      <c r="E461" s="7" t="str">
        <f t="shared" si="56"/>
        <v>CLK_DETM_DETIS_CZDS</v>
      </c>
      <c r="F461" s="7" t="str">
        <f t="shared" si="58"/>
        <v>CZDS_RSN_CODE</v>
      </c>
      <c r="G461" s="7" t="s">
        <v>825</v>
      </c>
      <c r="H461" s="7" t="str">
        <f t="shared" si="59"/>
        <v>CLK_DETM_DETIS_CZDS</v>
      </c>
      <c r="I461" s="7" t="str">
        <f t="shared" si="60"/>
        <v>CZDS_RSN_CODE</v>
      </c>
      <c r="J461" s="7" t="str">
        <f t="shared" si="61"/>
        <v>VARCHAR</v>
      </c>
      <c r="K461" s="7" t="str">
        <f>TRIM(ETLMetadata!$G461)</f>
        <v>CHAR(3)</v>
      </c>
      <c r="L461" s="7" t="str">
        <f>TRIM(ETLMetadata!$I461)</f>
        <v/>
      </c>
      <c r="M461" s="7" t="str">
        <f t="shared" si="62"/>
        <v>NULLIF(TRIM(CZDS_RSN_CODE),'')</v>
      </c>
      <c r="N461" s="7" t="str">
        <f>TRIM(ETLMetadata!$J461)</f>
        <v/>
      </c>
      <c r="O461" s="8" t="str">
        <f>IF(TRIM(Classification!$G461)="","NOT CONFIDENTIAL",TRIM(Classification!$G461))</f>
        <v>NOT CONFIDENTIAL</v>
      </c>
      <c r="P461" s="7" t="str">
        <f t="shared" si="63"/>
        <v>Y</v>
      </c>
      <c r="Q461" s="7" t="s">
        <v>826</v>
      </c>
      <c r="R461" s="9">
        <v>2958465</v>
      </c>
      <c r="S461" s="7" t="s">
        <v>827</v>
      </c>
      <c r="T461" s="7" t="s">
        <v>828</v>
      </c>
      <c r="U461" s="7" t="str">
        <f t="shared" si="57"/>
        <v>CLK_DETM_DETIS_CZDS_V</v>
      </c>
      <c r="V461" s="7" t="s">
        <v>829</v>
      </c>
    </row>
    <row r="462" spans="1:22">
      <c r="A462" s="7" t="str">
        <f>TRIM(ETLMetadata!$B462)</f>
        <v>CLK</v>
      </c>
      <c r="B462" s="7" t="str">
        <f>TRIM(ETLMetadata!$C462)</f>
        <v>DETM_DETIS_CZDS</v>
      </c>
      <c r="C462" s="7" t="str">
        <f>TRIM(ETLMetadata!$F462)</f>
        <v>CZDS_UNIQ_ID</v>
      </c>
      <c r="D462" s="7" t="str">
        <f>TRIM(ETLMetadata!$H462)</f>
        <v>StringType()</v>
      </c>
      <c r="E462" s="7" t="str">
        <f t="shared" si="56"/>
        <v>CLK_DETM_DETIS_CZDS</v>
      </c>
      <c r="F462" s="7" t="str">
        <f t="shared" si="58"/>
        <v>CZDS_UNIQ_ID</v>
      </c>
      <c r="G462" s="7" t="s">
        <v>825</v>
      </c>
      <c r="H462" s="7" t="str">
        <f t="shared" si="59"/>
        <v>CLK_DETM_DETIS_CZDS</v>
      </c>
      <c r="I462" s="7" t="str">
        <f t="shared" si="60"/>
        <v>CZDS_UNIQ_ID</v>
      </c>
      <c r="J462" s="7" t="str">
        <f t="shared" si="61"/>
        <v>VARCHAR</v>
      </c>
      <c r="K462" s="7" t="str">
        <f>TRIM(ETLMetadata!$G462)</f>
        <v>VARCHAR(8)</v>
      </c>
      <c r="L462" s="7" t="str">
        <f>TRIM(ETLMetadata!$I462)</f>
        <v/>
      </c>
      <c r="M462" s="7" t="str">
        <f t="shared" si="62"/>
        <v>NULLIF(TRIM(CZDS_UNIQ_ID),'')</v>
      </c>
      <c r="N462" s="7" t="str">
        <f>TRIM(ETLMetadata!$J462)</f>
        <v/>
      </c>
      <c r="O462" s="8" t="str">
        <f>IF(TRIM(Classification!$G462)="","NOT CONFIDENTIAL",TRIM(Classification!$G462))</f>
        <v>NOT CONFIDENTIAL</v>
      </c>
      <c r="P462" s="7" t="str">
        <f t="shared" si="63"/>
        <v>Y</v>
      </c>
      <c r="Q462" s="7" t="s">
        <v>826</v>
      </c>
      <c r="R462" s="9">
        <v>2958465</v>
      </c>
      <c r="S462" s="7" t="s">
        <v>827</v>
      </c>
      <c r="T462" s="7" t="s">
        <v>828</v>
      </c>
      <c r="U462" s="7" t="str">
        <f t="shared" si="57"/>
        <v>CLK_DETM_DETIS_CZDS_V</v>
      </c>
      <c r="V462" s="7" t="s">
        <v>829</v>
      </c>
    </row>
    <row r="463" spans="1:22">
      <c r="A463" s="7" t="str">
        <f>TRIM(ETLMetadata!$B463)</f>
        <v>CLK</v>
      </c>
      <c r="B463" s="7" t="str">
        <f>TRIM(ETLMetadata!$C463)</f>
        <v>DETM_DETIS_CZDS</v>
      </c>
      <c r="C463" s="7" t="str">
        <f>TRIM(ETLMetadata!$F463)</f>
        <v>AMR1_RISL_DTS</v>
      </c>
      <c r="D463" s="7" t="str">
        <f>TRIM(ETLMetadata!$H463)</f>
        <v>StringType()</v>
      </c>
      <c r="E463" s="7" t="str">
        <f t="shared" si="56"/>
        <v>CLK_DETM_DETIS_CZDS</v>
      </c>
      <c r="F463" s="7" t="str">
        <f t="shared" si="58"/>
        <v>AMR1_RISL_DTS</v>
      </c>
      <c r="G463" s="7" t="s">
        <v>825</v>
      </c>
      <c r="H463" s="7" t="str">
        <f t="shared" si="59"/>
        <v>CLK_DETM_DETIS_CZDS</v>
      </c>
      <c r="I463" s="7" t="str">
        <f t="shared" si="60"/>
        <v>AMR1_RISL_DTS</v>
      </c>
      <c r="J463" s="7" t="str">
        <f t="shared" si="61"/>
        <v>TIMESTAMP</v>
      </c>
      <c r="K463" s="7" t="str">
        <f>TRIM(ETLMetadata!$G463)</f>
        <v>TIMESTAMP(6)</v>
      </c>
      <c r="L463" s="7" t="str">
        <f>TRIM(ETLMetadata!$I463)</f>
        <v>YYYY-MM-DDBHH:MI:SS.S(6)</v>
      </c>
      <c r="M463" s="7" t="str">
        <f t="shared" si="62"/>
        <v>TO_TIMESTAMP_NTZ(NULLIF(TRIM(AMR1_RISL_DTS),''),'YYYY-MM-DD HH24:MI:SS.FF6')</v>
      </c>
      <c r="N463" s="7" t="str">
        <f>TRIM(ETLMetadata!$J463)</f>
        <v/>
      </c>
      <c r="O463" s="8" t="str">
        <f>IF(TRIM(Classification!$G463)="","NOT CONFIDENTIAL",TRIM(Classification!$G463))</f>
        <v>NOT CONFIDENTIAL</v>
      </c>
      <c r="P463" s="7" t="str">
        <f t="shared" si="63"/>
        <v>Y</v>
      </c>
      <c r="Q463" s="7" t="s">
        <v>826</v>
      </c>
      <c r="R463" s="9">
        <v>2958465</v>
      </c>
      <c r="S463" s="7" t="s">
        <v>827</v>
      </c>
      <c r="T463" s="7" t="s">
        <v>828</v>
      </c>
      <c r="U463" s="7" t="str">
        <f t="shared" si="57"/>
        <v>CLK_DETM_DETIS_CZDS_V</v>
      </c>
      <c r="V463" s="7" t="s">
        <v>829</v>
      </c>
    </row>
    <row r="464" spans="1:22">
      <c r="A464" s="7" t="str">
        <f>TRIM(ETLMetadata!$B464)</f>
        <v>CLK</v>
      </c>
      <c r="B464" s="7" t="str">
        <f>TRIM(ETLMetadata!$C464)</f>
        <v>DETM_DETIS_CZDS</v>
      </c>
      <c r="C464" s="7" t="str">
        <f>TRIM(ETLMetadata!$F464)</f>
        <v>AMR3_RISL_DTS</v>
      </c>
      <c r="D464" s="7" t="str">
        <f>TRIM(ETLMetadata!$H464)</f>
        <v>StringType()</v>
      </c>
      <c r="E464" s="7" t="str">
        <f t="shared" si="56"/>
        <v>CLK_DETM_DETIS_CZDS</v>
      </c>
      <c r="F464" s="7" t="str">
        <f t="shared" si="58"/>
        <v>AMR3_RISL_DTS</v>
      </c>
      <c r="G464" s="7" t="s">
        <v>825</v>
      </c>
      <c r="H464" s="7" t="str">
        <f t="shared" si="59"/>
        <v>CLK_DETM_DETIS_CZDS</v>
      </c>
      <c r="I464" s="7" t="str">
        <f t="shared" si="60"/>
        <v>AMR3_RISL_DTS</v>
      </c>
      <c r="J464" s="7" t="str">
        <f t="shared" si="61"/>
        <v>TIMESTAMP</v>
      </c>
      <c r="K464" s="7" t="str">
        <f>TRIM(ETLMetadata!$G464)</f>
        <v>TIMESTAMP(6)</v>
      </c>
      <c r="L464" s="7" t="str">
        <f>TRIM(ETLMetadata!$I464)</f>
        <v>YYYY-MM-DDBHH:MI:SS.S(6)</v>
      </c>
      <c r="M464" s="7" t="str">
        <f t="shared" si="62"/>
        <v>TO_TIMESTAMP_NTZ(NULLIF(TRIM(AMR3_RISL_DTS),''),'YYYY-MM-DD HH24:MI:SS.FF6')</v>
      </c>
      <c r="N464" s="7" t="str">
        <f>TRIM(ETLMetadata!$J464)</f>
        <v/>
      </c>
      <c r="O464" s="8" t="str">
        <f>IF(TRIM(Classification!$G464)="","NOT CONFIDENTIAL",TRIM(Classification!$G464))</f>
        <v>NOT CONFIDENTIAL</v>
      </c>
      <c r="P464" s="7" t="str">
        <f t="shared" si="63"/>
        <v>Y</v>
      </c>
      <c r="Q464" s="7" t="s">
        <v>826</v>
      </c>
      <c r="R464" s="9">
        <v>2958465</v>
      </c>
      <c r="S464" s="7" t="s">
        <v>827</v>
      </c>
      <c r="T464" s="7" t="s">
        <v>828</v>
      </c>
      <c r="U464" s="7" t="str">
        <f t="shared" si="57"/>
        <v>CLK_DETM_DETIS_CZDS_V</v>
      </c>
      <c r="V464" s="7" t="s">
        <v>829</v>
      </c>
    </row>
    <row r="465" spans="1:22">
      <c r="A465" s="7" t="str">
        <f>TRIM(ETLMetadata!$B465)</f>
        <v>CLK</v>
      </c>
      <c r="B465" s="7" t="str">
        <f>TRIM(ETLMetadata!$C465)</f>
        <v>DETM_DETIS_CZDS</v>
      </c>
      <c r="C465" s="7" t="str">
        <f>TRIM(ETLMetadata!$F465)</f>
        <v>EPISODE_ID</v>
      </c>
      <c r="D465" s="7" t="str">
        <f>TRIM(ETLMetadata!$H465)</f>
        <v>StringType()</v>
      </c>
      <c r="E465" s="7" t="str">
        <f t="shared" si="56"/>
        <v>CLK_DETM_DETIS_CZDS</v>
      </c>
      <c r="F465" s="7" t="str">
        <f t="shared" si="58"/>
        <v>EPISODE_ID</v>
      </c>
      <c r="G465" s="7" t="s">
        <v>825</v>
      </c>
      <c r="H465" s="7" t="str">
        <f t="shared" si="59"/>
        <v>CLK_DETM_DETIS_CZDS</v>
      </c>
      <c r="I465" s="7" t="str">
        <f t="shared" si="60"/>
        <v>EPISODE_ID</v>
      </c>
      <c r="J465" s="7" t="str">
        <f t="shared" si="61"/>
        <v>INTEGER</v>
      </c>
      <c r="K465" s="7" t="str">
        <f>TRIM(ETLMetadata!$G465)</f>
        <v>INTEGER</v>
      </c>
      <c r="L465" s="7" t="str">
        <f>TRIM(ETLMetadata!$I465)</f>
        <v/>
      </c>
      <c r="M465" s="7" t="str">
        <f t="shared" si="62"/>
        <v>CAST(NULLIF(TRIM(EPISODE_ID),'') AS INTEGER)</v>
      </c>
      <c r="N465" s="7" t="str">
        <f>TRIM(ETLMetadata!$J465)</f>
        <v/>
      </c>
      <c r="O465" s="8" t="str">
        <f>IF(TRIM(Classification!$G465)="","NOT CONFIDENTIAL",TRIM(Classification!$G465))</f>
        <v>NOT CONFIDENTIAL</v>
      </c>
      <c r="P465" s="7" t="str">
        <f t="shared" si="63"/>
        <v>Y</v>
      </c>
      <c r="Q465" s="7" t="s">
        <v>826</v>
      </c>
      <c r="R465" s="9">
        <v>2958465</v>
      </c>
      <c r="S465" s="7" t="s">
        <v>827</v>
      </c>
      <c r="T465" s="7" t="s">
        <v>828</v>
      </c>
      <c r="U465" s="7" t="str">
        <f t="shared" si="57"/>
        <v>CLK_DETM_DETIS_CZDS_V</v>
      </c>
      <c r="V465" s="7" t="s">
        <v>829</v>
      </c>
    </row>
    <row r="466" spans="1:22">
      <c r="A466" s="7" t="str">
        <f>TRIM(ETLMetadata!$B466)</f>
        <v>CLK</v>
      </c>
      <c r="B466" s="7" t="str">
        <f>TRIM(ETLMetadata!$C466)</f>
        <v>DETM_DETIS_CZDS</v>
      </c>
      <c r="C466" s="7" t="str">
        <f>TRIM(ETLMetadata!$F466)</f>
        <v>PARTY_ROLE_ID</v>
      </c>
      <c r="D466" s="7" t="str">
        <f>TRIM(ETLMetadata!$H466)</f>
        <v>StringType()</v>
      </c>
      <c r="E466" s="7" t="str">
        <f t="shared" si="56"/>
        <v>CLK_DETM_DETIS_CZDS</v>
      </c>
      <c r="F466" s="7" t="str">
        <f t="shared" si="58"/>
        <v>PARTY_ROLE_ID</v>
      </c>
      <c r="G466" s="7" t="s">
        <v>825</v>
      </c>
      <c r="H466" s="7" t="str">
        <f t="shared" si="59"/>
        <v>CLK_DETM_DETIS_CZDS</v>
      </c>
      <c r="I466" s="7" t="str">
        <f t="shared" si="60"/>
        <v>PARTY_ROLE_ID</v>
      </c>
      <c r="J466" s="7" t="str">
        <f t="shared" si="61"/>
        <v>INTEGER</v>
      </c>
      <c r="K466" s="7" t="str">
        <f>TRIM(ETLMetadata!$G466)</f>
        <v>INTEGER</v>
      </c>
      <c r="L466" s="7" t="str">
        <f>TRIM(ETLMetadata!$I466)</f>
        <v/>
      </c>
      <c r="M466" s="7" t="str">
        <f t="shared" si="62"/>
        <v>CAST(NULLIF(TRIM(PARTY_ROLE_ID),'') AS INTEGER)</v>
      </c>
      <c r="N466" s="7" t="str">
        <f>TRIM(ETLMetadata!$J466)</f>
        <v/>
      </c>
      <c r="O466" s="8" t="str">
        <f>IF(TRIM(Classification!$G466)="","NOT CONFIDENTIAL",TRIM(Classification!$G466))</f>
        <v>NOT CONFIDENTIAL</v>
      </c>
      <c r="P466" s="7" t="str">
        <f t="shared" si="63"/>
        <v>Y</v>
      </c>
      <c r="Q466" s="7" t="s">
        <v>826</v>
      </c>
      <c r="R466" s="9">
        <v>2958465</v>
      </c>
      <c r="S466" s="7" t="s">
        <v>827</v>
      </c>
      <c r="T466" s="7" t="s">
        <v>828</v>
      </c>
      <c r="U466" s="7" t="str">
        <f t="shared" si="57"/>
        <v>CLK_DETM_DETIS_CZDS_V</v>
      </c>
      <c r="V466" s="7" t="s">
        <v>829</v>
      </c>
    </row>
    <row r="467" spans="1:22">
      <c r="A467" s="7" t="str">
        <f>TRIM(ETLMetadata!$B467)</f>
        <v>CLK</v>
      </c>
      <c r="B467" s="7" t="str">
        <f>TRIM(ETLMetadata!$C467)</f>
        <v>DETM_DETIS_CZDS</v>
      </c>
      <c r="C467" s="7" t="str">
        <f>TRIM(ETLMetadata!$F467)</f>
        <v>PAYMENT_TYPE_ID</v>
      </c>
      <c r="D467" s="7" t="str">
        <f>TRIM(ETLMetadata!$H467)</f>
        <v>StringType()</v>
      </c>
      <c r="E467" s="7" t="str">
        <f t="shared" si="56"/>
        <v>CLK_DETM_DETIS_CZDS</v>
      </c>
      <c r="F467" s="7" t="str">
        <f t="shared" si="58"/>
        <v>PAYMENT_TYPE_ID</v>
      </c>
      <c r="G467" s="7" t="s">
        <v>825</v>
      </c>
      <c r="H467" s="7" t="str">
        <f t="shared" si="59"/>
        <v>CLK_DETM_DETIS_CZDS</v>
      </c>
      <c r="I467" s="7" t="str">
        <f t="shared" si="60"/>
        <v>PAYMENT_TYPE_ID</v>
      </c>
      <c r="J467" s="7" t="str">
        <f t="shared" si="61"/>
        <v>INTEGER</v>
      </c>
      <c r="K467" s="7" t="str">
        <f>TRIM(ETLMetadata!$G467)</f>
        <v>INTEGER</v>
      </c>
      <c r="L467" s="7" t="str">
        <f>TRIM(ETLMetadata!$I467)</f>
        <v/>
      </c>
      <c r="M467" s="7" t="str">
        <f t="shared" si="62"/>
        <v>CAST(NULLIF(TRIM(PAYMENT_TYPE_ID),'') AS INTEGER)</v>
      </c>
      <c r="N467" s="7" t="str">
        <f>TRIM(ETLMetadata!$J467)</f>
        <v/>
      </c>
      <c r="O467" s="8" t="str">
        <f>IF(TRIM(Classification!$G467)="","NOT CONFIDENTIAL",TRIM(Classification!$G467))</f>
        <v>NOT CONFIDENTIAL</v>
      </c>
      <c r="P467" s="7" t="str">
        <f t="shared" si="63"/>
        <v>Y</v>
      </c>
      <c r="Q467" s="7" t="s">
        <v>826</v>
      </c>
      <c r="R467" s="9">
        <v>2958465</v>
      </c>
      <c r="S467" s="7" t="s">
        <v>827</v>
      </c>
      <c r="T467" s="7" t="s">
        <v>828</v>
      </c>
      <c r="U467" s="7" t="str">
        <f t="shared" si="57"/>
        <v>CLK_DETM_DETIS_CZDS_V</v>
      </c>
      <c r="V467" s="7" t="s">
        <v>829</v>
      </c>
    </row>
    <row r="468" spans="1:22">
      <c r="A468" s="7" t="str">
        <f>TRIM(ETLMetadata!$B468)</f>
        <v>CLK</v>
      </c>
      <c r="B468" s="7" t="str">
        <f>TRIM(ETLMetadata!$C468)</f>
        <v>DETM_DETIS_CZDS</v>
      </c>
      <c r="C468" s="7" t="str">
        <f>TRIM(ETLMetadata!$F468)</f>
        <v>ERROR_COUNT</v>
      </c>
      <c r="D468" s="7" t="str">
        <f>TRIM(ETLMetadata!$H468)</f>
        <v>StringType()</v>
      </c>
      <c r="E468" s="7" t="str">
        <f t="shared" si="56"/>
        <v>CLK_DETM_DETIS_CZDS</v>
      </c>
      <c r="F468" s="7" t="str">
        <f t="shared" si="58"/>
        <v>ERROR_COUNT</v>
      </c>
      <c r="G468" s="7" t="s">
        <v>825</v>
      </c>
      <c r="H468" s="7" t="str">
        <f t="shared" si="59"/>
        <v>CLK_DETM_DETIS_CZDS</v>
      </c>
      <c r="I468" s="7" t="str">
        <f t="shared" si="60"/>
        <v>ERROR_COUNT</v>
      </c>
      <c r="J468" s="7" t="str">
        <f t="shared" si="61"/>
        <v>SMALLINT</v>
      </c>
      <c r="K468" s="7" t="str">
        <f>TRIM(ETLMetadata!$G468)</f>
        <v>SMALLINT</v>
      </c>
      <c r="L468" s="7" t="str">
        <f>TRIM(ETLMetadata!$I468)</f>
        <v/>
      </c>
      <c r="M468" s="7" t="str">
        <f t="shared" si="62"/>
        <v>CAST(NULLIF(TRIM(ERROR_COUNT),'') AS SMALLINT)</v>
      </c>
      <c r="N468" s="7" t="str">
        <f>TRIM(ETLMetadata!$J468)</f>
        <v/>
      </c>
      <c r="O468" s="8" t="str">
        <f>IF(TRIM(Classification!$G468)="","NOT CONFIDENTIAL",TRIM(Classification!$G468))</f>
        <v>NOT CONFIDENTIAL</v>
      </c>
      <c r="P468" s="7" t="str">
        <f t="shared" si="63"/>
        <v>Y</v>
      </c>
      <c r="Q468" s="7" t="s">
        <v>826</v>
      </c>
      <c r="R468" s="9">
        <v>2958465</v>
      </c>
      <c r="S468" s="7" t="s">
        <v>827</v>
      </c>
      <c r="T468" s="7" t="s">
        <v>828</v>
      </c>
      <c r="U468" s="7" t="str">
        <f t="shared" si="57"/>
        <v>CLK_DETM_DETIS_CZDS_V</v>
      </c>
      <c r="V468" s="7" t="s">
        <v>829</v>
      </c>
    </row>
    <row r="469" spans="1:22">
      <c r="A469" s="7" t="str">
        <f>TRIM(ETLMetadata!$B469)</f>
        <v>CLK</v>
      </c>
      <c r="B469" s="7" t="str">
        <f>TRIM(ETLMetadata!$C469)</f>
        <v>DETM_DETIS_CZDS</v>
      </c>
      <c r="C469" s="7" t="str">
        <f>TRIM(ETLMetadata!$F469)</f>
        <v>Start_Date</v>
      </c>
      <c r="D469" s="7" t="str">
        <f>TRIM(ETLMetadata!$H469)</f>
        <v>StringType()</v>
      </c>
      <c r="E469" s="7" t="str">
        <f t="shared" si="56"/>
        <v>CLK_DETM_DETIS_CZDS</v>
      </c>
      <c r="F469" s="7" t="str">
        <f t="shared" si="58"/>
        <v>STRT_DT</v>
      </c>
      <c r="G469" s="7" t="s">
        <v>825</v>
      </c>
      <c r="H469" s="7" t="str">
        <f t="shared" si="59"/>
        <v>CLK_DETM_DETIS_CZDS</v>
      </c>
      <c r="I469" s="7" t="str">
        <f t="shared" si="60"/>
        <v>STRT_DT</v>
      </c>
      <c r="J469" s="7" t="str">
        <f t="shared" si="61"/>
        <v>DATE</v>
      </c>
      <c r="K469" s="7" t="str">
        <f>TRIM(ETLMetadata!$G469)</f>
        <v>DATE</v>
      </c>
      <c r="L469" s="7" t="str">
        <f>TRIM(ETLMetadata!$I469)</f>
        <v>YYYY-MM-DD</v>
      </c>
      <c r="M469" s="7" t="str">
        <f t="shared" si="62"/>
        <v>TO_DATE(NULLIF(TRIM(STRT_DT),'') , 'YYYY-MM-DD')</v>
      </c>
      <c r="N469" s="7" t="str">
        <f>TRIM(ETLMetadata!$J469)</f>
        <v/>
      </c>
      <c r="O469" s="8" t="str">
        <f>IF(TRIM(Classification!$G469)="","NOT CONFIDENTIAL",TRIM(Classification!$G469))</f>
        <v>NOT CONFIDENTIAL</v>
      </c>
      <c r="P469" s="7" t="str">
        <f t="shared" si="63"/>
        <v>N</v>
      </c>
      <c r="Q469" s="7" t="s">
        <v>826</v>
      </c>
      <c r="R469" s="9">
        <v>2958465</v>
      </c>
      <c r="S469" s="7" t="s">
        <v>827</v>
      </c>
      <c r="T469" s="7" t="s">
        <v>828</v>
      </c>
      <c r="U469" s="7" t="str">
        <f t="shared" si="57"/>
        <v>CLK_DETM_DETIS_CZDS_V</v>
      </c>
      <c r="V469" s="7" t="s">
        <v>829</v>
      </c>
    </row>
    <row r="470" spans="1:22">
      <c r="A470" s="7" t="str">
        <f>TRIM(ETLMetadata!$B470)</f>
        <v>CLK</v>
      </c>
      <c r="B470" s="7" t="str">
        <f>TRIM(ETLMetadata!$C470)</f>
        <v>DETM_DETIS_CZDS</v>
      </c>
      <c r="C470" s="7" t="str">
        <f>TRIM(ETLMetadata!$F470)</f>
        <v>End_Date</v>
      </c>
      <c r="D470" s="7" t="str">
        <f>TRIM(ETLMetadata!$H470)</f>
        <v>StringType()</v>
      </c>
      <c r="E470" s="7" t="str">
        <f t="shared" si="56"/>
        <v>CLK_DETM_DETIS_CZDS</v>
      </c>
      <c r="F470" s="7" t="str">
        <f t="shared" si="58"/>
        <v>END_DT</v>
      </c>
      <c r="G470" s="7" t="s">
        <v>825</v>
      </c>
      <c r="H470" s="7" t="str">
        <f t="shared" si="59"/>
        <v>CLK_DETM_DETIS_CZDS</v>
      </c>
      <c r="I470" s="7" t="str">
        <f t="shared" si="60"/>
        <v>END_DT</v>
      </c>
      <c r="J470" s="7" t="str">
        <f t="shared" si="61"/>
        <v>DATE</v>
      </c>
      <c r="K470" s="7" t="str">
        <f>TRIM(ETLMetadata!$G470)</f>
        <v>DATE</v>
      </c>
      <c r="L470" s="7" t="str">
        <f>TRIM(ETLMetadata!$I470)</f>
        <v>YYYY-MM-DD</v>
      </c>
      <c r="M470" s="7" t="str">
        <f t="shared" si="62"/>
        <v>TO_DATE(NULLIF(TRIM(END_DT),'') , 'YYYY-MM-DD')</v>
      </c>
      <c r="N470" s="7" t="str">
        <f>TRIM(ETLMetadata!$J470)</f>
        <v/>
      </c>
      <c r="O470" s="8" t="str">
        <f>IF(TRIM(Classification!$G470)="","NOT CONFIDENTIAL",TRIM(Classification!$G470))</f>
        <v>NOT CONFIDENTIAL</v>
      </c>
      <c r="P470" s="7" t="str">
        <f t="shared" si="63"/>
        <v>N</v>
      </c>
      <c r="Q470" s="7" t="s">
        <v>826</v>
      </c>
      <c r="R470" s="9">
        <v>2958465</v>
      </c>
      <c r="S470" s="7" t="s">
        <v>827</v>
      </c>
      <c r="T470" s="7" t="s">
        <v>828</v>
      </c>
      <c r="U470" s="7" t="str">
        <f t="shared" si="57"/>
        <v>CLK_DETM_DETIS_CZDS_V</v>
      </c>
      <c r="V470" s="7" t="s">
        <v>829</v>
      </c>
    </row>
    <row r="471" spans="1:22">
      <c r="A471" s="7" t="str">
        <f>TRIM(ETLMetadata!$B471)</f>
        <v>CLK</v>
      </c>
      <c r="B471" s="7" t="str">
        <f>TRIM(ETLMetadata!$C471)</f>
        <v>DETM_DETIS_CZDS</v>
      </c>
      <c r="C471" s="7" t="str">
        <f>TRIM(ETLMetadata!$F471)</f>
        <v>Record_Deleted_Flag</v>
      </c>
      <c r="D471" s="7" t="str">
        <f>TRIM(ETLMetadata!$H471)</f>
        <v>StringType()</v>
      </c>
      <c r="E471" s="7" t="str">
        <f t="shared" si="56"/>
        <v>CLK_DETM_DETIS_CZDS</v>
      </c>
      <c r="F471" s="7" t="str">
        <f t="shared" si="58"/>
        <v>RCRD_DEL_IND</v>
      </c>
      <c r="G471" s="7" t="s">
        <v>825</v>
      </c>
      <c r="H471" s="7" t="str">
        <f t="shared" si="59"/>
        <v>CLK_DETM_DETIS_CZDS</v>
      </c>
      <c r="I471" s="7" t="str">
        <f t="shared" si="60"/>
        <v>RCRD_DEL_IND</v>
      </c>
      <c r="J471" s="7" t="str">
        <f t="shared" si="61"/>
        <v>SMALLINT</v>
      </c>
      <c r="K471" s="7" t="str">
        <f>TRIM(ETLMetadata!$G471)</f>
        <v>BYTEINT</v>
      </c>
      <c r="L471" s="7" t="str">
        <f>TRIM(ETLMetadata!$I471)</f>
        <v/>
      </c>
      <c r="M471" s="7" t="str">
        <f t="shared" si="62"/>
        <v>CAST(NULLIF(TRIM(RCRD_DEL_IND),'') AS SMALLINT)</v>
      </c>
      <c r="N471" s="7" t="str">
        <f>TRIM(ETLMetadata!$J471)</f>
        <v/>
      </c>
      <c r="O471" s="8" t="str">
        <f>IF(TRIM(Classification!$G471)="","NOT CONFIDENTIAL",TRIM(Classification!$G471))</f>
        <v>NOT CONFIDENTIAL</v>
      </c>
      <c r="P471" s="7" t="str">
        <f t="shared" si="63"/>
        <v>N</v>
      </c>
      <c r="Q471" s="7" t="s">
        <v>826</v>
      </c>
      <c r="R471" s="9">
        <v>2958465</v>
      </c>
      <c r="S471" s="7" t="s">
        <v>827</v>
      </c>
      <c r="T471" s="7" t="s">
        <v>828</v>
      </c>
      <c r="U471" s="7" t="str">
        <f t="shared" si="57"/>
        <v>CLK_DETM_DETIS_CZDS_V</v>
      </c>
      <c r="V471" s="7" t="s">
        <v>829</v>
      </c>
    </row>
    <row r="472" spans="1:22">
      <c r="A472" s="7" t="str">
        <f>TRIM(ETLMetadata!$B472)</f>
        <v>CLK</v>
      </c>
      <c r="B472" s="7" t="str">
        <f>TRIM(ETLMetadata!$C472)</f>
        <v>DETM_DETIS_D3DS</v>
      </c>
      <c r="C472" s="7" t="str">
        <f>TRIM(ETLMetadata!$F472)</f>
        <v>EXTRACT_DATE</v>
      </c>
      <c r="D472" s="7" t="str">
        <f>TRIM(ETLMetadata!$H472)</f>
        <v>StringType()</v>
      </c>
      <c r="E472" s="7" t="str">
        <f t="shared" si="56"/>
        <v>CLK_DETM_DETIS_D3DS</v>
      </c>
      <c r="F472" s="7" t="str">
        <f t="shared" si="58"/>
        <v>EXTRACT_DATE</v>
      </c>
      <c r="G472" s="7" t="s">
        <v>825</v>
      </c>
      <c r="H472" s="7" t="str">
        <f t="shared" si="59"/>
        <v>CLK_DETM_DETIS_D3DS</v>
      </c>
      <c r="I472" s="7" t="str">
        <f t="shared" si="60"/>
        <v>EXTRACT_DATE</v>
      </c>
      <c r="J472" s="7" t="str">
        <f t="shared" si="61"/>
        <v>DATE</v>
      </c>
      <c r="K472" s="7" t="str">
        <f>TRIM(ETLMetadata!$G472)</f>
        <v>DATE</v>
      </c>
      <c r="L472" s="7" t="str">
        <f>TRIM(ETLMetadata!$I472)</f>
        <v>YYYY-MM-DD</v>
      </c>
      <c r="M472" s="7" t="str">
        <f t="shared" si="62"/>
        <v>TO_DATE(NULLIF(TRIM(EXTRACT_DATE),'') , 'YYYY-MM-DD')</v>
      </c>
      <c r="N472" s="7" t="str">
        <f>TRIM(ETLMetadata!$J472)</f>
        <v/>
      </c>
      <c r="O472" s="8" t="str">
        <f>IF(TRIM(Classification!$G472)="","NOT CONFIDENTIAL",TRIM(Classification!$G472))</f>
        <v>NOT CONFIDENTIAL</v>
      </c>
      <c r="P472" s="7" t="str">
        <f t="shared" si="63"/>
        <v>Y</v>
      </c>
      <c r="Q472" s="7" t="s">
        <v>826</v>
      </c>
      <c r="R472" s="9">
        <v>2958465</v>
      </c>
      <c r="S472" s="7" t="s">
        <v>827</v>
      </c>
      <c r="T472" s="7" t="s">
        <v>828</v>
      </c>
      <c r="U472" s="7" t="str">
        <f t="shared" si="57"/>
        <v>CLK_DETM_DETIS_D3DS_V</v>
      </c>
      <c r="V472" s="7" t="s">
        <v>829</v>
      </c>
    </row>
    <row r="473" spans="1:22">
      <c r="A473" s="7" t="str">
        <f>TRIM(ETLMetadata!$B473)</f>
        <v>CLK</v>
      </c>
      <c r="B473" s="7" t="str">
        <f>TRIM(ETLMetadata!$C473)</f>
        <v>DETM_DETIS_D3DS</v>
      </c>
      <c r="C473" s="7" t="str">
        <f>TRIM(ETLMetadata!$F473)</f>
        <v>LOGICAL_DELETE_DATE</v>
      </c>
      <c r="D473" s="7" t="str">
        <f>TRIM(ETLMetadata!$H473)</f>
        <v>StringType()</v>
      </c>
      <c r="E473" s="7" t="str">
        <f t="shared" si="56"/>
        <v>CLK_DETM_DETIS_D3DS</v>
      </c>
      <c r="F473" s="7" t="str">
        <f t="shared" si="58"/>
        <v>LOGICAL_DELETE_DATE</v>
      </c>
      <c r="G473" s="7" t="s">
        <v>825</v>
      </c>
      <c r="H473" s="7" t="str">
        <f t="shared" si="59"/>
        <v>CLK_DETM_DETIS_D3DS</v>
      </c>
      <c r="I473" s="7" t="str">
        <f t="shared" si="60"/>
        <v>LOGICAL_DELETE_DATE</v>
      </c>
      <c r="J473" s="7" t="str">
        <f t="shared" si="61"/>
        <v>DATE</v>
      </c>
      <c r="K473" s="7" t="str">
        <f>TRIM(ETLMetadata!$G473)</f>
        <v>DATE</v>
      </c>
      <c r="L473" s="7" t="str">
        <f>TRIM(ETLMetadata!$I473)</f>
        <v>YYYY-MM-DD</v>
      </c>
      <c r="M473" s="7" t="str">
        <f t="shared" si="62"/>
        <v>TO_DATE(NULLIF(TRIM(LOGICAL_DELETE_DATE),'') , 'YYYY-MM-DD')</v>
      </c>
      <c r="N473" s="7" t="str">
        <f>TRIM(ETLMetadata!$J473)</f>
        <v/>
      </c>
      <c r="O473" s="8" t="str">
        <f>IF(TRIM(Classification!$G473)="","NOT CONFIDENTIAL",TRIM(Classification!$G473))</f>
        <v>NOT CONFIDENTIAL</v>
      </c>
      <c r="P473" s="7" t="str">
        <f t="shared" si="63"/>
        <v>Y</v>
      </c>
      <c r="Q473" s="7" t="s">
        <v>826</v>
      </c>
      <c r="R473" s="9">
        <v>2958465</v>
      </c>
      <c r="S473" s="7" t="s">
        <v>827</v>
      </c>
      <c r="T473" s="7" t="s">
        <v>828</v>
      </c>
      <c r="U473" s="7" t="str">
        <f t="shared" si="57"/>
        <v>CLK_DETM_DETIS_D3DS_V</v>
      </c>
      <c r="V473" s="7" t="s">
        <v>829</v>
      </c>
    </row>
    <row r="474" spans="1:22">
      <c r="A474" s="7" t="str">
        <f>TRIM(ETLMetadata!$B474)</f>
        <v>CLK</v>
      </c>
      <c r="B474" s="7" t="str">
        <f>TRIM(ETLMetadata!$C474)</f>
        <v>DETM_DETIS_D3DS</v>
      </c>
      <c r="C474" s="7" t="str">
        <f>TRIM(ETLMetadata!$F474)</f>
        <v>ENVIRONMENT_ID</v>
      </c>
      <c r="D474" s="7" t="str">
        <f>TRIM(ETLMetadata!$H474)</f>
        <v>StringType()</v>
      </c>
      <c r="E474" s="7" t="str">
        <f t="shared" si="56"/>
        <v>CLK_DETM_DETIS_D3DS</v>
      </c>
      <c r="F474" s="7" t="str">
        <f t="shared" si="58"/>
        <v>ENVIRONMENT_ID</v>
      </c>
      <c r="G474" s="7" t="s">
        <v>825</v>
      </c>
      <c r="H474" s="7" t="str">
        <f t="shared" si="59"/>
        <v>CLK_DETM_DETIS_D3DS</v>
      </c>
      <c r="I474" s="7" t="str">
        <f t="shared" si="60"/>
        <v>ENVIRONMENT_ID</v>
      </c>
      <c r="J474" s="7" t="str">
        <f t="shared" si="61"/>
        <v>VARCHAR</v>
      </c>
      <c r="K474" s="7" t="str">
        <f>TRIM(ETLMetadata!$G474)</f>
        <v>CHAR(1)</v>
      </c>
      <c r="L474" s="7" t="str">
        <f>TRIM(ETLMetadata!$I474)</f>
        <v/>
      </c>
      <c r="M474" s="7" t="str">
        <f t="shared" si="62"/>
        <v>NULLIF(TRIM(ENVIRONMENT_ID),'')</v>
      </c>
      <c r="N474" s="7" t="str">
        <f>TRIM(ETLMetadata!$J474)</f>
        <v>Y</v>
      </c>
      <c r="O474" s="8" t="str">
        <f>IF(TRIM(Classification!$G474)="","NOT CONFIDENTIAL",TRIM(Classification!$G474))</f>
        <v>NOT CONFIDENTIAL</v>
      </c>
      <c r="P474" s="7" t="str">
        <f t="shared" si="63"/>
        <v>Y</v>
      </c>
      <c r="Q474" s="7" t="s">
        <v>826</v>
      </c>
      <c r="R474" s="9">
        <v>2958465</v>
      </c>
      <c r="S474" s="7" t="s">
        <v>827</v>
      </c>
      <c r="T474" s="7" t="s">
        <v>828</v>
      </c>
      <c r="U474" s="7" t="str">
        <f t="shared" si="57"/>
        <v>CLK_DETM_DETIS_D3DS_V</v>
      </c>
      <c r="V474" s="7" t="s">
        <v>829</v>
      </c>
    </row>
    <row r="475" spans="1:22">
      <c r="A475" s="7" t="str">
        <f>TRIM(ETLMetadata!$B475)</f>
        <v>CLK</v>
      </c>
      <c r="B475" s="7" t="str">
        <f>TRIM(ETLMetadata!$C475)</f>
        <v>DETM_DETIS_D3DS</v>
      </c>
      <c r="C475" s="7" t="str">
        <f>TRIM(ETLMetadata!$F475)</f>
        <v>PERSON_ID</v>
      </c>
      <c r="D475" s="7" t="str">
        <f>TRIM(ETLMetadata!$H475)</f>
        <v>StringType()</v>
      </c>
      <c r="E475" s="7" t="str">
        <f t="shared" si="56"/>
        <v>CLK_DETM_DETIS_D3DS</v>
      </c>
      <c r="F475" s="7" t="str">
        <f t="shared" si="58"/>
        <v>PERSON_ID</v>
      </c>
      <c r="G475" s="7" t="s">
        <v>825</v>
      </c>
      <c r="H475" s="7" t="str">
        <f t="shared" si="59"/>
        <v>CLK_DETM_DETIS_D3DS</v>
      </c>
      <c r="I475" s="7" t="str">
        <f t="shared" si="60"/>
        <v>PERSON_ID</v>
      </c>
      <c r="J475" s="7" t="str">
        <f t="shared" si="61"/>
        <v>INTEGER</v>
      </c>
      <c r="K475" s="7" t="str">
        <f>TRIM(ETLMetadata!$G475)</f>
        <v>INTEGER</v>
      </c>
      <c r="L475" s="7" t="str">
        <f>TRIM(ETLMetadata!$I475)</f>
        <v/>
      </c>
      <c r="M475" s="7" t="str">
        <f t="shared" si="62"/>
        <v>CAST(NULLIF(TRIM(PERSON_ID),'') AS INTEGER)</v>
      </c>
      <c r="N475" s="7" t="str">
        <f>TRIM(ETLMetadata!$J475)</f>
        <v>Y</v>
      </c>
      <c r="O475" s="8" t="str">
        <f>IF(TRIM(Classification!$G475)="","NOT CONFIDENTIAL",TRIM(Classification!$G475))</f>
        <v>PERSONAL_IDENTITYINFOINDIRECT</v>
      </c>
      <c r="P475" s="7" t="str">
        <f t="shared" si="63"/>
        <v>Y</v>
      </c>
      <c r="Q475" s="7" t="s">
        <v>826</v>
      </c>
      <c r="R475" s="9">
        <v>2958465</v>
      </c>
      <c r="S475" s="7" t="s">
        <v>827</v>
      </c>
      <c r="T475" s="7" t="s">
        <v>828</v>
      </c>
      <c r="U475" s="7" t="str">
        <f t="shared" si="57"/>
        <v>CLK_DETM_DETIS_D3DS_V</v>
      </c>
      <c r="V475" s="7" t="s">
        <v>829</v>
      </c>
    </row>
    <row r="476" spans="1:22">
      <c r="A476" s="7" t="str">
        <f>TRIM(ETLMetadata!$B476)</f>
        <v>CLK</v>
      </c>
      <c r="B476" s="7" t="str">
        <f>TRIM(ETLMetadata!$C476)</f>
        <v>DETM_DETIS_D3DS</v>
      </c>
      <c r="C476" s="7" t="str">
        <f>TRIM(ETLMetadata!$F476)</f>
        <v>D3DS_DOE</v>
      </c>
      <c r="D476" s="7" t="str">
        <f>TRIM(ETLMetadata!$H476)</f>
        <v>StringType()</v>
      </c>
      <c r="E476" s="7" t="str">
        <f t="shared" si="56"/>
        <v>CLK_DETM_DETIS_D3DS</v>
      </c>
      <c r="F476" s="7" t="str">
        <f t="shared" si="58"/>
        <v>D3DS_DOE</v>
      </c>
      <c r="G476" s="7" t="s">
        <v>825</v>
      </c>
      <c r="H476" s="7" t="str">
        <f t="shared" si="59"/>
        <v>CLK_DETM_DETIS_D3DS</v>
      </c>
      <c r="I476" s="7" t="str">
        <f t="shared" si="60"/>
        <v>D3DS_DOE</v>
      </c>
      <c r="J476" s="7" t="str">
        <f t="shared" si="61"/>
        <v>DATE</v>
      </c>
      <c r="K476" s="17" t="s">
        <v>80</v>
      </c>
      <c r="L476" s="7" t="str">
        <f>TRIM(ETLMetadata!$I476)</f>
        <v>YYYY-MM-DD</v>
      </c>
      <c r="M476" s="7" t="str">
        <f t="shared" si="62"/>
        <v>TO_DATE(NULLIF(TRIM(D3DS_DOE),'') , 'YYYY-MM-DD')</v>
      </c>
      <c r="N476" s="7" t="str">
        <f>TRIM(ETLMetadata!$J476)</f>
        <v/>
      </c>
      <c r="O476" s="8" t="str">
        <f>IF(TRIM(Classification!$G476)="","NOT CONFIDENTIAL",TRIM(Classification!$G476))</f>
        <v>NOT CONFIDENTIAL</v>
      </c>
      <c r="P476" s="7" t="str">
        <f t="shared" si="63"/>
        <v>Y</v>
      </c>
      <c r="Q476" s="7" t="s">
        <v>826</v>
      </c>
      <c r="R476" s="9">
        <v>2958465</v>
      </c>
      <c r="S476" s="7" t="s">
        <v>827</v>
      </c>
      <c r="T476" s="7" t="s">
        <v>828</v>
      </c>
      <c r="U476" s="7" t="str">
        <f t="shared" si="57"/>
        <v>CLK_DETM_DETIS_D3DS_V</v>
      </c>
      <c r="V476" s="7" t="s">
        <v>829</v>
      </c>
    </row>
    <row r="477" spans="1:22">
      <c r="A477" s="7" t="str">
        <f>TRIM(ETLMetadata!$B477)</f>
        <v>CLK</v>
      </c>
      <c r="B477" s="7" t="str">
        <f>TRIM(ETLMetadata!$C477)</f>
        <v>DETM_DETIS_D3DS</v>
      </c>
      <c r="C477" s="7" t="str">
        <f>TRIM(ETLMetadata!$F477)</f>
        <v>D3DS_DOE_ORIG</v>
      </c>
      <c r="D477" s="7" t="str">
        <f>TRIM(ETLMetadata!$H477)</f>
        <v>StringType()</v>
      </c>
      <c r="E477" s="7" t="str">
        <f t="shared" si="56"/>
        <v>CLK_DETM_DETIS_D3DS</v>
      </c>
      <c r="F477" s="7" t="str">
        <f t="shared" si="58"/>
        <v>D3DS_DOE_ORIG</v>
      </c>
      <c r="G477" s="7" t="s">
        <v>825</v>
      </c>
      <c r="H477" s="7" t="str">
        <f t="shared" si="59"/>
        <v>CLK_DETM_DETIS_D3DS</v>
      </c>
      <c r="I477" s="7" t="str">
        <f t="shared" si="60"/>
        <v>D3DS_DOE_ORIG</v>
      </c>
      <c r="J477" s="7" t="str">
        <f t="shared" si="61"/>
        <v>INTEGER</v>
      </c>
      <c r="K477" s="17" t="s">
        <v>90</v>
      </c>
      <c r="L477" s="7" t="str">
        <f>TRIM(ETLMetadata!$I477)</f>
        <v/>
      </c>
      <c r="M477" s="7" t="str">
        <f t="shared" si="62"/>
        <v>CAST(NULLIF(TRIM(D3DS_DOE_ORIG),'') AS INTEGER)</v>
      </c>
      <c r="N477" s="7" t="str">
        <f>TRIM(ETLMetadata!$J477)</f>
        <v/>
      </c>
      <c r="O477" s="8" t="str">
        <f>IF(TRIM(Classification!$G477)="","NOT CONFIDENTIAL",TRIM(Classification!$G477))</f>
        <v>NOT CONFIDENTIAL</v>
      </c>
      <c r="P477" s="7" t="str">
        <f t="shared" si="63"/>
        <v>Y</v>
      </c>
      <c r="Q477" s="7" t="s">
        <v>826</v>
      </c>
      <c r="R477" s="9">
        <v>2958465</v>
      </c>
      <c r="S477" s="7" t="s">
        <v>827</v>
      </c>
      <c r="T477" s="7" t="s">
        <v>828</v>
      </c>
      <c r="U477" s="7" t="str">
        <f t="shared" si="57"/>
        <v>CLK_DETM_DETIS_D3DS_V</v>
      </c>
      <c r="V477" s="7" t="s">
        <v>829</v>
      </c>
    </row>
    <row r="478" spans="1:22">
      <c r="A478" s="7" t="str">
        <f>TRIM(ETLMetadata!$B478)</f>
        <v>CLK</v>
      </c>
      <c r="B478" s="7" t="str">
        <f>TRIM(ETLMetadata!$C478)</f>
        <v>DETM_DETIS_D3DS</v>
      </c>
      <c r="C478" s="7" t="str">
        <f>TRIM(ETLMetadata!$F478)</f>
        <v>PROCESSING_SEQUENCE</v>
      </c>
      <c r="D478" s="7" t="str">
        <f>TRIM(ETLMetadata!$H478)</f>
        <v>StringType()</v>
      </c>
      <c r="E478" s="7" t="str">
        <f t="shared" si="56"/>
        <v>CLK_DETM_DETIS_D3DS</v>
      </c>
      <c r="F478" s="7" t="str">
        <f t="shared" si="58"/>
        <v>PROCESSING_SEQUENCE</v>
      </c>
      <c r="G478" s="7" t="s">
        <v>825</v>
      </c>
      <c r="H478" s="7" t="str">
        <f t="shared" si="59"/>
        <v>CLK_DETM_DETIS_D3DS</v>
      </c>
      <c r="I478" s="7" t="str">
        <f t="shared" si="60"/>
        <v>PROCESSING_SEQUENCE</v>
      </c>
      <c r="J478" s="7" t="str">
        <f t="shared" si="61"/>
        <v>SMALLINT</v>
      </c>
      <c r="K478" s="7" t="str">
        <f>TRIM(ETLMetadata!$G478)</f>
        <v>SMALLINT</v>
      </c>
      <c r="L478" s="7" t="str">
        <f>TRIM(ETLMetadata!$I478)</f>
        <v/>
      </c>
      <c r="M478" s="7" t="str">
        <f t="shared" si="62"/>
        <v>CAST(NULLIF(TRIM(PROCESSING_SEQUENCE),'') AS SMALLINT)</v>
      </c>
      <c r="N478" s="7" t="str">
        <f>TRIM(ETLMetadata!$J478)</f>
        <v>Y</v>
      </c>
      <c r="O478" s="8" t="str">
        <f>IF(TRIM(Classification!$G478)="","NOT CONFIDENTIAL",TRIM(Classification!$G478))</f>
        <v>NOT CONFIDENTIAL</v>
      </c>
      <c r="P478" s="7" t="str">
        <f t="shared" si="63"/>
        <v>Y</v>
      </c>
      <c r="Q478" s="7" t="s">
        <v>826</v>
      </c>
      <c r="R478" s="9">
        <v>2958465</v>
      </c>
      <c r="S478" s="7" t="s">
        <v>827</v>
      </c>
      <c r="T478" s="7" t="s">
        <v>828</v>
      </c>
      <c r="U478" s="7" t="str">
        <f t="shared" si="57"/>
        <v>CLK_DETM_DETIS_D3DS_V</v>
      </c>
      <c r="V478" s="7" t="s">
        <v>829</v>
      </c>
    </row>
    <row r="479" spans="1:22">
      <c r="A479" s="7" t="str">
        <f>TRIM(ETLMetadata!$B479)</f>
        <v>CLK</v>
      </c>
      <c r="B479" s="7" t="str">
        <f>TRIM(ETLMetadata!$C479)</f>
        <v>DETM_DETIS_D3DS</v>
      </c>
      <c r="C479" s="7" t="str">
        <f>TRIM(ETLMetadata!$F479)</f>
        <v>D3DS_AMR_1</v>
      </c>
      <c r="D479" s="7" t="str">
        <f>TRIM(ETLMetadata!$H479)</f>
        <v>StringType()</v>
      </c>
      <c r="E479" s="7" t="str">
        <f t="shared" ref="E479:E542" si="64">CONCATENATE($A479,"_",B479)</f>
        <v>CLK_DETM_DETIS_D3DS</v>
      </c>
      <c r="F479" s="7" t="str">
        <f t="shared" si="58"/>
        <v>D3DS_AMR_1</v>
      </c>
      <c r="G479" s="7" t="s">
        <v>825</v>
      </c>
      <c r="H479" s="7" t="str">
        <f t="shared" si="59"/>
        <v>CLK_DETM_DETIS_D3DS</v>
      </c>
      <c r="I479" s="7" t="str">
        <f t="shared" si="60"/>
        <v>D3DS_AMR_1</v>
      </c>
      <c r="J479" s="7" t="str">
        <f t="shared" si="61"/>
        <v>VARCHAR</v>
      </c>
      <c r="K479" s="7" t="str">
        <f>TRIM(ETLMetadata!$G479)</f>
        <v>CHAR(4)</v>
      </c>
      <c r="L479" s="7" t="str">
        <f>TRIM(ETLMetadata!$I479)</f>
        <v/>
      </c>
      <c r="M479" s="7" t="str">
        <f t="shared" si="62"/>
        <v>NULLIF(TRIM(D3DS_AMR_1),'')</v>
      </c>
      <c r="N479" s="7" t="str">
        <f>TRIM(ETLMetadata!$J479)</f>
        <v/>
      </c>
      <c r="O479" s="8" t="str">
        <f>IF(TRIM(Classification!$G479)="","NOT CONFIDENTIAL",TRIM(Classification!$G479))</f>
        <v>NOT CONFIDENTIAL</v>
      </c>
      <c r="P479" s="7" t="str">
        <f t="shared" si="63"/>
        <v>Y</v>
      </c>
      <c r="Q479" s="7" t="s">
        <v>826</v>
      </c>
      <c r="R479" s="9">
        <v>2958465</v>
      </c>
      <c r="S479" s="7" t="s">
        <v>827</v>
      </c>
      <c r="T479" s="7" t="s">
        <v>828</v>
      </c>
      <c r="U479" s="7" t="str">
        <f t="shared" ref="U479:U542" si="65">CONCATENATE(A479,"_",B479,"_V")</f>
        <v>CLK_DETM_DETIS_D3DS_V</v>
      </c>
      <c r="V479" s="7" t="s">
        <v>829</v>
      </c>
    </row>
    <row r="480" spans="1:22">
      <c r="A480" s="7" t="str">
        <f>TRIM(ETLMetadata!$B480)</f>
        <v>CLK</v>
      </c>
      <c r="B480" s="7" t="str">
        <f>TRIM(ETLMetadata!$C480)</f>
        <v>DETM_DETIS_D3DS</v>
      </c>
      <c r="C480" s="7" t="str">
        <f>TRIM(ETLMetadata!$F480)</f>
        <v>D3DS_AMR_2</v>
      </c>
      <c r="D480" s="7" t="str">
        <f>TRIM(ETLMetadata!$H480)</f>
        <v>StringType()</v>
      </c>
      <c r="E480" s="7" t="str">
        <f t="shared" si="64"/>
        <v>CLK_DETM_DETIS_D3DS</v>
      </c>
      <c r="F480" s="7" t="str">
        <f t="shared" si="58"/>
        <v>D3DS_AMR_2</v>
      </c>
      <c r="G480" s="7" t="s">
        <v>825</v>
      </c>
      <c r="H480" s="7" t="str">
        <f t="shared" si="59"/>
        <v>CLK_DETM_DETIS_D3DS</v>
      </c>
      <c r="I480" s="7" t="str">
        <f t="shared" si="60"/>
        <v>D3DS_AMR_2</v>
      </c>
      <c r="J480" s="7" t="str">
        <f t="shared" si="61"/>
        <v>VARCHAR</v>
      </c>
      <c r="K480" s="7" t="str">
        <f>TRIM(ETLMetadata!$G480)</f>
        <v>CHAR(1)</v>
      </c>
      <c r="L480" s="7" t="str">
        <f>TRIM(ETLMetadata!$I480)</f>
        <v/>
      </c>
      <c r="M480" s="7" t="str">
        <f t="shared" si="62"/>
        <v>NULLIF(TRIM(D3DS_AMR_2),'')</v>
      </c>
      <c r="N480" s="7" t="str">
        <f>TRIM(ETLMetadata!$J480)</f>
        <v/>
      </c>
      <c r="O480" s="8" t="str">
        <f>IF(TRIM(Classification!$G480)="","NOT CONFIDENTIAL",TRIM(Classification!$G480))</f>
        <v>NOT CONFIDENTIAL</v>
      </c>
      <c r="P480" s="7" t="str">
        <f t="shared" si="63"/>
        <v>Y</v>
      </c>
      <c r="Q480" s="7" t="s">
        <v>826</v>
      </c>
      <c r="R480" s="9">
        <v>2958465</v>
      </c>
      <c r="S480" s="7" t="s">
        <v>827</v>
      </c>
      <c r="T480" s="7" t="s">
        <v>828</v>
      </c>
      <c r="U480" s="7" t="str">
        <f t="shared" si="65"/>
        <v>CLK_DETM_DETIS_D3DS_V</v>
      </c>
      <c r="V480" s="7" t="s">
        <v>829</v>
      </c>
    </row>
    <row r="481" spans="1:22">
      <c r="A481" s="7" t="str">
        <f>TRIM(ETLMetadata!$B481)</f>
        <v>CLK</v>
      </c>
      <c r="B481" s="7" t="str">
        <f>TRIM(ETLMetadata!$C481)</f>
        <v>DETM_DETIS_D3DS</v>
      </c>
      <c r="C481" s="7" t="str">
        <f>TRIM(ETLMetadata!$F481)</f>
        <v>D3DS_AMR_3</v>
      </c>
      <c r="D481" s="7" t="str">
        <f>TRIM(ETLMetadata!$H481)</f>
        <v>StringType()</v>
      </c>
      <c r="E481" s="7" t="str">
        <f t="shared" si="64"/>
        <v>CLK_DETM_DETIS_D3DS</v>
      </c>
      <c r="F481" s="7" t="str">
        <f t="shared" si="58"/>
        <v>D3DS_AMR_3</v>
      </c>
      <c r="G481" s="7" t="s">
        <v>825</v>
      </c>
      <c r="H481" s="7" t="str">
        <f t="shared" si="59"/>
        <v>CLK_DETM_DETIS_D3DS</v>
      </c>
      <c r="I481" s="7" t="str">
        <f t="shared" si="60"/>
        <v>D3DS_AMR_3</v>
      </c>
      <c r="J481" s="7" t="str">
        <f t="shared" si="61"/>
        <v>VARCHAR</v>
      </c>
      <c r="K481" s="7" t="str">
        <f>TRIM(ETLMetadata!$G481)</f>
        <v>CHAR(4)</v>
      </c>
      <c r="L481" s="7" t="str">
        <f>TRIM(ETLMetadata!$I481)</f>
        <v/>
      </c>
      <c r="M481" s="7" t="str">
        <f t="shared" si="62"/>
        <v>NULLIF(TRIM(D3DS_AMR_3),'')</v>
      </c>
      <c r="N481" s="7" t="str">
        <f>TRIM(ETLMetadata!$J481)</f>
        <v/>
      </c>
      <c r="O481" s="8" t="str">
        <f>IF(TRIM(Classification!$G481)="","NOT CONFIDENTIAL",TRIM(Classification!$G481))</f>
        <v>NOT CONFIDENTIAL</v>
      </c>
      <c r="P481" s="7" t="str">
        <f t="shared" si="63"/>
        <v>Y</v>
      </c>
      <c r="Q481" s="7" t="s">
        <v>826</v>
      </c>
      <c r="R481" s="9">
        <v>2958465</v>
      </c>
      <c r="S481" s="7" t="s">
        <v>827</v>
      </c>
      <c r="T481" s="7" t="s">
        <v>828</v>
      </c>
      <c r="U481" s="7" t="str">
        <f t="shared" si="65"/>
        <v>CLK_DETM_DETIS_D3DS_V</v>
      </c>
      <c r="V481" s="7" t="s">
        <v>829</v>
      </c>
    </row>
    <row r="482" spans="1:22">
      <c r="A482" s="7" t="str">
        <f>TRIM(ETLMetadata!$B482)</f>
        <v>CLK</v>
      </c>
      <c r="B482" s="7" t="str">
        <f>TRIM(ETLMetadata!$C482)</f>
        <v>DETM_DETIS_D3DS</v>
      </c>
      <c r="C482" s="7" t="str">
        <f>TRIM(ETLMetadata!$F482)</f>
        <v>D3DS_BEN_TYPE_CODE</v>
      </c>
      <c r="D482" s="7" t="str">
        <f>TRIM(ETLMetadata!$H482)</f>
        <v>StringType()</v>
      </c>
      <c r="E482" s="7" t="str">
        <f t="shared" si="64"/>
        <v>CLK_DETM_DETIS_D3DS</v>
      </c>
      <c r="F482" s="7" t="str">
        <f t="shared" si="58"/>
        <v>D3DS_BEN_TYPE_CODE</v>
      </c>
      <c r="G482" s="7" t="s">
        <v>825</v>
      </c>
      <c r="H482" s="7" t="str">
        <f t="shared" si="59"/>
        <v>CLK_DETM_DETIS_D3DS</v>
      </c>
      <c r="I482" s="7" t="str">
        <f t="shared" si="60"/>
        <v>D3DS_BEN_TYPE_CODE</v>
      </c>
      <c r="J482" s="7" t="str">
        <f t="shared" si="61"/>
        <v>VARCHAR</v>
      </c>
      <c r="K482" s="7" t="str">
        <f>TRIM(ETLMetadata!$G482)</f>
        <v>CHAR(3)</v>
      </c>
      <c r="L482" s="7" t="str">
        <f>TRIM(ETLMetadata!$I482)</f>
        <v/>
      </c>
      <c r="M482" s="7" t="str">
        <f t="shared" si="62"/>
        <v>NULLIF(TRIM(D3DS_BEN_TYPE_CODE),'')</v>
      </c>
      <c r="N482" s="7" t="str">
        <f>TRIM(ETLMetadata!$J482)</f>
        <v/>
      </c>
      <c r="O482" s="8" t="str">
        <f>IF(TRIM(Classification!$G482)="","NOT CONFIDENTIAL",TRIM(Classification!$G482))</f>
        <v>NOT CONFIDENTIAL</v>
      </c>
      <c r="P482" s="7" t="str">
        <f t="shared" si="63"/>
        <v>Y</v>
      </c>
      <c r="Q482" s="7" t="s">
        <v>826</v>
      </c>
      <c r="R482" s="9">
        <v>2958465</v>
      </c>
      <c r="S482" s="7" t="s">
        <v>827</v>
      </c>
      <c r="T482" s="7" t="s">
        <v>828</v>
      </c>
      <c r="U482" s="7" t="str">
        <f t="shared" si="65"/>
        <v>CLK_DETM_DETIS_D3DS_V</v>
      </c>
      <c r="V482" s="7" t="s">
        <v>829</v>
      </c>
    </row>
    <row r="483" spans="1:22">
      <c r="A483" s="7" t="str">
        <f>TRIM(ETLMetadata!$B483)</f>
        <v>CLK</v>
      </c>
      <c r="B483" s="7" t="str">
        <f>TRIM(ETLMetadata!$C483)</f>
        <v>DETM_DETIS_D3DS</v>
      </c>
      <c r="C483" s="7" t="str">
        <f>TRIM(ETLMetadata!$F483)</f>
        <v>D3DS_STS_CODE</v>
      </c>
      <c r="D483" s="7" t="str">
        <f>TRIM(ETLMetadata!$H483)</f>
        <v>StringType()</v>
      </c>
      <c r="E483" s="7" t="str">
        <f t="shared" si="64"/>
        <v>CLK_DETM_DETIS_D3DS</v>
      </c>
      <c r="F483" s="7" t="str">
        <f t="shared" si="58"/>
        <v>D3DS_STS_CODE</v>
      </c>
      <c r="G483" s="7" t="s">
        <v>825</v>
      </c>
      <c r="H483" s="7" t="str">
        <f t="shared" si="59"/>
        <v>CLK_DETM_DETIS_D3DS</v>
      </c>
      <c r="I483" s="7" t="str">
        <f t="shared" si="60"/>
        <v>D3DS_STS_CODE</v>
      </c>
      <c r="J483" s="7" t="str">
        <f t="shared" si="61"/>
        <v>VARCHAR</v>
      </c>
      <c r="K483" s="7" t="str">
        <f>TRIM(ETLMetadata!$G483)</f>
        <v>CHAR(3)</v>
      </c>
      <c r="L483" s="7" t="str">
        <f>TRIM(ETLMetadata!$I483)</f>
        <v/>
      </c>
      <c r="M483" s="7" t="str">
        <f t="shared" si="62"/>
        <v>NULLIF(TRIM(D3DS_STS_CODE),'')</v>
      </c>
      <c r="N483" s="7" t="str">
        <f>TRIM(ETLMetadata!$J483)</f>
        <v/>
      </c>
      <c r="O483" s="8" t="str">
        <f>IF(TRIM(Classification!$G483)="","NOT CONFIDENTIAL",TRIM(Classification!$G483))</f>
        <v>NOT CONFIDENTIAL</v>
      </c>
      <c r="P483" s="7" t="str">
        <f t="shared" si="63"/>
        <v>Y</v>
      </c>
      <c r="Q483" s="7" t="s">
        <v>826</v>
      </c>
      <c r="R483" s="9">
        <v>2958465</v>
      </c>
      <c r="S483" s="7" t="s">
        <v>827</v>
      </c>
      <c r="T483" s="7" t="s">
        <v>828</v>
      </c>
      <c r="U483" s="7" t="str">
        <f t="shared" si="65"/>
        <v>CLK_DETM_DETIS_D3DS_V</v>
      </c>
      <c r="V483" s="7" t="s">
        <v>829</v>
      </c>
    </row>
    <row r="484" spans="1:22">
      <c r="A484" s="7" t="str">
        <f>TRIM(ETLMetadata!$B484)</f>
        <v>CLK</v>
      </c>
      <c r="B484" s="7" t="str">
        <f>TRIM(ETLMetadata!$C484)</f>
        <v>DETM_DETIS_D3DS</v>
      </c>
      <c r="C484" s="7" t="str">
        <f>TRIM(ETLMetadata!$F484)</f>
        <v>D3DS_RSN_CODE</v>
      </c>
      <c r="D484" s="7" t="str">
        <f>TRIM(ETLMetadata!$H484)</f>
        <v>StringType()</v>
      </c>
      <c r="E484" s="7" t="str">
        <f t="shared" si="64"/>
        <v>CLK_DETM_DETIS_D3DS</v>
      </c>
      <c r="F484" s="7" t="str">
        <f t="shared" si="58"/>
        <v>D3DS_RSN_CODE</v>
      </c>
      <c r="G484" s="7" t="s">
        <v>825</v>
      </c>
      <c r="H484" s="7" t="str">
        <f t="shared" si="59"/>
        <v>CLK_DETM_DETIS_D3DS</v>
      </c>
      <c r="I484" s="7" t="str">
        <f t="shared" si="60"/>
        <v>D3DS_RSN_CODE</v>
      </c>
      <c r="J484" s="7" t="str">
        <f t="shared" si="61"/>
        <v>VARCHAR</v>
      </c>
      <c r="K484" s="7" t="str">
        <f>TRIM(ETLMetadata!$G484)</f>
        <v>CHAR(3)</v>
      </c>
      <c r="L484" s="7" t="str">
        <f>TRIM(ETLMetadata!$I484)</f>
        <v/>
      </c>
      <c r="M484" s="7" t="str">
        <f t="shared" si="62"/>
        <v>NULLIF(TRIM(D3DS_RSN_CODE),'')</v>
      </c>
      <c r="N484" s="7" t="str">
        <f>TRIM(ETLMetadata!$J484)</f>
        <v/>
      </c>
      <c r="O484" s="8" t="str">
        <f>IF(TRIM(Classification!$G484)="","NOT CONFIDENTIAL",TRIM(Classification!$G484))</f>
        <v>NOT CONFIDENTIAL</v>
      </c>
      <c r="P484" s="7" t="str">
        <f t="shared" si="63"/>
        <v>Y</v>
      </c>
      <c r="Q484" s="7" t="s">
        <v>826</v>
      </c>
      <c r="R484" s="9">
        <v>2958465</v>
      </c>
      <c r="S484" s="7" t="s">
        <v>827</v>
      </c>
      <c r="T484" s="7" t="s">
        <v>828</v>
      </c>
      <c r="U484" s="7" t="str">
        <f t="shared" si="65"/>
        <v>CLK_DETM_DETIS_D3DS_V</v>
      </c>
      <c r="V484" s="7" t="s">
        <v>829</v>
      </c>
    </row>
    <row r="485" spans="1:22">
      <c r="A485" s="7" t="str">
        <f>TRIM(ETLMetadata!$B485)</f>
        <v>CLK</v>
      </c>
      <c r="B485" s="7" t="str">
        <f>TRIM(ETLMetadata!$C485)</f>
        <v>DETM_DETIS_D3DS</v>
      </c>
      <c r="C485" s="7" t="str">
        <f>TRIM(ETLMetadata!$F485)</f>
        <v>D3DS_UNIQ_ID</v>
      </c>
      <c r="D485" s="7" t="str">
        <f>TRIM(ETLMetadata!$H485)</f>
        <v>StringType()</v>
      </c>
      <c r="E485" s="7" t="str">
        <f t="shared" si="64"/>
        <v>CLK_DETM_DETIS_D3DS</v>
      </c>
      <c r="F485" s="7" t="str">
        <f t="shared" si="58"/>
        <v>D3DS_UNIQ_ID</v>
      </c>
      <c r="G485" s="7" t="s">
        <v>825</v>
      </c>
      <c r="H485" s="7" t="str">
        <f t="shared" si="59"/>
        <v>CLK_DETM_DETIS_D3DS</v>
      </c>
      <c r="I485" s="7" t="str">
        <f t="shared" si="60"/>
        <v>D3DS_UNIQ_ID</v>
      </c>
      <c r="J485" s="7" t="str">
        <f t="shared" si="61"/>
        <v>VARCHAR</v>
      </c>
      <c r="K485" s="7" t="str">
        <f>TRIM(ETLMetadata!$G485)</f>
        <v>VARCHAR(8)</v>
      </c>
      <c r="L485" s="7" t="str">
        <f>TRIM(ETLMetadata!$I485)</f>
        <v/>
      </c>
      <c r="M485" s="7" t="str">
        <f t="shared" si="62"/>
        <v>NULLIF(TRIM(D3DS_UNIQ_ID),'')</v>
      </c>
      <c r="N485" s="7" t="str">
        <f>TRIM(ETLMetadata!$J485)</f>
        <v/>
      </c>
      <c r="O485" s="8" t="str">
        <f>IF(TRIM(Classification!$G485)="","NOT CONFIDENTIAL",TRIM(Classification!$G485))</f>
        <v>NOT CONFIDENTIAL</v>
      </c>
      <c r="P485" s="7" t="str">
        <f t="shared" si="63"/>
        <v>Y</v>
      </c>
      <c r="Q485" s="7" t="s">
        <v>826</v>
      </c>
      <c r="R485" s="9">
        <v>2958465</v>
      </c>
      <c r="S485" s="7" t="s">
        <v>827</v>
      </c>
      <c r="T485" s="7" t="s">
        <v>828</v>
      </c>
      <c r="U485" s="7" t="str">
        <f t="shared" si="65"/>
        <v>CLK_DETM_DETIS_D3DS_V</v>
      </c>
      <c r="V485" s="7" t="s">
        <v>829</v>
      </c>
    </row>
    <row r="486" spans="1:22">
      <c r="A486" s="7" t="str">
        <f>TRIM(ETLMetadata!$B486)</f>
        <v>CLK</v>
      </c>
      <c r="B486" s="7" t="str">
        <f>TRIM(ETLMetadata!$C486)</f>
        <v>DETM_DETIS_D3DS</v>
      </c>
      <c r="C486" s="7" t="str">
        <f>TRIM(ETLMetadata!$F486)</f>
        <v>AMR1_RISL_DTS</v>
      </c>
      <c r="D486" s="7" t="str">
        <f>TRIM(ETLMetadata!$H486)</f>
        <v>StringType()</v>
      </c>
      <c r="E486" s="7" t="str">
        <f t="shared" si="64"/>
        <v>CLK_DETM_DETIS_D3DS</v>
      </c>
      <c r="F486" s="7" t="str">
        <f t="shared" si="58"/>
        <v>AMR1_RISL_DTS</v>
      </c>
      <c r="G486" s="7" t="s">
        <v>825</v>
      </c>
      <c r="H486" s="7" t="str">
        <f t="shared" si="59"/>
        <v>CLK_DETM_DETIS_D3DS</v>
      </c>
      <c r="I486" s="7" t="str">
        <f t="shared" si="60"/>
        <v>AMR1_RISL_DTS</v>
      </c>
      <c r="J486" s="7" t="str">
        <f t="shared" si="61"/>
        <v>TIMESTAMP</v>
      </c>
      <c r="K486" s="7" t="str">
        <f>TRIM(ETLMetadata!$G486)</f>
        <v>TIMESTAMP(6)</v>
      </c>
      <c r="L486" s="7" t="str">
        <f>TRIM(ETLMetadata!$I486)</f>
        <v>YYYY-MM-DDBHH:MI:SS.S(6)</v>
      </c>
      <c r="M486" s="7" t="str">
        <f t="shared" si="62"/>
        <v>TO_TIMESTAMP_NTZ(NULLIF(TRIM(AMR1_RISL_DTS),''),'YYYY-MM-DD HH24:MI:SS.FF6')</v>
      </c>
      <c r="N486" s="7" t="str">
        <f>TRIM(ETLMetadata!$J486)</f>
        <v/>
      </c>
      <c r="O486" s="8" t="str">
        <f>IF(TRIM(Classification!$G486)="","NOT CONFIDENTIAL",TRIM(Classification!$G486))</f>
        <v>NOT CONFIDENTIAL</v>
      </c>
      <c r="P486" s="7" t="str">
        <f t="shared" si="63"/>
        <v>Y</v>
      </c>
      <c r="Q486" s="7" t="s">
        <v>826</v>
      </c>
      <c r="R486" s="9">
        <v>2958465</v>
      </c>
      <c r="S486" s="7" t="s">
        <v>827</v>
      </c>
      <c r="T486" s="7" t="s">
        <v>828</v>
      </c>
      <c r="U486" s="7" t="str">
        <f t="shared" si="65"/>
        <v>CLK_DETM_DETIS_D3DS_V</v>
      </c>
      <c r="V486" s="7" t="s">
        <v>829</v>
      </c>
    </row>
    <row r="487" spans="1:22">
      <c r="A487" s="7" t="str">
        <f>TRIM(ETLMetadata!$B487)</f>
        <v>CLK</v>
      </c>
      <c r="B487" s="7" t="str">
        <f>TRIM(ETLMetadata!$C487)</f>
        <v>DETM_DETIS_D3DS</v>
      </c>
      <c r="C487" s="7" t="str">
        <f>TRIM(ETLMetadata!$F487)</f>
        <v>AMR3_RISL_DTS</v>
      </c>
      <c r="D487" s="7" t="str">
        <f>TRIM(ETLMetadata!$H487)</f>
        <v>StringType()</v>
      </c>
      <c r="E487" s="7" t="str">
        <f t="shared" si="64"/>
        <v>CLK_DETM_DETIS_D3DS</v>
      </c>
      <c r="F487" s="7" t="str">
        <f t="shared" si="58"/>
        <v>AMR3_RISL_DTS</v>
      </c>
      <c r="G487" s="7" t="s">
        <v>825</v>
      </c>
      <c r="H487" s="7" t="str">
        <f t="shared" si="59"/>
        <v>CLK_DETM_DETIS_D3DS</v>
      </c>
      <c r="I487" s="7" t="str">
        <f t="shared" si="60"/>
        <v>AMR3_RISL_DTS</v>
      </c>
      <c r="J487" s="7" t="str">
        <f t="shared" si="61"/>
        <v>TIMESTAMP</v>
      </c>
      <c r="K487" s="7" t="str">
        <f>TRIM(ETLMetadata!$G487)</f>
        <v>TIMESTAMP(6)</v>
      </c>
      <c r="L487" s="7" t="str">
        <f>TRIM(ETLMetadata!$I487)</f>
        <v>YYYY-MM-DDBHH:MI:SS.S(6)</v>
      </c>
      <c r="M487" s="7" t="str">
        <f t="shared" si="62"/>
        <v>TO_TIMESTAMP_NTZ(NULLIF(TRIM(AMR3_RISL_DTS),''),'YYYY-MM-DD HH24:MI:SS.FF6')</v>
      </c>
      <c r="N487" s="7" t="str">
        <f>TRIM(ETLMetadata!$J487)</f>
        <v/>
      </c>
      <c r="O487" s="8" t="str">
        <f>IF(TRIM(Classification!$G487)="","NOT CONFIDENTIAL",TRIM(Classification!$G487))</f>
        <v>NOT CONFIDENTIAL</v>
      </c>
      <c r="P487" s="7" t="str">
        <f t="shared" si="63"/>
        <v>Y</v>
      </c>
      <c r="Q487" s="7" t="s">
        <v>826</v>
      </c>
      <c r="R487" s="9">
        <v>2958465</v>
      </c>
      <c r="S487" s="7" t="s">
        <v>827</v>
      </c>
      <c r="T487" s="7" t="s">
        <v>828</v>
      </c>
      <c r="U487" s="7" t="str">
        <f t="shared" si="65"/>
        <v>CLK_DETM_DETIS_D3DS_V</v>
      </c>
      <c r="V487" s="7" t="s">
        <v>829</v>
      </c>
    </row>
    <row r="488" spans="1:22">
      <c r="A488" s="7" t="str">
        <f>TRIM(ETLMetadata!$B488)</f>
        <v>CLK</v>
      </c>
      <c r="B488" s="7" t="str">
        <f>TRIM(ETLMetadata!$C488)</f>
        <v>DETM_DETIS_D3DS</v>
      </c>
      <c r="C488" s="7" t="str">
        <f>TRIM(ETLMetadata!$F488)</f>
        <v>PARTY_ROLE_ID</v>
      </c>
      <c r="D488" s="7" t="str">
        <f>TRIM(ETLMetadata!$H488)</f>
        <v>StringType()</v>
      </c>
      <c r="E488" s="7" t="str">
        <f t="shared" si="64"/>
        <v>CLK_DETM_DETIS_D3DS</v>
      </c>
      <c r="F488" s="7" t="str">
        <f t="shared" si="58"/>
        <v>PARTY_ROLE_ID</v>
      </c>
      <c r="G488" s="7" t="s">
        <v>825</v>
      </c>
      <c r="H488" s="7" t="str">
        <f t="shared" si="59"/>
        <v>CLK_DETM_DETIS_D3DS</v>
      </c>
      <c r="I488" s="7" t="str">
        <f t="shared" si="60"/>
        <v>PARTY_ROLE_ID</v>
      </c>
      <c r="J488" s="7" t="str">
        <f t="shared" si="61"/>
        <v>INTEGER</v>
      </c>
      <c r="K488" s="7" t="str">
        <f>TRIM(ETLMetadata!$G488)</f>
        <v>INTEGER</v>
      </c>
      <c r="L488" s="7" t="str">
        <f>TRIM(ETLMetadata!$I488)</f>
        <v/>
      </c>
      <c r="M488" s="7" t="str">
        <f t="shared" si="62"/>
        <v>CAST(NULLIF(TRIM(PARTY_ROLE_ID),'') AS INTEGER)</v>
      </c>
      <c r="N488" s="7" t="str">
        <f>TRIM(ETLMetadata!$J488)</f>
        <v/>
      </c>
      <c r="O488" s="8" t="str">
        <f>IF(TRIM(Classification!$G488)="","NOT CONFIDENTIAL",TRIM(Classification!$G488))</f>
        <v>NOT CONFIDENTIAL</v>
      </c>
      <c r="P488" s="7" t="str">
        <f t="shared" si="63"/>
        <v>Y</v>
      </c>
      <c r="Q488" s="7" t="s">
        <v>826</v>
      </c>
      <c r="R488" s="9">
        <v>2958465</v>
      </c>
      <c r="S488" s="7" t="s">
        <v>827</v>
      </c>
      <c r="T488" s="7" t="s">
        <v>828</v>
      </c>
      <c r="U488" s="7" t="str">
        <f t="shared" si="65"/>
        <v>CLK_DETM_DETIS_D3DS_V</v>
      </c>
      <c r="V488" s="7" t="s">
        <v>829</v>
      </c>
    </row>
    <row r="489" spans="1:22">
      <c r="A489" s="7" t="str">
        <f>TRIM(ETLMetadata!$B489)</f>
        <v>CLK</v>
      </c>
      <c r="B489" s="7" t="str">
        <f>TRIM(ETLMetadata!$C489)</f>
        <v>DETM_DETIS_D3DS</v>
      </c>
      <c r="C489" s="7" t="str">
        <f>TRIM(ETLMetadata!$F489)</f>
        <v>PAYMENT_TYPE_ID</v>
      </c>
      <c r="D489" s="7" t="str">
        <f>TRIM(ETLMetadata!$H489)</f>
        <v>StringType()</v>
      </c>
      <c r="E489" s="7" t="str">
        <f t="shared" si="64"/>
        <v>CLK_DETM_DETIS_D3DS</v>
      </c>
      <c r="F489" s="7" t="str">
        <f t="shared" si="58"/>
        <v>PAYMENT_TYPE_ID</v>
      </c>
      <c r="G489" s="7" t="s">
        <v>825</v>
      </c>
      <c r="H489" s="7" t="str">
        <f t="shared" si="59"/>
        <v>CLK_DETM_DETIS_D3DS</v>
      </c>
      <c r="I489" s="7" t="str">
        <f t="shared" si="60"/>
        <v>PAYMENT_TYPE_ID</v>
      </c>
      <c r="J489" s="7" t="str">
        <f t="shared" si="61"/>
        <v>INTEGER</v>
      </c>
      <c r="K489" s="7" t="str">
        <f>TRIM(ETLMetadata!$G489)</f>
        <v>INTEGER</v>
      </c>
      <c r="L489" s="7" t="str">
        <f>TRIM(ETLMetadata!$I489)</f>
        <v/>
      </c>
      <c r="M489" s="7" t="str">
        <f t="shared" si="62"/>
        <v>CAST(NULLIF(TRIM(PAYMENT_TYPE_ID),'') AS INTEGER)</v>
      </c>
      <c r="N489" s="7" t="str">
        <f>TRIM(ETLMetadata!$J489)</f>
        <v/>
      </c>
      <c r="O489" s="8" t="str">
        <f>IF(TRIM(Classification!$G489)="","NOT CONFIDENTIAL",TRIM(Classification!$G489))</f>
        <v>NOT CONFIDENTIAL</v>
      </c>
      <c r="P489" s="7" t="str">
        <f t="shared" si="63"/>
        <v>Y</v>
      </c>
      <c r="Q489" s="7" t="s">
        <v>826</v>
      </c>
      <c r="R489" s="9">
        <v>2958465</v>
      </c>
      <c r="S489" s="7" t="s">
        <v>827</v>
      </c>
      <c r="T489" s="7" t="s">
        <v>828</v>
      </c>
      <c r="U489" s="7" t="str">
        <f t="shared" si="65"/>
        <v>CLK_DETM_DETIS_D3DS_V</v>
      </c>
      <c r="V489" s="7" t="s">
        <v>829</v>
      </c>
    </row>
    <row r="490" spans="1:22">
      <c r="A490" s="7" t="str">
        <f>TRIM(ETLMetadata!$B490)</f>
        <v>CLK</v>
      </c>
      <c r="B490" s="7" t="str">
        <f>TRIM(ETLMetadata!$C490)</f>
        <v>DETM_DETIS_D3DS</v>
      </c>
      <c r="C490" s="7" t="str">
        <f>TRIM(ETLMetadata!$F490)</f>
        <v>ERROR_COUNT</v>
      </c>
      <c r="D490" s="7" t="str">
        <f>TRIM(ETLMetadata!$H490)</f>
        <v>StringType()</v>
      </c>
      <c r="E490" s="7" t="str">
        <f t="shared" si="64"/>
        <v>CLK_DETM_DETIS_D3DS</v>
      </c>
      <c r="F490" s="7" t="str">
        <f t="shared" si="58"/>
        <v>ERROR_COUNT</v>
      </c>
      <c r="G490" s="7" t="s">
        <v>825</v>
      </c>
      <c r="H490" s="7" t="str">
        <f t="shared" si="59"/>
        <v>CLK_DETM_DETIS_D3DS</v>
      </c>
      <c r="I490" s="7" t="str">
        <f t="shared" si="60"/>
        <v>ERROR_COUNT</v>
      </c>
      <c r="J490" s="7" t="str">
        <f t="shared" si="61"/>
        <v>SMALLINT</v>
      </c>
      <c r="K490" s="7" t="str">
        <f>TRIM(ETLMetadata!$G490)</f>
        <v>SMALLINT</v>
      </c>
      <c r="L490" s="7" t="str">
        <f>TRIM(ETLMetadata!$I490)</f>
        <v/>
      </c>
      <c r="M490" s="7" t="str">
        <f t="shared" si="62"/>
        <v>CAST(NULLIF(TRIM(ERROR_COUNT),'') AS SMALLINT)</v>
      </c>
      <c r="N490" s="7" t="str">
        <f>TRIM(ETLMetadata!$J490)</f>
        <v/>
      </c>
      <c r="O490" s="8" t="str">
        <f>IF(TRIM(Classification!$G490)="","NOT CONFIDENTIAL",TRIM(Classification!$G490))</f>
        <v>NOT CONFIDENTIAL</v>
      </c>
      <c r="P490" s="7" t="str">
        <f t="shared" si="63"/>
        <v>Y</v>
      </c>
      <c r="Q490" s="7" t="s">
        <v>826</v>
      </c>
      <c r="R490" s="9">
        <v>2958465</v>
      </c>
      <c r="S490" s="7" t="s">
        <v>827</v>
      </c>
      <c r="T490" s="7" t="s">
        <v>828</v>
      </c>
      <c r="U490" s="7" t="str">
        <f t="shared" si="65"/>
        <v>CLK_DETM_DETIS_D3DS_V</v>
      </c>
      <c r="V490" s="7" t="s">
        <v>829</v>
      </c>
    </row>
    <row r="491" spans="1:22">
      <c r="A491" s="7" t="str">
        <f>TRIM(ETLMetadata!$B491)</f>
        <v>CLK</v>
      </c>
      <c r="B491" s="7" t="str">
        <f>TRIM(ETLMetadata!$C491)</f>
        <v>DETM_DETIS_D3DS</v>
      </c>
      <c r="C491" s="7" t="str">
        <f>TRIM(ETLMetadata!$F491)</f>
        <v>Start_Date</v>
      </c>
      <c r="D491" s="7" t="str">
        <f>TRIM(ETLMetadata!$H491)</f>
        <v>StringType()</v>
      </c>
      <c r="E491" s="7" t="str">
        <f t="shared" si="64"/>
        <v>CLK_DETM_DETIS_D3DS</v>
      </c>
      <c r="F491" s="7" t="str">
        <f t="shared" si="58"/>
        <v>STRT_DT</v>
      </c>
      <c r="G491" s="7" t="s">
        <v>825</v>
      </c>
      <c r="H491" s="7" t="str">
        <f t="shared" si="59"/>
        <v>CLK_DETM_DETIS_D3DS</v>
      </c>
      <c r="I491" s="7" t="str">
        <f t="shared" si="60"/>
        <v>STRT_DT</v>
      </c>
      <c r="J491" s="7" t="str">
        <f t="shared" si="61"/>
        <v>DATE</v>
      </c>
      <c r="K491" s="7" t="str">
        <f>TRIM(ETLMetadata!$G491)</f>
        <v>DATE</v>
      </c>
      <c r="L491" s="7" t="str">
        <f>TRIM(ETLMetadata!$I491)</f>
        <v>YYYY-MM-DD</v>
      </c>
      <c r="M491" s="7" t="str">
        <f t="shared" si="62"/>
        <v>TO_DATE(NULLIF(TRIM(STRT_DT),'') , 'YYYY-MM-DD')</v>
      </c>
      <c r="N491" s="7" t="str">
        <f>TRIM(ETLMetadata!$J491)</f>
        <v/>
      </c>
      <c r="O491" s="8" t="str">
        <f>IF(TRIM(Classification!$G491)="","NOT CONFIDENTIAL",TRIM(Classification!$G491))</f>
        <v>NOT CONFIDENTIAL</v>
      </c>
      <c r="P491" s="7" t="str">
        <f t="shared" si="63"/>
        <v>N</v>
      </c>
      <c r="Q491" s="7" t="s">
        <v>826</v>
      </c>
      <c r="R491" s="9">
        <v>2958465</v>
      </c>
      <c r="S491" s="7" t="s">
        <v>827</v>
      </c>
      <c r="T491" s="7" t="s">
        <v>828</v>
      </c>
      <c r="U491" s="7" t="str">
        <f t="shared" si="65"/>
        <v>CLK_DETM_DETIS_D3DS_V</v>
      </c>
      <c r="V491" s="7" t="s">
        <v>829</v>
      </c>
    </row>
    <row r="492" spans="1:22">
      <c r="A492" s="7" t="str">
        <f>TRIM(ETLMetadata!$B492)</f>
        <v>CLK</v>
      </c>
      <c r="B492" s="7" t="str">
        <f>TRIM(ETLMetadata!$C492)</f>
        <v>DETM_DETIS_D3DS</v>
      </c>
      <c r="C492" s="7" t="str">
        <f>TRIM(ETLMetadata!$F492)</f>
        <v>End_Date</v>
      </c>
      <c r="D492" s="7" t="str">
        <f>TRIM(ETLMetadata!$H492)</f>
        <v>StringType()</v>
      </c>
      <c r="E492" s="7" t="str">
        <f t="shared" si="64"/>
        <v>CLK_DETM_DETIS_D3DS</v>
      </c>
      <c r="F492" s="7" t="str">
        <f t="shared" si="58"/>
        <v>END_DT</v>
      </c>
      <c r="G492" s="7" t="s">
        <v>825</v>
      </c>
      <c r="H492" s="7" t="str">
        <f t="shared" si="59"/>
        <v>CLK_DETM_DETIS_D3DS</v>
      </c>
      <c r="I492" s="7" t="str">
        <f t="shared" si="60"/>
        <v>END_DT</v>
      </c>
      <c r="J492" s="7" t="str">
        <f t="shared" si="61"/>
        <v>DATE</v>
      </c>
      <c r="K492" s="7" t="str">
        <f>TRIM(ETLMetadata!$G492)</f>
        <v>DATE</v>
      </c>
      <c r="L492" s="7" t="str">
        <f>TRIM(ETLMetadata!$I492)</f>
        <v>YYYY-MM-DD</v>
      </c>
      <c r="M492" s="7" t="str">
        <f t="shared" si="62"/>
        <v>TO_DATE(NULLIF(TRIM(END_DT),'') , 'YYYY-MM-DD')</v>
      </c>
      <c r="N492" s="7" t="str">
        <f>TRIM(ETLMetadata!$J492)</f>
        <v/>
      </c>
      <c r="O492" s="8" t="str">
        <f>IF(TRIM(Classification!$G492)="","NOT CONFIDENTIAL",TRIM(Classification!$G492))</f>
        <v>NOT CONFIDENTIAL</v>
      </c>
      <c r="P492" s="7" t="str">
        <f t="shared" si="63"/>
        <v>N</v>
      </c>
      <c r="Q492" s="7" t="s">
        <v>826</v>
      </c>
      <c r="R492" s="9">
        <v>2958465</v>
      </c>
      <c r="S492" s="7" t="s">
        <v>827</v>
      </c>
      <c r="T492" s="7" t="s">
        <v>828</v>
      </c>
      <c r="U492" s="7" t="str">
        <f t="shared" si="65"/>
        <v>CLK_DETM_DETIS_D3DS_V</v>
      </c>
      <c r="V492" s="7" t="s">
        <v>829</v>
      </c>
    </row>
    <row r="493" spans="1:22">
      <c r="A493" s="7" t="str">
        <f>TRIM(ETLMetadata!$B493)</f>
        <v>CLK</v>
      </c>
      <c r="B493" s="7" t="str">
        <f>TRIM(ETLMetadata!$C493)</f>
        <v>DETM_DETIS_D3DS</v>
      </c>
      <c r="C493" s="7" t="str">
        <f>TRIM(ETLMetadata!$F493)</f>
        <v>Record_Deleted_Flag</v>
      </c>
      <c r="D493" s="7" t="str">
        <f>TRIM(ETLMetadata!$H493)</f>
        <v>StringType()</v>
      </c>
      <c r="E493" s="7" t="str">
        <f t="shared" si="64"/>
        <v>CLK_DETM_DETIS_D3DS</v>
      </c>
      <c r="F493" s="7" t="str">
        <f t="shared" si="58"/>
        <v>RCRD_DEL_IND</v>
      </c>
      <c r="G493" s="7" t="s">
        <v>825</v>
      </c>
      <c r="H493" s="7" t="str">
        <f t="shared" si="59"/>
        <v>CLK_DETM_DETIS_D3DS</v>
      </c>
      <c r="I493" s="7" t="str">
        <f t="shared" si="60"/>
        <v>RCRD_DEL_IND</v>
      </c>
      <c r="J493" s="7" t="str">
        <f t="shared" si="61"/>
        <v>SMALLINT</v>
      </c>
      <c r="K493" s="7" t="str">
        <f>TRIM(ETLMetadata!$G493)</f>
        <v>BYTEINT</v>
      </c>
      <c r="L493" s="7" t="str">
        <f>TRIM(ETLMetadata!$I493)</f>
        <v/>
      </c>
      <c r="M493" s="7" t="str">
        <f t="shared" si="62"/>
        <v>CAST(NULLIF(TRIM(RCRD_DEL_IND),'') AS SMALLINT)</v>
      </c>
      <c r="N493" s="7" t="str">
        <f>TRIM(ETLMetadata!$J493)</f>
        <v/>
      </c>
      <c r="O493" s="8" t="str">
        <f>IF(TRIM(Classification!$G493)="","NOT CONFIDENTIAL",TRIM(Classification!$G493))</f>
        <v>NOT CONFIDENTIAL</v>
      </c>
      <c r="P493" s="7" t="str">
        <f t="shared" si="63"/>
        <v>N</v>
      </c>
      <c r="Q493" s="7" t="s">
        <v>826</v>
      </c>
      <c r="R493" s="9">
        <v>2958465</v>
      </c>
      <c r="S493" s="7" t="s">
        <v>827</v>
      </c>
      <c r="T493" s="7" t="s">
        <v>828</v>
      </c>
      <c r="U493" s="7" t="str">
        <f t="shared" si="65"/>
        <v>CLK_DETM_DETIS_D3DS_V</v>
      </c>
      <c r="V493" s="7" t="s">
        <v>829</v>
      </c>
    </row>
    <row r="494" spans="1:22">
      <c r="A494" s="7" t="str">
        <f>TRIM(ETLMetadata!$B494)</f>
        <v>CLK</v>
      </c>
      <c r="B494" s="7" t="str">
        <f>TRIM(ETLMetadata!$C494)</f>
        <v>DETM_DETIS_DHDS</v>
      </c>
      <c r="C494" s="7" t="str">
        <f>TRIM(ETLMetadata!$F494)</f>
        <v>EXTRACT_DATE</v>
      </c>
      <c r="D494" s="7" t="str">
        <f>TRIM(ETLMetadata!$H494)</f>
        <v>StringType()</v>
      </c>
      <c r="E494" s="7" t="str">
        <f t="shared" si="64"/>
        <v>CLK_DETM_DETIS_DHDS</v>
      </c>
      <c r="F494" s="7" t="str">
        <f t="shared" si="58"/>
        <v>EXTRACT_DATE</v>
      </c>
      <c r="G494" s="7" t="s">
        <v>825</v>
      </c>
      <c r="H494" s="7" t="str">
        <f t="shared" si="59"/>
        <v>CLK_DETM_DETIS_DHDS</v>
      </c>
      <c r="I494" s="7" t="str">
        <f t="shared" si="60"/>
        <v>EXTRACT_DATE</v>
      </c>
      <c r="J494" s="7" t="str">
        <f t="shared" si="61"/>
        <v>DATE</v>
      </c>
      <c r="K494" s="7" t="str">
        <f>TRIM(ETLMetadata!$G494)</f>
        <v>DATE</v>
      </c>
      <c r="L494" s="7" t="str">
        <f>TRIM(ETLMetadata!$I494)</f>
        <v>YYYY-MM-DD</v>
      </c>
      <c r="M494" s="7" t="str">
        <f t="shared" si="62"/>
        <v>TO_DATE(NULLIF(TRIM(EXTRACT_DATE),'') , 'YYYY-MM-DD')</v>
      </c>
      <c r="N494" s="7" t="str">
        <f>TRIM(ETLMetadata!$J494)</f>
        <v/>
      </c>
      <c r="O494" s="8" t="str">
        <f>IF(TRIM(Classification!$G494)="","NOT CONFIDENTIAL",TRIM(Classification!$G494))</f>
        <v>NOT CONFIDENTIAL</v>
      </c>
      <c r="P494" s="7" t="str">
        <f t="shared" si="63"/>
        <v>Y</v>
      </c>
      <c r="Q494" s="7" t="s">
        <v>826</v>
      </c>
      <c r="R494" s="9">
        <v>2958465</v>
      </c>
      <c r="S494" s="7" t="s">
        <v>827</v>
      </c>
      <c r="T494" s="7" t="s">
        <v>828</v>
      </c>
      <c r="U494" s="7" t="str">
        <f t="shared" si="65"/>
        <v>CLK_DETM_DETIS_DHDS_V</v>
      </c>
      <c r="V494" s="7" t="s">
        <v>829</v>
      </c>
    </row>
    <row r="495" spans="1:22">
      <c r="A495" s="7" t="str">
        <f>TRIM(ETLMetadata!$B495)</f>
        <v>CLK</v>
      </c>
      <c r="B495" s="7" t="str">
        <f>TRIM(ETLMetadata!$C495)</f>
        <v>DETM_DETIS_DHDS</v>
      </c>
      <c r="C495" s="7" t="str">
        <f>TRIM(ETLMetadata!$F495)</f>
        <v>LOGICAL_DELETE_DATE</v>
      </c>
      <c r="D495" s="7" t="str">
        <f>TRIM(ETLMetadata!$H495)</f>
        <v>StringType()</v>
      </c>
      <c r="E495" s="7" t="str">
        <f t="shared" si="64"/>
        <v>CLK_DETM_DETIS_DHDS</v>
      </c>
      <c r="F495" s="7" t="str">
        <f t="shared" si="58"/>
        <v>LOGICAL_DELETE_DATE</v>
      </c>
      <c r="G495" s="7" t="s">
        <v>825</v>
      </c>
      <c r="H495" s="7" t="str">
        <f t="shared" si="59"/>
        <v>CLK_DETM_DETIS_DHDS</v>
      </c>
      <c r="I495" s="7" t="str">
        <f t="shared" si="60"/>
        <v>LOGICAL_DELETE_DATE</v>
      </c>
      <c r="J495" s="7" t="str">
        <f t="shared" si="61"/>
        <v>DATE</v>
      </c>
      <c r="K495" s="7" t="str">
        <f>TRIM(ETLMetadata!$G495)</f>
        <v>DATE</v>
      </c>
      <c r="L495" s="7" t="str">
        <f>TRIM(ETLMetadata!$I495)</f>
        <v>YYYY-MM-DD</v>
      </c>
      <c r="M495" s="7" t="str">
        <f t="shared" si="62"/>
        <v>TO_DATE(NULLIF(TRIM(LOGICAL_DELETE_DATE),'') , 'YYYY-MM-DD')</v>
      </c>
      <c r="N495" s="7" t="str">
        <f>TRIM(ETLMetadata!$J495)</f>
        <v/>
      </c>
      <c r="O495" s="8" t="str">
        <f>IF(TRIM(Classification!$G495)="","NOT CONFIDENTIAL",TRIM(Classification!$G495))</f>
        <v>NOT CONFIDENTIAL</v>
      </c>
      <c r="P495" s="7" t="str">
        <f t="shared" si="63"/>
        <v>Y</v>
      </c>
      <c r="Q495" s="7" t="s">
        <v>826</v>
      </c>
      <c r="R495" s="9">
        <v>2958465</v>
      </c>
      <c r="S495" s="7" t="s">
        <v>827</v>
      </c>
      <c r="T495" s="7" t="s">
        <v>828</v>
      </c>
      <c r="U495" s="7" t="str">
        <f t="shared" si="65"/>
        <v>CLK_DETM_DETIS_DHDS_V</v>
      </c>
      <c r="V495" s="7" t="s">
        <v>829</v>
      </c>
    </row>
    <row r="496" spans="1:22">
      <c r="A496" s="7" t="str">
        <f>TRIM(ETLMetadata!$B496)</f>
        <v>CLK</v>
      </c>
      <c r="B496" s="7" t="str">
        <f>TRIM(ETLMetadata!$C496)</f>
        <v>DETM_DETIS_DHDS</v>
      </c>
      <c r="C496" s="7" t="str">
        <f>TRIM(ETLMetadata!$F496)</f>
        <v>ENVIRONMENT_ID</v>
      </c>
      <c r="D496" s="7" t="str">
        <f>TRIM(ETLMetadata!$H496)</f>
        <v>StringType()</v>
      </c>
      <c r="E496" s="7" t="str">
        <f t="shared" si="64"/>
        <v>CLK_DETM_DETIS_DHDS</v>
      </c>
      <c r="F496" s="7" t="str">
        <f t="shared" si="58"/>
        <v>ENVIRONMENT_ID</v>
      </c>
      <c r="G496" s="7" t="s">
        <v>825</v>
      </c>
      <c r="H496" s="7" t="str">
        <f t="shared" si="59"/>
        <v>CLK_DETM_DETIS_DHDS</v>
      </c>
      <c r="I496" s="7" t="str">
        <f t="shared" si="60"/>
        <v>ENVIRONMENT_ID</v>
      </c>
      <c r="J496" s="7" t="str">
        <f t="shared" si="61"/>
        <v>VARCHAR</v>
      </c>
      <c r="K496" s="7" t="str">
        <f>TRIM(ETLMetadata!$G496)</f>
        <v>CHAR(1)</v>
      </c>
      <c r="L496" s="7" t="str">
        <f>TRIM(ETLMetadata!$I496)</f>
        <v/>
      </c>
      <c r="M496" s="7" t="str">
        <f t="shared" si="62"/>
        <v>NULLIF(TRIM(ENVIRONMENT_ID),'')</v>
      </c>
      <c r="N496" s="7" t="str">
        <f>TRIM(ETLMetadata!$J496)</f>
        <v>Y</v>
      </c>
      <c r="O496" s="8" t="str">
        <f>IF(TRIM(Classification!$G496)="","NOT CONFIDENTIAL",TRIM(Classification!$G496))</f>
        <v>NOT CONFIDENTIAL</v>
      </c>
      <c r="P496" s="7" t="str">
        <f t="shared" si="63"/>
        <v>Y</v>
      </c>
      <c r="Q496" s="7" t="s">
        <v>826</v>
      </c>
      <c r="R496" s="9">
        <v>2958465</v>
      </c>
      <c r="S496" s="7" t="s">
        <v>827</v>
      </c>
      <c r="T496" s="7" t="s">
        <v>828</v>
      </c>
      <c r="U496" s="7" t="str">
        <f t="shared" si="65"/>
        <v>CLK_DETM_DETIS_DHDS_V</v>
      </c>
      <c r="V496" s="7" t="s">
        <v>829</v>
      </c>
    </row>
    <row r="497" spans="1:22">
      <c r="A497" s="7" t="str">
        <f>TRIM(ETLMetadata!$B497)</f>
        <v>CLK</v>
      </c>
      <c r="B497" s="7" t="str">
        <f>TRIM(ETLMetadata!$C497)</f>
        <v>DETM_DETIS_DHDS</v>
      </c>
      <c r="C497" s="7" t="str">
        <f>TRIM(ETLMetadata!$F497)</f>
        <v>PERSON_ID</v>
      </c>
      <c r="D497" s="7" t="str">
        <f>TRIM(ETLMetadata!$H497)</f>
        <v>StringType()</v>
      </c>
      <c r="E497" s="7" t="str">
        <f t="shared" si="64"/>
        <v>CLK_DETM_DETIS_DHDS</v>
      </c>
      <c r="F497" s="7" t="str">
        <f t="shared" si="58"/>
        <v>PERSON_ID</v>
      </c>
      <c r="G497" s="7" t="s">
        <v>825</v>
      </c>
      <c r="H497" s="7" t="str">
        <f t="shared" si="59"/>
        <v>CLK_DETM_DETIS_DHDS</v>
      </c>
      <c r="I497" s="7" t="str">
        <f t="shared" si="60"/>
        <v>PERSON_ID</v>
      </c>
      <c r="J497" s="7" t="str">
        <f t="shared" si="61"/>
        <v>INTEGER</v>
      </c>
      <c r="K497" s="7" t="str">
        <f>TRIM(ETLMetadata!$G497)</f>
        <v>INTEGER</v>
      </c>
      <c r="L497" s="7" t="str">
        <f>TRIM(ETLMetadata!$I497)</f>
        <v/>
      </c>
      <c r="M497" s="7" t="str">
        <f t="shared" si="62"/>
        <v>CAST(NULLIF(TRIM(PERSON_ID),'') AS INTEGER)</v>
      </c>
      <c r="N497" s="7" t="str">
        <f>TRIM(ETLMetadata!$J497)</f>
        <v>Y</v>
      </c>
      <c r="O497" s="8" t="str">
        <f>IF(TRIM(Classification!$G497)="","NOT CONFIDENTIAL",TRIM(Classification!$G497))</f>
        <v>PERSONAL_IDENTITYINFOINDIRECT</v>
      </c>
      <c r="P497" s="7" t="str">
        <f t="shared" si="63"/>
        <v>Y</v>
      </c>
      <c r="Q497" s="7" t="s">
        <v>826</v>
      </c>
      <c r="R497" s="9">
        <v>2958465</v>
      </c>
      <c r="S497" s="7" t="s">
        <v>827</v>
      </c>
      <c r="T497" s="7" t="s">
        <v>828</v>
      </c>
      <c r="U497" s="7" t="str">
        <f t="shared" si="65"/>
        <v>CLK_DETM_DETIS_DHDS_V</v>
      </c>
      <c r="V497" s="7" t="s">
        <v>829</v>
      </c>
    </row>
    <row r="498" spans="1:22">
      <c r="A498" s="7" t="str">
        <f>TRIM(ETLMetadata!$B498)</f>
        <v>CLK</v>
      </c>
      <c r="B498" s="7" t="str">
        <f>TRIM(ETLMetadata!$C498)</f>
        <v>DETM_DETIS_DHDS</v>
      </c>
      <c r="C498" s="7" t="str">
        <f>TRIM(ETLMetadata!$F498)</f>
        <v>DHDS_DOE</v>
      </c>
      <c r="D498" s="7" t="str">
        <f>TRIM(ETLMetadata!$H498)</f>
        <v>StringType()</v>
      </c>
      <c r="E498" s="7" t="str">
        <f t="shared" si="64"/>
        <v>CLK_DETM_DETIS_DHDS</v>
      </c>
      <c r="F498" s="7" t="str">
        <f t="shared" si="58"/>
        <v>DHDS_DOE</v>
      </c>
      <c r="G498" s="7" t="s">
        <v>825</v>
      </c>
      <c r="H498" s="7" t="str">
        <f t="shared" si="59"/>
        <v>CLK_DETM_DETIS_DHDS</v>
      </c>
      <c r="I498" s="7" t="str">
        <f t="shared" si="60"/>
        <v>DHDS_DOE</v>
      </c>
      <c r="J498" s="7" t="str">
        <f t="shared" si="61"/>
        <v>DATE</v>
      </c>
      <c r="K498" s="17" t="s">
        <v>80</v>
      </c>
      <c r="L498" s="7" t="str">
        <f>TRIM(ETLMetadata!$I498)</f>
        <v>YYYY-MM-DD</v>
      </c>
      <c r="M498" s="7" t="str">
        <f t="shared" si="62"/>
        <v>TO_DATE(NULLIF(TRIM(DHDS_DOE),'') , 'YYYY-MM-DD')</v>
      </c>
      <c r="N498" s="7" t="str">
        <f>TRIM(ETLMetadata!$J498)</f>
        <v/>
      </c>
      <c r="O498" s="8" t="str">
        <f>IF(TRIM(Classification!$G498)="","NOT CONFIDENTIAL",TRIM(Classification!$G498))</f>
        <v>NOT CONFIDENTIAL</v>
      </c>
      <c r="P498" s="7" t="str">
        <f t="shared" si="63"/>
        <v>Y</v>
      </c>
      <c r="Q498" s="7" t="s">
        <v>826</v>
      </c>
      <c r="R498" s="9">
        <v>2958465</v>
      </c>
      <c r="S498" s="7" t="s">
        <v>827</v>
      </c>
      <c r="T498" s="7" t="s">
        <v>828</v>
      </c>
      <c r="U498" s="7" t="str">
        <f t="shared" si="65"/>
        <v>CLK_DETM_DETIS_DHDS_V</v>
      </c>
      <c r="V498" s="7" t="s">
        <v>829</v>
      </c>
    </row>
    <row r="499" spans="1:22">
      <c r="A499" s="7" t="str">
        <f>TRIM(ETLMetadata!$B499)</f>
        <v>CLK</v>
      </c>
      <c r="B499" s="7" t="str">
        <f>TRIM(ETLMetadata!$C499)</f>
        <v>DETM_DETIS_DHDS</v>
      </c>
      <c r="C499" s="7" t="str">
        <f>TRIM(ETLMetadata!$F499)</f>
        <v>DHDS_DOE_ORIG</v>
      </c>
      <c r="D499" s="7" t="str">
        <f>TRIM(ETLMetadata!$H499)</f>
        <v>StringType()</v>
      </c>
      <c r="E499" s="7" t="str">
        <f t="shared" si="64"/>
        <v>CLK_DETM_DETIS_DHDS</v>
      </c>
      <c r="F499" s="7" t="str">
        <f t="shared" si="58"/>
        <v>DHDS_DOE_ORIG</v>
      </c>
      <c r="G499" s="7" t="s">
        <v>825</v>
      </c>
      <c r="H499" s="7" t="str">
        <f t="shared" si="59"/>
        <v>CLK_DETM_DETIS_DHDS</v>
      </c>
      <c r="I499" s="7" t="str">
        <f t="shared" si="60"/>
        <v>DHDS_DOE_ORIG</v>
      </c>
      <c r="J499" s="7" t="str">
        <f t="shared" si="61"/>
        <v>INTEGER</v>
      </c>
      <c r="K499" s="17" t="s">
        <v>90</v>
      </c>
      <c r="L499" s="7" t="str">
        <f>TRIM(ETLMetadata!$I499)</f>
        <v/>
      </c>
      <c r="M499" s="7" t="str">
        <f t="shared" si="62"/>
        <v>CAST(NULLIF(TRIM(DHDS_DOE_ORIG),'') AS INTEGER)</v>
      </c>
      <c r="N499" s="7" t="str">
        <f>TRIM(ETLMetadata!$J499)</f>
        <v/>
      </c>
      <c r="O499" s="8" t="str">
        <f>IF(TRIM(Classification!$G499)="","NOT CONFIDENTIAL",TRIM(Classification!$G499))</f>
        <v>NOT CONFIDENTIAL</v>
      </c>
      <c r="P499" s="7" t="str">
        <f t="shared" si="63"/>
        <v>Y</v>
      </c>
      <c r="Q499" s="7" t="s">
        <v>826</v>
      </c>
      <c r="R499" s="9">
        <v>2958465</v>
      </c>
      <c r="S499" s="7" t="s">
        <v>827</v>
      </c>
      <c r="T499" s="7" t="s">
        <v>828</v>
      </c>
      <c r="U499" s="7" t="str">
        <f t="shared" si="65"/>
        <v>CLK_DETM_DETIS_DHDS_V</v>
      </c>
      <c r="V499" s="7" t="s">
        <v>829</v>
      </c>
    </row>
    <row r="500" spans="1:22">
      <c r="A500" s="7" t="str">
        <f>TRIM(ETLMetadata!$B500)</f>
        <v>CLK</v>
      </c>
      <c r="B500" s="7" t="str">
        <f>TRIM(ETLMetadata!$C500)</f>
        <v>DETM_DETIS_DHDS</v>
      </c>
      <c r="C500" s="7" t="str">
        <f>TRIM(ETLMetadata!$F500)</f>
        <v>PROCESSING_SEQUENCE</v>
      </c>
      <c r="D500" s="7" t="str">
        <f>TRIM(ETLMetadata!$H500)</f>
        <v>StringType()</v>
      </c>
      <c r="E500" s="7" t="str">
        <f t="shared" si="64"/>
        <v>CLK_DETM_DETIS_DHDS</v>
      </c>
      <c r="F500" s="7" t="str">
        <f t="shared" si="58"/>
        <v>PROCESSING_SEQUENCE</v>
      </c>
      <c r="G500" s="7" t="s">
        <v>825</v>
      </c>
      <c r="H500" s="7" t="str">
        <f t="shared" si="59"/>
        <v>CLK_DETM_DETIS_DHDS</v>
      </c>
      <c r="I500" s="7" t="str">
        <f t="shared" si="60"/>
        <v>PROCESSING_SEQUENCE</v>
      </c>
      <c r="J500" s="7" t="str">
        <f t="shared" si="61"/>
        <v>SMALLINT</v>
      </c>
      <c r="K500" s="7" t="str">
        <f>TRIM(ETLMetadata!$G500)</f>
        <v>SMALLINT</v>
      </c>
      <c r="L500" s="7" t="str">
        <f>TRIM(ETLMetadata!$I500)</f>
        <v/>
      </c>
      <c r="M500" s="7" t="str">
        <f t="shared" si="62"/>
        <v>CAST(NULLIF(TRIM(PROCESSING_SEQUENCE),'') AS SMALLINT)</v>
      </c>
      <c r="N500" s="7" t="str">
        <f>TRIM(ETLMetadata!$J500)</f>
        <v>Y</v>
      </c>
      <c r="O500" s="8" t="str">
        <f>IF(TRIM(Classification!$G500)="","NOT CONFIDENTIAL",TRIM(Classification!$G500))</f>
        <v>NOT CONFIDENTIAL</v>
      </c>
      <c r="P500" s="7" t="str">
        <f t="shared" si="63"/>
        <v>Y</v>
      </c>
      <c r="Q500" s="7" t="s">
        <v>826</v>
      </c>
      <c r="R500" s="9">
        <v>2958465</v>
      </c>
      <c r="S500" s="7" t="s">
        <v>827</v>
      </c>
      <c r="T500" s="7" t="s">
        <v>828</v>
      </c>
      <c r="U500" s="7" t="str">
        <f t="shared" si="65"/>
        <v>CLK_DETM_DETIS_DHDS_V</v>
      </c>
      <c r="V500" s="7" t="s">
        <v>829</v>
      </c>
    </row>
    <row r="501" spans="1:22">
      <c r="A501" s="7" t="str">
        <f>TRIM(ETLMetadata!$B501)</f>
        <v>CLK</v>
      </c>
      <c r="B501" s="7" t="str">
        <f>TRIM(ETLMetadata!$C501)</f>
        <v>DETM_DETIS_DHDS</v>
      </c>
      <c r="C501" s="7" t="str">
        <f>TRIM(ETLMetadata!$F501)</f>
        <v>DHDS_AMR_1</v>
      </c>
      <c r="D501" s="7" t="str">
        <f>TRIM(ETLMetadata!$H501)</f>
        <v>StringType()</v>
      </c>
      <c r="E501" s="7" t="str">
        <f t="shared" si="64"/>
        <v>CLK_DETM_DETIS_DHDS</v>
      </c>
      <c r="F501" s="7" t="str">
        <f t="shared" si="58"/>
        <v>DHDS_AMR_1</v>
      </c>
      <c r="G501" s="7" t="s">
        <v>825</v>
      </c>
      <c r="H501" s="7" t="str">
        <f t="shared" si="59"/>
        <v>CLK_DETM_DETIS_DHDS</v>
      </c>
      <c r="I501" s="7" t="str">
        <f t="shared" si="60"/>
        <v>DHDS_AMR_1</v>
      </c>
      <c r="J501" s="7" t="str">
        <f t="shared" si="61"/>
        <v>VARCHAR</v>
      </c>
      <c r="K501" s="7" t="str">
        <f>TRIM(ETLMetadata!$G501)</f>
        <v>CHAR(4)</v>
      </c>
      <c r="L501" s="7" t="str">
        <f>TRIM(ETLMetadata!$I501)</f>
        <v/>
      </c>
      <c r="M501" s="7" t="str">
        <f t="shared" si="62"/>
        <v>NULLIF(TRIM(DHDS_AMR_1),'')</v>
      </c>
      <c r="N501" s="7" t="str">
        <f>TRIM(ETLMetadata!$J501)</f>
        <v/>
      </c>
      <c r="O501" s="8" t="str">
        <f>IF(TRIM(Classification!$G501)="","NOT CONFIDENTIAL",TRIM(Classification!$G501))</f>
        <v>NOT CONFIDENTIAL</v>
      </c>
      <c r="P501" s="7" t="str">
        <f t="shared" si="63"/>
        <v>Y</v>
      </c>
      <c r="Q501" s="7" t="s">
        <v>826</v>
      </c>
      <c r="R501" s="9">
        <v>2958465</v>
      </c>
      <c r="S501" s="7" t="s">
        <v>827</v>
      </c>
      <c r="T501" s="7" t="s">
        <v>828</v>
      </c>
      <c r="U501" s="7" t="str">
        <f t="shared" si="65"/>
        <v>CLK_DETM_DETIS_DHDS_V</v>
      </c>
      <c r="V501" s="7" t="s">
        <v>829</v>
      </c>
    </row>
    <row r="502" spans="1:22">
      <c r="A502" s="7" t="str">
        <f>TRIM(ETLMetadata!$B502)</f>
        <v>CLK</v>
      </c>
      <c r="B502" s="7" t="str">
        <f>TRIM(ETLMetadata!$C502)</f>
        <v>DETM_DETIS_DHDS</v>
      </c>
      <c r="C502" s="7" t="str">
        <f>TRIM(ETLMetadata!$F502)</f>
        <v>DHDS_AMR_2</v>
      </c>
      <c r="D502" s="7" t="str">
        <f>TRIM(ETLMetadata!$H502)</f>
        <v>StringType()</v>
      </c>
      <c r="E502" s="7" t="str">
        <f t="shared" si="64"/>
        <v>CLK_DETM_DETIS_DHDS</v>
      </c>
      <c r="F502" s="7" t="str">
        <f t="shared" si="58"/>
        <v>DHDS_AMR_2</v>
      </c>
      <c r="G502" s="7" t="s">
        <v>825</v>
      </c>
      <c r="H502" s="7" t="str">
        <f t="shared" si="59"/>
        <v>CLK_DETM_DETIS_DHDS</v>
      </c>
      <c r="I502" s="7" t="str">
        <f t="shared" si="60"/>
        <v>DHDS_AMR_2</v>
      </c>
      <c r="J502" s="7" t="str">
        <f t="shared" si="61"/>
        <v>VARCHAR</v>
      </c>
      <c r="K502" s="7" t="str">
        <f>TRIM(ETLMetadata!$G502)</f>
        <v>CHAR(1)</v>
      </c>
      <c r="L502" s="7" t="str">
        <f>TRIM(ETLMetadata!$I502)</f>
        <v/>
      </c>
      <c r="M502" s="7" t="str">
        <f t="shared" si="62"/>
        <v>NULLIF(TRIM(DHDS_AMR_2),'')</v>
      </c>
      <c r="N502" s="7" t="str">
        <f>TRIM(ETLMetadata!$J502)</f>
        <v/>
      </c>
      <c r="O502" s="8" t="str">
        <f>IF(TRIM(Classification!$G502)="","NOT CONFIDENTIAL",TRIM(Classification!$G502))</f>
        <v>NOT CONFIDENTIAL</v>
      </c>
      <c r="P502" s="7" t="str">
        <f t="shared" si="63"/>
        <v>Y</v>
      </c>
      <c r="Q502" s="7" t="s">
        <v>826</v>
      </c>
      <c r="R502" s="9">
        <v>2958465</v>
      </c>
      <c r="S502" s="7" t="s">
        <v>827</v>
      </c>
      <c r="T502" s="7" t="s">
        <v>828</v>
      </c>
      <c r="U502" s="7" t="str">
        <f t="shared" si="65"/>
        <v>CLK_DETM_DETIS_DHDS_V</v>
      </c>
      <c r="V502" s="7" t="s">
        <v>829</v>
      </c>
    </row>
    <row r="503" spans="1:22">
      <c r="A503" s="7" t="str">
        <f>TRIM(ETLMetadata!$B503)</f>
        <v>CLK</v>
      </c>
      <c r="B503" s="7" t="str">
        <f>TRIM(ETLMetadata!$C503)</f>
        <v>DETM_DETIS_DHDS</v>
      </c>
      <c r="C503" s="7" t="str">
        <f>TRIM(ETLMetadata!$F503)</f>
        <v>DHDS_AMR_3</v>
      </c>
      <c r="D503" s="7" t="str">
        <f>TRIM(ETLMetadata!$H503)</f>
        <v>StringType()</v>
      </c>
      <c r="E503" s="7" t="str">
        <f t="shared" si="64"/>
        <v>CLK_DETM_DETIS_DHDS</v>
      </c>
      <c r="F503" s="7" t="str">
        <f t="shared" si="58"/>
        <v>DHDS_AMR_3</v>
      </c>
      <c r="G503" s="7" t="s">
        <v>825</v>
      </c>
      <c r="H503" s="7" t="str">
        <f t="shared" si="59"/>
        <v>CLK_DETM_DETIS_DHDS</v>
      </c>
      <c r="I503" s="7" t="str">
        <f t="shared" si="60"/>
        <v>DHDS_AMR_3</v>
      </c>
      <c r="J503" s="7" t="str">
        <f t="shared" si="61"/>
        <v>VARCHAR</v>
      </c>
      <c r="K503" s="7" t="str">
        <f>TRIM(ETLMetadata!$G503)</f>
        <v>CHAR(4)</v>
      </c>
      <c r="L503" s="7" t="str">
        <f>TRIM(ETLMetadata!$I503)</f>
        <v/>
      </c>
      <c r="M503" s="7" t="str">
        <f t="shared" si="62"/>
        <v>NULLIF(TRIM(DHDS_AMR_3),'')</v>
      </c>
      <c r="N503" s="7" t="str">
        <f>TRIM(ETLMetadata!$J503)</f>
        <v/>
      </c>
      <c r="O503" s="8" t="str">
        <f>IF(TRIM(Classification!$G503)="","NOT CONFIDENTIAL",TRIM(Classification!$G503))</f>
        <v>NOT CONFIDENTIAL</v>
      </c>
      <c r="P503" s="7" t="str">
        <f t="shared" si="63"/>
        <v>Y</v>
      </c>
      <c r="Q503" s="7" t="s">
        <v>826</v>
      </c>
      <c r="R503" s="9">
        <v>2958465</v>
      </c>
      <c r="S503" s="7" t="s">
        <v>827</v>
      </c>
      <c r="T503" s="7" t="s">
        <v>828</v>
      </c>
      <c r="U503" s="7" t="str">
        <f t="shared" si="65"/>
        <v>CLK_DETM_DETIS_DHDS_V</v>
      </c>
      <c r="V503" s="7" t="s">
        <v>829</v>
      </c>
    </row>
    <row r="504" spans="1:22">
      <c r="A504" s="7" t="str">
        <f>TRIM(ETLMetadata!$B504)</f>
        <v>CLK</v>
      </c>
      <c r="B504" s="7" t="str">
        <f>TRIM(ETLMetadata!$C504)</f>
        <v>DETM_DETIS_DHDS</v>
      </c>
      <c r="C504" s="7" t="str">
        <f>TRIM(ETLMetadata!$F504)</f>
        <v>DHDS_BEN_TYPE_CODE</v>
      </c>
      <c r="D504" s="7" t="str">
        <f>TRIM(ETLMetadata!$H504)</f>
        <v>StringType()</v>
      </c>
      <c r="E504" s="7" t="str">
        <f t="shared" si="64"/>
        <v>CLK_DETM_DETIS_DHDS</v>
      </c>
      <c r="F504" s="7" t="str">
        <f t="shared" si="58"/>
        <v>DHDS_BEN_TYPE_CODE</v>
      </c>
      <c r="G504" s="7" t="s">
        <v>825</v>
      </c>
      <c r="H504" s="7" t="str">
        <f t="shared" si="59"/>
        <v>CLK_DETM_DETIS_DHDS</v>
      </c>
      <c r="I504" s="7" t="str">
        <f t="shared" si="60"/>
        <v>DHDS_BEN_TYPE_CODE</v>
      </c>
      <c r="J504" s="7" t="str">
        <f t="shared" si="61"/>
        <v>VARCHAR</v>
      </c>
      <c r="K504" s="7" t="str">
        <f>TRIM(ETLMetadata!$G504)</f>
        <v>CHAR(3)</v>
      </c>
      <c r="L504" s="7" t="str">
        <f>TRIM(ETLMetadata!$I504)</f>
        <v/>
      </c>
      <c r="M504" s="7" t="str">
        <f t="shared" si="62"/>
        <v>NULLIF(TRIM(DHDS_BEN_TYPE_CODE),'')</v>
      </c>
      <c r="N504" s="7" t="str">
        <f>TRIM(ETLMetadata!$J504)</f>
        <v/>
      </c>
      <c r="O504" s="8" t="str">
        <f>IF(TRIM(Classification!$G504)="","NOT CONFIDENTIAL",TRIM(Classification!$G504))</f>
        <v>NOT CONFIDENTIAL</v>
      </c>
      <c r="P504" s="7" t="str">
        <f t="shared" si="63"/>
        <v>Y</v>
      </c>
      <c r="Q504" s="7" t="s">
        <v>826</v>
      </c>
      <c r="R504" s="9">
        <v>2958465</v>
      </c>
      <c r="S504" s="7" t="s">
        <v>827</v>
      </c>
      <c r="T504" s="7" t="s">
        <v>828</v>
      </c>
      <c r="U504" s="7" t="str">
        <f t="shared" si="65"/>
        <v>CLK_DETM_DETIS_DHDS_V</v>
      </c>
      <c r="V504" s="7" t="s">
        <v>829</v>
      </c>
    </row>
    <row r="505" spans="1:22">
      <c r="A505" s="7" t="str">
        <f>TRIM(ETLMetadata!$B505)</f>
        <v>CLK</v>
      </c>
      <c r="B505" s="7" t="str">
        <f>TRIM(ETLMetadata!$C505)</f>
        <v>DETM_DETIS_DHDS</v>
      </c>
      <c r="C505" s="7" t="str">
        <f>TRIM(ETLMetadata!$F505)</f>
        <v>DHDS_STS_CODE</v>
      </c>
      <c r="D505" s="7" t="str">
        <f>TRIM(ETLMetadata!$H505)</f>
        <v>StringType()</v>
      </c>
      <c r="E505" s="7" t="str">
        <f t="shared" si="64"/>
        <v>CLK_DETM_DETIS_DHDS</v>
      </c>
      <c r="F505" s="7" t="str">
        <f t="shared" si="58"/>
        <v>DHDS_STS_CODE</v>
      </c>
      <c r="G505" s="7" t="s">
        <v>825</v>
      </c>
      <c r="H505" s="7" t="str">
        <f t="shared" si="59"/>
        <v>CLK_DETM_DETIS_DHDS</v>
      </c>
      <c r="I505" s="7" t="str">
        <f t="shared" si="60"/>
        <v>DHDS_STS_CODE</v>
      </c>
      <c r="J505" s="7" t="str">
        <f t="shared" si="61"/>
        <v>VARCHAR</v>
      </c>
      <c r="K505" s="7" t="str">
        <f>TRIM(ETLMetadata!$G505)</f>
        <v>CHAR(3)</v>
      </c>
      <c r="L505" s="7" t="str">
        <f>TRIM(ETLMetadata!$I505)</f>
        <v/>
      </c>
      <c r="M505" s="7" t="str">
        <f t="shared" si="62"/>
        <v>NULLIF(TRIM(DHDS_STS_CODE),'')</v>
      </c>
      <c r="N505" s="7" t="str">
        <f>TRIM(ETLMetadata!$J505)</f>
        <v/>
      </c>
      <c r="O505" s="8" t="str">
        <f>IF(TRIM(Classification!$G505)="","NOT CONFIDENTIAL",TRIM(Classification!$G505))</f>
        <v>NOT CONFIDENTIAL</v>
      </c>
      <c r="P505" s="7" t="str">
        <f t="shared" si="63"/>
        <v>Y</v>
      </c>
      <c r="Q505" s="7" t="s">
        <v>826</v>
      </c>
      <c r="R505" s="9">
        <v>2958465</v>
      </c>
      <c r="S505" s="7" t="s">
        <v>827</v>
      </c>
      <c r="T505" s="7" t="s">
        <v>828</v>
      </c>
      <c r="U505" s="7" t="str">
        <f t="shared" si="65"/>
        <v>CLK_DETM_DETIS_DHDS_V</v>
      </c>
      <c r="V505" s="7" t="s">
        <v>829</v>
      </c>
    </row>
    <row r="506" spans="1:22">
      <c r="A506" s="7" t="str">
        <f>TRIM(ETLMetadata!$B506)</f>
        <v>CLK</v>
      </c>
      <c r="B506" s="7" t="str">
        <f>TRIM(ETLMetadata!$C506)</f>
        <v>DETM_DETIS_DHDS</v>
      </c>
      <c r="C506" s="7" t="str">
        <f>TRIM(ETLMetadata!$F506)</f>
        <v>DHDS_RSN_CODE</v>
      </c>
      <c r="D506" s="7" t="str">
        <f>TRIM(ETLMetadata!$H506)</f>
        <v>StringType()</v>
      </c>
      <c r="E506" s="7" t="str">
        <f t="shared" si="64"/>
        <v>CLK_DETM_DETIS_DHDS</v>
      </c>
      <c r="F506" s="7" t="str">
        <f t="shared" si="58"/>
        <v>DHDS_RSN_CODE</v>
      </c>
      <c r="G506" s="7" t="s">
        <v>825</v>
      </c>
      <c r="H506" s="7" t="str">
        <f t="shared" si="59"/>
        <v>CLK_DETM_DETIS_DHDS</v>
      </c>
      <c r="I506" s="7" t="str">
        <f t="shared" si="60"/>
        <v>DHDS_RSN_CODE</v>
      </c>
      <c r="J506" s="7" t="str">
        <f t="shared" si="61"/>
        <v>VARCHAR</v>
      </c>
      <c r="K506" s="7" t="str">
        <f>TRIM(ETLMetadata!$G506)</f>
        <v>CHAR(3)</v>
      </c>
      <c r="L506" s="7" t="str">
        <f>TRIM(ETLMetadata!$I506)</f>
        <v/>
      </c>
      <c r="M506" s="7" t="str">
        <f t="shared" si="62"/>
        <v>NULLIF(TRIM(DHDS_RSN_CODE),'')</v>
      </c>
      <c r="N506" s="7" t="str">
        <f>TRIM(ETLMetadata!$J506)</f>
        <v/>
      </c>
      <c r="O506" s="8" t="str">
        <f>IF(TRIM(Classification!$G506)="","NOT CONFIDENTIAL",TRIM(Classification!$G506))</f>
        <v>NOT CONFIDENTIAL</v>
      </c>
      <c r="P506" s="7" t="str">
        <f t="shared" si="63"/>
        <v>Y</v>
      </c>
      <c r="Q506" s="7" t="s">
        <v>826</v>
      </c>
      <c r="R506" s="9">
        <v>2958465</v>
      </c>
      <c r="S506" s="7" t="s">
        <v>827</v>
      </c>
      <c r="T506" s="7" t="s">
        <v>828</v>
      </c>
      <c r="U506" s="7" t="str">
        <f t="shared" si="65"/>
        <v>CLK_DETM_DETIS_DHDS_V</v>
      </c>
      <c r="V506" s="7" t="s">
        <v>829</v>
      </c>
    </row>
    <row r="507" spans="1:22">
      <c r="A507" s="7" t="str">
        <f>TRIM(ETLMetadata!$B507)</f>
        <v>CLK</v>
      </c>
      <c r="B507" s="7" t="str">
        <f>TRIM(ETLMetadata!$C507)</f>
        <v>DETM_DETIS_DHDS</v>
      </c>
      <c r="C507" s="7" t="str">
        <f>TRIM(ETLMetadata!$F507)</f>
        <v>DHDS_UNIQ_ID</v>
      </c>
      <c r="D507" s="7" t="str">
        <f>TRIM(ETLMetadata!$H507)</f>
        <v>StringType()</v>
      </c>
      <c r="E507" s="7" t="str">
        <f t="shared" si="64"/>
        <v>CLK_DETM_DETIS_DHDS</v>
      </c>
      <c r="F507" s="7" t="str">
        <f t="shared" si="58"/>
        <v>DHDS_UNIQ_ID</v>
      </c>
      <c r="G507" s="7" t="s">
        <v>825</v>
      </c>
      <c r="H507" s="7" t="str">
        <f t="shared" si="59"/>
        <v>CLK_DETM_DETIS_DHDS</v>
      </c>
      <c r="I507" s="7" t="str">
        <f t="shared" si="60"/>
        <v>DHDS_UNIQ_ID</v>
      </c>
      <c r="J507" s="7" t="str">
        <f t="shared" si="61"/>
        <v>VARCHAR</v>
      </c>
      <c r="K507" s="7" t="str">
        <f>TRIM(ETLMetadata!$G507)</f>
        <v>VARCHAR(8)</v>
      </c>
      <c r="L507" s="7" t="str">
        <f>TRIM(ETLMetadata!$I507)</f>
        <v/>
      </c>
      <c r="M507" s="7" t="str">
        <f t="shared" si="62"/>
        <v>NULLIF(TRIM(DHDS_UNIQ_ID),'')</v>
      </c>
      <c r="N507" s="7" t="str">
        <f>TRIM(ETLMetadata!$J507)</f>
        <v/>
      </c>
      <c r="O507" s="8" t="str">
        <f>IF(TRIM(Classification!$G507)="","NOT CONFIDENTIAL",TRIM(Classification!$G507))</f>
        <v>NOT CONFIDENTIAL</v>
      </c>
      <c r="P507" s="7" t="str">
        <f t="shared" si="63"/>
        <v>Y</v>
      </c>
      <c r="Q507" s="7" t="s">
        <v>826</v>
      </c>
      <c r="R507" s="9">
        <v>2958465</v>
      </c>
      <c r="S507" s="7" t="s">
        <v>827</v>
      </c>
      <c r="T507" s="7" t="s">
        <v>828</v>
      </c>
      <c r="U507" s="7" t="str">
        <f t="shared" si="65"/>
        <v>CLK_DETM_DETIS_DHDS_V</v>
      </c>
      <c r="V507" s="7" t="s">
        <v>829</v>
      </c>
    </row>
    <row r="508" spans="1:22">
      <c r="A508" s="7" t="str">
        <f>TRIM(ETLMetadata!$B508)</f>
        <v>CLK</v>
      </c>
      <c r="B508" s="7" t="str">
        <f>TRIM(ETLMetadata!$C508)</f>
        <v>DETM_DETIS_DHDS</v>
      </c>
      <c r="C508" s="7" t="str">
        <f>TRIM(ETLMetadata!$F508)</f>
        <v>AMR1_RISL_DTS</v>
      </c>
      <c r="D508" s="7" t="str">
        <f>TRIM(ETLMetadata!$H508)</f>
        <v>StringType()</v>
      </c>
      <c r="E508" s="7" t="str">
        <f t="shared" si="64"/>
        <v>CLK_DETM_DETIS_DHDS</v>
      </c>
      <c r="F508" s="7" t="str">
        <f t="shared" si="58"/>
        <v>AMR1_RISL_DTS</v>
      </c>
      <c r="G508" s="7" t="s">
        <v>825</v>
      </c>
      <c r="H508" s="7" t="str">
        <f t="shared" si="59"/>
        <v>CLK_DETM_DETIS_DHDS</v>
      </c>
      <c r="I508" s="7" t="str">
        <f t="shared" si="60"/>
        <v>AMR1_RISL_DTS</v>
      </c>
      <c r="J508" s="7" t="str">
        <f t="shared" si="61"/>
        <v>TIMESTAMP</v>
      </c>
      <c r="K508" s="7" t="str">
        <f>TRIM(ETLMetadata!$G508)</f>
        <v>TIMESTAMP(6)</v>
      </c>
      <c r="L508" s="7" t="str">
        <f>TRIM(ETLMetadata!$I508)</f>
        <v>YYYY-MM-DDBHH:MI:SS.S(6)</v>
      </c>
      <c r="M508" s="7" t="str">
        <f t="shared" si="62"/>
        <v>TO_TIMESTAMP_NTZ(NULLIF(TRIM(AMR1_RISL_DTS),''),'YYYY-MM-DD HH24:MI:SS.FF6')</v>
      </c>
      <c r="N508" s="7" t="str">
        <f>TRIM(ETLMetadata!$J508)</f>
        <v/>
      </c>
      <c r="O508" s="8" t="str">
        <f>IF(TRIM(Classification!$G508)="","NOT CONFIDENTIAL",TRIM(Classification!$G508))</f>
        <v>NOT CONFIDENTIAL</v>
      </c>
      <c r="P508" s="7" t="str">
        <f t="shared" si="63"/>
        <v>Y</v>
      </c>
      <c r="Q508" s="7" t="s">
        <v>826</v>
      </c>
      <c r="R508" s="9">
        <v>2958465</v>
      </c>
      <c r="S508" s="7" t="s">
        <v>827</v>
      </c>
      <c r="T508" s="7" t="s">
        <v>828</v>
      </c>
      <c r="U508" s="7" t="str">
        <f t="shared" si="65"/>
        <v>CLK_DETM_DETIS_DHDS_V</v>
      </c>
      <c r="V508" s="7" t="s">
        <v>829</v>
      </c>
    </row>
    <row r="509" spans="1:22">
      <c r="A509" s="7" t="str">
        <f>TRIM(ETLMetadata!$B509)</f>
        <v>CLK</v>
      </c>
      <c r="B509" s="7" t="str">
        <f>TRIM(ETLMetadata!$C509)</f>
        <v>DETM_DETIS_DHDS</v>
      </c>
      <c r="C509" s="7" t="str">
        <f>TRIM(ETLMetadata!$F509)</f>
        <v>AMR3_RISL_DTS</v>
      </c>
      <c r="D509" s="7" t="str">
        <f>TRIM(ETLMetadata!$H509)</f>
        <v>StringType()</v>
      </c>
      <c r="E509" s="7" t="str">
        <f t="shared" si="64"/>
        <v>CLK_DETM_DETIS_DHDS</v>
      </c>
      <c r="F509" s="7" t="str">
        <f t="shared" si="58"/>
        <v>AMR3_RISL_DTS</v>
      </c>
      <c r="G509" s="7" t="s">
        <v>825</v>
      </c>
      <c r="H509" s="7" t="str">
        <f t="shared" si="59"/>
        <v>CLK_DETM_DETIS_DHDS</v>
      </c>
      <c r="I509" s="7" t="str">
        <f t="shared" si="60"/>
        <v>AMR3_RISL_DTS</v>
      </c>
      <c r="J509" s="7" t="str">
        <f t="shared" si="61"/>
        <v>TIMESTAMP</v>
      </c>
      <c r="K509" s="7" t="str">
        <f>TRIM(ETLMetadata!$G509)</f>
        <v>TIMESTAMP(6)</v>
      </c>
      <c r="L509" s="7" t="str">
        <f>TRIM(ETLMetadata!$I509)</f>
        <v>YYYY-MM-DDBHH:MI:SS.S(6)</v>
      </c>
      <c r="M509" s="7" t="str">
        <f t="shared" si="62"/>
        <v>TO_TIMESTAMP_NTZ(NULLIF(TRIM(AMR3_RISL_DTS),''),'YYYY-MM-DD HH24:MI:SS.FF6')</v>
      </c>
      <c r="N509" s="7" t="str">
        <f>TRIM(ETLMetadata!$J509)</f>
        <v/>
      </c>
      <c r="O509" s="8" t="str">
        <f>IF(TRIM(Classification!$G509)="","NOT CONFIDENTIAL",TRIM(Classification!$G509))</f>
        <v>NOT CONFIDENTIAL</v>
      </c>
      <c r="P509" s="7" t="str">
        <f t="shared" si="63"/>
        <v>Y</v>
      </c>
      <c r="Q509" s="7" t="s">
        <v>826</v>
      </c>
      <c r="R509" s="9">
        <v>2958465</v>
      </c>
      <c r="S509" s="7" t="s">
        <v>827</v>
      </c>
      <c r="T509" s="7" t="s">
        <v>828</v>
      </c>
      <c r="U509" s="7" t="str">
        <f t="shared" si="65"/>
        <v>CLK_DETM_DETIS_DHDS_V</v>
      </c>
      <c r="V509" s="7" t="s">
        <v>829</v>
      </c>
    </row>
    <row r="510" spans="1:22">
      <c r="A510" s="7" t="str">
        <f>TRIM(ETLMetadata!$B510)</f>
        <v>CLK</v>
      </c>
      <c r="B510" s="7" t="str">
        <f>TRIM(ETLMetadata!$C510)</f>
        <v>DETM_DETIS_DHDS</v>
      </c>
      <c r="C510" s="7" t="str">
        <f>TRIM(ETLMetadata!$F510)</f>
        <v>EPISODE_ID</v>
      </c>
      <c r="D510" s="7" t="str">
        <f>TRIM(ETLMetadata!$H510)</f>
        <v>StringType()</v>
      </c>
      <c r="E510" s="7" t="str">
        <f t="shared" si="64"/>
        <v>CLK_DETM_DETIS_DHDS</v>
      </c>
      <c r="F510" s="7" t="str">
        <f t="shared" si="58"/>
        <v>EPISODE_ID</v>
      </c>
      <c r="G510" s="7" t="s">
        <v>825</v>
      </c>
      <c r="H510" s="7" t="str">
        <f t="shared" si="59"/>
        <v>CLK_DETM_DETIS_DHDS</v>
      </c>
      <c r="I510" s="7" t="str">
        <f t="shared" si="60"/>
        <v>EPISODE_ID</v>
      </c>
      <c r="J510" s="7" t="str">
        <f t="shared" si="61"/>
        <v>INTEGER</v>
      </c>
      <c r="K510" s="7" t="str">
        <f>TRIM(ETLMetadata!$G510)</f>
        <v>INTEGER</v>
      </c>
      <c r="L510" s="7" t="str">
        <f>TRIM(ETLMetadata!$I510)</f>
        <v/>
      </c>
      <c r="M510" s="7" t="str">
        <f t="shared" si="62"/>
        <v>CAST(NULLIF(TRIM(EPISODE_ID),'') AS INTEGER)</v>
      </c>
      <c r="N510" s="7" t="str">
        <f>TRIM(ETLMetadata!$J510)</f>
        <v/>
      </c>
      <c r="O510" s="8" t="str">
        <f>IF(TRIM(Classification!$G510)="","NOT CONFIDENTIAL",TRIM(Classification!$G510))</f>
        <v>NOT CONFIDENTIAL</v>
      </c>
      <c r="P510" s="7" t="str">
        <f t="shared" si="63"/>
        <v>Y</v>
      </c>
      <c r="Q510" s="7" t="s">
        <v>826</v>
      </c>
      <c r="R510" s="9">
        <v>2958465</v>
      </c>
      <c r="S510" s="7" t="s">
        <v>827</v>
      </c>
      <c r="T510" s="7" t="s">
        <v>828</v>
      </c>
      <c r="U510" s="7" t="str">
        <f t="shared" si="65"/>
        <v>CLK_DETM_DETIS_DHDS_V</v>
      </c>
      <c r="V510" s="7" t="s">
        <v>829</v>
      </c>
    </row>
    <row r="511" spans="1:22">
      <c r="A511" s="7" t="str">
        <f>TRIM(ETLMetadata!$B511)</f>
        <v>CLK</v>
      </c>
      <c r="B511" s="7" t="str">
        <f>TRIM(ETLMetadata!$C511)</f>
        <v>DETM_DETIS_DHDS</v>
      </c>
      <c r="C511" s="7" t="str">
        <f>TRIM(ETLMetadata!$F511)</f>
        <v>PARTY_ROLE_ID</v>
      </c>
      <c r="D511" s="7" t="str">
        <f>TRIM(ETLMetadata!$H511)</f>
        <v>StringType()</v>
      </c>
      <c r="E511" s="7" t="str">
        <f t="shared" si="64"/>
        <v>CLK_DETM_DETIS_DHDS</v>
      </c>
      <c r="F511" s="7" t="str">
        <f t="shared" si="58"/>
        <v>PARTY_ROLE_ID</v>
      </c>
      <c r="G511" s="7" t="s">
        <v>825</v>
      </c>
      <c r="H511" s="7" t="str">
        <f t="shared" si="59"/>
        <v>CLK_DETM_DETIS_DHDS</v>
      </c>
      <c r="I511" s="7" t="str">
        <f t="shared" si="60"/>
        <v>PARTY_ROLE_ID</v>
      </c>
      <c r="J511" s="7" t="str">
        <f t="shared" si="61"/>
        <v>INTEGER</v>
      </c>
      <c r="K511" s="7" t="str">
        <f>TRIM(ETLMetadata!$G511)</f>
        <v>INTEGER</v>
      </c>
      <c r="L511" s="7" t="str">
        <f>TRIM(ETLMetadata!$I511)</f>
        <v/>
      </c>
      <c r="M511" s="7" t="str">
        <f t="shared" si="62"/>
        <v>CAST(NULLIF(TRIM(PARTY_ROLE_ID),'') AS INTEGER)</v>
      </c>
      <c r="N511" s="7" t="str">
        <f>TRIM(ETLMetadata!$J511)</f>
        <v/>
      </c>
      <c r="O511" s="8" t="str">
        <f>IF(TRIM(Classification!$G511)="","NOT CONFIDENTIAL",TRIM(Classification!$G511))</f>
        <v>NOT CONFIDENTIAL</v>
      </c>
      <c r="P511" s="7" t="str">
        <f t="shared" si="63"/>
        <v>Y</v>
      </c>
      <c r="Q511" s="7" t="s">
        <v>826</v>
      </c>
      <c r="R511" s="9">
        <v>2958465</v>
      </c>
      <c r="S511" s="7" t="s">
        <v>827</v>
      </c>
      <c r="T511" s="7" t="s">
        <v>828</v>
      </c>
      <c r="U511" s="7" t="str">
        <f t="shared" si="65"/>
        <v>CLK_DETM_DETIS_DHDS_V</v>
      </c>
      <c r="V511" s="7" t="s">
        <v>829</v>
      </c>
    </row>
    <row r="512" spans="1:22">
      <c r="A512" s="7" t="str">
        <f>TRIM(ETLMetadata!$B512)</f>
        <v>CLK</v>
      </c>
      <c r="B512" s="7" t="str">
        <f>TRIM(ETLMetadata!$C512)</f>
        <v>DETM_DETIS_DHDS</v>
      </c>
      <c r="C512" s="7" t="str">
        <f>TRIM(ETLMetadata!$F512)</f>
        <v>PAYMENT_TYPE_ID</v>
      </c>
      <c r="D512" s="7" t="str">
        <f>TRIM(ETLMetadata!$H512)</f>
        <v>StringType()</v>
      </c>
      <c r="E512" s="7" t="str">
        <f t="shared" si="64"/>
        <v>CLK_DETM_DETIS_DHDS</v>
      </c>
      <c r="F512" s="7" t="str">
        <f t="shared" si="58"/>
        <v>PAYMENT_TYPE_ID</v>
      </c>
      <c r="G512" s="7" t="s">
        <v>825</v>
      </c>
      <c r="H512" s="7" t="str">
        <f t="shared" si="59"/>
        <v>CLK_DETM_DETIS_DHDS</v>
      </c>
      <c r="I512" s="7" t="str">
        <f t="shared" si="60"/>
        <v>PAYMENT_TYPE_ID</v>
      </c>
      <c r="J512" s="7" t="str">
        <f t="shared" si="61"/>
        <v>INTEGER</v>
      </c>
      <c r="K512" s="7" t="str">
        <f>TRIM(ETLMetadata!$G512)</f>
        <v>INTEGER</v>
      </c>
      <c r="L512" s="7" t="str">
        <f>TRIM(ETLMetadata!$I512)</f>
        <v/>
      </c>
      <c r="M512" s="7" t="str">
        <f t="shared" si="62"/>
        <v>CAST(NULLIF(TRIM(PAYMENT_TYPE_ID),'') AS INTEGER)</v>
      </c>
      <c r="N512" s="7" t="str">
        <f>TRIM(ETLMetadata!$J512)</f>
        <v/>
      </c>
      <c r="O512" s="8" t="str">
        <f>IF(TRIM(Classification!$G512)="","NOT CONFIDENTIAL",TRIM(Classification!$G512))</f>
        <v>NOT CONFIDENTIAL</v>
      </c>
      <c r="P512" s="7" t="str">
        <f t="shared" si="63"/>
        <v>Y</v>
      </c>
      <c r="Q512" s="7" t="s">
        <v>826</v>
      </c>
      <c r="R512" s="9">
        <v>2958465</v>
      </c>
      <c r="S512" s="7" t="s">
        <v>827</v>
      </c>
      <c r="T512" s="7" t="s">
        <v>828</v>
      </c>
      <c r="U512" s="7" t="str">
        <f t="shared" si="65"/>
        <v>CLK_DETM_DETIS_DHDS_V</v>
      </c>
      <c r="V512" s="7" t="s">
        <v>829</v>
      </c>
    </row>
    <row r="513" spans="1:22">
      <c r="A513" s="7" t="str">
        <f>TRIM(ETLMetadata!$B513)</f>
        <v>CLK</v>
      </c>
      <c r="B513" s="7" t="str">
        <f>TRIM(ETLMetadata!$C513)</f>
        <v>DETM_DETIS_DHDS</v>
      </c>
      <c r="C513" s="7" t="str">
        <f>TRIM(ETLMetadata!$F513)</f>
        <v>ERROR_COUNT</v>
      </c>
      <c r="D513" s="7" t="str">
        <f>TRIM(ETLMetadata!$H513)</f>
        <v>StringType()</v>
      </c>
      <c r="E513" s="7" t="str">
        <f t="shared" si="64"/>
        <v>CLK_DETM_DETIS_DHDS</v>
      </c>
      <c r="F513" s="7" t="str">
        <f t="shared" si="58"/>
        <v>ERROR_COUNT</v>
      </c>
      <c r="G513" s="7" t="s">
        <v>825</v>
      </c>
      <c r="H513" s="7" t="str">
        <f t="shared" si="59"/>
        <v>CLK_DETM_DETIS_DHDS</v>
      </c>
      <c r="I513" s="7" t="str">
        <f t="shared" si="60"/>
        <v>ERROR_COUNT</v>
      </c>
      <c r="J513" s="7" t="str">
        <f t="shared" si="61"/>
        <v>SMALLINT</v>
      </c>
      <c r="K513" s="7" t="str">
        <f>TRIM(ETLMetadata!$G513)</f>
        <v>SMALLINT</v>
      </c>
      <c r="L513" s="7" t="str">
        <f>TRIM(ETLMetadata!$I513)</f>
        <v/>
      </c>
      <c r="M513" s="7" t="str">
        <f t="shared" si="62"/>
        <v>CAST(NULLIF(TRIM(ERROR_COUNT),'') AS SMALLINT)</v>
      </c>
      <c r="N513" s="7" t="str">
        <f>TRIM(ETLMetadata!$J513)</f>
        <v/>
      </c>
      <c r="O513" s="8" t="str">
        <f>IF(TRIM(Classification!$G513)="","NOT CONFIDENTIAL",TRIM(Classification!$G513))</f>
        <v>NOT CONFIDENTIAL</v>
      </c>
      <c r="P513" s="7" t="str">
        <f t="shared" si="63"/>
        <v>Y</v>
      </c>
      <c r="Q513" s="7" t="s">
        <v>826</v>
      </c>
      <c r="R513" s="9">
        <v>2958465</v>
      </c>
      <c r="S513" s="7" t="s">
        <v>827</v>
      </c>
      <c r="T513" s="7" t="s">
        <v>828</v>
      </c>
      <c r="U513" s="7" t="str">
        <f t="shared" si="65"/>
        <v>CLK_DETM_DETIS_DHDS_V</v>
      </c>
      <c r="V513" s="7" t="s">
        <v>829</v>
      </c>
    </row>
    <row r="514" spans="1:22">
      <c r="A514" s="7" t="str">
        <f>TRIM(ETLMetadata!$B514)</f>
        <v>CLK</v>
      </c>
      <c r="B514" s="7" t="str">
        <f>TRIM(ETLMetadata!$C514)</f>
        <v>DETM_DETIS_DHDS</v>
      </c>
      <c r="C514" s="7" t="str">
        <f>TRIM(ETLMetadata!$F514)</f>
        <v>Start_Date</v>
      </c>
      <c r="D514" s="7" t="str">
        <f>TRIM(ETLMetadata!$H514)</f>
        <v>StringType()</v>
      </c>
      <c r="E514" s="7" t="str">
        <f t="shared" si="64"/>
        <v>CLK_DETM_DETIS_DHDS</v>
      </c>
      <c r="F514" s="7" t="str">
        <f t="shared" si="58"/>
        <v>STRT_DT</v>
      </c>
      <c r="G514" s="7" t="s">
        <v>825</v>
      </c>
      <c r="H514" s="7" t="str">
        <f t="shared" si="59"/>
        <v>CLK_DETM_DETIS_DHDS</v>
      </c>
      <c r="I514" s="7" t="str">
        <f t="shared" si="60"/>
        <v>STRT_DT</v>
      </c>
      <c r="J514" s="7" t="str">
        <f t="shared" si="61"/>
        <v>DATE</v>
      </c>
      <c r="K514" s="7" t="str">
        <f>TRIM(ETLMetadata!$G514)</f>
        <v>DATE</v>
      </c>
      <c r="L514" s="7" t="str">
        <f>TRIM(ETLMetadata!$I514)</f>
        <v>YYYY-MM-DD</v>
      </c>
      <c r="M514" s="7" t="str">
        <f t="shared" si="62"/>
        <v>TO_DATE(NULLIF(TRIM(STRT_DT),'') , 'YYYY-MM-DD')</v>
      </c>
      <c r="N514" s="7" t="str">
        <f>TRIM(ETLMetadata!$J514)</f>
        <v/>
      </c>
      <c r="O514" s="8" t="str">
        <f>IF(TRIM(Classification!$G514)="","NOT CONFIDENTIAL",TRIM(Classification!$G514))</f>
        <v>NOT CONFIDENTIAL</v>
      </c>
      <c r="P514" s="7" t="str">
        <f t="shared" si="63"/>
        <v>N</v>
      </c>
      <c r="Q514" s="7" t="s">
        <v>826</v>
      </c>
      <c r="R514" s="9">
        <v>2958465</v>
      </c>
      <c r="S514" s="7" t="s">
        <v>827</v>
      </c>
      <c r="T514" s="7" t="s">
        <v>828</v>
      </c>
      <c r="U514" s="7" t="str">
        <f t="shared" si="65"/>
        <v>CLK_DETM_DETIS_DHDS_V</v>
      </c>
      <c r="V514" s="7" t="s">
        <v>829</v>
      </c>
    </row>
    <row r="515" spans="1:22">
      <c r="A515" s="7" t="str">
        <f>TRIM(ETLMetadata!$B515)</f>
        <v>CLK</v>
      </c>
      <c r="B515" s="7" t="str">
        <f>TRIM(ETLMetadata!$C515)</f>
        <v>DETM_DETIS_DHDS</v>
      </c>
      <c r="C515" s="7" t="str">
        <f>TRIM(ETLMetadata!$F515)</f>
        <v>End_Date</v>
      </c>
      <c r="D515" s="7" t="str">
        <f>TRIM(ETLMetadata!$H515)</f>
        <v>StringType()</v>
      </c>
      <c r="E515" s="7" t="str">
        <f t="shared" si="64"/>
        <v>CLK_DETM_DETIS_DHDS</v>
      </c>
      <c r="F515" s="7" t="str">
        <f t="shared" ref="F515:F578" si="66">IF($C515="Start_Date","STRT_DT",
 IF($C515="End_Date","END_DT",
 IF($C515="Record_Deleted_Flag","RCRD_DEL_IND",
 IF($C515="IsDeleted","RCRD_DEL_IND",
 $C515
))))</f>
        <v>END_DT</v>
      </c>
      <c r="G515" s="7" t="s">
        <v>825</v>
      </c>
      <c r="H515" s="7" t="str">
        <f t="shared" ref="H515:H578" si="67">CONCATENATE($A515,"_",$B515)</f>
        <v>CLK_DETM_DETIS_DHDS</v>
      </c>
      <c r="I515" s="7" t="str">
        <f t="shared" ref="I515:I578" si="68">IF($C515="Start_Date","STRT_DT",
 IF($C515="End_Date","END_DT",
 IF($C515="Record_Deleted_Flag","RCRD_DEL_IND",
 IF($C515="IsDeleted","RCRD_DEL_IND",
 $C515
))))</f>
        <v>END_DT</v>
      </c>
      <c r="J515" s="7" t="str">
        <f t="shared" ref="J515:J578" si="69">IF(LEFT(TRIM($K515),7)="VARCHAR","VARCHAR",
 IF(LEFT(TRIM($K515),4)="CHAR","VARCHAR",
 IF(TRIM($K515)="TIMESTAMP(6)","TIMESTAMP",
 IF(TRIM($K515)="DATE","DATE",
 IF(TRIM($K515)="BYTEINT","SMALLINT",
 IF(TRIM($K515)="SMALLINT","SMALLINT",
 IF(TRIM($K515)="INTEGER","INTEGER",
 IF(TRIM($K515)="BIGINT","INTEGER",
 IF(LEFT(TRIM($K515),7)="DECIMAL",TRIM($K515),
 IF(TRIM($K515)="BOOLEAN","BOOLEAN",
 IF(TRIM($K515)="DOUBLE","DOUBLE",
 IF(TRIM($K515)="FLOAT","FLOAT",
 IF(TRIM($K515)="REAL","REAL",
 IF(LEFT(TRIM($K515),6)="STRUCT","VARIANT",
 IF(LEFT(TRIM($K515),5)="ARRAY","VARIANT",
 IF(LEFT(TRIM($K515),3)="MAP","VARIANT",
 IF(LEFT(TRIM($K515),3)="ROW","VARIANT",
 "NONE"
)))))))))))))))))</f>
        <v>DATE</v>
      </c>
      <c r="K515" s="7" t="str">
        <f>TRIM(ETLMetadata!$G515)</f>
        <v>DATE</v>
      </c>
      <c r="L515" s="7" t="str">
        <f>TRIM(ETLMetadata!$I515)</f>
        <v>YYYY-MM-DD</v>
      </c>
      <c r="M515" s="7" t="str">
        <f t="shared" ref="M515:M578" si="70">IF(LEFT($K515,7)="VARCHAR","NULLIF(TRIM("&amp;$I515&amp;"),'')",
 IF(LEFT($K515,4)="CHAR","NULLIF(TRIM("&amp;$I515&amp;"),'')",
 IF(LEFT($K515,7)="DECIMAL","CAST(NULLIF(TRIM("&amp;$I515&amp;"),'') AS "&amp;$K515&amp;")",
 IF($K515="TIMESTAMP(6)","TO_TIMESTAMP_NTZ(NULLIF(TRIM("&amp;$I515&amp;"),''),'YYYY-MM-DD HH24:MI:SS.FF6')",
 IF($K515="DATE","TO_DATE(NULLIF(TRIM("&amp;$I515&amp;"),'') , 'YYYY-MM-DD')",
 IF($K515="BIGINT","CAST(NULLIF(TRIM("&amp;I515&amp;"),'') AS INTEGER)",
 IF($K515="BYTEINT","CAST(NULLIF(TRIM("&amp;I515&amp;"),'') AS SMALLINT)",
 IF($K515="SMALLINT","CAST(NULLIF(TRIM("&amp;I515&amp;"),'') AS SMALLINT)",
 IF($K515="INTEGER","CAST(NULLIF(TRIM("&amp;I515&amp;"),'') AS INTEGER)",
 IF($K515="BOOLEAN","CAST(NULLIF(TRIM("&amp;I515&amp;"),'') AS BOOLEAN)",
 IF($K515="DOUBLE","CAST(NULLIF(TRIM("&amp;I515&amp;"),'') AS DOUBLE)",
 IF($K515="FLOAT","CAST(NULLIF(TRIM("&amp;I515&amp;"),'') AS FLOAT)",
 IF($K515="REAL","CAST(NULLIF(TRIM("&amp;I515&amp;"),'') AS REAL)",
 IF(OR($K515="STRUCT",$K515="ARRAY",$K515="MAP",$K515="ROW"),"CAST(NULLIF(TRIM("&amp;I515&amp;"),'') AS VARIANT)",
 "NONE"
))))))))))))))</f>
        <v>TO_DATE(NULLIF(TRIM(END_DT),'') , 'YYYY-MM-DD')</v>
      </c>
      <c r="N515" s="7" t="str">
        <f>TRIM(ETLMetadata!$J515)</f>
        <v/>
      </c>
      <c r="O515" s="8" t="str">
        <f>IF(TRIM(Classification!$G515)="","NOT CONFIDENTIAL",TRIM(Classification!$G515))</f>
        <v>NOT CONFIDENTIAL</v>
      </c>
      <c r="P515" s="7" t="str">
        <f t="shared" ref="P515:P578" si="71">IF($C515="Start_Date","N",
 IF($C515="End_Date","N",
 IF($C515="Record_Deleted_Flag","N",
 IF($C515="IsDeleted","N",
 "Y"
))))</f>
        <v>N</v>
      </c>
      <c r="Q515" s="7" t="s">
        <v>826</v>
      </c>
      <c r="R515" s="9">
        <v>2958465</v>
      </c>
      <c r="S515" s="7" t="s">
        <v>827</v>
      </c>
      <c r="T515" s="7" t="s">
        <v>828</v>
      </c>
      <c r="U515" s="7" t="str">
        <f t="shared" si="65"/>
        <v>CLK_DETM_DETIS_DHDS_V</v>
      </c>
      <c r="V515" s="7" t="s">
        <v>829</v>
      </c>
    </row>
    <row r="516" spans="1:22">
      <c r="A516" s="7" t="str">
        <f>TRIM(ETLMetadata!$B516)</f>
        <v>CLK</v>
      </c>
      <c r="B516" s="7" t="str">
        <f>TRIM(ETLMetadata!$C516)</f>
        <v>DETM_DETIS_DHDS</v>
      </c>
      <c r="C516" s="7" t="str">
        <f>TRIM(ETLMetadata!$F516)</f>
        <v>Record_Deleted_Flag</v>
      </c>
      <c r="D516" s="7" t="str">
        <f>TRIM(ETLMetadata!$H516)</f>
        <v>StringType()</v>
      </c>
      <c r="E516" s="7" t="str">
        <f t="shared" si="64"/>
        <v>CLK_DETM_DETIS_DHDS</v>
      </c>
      <c r="F516" s="7" t="str">
        <f t="shared" si="66"/>
        <v>RCRD_DEL_IND</v>
      </c>
      <c r="G516" s="7" t="s">
        <v>825</v>
      </c>
      <c r="H516" s="7" t="str">
        <f t="shared" si="67"/>
        <v>CLK_DETM_DETIS_DHDS</v>
      </c>
      <c r="I516" s="7" t="str">
        <f t="shared" si="68"/>
        <v>RCRD_DEL_IND</v>
      </c>
      <c r="J516" s="7" t="str">
        <f t="shared" si="69"/>
        <v>SMALLINT</v>
      </c>
      <c r="K516" s="7" t="str">
        <f>TRIM(ETLMetadata!$G516)</f>
        <v>BYTEINT</v>
      </c>
      <c r="L516" s="7" t="str">
        <f>TRIM(ETLMetadata!$I516)</f>
        <v/>
      </c>
      <c r="M516" s="7" t="str">
        <f t="shared" si="70"/>
        <v>CAST(NULLIF(TRIM(RCRD_DEL_IND),'') AS SMALLINT)</v>
      </c>
      <c r="N516" s="7" t="str">
        <f>TRIM(ETLMetadata!$J516)</f>
        <v/>
      </c>
      <c r="O516" s="8" t="str">
        <f>IF(TRIM(Classification!$G516)="","NOT CONFIDENTIAL",TRIM(Classification!$G516))</f>
        <v>NOT CONFIDENTIAL</v>
      </c>
      <c r="P516" s="7" t="str">
        <f t="shared" si="71"/>
        <v>N</v>
      </c>
      <c r="Q516" s="7" t="s">
        <v>826</v>
      </c>
      <c r="R516" s="9">
        <v>2958465</v>
      </c>
      <c r="S516" s="7" t="s">
        <v>827</v>
      </c>
      <c r="T516" s="7" t="s">
        <v>828</v>
      </c>
      <c r="U516" s="7" t="str">
        <f t="shared" si="65"/>
        <v>CLK_DETM_DETIS_DHDS_V</v>
      </c>
      <c r="V516" s="7" t="s">
        <v>829</v>
      </c>
    </row>
    <row r="517" spans="1:22">
      <c r="A517" s="7" t="str">
        <f>TRIM(ETLMetadata!$B517)</f>
        <v>CLK</v>
      </c>
      <c r="B517" s="7" t="str">
        <f>TRIM(ETLMetadata!$C517)</f>
        <v>DETM_DETIS_DPDS</v>
      </c>
      <c r="C517" s="7" t="str">
        <f>TRIM(ETLMetadata!$F517)</f>
        <v>EXTRACT_DATE</v>
      </c>
      <c r="D517" s="7" t="str">
        <f>TRIM(ETLMetadata!$H517)</f>
        <v>StringType()</v>
      </c>
      <c r="E517" s="7" t="str">
        <f t="shared" si="64"/>
        <v>CLK_DETM_DETIS_DPDS</v>
      </c>
      <c r="F517" s="7" t="str">
        <f t="shared" si="66"/>
        <v>EXTRACT_DATE</v>
      </c>
      <c r="G517" s="7" t="s">
        <v>825</v>
      </c>
      <c r="H517" s="7" t="str">
        <f t="shared" si="67"/>
        <v>CLK_DETM_DETIS_DPDS</v>
      </c>
      <c r="I517" s="7" t="str">
        <f t="shared" si="68"/>
        <v>EXTRACT_DATE</v>
      </c>
      <c r="J517" s="7" t="str">
        <f t="shared" si="69"/>
        <v>DATE</v>
      </c>
      <c r="K517" s="7" t="str">
        <f>TRIM(ETLMetadata!$G517)</f>
        <v>DATE</v>
      </c>
      <c r="L517" s="7" t="str">
        <f>TRIM(ETLMetadata!$I517)</f>
        <v>YYYY-MM-DD</v>
      </c>
      <c r="M517" s="7" t="str">
        <f t="shared" si="70"/>
        <v>TO_DATE(NULLIF(TRIM(EXTRACT_DATE),'') , 'YYYY-MM-DD')</v>
      </c>
      <c r="N517" s="7" t="str">
        <f>TRIM(ETLMetadata!$J517)</f>
        <v/>
      </c>
      <c r="O517" s="8" t="str">
        <f>IF(TRIM(Classification!$G517)="","NOT CONFIDENTIAL",TRIM(Classification!$G517))</f>
        <v>NOT CONFIDENTIAL</v>
      </c>
      <c r="P517" s="7" t="str">
        <f t="shared" si="71"/>
        <v>Y</v>
      </c>
      <c r="Q517" s="7" t="s">
        <v>826</v>
      </c>
      <c r="R517" s="9">
        <v>2958465</v>
      </c>
      <c r="S517" s="7" t="s">
        <v>827</v>
      </c>
      <c r="T517" s="7" t="s">
        <v>828</v>
      </c>
      <c r="U517" s="7" t="str">
        <f t="shared" si="65"/>
        <v>CLK_DETM_DETIS_DPDS_V</v>
      </c>
      <c r="V517" s="7" t="s">
        <v>829</v>
      </c>
    </row>
    <row r="518" spans="1:22">
      <c r="A518" s="7" t="str">
        <f>TRIM(ETLMetadata!$B518)</f>
        <v>CLK</v>
      </c>
      <c r="B518" s="7" t="str">
        <f>TRIM(ETLMetadata!$C518)</f>
        <v>DETM_DETIS_DPDS</v>
      </c>
      <c r="C518" s="7" t="str">
        <f>TRIM(ETLMetadata!$F518)</f>
        <v>LOGICAL_DELETE_DATE</v>
      </c>
      <c r="D518" s="7" t="str">
        <f>TRIM(ETLMetadata!$H518)</f>
        <v>StringType()</v>
      </c>
      <c r="E518" s="7" t="str">
        <f t="shared" si="64"/>
        <v>CLK_DETM_DETIS_DPDS</v>
      </c>
      <c r="F518" s="7" t="str">
        <f t="shared" si="66"/>
        <v>LOGICAL_DELETE_DATE</v>
      </c>
      <c r="G518" s="7" t="s">
        <v>825</v>
      </c>
      <c r="H518" s="7" t="str">
        <f t="shared" si="67"/>
        <v>CLK_DETM_DETIS_DPDS</v>
      </c>
      <c r="I518" s="7" t="str">
        <f t="shared" si="68"/>
        <v>LOGICAL_DELETE_DATE</v>
      </c>
      <c r="J518" s="7" t="str">
        <f t="shared" si="69"/>
        <v>DATE</v>
      </c>
      <c r="K518" s="7" t="str">
        <f>TRIM(ETLMetadata!$G518)</f>
        <v>DATE</v>
      </c>
      <c r="L518" s="7" t="str">
        <f>TRIM(ETLMetadata!$I518)</f>
        <v>YYYY-MM-DD</v>
      </c>
      <c r="M518" s="7" t="str">
        <f t="shared" si="70"/>
        <v>TO_DATE(NULLIF(TRIM(LOGICAL_DELETE_DATE),'') , 'YYYY-MM-DD')</v>
      </c>
      <c r="N518" s="7" t="str">
        <f>TRIM(ETLMetadata!$J518)</f>
        <v/>
      </c>
      <c r="O518" s="8" t="str">
        <f>IF(TRIM(Classification!$G518)="","NOT CONFIDENTIAL",TRIM(Classification!$G518))</f>
        <v>NOT CONFIDENTIAL</v>
      </c>
      <c r="P518" s="7" t="str">
        <f t="shared" si="71"/>
        <v>Y</v>
      </c>
      <c r="Q518" s="7" t="s">
        <v>826</v>
      </c>
      <c r="R518" s="9">
        <v>2958465</v>
      </c>
      <c r="S518" s="7" t="s">
        <v>827</v>
      </c>
      <c r="T518" s="7" t="s">
        <v>828</v>
      </c>
      <c r="U518" s="7" t="str">
        <f t="shared" si="65"/>
        <v>CLK_DETM_DETIS_DPDS_V</v>
      </c>
      <c r="V518" s="7" t="s">
        <v>829</v>
      </c>
    </row>
    <row r="519" spans="1:22">
      <c r="A519" s="7" t="str">
        <f>TRIM(ETLMetadata!$B519)</f>
        <v>CLK</v>
      </c>
      <c r="B519" s="7" t="str">
        <f>TRIM(ETLMetadata!$C519)</f>
        <v>DETM_DETIS_DPDS</v>
      </c>
      <c r="C519" s="7" t="str">
        <f>TRIM(ETLMetadata!$F519)</f>
        <v>ENVIRONMENT_ID</v>
      </c>
      <c r="D519" s="7" t="str">
        <f>TRIM(ETLMetadata!$H519)</f>
        <v>StringType()</v>
      </c>
      <c r="E519" s="7" t="str">
        <f t="shared" si="64"/>
        <v>CLK_DETM_DETIS_DPDS</v>
      </c>
      <c r="F519" s="7" t="str">
        <f t="shared" si="66"/>
        <v>ENVIRONMENT_ID</v>
      </c>
      <c r="G519" s="7" t="s">
        <v>825</v>
      </c>
      <c r="H519" s="7" t="str">
        <f t="shared" si="67"/>
        <v>CLK_DETM_DETIS_DPDS</v>
      </c>
      <c r="I519" s="7" t="str">
        <f t="shared" si="68"/>
        <v>ENVIRONMENT_ID</v>
      </c>
      <c r="J519" s="7" t="str">
        <f t="shared" si="69"/>
        <v>VARCHAR</v>
      </c>
      <c r="K519" s="7" t="str">
        <f>TRIM(ETLMetadata!$G519)</f>
        <v>CHAR(1)</v>
      </c>
      <c r="L519" s="7" t="str">
        <f>TRIM(ETLMetadata!$I519)</f>
        <v/>
      </c>
      <c r="M519" s="7" t="str">
        <f t="shared" si="70"/>
        <v>NULLIF(TRIM(ENVIRONMENT_ID),'')</v>
      </c>
      <c r="N519" s="7" t="str">
        <f>TRIM(ETLMetadata!$J519)</f>
        <v>Y</v>
      </c>
      <c r="O519" s="8" t="str">
        <f>IF(TRIM(Classification!$G519)="","NOT CONFIDENTIAL",TRIM(Classification!$G519))</f>
        <v>NOT CONFIDENTIAL</v>
      </c>
      <c r="P519" s="7" t="str">
        <f t="shared" si="71"/>
        <v>Y</v>
      </c>
      <c r="Q519" s="7" t="s">
        <v>826</v>
      </c>
      <c r="R519" s="9">
        <v>2958465</v>
      </c>
      <c r="S519" s="7" t="s">
        <v>827</v>
      </c>
      <c r="T519" s="7" t="s">
        <v>828</v>
      </c>
      <c r="U519" s="7" t="str">
        <f t="shared" si="65"/>
        <v>CLK_DETM_DETIS_DPDS_V</v>
      </c>
      <c r="V519" s="7" t="s">
        <v>829</v>
      </c>
    </row>
    <row r="520" spans="1:22">
      <c r="A520" s="7" t="str">
        <f>TRIM(ETLMetadata!$B520)</f>
        <v>CLK</v>
      </c>
      <c r="B520" s="7" t="str">
        <f>TRIM(ETLMetadata!$C520)</f>
        <v>DETM_DETIS_DPDS</v>
      </c>
      <c r="C520" s="7" t="str">
        <f>TRIM(ETLMetadata!$F520)</f>
        <v>PERSON_ID</v>
      </c>
      <c r="D520" s="7" t="str">
        <f>TRIM(ETLMetadata!$H520)</f>
        <v>StringType()</v>
      </c>
      <c r="E520" s="7" t="str">
        <f t="shared" si="64"/>
        <v>CLK_DETM_DETIS_DPDS</v>
      </c>
      <c r="F520" s="7" t="str">
        <f t="shared" si="66"/>
        <v>PERSON_ID</v>
      </c>
      <c r="G520" s="7" t="s">
        <v>825</v>
      </c>
      <c r="H520" s="7" t="str">
        <f t="shared" si="67"/>
        <v>CLK_DETM_DETIS_DPDS</v>
      </c>
      <c r="I520" s="7" t="str">
        <f t="shared" si="68"/>
        <v>PERSON_ID</v>
      </c>
      <c r="J520" s="7" t="str">
        <f t="shared" si="69"/>
        <v>INTEGER</v>
      </c>
      <c r="K520" s="7" t="str">
        <f>TRIM(ETLMetadata!$G520)</f>
        <v>INTEGER</v>
      </c>
      <c r="L520" s="7" t="str">
        <f>TRIM(ETLMetadata!$I520)</f>
        <v/>
      </c>
      <c r="M520" s="7" t="str">
        <f t="shared" si="70"/>
        <v>CAST(NULLIF(TRIM(PERSON_ID),'') AS INTEGER)</v>
      </c>
      <c r="N520" s="7" t="str">
        <f>TRIM(ETLMetadata!$J520)</f>
        <v>Y</v>
      </c>
      <c r="O520" s="8" t="str">
        <f>IF(TRIM(Classification!$G520)="","NOT CONFIDENTIAL",TRIM(Classification!$G520))</f>
        <v>PERSONAL_IDENTITYINFOINDIRECT</v>
      </c>
      <c r="P520" s="7" t="str">
        <f t="shared" si="71"/>
        <v>Y</v>
      </c>
      <c r="Q520" s="7" t="s">
        <v>826</v>
      </c>
      <c r="R520" s="9">
        <v>2958465</v>
      </c>
      <c r="S520" s="7" t="s">
        <v>827</v>
      </c>
      <c r="T520" s="7" t="s">
        <v>828</v>
      </c>
      <c r="U520" s="7" t="str">
        <f t="shared" si="65"/>
        <v>CLK_DETM_DETIS_DPDS_V</v>
      </c>
      <c r="V520" s="7" t="s">
        <v>829</v>
      </c>
    </row>
    <row r="521" spans="1:22">
      <c r="A521" s="7" t="str">
        <f>TRIM(ETLMetadata!$B521)</f>
        <v>CLK</v>
      </c>
      <c r="B521" s="7" t="str">
        <f>TRIM(ETLMetadata!$C521)</f>
        <v>DETM_DETIS_DPDS</v>
      </c>
      <c r="C521" s="7" t="str">
        <f>TRIM(ETLMetadata!$F521)</f>
        <v>DPDS_DOE</v>
      </c>
      <c r="D521" s="7" t="str">
        <f>TRIM(ETLMetadata!$H521)</f>
        <v>StringType()</v>
      </c>
      <c r="E521" s="7" t="str">
        <f t="shared" si="64"/>
        <v>CLK_DETM_DETIS_DPDS</v>
      </c>
      <c r="F521" s="7" t="str">
        <f t="shared" si="66"/>
        <v>DPDS_DOE</v>
      </c>
      <c r="G521" s="7" t="s">
        <v>825</v>
      </c>
      <c r="H521" s="7" t="str">
        <f t="shared" si="67"/>
        <v>CLK_DETM_DETIS_DPDS</v>
      </c>
      <c r="I521" s="7" t="str">
        <f t="shared" si="68"/>
        <v>DPDS_DOE</v>
      </c>
      <c r="J521" s="7" t="str">
        <f t="shared" si="69"/>
        <v>DATE</v>
      </c>
      <c r="K521" s="17" t="s">
        <v>80</v>
      </c>
      <c r="L521" s="7" t="str">
        <f>TRIM(ETLMetadata!$I521)</f>
        <v>YYYY-MM-DD</v>
      </c>
      <c r="M521" s="7" t="str">
        <f t="shared" si="70"/>
        <v>TO_DATE(NULLIF(TRIM(DPDS_DOE),'') , 'YYYY-MM-DD')</v>
      </c>
      <c r="N521" s="7" t="str">
        <f>TRIM(ETLMetadata!$J521)</f>
        <v/>
      </c>
      <c r="O521" s="8" t="str">
        <f>IF(TRIM(Classification!$G521)="","NOT CONFIDENTIAL",TRIM(Classification!$G521))</f>
        <v>NOT CONFIDENTIAL</v>
      </c>
      <c r="P521" s="7" t="str">
        <f t="shared" si="71"/>
        <v>Y</v>
      </c>
      <c r="Q521" s="7" t="s">
        <v>826</v>
      </c>
      <c r="R521" s="9">
        <v>2958465</v>
      </c>
      <c r="S521" s="7" t="s">
        <v>827</v>
      </c>
      <c r="T521" s="7" t="s">
        <v>828</v>
      </c>
      <c r="U521" s="7" t="str">
        <f t="shared" si="65"/>
        <v>CLK_DETM_DETIS_DPDS_V</v>
      </c>
      <c r="V521" s="7" t="s">
        <v>829</v>
      </c>
    </row>
    <row r="522" spans="1:22">
      <c r="A522" s="7" t="str">
        <f>TRIM(ETLMetadata!$B522)</f>
        <v>CLK</v>
      </c>
      <c r="B522" s="7" t="str">
        <f>TRIM(ETLMetadata!$C522)</f>
        <v>DETM_DETIS_DPDS</v>
      </c>
      <c r="C522" s="7" t="str">
        <f>TRIM(ETLMetadata!$F522)</f>
        <v>DPDS_DOE_ORIG</v>
      </c>
      <c r="D522" s="7" t="str">
        <f>TRIM(ETLMetadata!$H522)</f>
        <v>StringType()</v>
      </c>
      <c r="E522" s="7" t="str">
        <f t="shared" si="64"/>
        <v>CLK_DETM_DETIS_DPDS</v>
      </c>
      <c r="F522" s="7" t="str">
        <f t="shared" si="66"/>
        <v>DPDS_DOE_ORIG</v>
      </c>
      <c r="G522" s="7" t="s">
        <v>825</v>
      </c>
      <c r="H522" s="7" t="str">
        <f t="shared" si="67"/>
        <v>CLK_DETM_DETIS_DPDS</v>
      </c>
      <c r="I522" s="7" t="str">
        <f t="shared" si="68"/>
        <v>DPDS_DOE_ORIG</v>
      </c>
      <c r="J522" s="7" t="str">
        <f t="shared" si="69"/>
        <v>INTEGER</v>
      </c>
      <c r="K522" s="17" t="s">
        <v>90</v>
      </c>
      <c r="L522" s="7" t="str">
        <f>TRIM(ETLMetadata!$I522)</f>
        <v/>
      </c>
      <c r="M522" s="7" t="str">
        <f t="shared" si="70"/>
        <v>CAST(NULLIF(TRIM(DPDS_DOE_ORIG),'') AS INTEGER)</v>
      </c>
      <c r="N522" s="7" t="str">
        <f>TRIM(ETLMetadata!$J522)</f>
        <v/>
      </c>
      <c r="O522" s="8" t="str">
        <f>IF(TRIM(Classification!$G522)="","NOT CONFIDENTIAL",TRIM(Classification!$G522))</f>
        <v>NOT CONFIDENTIAL</v>
      </c>
      <c r="P522" s="7" t="str">
        <f t="shared" si="71"/>
        <v>Y</v>
      </c>
      <c r="Q522" s="7" t="s">
        <v>826</v>
      </c>
      <c r="R522" s="9">
        <v>2958465</v>
      </c>
      <c r="S522" s="7" t="s">
        <v>827</v>
      </c>
      <c r="T522" s="7" t="s">
        <v>828</v>
      </c>
      <c r="U522" s="7" t="str">
        <f t="shared" si="65"/>
        <v>CLK_DETM_DETIS_DPDS_V</v>
      </c>
      <c r="V522" s="7" t="s">
        <v>829</v>
      </c>
    </row>
    <row r="523" spans="1:22">
      <c r="A523" s="7" t="str">
        <f>TRIM(ETLMetadata!$B523)</f>
        <v>CLK</v>
      </c>
      <c r="B523" s="7" t="str">
        <f>TRIM(ETLMetadata!$C523)</f>
        <v>DETM_DETIS_DPDS</v>
      </c>
      <c r="C523" s="7" t="str">
        <f>TRIM(ETLMetadata!$F523)</f>
        <v>PROCESSING_SEQUENCE</v>
      </c>
      <c r="D523" s="7" t="str">
        <f>TRIM(ETLMetadata!$H523)</f>
        <v>StringType()</v>
      </c>
      <c r="E523" s="7" t="str">
        <f t="shared" si="64"/>
        <v>CLK_DETM_DETIS_DPDS</v>
      </c>
      <c r="F523" s="7" t="str">
        <f t="shared" si="66"/>
        <v>PROCESSING_SEQUENCE</v>
      </c>
      <c r="G523" s="7" t="s">
        <v>825</v>
      </c>
      <c r="H523" s="7" t="str">
        <f t="shared" si="67"/>
        <v>CLK_DETM_DETIS_DPDS</v>
      </c>
      <c r="I523" s="7" t="str">
        <f t="shared" si="68"/>
        <v>PROCESSING_SEQUENCE</v>
      </c>
      <c r="J523" s="7" t="str">
        <f t="shared" si="69"/>
        <v>SMALLINT</v>
      </c>
      <c r="K523" s="7" t="str">
        <f>TRIM(ETLMetadata!$G523)</f>
        <v>SMALLINT</v>
      </c>
      <c r="L523" s="7" t="str">
        <f>TRIM(ETLMetadata!$I523)</f>
        <v/>
      </c>
      <c r="M523" s="7" t="str">
        <f t="shared" si="70"/>
        <v>CAST(NULLIF(TRIM(PROCESSING_SEQUENCE),'') AS SMALLINT)</v>
      </c>
      <c r="N523" s="7" t="str">
        <f>TRIM(ETLMetadata!$J523)</f>
        <v>Y</v>
      </c>
      <c r="O523" s="8" t="str">
        <f>IF(TRIM(Classification!$G523)="","NOT CONFIDENTIAL",TRIM(Classification!$G523))</f>
        <v>NOT CONFIDENTIAL</v>
      </c>
      <c r="P523" s="7" t="str">
        <f t="shared" si="71"/>
        <v>Y</v>
      </c>
      <c r="Q523" s="7" t="s">
        <v>826</v>
      </c>
      <c r="R523" s="9">
        <v>2958465</v>
      </c>
      <c r="S523" s="7" t="s">
        <v>827</v>
      </c>
      <c r="T523" s="7" t="s">
        <v>828</v>
      </c>
      <c r="U523" s="7" t="str">
        <f t="shared" si="65"/>
        <v>CLK_DETM_DETIS_DPDS_V</v>
      </c>
      <c r="V523" s="7" t="s">
        <v>829</v>
      </c>
    </row>
    <row r="524" spans="1:22">
      <c r="A524" s="7" t="str">
        <f>TRIM(ETLMetadata!$B524)</f>
        <v>CLK</v>
      </c>
      <c r="B524" s="7" t="str">
        <f>TRIM(ETLMetadata!$C524)</f>
        <v>DETM_DETIS_DPDS</v>
      </c>
      <c r="C524" s="7" t="str">
        <f>TRIM(ETLMetadata!$F524)</f>
        <v>DPDS_AMR_1</v>
      </c>
      <c r="D524" s="7" t="str">
        <f>TRIM(ETLMetadata!$H524)</f>
        <v>StringType()</v>
      </c>
      <c r="E524" s="7" t="str">
        <f t="shared" si="64"/>
        <v>CLK_DETM_DETIS_DPDS</v>
      </c>
      <c r="F524" s="7" t="str">
        <f t="shared" si="66"/>
        <v>DPDS_AMR_1</v>
      </c>
      <c r="G524" s="7" t="s">
        <v>825</v>
      </c>
      <c r="H524" s="7" t="str">
        <f t="shared" si="67"/>
        <v>CLK_DETM_DETIS_DPDS</v>
      </c>
      <c r="I524" s="7" t="str">
        <f t="shared" si="68"/>
        <v>DPDS_AMR_1</v>
      </c>
      <c r="J524" s="7" t="str">
        <f t="shared" si="69"/>
        <v>VARCHAR</v>
      </c>
      <c r="K524" s="7" t="str">
        <f>TRIM(ETLMetadata!$G524)</f>
        <v>CHAR(4)</v>
      </c>
      <c r="L524" s="7" t="str">
        <f>TRIM(ETLMetadata!$I524)</f>
        <v/>
      </c>
      <c r="M524" s="7" t="str">
        <f t="shared" si="70"/>
        <v>NULLIF(TRIM(DPDS_AMR_1),'')</v>
      </c>
      <c r="N524" s="7" t="str">
        <f>TRIM(ETLMetadata!$J524)</f>
        <v/>
      </c>
      <c r="O524" s="8" t="str">
        <f>IF(TRIM(Classification!$G524)="","NOT CONFIDENTIAL",TRIM(Classification!$G524))</f>
        <v>NOT CONFIDENTIAL</v>
      </c>
      <c r="P524" s="7" t="str">
        <f t="shared" si="71"/>
        <v>Y</v>
      </c>
      <c r="Q524" s="7" t="s">
        <v>826</v>
      </c>
      <c r="R524" s="9">
        <v>2958465</v>
      </c>
      <c r="S524" s="7" t="s">
        <v>827</v>
      </c>
      <c r="T524" s="7" t="s">
        <v>828</v>
      </c>
      <c r="U524" s="7" t="str">
        <f t="shared" si="65"/>
        <v>CLK_DETM_DETIS_DPDS_V</v>
      </c>
      <c r="V524" s="7" t="s">
        <v>829</v>
      </c>
    </row>
    <row r="525" spans="1:22">
      <c r="A525" s="7" t="str">
        <f>TRIM(ETLMetadata!$B525)</f>
        <v>CLK</v>
      </c>
      <c r="B525" s="7" t="str">
        <f>TRIM(ETLMetadata!$C525)</f>
        <v>DETM_DETIS_DPDS</v>
      </c>
      <c r="C525" s="7" t="str">
        <f>TRIM(ETLMetadata!$F525)</f>
        <v>DPDS_AMR_2</v>
      </c>
      <c r="D525" s="7" t="str">
        <f>TRIM(ETLMetadata!$H525)</f>
        <v>StringType()</v>
      </c>
      <c r="E525" s="7" t="str">
        <f t="shared" si="64"/>
        <v>CLK_DETM_DETIS_DPDS</v>
      </c>
      <c r="F525" s="7" t="str">
        <f t="shared" si="66"/>
        <v>DPDS_AMR_2</v>
      </c>
      <c r="G525" s="7" t="s">
        <v>825</v>
      </c>
      <c r="H525" s="7" t="str">
        <f t="shared" si="67"/>
        <v>CLK_DETM_DETIS_DPDS</v>
      </c>
      <c r="I525" s="7" t="str">
        <f t="shared" si="68"/>
        <v>DPDS_AMR_2</v>
      </c>
      <c r="J525" s="7" t="str">
        <f t="shared" si="69"/>
        <v>VARCHAR</v>
      </c>
      <c r="K525" s="7" t="str">
        <f>TRIM(ETLMetadata!$G525)</f>
        <v>CHAR(1)</v>
      </c>
      <c r="L525" s="7" t="str">
        <f>TRIM(ETLMetadata!$I525)</f>
        <v/>
      </c>
      <c r="M525" s="7" t="str">
        <f t="shared" si="70"/>
        <v>NULLIF(TRIM(DPDS_AMR_2),'')</v>
      </c>
      <c r="N525" s="7" t="str">
        <f>TRIM(ETLMetadata!$J525)</f>
        <v/>
      </c>
      <c r="O525" s="8" t="str">
        <f>IF(TRIM(Classification!$G525)="","NOT CONFIDENTIAL",TRIM(Classification!$G525))</f>
        <v>NOT CONFIDENTIAL</v>
      </c>
      <c r="P525" s="7" t="str">
        <f t="shared" si="71"/>
        <v>Y</v>
      </c>
      <c r="Q525" s="7" t="s">
        <v>826</v>
      </c>
      <c r="R525" s="9">
        <v>2958465</v>
      </c>
      <c r="S525" s="7" t="s">
        <v>827</v>
      </c>
      <c r="T525" s="7" t="s">
        <v>828</v>
      </c>
      <c r="U525" s="7" t="str">
        <f t="shared" si="65"/>
        <v>CLK_DETM_DETIS_DPDS_V</v>
      </c>
      <c r="V525" s="7" t="s">
        <v>829</v>
      </c>
    </row>
    <row r="526" spans="1:22">
      <c r="A526" s="7" t="str">
        <f>TRIM(ETLMetadata!$B526)</f>
        <v>CLK</v>
      </c>
      <c r="B526" s="7" t="str">
        <f>TRIM(ETLMetadata!$C526)</f>
        <v>DETM_DETIS_DPDS</v>
      </c>
      <c r="C526" s="7" t="str">
        <f>TRIM(ETLMetadata!$F526)</f>
        <v>DPDS_AMR_3</v>
      </c>
      <c r="D526" s="7" t="str">
        <f>TRIM(ETLMetadata!$H526)</f>
        <v>StringType()</v>
      </c>
      <c r="E526" s="7" t="str">
        <f t="shared" si="64"/>
        <v>CLK_DETM_DETIS_DPDS</v>
      </c>
      <c r="F526" s="7" t="str">
        <f t="shared" si="66"/>
        <v>DPDS_AMR_3</v>
      </c>
      <c r="G526" s="7" t="s">
        <v>825</v>
      </c>
      <c r="H526" s="7" t="str">
        <f t="shared" si="67"/>
        <v>CLK_DETM_DETIS_DPDS</v>
      </c>
      <c r="I526" s="7" t="str">
        <f t="shared" si="68"/>
        <v>DPDS_AMR_3</v>
      </c>
      <c r="J526" s="7" t="str">
        <f t="shared" si="69"/>
        <v>VARCHAR</v>
      </c>
      <c r="K526" s="7" t="str">
        <f>TRIM(ETLMetadata!$G526)</f>
        <v>CHAR(4)</v>
      </c>
      <c r="L526" s="7" t="str">
        <f>TRIM(ETLMetadata!$I526)</f>
        <v/>
      </c>
      <c r="M526" s="7" t="str">
        <f t="shared" si="70"/>
        <v>NULLIF(TRIM(DPDS_AMR_3),'')</v>
      </c>
      <c r="N526" s="7" t="str">
        <f>TRIM(ETLMetadata!$J526)</f>
        <v/>
      </c>
      <c r="O526" s="8" t="str">
        <f>IF(TRIM(Classification!$G526)="","NOT CONFIDENTIAL",TRIM(Classification!$G526))</f>
        <v>NOT CONFIDENTIAL</v>
      </c>
      <c r="P526" s="7" t="str">
        <f t="shared" si="71"/>
        <v>Y</v>
      </c>
      <c r="Q526" s="7" t="s">
        <v>826</v>
      </c>
      <c r="R526" s="9">
        <v>2958465</v>
      </c>
      <c r="S526" s="7" t="s">
        <v>827</v>
      </c>
      <c r="T526" s="7" t="s">
        <v>828</v>
      </c>
      <c r="U526" s="7" t="str">
        <f t="shared" si="65"/>
        <v>CLK_DETM_DETIS_DPDS_V</v>
      </c>
      <c r="V526" s="7" t="s">
        <v>829</v>
      </c>
    </row>
    <row r="527" spans="1:22">
      <c r="A527" s="7" t="str">
        <f>TRIM(ETLMetadata!$B527)</f>
        <v>CLK</v>
      </c>
      <c r="B527" s="7" t="str">
        <f>TRIM(ETLMetadata!$C527)</f>
        <v>DETM_DETIS_DPDS</v>
      </c>
      <c r="C527" s="7" t="str">
        <f>TRIM(ETLMetadata!$F527)</f>
        <v>DPDS_BEN_TYPE_CODE</v>
      </c>
      <c r="D527" s="7" t="str">
        <f>TRIM(ETLMetadata!$H527)</f>
        <v>StringType()</v>
      </c>
      <c r="E527" s="7" t="str">
        <f t="shared" si="64"/>
        <v>CLK_DETM_DETIS_DPDS</v>
      </c>
      <c r="F527" s="7" t="str">
        <f t="shared" si="66"/>
        <v>DPDS_BEN_TYPE_CODE</v>
      </c>
      <c r="G527" s="7" t="s">
        <v>825</v>
      </c>
      <c r="H527" s="7" t="str">
        <f t="shared" si="67"/>
        <v>CLK_DETM_DETIS_DPDS</v>
      </c>
      <c r="I527" s="7" t="str">
        <f t="shared" si="68"/>
        <v>DPDS_BEN_TYPE_CODE</v>
      </c>
      <c r="J527" s="7" t="str">
        <f t="shared" si="69"/>
        <v>VARCHAR</v>
      </c>
      <c r="K527" s="7" t="str">
        <f>TRIM(ETLMetadata!$G527)</f>
        <v>CHAR(3)</v>
      </c>
      <c r="L527" s="7" t="str">
        <f>TRIM(ETLMetadata!$I527)</f>
        <v/>
      </c>
      <c r="M527" s="7" t="str">
        <f t="shared" si="70"/>
        <v>NULLIF(TRIM(DPDS_BEN_TYPE_CODE),'')</v>
      </c>
      <c r="N527" s="7" t="str">
        <f>TRIM(ETLMetadata!$J527)</f>
        <v/>
      </c>
      <c r="O527" s="8" t="str">
        <f>IF(TRIM(Classification!$G527)="","NOT CONFIDENTIAL",TRIM(Classification!$G527))</f>
        <v>NOT CONFIDENTIAL</v>
      </c>
      <c r="P527" s="7" t="str">
        <f t="shared" si="71"/>
        <v>Y</v>
      </c>
      <c r="Q527" s="7" t="s">
        <v>826</v>
      </c>
      <c r="R527" s="9">
        <v>2958465</v>
      </c>
      <c r="S527" s="7" t="s">
        <v>827</v>
      </c>
      <c r="T527" s="7" t="s">
        <v>828</v>
      </c>
      <c r="U527" s="7" t="str">
        <f t="shared" si="65"/>
        <v>CLK_DETM_DETIS_DPDS_V</v>
      </c>
      <c r="V527" s="7" t="s">
        <v>829</v>
      </c>
    </row>
    <row r="528" spans="1:22">
      <c r="A528" s="7" t="str">
        <f>TRIM(ETLMetadata!$B528)</f>
        <v>CLK</v>
      </c>
      <c r="B528" s="7" t="str">
        <f>TRIM(ETLMetadata!$C528)</f>
        <v>DETM_DETIS_DPDS</v>
      </c>
      <c r="C528" s="7" t="str">
        <f>TRIM(ETLMetadata!$F528)</f>
        <v>DPDS_STS_CODE</v>
      </c>
      <c r="D528" s="7" t="str">
        <f>TRIM(ETLMetadata!$H528)</f>
        <v>StringType()</v>
      </c>
      <c r="E528" s="7" t="str">
        <f t="shared" si="64"/>
        <v>CLK_DETM_DETIS_DPDS</v>
      </c>
      <c r="F528" s="7" t="str">
        <f t="shared" si="66"/>
        <v>DPDS_STS_CODE</v>
      </c>
      <c r="G528" s="7" t="s">
        <v>825</v>
      </c>
      <c r="H528" s="7" t="str">
        <f t="shared" si="67"/>
        <v>CLK_DETM_DETIS_DPDS</v>
      </c>
      <c r="I528" s="7" t="str">
        <f t="shared" si="68"/>
        <v>DPDS_STS_CODE</v>
      </c>
      <c r="J528" s="7" t="str">
        <f t="shared" si="69"/>
        <v>VARCHAR</v>
      </c>
      <c r="K528" s="7" t="str">
        <f>TRIM(ETLMetadata!$G528)</f>
        <v>CHAR(3)</v>
      </c>
      <c r="L528" s="7" t="str">
        <f>TRIM(ETLMetadata!$I528)</f>
        <v/>
      </c>
      <c r="M528" s="7" t="str">
        <f t="shared" si="70"/>
        <v>NULLIF(TRIM(DPDS_STS_CODE),'')</v>
      </c>
      <c r="N528" s="7" t="str">
        <f>TRIM(ETLMetadata!$J528)</f>
        <v/>
      </c>
      <c r="O528" s="8" t="str">
        <f>IF(TRIM(Classification!$G528)="","NOT CONFIDENTIAL",TRIM(Classification!$G528))</f>
        <v>NOT CONFIDENTIAL</v>
      </c>
      <c r="P528" s="7" t="str">
        <f t="shared" si="71"/>
        <v>Y</v>
      </c>
      <c r="Q528" s="7" t="s">
        <v>826</v>
      </c>
      <c r="R528" s="9">
        <v>2958465</v>
      </c>
      <c r="S528" s="7" t="s">
        <v>827</v>
      </c>
      <c r="T528" s="7" t="s">
        <v>828</v>
      </c>
      <c r="U528" s="7" t="str">
        <f t="shared" si="65"/>
        <v>CLK_DETM_DETIS_DPDS_V</v>
      </c>
      <c r="V528" s="7" t="s">
        <v>829</v>
      </c>
    </row>
    <row r="529" spans="1:22">
      <c r="A529" s="7" t="str">
        <f>TRIM(ETLMetadata!$B529)</f>
        <v>CLK</v>
      </c>
      <c r="B529" s="7" t="str">
        <f>TRIM(ETLMetadata!$C529)</f>
        <v>DETM_DETIS_DPDS</v>
      </c>
      <c r="C529" s="7" t="str">
        <f>TRIM(ETLMetadata!$F529)</f>
        <v>DPDS_RSN_CODE</v>
      </c>
      <c r="D529" s="7" t="str">
        <f>TRIM(ETLMetadata!$H529)</f>
        <v>StringType()</v>
      </c>
      <c r="E529" s="7" t="str">
        <f t="shared" si="64"/>
        <v>CLK_DETM_DETIS_DPDS</v>
      </c>
      <c r="F529" s="7" t="str">
        <f t="shared" si="66"/>
        <v>DPDS_RSN_CODE</v>
      </c>
      <c r="G529" s="7" t="s">
        <v>825</v>
      </c>
      <c r="H529" s="7" t="str">
        <f t="shared" si="67"/>
        <v>CLK_DETM_DETIS_DPDS</v>
      </c>
      <c r="I529" s="7" t="str">
        <f t="shared" si="68"/>
        <v>DPDS_RSN_CODE</v>
      </c>
      <c r="J529" s="7" t="str">
        <f t="shared" si="69"/>
        <v>VARCHAR</v>
      </c>
      <c r="K529" s="7" t="str">
        <f>TRIM(ETLMetadata!$G529)</f>
        <v>CHAR(3)</v>
      </c>
      <c r="L529" s="7" t="str">
        <f>TRIM(ETLMetadata!$I529)</f>
        <v/>
      </c>
      <c r="M529" s="7" t="str">
        <f t="shared" si="70"/>
        <v>NULLIF(TRIM(DPDS_RSN_CODE),'')</v>
      </c>
      <c r="N529" s="7" t="str">
        <f>TRIM(ETLMetadata!$J529)</f>
        <v/>
      </c>
      <c r="O529" s="8" t="str">
        <f>IF(TRIM(Classification!$G529)="","NOT CONFIDENTIAL",TRIM(Classification!$G529))</f>
        <v>NOT CONFIDENTIAL</v>
      </c>
      <c r="P529" s="7" t="str">
        <f t="shared" si="71"/>
        <v>Y</v>
      </c>
      <c r="Q529" s="7" t="s">
        <v>826</v>
      </c>
      <c r="R529" s="9">
        <v>2958465</v>
      </c>
      <c r="S529" s="7" t="s">
        <v>827</v>
      </c>
      <c r="T529" s="7" t="s">
        <v>828</v>
      </c>
      <c r="U529" s="7" t="str">
        <f t="shared" si="65"/>
        <v>CLK_DETM_DETIS_DPDS_V</v>
      </c>
      <c r="V529" s="7" t="s">
        <v>829</v>
      </c>
    </row>
    <row r="530" spans="1:22">
      <c r="A530" s="7" t="str">
        <f>TRIM(ETLMetadata!$B530)</f>
        <v>CLK</v>
      </c>
      <c r="B530" s="7" t="str">
        <f>TRIM(ETLMetadata!$C530)</f>
        <v>DETM_DETIS_DPDS</v>
      </c>
      <c r="C530" s="7" t="str">
        <f>TRIM(ETLMetadata!$F530)</f>
        <v>DPDS_UNIQ_ID</v>
      </c>
      <c r="D530" s="7" t="str">
        <f>TRIM(ETLMetadata!$H530)</f>
        <v>StringType()</v>
      </c>
      <c r="E530" s="7" t="str">
        <f t="shared" si="64"/>
        <v>CLK_DETM_DETIS_DPDS</v>
      </c>
      <c r="F530" s="7" t="str">
        <f t="shared" si="66"/>
        <v>DPDS_UNIQ_ID</v>
      </c>
      <c r="G530" s="7" t="s">
        <v>825</v>
      </c>
      <c r="H530" s="7" t="str">
        <f t="shared" si="67"/>
        <v>CLK_DETM_DETIS_DPDS</v>
      </c>
      <c r="I530" s="7" t="str">
        <f t="shared" si="68"/>
        <v>DPDS_UNIQ_ID</v>
      </c>
      <c r="J530" s="7" t="str">
        <f t="shared" si="69"/>
        <v>VARCHAR</v>
      </c>
      <c r="K530" s="7" t="str">
        <f>TRIM(ETLMetadata!$G530)</f>
        <v>VARCHAR(8)</v>
      </c>
      <c r="L530" s="7" t="str">
        <f>TRIM(ETLMetadata!$I530)</f>
        <v/>
      </c>
      <c r="M530" s="7" t="str">
        <f t="shared" si="70"/>
        <v>NULLIF(TRIM(DPDS_UNIQ_ID),'')</v>
      </c>
      <c r="N530" s="7" t="str">
        <f>TRIM(ETLMetadata!$J530)</f>
        <v/>
      </c>
      <c r="O530" s="8" t="str">
        <f>IF(TRIM(Classification!$G530)="","NOT CONFIDENTIAL",TRIM(Classification!$G530))</f>
        <v>NOT CONFIDENTIAL</v>
      </c>
      <c r="P530" s="7" t="str">
        <f t="shared" si="71"/>
        <v>Y</v>
      </c>
      <c r="Q530" s="7" t="s">
        <v>826</v>
      </c>
      <c r="R530" s="9">
        <v>2958465</v>
      </c>
      <c r="S530" s="7" t="s">
        <v>827</v>
      </c>
      <c r="T530" s="7" t="s">
        <v>828</v>
      </c>
      <c r="U530" s="7" t="str">
        <f t="shared" si="65"/>
        <v>CLK_DETM_DETIS_DPDS_V</v>
      </c>
      <c r="V530" s="7" t="s">
        <v>829</v>
      </c>
    </row>
    <row r="531" spans="1:22">
      <c r="A531" s="7" t="str">
        <f>TRIM(ETLMetadata!$B531)</f>
        <v>CLK</v>
      </c>
      <c r="B531" s="7" t="str">
        <f>TRIM(ETLMetadata!$C531)</f>
        <v>DETM_DETIS_DPDS</v>
      </c>
      <c r="C531" s="7" t="str">
        <f>TRIM(ETLMetadata!$F531)</f>
        <v>AMR1_RISL_DTS</v>
      </c>
      <c r="D531" s="7" t="str">
        <f>TRIM(ETLMetadata!$H531)</f>
        <v>StringType()</v>
      </c>
      <c r="E531" s="7" t="str">
        <f t="shared" si="64"/>
        <v>CLK_DETM_DETIS_DPDS</v>
      </c>
      <c r="F531" s="7" t="str">
        <f t="shared" si="66"/>
        <v>AMR1_RISL_DTS</v>
      </c>
      <c r="G531" s="7" t="s">
        <v>825</v>
      </c>
      <c r="H531" s="7" t="str">
        <f t="shared" si="67"/>
        <v>CLK_DETM_DETIS_DPDS</v>
      </c>
      <c r="I531" s="7" t="str">
        <f t="shared" si="68"/>
        <v>AMR1_RISL_DTS</v>
      </c>
      <c r="J531" s="7" t="str">
        <f t="shared" si="69"/>
        <v>TIMESTAMP</v>
      </c>
      <c r="K531" s="7" t="str">
        <f>TRIM(ETLMetadata!$G531)</f>
        <v>TIMESTAMP(6)</v>
      </c>
      <c r="L531" s="7" t="str">
        <f>TRIM(ETLMetadata!$I531)</f>
        <v>YYYY-MM-DDBHH:MI:SS.S(6)</v>
      </c>
      <c r="M531" s="7" t="str">
        <f t="shared" si="70"/>
        <v>TO_TIMESTAMP_NTZ(NULLIF(TRIM(AMR1_RISL_DTS),''),'YYYY-MM-DD HH24:MI:SS.FF6')</v>
      </c>
      <c r="N531" s="7" t="str">
        <f>TRIM(ETLMetadata!$J531)</f>
        <v/>
      </c>
      <c r="O531" s="8" t="str">
        <f>IF(TRIM(Classification!$G531)="","NOT CONFIDENTIAL",TRIM(Classification!$G531))</f>
        <v>NOT CONFIDENTIAL</v>
      </c>
      <c r="P531" s="7" t="str">
        <f t="shared" si="71"/>
        <v>Y</v>
      </c>
      <c r="Q531" s="7" t="s">
        <v>826</v>
      </c>
      <c r="R531" s="9">
        <v>2958465</v>
      </c>
      <c r="S531" s="7" t="s">
        <v>827</v>
      </c>
      <c r="T531" s="7" t="s">
        <v>828</v>
      </c>
      <c r="U531" s="7" t="str">
        <f t="shared" si="65"/>
        <v>CLK_DETM_DETIS_DPDS_V</v>
      </c>
      <c r="V531" s="7" t="s">
        <v>829</v>
      </c>
    </row>
    <row r="532" spans="1:22">
      <c r="A532" s="7" t="str">
        <f>TRIM(ETLMetadata!$B532)</f>
        <v>CLK</v>
      </c>
      <c r="B532" s="7" t="str">
        <f>TRIM(ETLMetadata!$C532)</f>
        <v>DETM_DETIS_DPDS</v>
      </c>
      <c r="C532" s="7" t="str">
        <f>TRIM(ETLMetadata!$F532)</f>
        <v>AMR3_RISL_DTS</v>
      </c>
      <c r="D532" s="7" t="str">
        <f>TRIM(ETLMetadata!$H532)</f>
        <v>StringType()</v>
      </c>
      <c r="E532" s="7" t="str">
        <f t="shared" si="64"/>
        <v>CLK_DETM_DETIS_DPDS</v>
      </c>
      <c r="F532" s="7" t="str">
        <f t="shared" si="66"/>
        <v>AMR3_RISL_DTS</v>
      </c>
      <c r="G532" s="7" t="s">
        <v>825</v>
      </c>
      <c r="H532" s="7" t="str">
        <f t="shared" si="67"/>
        <v>CLK_DETM_DETIS_DPDS</v>
      </c>
      <c r="I532" s="7" t="str">
        <f t="shared" si="68"/>
        <v>AMR3_RISL_DTS</v>
      </c>
      <c r="J532" s="7" t="str">
        <f t="shared" si="69"/>
        <v>TIMESTAMP</v>
      </c>
      <c r="K532" s="7" t="str">
        <f>TRIM(ETLMetadata!$G532)</f>
        <v>TIMESTAMP(6)</v>
      </c>
      <c r="L532" s="7" t="str">
        <f>TRIM(ETLMetadata!$I532)</f>
        <v>YYYY-MM-DDBHH:MI:SS.S(6)</v>
      </c>
      <c r="M532" s="7" t="str">
        <f t="shared" si="70"/>
        <v>TO_TIMESTAMP_NTZ(NULLIF(TRIM(AMR3_RISL_DTS),''),'YYYY-MM-DD HH24:MI:SS.FF6')</v>
      </c>
      <c r="N532" s="7" t="str">
        <f>TRIM(ETLMetadata!$J532)</f>
        <v/>
      </c>
      <c r="O532" s="8" t="str">
        <f>IF(TRIM(Classification!$G532)="","NOT CONFIDENTIAL",TRIM(Classification!$G532))</f>
        <v>NOT CONFIDENTIAL</v>
      </c>
      <c r="P532" s="7" t="str">
        <f t="shared" si="71"/>
        <v>Y</v>
      </c>
      <c r="Q532" s="7" t="s">
        <v>826</v>
      </c>
      <c r="R532" s="9">
        <v>2958465</v>
      </c>
      <c r="S532" s="7" t="s">
        <v>827</v>
      </c>
      <c r="T532" s="7" t="s">
        <v>828</v>
      </c>
      <c r="U532" s="7" t="str">
        <f t="shared" si="65"/>
        <v>CLK_DETM_DETIS_DPDS_V</v>
      </c>
      <c r="V532" s="7" t="s">
        <v>829</v>
      </c>
    </row>
    <row r="533" spans="1:22">
      <c r="A533" s="7" t="str">
        <f>TRIM(ETLMetadata!$B533)</f>
        <v>CLK</v>
      </c>
      <c r="B533" s="7" t="str">
        <f>TRIM(ETLMetadata!$C533)</f>
        <v>DETM_DETIS_DPDS</v>
      </c>
      <c r="C533" s="7" t="str">
        <f>TRIM(ETLMetadata!$F533)</f>
        <v>EPISODE_ID</v>
      </c>
      <c r="D533" s="7" t="str">
        <f>TRIM(ETLMetadata!$H533)</f>
        <v>StringType()</v>
      </c>
      <c r="E533" s="7" t="str">
        <f t="shared" si="64"/>
        <v>CLK_DETM_DETIS_DPDS</v>
      </c>
      <c r="F533" s="7" t="str">
        <f t="shared" si="66"/>
        <v>EPISODE_ID</v>
      </c>
      <c r="G533" s="7" t="s">
        <v>825</v>
      </c>
      <c r="H533" s="7" t="str">
        <f t="shared" si="67"/>
        <v>CLK_DETM_DETIS_DPDS</v>
      </c>
      <c r="I533" s="7" t="str">
        <f t="shared" si="68"/>
        <v>EPISODE_ID</v>
      </c>
      <c r="J533" s="7" t="str">
        <f t="shared" si="69"/>
        <v>INTEGER</v>
      </c>
      <c r="K533" s="7" t="str">
        <f>TRIM(ETLMetadata!$G533)</f>
        <v>INTEGER</v>
      </c>
      <c r="L533" s="7" t="str">
        <f>TRIM(ETLMetadata!$I533)</f>
        <v/>
      </c>
      <c r="M533" s="7" t="str">
        <f t="shared" si="70"/>
        <v>CAST(NULLIF(TRIM(EPISODE_ID),'') AS INTEGER)</v>
      </c>
      <c r="N533" s="7" t="str">
        <f>TRIM(ETLMetadata!$J533)</f>
        <v/>
      </c>
      <c r="O533" s="8" t="str">
        <f>IF(TRIM(Classification!$G533)="","NOT CONFIDENTIAL",TRIM(Classification!$G533))</f>
        <v>NOT CONFIDENTIAL</v>
      </c>
      <c r="P533" s="7" t="str">
        <f t="shared" si="71"/>
        <v>Y</v>
      </c>
      <c r="Q533" s="7" t="s">
        <v>826</v>
      </c>
      <c r="R533" s="9">
        <v>2958465</v>
      </c>
      <c r="S533" s="7" t="s">
        <v>827</v>
      </c>
      <c r="T533" s="7" t="s">
        <v>828</v>
      </c>
      <c r="U533" s="7" t="str">
        <f t="shared" si="65"/>
        <v>CLK_DETM_DETIS_DPDS_V</v>
      </c>
      <c r="V533" s="7" t="s">
        <v>829</v>
      </c>
    </row>
    <row r="534" spans="1:22">
      <c r="A534" s="7" t="str">
        <f>TRIM(ETLMetadata!$B534)</f>
        <v>CLK</v>
      </c>
      <c r="B534" s="7" t="str">
        <f>TRIM(ETLMetadata!$C534)</f>
        <v>DETM_DETIS_DPDS</v>
      </c>
      <c r="C534" s="7" t="str">
        <f>TRIM(ETLMetadata!$F534)</f>
        <v>PARTY_ROLE_ID</v>
      </c>
      <c r="D534" s="7" t="str">
        <f>TRIM(ETLMetadata!$H534)</f>
        <v>StringType()</v>
      </c>
      <c r="E534" s="7" t="str">
        <f t="shared" si="64"/>
        <v>CLK_DETM_DETIS_DPDS</v>
      </c>
      <c r="F534" s="7" t="str">
        <f t="shared" si="66"/>
        <v>PARTY_ROLE_ID</v>
      </c>
      <c r="G534" s="7" t="s">
        <v>825</v>
      </c>
      <c r="H534" s="7" t="str">
        <f t="shared" si="67"/>
        <v>CLK_DETM_DETIS_DPDS</v>
      </c>
      <c r="I534" s="7" t="str">
        <f t="shared" si="68"/>
        <v>PARTY_ROLE_ID</v>
      </c>
      <c r="J534" s="7" t="str">
        <f t="shared" si="69"/>
        <v>INTEGER</v>
      </c>
      <c r="K534" s="7" t="str">
        <f>TRIM(ETLMetadata!$G534)</f>
        <v>INTEGER</v>
      </c>
      <c r="L534" s="7" t="str">
        <f>TRIM(ETLMetadata!$I534)</f>
        <v/>
      </c>
      <c r="M534" s="7" t="str">
        <f t="shared" si="70"/>
        <v>CAST(NULLIF(TRIM(PARTY_ROLE_ID),'') AS INTEGER)</v>
      </c>
      <c r="N534" s="7" t="str">
        <f>TRIM(ETLMetadata!$J534)</f>
        <v/>
      </c>
      <c r="O534" s="8" t="str">
        <f>IF(TRIM(Classification!$G534)="","NOT CONFIDENTIAL",TRIM(Classification!$G534))</f>
        <v>NOT CONFIDENTIAL</v>
      </c>
      <c r="P534" s="7" t="str">
        <f t="shared" si="71"/>
        <v>Y</v>
      </c>
      <c r="Q534" s="7" t="s">
        <v>826</v>
      </c>
      <c r="R534" s="9">
        <v>2958465</v>
      </c>
      <c r="S534" s="7" t="s">
        <v>827</v>
      </c>
      <c r="T534" s="7" t="s">
        <v>828</v>
      </c>
      <c r="U534" s="7" t="str">
        <f t="shared" si="65"/>
        <v>CLK_DETM_DETIS_DPDS_V</v>
      </c>
      <c r="V534" s="7" t="s">
        <v>829</v>
      </c>
    </row>
    <row r="535" spans="1:22">
      <c r="A535" s="7" t="str">
        <f>TRIM(ETLMetadata!$B535)</f>
        <v>CLK</v>
      </c>
      <c r="B535" s="7" t="str">
        <f>TRIM(ETLMetadata!$C535)</f>
        <v>DETM_DETIS_DPDS</v>
      </c>
      <c r="C535" s="7" t="str">
        <f>TRIM(ETLMetadata!$F535)</f>
        <v>PAYMENT_TYPE_ID</v>
      </c>
      <c r="D535" s="7" t="str">
        <f>TRIM(ETLMetadata!$H535)</f>
        <v>StringType()</v>
      </c>
      <c r="E535" s="7" t="str">
        <f t="shared" si="64"/>
        <v>CLK_DETM_DETIS_DPDS</v>
      </c>
      <c r="F535" s="7" t="str">
        <f t="shared" si="66"/>
        <v>PAYMENT_TYPE_ID</v>
      </c>
      <c r="G535" s="7" t="s">
        <v>825</v>
      </c>
      <c r="H535" s="7" t="str">
        <f t="shared" si="67"/>
        <v>CLK_DETM_DETIS_DPDS</v>
      </c>
      <c r="I535" s="7" t="str">
        <f t="shared" si="68"/>
        <v>PAYMENT_TYPE_ID</v>
      </c>
      <c r="J535" s="7" t="str">
        <f t="shared" si="69"/>
        <v>INTEGER</v>
      </c>
      <c r="K535" s="7" t="str">
        <f>TRIM(ETLMetadata!$G535)</f>
        <v>INTEGER</v>
      </c>
      <c r="L535" s="7" t="str">
        <f>TRIM(ETLMetadata!$I535)</f>
        <v/>
      </c>
      <c r="M535" s="7" t="str">
        <f t="shared" si="70"/>
        <v>CAST(NULLIF(TRIM(PAYMENT_TYPE_ID),'') AS INTEGER)</v>
      </c>
      <c r="N535" s="7" t="str">
        <f>TRIM(ETLMetadata!$J535)</f>
        <v/>
      </c>
      <c r="O535" s="8" t="str">
        <f>IF(TRIM(Classification!$G535)="","NOT CONFIDENTIAL",TRIM(Classification!$G535))</f>
        <v>NOT CONFIDENTIAL</v>
      </c>
      <c r="P535" s="7" t="str">
        <f t="shared" si="71"/>
        <v>Y</v>
      </c>
      <c r="Q535" s="7" t="s">
        <v>826</v>
      </c>
      <c r="R535" s="9">
        <v>2958465</v>
      </c>
      <c r="S535" s="7" t="s">
        <v>827</v>
      </c>
      <c r="T535" s="7" t="s">
        <v>828</v>
      </c>
      <c r="U535" s="7" t="str">
        <f t="shared" si="65"/>
        <v>CLK_DETM_DETIS_DPDS_V</v>
      </c>
      <c r="V535" s="7" t="s">
        <v>829</v>
      </c>
    </row>
    <row r="536" spans="1:22">
      <c r="A536" s="7" t="str">
        <f>TRIM(ETLMetadata!$B536)</f>
        <v>CLK</v>
      </c>
      <c r="B536" s="7" t="str">
        <f>TRIM(ETLMetadata!$C536)</f>
        <v>DETM_DETIS_DPDS</v>
      </c>
      <c r="C536" s="7" t="str">
        <f>TRIM(ETLMetadata!$F536)</f>
        <v>ERROR_COUNT</v>
      </c>
      <c r="D536" s="7" t="str">
        <f>TRIM(ETLMetadata!$H536)</f>
        <v>StringType()</v>
      </c>
      <c r="E536" s="7" t="str">
        <f t="shared" si="64"/>
        <v>CLK_DETM_DETIS_DPDS</v>
      </c>
      <c r="F536" s="7" t="str">
        <f t="shared" si="66"/>
        <v>ERROR_COUNT</v>
      </c>
      <c r="G536" s="7" t="s">
        <v>825</v>
      </c>
      <c r="H536" s="7" t="str">
        <f t="shared" si="67"/>
        <v>CLK_DETM_DETIS_DPDS</v>
      </c>
      <c r="I536" s="7" t="str">
        <f t="shared" si="68"/>
        <v>ERROR_COUNT</v>
      </c>
      <c r="J536" s="7" t="str">
        <f t="shared" si="69"/>
        <v>SMALLINT</v>
      </c>
      <c r="K536" s="7" t="str">
        <f>TRIM(ETLMetadata!$G536)</f>
        <v>SMALLINT</v>
      </c>
      <c r="L536" s="7" t="str">
        <f>TRIM(ETLMetadata!$I536)</f>
        <v/>
      </c>
      <c r="M536" s="7" t="str">
        <f t="shared" si="70"/>
        <v>CAST(NULLIF(TRIM(ERROR_COUNT),'') AS SMALLINT)</v>
      </c>
      <c r="N536" s="7" t="str">
        <f>TRIM(ETLMetadata!$J536)</f>
        <v/>
      </c>
      <c r="O536" s="8" t="str">
        <f>IF(TRIM(Classification!$G536)="","NOT CONFIDENTIAL",TRIM(Classification!$G536))</f>
        <v>NOT CONFIDENTIAL</v>
      </c>
      <c r="P536" s="7" t="str">
        <f t="shared" si="71"/>
        <v>Y</v>
      </c>
      <c r="Q536" s="7" t="s">
        <v>826</v>
      </c>
      <c r="R536" s="9">
        <v>2958465</v>
      </c>
      <c r="S536" s="7" t="s">
        <v>827</v>
      </c>
      <c r="T536" s="7" t="s">
        <v>828</v>
      </c>
      <c r="U536" s="7" t="str">
        <f t="shared" si="65"/>
        <v>CLK_DETM_DETIS_DPDS_V</v>
      </c>
      <c r="V536" s="7" t="s">
        <v>829</v>
      </c>
    </row>
    <row r="537" spans="1:22">
      <c r="A537" s="7" t="str">
        <f>TRIM(ETLMetadata!$B537)</f>
        <v>CLK</v>
      </c>
      <c r="B537" s="7" t="str">
        <f>TRIM(ETLMetadata!$C537)</f>
        <v>DETM_DETIS_DPDS</v>
      </c>
      <c r="C537" s="7" t="str">
        <f>TRIM(ETLMetadata!$F537)</f>
        <v>Start_Date</v>
      </c>
      <c r="D537" s="7" t="str">
        <f>TRIM(ETLMetadata!$H537)</f>
        <v>StringType()</v>
      </c>
      <c r="E537" s="7" t="str">
        <f t="shared" si="64"/>
        <v>CLK_DETM_DETIS_DPDS</v>
      </c>
      <c r="F537" s="7" t="str">
        <f t="shared" si="66"/>
        <v>STRT_DT</v>
      </c>
      <c r="G537" s="7" t="s">
        <v>825</v>
      </c>
      <c r="H537" s="7" t="str">
        <f t="shared" si="67"/>
        <v>CLK_DETM_DETIS_DPDS</v>
      </c>
      <c r="I537" s="7" t="str">
        <f t="shared" si="68"/>
        <v>STRT_DT</v>
      </c>
      <c r="J537" s="7" t="str">
        <f t="shared" si="69"/>
        <v>DATE</v>
      </c>
      <c r="K537" s="7" t="str">
        <f>TRIM(ETLMetadata!$G537)</f>
        <v>DATE</v>
      </c>
      <c r="L537" s="7" t="str">
        <f>TRIM(ETLMetadata!$I537)</f>
        <v>YYYY-MM-DD</v>
      </c>
      <c r="M537" s="7" t="str">
        <f t="shared" si="70"/>
        <v>TO_DATE(NULLIF(TRIM(STRT_DT),'') , 'YYYY-MM-DD')</v>
      </c>
      <c r="N537" s="7" t="str">
        <f>TRIM(ETLMetadata!$J537)</f>
        <v/>
      </c>
      <c r="O537" s="8" t="str">
        <f>IF(TRIM(Classification!$G537)="","NOT CONFIDENTIAL",TRIM(Classification!$G537))</f>
        <v>NOT CONFIDENTIAL</v>
      </c>
      <c r="P537" s="7" t="str">
        <f t="shared" si="71"/>
        <v>N</v>
      </c>
      <c r="Q537" s="7" t="s">
        <v>826</v>
      </c>
      <c r="R537" s="9">
        <v>2958465</v>
      </c>
      <c r="S537" s="7" t="s">
        <v>827</v>
      </c>
      <c r="T537" s="7" t="s">
        <v>828</v>
      </c>
      <c r="U537" s="7" t="str">
        <f t="shared" si="65"/>
        <v>CLK_DETM_DETIS_DPDS_V</v>
      </c>
      <c r="V537" s="7" t="s">
        <v>829</v>
      </c>
    </row>
    <row r="538" spans="1:22">
      <c r="A538" s="7" t="str">
        <f>TRIM(ETLMetadata!$B538)</f>
        <v>CLK</v>
      </c>
      <c r="B538" s="7" t="str">
        <f>TRIM(ETLMetadata!$C538)</f>
        <v>DETM_DETIS_DPDS</v>
      </c>
      <c r="C538" s="7" t="str">
        <f>TRIM(ETLMetadata!$F538)</f>
        <v>End_Date</v>
      </c>
      <c r="D538" s="7" t="str">
        <f>TRIM(ETLMetadata!$H538)</f>
        <v>StringType()</v>
      </c>
      <c r="E538" s="7" t="str">
        <f t="shared" si="64"/>
        <v>CLK_DETM_DETIS_DPDS</v>
      </c>
      <c r="F538" s="7" t="str">
        <f t="shared" si="66"/>
        <v>END_DT</v>
      </c>
      <c r="G538" s="7" t="s">
        <v>825</v>
      </c>
      <c r="H538" s="7" t="str">
        <f t="shared" si="67"/>
        <v>CLK_DETM_DETIS_DPDS</v>
      </c>
      <c r="I538" s="7" t="str">
        <f t="shared" si="68"/>
        <v>END_DT</v>
      </c>
      <c r="J538" s="7" t="str">
        <f t="shared" si="69"/>
        <v>DATE</v>
      </c>
      <c r="K538" s="7" t="str">
        <f>TRIM(ETLMetadata!$G538)</f>
        <v>DATE</v>
      </c>
      <c r="L538" s="7" t="str">
        <f>TRIM(ETLMetadata!$I538)</f>
        <v>YYYY-MM-DD</v>
      </c>
      <c r="M538" s="7" t="str">
        <f t="shared" si="70"/>
        <v>TO_DATE(NULLIF(TRIM(END_DT),'') , 'YYYY-MM-DD')</v>
      </c>
      <c r="N538" s="7" t="str">
        <f>TRIM(ETLMetadata!$J538)</f>
        <v/>
      </c>
      <c r="O538" s="8" t="str">
        <f>IF(TRIM(Classification!$G538)="","NOT CONFIDENTIAL",TRIM(Classification!$G538))</f>
        <v>NOT CONFIDENTIAL</v>
      </c>
      <c r="P538" s="7" t="str">
        <f t="shared" si="71"/>
        <v>N</v>
      </c>
      <c r="Q538" s="7" t="s">
        <v>826</v>
      </c>
      <c r="R538" s="9">
        <v>2958465</v>
      </c>
      <c r="S538" s="7" t="s">
        <v>827</v>
      </c>
      <c r="T538" s="7" t="s">
        <v>828</v>
      </c>
      <c r="U538" s="7" t="str">
        <f t="shared" si="65"/>
        <v>CLK_DETM_DETIS_DPDS_V</v>
      </c>
      <c r="V538" s="7" t="s">
        <v>829</v>
      </c>
    </row>
    <row r="539" spans="1:22">
      <c r="A539" s="7" t="str">
        <f>TRIM(ETLMetadata!$B539)</f>
        <v>CLK</v>
      </c>
      <c r="B539" s="7" t="str">
        <f>TRIM(ETLMetadata!$C539)</f>
        <v>DETM_DETIS_DPDS</v>
      </c>
      <c r="C539" s="7" t="str">
        <f>TRIM(ETLMetadata!$F539)</f>
        <v>Record_Deleted_Flag</v>
      </c>
      <c r="D539" s="7" t="str">
        <f>TRIM(ETLMetadata!$H539)</f>
        <v>StringType()</v>
      </c>
      <c r="E539" s="7" t="str">
        <f t="shared" si="64"/>
        <v>CLK_DETM_DETIS_DPDS</v>
      </c>
      <c r="F539" s="7" t="str">
        <f t="shared" si="66"/>
        <v>RCRD_DEL_IND</v>
      </c>
      <c r="G539" s="7" t="s">
        <v>825</v>
      </c>
      <c r="H539" s="7" t="str">
        <f t="shared" si="67"/>
        <v>CLK_DETM_DETIS_DPDS</v>
      </c>
      <c r="I539" s="7" t="str">
        <f t="shared" si="68"/>
        <v>RCRD_DEL_IND</v>
      </c>
      <c r="J539" s="7" t="str">
        <f t="shared" si="69"/>
        <v>SMALLINT</v>
      </c>
      <c r="K539" s="7" t="str">
        <f>TRIM(ETLMetadata!$G539)</f>
        <v>BYTEINT</v>
      </c>
      <c r="L539" s="7" t="str">
        <f>TRIM(ETLMetadata!$I539)</f>
        <v/>
      </c>
      <c r="M539" s="7" t="str">
        <f t="shared" si="70"/>
        <v>CAST(NULLIF(TRIM(RCRD_DEL_IND),'') AS SMALLINT)</v>
      </c>
      <c r="N539" s="7" t="str">
        <f>TRIM(ETLMetadata!$J539)</f>
        <v/>
      </c>
      <c r="O539" s="8" t="str">
        <f>IF(TRIM(Classification!$G539)="","NOT CONFIDENTIAL",TRIM(Classification!$G539))</f>
        <v>NOT CONFIDENTIAL</v>
      </c>
      <c r="P539" s="7" t="str">
        <f t="shared" si="71"/>
        <v>N</v>
      </c>
      <c r="Q539" s="7" t="s">
        <v>826</v>
      </c>
      <c r="R539" s="9">
        <v>2958465</v>
      </c>
      <c r="S539" s="7" t="s">
        <v>827</v>
      </c>
      <c r="T539" s="7" t="s">
        <v>828</v>
      </c>
      <c r="U539" s="7" t="str">
        <f t="shared" si="65"/>
        <v>CLK_DETM_DETIS_DPDS_V</v>
      </c>
      <c r="V539" s="7" t="s">
        <v>829</v>
      </c>
    </row>
    <row r="540" spans="1:22">
      <c r="A540" s="7" t="str">
        <f>TRIM(ETLMetadata!$B540)</f>
        <v>CLK</v>
      </c>
      <c r="B540" s="7" t="str">
        <f>TRIM(ETLMetadata!$C540)</f>
        <v>DETM_DETIS_EEDS</v>
      </c>
      <c r="C540" s="7" t="str">
        <f>TRIM(ETLMetadata!$F540)</f>
        <v>EXTRACT_DATE</v>
      </c>
      <c r="D540" s="7" t="str">
        <f>TRIM(ETLMetadata!$H540)</f>
        <v>StringType()</v>
      </c>
      <c r="E540" s="7" t="str">
        <f t="shared" si="64"/>
        <v>CLK_DETM_DETIS_EEDS</v>
      </c>
      <c r="F540" s="7" t="str">
        <f t="shared" si="66"/>
        <v>EXTRACT_DATE</v>
      </c>
      <c r="G540" s="7" t="s">
        <v>825</v>
      </c>
      <c r="H540" s="7" t="str">
        <f t="shared" si="67"/>
        <v>CLK_DETM_DETIS_EEDS</v>
      </c>
      <c r="I540" s="7" t="str">
        <f t="shared" si="68"/>
        <v>EXTRACT_DATE</v>
      </c>
      <c r="J540" s="7" t="str">
        <f t="shared" si="69"/>
        <v>DATE</v>
      </c>
      <c r="K540" s="7" t="str">
        <f>TRIM(ETLMetadata!$G540)</f>
        <v>DATE</v>
      </c>
      <c r="L540" s="7" t="str">
        <f>TRIM(ETLMetadata!$I540)</f>
        <v>YYYY-MM-DD</v>
      </c>
      <c r="M540" s="7" t="str">
        <f t="shared" si="70"/>
        <v>TO_DATE(NULLIF(TRIM(EXTRACT_DATE),'') , 'YYYY-MM-DD')</v>
      </c>
      <c r="N540" s="7" t="str">
        <f>TRIM(ETLMetadata!$J540)</f>
        <v/>
      </c>
      <c r="O540" s="8" t="str">
        <f>IF(TRIM(Classification!$G540)="","NOT CONFIDENTIAL",TRIM(Classification!$G540))</f>
        <v>NOT CONFIDENTIAL</v>
      </c>
      <c r="P540" s="7" t="str">
        <f t="shared" si="71"/>
        <v>Y</v>
      </c>
      <c r="Q540" s="7" t="s">
        <v>826</v>
      </c>
      <c r="R540" s="9">
        <v>2958465</v>
      </c>
      <c r="S540" s="7" t="s">
        <v>827</v>
      </c>
      <c r="T540" s="7" t="s">
        <v>828</v>
      </c>
      <c r="U540" s="7" t="str">
        <f t="shared" si="65"/>
        <v>CLK_DETM_DETIS_EEDS_V</v>
      </c>
      <c r="V540" s="7" t="s">
        <v>829</v>
      </c>
    </row>
    <row r="541" spans="1:22">
      <c r="A541" s="7" t="str">
        <f>TRIM(ETLMetadata!$B541)</f>
        <v>CLK</v>
      </c>
      <c r="B541" s="7" t="str">
        <f>TRIM(ETLMetadata!$C541)</f>
        <v>DETM_DETIS_EEDS</v>
      </c>
      <c r="C541" s="7" t="str">
        <f>TRIM(ETLMetadata!$F541)</f>
        <v>LOGICAL_DELETE_DATE</v>
      </c>
      <c r="D541" s="7" t="str">
        <f>TRIM(ETLMetadata!$H541)</f>
        <v>StringType()</v>
      </c>
      <c r="E541" s="7" t="str">
        <f t="shared" si="64"/>
        <v>CLK_DETM_DETIS_EEDS</v>
      </c>
      <c r="F541" s="7" t="str">
        <f t="shared" si="66"/>
        <v>LOGICAL_DELETE_DATE</v>
      </c>
      <c r="G541" s="7" t="s">
        <v>825</v>
      </c>
      <c r="H541" s="7" t="str">
        <f t="shared" si="67"/>
        <v>CLK_DETM_DETIS_EEDS</v>
      </c>
      <c r="I541" s="7" t="str">
        <f t="shared" si="68"/>
        <v>LOGICAL_DELETE_DATE</v>
      </c>
      <c r="J541" s="7" t="str">
        <f t="shared" si="69"/>
        <v>DATE</v>
      </c>
      <c r="K541" s="7" t="str">
        <f>TRIM(ETLMetadata!$G541)</f>
        <v>DATE</v>
      </c>
      <c r="L541" s="7" t="str">
        <f>TRIM(ETLMetadata!$I541)</f>
        <v>YYYY-MM-DD</v>
      </c>
      <c r="M541" s="7" t="str">
        <f t="shared" si="70"/>
        <v>TO_DATE(NULLIF(TRIM(LOGICAL_DELETE_DATE),'') , 'YYYY-MM-DD')</v>
      </c>
      <c r="N541" s="7" t="str">
        <f>TRIM(ETLMetadata!$J541)</f>
        <v/>
      </c>
      <c r="O541" s="8" t="str">
        <f>IF(TRIM(Classification!$G541)="","NOT CONFIDENTIAL",TRIM(Classification!$G541))</f>
        <v>NOT CONFIDENTIAL</v>
      </c>
      <c r="P541" s="7" t="str">
        <f t="shared" si="71"/>
        <v>Y</v>
      </c>
      <c r="Q541" s="7" t="s">
        <v>826</v>
      </c>
      <c r="R541" s="9">
        <v>2958465</v>
      </c>
      <c r="S541" s="7" t="s">
        <v>827</v>
      </c>
      <c r="T541" s="7" t="s">
        <v>828</v>
      </c>
      <c r="U541" s="7" t="str">
        <f t="shared" si="65"/>
        <v>CLK_DETM_DETIS_EEDS_V</v>
      </c>
      <c r="V541" s="7" t="s">
        <v>829</v>
      </c>
    </row>
    <row r="542" spans="1:22">
      <c r="A542" s="7" t="str">
        <f>TRIM(ETLMetadata!$B542)</f>
        <v>CLK</v>
      </c>
      <c r="B542" s="7" t="str">
        <f>TRIM(ETLMetadata!$C542)</f>
        <v>DETM_DETIS_EEDS</v>
      </c>
      <c r="C542" s="7" t="str">
        <f>TRIM(ETLMetadata!$F542)</f>
        <v>ENVIRONMENT_ID</v>
      </c>
      <c r="D542" s="7" t="str">
        <f>TRIM(ETLMetadata!$H542)</f>
        <v>StringType()</v>
      </c>
      <c r="E542" s="7" t="str">
        <f t="shared" si="64"/>
        <v>CLK_DETM_DETIS_EEDS</v>
      </c>
      <c r="F542" s="7" t="str">
        <f t="shared" si="66"/>
        <v>ENVIRONMENT_ID</v>
      </c>
      <c r="G542" s="7" t="s">
        <v>825</v>
      </c>
      <c r="H542" s="7" t="str">
        <f t="shared" si="67"/>
        <v>CLK_DETM_DETIS_EEDS</v>
      </c>
      <c r="I542" s="7" t="str">
        <f t="shared" si="68"/>
        <v>ENVIRONMENT_ID</v>
      </c>
      <c r="J542" s="7" t="str">
        <f t="shared" si="69"/>
        <v>VARCHAR</v>
      </c>
      <c r="K542" s="7" t="str">
        <f>TRIM(ETLMetadata!$G542)</f>
        <v>CHAR(1)</v>
      </c>
      <c r="L542" s="7" t="str">
        <f>TRIM(ETLMetadata!$I542)</f>
        <v/>
      </c>
      <c r="M542" s="7" t="str">
        <f t="shared" si="70"/>
        <v>NULLIF(TRIM(ENVIRONMENT_ID),'')</v>
      </c>
      <c r="N542" s="7" t="str">
        <f>TRIM(ETLMetadata!$J542)</f>
        <v>Y</v>
      </c>
      <c r="O542" s="8" t="str">
        <f>IF(TRIM(Classification!$G542)="","NOT CONFIDENTIAL",TRIM(Classification!$G542))</f>
        <v>NOT CONFIDENTIAL</v>
      </c>
      <c r="P542" s="7" t="str">
        <f t="shared" si="71"/>
        <v>Y</v>
      </c>
      <c r="Q542" s="7" t="s">
        <v>826</v>
      </c>
      <c r="R542" s="9">
        <v>2958465</v>
      </c>
      <c r="S542" s="7" t="s">
        <v>827</v>
      </c>
      <c r="T542" s="7" t="s">
        <v>828</v>
      </c>
      <c r="U542" s="7" t="str">
        <f t="shared" si="65"/>
        <v>CLK_DETM_DETIS_EEDS_V</v>
      </c>
      <c r="V542" s="7" t="s">
        <v>829</v>
      </c>
    </row>
    <row r="543" spans="1:22">
      <c r="A543" s="7" t="str">
        <f>TRIM(ETLMetadata!$B543)</f>
        <v>CLK</v>
      </c>
      <c r="B543" s="7" t="str">
        <f>TRIM(ETLMetadata!$C543)</f>
        <v>DETM_DETIS_EEDS</v>
      </c>
      <c r="C543" s="7" t="str">
        <f>TRIM(ETLMetadata!$F543)</f>
        <v>PERSON_ID</v>
      </c>
      <c r="D543" s="7" t="str">
        <f>TRIM(ETLMetadata!$H543)</f>
        <v>StringType()</v>
      </c>
      <c r="E543" s="7" t="str">
        <f t="shared" ref="E543:E606" si="72">CONCATENATE($A543,"_",B543)</f>
        <v>CLK_DETM_DETIS_EEDS</v>
      </c>
      <c r="F543" s="7" t="str">
        <f t="shared" si="66"/>
        <v>PERSON_ID</v>
      </c>
      <c r="G543" s="7" t="s">
        <v>825</v>
      </c>
      <c r="H543" s="7" t="str">
        <f t="shared" si="67"/>
        <v>CLK_DETM_DETIS_EEDS</v>
      </c>
      <c r="I543" s="7" t="str">
        <f t="shared" si="68"/>
        <v>PERSON_ID</v>
      </c>
      <c r="J543" s="7" t="str">
        <f t="shared" si="69"/>
        <v>INTEGER</v>
      </c>
      <c r="K543" s="7" t="str">
        <f>TRIM(ETLMetadata!$G543)</f>
        <v>INTEGER</v>
      </c>
      <c r="L543" s="7" t="str">
        <f>TRIM(ETLMetadata!$I543)</f>
        <v/>
      </c>
      <c r="M543" s="7" t="str">
        <f t="shared" si="70"/>
        <v>CAST(NULLIF(TRIM(PERSON_ID),'') AS INTEGER)</v>
      </c>
      <c r="N543" s="7" t="str">
        <f>TRIM(ETLMetadata!$J543)</f>
        <v>Y</v>
      </c>
      <c r="O543" s="8" t="str">
        <f>IF(TRIM(Classification!$G543)="","NOT CONFIDENTIAL",TRIM(Classification!$G543))</f>
        <v>PERSONAL_IDENTITYINFOINDIRECT</v>
      </c>
      <c r="P543" s="7" t="str">
        <f t="shared" si="71"/>
        <v>Y</v>
      </c>
      <c r="Q543" s="7" t="s">
        <v>826</v>
      </c>
      <c r="R543" s="9">
        <v>2958465</v>
      </c>
      <c r="S543" s="7" t="s">
        <v>827</v>
      </c>
      <c r="T543" s="7" t="s">
        <v>828</v>
      </c>
      <c r="U543" s="7" t="str">
        <f t="shared" ref="U543:U606" si="73">CONCATENATE(A543,"_",B543,"_V")</f>
        <v>CLK_DETM_DETIS_EEDS_V</v>
      </c>
      <c r="V543" s="7" t="s">
        <v>829</v>
      </c>
    </row>
    <row r="544" spans="1:22">
      <c r="A544" s="7" t="str">
        <f>TRIM(ETLMetadata!$B544)</f>
        <v>CLK</v>
      </c>
      <c r="B544" s="7" t="str">
        <f>TRIM(ETLMetadata!$C544)</f>
        <v>DETM_DETIS_EEDS</v>
      </c>
      <c r="C544" s="7" t="str">
        <f>TRIM(ETLMetadata!$F544)</f>
        <v>EEDS_DOE</v>
      </c>
      <c r="D544" s="7" t="str">
        <f>TRIM(ETLMetadata!$H544)</f>
        <v>StringType()</v>
      </c>
      <c r="E544" s="7" t="str">
        <f t="shared" si="72"/>
        <v>CLK_DETM_DETIS_EEDS</v>
      </c>
      <c r="F544" s="7" t="str">
        <f t="shared" si="66"/>
        <v>EEDS_DOE</v>
      </c>
      <c r="G544" s="7" t="s">
        <v>825</v>
      </c>
      <c r="H544" s="7" t="str">
        <f t="shared" si="67"/>
        <v>CLK_DETM_DETIS_EEDS</v>
      </c>
      <c r="I544" s="7" t="str">
        <f t="shared" si="68"/>
        <v>EEDS_DOE</v>
      </c>
      <c r="J544" s="7" t="str">
        <f t="shared" si="69"/>
        <v>DATE</v>
      </c>
      <c r="K544" s="17" t="s">
        <v>80</v>
      </c>
      <c r="L544" s="7" t="str">
        <f>TRIM(ETLMetadata!$I544)</f>
        <v>YYYY-MM-DD</v>
      </c>
      <c r="M544" s="7" t="str">
        <f t="shared" si="70"/>
        <v>TO_DATE(NULLIF(TRIM(EEDS_DOE),'') , 'YYYY-MM-DD')</v>
      </c>
      <c r="N544" s="7" t="str">
        <f>TRIM(ETLMetadata!$J544)</f>
        <v/>
      </c>
      <c r="O544" s="8" t="str">
        <f>IF(TRIM(Classification!$G544)="","NOT CONFIDENTIAL",TRIM(Classification!$G544))</f>
        <v>NOT CONFIDENTIAL</v>
      </c>
      <c r="P544" s="7" t="str">
        <f t="shared" si="71"/>
        <v>Y</v>
      </c>
      <c r="Q544" s="7" t="s">
        <v>826</v>
      </c>
      <c r="R544" s="9">
        <v>2958465</v>
      </c>
      <c r="S544" s="7" t="s">
        <v>827</v>
      </c>
      <c r="T544" s="7" t="s">
        <v>828</v>
      </c>
      <c r="U544" s="7" t="str">
        <f t="shared" si="73"/>
        <v>CLK_DETM_DETIS_EEDS_V</v>
      </c>
      <c r="V544" s="7" t="s">
        <v>829</v>
      </c>
    </row>
    <row r="545" spans="1:22">
      <c r="A545" s="7" t="str">
        <f>TRIM(ETLMetadata!$B545)</f>
        <v>CLK</v>
      </c>
      <c r="B545" s="7" t="str">
        <f>TRIM(ETLMetadata!$C545)</f>
        <v>DETM_DETIS_EEDS</v>
      </c>
      <c r="C545" s="7" t="str">
        <f>TRIM(ETLMetadata!$F545)</f>
        <v>EEDS_DOE_ORIG</v>
      </c>
      <c r="D545" s="7" t="str">
        <f>TRIM(ETLMetadata!$H545)</f>
        <v>StringType()</v>
      </c>
      <c r="E545" s="7" t="str">
        <f t="shared" si="72"/>
        <v>CLK_DETM_DETIS_EEDS</v>
      </c>
      <c r="F545" s="7" t="str">
        <f t="shared" si="66"/>
        <v>EEDS_DOE_ORIG</v>
      </c>
      <c r="G545" s="7" t="s">
        <v>825</v>
      </c>
      <c r="H545" s="7" t="str">
        <f t="shared" si="67"/>
        <v>CLK_DETM_DETIS_EEDS</v>
      </c>
      <c r="I545" s="7" t="str">
        <f t="shared" si="68"/>
        <v>EEDS_DOE_ORIG</v>
      </c>
      <c r="J545" s="7" t="str">
        <f t="shared" si="69"/>
        <v>INTEGER</v>
      </c>
      <c r="K545" s="17" t="s">
        <v>90</v>
      </c>
      <c r="L545" s="7" t="str">
        <f>TRIM(ETLMetadata!$I545)</f>
        <v/>
      </c>
      <c r="M545" s="7" t="str">
        <f t="shared" si="70"/>
        <v>CAST(NULLIF(TRIM(EEDS_DOE_ORIG),'') AS INTEGER)</v>
      </c>
      <c r="N545" s="7" t="str">
        <f>TRIM(ETLMetadata!$J545)</f>
        <v/>
      </c>
      <c r="O545" s="8" t="str">
        <f>IF(TRIM(Classification!$G545)="","NOT CONFIDENTIAL",TRIM(Classification!$G545))</f>
        <v>NOT CONFIDENTIAL</v>
      </c>
      <c r="P545" s="7" t="str">
        <f t="shared" si="71"/>
        <v>Y</v>
      </c>
      <c r="Q545" s="7" t="s">
        <v>826</v>
      </c>
      <c r="R545" s="9">
        <v>2958465</v>
      </c>
      <c r="S545" s="7" t="s">
        <v>827</v>
      </c>
      <c r="T545" s="7" t="s">
        <v>828</v>
      </c>
      <c r="U545" s="7" t="str">
        <f t="shared" si="73"/>
        <v>CLK_DETM_DETIS_EEDS_V</v>
      </c>
      <c r="V545" s="7" t="s">
        <v>829</v>
      </c>
    </row>
    <row r="546" spans="1:22">
      <c r="A546" s="7" t="str">
        <f>TRIM(ETLMetadata!$B546)</f>
        <v>CLK</v>
      </c>
      <c r="B546" s="7" t="str">
        <f>TRIM(ETLMetadata!$C546)</f>
        <v>DETM_DETIS_EEDS</v>
      </c>
      <c r="C546" s="7" t="str">
        <f>TRIM(ETLMetadata!$F546)</f>
        <v>PROCESSING_SEQUENCE</v>
      </c>
      <c r="D546" s="7" t="str">
        <f>TRIM(ETLMetadata!$H546)</f>
        <v>StringType()</v>
      </c>
      <c r="E546" s="7" t="str">
        <f t="shared" si="72"/>
        <v>CLK_DETM_DETIS_EEDS</v>
      </c>
      <c r="F546" s="7" t="str">
        <f t="shared" si="66"/>
        <v>PROCESSING_SEQUENCE</v>
      </c>
      <c r="G546" s="7" t="s">
        <v>825</v>
      </c>
      <c r="H546" s="7" t="str">
        <f t="shared" si="67"/>
        <v>CLK_DETM_DETIS_EEDS</v>
      </c>
      <c r="I546" s="7" t="str">
        <f t="shared" si="68"/>
        <v>PROCESSING_SEQUENCE</v>
      </c>
      <c r="J546" s="7" t="str">
        <f t="shared" si="69"/>
        <v>SMALLINT</v>
      </c>
      <c r="K546" s="7" t="str">
        <f>TRIM(ETLMetadata!$G546)</f>
        <v>SMALLINT</v>
      </c>
      <c r="L546" s="7" t="str">
        <f>TRIM(ETLMetadata!$I546)</f>
        <v/>
      </c>
      <c r="M546" s="7" t="str">
        <f t="shared" si="70"/>
        <v>CAST(NULLIF(TRIM(PROCESSING_SEQUENCE),'') AS SMALLINT)</v>
      </c>
      <c r="N546" s="7" t="str">
        <f>TRIM(ETLMetadata!$J546)</f>
        <v>Y</v>
      </c>
      <c r="O546" s="8" t="str">
        <f>IF(TRIM(Classification!$G546)="","NOT CONFIDENTIAL",TRIM(Classification!$G546))</f>
        <v>NOT CONFIDENTIAL</v>
      </c>
      <c r="P546" s="7" t="str">
        <f t="shared" si="71"/>
        <v>Y</v>
      </c>
      <c r="Q546" s="7" t="s">
        <v>826</v>
      </c>
      <c r="R546" s="9">
        <v>2958465</v>
      </c>
      <c r="S546" s="7" t="s">
        <v>827</v>
      </c>
      <c r="T546" s="7" t="s">
        <v>828</v>
      </c>
      <c r="U546" s="7" t="str">
        <f t="shared" si="73"/>
        <v>CLK_DETM_DETIS_EEDS_V</v>
      </c>
      <c r="V546" s="7" t="s">
        <v>829</v>
      </c>
    </row>
    <row r="547" spans="1:22">
      <c r="A547" s="7" t="str">
        <f>TRIM(ETLMetadata!$B547)</f>
        <v>CLK</v>
      </c>
      <c r="B547" s="7" t="str">
        <f>TRIM(ETLMetadata!$C547)</f>
        <v>DETM_DETIS_EEDS</v>
      </c>
      <c r="C547" s="7" t="str">
        <f>TRIM(ETLMetadata!$F547)</f>
        <v>EEDS_AMR_1</v>
      </c>
      <c r="D547" s="7" t="str">
        <f>TRIM(ETLMetadata!$H547)</f>
        <v>StringType()</v>
      </c>
      <c r="E547" s="7" t="str">
        <f t="shared" si="72"/>
        <v>CLK_DETM_DETIS_EEDS</v>
      </c>
      <c r="F547" s="7" t="str">
        <f t="shared" si="66"/>
        <v>EEDS_AMR_1</v>
      </c>
      <c r="G547" s="7" t="s">
        <v>825</v>
      </c>
      <c r="H547" s="7" t="str">
        <f t="shared" si="67"/>
        <v>CLK_DETM_DETIS_EEDS</v>
      </c>
      <c r="I547" s="7" t="str">
        <f t="shared" si="68"/>
        <v>EEDS_AMR_1</v>
      </c>
      <c r="J547" s="7" t="str">
        <f t="shared" si="69"/>
        <v>VARCHAR</v>
      </c>
      <c r="K547" s="7" t="str">
        <f>TRIM(ETLMetadata!$G547)</f>
        <v>CHAR(4)</v>
      </c>
      <c r="L547" s="7" t="str">
        <f>TRIM(ETLMetadata!$I547)</f>
        <v/>
      </c>
      <c r="M547" s="7" t="str">
        <f t="shared" si="70"/>
        <v>NULLIF(TRIM(EEDS_AMR_1),'')</v>
      </c>
      <c r="N547" s="7" t="str">
        <f>TRIM(ETLMetadata!$J547)</f>
        <v/>
      </c>
      <c r="O547" s="8" t="str">
        <f>IF(TRIM(Classification!$G547)="","NOT CONFIDENTIAL",TRIM(Classification!$G547))</f>
        <v>NOT CONFIDENTIAL</v>
      </c>
      <c r="P547" s="7" t="str">
        <f t="shared" si="71"/>
        <v>Y</v>
      </c>
      <c r="Q547" s="7" t="s">
        <v>826</v>
      </c>
      <c r="R547" s="9">
        <v>2958465</v>
      </c>
      <c r="S547" s="7" t="s">
        <v>827</v>
      </c>
      <c r="T547" s="7" t="s">
        <v>828</v>
      </c>
      <c r="U547" s="7" t="str">
        <f t="shared" si="73"/>
        <v>CLK_DETM_DETIS_EEDS_V</v>
      </c>
      <c r="V547" s="7" t="s">
        <v>829</v>
      </c>
    </row>
    <row r="548" spans="1:22">
      <c r="A548" s="7" t="str">
        <f>TRIM(ETLMetadata!$B548)</f>
        <v>CLK</v>
      </c>
      <c r="B548" s="7" t="str">
        <f>TRIM(ETLMetadata!$C548)</f>
        <v>DETM_DETIS_EEDS</v>
      </c>
      <c r="C548" s="7" t="str">
        <f>TRIM(ETLMetadata!$F548)</f>
        <v>EEDS_AMR_2</v>
      </c>
      <c r="D548" s="7" t="str">
        <f>TRIM(ETLMetadata!$H548)</f>
        <v>StringType()</v>
      </c>
      <c r="E548" s="7" t="str">
        <f t="shared" si="72"/>
        <v>CLK_DETM_DETIS_EEDS</v>
      </c>
      <c r="F548" s="7" t="str">
        <f t="shared" si="66"/>
        <v>EEDS_AMR_2</v>
      </c>
      <c r="G548" s="7" t="s">
        <v>825</v>
      </c>
      <c r="H548" s="7" t="str">
        <f t="shared" si="67"/>
        <v>CLK_DETM_DETIS_EEDS</v>
      </c>
      <c r="I548" s="7" t="str">
        <f t="shared" si="68"/>
        <v>EEDS_AMR_2</v>
      </c>
      <c r="J548" s="7" t="str">
        <f t="shared" si="69"/>
        <v>VARCHAR</v>
      </c>
      <c r="K548" s="7" t="str">
        <f>TRIM(ETLMetadata!$G548)</f>
        <v>CHAR(1)</v>
      </c>
      <c r="L548" s="7" t="str">
        <f>TRIM(ETLMetadata!$I548)</f>
        <v/>
      </c>
      <c r="M548" s="7" t="str">
        <f t="shared" si="70"/>
        <v>NULLIF(TRIM(EEDS_AMR_2),'')</v>
      </c>
      <c r="N548" s="7" t="str">
        <f>TRIM(ETLMetadata!$J548)</f>
        <v/>
      </c>
      <c r="O548" s="8" t="str">
        <f>IF(TRIM(Classification!$G548)="","NOT CONFIDENTIAL",TRIM(Classification!$G548))</f>
        <v>NOT CONFIDENTIAL</v>
      </c>
      <c r="P548" s="7" t="str">
        <f t="shared" si="71"/>
        <v>Y</v>
      </c>
      <c r="Q548" s="7" t="s">
        <v>826</v>
      </c>
      <c r="R548" s="9">
        <v>2958465</v>
      </c>
      <c r="S548" s="7" t="s">
        <v>827</v>
      </c>
      <c r="T548" s="7" t="s">
        <v>828</v>
      </c>
      <c r="U548" s="7" t="str">
        <f t="shared" si="73"/>
        <v>CLK_DETM_DETIS_EEDS_V</v>
      </c>
      <c r="V548" s="7" t="s">
        <v>829</v>
      </c>
    </row>
    <row r="549" spans="1:22">
      <c r="A549" s="7" t="str">
        <f>TRIM(ETLMetadata!$B549)</f>
        <v>CLK</v>
      </c>
      <c r="B549" s="7" t="str">
        <f>TRIM(ETLMetadata!$C549)</f>
        <v>DETM_DETIS_EEDS</v>
      </c>
      <c r="C549" s="7" t="str">
        <f>TRIM(ETLMetadata!$F549)</f>
        <v>EEDS_AMR_3</v>
      </c>
      <c r="D549" s="7" t="str">
        <f>TRIM(ETLMetadata!$H549)</f>
        <v>StringType()</v>
      </c>
      <c r="E549" s="7" t="str">
        <f t="shared" si="72"/>
        <v>CLK_DETM_DETIS_EEDS</v>
      </c>
      <c r="F549" s="7" t="str">
        <f t="shared" si="66"/>
        <v>EEDS_AMR_3</v>
      </c>
      <c r="G549" s="7" t="s">
        <v>825</v>
      </c>
      <c r="H549" s="7" t="str">
        <f t="shared" si="67"/>
        <v>CLK_DETM_DETIS_EEDS</v>
      </c>
      <c r="I549" s="7" t="str">
        <f t="shared" si="68"/>
        <v>EEDS_AMR_3</v>
      </c>
      <c r="J549" s="7" t="str">
        <f t="shared" si="69"/>
        <v>VARCHAR</v>
      </c>
      <c r="K549" s="7" t="str">
        <f>TRIM(ETLMetadata!$G549)</f>
        <v>CHAR(4)</v>
      </c>
      <c r="L549" s="7" t="str">
        <f>TRIM(ETLMetadata!$I549)</f>
        <v/>
      </c>
      <c r="M549" s="7" t="str">
        <f t="shared" si="70"/>
        <v>NULLIF(TRIM(EEDS_AMR_3),'')</v>
      </c>
      <c r="N549" s="7" t="str">
        <f>TRIM(ETLMetadata!$J549)</f>
        <v/>
      </c>
      <c r="O549" s="8" t="str">
        <f>IF(TRIM(Classification!$G549)="","NOT CONFIDENTIAL",TRIM(Classification!$G549))</f>
        <v>NOT CONFIDENTIAL</v>
      </c>
      <c r="P549" s="7" t="str">
        <f t="shared" si="71"/>
        <v>Y</v>
      </c>
      <c r="Q549" s="7" t="s">
        <v>826</v>
      </c>
      <c r="R549" s="9">
        <v>2958465</v>
      </c>
      <c r="S549" s="7" t="s">
        <v>827</v>
      </c>
      <c r="T549" s="7" t="s">
        <v>828</v>
      </c>
      <c r="U549" s="7" t="str">
        <f t="shared" si="73"/>
        <v>CLK_DETM_DETIS_EEDS_V</v>
      </c>
      <c r="V549" s="7" t="s">
        <v>829</v>
      </c>
    </row>
    <row r="550" spans="1:22">
      <c r="A550" s="7" t="str">
        <f>TRIM(ETLMetadata!$B550)</f>
        <v>CLK</v>
      </c>
      <c r="B550" s="7" t="str">
        <f>TRIM(ETLMetadata!$C550)</f>
        <v>DETM_DETIS_EEDS</v>
      </c>
      <c r="C550" s="7" t="str">
        <f>TRIM(ETLMetadata!$F550)</f>
        <v>EEDS_BEN_TYPE_CODE</v>
      </c>
      <c r="D550" s="7" t="str">
        <f>TRIM(ETLMetadata!$H550)</f>
        <v>StringType()</v>
      </c>
      <c r="E550" s="7" t="str">
        <f t="shared" si="72"/>
        <v>CLK_DETM_DETIS_EEDS</v>
      </c>
      <c r="F550" s="7" t="str">
        <f t="shared" si="66"/>
        <v>EEDS_BEN_TYPE_CODE</v>
      </c>
      <c r="G550" s="7" t="s">
        <v>825</v>
      </c>
      <c r="H550" s="7" t="str">
        <f t="shared" si="67"/>
        <v>CLK_DETM_DETIS_EEDS</v>
      </c>
      <c r="I550" s="7" t="str">
        <f t="shared" si="68"/>
        <v>EEDS_BEN_TYPE_CODE</v>
      </c>
      <c r="J550" s="7" t="str">
        <f t="shared" si="69"/>
        <v>VARCHAR</v>
      </c>
      <c r="K550" s="7" t="str">
        <f>TRIM(ETLMetadata!$G550)</f>
        <v>CHAR(3)</v>
      </c>
      <c r="L550" s="7" t="str">
        <f>TRIM(ETLMetadata!$I550)</f>
        <v/>
      </c>
      <c r="M550" s="7" t="str">
        <f t="shared" si="70"/>
        <v>NULLIF(TRIM(EEDS_BEN_TYPE_CODE),'')</v>
      </c>
      <c r="N550" s="7" t="str">
        <f>TRIM(ETLMetadata!$J550)</f>
        <v/>
      </c>
      <c r="O550" s="8" t="str">
        <f>IF(TRIM(Classification!$G550)="","NOT CONFIDENTIAL",TRIM(Classification!$G550))</f>
        <v>NOT CONFIDENTIAL</v>
      </c>
      <c r="P550" s="7" t="str">
        <f t="shared" si="71"/>
        <v>Y</v>
      </c>
      <c r="Q550" s="7" t="s">
        <v>826</v>
      </c>
      <c r="R550" s="9">
        <v>2958465</v>
      </c>
      <c r="S550" s="7" t="s">
        <v>827</v>
      </c>
      <c r="T550" s="7" t="s">
        <v>828</v>
      </c>
      <c r="U550" s="7" t="str">
        <f t="shared" si="73"/>
        <v>CLK_DETM_DETIS_EEDS_V</v>
      </c>
      <c r="V550" s="7" t="s">
        <v>829</v>
      </c>
    </row>
    <row r="551" spans="1:22">
      <c r="A551" s="7" t="str">
        <f>TRIM(ETLMetadata!$B551)</f>
        <v>CLK</v>
      </c>
      <c r="B551" s="7" t="str">
        <f>TRIM(ETLMetadata!$C551)</f>
        <v>DETM_DETIS_EEDS</v>
      </c>
      <c r="C551" s="7" t="str">
        <f>TRIM(ETLMetadata!$F551)</f>
        <v>EEDS_STS_CODE</v>
      </c>
      <c r="D551" s="7" t="str">
        <f>TRIM(ETLMetadata!$H551)</f>
        <v>StringType()</v>
      </c>
      <c r="E551" s="7" t="str">
        <f t="shared" si="72"/>
        <v>CLK_DETM_DETIS_EEDS</v>
      </c>
      <c r="F551" s="7" t="str">
        <f t="shared" si="66"/>
        <v>EEDS_STS_CODE</v>
      </c>
      <c r="G551" s="7" t="s">
        <v>825</v>
      </c>
      <c r="H551" s="7" t="str">
        <f t="shared" si="67"/>
        <v>CLK_DETM_DETIS_EEDS</v>
      </c>
      <c r="I551" s="7" t="str">
        <f t="shared" si="68"/>
        <v>EEDS_STS_CODE</v>
      </c>
      <c r="J551" s="7" t="str">
        <f t="shared" si="69"/>
        <v>VARCHAR</v>
      </c>
      <c r="K551" s="7" t="str">
        <f>TRIM(ETLMetadata!$G551)</f>
        <v>CHAR(3)</v>
      </c>
      <c r="L551" s="7" t="str">
        <f>TRIM(ETLMetadata!$I551)</f>
        <v/>
      </c>
      <c r="M551" s="7" t="str">
        <f t="shared" si="70"/>
        <v>NULLIF(TRIM(EEDS_STS_CODE),'')</v>
      </c>
      <c r="N551" s="7" t="str">
        <f>TRIM(ETLMetadata!$J551)</f>
        <v/>
      </c>
      <c r="O551" s="8" t="str">
        <f>IF(TRIM(Classification!$G551)="","NOT CONFIDENTIAL",TRIM(Classification!$G551))</f>
        <v>NOT CONFIDENTIAL</v>
      </c>
      <c r="P551" s="7" t="str">
        <f t="shared" si="71"/>
        <v>Y</v>
      </c>
      <c r="Q551" s="7" t="s">
        <v>826</v>
      </c>
      <c r="R551" s="9">
        <v>2958465</v>
      </c>
      <c r="S551" s="7" t="s">
        <v>827</v>
      </c>
      <c r="T551" s="7" t="s">
        <v>828</v>
      </c>
      <c r="U551" s="7" t="str">
        <f t="shared" si="73"/>
        <v>CLK_DETM_DETIS_EEDS_V</v>
      </c>
      <c r="V551" s="7" t="s">
        <v>829</v>
      </c>
    </row>
    <row r="552" spans="1:22">
      <c r="A552" s="7" t="str">
        <f>TRIM(ETLMetadata!$B552)</f>
        <v>CLK</v>
      </c>
      <c r="B552" s="7" t="str">
        <f>TRIM(ETLMetadata!$C552)</f>
        <v>DETM_DETIS_EEDS</v>
      </c>
      <c r="C552" s="7" t="str">
        <f>TRIM(ETLMetadata!$F552)</f>
        <v>EEDS_RSN_CODE</v>
      </c>
      <c r="D552" s="7" t="str">
        <f>TRIM(ETLMetadata!$H552)</f>
        <v>StringType()</v>
      </c>
      <c r="E552" s="7" t="str">
        <f t="shared" si="72"/>
        <v>CLK_DETM_DETIS_EEDS</v>
      </c>
      <c r="F552" s="7" t="str">
        <f t="shared" si="66"/>
        <v>EEDS_RSN_CODE</v>
      </c>
      <c r="G552" s="7" t="s">
        <v>825</v>
      </c>
      <c r="H552" s="7" t="str">
        <f t="shared" si="67"/>
        <v>CLK_DETM_DETIS_EEDS</v>
      </c>
      <c r="I552" s="7" t="str">
        <f t="shared" si="68"/>
        <v>EEDS_RSN_CODE</v>
      </c>
      <c r="J552" s="7" t="str">
        <f t="shared" si="69"/>
        <v>VARCHAR</v>
      </c>
      <c r="K552" s="7" t="str">
        <f>TRIM(ETLMetadata!$G552)</f>
        <v>CHAR(3)</v>
      </c>
      <c r="L552" s="7" t="str">
        <f>TRIM(ETLMetadata!$I552)</f>
        <v/>
      </c>
      <c r="M552" s="7" t="str">
        <f t="shared" si="70"/>
        <v>NULLIF(TRIM(EEDS_RSN_CODE),'')</v>
      </c>
      <c r="N552" s="7" t="str">
        <f>TRIM(ETLMetadata!$J552)</f>
        <v/>
      </c>
      <c r="O552" s="8" t="str">
        <f>IF(TRIM(Classification!$G552)="","NOT CONFIDENTIAL",TRIM(Classification!$G552))</f>
        <v>NOT CONFIDENTIAL</v>
      </c>
      <c r="P552" s="7" t="str">
        <f t="shared" si="71"/>
        <v>Y</v>
      </c>
      <c r="Q552" s="7" t="s">
        <v>826</v>
      </c>
      <c r="R552" s="9">
        <v>2958465</v>
      </c>
      <c r="S552" s="7" t="s">
        <v>827</v>
      </c>
      <c r="T552" s="7" t="s">
        <v>828</v>
      </c>
      <c r="U552" s="7" t="str">
        <f t="shared" si="73"/>
        <v>CLK_DETM_DETIS_EEDS_V</v>
      </c>
      <c r="V552" s="7" t="s">
        <v>829</v>
      </c>
    </row>
    <row r="553" spans="1:22">
      <c r="A553" s="7" t="str">
        <f>TRIM(ETLMetadata!$B553)</f>
        <v>CLK</v>
      </c>
      <c r="B553" s="7" t="str">
        <f>TRIM(ETLMetadata!$C553)</f>
        <v>DETM_DETIS_EEDS</v>
      </c>
      <c r="C553" s="7" t="str">
        <f>TRIM(ETLMetadata!$F553)</f>
        <v>EEDS_UNIQ_ID</v>
      </c>
      <c r="D553" s="7" t="str">
        <f>TRIM(ETLMetadata!$H553)</f>
        <v>StringType()</v>
      </c>
      <c r="E553" s="7" t="str">
        <f t="shared" si="72"/>
        <v>CLK_DETM_DETIS_EEDS</v>
      </c>
      <c r="F553" s="7" t="str">
        <f t="shared" si="66"/>
        <v>EEDS_UNIQ_ID</v>
      </c>
      <c r="G553" s="7" t="s">
        <v>825</v>
      </c>
      <c r="H553" s="7" t="str">
        <f t="shared" si="67"/>
        <v>CLK_DETM_DETIS_EEDS</v>
      </c>
      <c r="I553" s="7" t="str">
        <f t="shared" si="68"/>
        <v>EEDS_UNIQ_ID</v>
      </c>
      <c r="J553" s="7" t="str">
        <f t="shared" si="69"/>
        <v>VARCHAR</v>
      </c>
      <c r="K553" s="7" t="str">
        <f>TRIM(ETLMetadata!$G553)</f>
        <v>VARCHAR(8)</v>
      </c>
      <c r="L553" s="7" t="str">
        <f>TRIM(ETLMetadata!$I553)</f>
        <v/>
      </c>
      <c r="M553" s="7" t="str">
        <f t="shared" si="70"/>
        <v>NULLIF(TRIM(EEDS_UNIQ_ID),'')</v>
      </c>
      <c r="N553" s="7" t="str">
        <f>TRIM(ETLMetadata!$J553)</f>
        <v/>
      </c>
      <c r="O553" s="8" t="str">
        <f>IF(TRIM(Classification!$G553)="","NOT CONFIDENTIAL",TRIM(Classification!$G553))</f>
        <v>NOT CONFIDENTIAL</v>
      </c>
      <c r="P553" s="7" t="str">
        <f t="shared" si="71"/>
        <v>Y</v>
      </c>
      <c r="Q553" s="7" t="s">
        <v>826</v>
      </c>
      <c r="R553" s="9">
        <v>2958465</v>
      </c>
      <c r="S553" s="7" t="s">
        <v>827</v>
      </c>
      <c r="T553" s="7" t="s">
        <v>828</v>
      </c>
      <c r="U553" s="7" t="str">
        <f t="shared" si="73"/>
        <v>CLK_DETM_DETIS_EEDS_V</v>
      </c>
      <c r="V553" s="7" t="s">
        <v>829</v>
      </c>
    </row>
    <row r="554" spans="1:22">
      <c r="A554" s="7" t="str">
        <f>TRIM(ETLMetadata!$B554)</f>
        <v>CLK</v>
      </c>
      <c r="B554" s="7" t="str">
        <f>TRIM(ETLMetadata!$C554)</f>
        <v>DETM_DETIS_EEDS</v>
      </c>
      <c r="C554" s="7" t="str">
        <f>TRIM(ETLMetadata!$F554)</f>
        <v>AMR1_RISL_DTS</v>
      </c>
      <c r="D554" s="7" t="str">
        <f>TRIM(ETLMetadata!$H554)</f>
        <v>StringType()</v>
      </c>
      <c r="E554" s="7" t="str">
        <f t="shared" si="72"/>
        <v>CLK_DETM_DETIS_EEDS</v>
      </c>
      <c r="F554" s="7" t="str">
        <f t="shared" si="66"/>
        <v>AMR1_RISL_DTS</v>
      </c>
      <c r="G554" s="7" t="s">
        <v>825</v>
      </c>
      <c r="H554" s="7" t="str">
        <f t="shared" si="67"/>
        <v>CLK_DETM_DETIS_EEDS</v>
      </c>
      <c r="I554" s="7" t="str">
        <f t="shared" si="68"/>
        <v>AMR1_RISL_DTS</v>
      </c>
      <c r="J554" s="7" t="str">
        <f t="shared" si="69"/>
        <v>TIMESTAMP</v>
      </c>
      <c r="K554" s="7" t="str">
        <f>TRIM(ETLMetadata!$G554)</f>
        <v>TIMESTAMP(6)</v>
      </c>
      <c r="L554" s="7" t="str">
        <f>TRIM(ETLMetadata!$I554)</f>
        <v>YYYY-MM-DDBHH:MI:SS.S(6)</v>
      </c>
      <c r="M554" s="7" t="str">
        <f t="shared" si="70"/>
        <v>TO_TIMESTAMP_NTZ(NULLIF(TRIM(AMR1_RISL_DTS),''),'YYYY-MM-DD HH24:MI:SS.FF6')</v>
      </c>
      <c r="N554" s="7" t="str">
        <f>TRIM(ETLMetadata!$J554)</f>
        <v/>
      </c>
      <c r="O554" s="8" t="str">
        <f>IF(TRIM(Classification!$G554)="","NOT CONFIDENTIAL",TRIM(Classification!$G554))</f>
        <v>NOT CONFIDENTIAL</v>
      </c>
      <c r="P554" s="7" t="str">
        <f t="shared" si="71"/>
        <v>Y</v>
      </c>
      <c r="Q554" s="7" t="s">
        <v>826</v>
      </c>
      <c r="R554" s="9">
        <v>2958465</v>
      </c>
      <c r="S554" s="7" t="s">
        <v>827</v>
      </c>
      <c r="T554" s="7" t="s">
        <v>828</v>
      </c>
      <c r="U554" s="7" t="str">
        <f t="shared" si="73"/>
        <v>CLK_DETM_DETIS_EEDS_V</v>
      </c>
      <c r="V554" s="7" t="s">
        <v>829</v>
      </c>
    </row>
    <row r="555" spans="1:22">
      <c r="A555" s="7" t="str">
        <f>TRIM(ETLMetadata!$B555)</f>
        <v>CLK</v>
      </c>
      <c r="B555" s="7" t="str">
        <f>TRIM(ETLMetadata!$C555)</f>
        <v>DETM_DETIS_EEDS</v>
      </c>
      <c r="C555" s="7" t="str">
        <f>TRIM(ETLMetadata!$F555)</f>
        <v>AMR3_RISL_DTS</v>
      </c>
      <c r="D555" s="7" t="str">
        <f>TRIM(ETLMetadata!$H555)</f>
        <v>StringType()</v>
      </c>
      <c r="E555" s="7" t="str">
        <f t="shared" si="72"/>
        <v>CLK_DETM_DETIS_EEDS</v>
      </c>
      <c r="F555" s="7" t="str">
        <f t="shared" si="66"/>
        <v>AMR3_RISL_DTS</v>
      </c>
      <c r="G555" s="7" t="s">
        <v>825</v>
      </c>
      <c r="H555" s="7" t="str">
        <f t="shared" si="67"/>
        <v>CLK_DETM_DETIS_EEDS</v>
      </c>
      <c r="I555" s="7" t="str">
        <f t="shared" si="68"/>
        <v>AMR3_RISL_DTS</v>
      </c>
      <c r="J555" s="7" t="str">
        <f t="shared" si="69"/>
        <v>TIMESTAMP</v>
      </c>
      <c r="K555" s="7" t="str">
        <f>TRIM(ETLMetadata!$G555)</f>
        <v>TIMESTAMP(6)</v>
      </c>
      <c r="L555" s="7" t="str">
        <f>TRIM(ETLMetadata!$I555)</f>
        <v>YYYY-MM-DDBHH:MI:SS.S(6)</v>
      </c>
      <c r="M555" s="7" t="str">
        <f t="shared" si="70"/>
        <v>TO_TIMESTAMP_NTZ(NULLIF(TRIM(AMR3_RISL_DTS),''),'YYYY-MM-DD HH24:MI:SS.FF6')</v>
      </c>
      <c r="N555" s="7" t="str">
        <f>TRIM(ETLMetadata!$J555)</f>
        <v/>
      </c>
      <c r="O555" s="8" t="str">
        <f>IF(TRIM(Classification!$G555)="","NOT CONFIDENTIAL",TRIM(Classification!$G555))</f>
        <v>NOT CONFIDENTIAL</v>
      </c>
      <c r="P555" s="7" t="str">
        <f t="shared" si="71"/>
        <v>Y</v>
      </c>
      <c r="Q555" s="7" t="s">
        <v>826</v>
      </c>
      <c r="R555" s="9">
        <v>2958465</v>
      </c>
      <c r="S555" s="7" t="s">
        <v>827</v>
      </c>
      <c r="T555" s="7" t="s">
        <v>828</v>
      </c>
      <c r="U555" s="7" t="str">
        <f t="shared" si="73"/>
        <v>CLK_DETM_DETIS_EEDS_V</v>
      </c>
      <c r="V555" s="7" t="s">
        <v>829</v>
      </c>
    </row>
    <row r="556" spans="1:22">
      <c r="A556" s="7" t="str">
        <f>TRIM(ETLMetadata!$B556)</f>
        <v>CLK</v>
      </c>
      <c r="B556" s="7" t="str">
        <f>TRIM(ETLMetadata!$C556)</f>
        <v>DETM_DETIS_EEDS</v>
      </c>
      <c r="C556" s="7" t="str">
        <f>TRIM(ETLMetadata!$F556)</f>
        <v>EPISODE_ID</v>
      </c>
      <c r="D556" s="7" t="str">
        <f>TRIM(ETLMetadata!$H556)</f>
        <v>StringType()</v>
      </c>
      <c r="E556" s="7" t="str">
        <f t="shared" si="72"/>
        <v>CLK_DETM_DETIS_EEDS</v>
      </c>
      <c r="F556" s="7" t="str">
        <f t="shared" si="66"/>
        <v>EPISODE_ID</v>
      </c>
      <c r="G556" s="7" t="s">
        <v>825</v>
      </c>
      <c r="H556" s="7" t="str">
        <f t="shared" si="67"/>
        <v>CLK_DETM_DETIS_EEDS</v>
      </c>
      <c r="I556" s="7" t="str">
        <f t="shared" si="68"/>
        <v>EPISODE_ID</v>
      </c>
      <c r="J556" s="7" t="str">
        <f t="shared" si="69"/>
        <v>INTEGER</v>
      </c>
      <c r="K556" s="7" t="str">
        <f>TRIM(ETLMetadata!$G556)</f>
        <v>INTEGER</v>
      </c>
      <c r="L556" s="7" t="str">
        <f>TRIM(ETLMetadata!$I556)</f>
        <v/>
      </c>
      <c r="M556" s="7" t="str">
        <f t="shared" si="70"/>
        <v>CAST(NULLIF(TRIM(EPISODE_ID),'') AS INTEGER)</v>
      </c>
      <c r="N556" s="7" t="str">
        <f>TRIM(ETLMetadata!$J556)</f>
        <v/>
      </c>
      <c r="O556" s="8" t="str">
        <f>IF(TRIM(Classification!$G556)="","NOT CONFIDENTIAL",TRIM(Classification!$G556))</f>
        <v>NOT CONFIDENTIAL</v>
      </c>
      <c r="P556" s="7" t="str">
        <f t="shared" si="71"/>
        <v>Y</v>
      </c>
      <c r="Q556" s="7" t="s">
        <v>826</v>
      </c>
      <c r="R556" s="9">
        <v>2958465</v>
      </c>
      <c r="S556" s="7" t="s">
        <v>827</v>
      </c>
      <c r="T556" s="7" t="s">
        <v>828</v>
      </c>
      <c r="U556" s="7" t="str">
        <f t="shared" si="73"/>
        <v>CLK_DETM_DETIS_EEDS_V</v>
      </c>
      <c r="V556" s="7" t="s">
        <v>829</v>
      </c>
    </row>
    <row r="557" spans="1:22">
      <c r="A557" s="7" t="str">
        <f>TRIM(ETLMetadata!$B557)</f>
        <v>CLK</v>
      </c>
      <c r="B557" s="7" t="str">
        <f>TRIM(ETLMetadata!$C557)</f>
        <v>DETM_DETIS_EEDS</v>
      </c>
      <c r="C557" s="7" t="str">
        <f>TRIM(ETLMetadata!$F557)</f>
        <v>PARTY_ROLE_ID</v>
      </c>
      <c r="D557" s="7" t="str">
        <f>TRIM(ETLMetadata!$H557)</f>
        <v>StringType()</v>
      </c>
      <c r="E557" s="7" t="str">
        <f t="shared" si="72"/>
        <v>CLK_DETM_DETIS_EEDS</v>
      </c>
      <c r="F557" s="7" t="str">
        <f t="shared" si="66"/>
        <v>PARTY_ROLE_ID</v>
      </c>
      <c r="G557" s="7" t="s">
        <v>825</v>
      </c>
      <c r="H557" s="7" t="str">
        <f t="shared" si="67"/>
        <v>CLK_DETM_DETIS_EEDS</v>
      </c>
      <c r="I557" s="7" t="str">
        <f t="shared" si="68"/>
        <v>PARTY_ROLE_ID</v>
      </c>
      <c r="J557" s="7" t="str">
        <f t="shared" si="69"/>
        <v>INTEGER</v>
      </c>
      <c r="K557" s="7" t="str">
        <f>TRIM(ETLMetadata!$G557)</f>
        <v>INTEGER</v>
      </c>
      <c r="L557" s="7" t="str">
        <f>TRIM(ETLMetadata!$I557)</f>
        <v/>
      </c>
      <c r="M557" s="7" t="str">
        <f t="shared" si="70"/>
        <v>CAST(NULLIF(TRIM(PARTY_ROLE_ID),'') AS INTEGER)</v>
      </c>
      <c r="N557" s="7" t="str">
        <f>TRIM(ETLMetadata!$J557)</f>
        <v/>
      </c>
      <c r="O557" s="8" t="str">
        <f>IF(TRIM(Classification!$G557)="","NOT CONFIDENTIAL",TRIM(Classification!$G557))</f>
        <v>NOT CONFIDENTIAL</v>
      </c>
      <c r="P557" s="7" t="str">
        <f t="shared" si="71"/>
        <v>Y</v>
      </c>
      <c r="Q557" s="7" t="s">
        <v>826</v>
      </c>
      <c r="R557" s="9">
        <v>2958465</v>
      </c>
      <c r="S557" s="7" t="s">
        <v>827</v>
      </c>
      <c r="T557" s="7" t="s">
        <v>828</v>
      </c>
      <c r="U557" s="7" t="str">
        <f t="shared" si="73"/>
        <v>CLK_DETM_DETIS_EEDS_V</v>
      </c>
      <c r="V557" s="7" t="s">
        <v>829</v>
      </c>
    </row>
    <row r="558" spans="1:22">
      <c r="A558" s="7" t="str">
        <f>TRIM(ETLMetadata!$B558)</f>
        <v>CLK</v>
      </c>
      <c r="B558" s="7" t="str">
        <f>TRIM(ETLMetadata!$C558)</f>
        <v>DETM_DETIS_EEDS</v>
      </c>
      <c r="C558" s="7" t="str">
        <f>TRIM(ETLMetadata!$F558)</f>
        <v>PAYMENT_TYPE_ID</v>
      </c>
      <c r="D558" s="7" t="str">
        <f>TRIM(ETLMetadata!$H558)</f>
        <v>StringType()</v>
      </c>
      <c r="E558" s="7" t="str">
        <f t="shared" si="72"/>
        <v>CLK_DETM_DETIS_EEDS</v>
      </c>
      <c r="F558" s="7" t="str">
        <f t="shared" si="66"/>
        <v>PAYMENT_TYPE_ID</v>
      </c>
      <c r="G558" s="7" t="s">
        <v>825</v>
      </c>
      <c r="H558" s="7" t="str">
        <f t="shared" si="67"/>
        <v>CLK_DETM_DETIS_EEDS</v>
      </c>
      <c r="I558" s="7" t="str">
        <f t="shared" si="68"/>
        <v>PAYMENT_TYPE_ID</v>
      </c>
      <c r="J558" s="7" t="str">
        <f t="shared" si="69"/>
        <v>INTEGER</v>
      </c>
      <c r="K558" s="7" t="str">
        <f>TRIM(ETLMetadata!$G558)</f>
        <v>INTEGER</v>
      </c>
      <c r="L558" s="7" t="str">
        <f>TRIM(ETLMetadata!$I558)</f>
        <v/>
      </c>
      <c r="M558" s="7" t="str">
        <f t="shared" si="70"/>
        <v>CAST(NULLIF(TRIM(PAYMENT_TYPE_ID),'') AS INTEGER)</v>
      </c>
      <c r="N558" s="7" t="str">
        <f>TRIM(ETLMetadata!$J558)</f>
        <v/>
      </c>
      <c r="O558" s="8" t="str">
        <f>IF(TRIM(Classification!$G558)="","NOT CONFIDENTIAL",TRIM(Classification!$G558))</f>
        <v>NOT CONFIDENTIAL</v>
      </c>
      <c r="P558" s="7" t="str">
        <f t="shared" si="71"/>
        <v>Y</v>
      </c>
      <c r="Q558" s="7" t="s">
        <v>826</v>
      </c>
      <c r="R558" s="9">
        <v>2958465</v>
      </c>
      <c r="S558" s="7" t="s">
        <v>827</v>
      </c>
      <c r="T558" s="7" t="s">
        <v>828</v>
      </c>
      <c r="U558" s="7" t="str">
        <f t="shared" si="73"/>
        <v>CLK_DETM_DETIS_EEDS_V</v>
      </c>
      <c r="V558" s="7" t="s">
        <v>829</v>
      </c>
    </row>
    <row r="559" spans="1:22">
      <c r="A559" s="7" t="str">
        <f>TRIM(ETLMetadata!$B559)</f>
        <v>CLK</v>
      </c>
      <c r="B559" s="7" t="str">
        <f>TRIM(ETLMetadata!$C559)</f>
        <v>DETM_DETIS_EEDS</v>
      </c>
      <c r="C559" s="7" t="str">
        <f>TRIM(ETLMetadata!$F559)</f>
        <v>ERROR_COUNT</v>
      </c>
      <c r="D559" s="7" t="str">
        <f>TRIM(ETLMetadata!$H559)</f>
        <v>StringType()</v>
      </c>
      <c r="E559" s="7" t="str">
        <f t="shared" si="72"/>
        <v>CLK_DETM_DETIS_EEDS</v>
      </c>
      <c r="F559" s="7" t="str">
        <f t="shared" si="66"/>
        <v>ERROR_COUNT</v>
      </c>
      <c r="G559" s="7" t="s">
        <v>825</v>
      </c>
      <c r="H559" s="7" t="str">
        <f t="shared" si="67"/>
        <v>CLK_DETM_DETIS_EEDS</v>
      </c>
      <c r="I559" s="7" t="str">
        <f t="shared" si="68"/>
        <v>ERROR_COUNT</v>
      </c>
      <c r="J559" s="7" t="str">
        <f t="shared" si="69"/>
        <v>SMALLINT</v>
      </c>
      <c r="K559" s="7" t="str">
        <f>TRIM(ETLMetadata!$G559)</f>
        <v>SMALLINT</v>
      </c>
      <c r="L559" s="7" t="str">
        <f>TRIM(ETLMetadata!$I559)</f>
        <v/>
      </c>
      <c r="M559" s="7" t="str">
        <f t="shared" si="70"/>
        <v>CAST(NULLIF(TRIM(ERROR_COUNT),'') AS SMALLINT)</v>
      </c>
      <c r="N559" s="7" t="str">
        <f>TRIM(ETLMetadata!$J559)</f>
        <v/>
      </c>
      <c r="O559" s="8" t="str">
        <f>IF(TRIM(Classification!$G559)="","NOT CONFIDENTIAL",TRIM(Classification!$G559))</f>
        <v>NOT CONFIDENTIAL</v>
      </c>
      <c r="P559" s="7" t="str">
        <f t="shared" si="71"/>
        <v>Y</v>
      </c>
      <c r="Q559" s="7" t="s">
        <v>826</v>
      </c>
      <c r="R559" s="9">
        <v>2958465</v>
      </c>
      <c r="S559" s="7" t="s">
        <v>827</v>
      </c>
      <c r="T559" s="7" t="s">
        <v>828</v>
      </c>
      <c r="U559" s="7" t="str">
        <f t="shared" si="73"/>
        <v>CLK_DETM_DETIS_EEDS_V</v>
      </c>
      <c r="V559" s="7" t="s">
        <v>829</v>
      </c>
    </row>
    <row r="560" spans="1:22">
      <c r="A560" s="7" t="str">
        <f>TRIM(ETLMetadata!$B560)</f>
        <v>CLK</v>
      </c>
      <c r="B560" s="7" t="str">
        <f>TRIM(ETLMetadata!$C560)</f>
        <v>DETM_DETIS_EEDS</v>
      </c>
      <c r="C560" s="7" t="str">
        <f>TRIM(ETLMetadata!$F560)</f>
        <v>Start_Date</v>
      </c>
      <c r="D560" s="7" t="str">
        <f>TRIM(ETLMetadata!$H560)</f>
        <v>StringType()</v>
      </c>
      <c r="E560" s="7" t="str">
        <f t="shared" si="72"/>
        <v>CLK_DETM_DETIS_EEDS</v>
      </c>
      <c r="F560" s="7" t="str">
        <f t="shared" si="66"/>
        <v>STRT_DT</v>
      </c>
      <c r="G560" s="7" t="s">
        <v>825</v>
      </c>
      <c r="H560" s="7" t="str">
        <f t="shared" si="67"/>
        <v>CLK_DETM_DETIS_EEDS</v>
      </c>
      <c r="I560" s="7" t="str">
        <f t="shared" si="68"/>
        <v>STRT_DT</v>
      </c>
      <c r="J560" s="7" t="str">
        <f t="shared" si="69"/>
        <v>DATE</v>
      </c>
      <c r="K560" s="7" t="str">
        <f>TRIM(ETLMetadata!$G560)</f>
        <v>DATE</v>
      </c>
      <c r="L560" s="7" t="str">
        <f>TRIM(ETLMetadata!$I560)</f>
        <v>YYYY-MM-DD</v>
      </c>
      <c r="M560" s="7" t="str">
        <f t="shared" si="70"/>
        <v>TO_DATE(NULLIF(TRIM(STRT_DT),'') , 'YYYY-MM-DD')</v>
      </c>
      <c r="N560" s="7" t="str">
        <f>TRIM(ETLMetadata!$J560)</f>
        <v/>
      </c>
      <c r="O560" s="8" t="str">
        <f>IF(TRIM(Classification!$G560)="","NOT CONFIDENTIAL",TRIM(Classification!$G560))</f>
        <v>NOT CONFIDENTIAL</v>
      </c>
      <c r="P560" s="7" t="str">
        <f t="shared" si="71"/>
        <v>N</v>
      </c>
      <c r="Q560" s="7" t="s">
        <v>826</v>
      </c>
      <c r="R560" s="9">
        <v>2958465</v>
      </c>
      <c r="S560" s="7" t="s">
        <v>827</v>
      </c>
      <c r="T560" s="7" t="s">
        <v>828</v>
      </c>
      <c r="U560" s="7" t="str">
        <f t="shared" si="73"/>
        <v>CLK_DETM_DETIS_EEDS_V</v>
      </c>
      <c r="V560" s="7" t="s">
        <v>829</v>
      </c>
    </row>
    <row r="561" spans="1:22">
      <c r="A561" s="7" t="str">
        <f>TRIM(ETLMetadata!$B561)</f>
        <v>CLK</v>
      </c>
      <c r="B561" s="7" t="str">
        <f>TRIM(ETLMetadata!$C561)</f>
        <v>DETM_DETIS_EEDS</v>
      </c>
      <c r="C561" s="7" t="str">
        <f>TRIM(ETLMetadata!$F561)</f>
        <v>End_Date</v>
      </c>
      <c r="D561" s="7" t="str">
        <f>TRIM(ETLMetadata!$H561)</f>
        <v>StringType()</v>
      </c>
      <c r="E561" s="7" t="str">
        <f t="shared" si="72"/>
        <v>CLK_DETM_DETIS_EEDS</v>
      </c>
      <c r="F561" s="7" t="str">
        <f t="shared" si="66"/>
        <v>END_DT</v>
      </c>
      <c r="G561" s="7" t="s">
        <v>825</v>
      </c>
      <c r="H561" s="7" t="str">
        <f t="shared" si="67"/>
        <v>CLK_DETM_DETIS_EEDS</v>
      </c>
      <c r="I561" s="7" t="str">
        <f t="shared" si="68"/>
        <v>END_DT</v>
      </c>
      <c r="J561" s="7" t="str">
        <f t="shared" si="69"/>
        <v>DATE</v>
      </c>
      <c r="K561" s="7" t="str">
        <f>TRIM(ETLMetadata!$G561)</f>
        <v>DATE</v>
      </c>
      <c r="L561" s="7" t="str">
        <f>TRIM(ETLMetadata!$I561)</f>
        <v>YYYY-MM-DD</v>
      </c>
      <c r="M561" s="7" t="str">
        <f t="shared" si="70"/>
        <v>TO_DATE(NULLIF(TRIM(END_DT),'') , 'YYYY-MM-DD')</v>
      </c>
      <c r="N561" s="7" t="str">
        <f>TRIM(ETLMetadata!$J561)</f>
        <v/>
      </c>
      <c r="O561" s="8" t="str">
        <f>IF(TRIM(Classification!$G561)="","NOT CONFIDENTIAL",TRIM(Classification!$G561))</f>
        <v>NOT CONFIDENTIAL</v>
      </c>
      <c r="P561" s="7" t="str">
        <f t="shared" si="71"/>
        <v>N</v>
      </c>
      <c r="Q561" s="7" t="s">
        <v>826</v>
      </c>
      <c r="R561" s="9">
        <v>2958465</v>
      </c>
      <c r="S561" s="7" t="s">
        <v>827</v>
      </c>
      <c r="T561" s="7" t="s">
        <v>828</v>
      </c>
      <c r="U561" s="7" t="str">
        <f t="shared" si="73"/>
        <v>CLK_DETM_DETIS_EEDS_V</v>
      </c>
      <c r="V561" s="7" t="s">
        <v>829</v>
      </c>
    </row>
    <row r="562" spans="1:22">
      <c r="A562" s="7" t="str">
        <f>TRIM(ETLMetadata!$B562)</f>
        <v>CLK</v>
      </c>
      <c r="B562" s="7" t="str">
        <f>TRIM(ETLMetadata!$C562)</f>
        <v>DETM_DETIS_EEDS</v>
      </c>
      <c r="C562" s="7" t="str">
        <f>TRIM(ETLMetadata!$F562)</f>
        <v>Record_Deleted_Flag</v>
      </c>
      <c r="D562" s="7" t="str">
        <f>TRIM(ETLMetadata!$H562)</f>
        <v>StringType()</v>
      </c>
      <c r="E562" s="7" t="str">
        <f t="shared" si="72"/>
        <v>CLK_DETM_DETIS_EEDS</v>
      </c>
      <c r="F562" s="7" t="str">
        <f t="shared" si="66"/>
        <v>RCRD_DEL_IND</v>
      </c>
      <c r="G562" s="7" t="s">
        <v>825</v>
      </c>
      <c r="H562" s="7" t="str">
        <f t="shared" si="67"/>
        <v>CLK_DETM_DETIS_EEDS</v>
      </c>
      <c r="I562" s="7" t="str">
        <f t="shared" si="68"/>
        <v>RCRD_DEL_IND</v>
      </c>
      <c r="J562" s="7" t="str">
        <f t="shared" si="69"/>
        <v>SMALLINT</v>
      </c>
      <c r="K562" s="7" t="str">
        <f>TRIM(ETLMetadata!$G562)</f>
        <v>BYTEINT</v>
      </c>
      <c r="L562" s="7" t="str">
        <f>TRIM(ETLMetadata!$I562)</f>
        <v/>
      </c>
      <c r="M562" s="7" t="str">
        <f t="shared" si="70"/>
        <v>CAST(NULLIF(TRIM(RCRD_DEL_IND),'') AS SMALLINT)</v>
      </c>
      <c r="N562" s="7" t="str">
        <f>TRIM(ETLMetadata!$J562)</f>
        <v/>
      </c>
      <c r="O562" s="8" t="str">
        <f>IF(TRIM(Classification!$G562)="","NOT CONFIDENTIAL",TRIM(Classification!$G562))</f>
        <v>NOT CONFIDENTIAL</v>
      </c>
      <c r="P562" s="7" t="str">
        <f t="shared" si="71"/>
        <v>N</v>
      </c>
      <c r="Q562" s="7" t="s">
        <v>826</v>
      </c>
      <c r="R562" s="9">
        <v>2958465</v>
      </c>
      <c r="S562" s="7" t="s">
        <v>827</v>
      </c>
      <c r="T562" s="7" t="s">
        <v>828</v>
      </c>
      <c r="U562" s="7" t="str">
        <f t="shared" si="73"/>
        <v>CLK_DETM_DETIS_EEDS_V</v>
      </c>
      <c r="V562" s="7" t="s">
        <v>829</v>
      </c>
    </row>
    <row r="563" spans="1:22">
      <c r="A563" s="7" t="str">
        <f>TRIM(ETLMetadata!$B563)</f>
        <v>CLK</v>
      </c>
      <c r="B563" s="7" t="str">
        <f>TRIM(ETLMetadata!$C563)</f>
        <v>DETM_DETIS_EHDS</v>
      </c>
      <c r="C563" s="7" t="str">
        <f>TRIM(ETLMetadata!$F563)</f>
        <v>EXTRACT_DATE</v>
      </c>
      <c r="D563" s="7" t="str">
        <f>TRIM(ETLMetadata!$H563)</f>
        <v>StringType()</v>
      </c>
      <c r="E563" s="7" t="str">
        <f t="shared" si="72"/>
        <v>CLK_DETM_DETIS_EHDS</v>
      </c>
      <c r="F563" s="7" t="str">
        <f t="shared" si="66"/>
        <v>EXTRACT_DATE</v>
      </c>
      <c r="G563" s="7" t="s">
        <v>825</v>
      </c>
      <c r="H563" s="7" t="str">
        <f t="shared" si="67"/>
        <v>CLK_DETM_DETIS_EHDS</v>
      </c>
      <c r="I563" s="7" t="str">
        <f t="shared" si="68"/>
        <v>EXTRACT_DATE</v>
      </c>
      <c r="J563" s="7" t="str">
        <f t="shared" si="69"/>
        <v>DATE</v>
      </c>
      <c r="K563" s="7" t="str">
        <f>TRIM(ETLMetadata!$G563)</f>
        <v>DATE</v>
      </c>
      <c r="L563" s="7" t="str">
        <f>TRIM(ETLMetadata!$I563)</f>
        <v>YYYY-MM-DD</v>
      </c>
      <c r="M563" s="7" t="str">
        <f t="shared" si="70"/>
        <v>TO_DATE(NULLIF(TRIM(EXTRACT_DATE),'') , 'YYYY-MM-DD')</v>
      </c>
      <c r="N563" s="7" t="str">
        <f>TRIM(ETLMetadata!$J563)</f>
        <v/>
      </c>
      <c r="O563" s="8" t="str">
        <f>IF(TRIM(Classification!$G563)="","NOT CONFIDENTIAL",TRIM(Classification!$G563))</f>
        <v>NOT CONFIDENTIAL</v>
      </c>
      <c r="P563" s="7" t="str">
        <f t="shared" si="71"/>
        <v>Y</v>
      </c>
      <c r="Q563" s="7" t="s">
        <v>826</v>
      </c>
      <c r="R563" s="9">
        <v>2958465</v>
      </c>
      <c r="S563" s="7" t="s">
        <v>827</v>
      </c>
      <c r="T563" s="7" t="s">
        <v>828</v>
      </c>
      <c r="U563" s="7" t="str">
        <f t="shared" si="73"/>
        <v>CLK_DETM_DETIS_EHDS_V</v>
      </c>
      <c r="V563" s="7" t="s">
        <v>829</v>
      </c>
    </row>
    <row r="564" spans="1:22">
      <c r="A564" s="7" t="str">
        <f>TRIM(ETLMetadata!$B564)</f>
        <v>CLK</v>
      </c>
      <c r="B564" s="7" t="str">
        <f>TRIM(ETLMetadata!$C564)</f>
        <v>DETM_DETIS_EHDS</v>
      </c>
      <c r="C564" s="7" t="str">
        <f>TRIM(ETLMetadata!$F564)</f>
        <v>LOGICAL_DELETE_DATE</v>
      </c>
      <c r="D564" s="7" t="str">
        <f>TRIM(ETLMetadata!$H564)</f>
        <v>StringType()</v>
      </c>
      <c r="E564" s="7" t="str">
        <f t="shared" si="72"/>
        <v>CLK_DETM_DETIS_EHDS</v>
      </c>
      <c r="F564" s="7" t="str">
        <f t="shared" si="66"/>
        <v>LOGICAL_DELETE_DATE</v>
      </c>
      <c r="G564" s="7" t="s">
        <v>825</v>
      </c>
      <c r="H564" s="7" t="str">
        <f t="shared" si="67"/>
        <v>CLK_DETM_DETIS_EHDS</v>
      </c>
      <c r="I564" s="7" t="str">
        <f t="shared" si="68"/>
        <v>LOGICAL_DELETE_DATE</v>
      </c>
      <c r="J564" s="7" t="str">
        <f t="shared" si="69"/>
        <v>DATE</v>
      </c>
      <c r="K564" s="7" t="str">
        <f>TRIM(ETLMetadata!$G564)</f>
        <v>DATE</v>
      </c>
      <c r="L564" s="7" t="str">
        <f>TRIM(ETLMetadata!$I564)</f>
        <v>YYYY-MM-DD</v>
      </c>
      <c r="M564" s="7" t="str">
        <f t="shared" si="70"/>
        <v>TO_DATE(NULLIF(TRIM(LOGICAL_DELETE_DATE),'') , 'YYYY-MM-DD')</v>
      </c>
      <c r="N564" s="7" t="str">
        <f>TRIM(ETLMetadata!$J564)</f>
        <v/>
      </c>
      <c r="O564" s="8" t="str">
        <f>IF(TRIM(Classification!$G564)="","NOT CONFIDENTIAL",TRIM(Classification!$G564))</f>
        <v>NOT CONFIDENTIAL</v>
      </c>
      <c r="P564" s="7" t="str">
        <f t="shared" si="71"/>
        <v>Y</v>
      </c>
      <c r="Q564" s="7" t="s">
        <v>826</v>
      </c>
      <c r="R564" s="9">
        <v>2958465</v>
      </c>
      <c r="S564" s="7" t="s">
        <v>827</v>
      </c>
      <c r="T564" s="7" t="s">
        <v>828</v>
      </c>
      <c r="U564" s="7" t="str">
        <f t="shared" si="73"/>
        <v>CLK_DETM_DETIS_EHDS_V</v>
      </c>
      <c r="V564" s="7" t="s">
        <v>829</v>
      </c>
    </row>
    <row r="565" spans="1:22">
      <c r="A565" s="7" t="str">
        <f>TRIM(ETLMetadata!$B565)</f>
        <v>CLK</v>
      </c>
      <c r="B565" s="7" t="str">
        <f>TRIM(ETLMetadata!$C565)</f>
        <v>DETM_DETIS_EHDS</v>
      </c>
      <c r="C565" s="7" t="str">
        <f>TRIM(ETLMetadata!$F565)</f>
        <v>ENVIRONMENT_ID</v>
      </c>
      <c r="D565" s="7" t="str">
        <f>TRIM(ETLMetadata!$H565)</f>
        <v>StringType()</v>
      </c>
      <c r="E565" s="7" t="str">
        <f t="shared" si="72"/>
        <v>CLK_DETM_DETIS_EHDS</v>
      </c>
      <c r="F565" s="7" t="str">
        <f t="shared" si="66"/>
        <v>ENVIRONMENT_ID</v>
      </c>
      <c r="G565" s="7" t="s">
        <v>825</v>
      </c>
      <c r="H565" s="7" t="str">
        <f t="shared" si="67"/>
        <v>CLK_DETM_DETIS_EHDS</v>
      </c>
      <c r="I565" s="7" t="str">
        <f t="shared" si="68"/>
        <v>ENVIRONMENT_ID</v>
      </c>
      <c r="J565" s="7" t="str">
        <f t="shared" si="69"/>
        <v>VARCHAR</v>
      </c>
      <c r="K565" s="7" t="str">
        <f>TRIM(ETLMetadata!$G565)</f>
        <v>CHAR(1)</v>
      </c>
      <c r="L565" s="7" t="str">
        <f>TRIM(ETLMetadata!$I565)</f>
        <v/>
      </c>
      <c r="M565" s="7" t="str">
        <f t="shared" si="70"/>
        <v>NULLIF(TRIM(ENVIRONMENT_ID),'')</v>
      </c>
      <c r="N565" s="7" t="str">
        <f>TRIM(ETLMetadata!$J565)</f>
        <v>Y</v>
      </c>
      <c r="O565" s="8" t="str">
        <f>IF(TRIM(Classification!$G565)="","NOT CONFIDENTIAL",TRIM(Classification!$G565))</f>
        <v>NOT CONFIDENTIAL</v>
      </c>
      <c r="P565" s="7" t="str">
        <f t="shared" si="71"/>
        <v>Y</v>
      </c>
      <c r="Q565" s="7" t="s">
        <v>826</v>
      </c>
      <c r="R565" s="9">
        <v>2958465</v>
      </c>
      <c r="S565" s="7" t="s">
        <v>827</v>
      </c>
      <c r="T565" s="7" t="s">
        <v>828</v>
      </c>
      <c r="U565" s="7" t="str">
        <f t="shared" si="73"/>
        <v>CLK_DETM_DETIS_EHDS_V</v>
      </c>
      <c r="V565" s="7" t="s">
        <v>829</v>
      </c>
    </row>
    <row r="566" spans="1:22">
      <c r="A566" s="7" t="str">
        <f>TRIM(ETLMetadata!$B566)</f>
        <v>CLK</v>
      </c>
      <c r="B566" s="7" t="str">
        <f>TRIM(ETLMetadata!$C566)</f>
        <v>DETM_DETIS_EHDS</v>
      </c>
      <c r="C566" s="7" t="str">
        <f>TRIM(ETLMetadata!$F566)</f>
        <v>PERSON_ID</v>
      </c>
      <c r="D566" s="7" t="str">
        <f>TRIM(ETLMetadata!$H566)</f>
        <v>StringType()</v>
      </c>
      <c r="E566" s="7" t="str">
        <f t="shared" si="72"/>
        <v>CLK_DETM_DETIS_EHDS</v>
      </c>
      <c r="F566" s="7" t="str">
        <f t="shared" si="66"/>
        <v>PERSON_ID</v>
      </c>
      <c r="G566" s="7" t="s">
        <v>825</v>
      </c>
      <c r="H566" s="7" t="str">
        <f t="shared" si="67"/>
        <v>CLK_DETM_DETIS_EHDS</v>
      </c>
      <c r="I566" s="7" t="str">
        <f t="shared" si="68"/>
        <v>PERSON_ID</v>
      </c>
      <c r="J566" s="7" t="str">
        <f t="shared" si="69"/>
        <v>INTEGER</v>
      </c>
      <c r="K566" s="7" t="str">
        <f>TRIM(ETLMetadata!$G566)</f>
        <v>INTEGER</v>
      </c>
      <c r="L566" s="7" t="str">
        <f>TRIM(ETLMetadata!$I566)</f>
        <v/>
      </c>
      <c r="M566" s="7" t="str">
        <f t="shared" si="70"/>
        <v>CAST(NULLIF(TRIM(PERSON_ID),'') AS INTEGER)</v>
      </c>
      <c r="N566" s="7" t="str">
        <f>TRIM(ETLMetadata!$J566)</f>
        <v>Y</v>
      </c>
      <c r="O566" s="8" t="str">
        <f>IF(TRIM(Classification!$G566)="","NOT CONFIDENTIAL",TRIM(Classification!$G566))</f>
        <v>PERSONAL_IDENTITYINFOINDIRECT</v>
      </c>
      <c r="P566" s="7" t="str">
        <f t="shared" si="71"/>
        <v>Y</v>
      </c>
      <c r="Q566" s="7" t="s">
        <v>826</v>
      </c>
      <c r="R566" s="9">
        <v>2958465</v>
      </c>
      <c r="S566" s="7" t="s">
        <v>827</v>
      </c>
      <c r="T566" s="7" t="s">
        <v>828</v>
      </c>
      <c r="U566" s="7" t="str">
        <f t="shared" si="73"/>
        <v>CLK_DETM_DETIS_EHDS_V</v>
      </c>
      <c r="V566" s="7" t="s">
        <v>829</v>
      </c>
    </row>
    <row r="567" spans="1:22">
      <c r="A567" s="7" t="str">
        <f>TRIM(ETLMetadata!$B567)</f>
        <v>CLK</v>
      </c>
      <c r="B567" s="7" t="str">
        <f>TRIM(ETLMetadata!$C567)</f>
        <v>DETM_DETIS_EHDS</v>
      </c>
      <c r="C567" s="7" t="str">
        <f>TRIM(ETLMetadata!$F567)</f>
        <v>EHDS_DOE</v>
      </c>
      <c r="D567" s="7" t="str">
        <f>TRIM(ETLMetadata!$H567)</f>
        <v>StringType()</v>
      </c>
      <c r="E567" s="7" t="str">
        <f t="shared" si="72"/>
        <v>CLK_DETM_DETIS_EHDS</v>
      </c>
      <c r="F567" s="7" t="str">
        <f t="shared" si="66"/>
        <v>EHDS_DOE</v>
      </c>
      <c r="G567" s="7" t="s">
        <v>825</v>
      </c>
      <c r="H567" s="7" t="str">
        <f t="shared" si="67"/>
        <v>CLK_DETM_DETIS_EHDS</v>
      </c>
      <c r="I567" s="7" t="str">
        <f t="shared" si="68"/>
        <v>EHDS_DOE</v>
      </c>
      <c r="J567" s="7" t="str">
        <f t="shared" si="69"/>
        <v>DATE</v>
      </c>
      <c r="K567" s="17" t="s">
        <v>80</v>
      </c>
      <c r="L567" s="7" t="str">
        <f>TRIM(ETLMetadata!$I567)</f>
        <v>YYYY-MM-DD</v>
      </c>
      <c r="M567" s="7" t="str">
        <f t="shared" si="70"/>
        <v>TO_DATE(NULLIF(TRIM(EHDS_DOE),'') , 'YYYY-MM-DD')</v>
      </c>
      <c r="N567" s="7" t="str">
        <f>TRIM(ETLMetadata!$J567)</f>
        <v/>
      </c>
      <c r="O567" s="8" t="str">
        <f>IF(TRIM(Classification!$G567)="","NOT CONFIDENTIAL",TRIM(Classification!$G567))</f>
        <v>NOT CONFIDENTIAL</v>
      </c>
      <c r="P567" s="7" t="str">
        <f t="shared" si="71"/>
        <v>Y</v>
      </c>
      <c r="Q567" s="7" t="s">
        <v>826</v>
      </c>
      <c r="R567" s="9">
        <v>2958465</v>
      </c>
      <c r="S567" s="7" t="s">
        <v>827</v>
      </c>
      <c r="T567" s="7" t="s">
        <v>828</v>
      </c>
      <c r="U567" s="7" t="str">
        <f t="shared" si="73"/>
        <v>CLK_DETM_DETIS_EHDS_V</v>
      </c>
      <c r="V567" s="7" t="s">
        <v>829</v>
      </c>
    </row>
    <row r="568" spans="1:22">
      <c r="A568" s="7" t="str">
        <f>TRIM(ETLMetadata!$B568)</f>
        <v>CLK</v>
      </c>
      <c r="B568" s="7" t="str">
        <f>TRIM(ETLMetadata!$C568)</f>
        <v>DETM_DETIS_EHDS</v>
      </c>
      <c r="C568" s="7" t="str">
        <f>TRIM(ETLMetadata!$F568)</f>
        <v>EHDS_DOE_ORIG</v>
      </c>
      <c r="D568" s="7" t="str">
        <f>TRIM(ETLMetadata!$H568)</f>
        <v>StringType()</v>
      </c>
      <c r="E568" s="7" t="str">
        <f t="shared" si="72"/>
        <v>CLK_DETM_DETIS_EHDS</v>
      </c>
      <c r="F568" s="7" t="str">
        <f t="shared" si="66"/>
        <v>EHDS_DOE_ORIG</v>
      </c>
      <c r="G568" s="7" t="s">
        <v>825</v>
      </c>
      <c r="H568" s="7" t="str">
        <f t="shared" si="67"/>
        <v>CLK_DETM_DETIS_EHDS</v>
      </c>
      <c r="I568" s="7" t="str">
        <f t="shared" si="68"/>
        <v>EHDS_DOE_ORIG</v>
      </c>
      <c r="J568" s="7" t="str">
        <f t="shared" si="69"/>
        <v>INTEGER</v>
      </c>
      <c r="K568" s="17" t="s">
        <v>90</v>
      </c>
      <c r="L568" s="7" t="str">
        <f>TRIM(ETLMetadata!$I568)</f>
        <v/>
      </c>
      <c r="M568" s="7" t="str">
        <f t="shared" si="70"/>
        <v>CAST(NULLIF(TRIM(EHDS_DOE_ORIG),'') AS INTEGER)</v>
      </c>
      <c r="N568" s="7" t="str">
        <f>TRIM(ETLMetadata!$J568)</f>
        <v/>
      </c>
      <c r="O568" s="8" t="str">
        <f>IF(TRIM(Classification!$G568)="","NOT CONFIDENTIAL",TRIM(Classification!$G568))</f>
        <v>NOT CONFIDENTIAL</v>
      </c>
      <c r="P568" s="7" t="str">
        <f t="shared" si="71"/>
        <v>Y</v>
      </c>
      <c r="Q568" s="7" t="s">
        <v>826</v>
      </c>
      <c r="R568" s="9">
        <v>2958465</v>
      </c>
      <c r="S568" s="7" t="s">
        <v>827</v>
      </c>
      <c r="T568" s="7" t="s">
        <v>828</v>
      </c>
      <c r="U568" s="7" t="str">
        <f t="shared" si="73"/>
        <v>CLK_DETM_DETIS_EHDS_V</v>
      </c>
      <c r="V568" s="7" t="s">
        <v>829</v>
      </c>
    </row>
    <row r="569" spans="1:22">
      <c r="A569" s="7" t="str">
        <f>TRIM(ETLMetadata!$B569)</f>
        <v>CLK</v>
      </c>
      <c r="B569" s="7" t="str">
        <f>TRIM(ETLMetadata!$C569)</f>
        <v>DETM_DETIS_EHDS</v>
      </c>
      <c r="C569" s="7" t="str">
        <f>TRIM(ETLMetadata!$F569)</f>
        <v>EHDS_STS_CODE</v>
      </c>
      <c r="D569" s="7" t="str">
        <f>TRIM(ETLMetadata!$H569)</f>
        <v>StringType()</v>
      </c>
      <c r="E569" s="7" t="str">
        <f t="shared" si="72"/>
        <v>CLK_DETM_DETIS_EHDS</v>
      </c>
      <c r="F569" s="7" t="str">
        <f t="shared" si="66"/>
        <v>EHDS_STS_CODE</v>
      </c>
      <c r="G569" s="7" t="s">
        <v>825</v>
      </c>
      <c r="H569" s="7" t="str">
        <f t="shared" si="67"/>
        <v>CLK_DETM_DETIS_EHDS</v>
      </c>
      <c r="I569" s="7" t="str">
        <f t="shared" si="68"/>
        <v>EHDS_STS_CODE</v>
      </c>
      <c r="J569" s="7" t="str">
        <f t="shared" si="69"/>
        <v>VARCHAR</v>
      </c>
      <c r="K569" s="7" t="str">
        <f>TRIM(ETLMetadata!$G569)</f>
        <v>CHAR(3)</v>
      </c>
      <c r="L569" s="7" t="str">
        <f>TRIM(ETLMetadata!$I569)</f>
        <v/>
      </c>
      <c r="M569" s="7" t="str">
        <f t="shared" si="70"/>
        <v>NULLIF(TRIM(EHDS_STS_CODE),'')</v>
      </c>
      <c r="N569" s="7" t="str">
        <f>TRIM(ETLMetadata!$J569)</f>
        <v/>
      </c>
      <c r="O569" s="8" t="str">
        <f>IF(TRIM(Classification!$G569)="","NOT CONFIDENTIAL",TRIM(Classification!$G569))</f>
        <v>NOT CONFIDENTIAL</v>
      </c>
      <c r="P569" s="7" t="str">
        <f t="shared" si="71"/>
        <v>Y</v>
      </c>
      <c r="Q569" s="7" t="s">
        <v>826</v>
      </c>
      <c r="R569" s="9">
        <v>2958465</v>
      </c>
      <c r="S569" s="7" t="s">
        <v>827</v>
      </c>
      <c r="T569" s="7" t="s">
        <v>828</v>
      </c>
      <c r="U569" s="7" t="str">
        <f t="shared" si="73"/>
        <v>CLK_DETM_DETIS_EHDS_V</v>
      </c>
      <c r="V569" s="7" t="s">
        <v>829</v>
      </c>
    </row>
    <row r="570" spans="1:22">
      <c r="A570" s="7" t="str">
        <f>TRIM(ETLMetadata!$B570)</f>
        <v>CLK</v>
      </c>
      <c r="B570" s="7" t="str">
        <f>TRIM(ETLMetadata!$C570)</f>
        <v>DETM_DETIS_EHDS</v>
      </c>
      <c r="C570" s="7" t="str">
        <f>TRIM(ETLMetadata!$F570)</f>
        <v>PROCESSING_SEQUENCE</v>
      </c>
      <c r="D570" s="7" t="str">
        <f>TRIM(ETLMetadata!$H570)</f>
        <v>StringType()</v>
      </c>
      <c r="E570" s="7" t="str">
        <f t="shared" si="72"/>
        <v>CLK_DETM_DETIS_EHDS</v>
      </c>
      <c r="F570" s="7" t="str">
        <f t="shared" si="66"/>
        <v>PROCESSING_SEQUENCE</v>
      </c>
      <c r="G570" s="7" t="s">
        <v>825</v>
      </c>
      <c r="H570" s="7" t="str">
        <f t="shared" si="67"/>
        <v>CLK_DETM_DETIS_EHDS</v>
      </c>
      <c r="I570" s="7" t="str">
        <f t="shared" si="68"/>
        <v>PROCESSING_SEQUENCE</v>
      </c>
      <c r="J570" s="7" t="str">
        <f t="shared" si="69"/>
        <v>SMALLINT</v>
      </c>
      <c r="K570" s="7" t="str">
        <f>TRIM(ETLMetadata!$G570)</f>
        <v>SMALLINT</v>
      </c>
      <c r="L570" s="7" t="str">
        <f>TRIM(ETLMetadata!$I570)</f>
        <v/>
      </c>
      <c r="M570" s="7" t="str">
        <f t="shared" si="70"/>
        <v>CAST(NULLIF(TRIM(PROCESSING_SEQUENCE),'') AS SMALLINT)</v>
      </c>
      <c r="N570" s="7" t="str">
        <f>TRIM(ETLMetadata!$J570)</f>
        <v>Y</v>
      </c>
      <c r="O570" s="8" t="str">
        <f>IF(TRIM(Classification!$G570)="","NOT CONFIDENTIAL",TRIM(Classification!$G570))</f>
        <v>NOT CONFIDENTIAL</v>
      </c>
      <c r="P570" s="7" t="str">
        <f t="shared" si="71"/>
        <v>Y</v>
      </c>
      <c r="Q570" s="7" t="s">
        <v>826</v>
      </c>
      <c r="R570" s="9">
        <v>2958465</v>
      </c>
      <c r="S570" s="7" t="s">
        <v>827</v>
      </c>
      <c r="T570" s="7" t="s">
        <v>828</v>
      </c>
      <c r="U570" s="7" t="str">
        <f t="shared" si="73"/>
        <v>CLK_DETM_DETIS_EHDS_V</v>
      </c>
      <c r="V570" s="7" t="s">
        <v>829</v>
      </c>
    </row>
    <row r="571" spans="1:22">
      <c r="A571" s="7" t="str">
        <f>TRIM(ETLMetadata!$B571)</f>
        <v>CLK</v>
      </c>
      <c r="B571" s="7" t="str">
        <f>TRIM(ETLMetadata!$C571)</f>
        <v>DETM_DETIS_EHDS</v>
      </c>
      <c r="C571" s="7" t="str">
        <f>TRIM(ETLMetadata!$F571)</f>
        <v>EHDS_AMR_1</v>
      </c>
      <c r="D571" s="7" t="str">
        <f>TRIM(ETLMetadata!$H571)</f>
        <v>StringType()</v>
      </c>
      <c r="E571" s="7" t="str">
        <f t="shared" si="72"/>
        <v>CLK_DETM_DETIS_EHDS</v>
      </c>
      <c r="F571" s="7" t="str">
        <f t="shared" si="66"/>
        <v>EHDS_AMR_1</v>
      </c>
      <c r="G571" s="7" t="s">
        <v>825</v>
      </c>
      <c r="H571" s="7" t="str">
        <f t="shared" si="67"/>
        <v>CLK_DETM_DETIS_EHDS</v>
      </c>
      <c r="I571" s="7" t="str">
        <f t="shared" si="68"/>
        <v>EHDS_AMR_1</v>
      </c>
      <c r="J571" s="7" t="str">
        <f t="shared" si="69"/>
        <v>VARCHAR</v>
      </c>
      <c r="K571" s="7" t="str">
        <f>TRIM(ETLMetadata!$G571)</f>
        <v>CHAR(4)</v>
      </c>
      <c r="L571" s="7" t="str">
        <f>TRIM(ETLMetadata!$I571)</f>
        <v/>
      </c>
      <c r="M571" s="7" t="str">
        <f t="shared" si="70"/>
        <v>NULLIF(TRIM(EHDS_AMR_1),'')</v>
      </c>
      <c r="N571" s="7" t="str">
        <f>TRIM(ETLMetadata!$J571)</f>
        <v/>
      </c>
      <c r="O571" s="8" t="str">
        <f>IF(TRIM(Classification!$G571)="","NOT CONFIDENTIAL",TRIM(Classification!$G571))</f>
        <v>NOT CONFIDENTIAL</v>
      </c>
      <c r="P571" s="7" t="str">
        <f t="shared" si="71"/>
        <v>Y</v>
      </c>
      <c r="Q571" s="7" t="s">
        <v>826</v>
      </c>
      <c r="R571" s="9">
        <v>2958465</v>
      </c>
      <c r="S571" s="7" t="s">
        <v>827</v>
      </c>
      <c r="T571" s="7" t="s">
        <v>828</v>
      </c>
      <c r="U571" s="7" t="str">
        <f t="shared" si="73"/>
        <v>CLK_DETM_DETIS_EHDS_V</v>
      </c>
      <c r="V571" s="7" t="s">
        <v>829</v>
      </c>
    </row>
    <row r="572" spans="1:22">
      <c r="A572" s="7" t="str">
        <f>TRIM(ETLMetadata!$B572)</f>
        <v>CLK</v>
      </c>
      <c r="B572" s="7" t="str">
        <f>TRIM(ETLMetadata!$C572)</f>
        <v>DETM_DETIS_EHDS</v>
      </c>
      <c r="C572" s="7" t="str">
        <f>TRIM(ETLMetadata!$F572)</f>
        <v>EHDS_AMR_2</v>
      </c>
      <c r="D572" s="7" t="str">
        <f>TRIM(ETLMetadata!$H572)</f>
        <v>StringType()</v>
      </c>
      <c r="E572" s="7" t="str">
        <f t="shared" si="72"/>
        <v>CLK_DETM_DETIS_EHDS</v>
      </c>
      <c r="F572" s="7" t="str">
        <f t="shared" si="66"/>
        <v>EHDS_AMR_2</v>
      </c>
      <c r="G572" s="7" t="s">
        <v>825</v>
      </c>
      <c r="H572" s="7" t="str">
        <f t="shared" si="67"/>
        <v>CLK_DETM_DETIS_EHDS</v>
      </c>
      <c r="I572" s="7" t="str">
        <f t="shared" si="68"/>
        <v>EHDS_AMR_2</v>
      </c>
      <c r="J572" s="7" t="str">
        <f t="shared" si="69"/>
        <v>VARCHAR</v>
      </c>
      <c r="K572" s="7" t="str">
        <f>TRIM(ETLMetadata!$G572)</f>
        <v>CHAR(1)</v>
      </c>
      <c r="L572" s="7" t="str">
        <f>TRIM(ETLMetadata!$I572)</f>
        <v/>
      </c>
      <c r="M572" s="7" t="str">
        <f t="shared" si="70"/>
        <v>NULLIF(TRIM(EHDS_AMR_2),'')</v>
      </c>
      <c r="N572" s="7" t="str">
        <f>TRIM(ETLMetadata!$J572)</f>
        <v/>
      </c>
      <c r="O572" s="8" t="str">
        <f>IF(TRIM(Classification!$G572)="","NOT CONFIDENTIAL",TRIM(Classification!$G572))</f>
        <v>NOT CONFIDENTIAL</v>
      </c>
      <c r="P572" s="7" t="str">
        <f t="shared" si="71"/>
        <v>Y</v>
      </c>
      <c r="Q572" s="7" t="s">
        <v>826</v>
      </c>
      <c r="R572" s="9">
        <v>2958465</v>
      </c>
      <c r="S572" s="7" t="s">
        <v>827</v>
      </c>
      <c r="T572" s="7" t="s">
        <v>828</v>
      </c>
      <c r="U572" s="7" t="str">
        <f t="shared" si="73"/>
        <v>CLK_DETM_DETIS_EHDS_V</v>
      </c>
      <c r="V572" s="7" t="s">
        <v>829</v>
      </c>
    </row>
    <row r="573" spans="1:22">
      <c r="A573" s="7" t="str">
        <f>TRIM(ETLMetadata!$B573)</f>
        <v>CLK</v>
      </c>
      <c r="B573" s="7" t="str">
        <f>TRIM(ETLMetadata!$C573)</f>
        <v>DETM_DETIS_EHDS</v>
      </c>
      <c r="C573" s="7" t="str">
        <f>TRIM(ETLMetadata!$F573)</f>
        <v>EHDS_AMR_3</v>
      </c>
      <c r="D573" s="7" t="str">
        <f>TRIM(ETLMetadata!$H573)</f>
        <v>StringType()</v>
      </c>
      <c r="E573" s="7" t="str">
        <f t="shared" si="72"/>
        <v>CLK_DETM_DETIS_EHDS</v>
      </c>
      <c r="F573" s="7" t="str">
        <f t="shared" si="66"/>
        <v>EHDS_AMR_3</v>
      </c>
      <c r="G573" s="7" t="s">
        <v>825</v>
      </c>
      <c r="H573" s="7" t="str">
        <f t="shared" si="67"/>
        <v>CLK_DETM_DETIS_EHDS</v>
      </c>
      <c r="I573" s="7" t="str">
        <f t="shared" si="68"/>
        <v>EHDS_AMR_3</v>
      </c>
      <c r="J573" s="7" t="str">
        <f t="shared" si="69"/>
        <v>VARCHAR</v>
      </c>
      <c r="K573" s="7" t="str">
        <f>TRIM(ETLMetadata!$G573)</f>
        <v>CHAR(4)</v>
      </c>
      <c r="L573" s="7" t="str">
        <f>TRIM(ETLMetadata!$I573)</f>
        <v/>
      </c>
      <c r="M573" s="7" t="str">
        <f t="shared" si="70"/>
        <v>NULLIF(TRIM(EHDS_AMR_3),'')</v>
      </c>
      <c r="N573" s="7" t="str">
        <f>TRIM(ETLMetadata!$J573)</f>
        <v/>
      </c>
      <c r="O573" s="8" t="str">
        <f>IF(TRIM(Classification!$G573)="","NOT CONFIDENTIAL",TRIM(Classification!$G573))</f>
        <v>NOT CONFIDENTIAL</v>
      </c>
      <c r="P573" s="7" t="str">
        <f t="shared" si="71"/>
        <v>Y</v>
      </c>
      <c r="Q573" s="7" t="s">
        <v>826</v>
      </c>
      <c r="R573" s="9">
        <v>2958465</v>
      </c>
      <c r="S573" s="7" t="s">
        <v>827</v>
      </c>
      <c r="T573" s="7" t="s">
        <v>828</v>
      </c>
      <c r="U573" s="7" t="str">
        <f t="shared" si="73"/>
        <v>CLK_DETM_DETIS_EHDS_V</v>
      </c>
      <c r="V573" s="7" t="s">
        <v>829</v>
      </c>
    </row>
    <row r="574" spans="1:22">
      <c r="A574" s="7" t="str">
        <f>TRIM(ETLMetadata!$B574)</f>
        <v>CLK</v>
      </c>
      <c r="B574" s="7" t="str">
        <f>TRIM(ETLMetadata!$C574)</f>
        <v>DETM_DETIS_EHDS</v>
      </c>
      <c r="C574" s="7" t="str">
        <f>TRIM(ETLMetadata!$F574)</f>
        <v>EHDS_BEN_TYPE_CODE</v>
      </c>
      <c r="D574" s="7" t="str">
        <f>TRIM(ETLMetadata!$H574)</f>
        <v>StringType()</v>
      </c>
      <c r="E574" s="7" t="str">
        <f t="shared" si="72"/>
        <v>CLK_DETM_DETIS_EHDS</v>
      </c>
      <c r="F574" s="7" t="str">
        <f t="shared" si="66"/>
        <v>EHDS_BEN_TYPE_CODE</v>
      </c>
      <c r="G574" s="7" t="s">
        <v>825</v>
      </c>
      <c r="H574" s="7" t="str">
        <f t="shared" si="67"/>
        <v>CLK_DETM_DETIS_EHDS</v>
      </c>
      <c r="I574" s="7" t="str">
        <f t="shared" si="68"/>
        <v>EHDS_BEN_TYPE_CODE</v>
      </c>
      <c r="J574" s="7" t="str">
        <f t="shared" si="69"/>
        <v>VARCHAR</v>
      </c>
      <c r="K574" s="7" t="str">
        <f>TRIM(ETLMetadata!$G574)</f>
        <v>CHAR(3)</v>
      </c>
      <c r="L574" s="7" t="str">
        <f>TRIM(ETLMetadata!$I574)</f>
        <v/>
      </c>
      <c r="M574" s="7" t="str">
        <f t="shared" si="70"/>
        <v>NULLIF(TRIM(EHDS_BEN_TYPE_CODE),'')</v>
      </c>
      <c r="N574" s="7" t="str">
        <f>TRIM(ETLMetadata!$J574)</f>
        <v/>
      </c>
      <c r="O574" s="8" t="str">
        <f>IF(TRIM(Classification!$G574)="","NOT CONFIDENTIAL",TRIM(Classification!$G574))</f>
        <v>NOT CONFIDENTIAL</v>
      </c>
      <c r="P574" s="7" t="str">
        <f t="shared" si="71"/>
        <v>Y</v>
      </c>
      <c r="Q574" s="7" t="s">
        <v>826</v>
      </c>
      <c r="R574" s="9">
        <v>2958465</v>
      </c>
      <c r="S574" s="7" t="s">
        <v>827</v>
      </c>
      <c r="T574" s="7" t="s">
        <v>828</v>
      </c>
      <c r="U574" s="7" t="str">
        <f t="shared" si="73"/>
        <v>CLK_DETM_DETIS_EHDS_V</v>
      </c>
      <c r="V574" s="7" t="s">
        <v>829</v>
      </c>
    </row>
    <row r="575" spans="1:22">
      <c r="A575" s="7" t="str">
        <f>TRIM(ETLMetadata!$B575)</f>
        <v>CLK</v>
      </c>
      <c r="B575" s="7" t="str">
        <f>TRIM(ETLMetadata!$C575)</f>
        <v>DETM_DETIS_EHDS</v>
      </c>
      <c r="C575" s="7" t="str">
        <f>TRIM(ETLMetadata!$F575)</f>
        <v>EHDS_RSN_CODE</v>
      </c>
      <c r="D575" s="7" t="str">
        <f>TRIM(ETLMetadata!$H575)</f>
        <v>StringType()</v>
      </c>
      <c r="E575" s="7" t="str">
        <f t="shared" si="72"/>
        <v>CLK_DETM_DETIS_EHDS</v>
      </c>
      <c r="F575" s="7" t="str">
        <f t="shared" si="66"/>
        <v>EHDS_RSN_CODE</v>
      </c>
      <c r="G575" s="7" t="s">
        <v>825</v>
      </c>
      <c r="H575" s="7" t="str">
        <f t="shared" si="67"/>
        <v>CLK_DETM_DETIS_EHDS</v>
      </c>
      <c r="I575" s="7" t="str">
        <f t="shared" si="68"/>
        <v>EHDS_RSN_CODE</v>
      </c>
      <c r="J575" s="7" t="str">
        <f t="shared" si="69"/>
        <v>VARCHAR</v>
      </c>
      <c r="K575" s="7" t="str">
        <f>TRIM(ETLMetadata!$G575)</f>
        <v>CHAR(3)</v>
      </c>
      <c r="L575" s="7" t="str">
        <f>TRIM(ETLMetadata!$I575)</f>
        <v/>
      </c>
      <c r="M575" s="7" t="str">
        <f t="shared" si="70"/>
        <v>NULLIF(TRIM(EHDS_RSN_CODE),'')</v>
      </c>
      <c r="N575" s="7" t="str">
        <f>TRIM(ETLMetadata!$J575)</f>
        <v/>
      </c>
      <c r="O575" s="8" t="str">
        <f>IF(TRIM(Classification!$G575)="","NOT CONFIDENTIAL",TRIM(Classification!$G575))</f>
        <v>NOT CONFIDENTIAL</v>
      </c>
      <c r="P575" s="7" t="str">
        <f t="shared" si="71"/>
        <v>Y</v>
      </c>
      <c r="Q575" s="7" t="s">
        <v>826</v>
      </c>
      <c r="R575" s="9">
        <v>2958465</v>
      </c>
      <c r="S575" s="7" t="s">
        <v>827</v>
      </c>
      <c r="T575" s="7" t="s">
        <v>828</v>
      </c>
      <c r="U575" s="7" t="str">
        <f t="shared" si="73"/>
        <v>CLK_DETM_DETIS_EHDS_V</v>
      </c>
      <c r="V575" s="7" t="s">
        <v>829</v>
      </c>
    </row>
    <row r="576" spans="1:22">
      <c r="A576" s="7" t="str">
        <f>TRIM(ETLMetadata!$B576)</f>
        <v>CLK</v>
      </c>
      <c r="B576" s="7" t="str">
        <f>TRIM(ETLMetadata!$C576)</f>
        <v>DETM_DETIS_EHDS</v>
      </c>
      <c r="C576" s="7" t="str">
        <f>TRIM(ETLMetadata!$F576)</f>
        <v>AMR1_RISL_DTS</v>
      </c>
      <c r="D576" s="7" t="str">
        <f>TRIM(ETLMetadata!$H576)</f>
        <v>StringType()</v>
      </c>
      <c r="E576" s="7" t="str">
        <f t="shared" si="72"/>
        <v>CLK_DETM_DETIS_EHDS</v>
      </c>
      <c r="F576" s="7" t="str">
        <f t="shared" si="66"/>
        <v>AMR1_RISL_DTS</v>
      </c>
      <c r="G576" s="7" t="s">
        <v>825</v>
      </c>
      <c r="H576" s="7" t="str">
        <f t="shared" si="67"/>
        <v>CLK_DETM_DETIS_EHDS</v>
      </c>
      <c r="I576" s="7" t="str">
        <f t="shared" si="68"/>
        <v>AMR1_RISL_DTS</v>
      </c>
      <c r="J576" s="7" t="str">
        <f t="shared" si="69"/>
        <v>TIMESTAMP</v>
      </c>
      <c r="K576" s="7" t="str">
        <f>TRIM(ETLMetadata!$G576)</f>
        <v>TIMESTAMP(6)</v>
      </c>
      <c r="L576" s="7" t="str">
        <f>TRIM(ETLMetadata!$I576)</f>
        <v>YYYY-MM-DDBHH:MI:SS.S(6)</v>
      </c>
      <c r="M576" s="7" t="str">
        <f t="shared" si="70"/>
        <v>TO_TIMESTAMP_NTZ(NULLIF(TRIM(AMR1_RISL_DTS),''),'YYYY-MM-DD HH24:MI:SS.FF6')</v>
      </c>
      <c r="N576" s="7" t="str">
        <f>TRIM(ETLMetadata!$J576)</f>
        <v/>
      </c>
      <c r="O576" s="8" t="str">
        <f>IF(TRIM(Classification!$G576)="","NOT CONFIDENTIAL",TRIM(Classification!$G576))</f>
        <v>NOT CONFIDENTIAL</v>
      </c>
      <c r="P576" s="7" t="str">
        <f t="shared" si="71"/>
        <v>Y</v>
      </c>
      <c r="Q576" s="7" t="s">
        <v>826</v>
      </c>
      <c r="R576" s="9">
        <v>2958465</v>
      </c>
      <c r="S576" s="7" t="s">
        <v>827</v>
      </c>
      <c r="T576" s="7" t="s">
        <v>828</v>
      </c>
      <c r="U576" s="7" t="str">
        <f t="shared" si="73"/>
        <v>CLK_DETM_DETIS_EHDS_V</v>
      </c>
      <c r="V576" s="7" t="s">
        <v>829</v>
      </c>
    </row>
    <row r="577" spans="1:22">
      <c r="A577" s="7" t="str">
        <f>TRIM(ETLMetadata!$B577)</f>
        <v>CLK</v>
      </c>
      <c r="B577" s="7" t="str">
        <f>TRIM(ETLMetadata!$C577)</f>
        <v>DETM_DETIS_EHDS</v>
      </c>
      <c r="C577" s="7" t="str">
        <f>TRIM(ETLMetadata!$F577)</f>
        <v>AMR3_RISL_DTS</v>
      </c>
      <c r="D577" s="7" t="str">
        <f>TRIM(ETLMetadata!$H577)</f>
        <v>StringType()</v>
      </c>
      <c r="E577" s="7" t="str">
        <f t="shared" si="72"/>
        <v>CLK_DETM_DETIS_EHDS</v>
      </c>
      <c r="F577" s="7" t="str">
        <f t="shared" si="66"/>
        <v>AMR3_RISL_DTS</v>
      </c>
      <c r="G577" s="7" t="s">
        <v>825</v>
      </c>
      <c r="H577" s="7" t="str">
        <f t="shared" si="67"/>
        <v>CLK_DETM_DETIS_EHDS</v>
      </c>
      <c r="I577" s="7" t="str">
        <f t="shared" si="68"/>
        <v>AMR3_RISL_DTS</v>
      </c>
      <c r="J577" s="7" t="str">
        <f t="shared" si="69"/>
        <v>TIMESTAMP</v>
      </c>
      <c r="K577" s="7" t="str">
        <f>TRIM(ETLMetadata!$G577)</f>
        <v>TIMESTAMP(6)</v>
      </c>
      <c r="L577" s="7" t="str">
        <f>TRIM(ETLMetadata!$I577)</f>
        <v>YYYY-MM-DDBHH:MI:SS.S(6)</v>
      </c>
      <c r="M577" s="7" t="str">
        <f t="shared" si="70"/>
        <v>TO_TIMESTAMP_NTZ(NULLIF(TRIM(AMR3_RISL_DTS),''),'YYYY-MM-DD HH24:MI:SS.FF6')</v>
      </c>
      <c r="N577" s="7" t="str">
        <f>TRIM(ETLMetadata!$J577)</f>
        <v/>
      </c>
      <c r="O577" s="8" t="str">
        <f>IF(TRIM(Classification!$G577)="","NOT CONFIDENTIAL",TRIM(Classification!$G577))</f>
        <v>NOT CONFIDENTIAL</v>
      </c>
      <c r="P577" s="7" t="str">
        <f t="shared" si="71"/>
        <v>Y</v>
      </c>
      <c r="Q577" s="7" t="s">
        <v>826</v>
      </c>
      <c r="R577" s="9">
        <v>2958465</v>
      </c>
      <c r="S577" s="7" t="s">
        <v>827</v>
      </c>
      <c r="T577" s="7" t="s">
        <v>828</v>
      </c>
      <c r="U577" s="7" t="str">
        <f t="shared" si="73"/>
        <v>CLK_DETM_DETIS_EHDS_V</v>
      </c>
      <c r="V577" s="7" t="s">
        <v>829</v>
      </c>
    </row>
    <row r="578" spans="1:22">
      <c r="A578" s="7" t="str">
        <f>TRIM(ETLMetadata!$B578)</f>
        <v>CLK</v>
      </c>
      <c r="B578" s="7" t="str">
        <f>TRIM(ETLMetadata!$C578)</f>
        <v>DETM_DETIS_EHDS</v>
      </c>
      <c r="C578" s="7" t="str">
        <f>TRIM(ETLMetadata!$F578)</f>
        <v>EPISODE_ID</v>
      </c>
      <c r="D578" s="7" t="str">
        <f>TRIM(ETLMetadata!$H578)</f>
        <v>StringType()</v>
      </c>
      <c r="E578" s="7" t="str">
        <f t="shared" si="72"/>
        <v>CLK_DETM_DETIS_EHDS</v>
      </c>
      <c r="F578" s="7" t="str">
        <f t="shared" si="66"/>
        <v>EPISODE_ID</v>
      </c>
      <c r="G578" s="7" t="s">
        <v>825</v>
      </c>
      <c r="H578" s="7" t="str">
        <f t="shared" si="67"/>
        <v>CLK_DETM_DETIS_EHDS</v>
      </c>
      <c r="I578" s="7" t="str">
        <f t="shared" si="68"/>
        <v>EPISODE_ID</v>
      </c>
      <c r="J578" s="7" t="str">
        <f t="shared" si="69"/>
        <v>INTEGER</v>
      </c>
      <c r="K578" s="7" t="str">
        <f>TRIM(ETLMetadata!$G578)</f>
        <v>INTEGER</v>
      </c>
      <c r="L578" s="7" t="str">
        <f>TRIM(ETLMetadata!$I578)</f>
        <v/>
      </c>
      <c r="M578" s="7" t="str">
        <f t="shared" si="70"/>
        <v>CAST(NULLIF(TRIM(EPISODE_ID),'') AS INTEGER)</v>
      </c>
      <c r="N578" s="7" t="str">
        <f>TRIM(ETLMetadata!$J578)</f>
        <v/>
      </c>
      <c r="O578" s="8" t="str">
        <f>IF(TRIM(Classification!$G578)="","NOT CONFIDENTIAL",TRIM(Classification!$G578))</f>
        <v>NOT CONFIDENTIAL</v>
      </c>
      <c r="P578" s="7" t="str">
        <f t="shared" si="71"/>
        <v>Y</v>
      </c>
      <c r="Q578" s="7" t="s">
        <v>826</v>
      </c>
      <c r="R578" s="9">
        <v>2958465</v>
      </c>
      <c r="S578" s="7" t="s">
        <v>827</v>
      </c>
      <c r="T578" s="7" t="s">
        <v>828</v>
      </c>
      <c r="U578" s="7" t="str">
        <f t="shared" si="73"/>
        <v>CLK_DETM_DETIS_EHDS_V</v>
      </c>
      <c r="V578" s="7" t="s">
        <v>829</v>
      </c>
    </row>
    <row r="579" spans="1:22">
      <c r="A579" s="7" t="str">
        <f>TRIM(ETLMetadata!$B579)</f>
        <v>CLK</v>
      </c>
      <c r="B579" s="7" t="str">
        <f>TRIM(ETLMetadata!$C579)</f>
        <v>DETM_DETIS_EHDS</v>
      </c>
      <c r="C579" s="7" t="str">
        <f>TRIM(ETLMetadata!$F579)</f>
        <v>PARTY_ROLE_ID</v>
      </c>
      <c r="D579" s="7" t="str">
        <f>TRIM(ETLMetadata!$H579)</f>
        <v>StringType()</v>
      </c>
      <c r="E579" s="7" t="str">
        <f t="shared" si="72"/>
        <v>CLK_DETM_DETIS_EHDS</v>
      </c>
      <c r="F579" s="7" t="str">
        <f t="shared" ref="F579:F642" si="74">IF($C579="Start_Date","STRT_DT",
 IF($C579="End_Date","END_DT",
 IF($C579="Record_Deleted_Flag","RCRD_DEL_IND",
 IF($C579="IsDeleted","RCRD_DEL_IND",
 $C579
))))</f>
        <v>PARTY_ROLE_ID</v>
      </c>
      <c r="G579" s="7" t="s">
        <v>825</v>
      </c>
      <c r="H579" s="7" t="str">
        <f t="shared" ref="H579:H642" si="75">CONCATENATE($A579,"_",$B579)</f>
        <v>CLK_DETM_DETIS_EHDS</v>
      </c>
      <c r="I579" s="7" t="str">
        <f t="shared" ref="I579:I642" si="76">IF($C579="Start_Date","STRT_DT",
 IF($C579="End_Date","END_DT",
 IF($C579="Record_Deleted_Flag","RCRD_DEL_IND",
 IF($C579="IsDeleted","RCRD_DEL_IND",
 $C579
))))</f>
        <v>PARTY_ROLE_ID</v>
      </c>
      <c r="J579" s="7" t="str">
        <f t="shared" ref="J579:J642" si="77">IF(LEFT(TRIM($K579),7)="VARCHAR","VARCHAR",
 IF(LEFT(TRIM($K579),4)="CHAR","VARCHAR",
 IF(TRIM($K579)="TIMESTAMP(6)","TIMESTAMP",
 IF(TRIM($K579)="DATE","DATE",
 IF(TRIM($K579)="BYTEINT","SMALLINT",
 IF(TRIM($K579)="SMALLINT","SMALLINT",
 IF(TRIM($K579)="INTEGER","INTEGER",
 IF(TRIM($K579)="BIGINT","INTEGER",
 IF(LEFT(TRIM($K579),7)="DECIMAL",TRIM($K579),
 IF(TRIM($K579)="BOOLEAN","BOOLEAN",
 IF(TRIM($K579)="DOUBLE","DOUBLE",
 IF(TRIM($K579)="FLOAT","FLOAT",
 IF(TRIM($K579)="REAL","REAL",
 IF(LEFT(TRIM($K579),6)="STRUCT","VARIANT",
 IF(LEFT(TRIM($K579),5)="ARRAY","VARIANT",
 IF(LEFT(TRIM($K579),3)="MAP","VARIANT",
 IF(LEFT(TRIM($K579),3)="ROW","VARIANT",
 "NONE"
)))))))))))))))))</f>
        <v>INTEGER</v>
      </c>
      <c r="K579" s="7" t="str">
        <f>TRIM(ETLMetadata!$G579)</f>
        <v>INTEGER</v>
      </c>
      <c r="L579" s="7" t="str">
        <f>TRIM(ETLMetadata!$I579)</f>
        <v/>
      </c>
      <c r="M579" s="7" t="str">
        <f t="shared" ref="M579:M642" si="78">IF(LEFT($K579,7)="VARCHAR","NULLIF(TRIM("&amp;$I579&amp;"),'')",
 IF(LEFT($K579,4)="CHAR","NULLIF(TRIM("&amp;$I579&amp;"),'')",
 IF(LEFT($K579,7)="DECIMAL","CAST(NULLIF(TRIM("&amp;$I579&amp;"),'') AS "&amp;$K579&amp;")",
 IF($K579="TIMESTAMP(6)","TO_TIMESTAMP_NTZ(NULLIF(TRIM("&amp;$I579&amp;"),''),'YYYY-MM-DD HH24:MI:SS.FF6')",
 IF($K579="DATE","TO_DATE(NULLIF(TRIM("&amp;$I579&amp;"),'') , 'YYYY-MM-DD')",
 IF($K579="BIGINT","CAST(NULLIF(TRIM("&amp;I579&amp;"),'') AS INTEGER)",
 IF($K579="BYTEINT","CAST(NULLIF(TRIM("&amp;I579&amp;"),'') AS SMALLINT)",
 IF($K579="SMALLINT","CAST(NULLIF(TRIM("&amp;I579&amp;"),'') AS SMALLINT)",
 IF($K579="INTEGER","CAST(NULLIF(TRIM("&amp;I579&amp;"),'') AS INTEGER)",
 IF($K579="BOOLEAN","CAST(NULLIF(TRIM("&amp;I579&amp;"),'') AS BOOLEAN)",
 IF($K579="DOUBLE","CAST(NULLIF(TRIM("&amp;I579&amp;"),'') AS DOUBLE)",
 IF($K579="FLOAT","CAST(NULLIF(TRIM("&amp;I579&amp;"),'') AS FLOAT)",
 IF($K579="REAL","CAST(NULLIF(TRIM("&amp;I579&amp;"),'') AS REAL)",
 IF(OR($K579="STRUCT",$K579="ARRAY",$K579="MAP",$K579="ROW"),"CAST(NULLIF(TRIM("&amp;I579&amp;"),'') AS VARIANT)",
 "NONE"
))))))))))))))</f>
        <v>CAST(NULLIF(TRIM(PARTY_ROLE_ID),'') AS INTEGER)</v>
      </c>
      <c r="N579" s="7" t="str">
        <f>TRIM(ETLMetadata!$J579)</f>
        <v/>
      </c>
      <c r="O579" s="8" t="str">
        <f>IF(TRIM(Classification!$G579)="","NOT CONFIDENTIAL",TRIM(Classification!$G579))</f>
        <v>NOT CONFIDENTIAL</v>
      </c>
      <c r="P579" s="7" t="str">
        <f t="shared" ref="P579:P642" si="79">IF($C579="Start_Date","N",
 IF($C579="End_Date","N",
 IF($C579="Record_Deleted_Flag","N",
 IF($C579="IsDeleted","N",
 "Y"
))))</f>
        <v>Y</v>
      </c>
      <c r="Q579" s="7" t="s">
        <v>826</v>
      </c>
      <c r="R579" s="9">
        <v>2958465</v>
      </c>
      <c r="S579" s="7" t="s">
        <v>827</v>
      </c>
      <c r="T579" s="7" t="s">
        <v>828</v>
      </c>
      <c r="U579" s="7" t="str">
        <f t="shared" si="73"/>
        <v>CLK_DETM_DETIS_EHDS_V</v>
      </c>
      <c r="V579" s="7" t="s">
        <v>829</v>
      </c>
    </row>
    <row r="580" spans="1:22">
      <c r="A580" s="7" t="str">
        <f>TRIM(ETLMetadata!$B580)</f>
        <v>CLK</v>
      </c>
      <c r="B580" s="7" t="str">
        <f>TRIM(ETLMetadata!$C580)</f>
        <v>DETM_DETIS_EHDS</v>
      </c>
      <c r="C580" s="7" t="str">
        <f>TRIM(ETLMetadata!$F580)</f>
        <v>PAYMENT_TYPE_ID</v>
      </c>
      <c r="D580" s="7" t="str">
        <f>TRIM(ETLMetadata!$H580)</f>
        <v>StringType()</v>
      </c>
      <c r="E580" s="7" t="str">
        <f t="shared" si="72"/>
        <v>CLK_DETM_DETIS_EHDS</v>
      </c>
      <c r="F580" s="7" t="str">
        <f t="shared" si="74"/>
        <v>PAYMENT_TYPE_ID</v>
      </c>
      <c r="G580" s="7" t="s">
        <v>825</v>
      </c>
      <c r="H580" s="7" t="str">
        <f t="shared" si="75"/>
        <v>CLK_DETM_DETIS_EHDS</v>
      </c>
      <c r="I580" s="7" t="str">
        <f t="shared" si="76"/>
        <v>PAYMENT_TYPE_ID</v>
      </c>
      <c r="J580" s="7" t="str">
        <f t="shared" si="77"/>
        <v>INTEGER</v>
      </c>
      <c r="K580" s="7" t="str">
        <f>TRIM(ETLMetadata!$G580)</f>
        <v>INTEGER</v>
      </c>
      <c r="L580" s="7" t="str">
        <f>TRIM(ETLMetadata!$I580)</f>
        <v/>
      </c>
      <c r="M580" s="7" t="str">
        <f t="shared" si="78"/>
        <v>CAST(NULLIF(TRIM(PAYMENT_TYPE_ID),'') AS INTEGER)</v>
      </c>
      <c r="N580" s="7" t="str">
        <f>TRIM(ETLMetadata!$J580)</f>
        <v/>
      </c>
      <c r="O580" s="8" t="str">
        <f>IF(TRIM(Classification!$G580)="","NOT CONFIDENTIAL",TRIM(Classification!$G580))</f>
        <v>NOT CONFIDENTIAL</v>
      </c>
      <c r="P580" s="7" t="str">
        <f t="shared" si="79"/>
        <v>Y</v>
      </c>
      <c r="Q580" s="7" t="s">
        <v>826</v>
      </c>
      <c r="R580" s="9">
        <v>2958465</v>
      </c>
      <c r="S580" s="7" t="s">
        <v>827</v>
      </c>
      <c r="T580" s="7" t="s">
        <v>828</v>
      </c>
      <c r="U580" s="7" t="str">
        <f t="shared" si="73"/>
        <v>CLK_DETM_DETIS_EHDS_V</v>
      </c>
      <c r="V580" s="7" t="s">
        <v>829</v>
      </c>
    </row>
    <row r="581" spans="1:22">
      <c r="A581" s="7" t="str">
        <f>TRIM(ETLMetadata!$B581)</f>
        <v>CLK</v>
      </c>
      <c r="B581" s="7" t="str">
        <f>TRIM(ETLMetadata!$C581)</f>
        <v>DETM_DETIS_EHDS</v>
      </c>
      <c r="C581" s="7" t="str">
        <f>TRIM(ETLMetadata!$F581)</f>
        <v>ERROR_COUNT</v>
      </c>
      <c r="D581" s="7" t="str">
        <f>TRIM(ETLMetadata!$H581)</f>
        <v>StringType()</v>
      </c>
      <c r="E581" s="7" t="str">
        <f t="shared" si="72"/>
        <v>CLK_DETM_DETIS_EHDS</v>
      </c>
      <c r="F581" s="7" t="str">
        <f t="shared" si="74"/>
        <v>ERROR_COUNT</v>
      </c>
      <c r="G581" s="7" t="s">
        <v>825</v>
      </c>
      <c r="H581" s="7" t="str">
        <f t="shared" si="75"/>
        <v>CLK_DETM_DETIS_EHDS</v>
      </c>
      <c r="I581" s="7" t="str">
        <f t="shared" si="76"/>
        <v>ERROR_COUNT</v>
      </c>
      <c r="J581" s="7" t="str">
        <f t="shared" si="77"/>
        <v>SMALLINT</v>
      </c>
      <c r="K581" s="7" t="str">
        <f>TRIM(ETLMetadata!$G581)</f>
        <v>SMALLINT</v>
      </c>
      <c r="L581" s="7" t="str">
        <f>TRIM(ETLMetadata!$I581)</f>
        <v/>
      </c>
      <c r="M581" s="7" t="str">
        <f t="shared" si="78"/>
        <v>CAST(NULLIF(TRIM(ERROR_COUNT),'') AS SMALLINT)</v>
      </c>
      <c r="N581" s="7" t="str">
        <f>TRIM(ETLMetadata!$J581)</f>
        <v/>
      </c>
      <c r="O581" s="8" t="str">
        <f>IF(TRIM(Classification!$G581)="","NOT CONFIDENTIAL",TRIM(Classification!$G581))</f>
        <v>NOT CONFIDENTIAL</v>
      </c>
      <c r="P581" s="7" t="str">
        <f t="shared" si="79"/>
        <v>Y</v>
      </c>
      <c r="Q581" s="7" t="s">
        <v>826</v>
      </c>
      <c r="R581" s="9">
        <v>2958465</v>
      </c>
      <c r="S581" s="7" t="s">
        <v>827</v>
      </c>
      <c r="T581" s="7" t="s">
        <v>828</v>
      </c>
      <c r="U581" s="7" t="str">
        <f t="shared" si="73"/>
        <v>CLK_DETM_DETIS_EHDS_V</v>
      </c>
      <c r="V581" s="7" t="s">
        <v>829</v>
      </c>
    </row>
    <row r="582" spans="1:22">
      <c r="A582" s="7" t="str">
        <f>TRIM(ETLMetadata!$B582)</f>
        <v>CLK</v>
      </c>
      <c r="B582" s="7" t="str">
        <f>TRIM(ETLMetadata!$C582)</f>
        <v>DETM_DETIS_EHDS</v>
      </c>
      <c r="C582" s="7" t="str">
        <f>TRIM(ETLMetadata!$F582)</f>
        <v>Start_Date</v>
      </c>
      <c r="D582" s="7" t="str">
        <f>TRIM(ETLMetadata!$H582)</f>
        <v>StringType()</v>
      </c>
      <c r="E582" s="7" t="str">
        <f t="shared" si="72"/>
        <v>CLK_DETM_DETIS_EHDS</v>
      </c>
      <c r="F582" s="7" t="str">
        <f t="shared" si="74"/>
        <v>STRT_DT</v>
      </c>
      <c r="G582" s="7" t="s">
        <v>825</v>
      </c>
      <c r="H582" s="7" t="str">
        <f t="shared" si="75"/>
        <v>CLK_DETM_DETIS_EHDS</v>
      </c>
      <c r="I582" s="7" t="str">
        <f t="shared" si="76"/>
        <v>STRT_DT</v>
      </c>
      <c r="J582" s="7" t="str">
        <f t="shared" si="77"/>
        <v>DATE</v>
      </c>
      <c r="K582" s="7" t="str">
        <f>TRIM(ETLMetadata!$G582)</f>
        <v>DATE</v>
      </c>
      <c r="L582" s="7" t="str">
        <f>TRIM(ETLMetadata!$I582)</f>
        <v>YYYY-MM-DD</v>
      </c>
      <c r="M582" s="7" t="str">
        <f t="shared" si="78"/>
        <v>TO_DATE(NULLIF(TRIM(STRT_DT),'') , 'YYYY-MM-DD')</v>
      </c>
      <c r="N582" s="7" t="str">
        <f>TRIM(ETLMetadata!$J582)</f>
        <v/>
      </c>
      <c r="O582" s="8" t="str">
        <f>IF(TRIM(Classification!$G582)="","NOT CONFIDENTIAL",TRIM(Classification!$G582))</f>
        <v>NOT CONFIDENTIAL</v>
      </c>
      <c r="P582" s="7" t="str">
        <f t="shared" si="79"/>
        <v>N</v>
      </c>
      <c r="Q582" s="7" t="s">
        <v>826</v>
      </c>
      <c r="R582" s="9">
        <v>2958465</v>
      </c>
      <c r="S582" s="7" t="s">
        <v>827</v>
      </c>
      <c r="T582" s="7" t="s">
        <v>828</v>
      </c>
      <c r="U582" s="7" t="str">
        <f t="shared" si="73"/>
        <v>CLK_DETM_DETIS_EHDS_V</v>
      </c>
      <c r="V582" s="7" t="s">
        <v>829</v>
      </c>
    </row>
    <row r="583" spans="1:22">
      <c r="A583" s="7" t="str">
        <f>TRIM(ETLMetadata!$B583)</f>
        <v>CLK</v>
      </c>
      <c r="B583" s="7" t="str">
        <f>TRIM(ETLMetadata!$C583)</f>
        <v>DETM_DETIS_EHDS</v>
      </c>
      <c r="C583" s="7" t="str">
        <f>TRIM(ETLMetadata!$F583)</f>
        <v>End_Date</v>
      </c>
      <c r="D583" s="7" t="str">
        <f>TRIM(ETLMetadata!$H583)</f>
        <v>StringType()</v>
      </c>
      <c r="E583" s="7" t="str">
        <f t="shared" si="72"/>
        <v>CLK_DETM_DETIS_EHDS</v>
      </c>
      <c r="F583" s="7" t="str">
        <f t="shared" si="74"/>
        <v>END_DT</v>
      </c>
      <c r="G583" s="7" t="s">
        <v>825</v>
      </c>
      <c r="H583" s="7" t="str">
        <f t="shared" si="75"/>
        <v>CLK_DETM_DETIS_EHDS</v>
      </c>
      <c r="I583" s="7" t="str">
        <f t="shared" si="76"/>
        <v>END_DT</v>
      </c>
      <c r="J583" s="7" t="str">
        <f t="shared" si="77"/>
        <v>DATE</v>
      </c>
      <c r="K583" s="7" t="str">
        <f>TRIM(ETLMetadata!$G583)</f>
        <v>DATE</v>
      </c>
      <c r="L583" s="7" t="str">
        <f>TRIM(ETLMetadata!$I583)</f>
        <v>YYYY-MM-DD</v>
      </c>
      <c r="M583" s="7" t="str">
        <f t="shared" si="78"/>
        <v>TO_DATE(NULLIF(TRIM(END_DT),'') , 'YYYY-MM-DD')</v>
      </c>
      <c r="N583" s="7" t="str">
        <f>TRIM(ETLMetadata!$J583)</f>
        <v/>
      </c>
      <c r="O583" s="8" t="str">
        <f>IF(TRIM(Classification!$G583)="","NOT CONFIDENTIAL",TRIM(Classification!$G583))</f>
        <v>NOT CONFIDENTIAL</v>
      </c>
      <c r="P583" s="7" t="str">
        <f t="shared" si="79"/>
        <v>N</v>
      </c>
      <c r="Q583" s="7" t="s">
        <v>826</v>
      </c>
      <c r="R583" s="9">
        <v>2958465</v>
      </c>
      <c r="S583" s="7" t="s">
        <v>827</v>
      </c>
      <c r="T583" s="7" t="s">
        <v>828</v>
      </c>
      <c r="U583" s="7" t="str">
        <f t="shared" si="73"/>
        <v>CLK_DETM_DETIS_EHDS_V</v>
      </c>
      <c r="V583" s="7" t="s">
        <v>829</v>
      </c>
    </row>
    <row r="584" spans="1:22">
      <c r="A584" s="7" t="str">
        <f>TRIM(ETLMetadata!$B584)</f>
        <v>CLK</v>
      </c>
      <c r="B584" s="7" t="str">
        <f>TRIM(ETLMetadata!$C584)</f>
        <v>DETM_DETIS_EHDS</v>
      </c>
      <c r="C584" s="7" t="str">
        <f>TRIM(ETLMetadata!$F584)</f>
        <v>Record_Deleted_Flag</v>
      </c>
      <c r="D584" s="7" t="str">
        <f>TRIM(ETLMetadata!$H584)</f>
        <v>StringType()</v>
      </c>
      <c r="E584" s="7" t="str">
        <f t="shared" si="72"/>
        <v>CLK_DETM_DETIS_EHDS</v>
      </c>
      <c r="F584" s="7" t="str">
        <f t="shared" si="74"/>
        <v>RCRD_DEL_IND</v>
      </c>
      <c r="G584" s="7" t="s">
        <v>825</v>
      </c>
      <c r="H584" s="7" t="str">
        <f t="shared" si="75"/>
        <v>CLK_DETM_DETIS_EHDS</v>
      </c>
      <c r="I584" s="7" t="str">
        <f t="shared" si="76"/>
        <v>RCRD_DEL_IND</v>
      </c>
      <c r="J584" s="7" t="str">
        <f t="shared" si="77"/>
        <v>SMALLINT</v>
      </c>
      <c r="K584" s="7" t="str">
        <f>TRIM(ETLMetadata!$G584)</f>
        <v>BYTEINT</v>
      </c>
      <c r="L584" s="7" t="str">
        <f>TRIM(ETLMetadata!$I584)</f>
        <v/>
      </c>
      <c r="M584" s="7" t="str">
        <f t="shared" si="78"/>
        <v>CAST(NULLIF(TRIM(RCRD_DEL_IND),'') AS SMALLINT)</v>
      </c>
      <c r="N584" s="7" t="str">
        <f>TRIM(ETLMetadata!$J584)</f>
        <v/>
      </c>
      <c r="O584" s="8" t="str">
        <f>IF(TRIM(Classification!$G584)="","NOT CONFIDENTIAL",TRIM(Classification!$G584))</f>
        <v>NOT CONFIDENTIAL</v>
      </c>
      <c r="P584" s="7" t="str">
        <f t="shared" si="79"/>
        <v>N</v>
      </c>
      <c r="Q584" s="7" t="s">
        <v>826</v>
      </c>
      <c r="R584" s="9">
        <v>2958465</v>
      </c>
      <c r="S584" s="7" t="s">
        <v>827</v>
      </c>
      <c r="T584" s="7" t="s">
        <v>828</v>
      </c>
      <c r="U584" s="7" t="str">
        <f t="shared" si="73"/>
        <v>CLK_DETM_DETIS_EHDS_V</v>
      </c>
      <c r="V584" s="7" t="s">
        <v>829</v>
      </c>
    </row>
    <row r="585" spans="1:22">
      <c r="A585" s="7" t="str">
        <f>TRIM(ETLMetadata!$B585)</f>
        <v>CLK</v>
      </c>
      <c r="B585" s="7" t="str">
        <f>TRIM(ETLMetadata!$C585)</f>
        <v>DETM_DETIS_EMDS</v>
      </c>
      <c r="C585" s="7" t="str">
        <f>TRIM(ETLMetadata!$F585)</f>
        <v>EXTRACT_DATE</v>
      </c>
      <c r="D585" s="7" t="str">
        <f>TRIM(ETLMetadata!$H585)</f>
        <v>StringType()</v>
      </c>
      <c r="E585" s="7" t="str">
        <f t="shared" si="72"/>
        <v>CLK_DETM_DETIS_EMDS</v>
      </c>
      <c r="F585" s="7" t="str">
        <f t="shared" si="74"/>
        <v>EXTRACT_DATE</v>
      </c>
      <c r="G585" s="7" t="s">
        <v>825</v>
      </c>
      <c r="H585" s="7" t="str">
        <f t="shared" si="75"/>
        <v>CLK_DETM_DETIS_EMDS</v>
      </c>
      <c r="I585" s="7" t="str">
        <f t="shared" si="76"/>
        <v>EXTRACT_DATE</v>
      </c>
      <c r="J585" s="7" t="str">
        <f t="shared" si="77"/>
        <v>DATE</v>
      </c>
      <c r="K585" s="7" t="str">
        <f>TRIM(ETLMetadata!$G585)</f>
        <v>DATE</v>
      </c>
      <c r="L585" s="7" t="str">
        <f>TRIM(ETLMetadata!$I585)</f>
        <v>YYYY-MM-DD</v>
      </c>
      <c r="M585" s="7" t="str">
        <f t="shared" si="78"/>
        <v>TO_DATE(NULLIF(TRIM(EXTRACT_DATE),'') , 'YYYY-MM-DD')</v>
      </c>
      <c r="N585" s="7" t="str">
        <f>TRIM(ETLMetadata!$J585)</f>
        <v/>
      </c>
      <c r="O585" s="8" t="str">
        <f>IF(TRIM(Classification!$G585)="","NOT CONFIDENTIAL",TRIM(Classification!$G585))</f>
        <v>NOT CONFIDENTIAL</v>
      </c>
      <c r="P585" s="7" t="str">
        <f t="shared" si="79"/>
        <v>Y</v>
      </c>
      <c r="Q585" s="7" t="s">
        <v>826</v>
      </c>
      <c r="R585" s="9">
        <v>2958465</v>
      </c>
      <c r="S585" s="7" t="s">
        <v>827</v>
      </c>
      <c r="T585" s="7" t="s">
        <v>828</v>
      </c>
      <c r="U585" s="7" t="str">
        <f t="shared" si="73"/>
        <v>CLK_DETM_DETIS_EMDS_V</v>
      </c>
      <c r="V585" s="7" t="s">
        <v>829</v>
      </c>
    </row>
    <row r="586" spans="1:22">
      <c r="A586" s="7" t="str">
        <f>TRIM(ETLMetadata!$B586)</f>
        <v>CLK</v>
      </c>
      <c r="B586" s="7" t="str">
        <f>TRIM(ETLMetadata!$C586)</f>
        <v>DETM_DETIS_EMDS</v>
      </c>
      <c r="C586" s="7" t="str">
        <f>TRIM(ETLMetadata!$F586)</f>
        <v>LOGICAL_DELETE_DATE</v>
      </c>
      <c r="D586" s="7" t="str">
        <f>TRIM(ETLMetadata!$H586)</f>
        <v>StringType()</v>
      </c>
      <c r="E586" s="7" t="str">
        <f t="shared" si="72"/>
        <v>CLK_DETM_DETIS_EMDS</v>
      </c>
      <c r="F586" s="7" t="str">
        <f t="shared" si="74"/>
        <v>LOGICAL_DELETE_DATE</v>
      </c>
      <c r="G586" s="7" t="s">
        <v>825</v>
      </c>
      <c r="H586" s="7" t="str">
        <f t="shared" si="75"/>
        <v>CLK_DETM_DETIS_EMDS</v>
      </c>
      <c r="I586" s="7" t="str">
        <f t="shared" si="76"/>
        <v>LOGICAL_DELETE_DATE</v>
      </c>
      <c r="J586" s="7" t="str">
        <f t="shared" si="77"/>
        <v>DATE</v>
      </c>
      <c r="K586" s="7" t="str">
        <f>TRIM(ETLMetadata!$G586)</f>
        <v>DATE</v>
      </c>
      <c r="L586" s="7" t="str">
        <f>TRIM(ETLMetadata!$I586)</f>
        <v>YYYY-MM-DD</v>
      </c>
      <c r="M586" s="7" t="str">
        <f t="shared" si="78"/>
        <v>TO_DATE(NULLIF(TRIM(LOGICAL_DELETE_DATE),'') , 'YYYY-MM-DD')</v>
      </c>
      <c r="N586" s="7" t="str">
        <f>TRIM(ETLMetadata!$J586)</f>
        <v/>
      </c>
      <c r="O586" s="8" t="str">
        <f>IF(TRIM(Classification!$G586)="","NOT CONFIDENTIAL",TRIM(Classification!$G586))</f>
        <v>NOT CONFIDENTIAL</v>
      </c>
      <c r="P586" s="7" t="str">
        <f t="shared" si="79"/>
        <v>Y</v>
      </c>
      <c r="Q586" s="7" t="s">
        <v>826</v>
      </c>
      <c r="R586" s="9">
        <v>2958465</v>
      </c>
      <c r="S586" s="7" t="s">
        <v>827</v>
      </c>
      <c r="T586" s="7" t="s">
        <v>828</v>
      </c>
      <c r="U586" s="7" t="str">
        <f t="shared" si="73"/>
        <v>CLK_DETM_DETIS_EMDS_V</v>
      </c>
      <c r="V586" s="7" t="s">
        <v>829</v>
      </c>
    </row>
    <row r="587" spans="1:22">
      <c r="A587" s="7" t="str">
        <f>TRIM(ETLMetadata!$B587)</f>
        <v>CLK</v>
      </c>
      <c r="B587" s="7" t="str">
        <f>TRIM(ETLMetadata!$C587)</f>
        <v>DETM_DETIS_EMDS</v>
      </c>
      <c r="C587" s="7" t="str">
        <f>TRIM(ETLMetadata!$F587)</f>
        <v>ENVIRONMENT_ID</v>
      </c>
      <c r="D587" s="7" t="str">
        <f>TRIM(ETLMetadata!$H587)</f>
        <v>StringType()</v>
      </c>
      <c r="E587" s="7" t="str">
        <f t="shared" si="72"/>
        <v>CLK_DETM_DETIS_EMDS</v>
      </c>
      <c r="F587" s="7" t="str">
        <f t="shared" si="74"/>
        <v>ENVIRONMENT_ID</v>
      </c>
      <c r="G587" s="7" t="s">
        <v>825</v>
      </c>
      <c r="H587" s="7" t="str">
        <f t="shared" si="75"/>
        <v>CLK_DETM_DETIS_EMDS</v>
      </c>
      <c r="I587" s="7" t="str">
        <f t="shared" si="76"/>
        <v>ENVIRONMENT_ID</v>
      </c>
      <c r="J587" s="7" t="str">
        <f t="shared" si="77"/>
        <v>VARCHAR</v>
      </c>
      <c r="K587" s="7" t="str">
        <f>TRIM(ETLMetadata!$G587)</f>
        <v>CHAR(1)</v>
      </c>
      <c r="L587" s="7" t="str">
        <f>TRIM(ETLMetadata!$I587)</f>
        <v/>
      </c>
      <c r="M587" s="7" t="str">
        <f t="shared" si="78"/>
        <v>NULLIF(TRIM(ENVIRONMENT_ID),'')</v>
      </c>
      <c r="N587" s="7" t="str">
        <f>TRIM(ETLMetadata!$J587)</f>
        <v>Y</v>
      </c>
      <c r="O587" s="8" t="str">
        <f>IF(TRIM(Classification!$G587)="","NOT CONFIDENTIAL",TRIM(Classification!$G587))</f>
        <v>NOT CONFIDENTIAL</v>
      </c>
      <c r="P587" s="7" t="str">
        <f t="shared" si="79"/>
        <v>Y</v>
      </c>
      <c r="Q587" s="7" t="s">
        <v>826</v>
      </c>
      <c r="R587" s="9">
        <v>2958465</v>
      </c>
      <c r="S587" s="7" t="s">
        <v>827</v>
      </c>
      <c r="T587" s="7" t="s">
        <v>828</v>
      </c>
      <c r="U587" s="7" t="str">
        <f t="shared" si="73"/>
        <v>CLK_DETM_DETIS_EMDS_V</v>
      </c>
      <c r="V587" s="7" t="s">
        <v>829</v>
      </c>
    </row>
    <row r="588" spans="1:22">
      <c r="A588" s="7" t="str">
        <f>TRIM(ETLMetadata!$B588)</f>
        <v>CLK</v>
      </c>
      <c r="B588" s="7" t="str">
        <f>TRIM(ETLMetadata!$C588)</f>
        <v>DETM_DETIS_EMDS</v>
      </c>
      <c r="C588" s="7" t="str">
        <f>TRIM(ETLMetadata!$F588)</f>
        <v>PERSON_ID</v>
      </c>
      <c r="D588" s="7" t="str">
        <f>TRIM(ETLMetadata!$H588)</f>
        <v>StringType()</v>
      </c>
      <c r="E588" s="7" t="str">
        <f t="shared" si="72"/>
        <v>CLK_DETM_DETIS_EMDS</v>
      </c>
      <c r="F588" s="7" t="str">
        <f t="shared" si="74"/>
        <v>PERSON_ID</v>
      </c>
      <c r="G588" s="7" t="s">
        <v>825</v>
      </c>
      <c r="H588" s="7" t="str">
        <f t="shared" si="75"/>
        <v>CLK_DETM_DETIS_EMDS</v>
      </c>
      <c r="I588" s="7" t="str">
        <f t="shared" si="76"/>
        <v>PERSON_ID</v>
      </c>
      <c r="J588" s="7" t="str">
        <f t="shared" si="77"/>
        <v>INTEGER</v>
      </c>
      <c r="K588" s="7" t="str">
        <f>TRIM(ETLMetadata!$G588)</f>
        <v>INTEGER</v>
      </c>
      <c r="L588" s="7" t="str">
        <f>TRIM(ETLMetadata!$I588)</f>
        <v/>
      </c>
      <c r="M588" s="7" t="str">
        <f t="shared" si="78"/>
        <v>CAST(NULLIF(TRIM(PERSON_ID),'') AS INTEGER)</v>
      </c>
      <c r="N588" s="7" t="str">
        <f>TRIM(ETLMetadata!$J588)</f>
        <v>Y</v>
      </c>
      <c r="O588" s="8" t="str">
        <f>IF(TRIM(Classification!$G588)="","NOT CONFIDENTIAL",TRIM(Classification!$G588))</f>
        <v>PERSONAL_IDENTITYINFOINDIRECT</v>
      </c>
      <c r="P588" s="7" t="str">
        <f t="shared" si="79"/>
        <v>Y</v>
      </c>
      <c r="Q588" s="7" t="s">
        <v>826</v>
      </c>
      <c r="R588" s="9">
        <v>2958465</v>
      </c>
      <c r="S588" s="7" t="s">
        <v>827</v>
      </c>
      <c r="T588" s="7" t="s">
        <v>828</v>
      </c>
      <c r="U588" s="7" t="str">
        <f t="shared" si="73"/>
        <v>CLK_DETM_DETIS_EMDS_V</v>
      </c>
      <c r="V588" s="7" t="s">
        <v>829</v>
      </c>
    </row>
    <row r="589" spans="1:22">
      <c r="A589" s="7" t="str">
        <f>TRIM(ETLMetadata!$B589)</f>
        <v>CLK</v>
      </c>
      <c r="B589" s="7" t="str">
        <f>TRIM(ETLMetadata!$C589)</f>
        <v>DETM_DETIS_EMDS</v>
      </c>
      <c r="C589" s="7" t="str">
        <f>TRIM(ETLMetadata!$F589)</f>
        <v>EMDS_DOE</v>
      </c>
      <c r="D589" s="7" t="str">
        <f>TRIM(ETLMetadata!$H589)</f>
        <v>StringType()</v>
      </c>
      <c r="E589" s="7" t="str">
        <f t="shared" si="72"/>
        <v>CLK_DETM_DETIS_EMDS</v>
      </c>
      <c r="F589" s="7" t="str">
        <f t="shared" si="74"/>
        <v>EMDS_DOE</v>
      </c>
      <c r="G589" s="7" t="s">
        <v>825</v>
      </c>
      <c r="H589" s="7" t="str">
        <f t="shared" si="75"/>
        <v>CLK_DETM_DETIS_EMDS</v>
      </c>
      <c r="I589" s="7" t="str">
        <f t="shared" si="76"/>
        <v>EMDS_DOE</v>
      </c>
      <c r="J589" s="7" t="str">
        <f t="shared" si="77"/>
        <v>DATE</v>
      </c>
      <c r="K589" s="17" t="s">
        <v>80</v>
      </c>
      <c r="L589" s="7" t="str">
        <f>TRIM(ETLMetadata!$I589)</f>
        <v>YYYY-MM-DD</v>
      </c>
      <c r="M589" s="7" t="str">
        <f t="shared" si="78"/>
        <v>TO_DATE(NULLIF(TRIM(EMDS_DOE),'') , 'YYYY-MM-DD')</v>
      </c>
      <c r="N589" s="7" t="str">
        <f>TRIM(ETLMetadata!$J589)</f>
        <v/>
      </c>
      <c r="O589" s="8" t="str">
        <f>IF(TRIM(Classification!$G589)="","NOT CONFIDENTIAL",TRIM(Classification!$G589))</f>
        <v>NOT CONFIDENTIAL</v>
      </c>
      <c r="P589" s="7" t="str">
        <f t="shared" si="79"/>
        <v>Y</v>
      </c>
      <c r="Q589" s="7" t="s">
        <v>826</v>
      </c>
      <c r="R589" s="9">
        <v>2958465</v>
      </c>
      <c r="S589" s="7" t="s">
        <v>827</v>
      </c>
      <c r="T589" s="7" t="s">
        <v>828</v>
      </c>
      <c r="U589" s="7" t="str">
        <f t="shared" si="73"/>
        <v>CLK_DETM_DETIS_EMDS_V</v>
      </c>
      <c r="V589" s="7" t="s">
        <v>829</v>
      </c>
    </row>
    <row r="590" spans="1:22">
      <c r="A590" s="7" t="str">
        <f>TRIM(ETLMetadata!$B590)</f>
        <v>CLK</v>
      </c>
      <c r="B590" s="7" t="str">
        <f>TRIM(ETLMetadata!$C590)</f>
        <v>DETM_DETIS_EMDS</v>
      </c>
      <c r="C590" s="7" t="str">
        <f>TRIM(ETLMetadata!$F590)</f>
        <v>EMDS_DOE_ORIG</v>
      </c>
      <c r="D590" s="7" t="str">
        <f>TRIM(ETLMetadata!$H590)</f>
        <v>StringType()</v>
      </c>
      <c r="E590" s="7" t="str">
        <f t="shared" si="72"/>
        <v>CLK_DETM_DETIS_EMDS</v>
      </c>
      <c r="F590" s="7" t="str">
        <f t="shared" si="74"/>
        <v>EMDS_DOE_ORIG</v>
      </c>
      <c r="G590" s="7" t="s">
        <v>825</v>
      </c>
      <c r="H590" s="7" t="str">
        <f t="shared" si="75"/>
        <v>CLK_DETM_DETIS_EMDS</v>
      </c>
      <c r="I590" s="7" t="str">
        <f t="shared" si="76"/>
        <v>EMDS_DOE_ORIG</v>
      </c>
      <c r="J590" s="7" t="str">
        <f t="shared" si="77"/>
        <v>INTEGER</v>
      </c>
      <c r="K590" s="17" t="s">
        <v>90</v>
      </c>
      <c r="L590" s="7" t="str">
        <f>TRIM(ETLMetadata!$I590)</f>
        <v/>
      </c>
      <c r="M590" s="7" t="str">
        <f t="shared" si="78"/>
        <v>CAST(NULLIF(TRIM(EMDS_DOE_ORIG),'') AS INTEGER)</v>
      </c>
      <c r="N590" s="7" t="str">
        <f>TRIM(ETLMetadata!$J590)</f>
        <v/>
      </c>
      <c r="O590" s="8" t="str">
        <f>IF(TRIM(Classification!$G590)="","NOT CONFIDENTIAL",TRIM(Classification!$G590))</f>
        <v>NOT CONFIDENTIAL</v>
      </c>
      <c r="P590" s="7" t="str">
        <f t="shared" si="79"/>
        <v>Y</v>
      </c>
      <c r="Q590" s="7" t="s">
        <v>826</v>
      </c>
      <c r="R590" s="9">
        <v>2958465</v>
      </c>
      <c r="S590" s="7" t="s">
        <v>827</v>
      </c>
      <c r="T590" s="7" t="s">
        <v>828</v>
      </c>
      <c r="U590" s="7" t="str">
        <f t="shared" si="73"/>
        <v>CLK_DETM_DETIS_EMDS_V</v>
      </c>
      <c r="V590" s="7" t="s">
        <v>829</v>
      </c>
    </row>
    <row r="591" spans="1:22">
      <c r="A591" s="7" t="str">
        <f>TRIM(ETLMetadata!$B591)</f>
        <v>CLK</v>
      </c>
      <c r="B591" s="7" t="str">
        <f>TRIM(ETLMetadata!$C591)</f>
        <v>DETM_DETIS_EMDS</v>
      </c>
      <c r="C591" s="7" t="str">
        <f>TRIM(ETLMetadata!$F591)</f>
        <v>PROCESSING_SEQUENCE</v>
      </c>
      <c r="D591" s="7" t="str">
        <f>TRIM(ETLMetadata!$H591)</f>
        <v>StringType()</v>
      </c>
      <c r="E591" s="7" t="str">
        <f t="shared" si="72"/>
        <v>CLK_DETM_DETIS_EMDS</v>
      </c>
      <c r="F591" s="7" t="str">
        <f t="shared" si="74"/>
        <v>PROCESSING_SEQUENCE</v>
      </c>
      <c r="G591" s="7" t="s">
        <v>825</v>
      </c>
      <c r="H591" s="7" t="str">
        <f t="shared" si="75"/>
        <v>CLK_DETM_DETIS_EMDS</v>
      </c>
      <c r="I591" s="7" t="str">
        <f t="shared" si="76"/>
        <v>PROCESSING_SEQUENCE</v>
      </c>
      <c r="J591" s="7" t="str">
        <f t="shared" si="77"/>
        <v>SMALLINT</v>
      </c>
      <c r="K591" s="7" t="str">
        <f>TRIM(ETLMetadata!$G591)</f>
        <v>SMALLINT</v>
      </c>
      <c r="L591" s="7" t="str">
        <f>TRIM(ETLMetadata!$I591)</f>
        <v/>
      </c>
      <c r="M591" s="7" t="str">
        <f t="shared" si="78"/>
        <v>CAST(NULLIF(TRIM(PROCESSING_SEQUENCE),'') AS SMALLINT)</v>
      </c>
      <c r="N591" s="7" t="str">
        <f>TRIM(ETLMetadata!$J591)</f>
        <v>Y</v>
      </c>
      <c r="O591" s="8" t="str">
        <f>IF(TRIM(Classification!$G591)="","NOT CONFIDENTIAL",TRIM(Classification!$G591))</f>
        <v>NOT CONFIDENTIAL</v>
      </c>
      <c r="P591" s="7" t="str">
        <f t="shared" si="79"/>
        <v>Y</v>
      </c>
      <c r="Q591" s="7" t="s">
        <v>826</v>
      </c>
      <c r="R591" s="9">
        <v>2958465</v>
      </c>
      <c r="S591" s="7" t="s">
        <v>827</v>
      </c>
      <c r="T591" s="7" t="s">
        <v>828</v>
      </c>
      <c r="U591" s="7" t="str">
        <f t="shared" si="73"/>
        <v>CLK_DETM_DETIS_EMDS_V</v>
      </c>
      <c r="V591" s="7" t="s">
        <v>829</v>
      </c>
    </row>
    <row r="592" spans="1:22">
      <c r="A592" s="7" t="str">
        <f>TRIM(ETLMetadata!$B592)</f>
        <v>CLK</v>
      </c>
      <c r="B592" s="7" t="str">
        <f>TRIM(ETLMetadata!$C592)</f>
        <v>DETM_DETIS_EMDS</v>
      </c>
      <c r="C592" s="7" t="str">
        <f>TRIM(ETLMetadata!$F592)</f>
        <v>EMDS_AMR_1</v>
      </c>
      <c r="D592" s="7" t="str">
        <f>TRIM(ETLMetadata!$H592)</f>
        <v>StringType()</v>
      </c>
      <c r="E592" s="7" t="str">
        <f t="shared" si="72"/>
        <v>CLK_DETM_DETIS_EMDS</v>
      </c>
      <c r="F592" s="7" t="str">
        <f t="shared" si="74"/>
        <v>EMDS_AMR_1</v>
      </c>
      <c r="G592" s="7" t="s">
        <v>825</v>
      </c>
      <c r="H592" s="7" t="str">
        <f t="shared" si="75"/>
        <v>CLK_DETM_DETIS_EMDS</v>
      </c>
      <c r="I592" s="7" t="str">
        <f t="shared" si="76"/>
        <v>EMDS_AMR_1</v>
      </c>
      <c r="J592" s="7" t="str">
        <f t="shared" si="77"/>
        <v>VARCHAR</v>
      </c>
      <c r="K592" s="7" t="str">
        <f>TRIM(ETLMetadata!$G592)</f>
        <v>CHAR(4)</v>
      </c>
      <c r="L592" s="7" t="str">
        <f>TRIM(ETLMetadata!$I592)</f>
        <v/>
      </c>
      <c r="M592" s="7" t="str">
        <f t="shared" si="78"/>
        <v>NULLIF(TRIM(EMDS_AMR_1),'')</v>
      </c>
      <c r="N592" s="7" t="str">
        <f>TRIM(ETLMetadata!$J592)</f>
        <v/>
      </c>
      <c r="O592" s="8" t="str">
        <f>IF(TRIM(Classification!$G592)="","NOT CONFIDENTIAL",TRIM(Classification!$G592))</f>
        <v>NOT CONFIDENTIAL</v>
      </c>
      <c r="P592" s="7" t="str">
        <f t="shared" si="79"/>
        <v>Y</v>
      </c>
      <c r="Q592" s="7" t="s">
        <v>826</v>
      </c>
      <c r="R592" s="9">
        <v>2958465</v>
      </c>
      <c r="S592" s="7" t="s">
        <v>827</v>
      </c>
      <c r="T592" s="7" t="s">
        <v>828</v>
      </c>
      <c r="U592" s="7" t="str">
        <f t="shared" si="73"/>
        <v>CLK_DETM_DETIS_EMDS_V</v>
      </c>
      <c r="V592" s="7" t="s">
        <v>829</v>
      </c>
    </row>
    <row r="593" spans="1:22">
      <c r="A593" s="7" t="str">
        <f>TRIM(ETLMetadata!$B593)</f>
        <v>CLK</v>
      </c>
      <c r="B593" s="7" t="str">
        <f>TRIM(ETLMetadata!$C593)</f>
        <v>DETM_DETIS_EMDS</v>
      </c>
      <c r="C593" s="7" t="str">
        <f>TRIM(ETLMetadata!$F593)</f>
        <v>EMDS_AMR_2</v>
      </c>
      <c r="D593" s="7" t="str">
        <f>TRIM(ETLMetadata!$H593)</f>
        <v>StringType()</v>
      </c>
      <c r="E593" s="7" t="str">
        <f t="shared" si="72"/>
        <v>CLK_DETM_DETIS_EMDS</v>
      </c>
      <c r="F593" s="7" t="str">
        <f t="shared" si="74"/>
        <v>EMDS_AMR_2</v>
      </c>
      <c r="G593" s="7" t="s">
        <v>825</v>
      </c>
      <c r="H593" s="7" t="str">
        <f t="shared" si="75"/>
        <v>CLK_DETM_DETIS_EMDS</v>
      </c>
      <c r="I593" s="7" t="str">
        <f t="shared" si="76"/>
        <v>EMDS_AMR_2</v>
      </c>
      <c r="J593" s="7" t="str">
        <f t="shared" si="77"/>
        <v>VARCHAR</v>
      </c>
      <c r="K593" s="7" t="str">
        <f>TRIM(ETLMetadata!$G593)</f>
        <v>CHAR(1)</v>
      </c>
      <c r="L593" s="7" t="str">
        <f>TRIM(ETLMetadata!$I593)</f>
        <v/>
      </c>
      <c r="M593" s="7" t="str">
        <f t="shared" si="78"/>
        <v>NULLIF(TRIM(EMDS_AMR_2),'')</v>
      </c>
      <c r="N593" s="7" t="str">
        <f>TRIM(ETLMetadata!$J593)</f>
        <v/>
      </c>
      <c r="O593" s="8" t="str">
        <f>IF(TRIM(Classification!$G593)="","NOT CONFIDENTIAL",TRIM(Classification!$G593))</f>
        <v>NOT CONFIDENTIAL</v>
      </c>
      <c r="P593" s="7" t="str">
        <f t="shared" si="79"/>
        <v>Y</v>
      </c>
      <c r="Q593" s="7" t="s">
        <v>826</v>
      </c>
      <c r="R593" s="9">
        <v>2958465</v>
      </c>
      <c r="S593" s="7" t="s">
        <v>827</v>
      </c>
      <c r="T593" s="7" t="s">
        <v>828</v>
      </c>
      <c r="U593" s="7" t="str">
        <f t="shared" si="73"/>
        <v>CLK_DETM_DETIS_EMDS_V</v>
      </c>
      <c r="V593" s="7" t="s">
        <v>829</v>
      </c>
    </row>
    <row r="594" spans="1:22">
      <c r="A594" s="7" t="str">
        <f>TRIM(ETLMetadata!$B594)</f>
        <v>CLK</v>
      </c>
      <c r="B594" s="7" t="str">
        <f>TRIM(ETLMetadata!$C594)</f>
        <v>DETM_DETIS_EMDS</v>
      </c>
      <c r="C594" s="7" t="str">
        <f>TRIM(ETLMetadata!$F594)</f>
        <v>EMDS_AMR_3</v>
      </c>
      <c r="D594" s="7" t="str">
        <f>TRIM(ETLMetadata!$H594)</f>
        <v>StringType()</v>
      </c>
      <c r="E594" s="7" t="str">
        <f t="shared" si="72"/>
        <v>CLK_DETM_DETIS_EMDS</v>
      </c>
      <c r="F594" s="7" t="str">
        <f t="shared" si="74"/>
        <v>EMDS_AMR_3</v>
      </c>
      <c r="G594" s="7" t="s">
        <v>825</v>
      </c>
      <c r="H594" s="7" t="str">
        <f t="shared" si="75"/>
        <v>CLK_DETM_DETIS_EMDS</v>
      </c>
      <c r="I594" s="7" t="str">
        <f t="shared" si="76"/>
        <v>EMDS_AMR_3</v>
      </c>
      <c r="J594" s="7" t="str">
        <f t="shared" si="77"/>
        <v>VARCHAR</v>
      </c>
      <c r="K594" s="7" t="str">
        <f>TRIM(ETLMetadata!$G594)</f>
        <v>CHAR(4)</v>
      </c>
      <c r="L594" s="7" t="str">
        <f>TRIM(ETLMetadata!$I594)</f>
        <v/>
      </c>
      <c r="M594" s="7" t="str">
        <f t="shared" si="78"/>
        <v>NULLIF(TRIM(EMDS_AMR_3),'')</v>
      </c>
      <c r="N594" s="7" t="str">
        <f>TRIM(ETLMetadata!$J594)</f>
        <v/>
      </c>
      <c r="O594" s="8" t="str">
        <f>IF(TRIM(Classification!$G594)="","NOT CONFIDENTIAL",TRIM(Classification!$G594))</f>
        <v>NOT CONFIDENTIAL</v>
      </c>
      <c r="P594" s="7" t="str">
        <f t="shared" si="79"/>
        <v>Y</v>
      </c>
      <c r="Q594" s="7" t="s">
        <v>826</v>
      </c>
      <c r="R594" s="9">
        <v>2958465</v>
      </c>
      <c r="S594" s="7" t="s">
        <v>827</v>
      </c>
      <c r="T594" s="7" t="s">
        <v>828</v>
      </c>
      <c r="U594" s="7" t="str">
        <f t="shared" si="73"/>
        <v>CLK_DETM_DETIS_EMDS_V</v>
      </c>
      <c r="V594" s="7" t="s">
        <v>829</v>
      </c>
    </row>
    <row r="595" spans="1:22">
      <c r="A595" s="7" t="str">
        <f>TRIM(ETLMetadata!$B595)</f>
        <v>CLK</v>
      </c>
      <c r="B595" s="7" t="str">
        <f>TRIM(ETLMetadata!$C595)</f>
        <v>DETM_DETIS_EMDS</v>
      </c>
      <c r="C595" s="7" t="str">
        <f>TRIM(ETLMetadata!$F595)</f>
        <v>EMDS_BEN_TYPE_CODE</v>
      </c>
      <c r="D595" s="7" t="str">
        <f>TRIM(ETLMetadata!$H595)</f>
        <v>StringType()</v>
      </c>
      <c r="E595" s="7" t="str">
        <f t="shared" si="72"/>
        <v>CLK_DETM_DETIS_EMDS</v>
      </c>
      <c r="F595" s="7" t="str">
        <f t="shared" si="74"/>
        <v>EMDS_BEN_TYPE_CODE</v>
      </c>
      <c r="G595" s="7" t="s">
        <v>825</v>
      </c>
      <c r="H595" s="7" t="str">
        <f t="shared" si="75"/>
        <v>CLK_DETM_DETIS_EMDS</v>
      </c>
      <c r="I595" s="7" t="str">
        <f t="shared" si="76"/>
        <v>EMDS_BEN_TYPE_CODE</v>
      </c>
      <c r="J595" s="7" t="str">
        <f t="shared" si="77"/>
        <v>VARCHAR</v>
      </c>
      <c r="K595" s="7" t="str">
        <f>TRIM(ETLMetadata!$G595)</f>
        <v>CHAR(3)</v>
      </c>
      <c r="L595" s="7" t="str">
        <f>TRIM(ETLMetadata!$I595)</f>
        <v/>
      </c>
      <c r="M595" s="7" t="str">
        <f t="shared" si="78"/>
        <v>NULLIF(TRIM(EMDS_BEN_TYPE_CODE),'')</v>
      </c>
      <c r="N595" s="7" t="str">
        <f>TRIM(ETLMetadata!$J595)</f>
        <v/>
      </c>
      <c r="O595" s="8" t="str">
        <f>IF(TRIM(Classification!$G595)="","NOT CONFIDENTIAL",TRIM(Classification!$G595))</f>
        <v>NOT CONFIDENTIAL</v>
      </c>
      <c r="P595" s="7" t="str">
        <f t="shared" si="79"/>
        <v>Y</v>
      </c>
      <c r="Q595" s="7" t="s">
        <v>826</v>
      </c>
      <c r="R595" s="9">
        <v>2958465</v>
      </c>
      <c r="S595" s="7" t="s">
        <v>827</v>
      </c>
      <c r="T595" s="7" t="s">
        <v>828</v>
      </c>
      <c r="U595" s="7" t="str">
        <f t="shared" si="73"/>
        <v>CLK_DETM_DETIS_EMDS_V</v>
      </c>
      <c r="V595" s="7" t="s">
        <v>829</v>
      </c>
    </row>
    <row r="596" spans="1:22">
      <c r="A596" s="7" t="str">
        <f>TRIM(ETLMetadata!$B596)</f>
        <v>CLK</v>
      </c>
      <c r="B596" s="7" t="str">
        <f>TRIM(ETLMetadata!$C596)</f>
        <v>DETM_DETIS_EMDS</v>
      </c>
      <c r="C596" s="7" t="str">
        <f>TRIM(ETLMetadata!$F596)</f>
        <v>EMDS_STS_CODE</v>
      </c>
      <c r="D596" s="7" t="str">
        <f>TRIM(ETLMetadata!$H596)</f>
        <v>StringType()</v>
      </c>
      <c r="E596" s="7" t="str">
        <f t="shared" si="72"/>
        <v>CLK_DETM_DETIS_EMDS</v>
      </c>
      <c r="F596" s="7" t="str">
        <f t="shared" si="74"/>
        <v>EMDS_STS_CODE</v>
      </c>
      <c r="G596" s="7" t="s">
        <v>825</v>
      </c>
      <c r="H596" s="7" t="str">
        <f t="shared" si="75"/>
        <v>CLK_DETM_DETIS_EMDS</v>
      </c>
      <c r="I596" s="7" t="str">
        <f t="shared" si="76"/>
        <v>EMDS_STS_CODE</v>
      </c>
      <c r="J596" s="7" t="str">
        <f t="shared" si="77"/>
        <v>VARCHAR</v>
      </c>
      <c r="K596" s="7" t="str">
        <f>TRIM(ETLMetadata!$G596)</f>
        <v>CHAR(3)</v>
      </c>
      <c r="L596" s="7" t="str">
        <f>TRIM(ETLMetadata!$I596)</f>
        <v/>
      </c>
      <c r="M596" s="7" t="str">
        <f t="shared" si="78"/>
        <v>NULLIF(TRIM(EMDS_STS_CODE),'')</v>
      </c>
      <c r="N596" s="7" t="str">
        <f>TRIM(ETLMetadata!$J596)</f>
        <v/>
      </c>
      <c r="O596" s="8" t="str">
        <f>IF(TRIM(Classification!$G596)="","NOT CONFIDENTIAL",TRIM(Classification!$G596))</f>
        <v>NOT CONFIDENTIAL</v>
      </c>
      <c r="P596" s="7" t="str">
        <f t="shared" si="79"/>
        <v>Y</v>
      </c>
      <c r="Q596" s="7" t="s">
        <v>826</v>
      </c>
      <c r="R596" s="9">
        <v>2958465</v>
      </c>
      <c r="S596" s="7" t="s">
        <v>827</v>
      </c>
      <c r="T596" s="7" t="s">
        <v>828</v>
      </c>
      <c r="U596" s="7" t="str">
        <f t="shared" si="73"/>
        <v>CLK_DETM_DETIS_EMDS_V</v>
      </c>
      <c r="V596" s="7" t="s">
        <v>829</v>
      </c>
    </row>
    <row r="597" spans="1:22">
      <c r="A597" s="7" t="str">
        <f>TRIM(ETLMetadata!$B597)</f>
        <v>CLK</v>
      </c>
      <c r="B597" s="7" t="str">
        <f>TRIM(ETLMetadata!$C597)</f>
        <v>DETM_DETIS_EMDS</v>
      </c>
      <c r="C597" s="7" t="str">
        <f>TRIM(ETLMetadata!$F597)</f>
        <v>EMDS_RSN_CODE</v>
      </c>
      <c r="D597" s="7" t="str">
        <f>TRIM(ETLMetadata!$H597)</f>
        <v>StringType()</v>
      </c>
      <c r="E597" s="7" t="str">
        <f t="shared" si="72"/>
        <v>CLK_DETM_DETIS_EMDS</v>
      </c>
      <c r="F597" s="7" t="str">
        <f t="shared" si="74"/>
        <v>EMDS_RSN_CODE</v>
      </c>
      <c r="G597" s="7" t="s">
        <v>825</v>
      </c>
      <c r="H597" s="7" t="str">
        <f t="shared" si="75"/>
        <v>CLK_DETM_DETIS_EMDS</v>
      </c>
      <c r="I597" s="7" t="str">
        <f t="shared" si="76"/>
        <v>EMDS_RSN_CODE</v>
      </c>
      <c r="J597" s="7" t="str">
        <f t="shared" si="77"/>
        <v>VARCHAR</v>
      </c>
      <c r="K597" s="7" t="str">
        <f>TRIM(ETLMetadata!$G597)</f>
        <v>CHAR(3)</v>
      </c>
      <c r="L597" s="7" t="str">
        <f>TRIM(ETLMetadata!$I597)</f>
        <v/>
      </c>
      <c r="M597" s="7" t="str">
        <f t="shared" si="78"/>
        <v>NULLIF(TRIM(EMDS_RSN_CODE),'')</v>
      </c>
      <c r="N597" s="7" t="str">
        <f>TRIM(ETLMetadata!$J597)</f>
        <v/>
      </c>
      <c r="O597" s="8" t="str">
        <f>IF(TRIM(Classification!$G597)="","NOT CONFIDENTIAL",TRIM(Classification!$G597))</f>
        <v>NOT CONFIDENTIAL</v>
      </c>
      <c r="P597" s="7" t="str">
        <f t="shared" si="79"/>
        <v>Y</v>
      </c>
      <c r="Q597" s="7" t="s">
        <v>826</v>
      </c>
      <c r="R597" s="9">
        <v>2958465</v>
      </c>
      <c r="S597" s="7" t="s">
        <v>827</v>
      </c>
      <c r="T597" s="7" t="s">
        <v>828</v>
      </c>
      <c r="U597" s="7" t="str">
        <f t="shared" si="73"/>
        <v>CLK_DETM_DETIS_EMDS_V</v>
      </c>
      <c r="V597" s="7" t="s">
        <v>829</v>
      </c>
    </row>
    <row r="598" spans="1:22">
      <c r="A598" s="7" t="str">
        <f>TRIM(ETLMetadata!$B598)</f>
        <v>CLK</v>
      </c>
      <c r="B598" s="7" t="str">
        <f>TRIM(ETLMetadata!$C598)</f>
        <v>DETM_DETIS_EMDS</v>
      </c>
      <c r="C598" s="7" t="str">
        <f>TRIM(ETLMetadata!$F598)</f>
        <v>EMDS_UNIQ_ID</v>
      </c>
      <c r="D598" s="7" t="str">
        <f>TRIM(ETLMetadata!$H598)</f>
        <v>StringType()</v>
      </c>
      <c r="E598" s="7" t="str">
        <f t="shared" si="72"/>
        <v>CLK_DETM_DETIS_EMDS</v>
      </c>
      <c r="F598" s="7" t="str">
        <f t="shared" si="74"/>
        <v>EMDS_UNIQ_ID</v>
      </c>
      <c r="G598" s="7" t="s">
        <v>825</v>
      </c>
      <c r="H598" s="7" t="str">
        <f t="shared" si="75"/>
        <v>CLK_DETM_DETIS_EMDS</v>
      </c>
      <c r="I598" s="7" t="str">
        <f t="shared" si="76"/>
        <v>EMDS_UNIQ_ID</v>
      </c>
      <c r="J598" s="7" t="str">
        <f t="shared" si="77"/>
        <v>VARCHAR</v>
      </c>
      <c r="K598" s="7" t="str">
        <f>TRIM(ETLMetadata!$G598)</f>
        <v>VARCHAR(8)</v>
      </c>
      <c r="L598" s="7" t="str">
        <f>TRIM(ETLMetadata!$I598)</f>
        <v/>
      </c>
      <c r="M598" s="7" t="str">
        <f t="shared" si="78"/>
        <v>NULLIF(TRIM(EMDS_UNIQ_ID),'')</v>
      </c>
      <c r="N598" s="7" t="str">
        <f>TRIM(ETLMetadata!$J598)</f>
        <v/>
      </c>
      <c r="O598" s="8" t="str">
        <f>IF(TRIM(Classification!$G598)="","NOT CONFIDENTIAL",TRIM(Classification!$G598))</f>
        <v>NOT CONFIDENTIAL</v>
      </c>
      <c r="P598" s="7" t="str">
        <f t="shared" si="79"/>
        <v>Y</v>
      </c>
      <c r="Q598" s="7" t="s">
        <v>826</v>
      </c>
      <c r="R598" s="9">
        <v>2958465</v>
      </c>
      <c r="S598" s="7" t="s">
        <v>827</v>
      </c>
      <c r="T598" s="7" t="s">
        <v>828</v>
      </c>
      <c r="U598" s="7" t="str">
        <f t="shared" si="73"/>
        <v>CLK_DETM_DETIS_EMDS_V</v>
      </c>
      <c r="V598" s="7" t="s">
        <v>829</v>
      </c>
    </row>
    <row r="599" spans="1:22">
      <c r="A599" s="7" t="str">
        <f>TRIM(ETLMetadata!$B599)</f>
        <v>CLK</v>
      </c>
      <c r="B599" s="7" t="str">
        <f>TRIM(ETLMetadata!$C599)</f>
        <v>DETM_DETIS_EMDS</v>
      </c>
      <c r="C599" s="7" t="str">
        <f>TRIM(ETLMetadata!$F599)</f>
        <v>AMR1_RISL_DTS</v>
      </c>
      <c r="D599" s="7" t="str">
        <f>TRIM(ETLMetadata!$H599)</f>
        <v>StringType()</v>
      </c>
      <c r="E599" s="7" t="str">
        <f t="shared" si="72"/>
        <v>CLK_DETM_DETIS_EMDS</v>
      </c>
      <c r="F599" s="7" t="str">
        <f t="shared" si="74"/>
        <v>AMR1_RISL_DTS</v>
      </c>
      <c r="G599" s="7" t="s">
        <v>825</v>
      </c>
      <c r="H599" s="7" t="str">
        <f t="shared" si="75"/>
        <v>CLK_DETM_DETIS_EMDS</v>
      </c>
      <c r="I599" s="7" t="str">
        <f t="shared" si="76"/>
        <v>AMR1_RISL_DTS</v>
      </c>
      <c r="J599" s="7" t="str">
        <f t="shared" si="77"/>
        <v>TIMESTAMP</v>
      </c>
      <c r="K599" s="7" t="str">
        <f>TRIM(ETLMetadata!$G599)</f>
        <v>TIMESTAMP(6)</v>
      </c>
      <c r="L599" s="7" t="str">
        <f>TRIM(ETLMetadata!$I599)</f>
        <v>YYYY-MM-DDBHH:MI:SS.S(6)</v>
      </c>
      <c r="M599" s="7" t="str">
        <f t="shared" si="78"/>
        <v>TO_TIMESTAMP_NTZ(NULLIF(TRIM(AMR1_RISL_DTS),''),'YYYY-MM-DD HH24:MI:SS.FF6')</v>
      </c>
      <c r="N599" s="7" t="str">
        <f>TRIM(ETLMetadata!$J599)</f>
        <v/>
      </c>
      <c r="O599" s="8" t="str">
        <f>IF(TRIM(Classification!$G599)="","NOT CONFIDENTIAL",TRIM(Classification!$G599))</f>
        <v>NOT CONFIDENTIAL</v>
      </c>
      <c r="P599" s="7" t="str">
        <f t="shared" si="79"/>
        <v>Y</v>
      </c>
      <c r="Q599" s="7" t="s">
        <v>826</v>
      </c>
      <c r="R599" s="9">
        <v>2958465</v>
      </c>
      <c r="S599" s="7" t="s">
        <v>827</v>
      </c>
      <c r="T599" s="7" t="s">
        <v>828</v>
      </c>
      <c r="U599" s="7" t="str">
        <f t="shared" si="73"/>
        <v>CLK_DETM_DETIS_EMDS_V</v>
      </c>
      <c r="V599" s="7" t="s">
        <v>829</v>
      </c>
    </row>
    <row r="600" spans="1:22">
      <c r="A600" s="7" t="str">
        <f>TRIM(ETLMetadata!$B600)</f>
        <v>CLK</v>
      </c>
      <c r="B600" s="7" t="str">
        <f>TRIM(ETLMetadata!$C600)</f>
        <v>DETM_DETIS_EMDS</v>
      </c>
      <c r="C600" s="7" t="str">
        <f>TRIM(ETLMetadata!$F600)</f>
        <v>AMR3_RISL_DTS</v>
      </c>
      <c r="D600" s="7" t="str">
        <f>TRIM(ETLMetadata!$H600)</f>
        <v>StringType()</v>
      </c>
      <c r="E600" s="7" t="str">
        <f t="shared" si="72"/>
        <v>CLK_DETM_DETIS_EMDS</v>
      </c>
      <c r="F600" s="7" t="str">
        <f t="shared" si="74"/>
        <v>AMR3_RISL_DTS</v>
      </c>
      <c r="G600" s="7" t="s">
        <v>825</v>
      </c>
      <c r="H600" s="7" t="str">
        <f t="shared" si="75"/>
        <v>CLK_DETM_DETIS_EMDS</v>
      </c>
      <c r="I600" s="7" t="str">
        <f t="shared" si="76"/>
        <v>AMR3_RISL_DTS</v>
      </c>
      <c r="J600" s="7" t="str">
        <f t="shared" si="77"/>
        <v>TIMESTAMP</v>
      </c>
      <c r="K600" s="7" t="str">
        <f>TRIM(ETLMetadata!$G600)</f>
        <v>TIMESTAMP(6)</v>
      </c>
      <c r="L600" s="7" t="str">
        <f>TRIM(ETLMetadata!$I600)</f>
        <v>YYYY-MM-DDBHH:MI:SS.S(6)</v>
      </c>
      <c r="M600" s="7" t="str">
        <f t="shared" si="78"/>
        <v>TO_TIMESTAMP_NTZ(NULLIF(TRIM(AMR3_RISL_DTS),''),'YYYY-MM-DD HH24:MI:SS.FF6')</v>
      </c>
      <c r="N600" s="7" t="str">
        <f>TRIM(ETLMetadata!$J600)</f>
        <v/>
      </c>
      <c r="O600" s="8" t="str">
        <f>IF(TRIM(Classification!$G600)="","NOT CONFIDENTIAL",TRIM(Classification!$G600))</f>
        <v>NOT CONFIDENTIAL</v>
      </c>
      <c r="P600" s="7" t="str">
        <f t="shared" si="79"/>
        <v>Y</v>
      </c>
      <c r="Q600" s="7" t="s">
        <v>826</v>
      </c>
      <c r="R600" s="9">
        <v>2958465</v>
      </c>
      <c r="S600" s="7" t="s">
        <v>827</v>
      </c>
      <c r="T600" s="7" t="s">
        <v>828</v>
      </c>
      <c r="U600" s="7" t="str">
        <f t="shared" si="73"/>
        <v>CLK_DETM_DETIS_EMDS_V</v>
      </c>
      <c r="V600" s="7" t="s">
        <v>829</v>
      </c>
    </row>
    <row r="601" spans="1:22">
      <c r="A601" s="7" t="str">
        <f>TRIM(ETLMetadata!$B601)</f>
        <v>CLK</v>
      </c>
      <c r="B601" s="7" t="str">
        <f>TRIM(ETLMetadata!$C601)</f>
        <v>DETM_DETIS_EMDS</v>
      </c>
      <c r="C601" s="7" t="str">
        <f>TRIM(ETLMetadata!$F601)</f>
        <v>EPISODE_ID</v>
      </c>
      <c r="D601" s="7" t="str">
        <f>TRIM(ETLMetadata!$H601)</f>
        <v>StringType()</v>
      </c>
      <c r="E601" s="7" t="str">
        <f t="shared" si="72"/>
        <v>CLK_DETM_DETIS_EMDS</v>
      </c>
      <c r="F601" s="7" t="str">
        <f t="shared" si="74"/>
        <v>EPISODE_ID</v>
      </c>
      <c r="G601" s="7" t="s">
        <v>825</v>
      </c>
      <c r="H601" s="7" t="str">
        <f t="shared" si="75"/>
        <v>CLK_DETM_DETIS_EMDS</v>
      </c>
      <c r="I601" s="7" t="str">
        <f t="shared" si="76"/>
        <v>EPISODE_ID</v>
      </c>
      <c r="J601" s="7" t="str">
        <f t="shared" si="77"/>
        <v>INTEGER</v>
      </c>
      <c r="K601" s="7" t="str">
        <f>TRIM(ETLMetadata!$G601)</f>
        <v>INTEGER</v>
      </c>
      <c r="L601" s="7" t="str">
        <f>TRIM(ETLMetadata!$I601)</f>
        <v/>
      </c>
      <c r="M601" s="7" t="str">
        <f t="shared" si="78"/>
        <v>CAST(NULLIF(TRIM(EPISODE_ID),'') AS INTEGER)</v>
      </c>
      <c r="N601" s="7" t="str">
        <f>TRIM(ETLMetadata!$J601)</f>
        <v/>
      </c>
      <c r="O601" s="8" t="str">
        <f>IF(TRIM(Classification!$G601)="","NOT CONFIDENTIAL",TRIM(Classification!$G601))</f>
        <v>NOT CONFIDENTIAL</v>
      </c>
      <c r="P601" s="7" t="str">
        <f t="shared" si="79"/>
        <v>Y</v>
      </c>
      <c r="Q601" s="7" t="s">
        <v>826</v>
      </c>
      <c r="R601" s="9">
        <v>2958465</v>
      </c>
      <c r="S601" s="7" t="s">
        <v>827</v>
      </c>
      <c r="T601" s="7" t="s">
        <v>828</v>
      </c>
      <c r="U601" s="7" t="str">
        <f t="shared" si="73"/>
        <v>CLK_DETM_DETIS_EMDS_V</v>
      </c>
      <c r="V601" s="7" t="s">
        <v>829</v>
      </c>
    </row>
    <row r="602" spans="1:22">
      <c r="A602" s="7" t="str">
        <f>TRIM(ETLMetadata!$B602)</f>
        <v>CLK</v>
      </c>
      <c r="B602" s="7" t="str">
        <f>TRIM(ETLMetadata!$C602)</f>
        <v>DETM_DETIS_EMDS</v>
      </c>
      <c r="C602" s="7" t="str">
        <f>TRIM(ETLMetadata!$F602)</f>
        <v>PARTY_ROLE_ID</v>
      </c>
      <c r="D602" s="7" t="str">
        <f>TRIM(ETLMetadata!$H602)</f>
        <v>StringType()</v>
      </c>
      <c r="E602" s="7" t="str">
        <f t="shared" si="72"/>
        <v>CLK_DETM_DETIS_EMDS</v>
      </c>
      <c r="F602" s="7" t="str">
        <f t="shared" si="74"/>
        <v>PARTY_ROLE_ID</v>
      </c>
      <c r="G602" s="7" t="s">
        <v>825</v>
      </c>
      <c r="H602" s="7" t="str">
        <f t="shared" si="75"/>
        <v>CLK_DETM_DETIS_EMDS</v>
      </c>
      <c r="I602" s="7" t="str">
        <f t="shared" si="76"/>
        <v>PARTY_ROLE_ID</v>
      </c>
      <c r="J602" s="7" t="str">
        <f t="shared" si="77"/>
        <v>INTEGER</v>
      </c>
      <c r="K602" s="7" t="str">
        <f>TRIM(ETLMetadata!$G602)</f>
        <v>INTEGER</v>
      </c>
      <c r="L602" s="7" t="str">
        <f>TRIM(ETLMetadata!$I602)</f>
        <v/>
      </c>
      <c r="M602" s="7" t="str">
        <f t="shared" si="78"/>
        <v>CAST(NULLIF(TRIM(PARTY_ROLE_ID),'') AS INTEGER)</v>
      </c>
      <c r="N602" s="7" t="str">
        <f>TRIM(ETLMetadata!$J602)</f>
        <v/>
      </c>
      <c r="O602" s="8" t="str">
        <f>IF(TRIM(Classification!$G602)="","NOT CONFIDENTIAL",TRIM(Classification!$G602))</f>
        <v>NOT CONFIDENTIAL</v>
      </c>
      <c r="P602" s="7" t="str">
        <f t="shared" si="79"/>
        <v>Y</v>
      </c>
      <c r="Q602" s="7" t="s">
        <v>826</v>
      </c>
      <c r="R602" s="9">
        <v>2958465</v>
      </c>
      <c r="S602" s="7" t="s">
        <v>827</v>
      </c>
      <c r="T602" s="7" t="s">
        <v>828</v>
      </c>
      <c r="U602" s="7" t="str">
        <f t="shared" si="73"/>
        <v>CLK_DETM_DETIS_EMDS_V</v>
      </c>
      <c r="V602" s="7" t="s">
        <v>829</v>
      </c>
    </row>
    <row r="603" spans="1:22">
      <c r="A603" s="7" t="str">
        <f>TRIM(ETLMetadata!$B603)</f>
        <v>CLK</v>
      </c>
      <c r="B603" s="7" t="str">
        <f>TRIM(ETLMetadata!$C603)</f>
        <v>DETM_DETIS_EMDS</v>
      </c>
      <c r="C603" s="7" t="str">
        <f>TRIM(ETLMetadata!$F603)</f>
        <v>PAYMENT_TYPE_ID</v>
      </c>
      <c r="D603" s="7" t="str">
        <f>TRIM(ETLMetadata!$H603)</f>
        <v>StringType()</v>
      </c>
      <c r="E603" s="7" t="str">
        <f t="shared" si="72"/>
        <v>CLK_DETM_DETIS_EMDS</v>
      </c>
      <c r="F603" s="7" t="str">
        <f t="shared" si="74"/>
        <v>PAYMENT_TYPE_ID</v>
      </c>
      <c r="G603" s="7" t="s">
        <v>825</v>
      </c>
      <c r="H603" s="7" t="str">
        <f t="shared" si="75"/>
        <v>CLK_DETM_DETIS_EMDS</v>
      </c>
      <c r="I603" s="7" t="str">
        <f t="shared" si="76"/>
        <v>PAYMENT_TYPE_ID</v>
      </c>
      <c r="J603" s="7" t="str">
        <f t="shared" si="77"/>
        <v>INTEGER</v>
      </c>
      <c r="K603" s="7" t="str">
        <f>TRIM(ETLMetadata!$G603)</f>
        <v>INTEGER</v>
      </c>
      <c r="L603" s="7" t="str">
        <f>TRIM(ETLMetadata!$I603)</f>
        <v/>
      </c>
      <c r="M603" s="7" t="str">
        <f t="shared" si="78"/>
        <v>CAST(NULLIF(TRIM(PAYMENT_TYPE_ID),'') AS INTEGER)</v>
      </c>
      <c r="N603" s="7" t="str">
        <f>TRIM(ETLMetadata!$J603)</f>
        <v/>
      </c>
      <c r="O603" s="8" t="str">
        <f>IF(TRIM(Classification!$G603)="","NOT CONFIDENTIAL",TRIM(Classification!$G603))</f>
        <v>NOT CONFIDENTIAL</v>
      </c>
      <c r="P603" s="7" t="str">
        <f t="shared" si="79"/>
        <v>Y</v>
      </c>
      <c r="Q603" s="7" t="s">
        <v>826</v>
      </c>
      <c r="R603" s="9">
        <v>2958465</v>
      </c>
      <c r="S603" s="7" t="s">
        <v>827</v>
      </c>
      <c r="T603" s="7" t="s">
        <v>828</v>
      </c>
      <c r="U603" s="7" t="str">
        <f t="shared" si="73"/>
        <v>CLK_DETM_DETIS_EMDS_V</v>
      </c>
      <c r="V603" s="7" t="s">
        <v>829</v>
      </c>
    </row>
    <row r="604" spans="1:22">
      <c r="A604" s="7" t="str">
        <f>TRIM(ETLMetadata!$B604)</f>
        <v>CLK</v>
      </c>
      <c r="B604" s="7" t="str">
        <f>TRIM(ETLMetadata!$C604)</f>
        <v>DETM_DETIS_EMDS</v>
      </c>
      <c r="C604" s="7" t="str">
        <f>TRIM(ETLMetadata!$F604)</f>
        <v>ERROR_COUNT</v>
      </c>
      <c r="D604" s="7" t="str">
        <f>TRIM(ETLMetadata!$H604)</f>
        <v>StringType()</v>
      </c>
      <c r="E604" s="7" t="str">
        <f t="shared" si="72"/>
        <v>CLK_DETM_DETIS_EMDS</v>
      </c>
      <c r="F604" s="7" t="str">
        <f t="shared" si="74"/>
        <v>ERROR_COUNT</v>
      </c>
      <c r="G604" s="7" t="s">
        <v>825</v>
      </c>
      <c r="H604" s="7" t="str">
        <f t="shared" si="75"/>
        <v>CLK_DETM_DETIS_EMDS</v>
      </c>
      <c r="I604" s="7" t="str">
        <f t="shared" si="76"/>
        <v>ERROR_COUNT</v>
      </c>
      <c r="J604" s="7" t="str">
        <f t="shared" si="77"/>
        <v>SMALLINT</v>
      </c>
      <c r="K604" s="7" t="str">
        <f>TRIM(ETLMetadata!$G604)</f>
        <v>SMALLINT</v>
      </c>
      <c r="L604" s="7" t="str">
        <f>TRIM(ETLMetadata!$I604)</f>
        <v/>
      </c>
      <c r="M604" s="7" t="str">
        <f t="shared" si="78"/>
        <v>CAST(NULLIF(TRIM(ERROR_COUNT),'') AS SMALLINT)</v>
      </c>
      <c r="N604" s="7" t="str">
        <f>TRIM(ETLMetadata!$J604)</f>
        <v/>
      </c>
      <c r="O604" s="8" t="str">
        <f>IF(TRIM(Classification!$G604)="","NOT CONFIDENTIAL",TRIM(Classification!$G604))</f>
        <v>NOT CONFIDENTIAL</v>
      </c>
      <c r="P604" s="7" t="str">
        <f t="shared" si="79"/>
        <v>Y</v>
      </c>
      <c r="Q604" s="7" t="s">
        <v>826</v>
      </c>
      <c r="R604" s="9">
        <v>2958465</v>
      </c>
      <c r="S604" s="7" t="s">
        <v>827</v>
      </c>
      <c r="T604" s="7" t="s">
        <v>828</v>
      </c>
      <c r="U604" s="7" t="str">
        <f t="shared" si="73"/>
        <v>CLK_DETM_DETIS_EMDS_V</v>
      </c>
      <c r="V604" s="7" t="s">
        <v>829</v>
      </c>
    </row>
    <row r="605" spans="1:22">
      <c r="A605" s="7" t="str">
        <f>TRIM(ETLMetadata!$B605)</f>
        <v>CLK</v>
      </c>
      <c r="B605" s="7" t="str">
        <f>TRIM(ETLMetadata!$C605)</f>
        <v>DETM_DETIS_EMDS</v>
      </c>
      <c r="C605" s="7" t="str">
        <f>TRIM(ETLMetadata!$F605)</f>
        <v>Start_Date</v>
      </c>
      <c r="D605" s="7" t="str">
        <f>TRIM(ETLMetadata!$H605)</f>
        <v>StringType()</v>
      </c>
      <c r="E605" s="7" t="str">
        <f t="shared" si="72"/>
        <v>CLK_DETM_DETIS_EMDS</v>
      </c>
      <c r="F605" s="7" t="str">
        <f t="shared" si="74"/>
        <v>STRT_DT</v>
      </c>
      <c r="G605" s="7" t="s">
        <v>825</v>
      </c>
      <c r="H605" s="7" t="str">
        <f t="shared" si="75"/>
        <v>CLK_DETM_DETIS_EMDS</v>
      </c>
      <c r="I605" s="7" t="str">
        <f t="shared" si="76"/>
        <v>STRT_DT</v>
      </c>
      <c r="J605" s="7" t="str">
        <f t="shared" si="77"/>
        <v>DATE</v>
      </c>
      <c r="K605" s="7" t="str">
        <f>TRIM(ETLMetadata!$G605)</f>
        <v>DATE</v>
      </c>
      <c r="L605" s="7" t="str">
        <f>TRIM(ETLMetadata!$I605)</f>
        <v>YYYY-MM-DD</v>
      </c>
      <c r="M605" s="7" t="str">
        <f t="shared" si="78"/>
        <v>TO_DATE(NULLIF(TRIM(STRT_DT),'') , 'YYYY-MM-DD')</v>
      </c>
      <c r="N605" s="7" t="str">
        <f>TRIM(ETLMetadata!$J605)</f>
        <v/>
      </c>
      <c r="O605" s="8" t="str">
        <f>IF(TRIM(Classification!$G605)="","NOT CONFIDENTIAL",TRIM(Classification!$G605))</f>
        <v>NOT CONFIDENTIAL</v>
      </c>
      <c r="P605" s="7" t="str">
        <f t="shared" si="79"/>
        <v>N</v>
      </c>
      <c r="Q605" s="7" t="s">
        <v>826</v>
      </c>
      <c r="R605" s="9">
        <v>2958465</v>
      </c>
      <c r="S605" s="7" t="s">
        <v>827</v>
      </c>
      <c r="T605" s="7" t="s">
        <v>828</v>
      </c>
      <c r="U605" s="7" t="str">
        <f t="shared" si="73"/>
        <v>CLK_DETM_DETIS_EMDS_V</v>
      </c>
      <c r="V605" s="7" t="s">
        <v>829</v>
      </c>
    </row>
    <row r="606" spans="1:22">
      <c r="A606" s="7" t="str">
        <f>TRIM(ETLMetadata!$B606)</f>
        <v>CLK</v>
      </c>
      <c r="B606" s="7" t="str">
        <f>TRIM(ETLMetadata!$C606)</f>
        <v>DETM_DETIS_EMDS</v>
      </c>
      <c r="C606" s="7" t="str">
        <f>TRIM(ETLMetadata!$F606)</f>
        <v>End_Date</v>
      </c>
      <c r="D606" s="7" t="str">
        <f>TRIM(ETLMetadata!$H606)</f>
        <v>StringType()</v>
      </c>
      <c r="E606" s="7" t="str">
        <f t="shared" si="72"/>
        <v>CLK_DETM_DETIS_EMDS</v>
      </c>
      <c r="F606" s="7" t="str">
        <f t="shared" si="74"/>
        <v>END_DT</v>
      </c>
      <c r="G606" s="7" t="s">
        <v>825</v>
      </c>
      <c r="H606" s="7" t="str">
        <f t="shared" si="75"/>
        <v>CLK_DETM_DETIS_EMDS</v>
      </c>
      <c r="I606" s="7" t="str">
        <f t="shared" si="76"/>
        <v>END_DT</v>
      </c>
      <c r="J606" s="7" t="str">
        <f t="shared" si="77"/>
        <v>DATE</v>
      </c>
      <c r="K606" s="7" t="str">
        <f>TRIM(ETLMetadata!$G606)</f>
        <v>DATE</v>
      </c>
      <c r="L606" s="7" t="str">
        <f>TRIM(ETLMetadata!$I606)</f>
        <v>YYYY-MM-DD</v>
      </c>
      <c r="M606" s="7" t="str">
        <f t="shared" si="78"/>
        <v>TO_DATE(NULLIF(TRIM(END_DT),'') , 'YYYY-MM-DD')</v>
      </c>
      <c r="N606" s="7" t="str">
        <f>TRIM(ETLMetadata!$J606)</f>
        <v/>
      </c>
      <c r="O606" s="8" t="str">
        <f>IF(TRIM(Classification!$G606)="","NOT CONFIDENTIAL",TRIM(Classification!$G606))</f>
        <v>NOT CONFIDENTIAL</v>
      </c>
      <c r="P606" s="7" t="str">
        <f t="shared" si="79"/>
        <v>N</v>
      </c>
      <c r="Q606" s="7" t="s">
        <v>826</v>
      </c>
      <c r="R606" s="9">
        <v>2958465</v>
      </c>
      <c r="S606" s="7" t="s">
        <v>827</v>
      </c>
      <c r="T606" s="7" t="s">
        <v>828</v>
      </c>
      <c r="U606" s="7" t="str">
        <f t="shared" si="73"/>
        <v>CLK_DETM_DETIS_EMDS_V</v>
      </c>
      <c r="V606" s="7" t="s">
        <v>829</v>
      </c>
    </row>
    <row r="607" spans="1:22">
      <c r="A607" s="7" t="str">
        <f>TRIM(ETLMetadata!$B607)</f>
        <v>CLK</v>
      </c>
      <c r="B607" s="7" t="str">
        <f>TRIM(ETLMetadata!$C607)</f>
        <v>DETM_DETIS_EMDS</v>
      </c>
      <c r="C607" s="7" t="str">
        <f>TRIM(ETLMetadata!$F607)</f>
        <v>Record_Deleted_Flag</v>
      </c>
      <c r="D607" s="7" t="str">
        <f>TRIM(ETLMetadata!$H607)</f>
        <v>StringType()</v>
      </c>
      <c r="E607" s="7" t="str">
        <f t="shared" ref="E607:E670" si="80">CONCATENATE($A607,"_",B607)</f>
        <v>CLK_DETM_DETIS_EMDS</v>
      </c>
      <c r="F607" s="7" t="str">
        <f t="shared" si="74"/>
        <v>RCRD_DEL_IND</v>
      </c>
      <c r="G607" s="7" t="s">
        <v>825</v>
      </c>
      <c r="H607" s="7" t="str">
        <f t="shared" si="75"/>
        <v>CLK_DETM_DETIS_EMDS</v>
      </c>
      <c r="I607" s="7" t="str">
        <f t="shared" si="76"/>
        <v>RCRD_DEL_IND</v>
      </c>
      <c r="J607" s="7" t="str">
        <f t="shared" si="77"/>
        <v>SMALLINT</v>
      </c>
      <c r="K607" s="7" t="str">
        <f>TRIM(ETLMetadata!$G607)</f>
        <v>BYTEINT</v>
      </c>
      <c r="L607" s="7" t="str">
        <f>TRIM(ETLMetadata!$I607)</f>
        <v/>
      </c>
      <c r="M607" s="7" t="str">
        <f t="shared" si="78"/>
        <v>CAST(NULLIF(TRIM(RCRD_DEL_IND),'') AS SMALLINT)</v>
      </c>
      <c r="N607" s="7" t="str">
        <f>TRIM(ETLMetadata!$J607)</f>
        <v/>
      </c>
      <c r="O607" s="8" t="str">
        <f>IF(TRIM(Classification!$G607)="","NOT CONFIDENTIAL",TRIM(Classification!$G607))</f>
        <v>NOT CONFIDENTIAL</v>
      </c>
      <c r="P607" s="7" t="str">
        <f t="shared" si="79"/>
        <v>N</v>
      </c>
      <c r="Q607" s="7" t="s">
        <v>826</v>
      </c>
      <c r="R607" s="9">
        <v>2958465</v>
      </c>
      <c r="S607" s="7" t="s">
        <v>827</v>
      </c>
      <c r="T607" s="7" t="s">
        <v>828</v>
      </c>
      <c r="U607" s="7" t="str">
        <f t="shared" ref="U607:U670" si="81">CONCATENATE(A607,"_",B607,"_V")</f>
        <v>CLK_DETM_DETIS_EMDS_V</v>
      </c>
      <c r="V607" s="7" t="s">
        <v>829</v>
      </c>
    </row>
    <row r="608" spans="1:22">
      <c r="A608" s="7" t="str">
        <f>TRIM(ETLMetadata!$B608)</f>
        <v>CLK</v>
      </c>
      <c r="B608" s="7" t="str">
        <f>TRIM(ETLMetadata!$C608)</f>
        <v>DETM_DETIS_ESDS</v>
      </c>
      <c r="C608" s="7" t="str">
        <f>TRIM(ETLMetadata!$F608)</f>
        <v>EXTRACT_DATE</v>
      </c>
      <c r="D608" s="7" t="str">
        <f>TRIM(ETLMetadata!$H608)</f>
        <v>StringType()</v>
      </c>
      <c r="E608" s="7" t="str">
        <f t="shared" si="80"/>
        <v>CLK_DETM_DETIS_ESDS</v>
      </c>
      <c r="F608" s="7" t="str">
        <f t="shared" si="74"/>
        <v>EXTRACT_DATE</v>
      </c>
      <c r="G608" s="7" t="s">
        <v>825</v>
      </c>
      <c r="H608" s="7" t="str">
        <f t="shared" si="75"/>
        <v>CLK_DETM_DETIS_ESDS</v>
      </c>
      <c r="I608" s="7" t="str">
        <f t="shared" si="76"/>
        <v>EXTRACT_DATE</v>
      </c>
      <c r="J608" s="7" t="str">
        <f t="shared" si="77"/>
        <v>DATE</v>
      </c>
      <c r="K608" s="7" t="str">
        <f>TRIM(ETLMetadata!$G608)</f>
        <v>DATE</v>
      </c>
      <c r="L608" s="7" t="str">
        <f>TRIM(ETLMetadata!$I608)</f>
        <v>YYYY-MM-DD</v>
      </c>
      <c r="M608" s="7" t="str">
        <f t="shared" si="78"/>
        <v>TO_DATE(NULLIF(TRIM(EXTRACT_DATE),'') , 'YYYY-MM-DD')</v>
      </c>
      <c r="N608" s="7" t="str">
        <f>TRIM(ETLMetadata!$J608)</f>
        <v/>
      </c>
      <c r="O608" s="8" t="str">
        <f>IF(TRIM(Classification!$G608)="","NOT CONFIDENTIAL",TRIM(Classification!$G608))</f>
        <v>NOT CONFIDENTIAL</v>
      </c>
      <c r="P608" s="7" t="str">
        <f t="shared" si="79"/>
        <v>Y</v>
      </c>
      <c r="Q608" s="7" t="s">
        <v>826</v>
      </c>
      <c r="R608" s="9">
        <v>2958465</v>
      </c>
      <c r="S608" s="7" t="s">
        <v>827</v>
      </c>
      <c r="T608" s="7" t="s">
        <v>828</v>
      </c>
      <c r="U608" s="7" t="str">
        <f t="shared" si="81"/>
        <v>CLK_DETM_DETIS_ESDS_V</v>
      </c>
      <c r="V608" s="7" t="s">
        <v>829</v>
      </c>
    </row>
    <row r="609" spans="1:22">
      <c r="A609" s="7" t="str">
        <f>TRIM(ETLMetadata!$B609)</f>
        <v>CLK</v>
      </c>
      <c r="B609" s="7" t="str">
        <f>TRIM(ETLMetadata!$C609)</f>
        <v>DETM_DETIS_ESDS</v>
      </c>
      <c r="C609" s="7" t="str">
        <f>TRIM(ETLMetadata!$F609)</f>
        <v>LOGICAL_DELETE_DATE</v>
      </c>
      <c r="D609" s="7" t="str">
        <f>TRIM(ETLMetadata!$H609)</f>
        <v>StringType()</v>
      </c>
      <c r="E609" s="7" t="str">
        <f t="shared" si="80"/>
        <v>CLK_DETM_DETIS_ESDS</v>
      </c>
      <c r="F609" s="7" t="str">
        <f t="shared" si="74"/>
        <v>LOGICAL_DELETE_DATE</v>
      </c>
      <c r="G609" s="7" t="s">
        <v>825</v>
      </c>
      <c r="H609" s="7" t="str">
        <f t="shared" si="75"/>
        <v>CLK_DETM_DETIS_ESDS</v>
      </c>
      <c r="I609" s="7" t="str">
        <f t="shared" si="76"/>
        <v>LOGICAL_DELETE_DATE</v>
      </c>
      <c r="J609" s="7" t="str">
        <f t="shared" si="77"/>
        <v>DATE</v>
      </c>
      <c r="K609" s="7" t="str">
        <f>TRIM(ETLMetadata!$G609)</f>
        <v>DATE</v>
      </c>
      <c r="L609" s="7" t="str">
        <f>TRIM(ETLMetadata!$I609)</f>
        <v>YYYY-MM-DD</v>
      </c>
      <c r="M609" s="7" t="str">
        <f t="shared" si="78"/>
        <v>TO_DATE(NULLIF(TRIM(LOGICAL_DELETE_DATE),'') , 'YYYY-MM-DD')</v>
      </c>
      <c r="N609" s="7" t="str">
        <f>TRIM(ETLMetadata!$J609)</f>
        <v/>
      </c>
      <c r="O609" s="8" t="str">
        <f>IF(TRIM(Classification!$G609)="","NOT CONFIDENTIAL",TRIM(Classification!$G609))</f>
        <v>NOT CONFIDENTIAL</v>
      </c>
      <c r="P609" s="7" t="str">
        <f t="shared" si="79"/>
        <v>Y</v>
      </c>
      <c r="Q609" s="7" t="s">
        <v>826</v>
      </c>
      <c r="R609" s="9">
        <v>2958465</v>
      </c>
      <c r="S609" s="7" t="s">
        <v>827</v>
      </c>
      <c r="T609" s="7" t="s">
        <v>828</v>
      </c>
      <c r="U609" s="7" t="str">
        <f t="shared" si="81"/>
        <v>CLK_DETM_DETIS_ESDS_V</v>
      </c>
      <c r="V609" s="7" t="s">
        <v>829</v>
      </c>
    </row>
    <row r="610" spans="1:22">
      <c r="A610" s="7" t="str">
        <f>TRIM(ETLMetadata!$B610)</f>
        <v>CLK</v>
      </c>
      <c r="B610" s="7" t="str">
        <f>TRIM(ETLMetadata!$C610)</f>
        <v>DETM_DETIS_ESDS</v>
      </c>
      <c r="C610" s="7" t="str">
        <f>TRIM(ETLMetadata!$F610)</f>
        <v>ENVIRONMENT_ID</v>
      </c>
      <c r="D610" s="7" t="str">
        <f>TRIM(ETLMetadata!$H610)</f>
        <v>StringType()</v>
      </c>
      <c r="E610" s="7" t="str">
        <f t="shared" si="80"/>
        <v>CLK_DETM_DETIS_ESDS</v>
      </c>
      <c r="F610" s="7" t="str">
        <f t="shared" si="74"/>
        <v>ENVIRONMENT_ID</v>
      </c>
      <c r="G610" s="7" t="s">
        <v>825</v>
      </c>
      <c r="H610" s="7" t="str">
        <f t="shared" si="75"/>
        <v>CLK_DETM_DETIS_ESDS</v>
      </c>
      <c r="I610" s="7" t="str">
        <f t="shared" si="76"/>
        <v>ENVIRONMENT_ID</v>
      </c>
      <c r="J610" s="7" t="str">
        <f t="shared" si="77"/>
        <v>VARCHAR</v>
      </c>
      <c r="K610" s="7" t="str">
        <f>TRIM(ETLMetadata!$G610)</f>
        <v>CHAR(1)</v>
      </c>
      <c r="L610" s="7" t="str">
        <f>TRIM(ETLMetadata!$I610)</f>
        <v/>
      </c>
      <c r="M610" s="7" t="str">
        <f t="shared" si="78"/>
        <v>NULLIF(TRIM(ENVIRONMENT_ID),'')</v>
      </c>
      <c r="N610" s="7" t="str">
        <f>TRIM(ETLMetadata!$J610)</f>
        <v>Y</v>
      </c>
      <c r="O610" s="8" t="str">
        <f>IF(TRIM(Classification!$G610)="","NOT CONFIDENTIAL",TRIM(Classification!$G610))</f>
        <v>NOT CONFIDENTIAL</v>
      </c>
      <c r="P610" s="7" t="str">
        <f t="shared" si="79"/>
        <v>Y</v>
      </c>
      <c r="Q610" s="7" t="s">
        <v>826</v>
      </c>
      <c r="R610" s="9">
        <v>2958465</v>
      </c>
      <c r="S610" s="7" t="s">
        <v>827</v>
      </c>
      <c r="T610" s="7" t="s">
        <v>828</v>
      </c>
      <c r="U610" s="7" t="str">
        <f t="shared" si="81"/>
        <v>CLK_DETM_DETIS_ESDS_V</v>
      </c>
      <c r="V610" s="7" t="s">
        <v>829</v>
      </c>
    </row>
    <row r="611" spans="1:22">
      <c r="A611" s="7" t="str">
        <f>TRIM(ETLMetadata!$B611)</f>
        <v>CLK</v>
      </c>
      <c r="B611" s="7" t="str">
        <f>TRIM(ETLMetadata!$C611)</f>
        <v>DETM_DETIS_ESDS</v>
      </c>
      <c r="C611" s="7" t="str">
        <f>TRIM(ETLMetadata!$F611)</f>
        <v>PERSON_ID</v>
      </c>
      <c r="D611" s="7" t="str">
        <f>TRIM(ETLMetadata!$H611)</f>
        <v>StringType()</v>
      </c>
      <c r="E611" s="7" t="str">
        <f t="shared" si="80"/>
        <v>CLK_DETM_DETIS_ESDS</v>
      </c>
      <c r="F611" s="7" t="str">
        <f t="shared" si="74"/>
        <v>PERSON_ID</v>
      </c>
      <c r="G611" s="7" t="s">
        <v>825</v>
      </c>
      <c r="H611" s="7" t="str">
        <f t="shared" si="75"/>
        <v>CLK_DETM_DETIS_ESDS</v>
      </c>
      <c r="I611" s="7" t="str">
        <f t="shared" si="76"/>
        <v>PERSON_ID</v>
      </c>
      <c r="J611" s="7" t="str">
        <f t="shared" si="77"/>
        <v>INTEGER</v>
      </c>
      <c r="K611" s="7" t="str">
        <f>TRIM(ETLMetadata!$G611)</f>
        <v>INTEGER</v>
      </c>
      <c r="L611" s="7" t="str">
        <f>TRIM(ETLMetadata!$I611)</f>
        <v/>
      </c>
      <c r="M611" s="7" t="str">
        <f t="shared" si="78"/>
        <v>CAST(NULLIF(TRIM(PERSON_ID),'') AS INTEGER)</v>
      </c>
      <c r="N611" s="7" t="str">
        <f>TRIM(ETLMetadata!$J611)</f>
        <v>Y</v>
      </c>
      <c r="O611" s="8" t="str">
        <f>IF(TRIM(Classification!$G611)="","NOT CONFIDENTIAL",TRIM(Classification!$G611))</f>
        <v>PERSONAL_IDENTITYINFOINDIRECT</v>
      </c>
      <c r="P611" s="7" t="str">
        <f t="shared" si="79"/>
        <v>Y</v>
      </c>
      <c r="Q611" s="7" t="s">
        <v>826</v>
      </c>
      <c r="R611" s="9">
        <v>2958465</v>
      </c>
      <c r="S611" s="7" t="s">
        <v>827</v>
      </c>
      <c r="T611" s="7" t="s">
        <v>828</v>
      </c>
      <c r="U611" s="7" t="str">
        <f t="shared" si="81"/>
        <v>CLK_DETM_DETIS_ESDS_V</v>
      </c>
      <c r="V611" s="7" t="s">
        <v>829</v>
      </c>
    </row>
    <row r="612" spans="1:22">
      <c r="A612" s="7" t="str">
        <f>TRIM(ETLMetadata!$B612)</f>
        <v>CLK</v>
      </c>
      <c r="B612" s="7" t="str">
        <f>TRIM(ETLMetadata!$C612)</f>
        <v>DETM_DETIS_ESDS</v>
      </c>
      <c r="C612" s="7" t="str">
        <f>TRIM(ETLMetadata!$F612)</f>
        <v>ESDS_DOE</v>
      </c>
      <c r="D612" s="7" t="str">
        <f>TRIM(ETLMetadata!$H612)</f>
        <v>StringType()</v>
      </c>
      <c r="E612" s="7" t="str">
        <f t="shared" si="80"/>
        <v>CLK_DETM_DETIS_ESDS</v>
      </c>
      <c r="F612" s="7" t="str">
        <f t="shared" si="74"/>
        <v>ESDS_DOE</v>
      </c>
      <c r="G612" s="7" t="s">
        <v>825</v>
      </c>
      <c r="H612" s="7" t="str">
        <f t="shared" si="75"/>
        <v>CLK_DETM_DETIS_ESDS</v>
      </c>
      <c r="I612" s="7" t="str">
        <f t="shared" si="76"/>
        <v>ESDS_DOE</v>
      </c>
      <c r="J612" s="7" t="str">
        <f t="shared" si="77"/>
        <v>DATE</v>
      </c>
      <c r="K612" s="17" t="s">
        <v>80</v>
      </c>
      <c r="L612" s="7" t="str">
        <f>TRIM(ETLMetadata!$I612)</f>
        <v>YYYY-MM-DD</v>
      </c>
      <c r="M612" s="7" t="str">
        <f t="shared" si="78"/>
        <v>TO_DATE(NULLIF(TRIM(ESDS_DOE),'') , 'YYYY-MM-DD')</v>
      </c>
      <c r="N612" s="7" t="str">
        <f>TRIM(ETLMetadata!$J612)</f>
        <v/>
      </c>
      <c r="O612" s="8" t="str">
        <f>IF(TRIM(Classification!$G612)="","NOT CONFIDENTIAL",TRIM(Classification!$G612))</f>
        <v>NOT CONFIDENTIAL</v>
      </c>
      <c r="P612" s="7" t="str">
        <f t="shared" si="79"/>
        <v>Y</v>
      </c>
      <c r="Q612" s="7" t="s">
        <v>826</v>
      </c>
      <c r="R612" s="9">
        <v>2958465</v>
      </c>
      <c r="S612" s="7" t="s">
        <v>827</v>
      </c>
      <c r="T612" s="7" t="s">
        <v>828</v>
      </c>
      <c r="U612" s="7" t="str">
        <f t="shared" si="81"/>
        <v>CLK_DETM_DETIS_ESDS_V</v>
      </c>
      <c r="V612" s="7" t="s">
        <v>829</v>
      </c>
    </row>
    <row r="613" spans="1:22">
      <c r="A613" s="7" t="str">
        <f>TRIM(ETLMetadata!$B613)</f>
        <v>CLK</v>
      </c>
      <c r="B613" s="7" t="str">
        <f>TRIM(ETLMetadata!$C613)</f>
        <v>DETM_DETIS_ESDS</v>
      </c>
      <c r="C613" s="7" t="str">
        <f>TRIM(ETLMetadata!$F613)</f>
        <v>ESDS_DOE_ORIG</v>
      </c>
      <c r="D613" s="7" t="str">
        <f>TRIM(ETLMetadata!$H613)</f>
        <v>StringType()</v>
      </c>
      <c r="E613" s="7" t="str">
        <f t="shared" si="80"/>
        <v>CLK_DETM_DETIS_ESDS</v>
      </c>
      <c r="F613" s="7" t="str">
        <f t="shared" si="74"/>
        <v>ESDS_DOE_ORIG</v>
      </c>
      <c r="G613" s="7" t="s">
        <v>825</v>
      </c>
      <c r="H613" s="7" t="str">
        <f t="shared" si="75"/>
        <v>CLK_DETM_DETIS_ESDS</v>
      </c>
      <c r="I613" s="7" t="str">
        <f t="shared" si="76"/>
        <v>ESDS_DOE_ORIG</v>
      </c>
      <c r="J613" s="7" t="str">
        <f t="shared" si="77"/>
        <v>INTEGER</v>
      </c>
      <c r="K613" s="17" t="s">
        <v>90</v>
      </c>
      <c r="L613" s="7" t="str">
        <f>TRIM(ETLMetadata!$I613)</f>
        <v/>
      </c>
      <c r="M613" s="7" t="str">
        <f t="shared" si="78"/>
        <v>CAST(NULLIF(TRIM(ESDS_DOE_ORIG),'') AS INTEGER)</v>
      </c>
      <c r="N613" s="7" t="str">
        <f>TRIM(ETLMetadata!$J613)</f>
        <v/>
      </c>
      <c r="O613" s="8" t="str">
        <f>IF(TRIM(Classification!$G613)="","NOT CONFIDENTIAL",TRIM(Classification!$G613))</f>
        <v>NOT CONFIDENTIAL</v>
      </c>
      <c r="P613" s="7" t="str">
        <f t="shared" si="79"/>
        <v>Y</v>
      </c>
      <c r="Q613" s="7" t="s">
        <v>826</v>
      </c>
      <c r="R613" s="9">
        <v>2958465</v>
      </c>
      <c r="S613" s="7" t="s">
        <v>827</v>
      </c>
      <c r="T613" s="7" t="s">
        <v>828</v>
      </c>
      <c r="U613" s="7" t="str">
        <f t="shared" si="81"/>
        <v>CLK_DETM_DETIS_ESDS_V</v>
      </c>
      <c r="V613" s="7" t="s">
        <v>829</v>
      </c>
    </row>
    <row r="614" spans="1:22">
      <c r="A614" s="7" t="str">
        <f>TRIM(ETLMetadata!$B614)</f>
        <v>CLK</v>
      </c>
      <c r="B614" s="7" t="str">
        <f>TRIM(ETLMetadata!$C614)</f>
        <v>DETM_DETIS_ESDS</v>
      </c>
      <c r="C614" s="7" t="str">
        <f>TRIM(ETLMetadata!$F614)</f>
        <v>PROCESSING_SEQUENCE</v>
      </c>
      <c r="D614" s="7" t="str">
        <f>TRIM(ETLMetadata!$H614)</f>
        <v>StringType()</v>
      </c>
      <c r="E614" s="7" t="str">
        <f t="shared" si="80"/>
        <v>CLK_DETM_DETIS_ESDS</v>
      </c>
      <c r="F614" s="7" t="str">
        <f t="shared" si="74"/>
        <v>PROCESSING_SEQUENCE</v>
      </c>
      <c r="G614" s="7" t="s">
        <v>825</v>
      </c>
      <c r="H614" s="7" t="str">
        <f t="shared" si="75"/>
        <v>CLK_DETM_DETIS_ESDS</v>
      </c>
      <c r="I614" s="7" t="str">
        <f t="shared" si="76"/>
        <v>PROCESSING_SEQUENCE</v>
      </c>
      <c r="J614" s="7" t="str">
        <f t="shared" si="77"/>
        <v>SMALLINT</v>
      </c>
      <c r="K614" s="7" t="str">
        <f>TRIM(ETLMetadata!$G614)</f>
        <v>SMALLINT</v>
      </c>
      <c r="L614" s="7" t="str">
        <f>TRIM(ETLMetadata!$I614)</f>
        <v/>
      </c>
      <c r="M614" s="7" t="str">
        <f t="shared" si="78"/>
        <v>CAST(NULLIF(TRIM(PROCESSING_SEQUENCE),'') AS SMALLINT)</v>
      </c>
      <c r="N614" s="7" t="str">
        <f>TRIM(ETLMetadata!$J614)</f>
        <v>Y</v>
      </c>
      <c r="O614" s="8" t="str">
        <f>IF(TRIM(Classification!$G614)="","NOT CONFIDENTIAL",TRIM(Classification!$G614))</f>
        <v>NOT CONFIDENTIAL</v>
      </c>
      <c r="P614" s="7" t="str">
        <f t="shared" si="79"/>
        <v>Y</v>
      </c>
      <c r="Q614" s="7" t="s">
        <v>826</v>
      </c>
      <c r="R614" s="9">
        <v>2958465</v>
      </c>
      <c r="S614" s="7" t="s">
        <v>827</v>
      </c>
      <c r="T614" s="7" t="s">
        <v>828</v>
      </c>
      <c r="U614" s="7" t="str">
        <f t="shared" si="81"/>
        <v>CLK_DETM_DETIS_ESDS_V</v>
      </c>
      <c r="V614" s="7" t="s">
        <v>829</v>
      </c>
    </row>
    <row r="615" spans="1:22">
      <c r="A615" s="7" t="str">
        <f>TRIM(ETLMetadata!$B615)</f>
        <v>CLK</v>
      </c>
      <c r="B615" s="7" t="str">
        <f>TRIM(ETLMetadata!$C615)</f>
        <v>DETM_DETIS_ESDS</v>
      </c>
      <c r="C615" s="7" t="str">
        <f>TRIM(ETLMetadata!$F615)</f>
        <v>ESDS_AMR_1</v>
      </c>
      <c r="D615" s="7" t="str">
        <f>TRIM(ETLMetadata!$H615)</f>
        <v>StringType()</v>
      </c>
      <c r="E615" s="7" t="str">
        <f t="shared" si="80"/>
        <v>CLK_DETM_DETIS_ESDS</v>
      </c>
      <c r="F615" s="7" t="str">
        <f t="shared" si="74"/>
        <v>ESDS_AMR_1</v>
      </c>
      <c r="G615" s="7" t="s">
        <v>825</v>
      </c>
      <c r="H615" s="7" t="str">
        <f t="shared" si="75"/>
        <v>CLK_DETM_DETIS_ESDS</v>
      </c>
      <c r="I615" s="7" t="str">
        <f t="shared" si="76"/>
        <v>ESDS_AMR_1</v>
      </c>
      <c r="J615" s="7" t="str">
        <f t="shared" si="77"/>
        <v>VARCHAR</v>
      </c>
      <c r="K615" s="7" t="str">
        <f>TRIM(ETLMetadata!$G615)</f>
        <v>CHAR(4)</v>
      </c>
      <c r="L615" s="7" t="str">
        <f>TRIM(ETLMetadata!$I615)</f>
        <v/>
      </c>
      <c r="M615" s="7" t="str">
        <f t="shared" si="78"/>
        <v>NULLIF(TRIM(ESDS_AMR_1),'')</v>
      </c>
      <c r="N615" s="7" t="str">
        <f>TRIM(ETLMetadata!$J615)</f>
        <v/>
      </c>
      <c r="O615" s="8" t="str">
        <f>IF(TRIM(Classification!$G615)="","NOT CONFIDENTIAL",TRIM(Classification!$G615))</f>
        <v>NOT CONFIDENTIAL</v>
      </c>
      <c r="P615" s="7" t="str">
        <f t="shared" si="79"/>
        <v>Y</v>
      </c>
      <c r="Q615" s="7" t="s">
        <v>826</v>
      </c>
      <c r="R615" s="9">
        <v>2958465</v>
      </c>
      <c r="S615" s="7" t="s">
        <v>827</v>
      </c>
      <c r="T615" s="7" t="s">
        <v>828</v>
      </c>
      <c r="U615" s="7" t="str">
        <f t="shared" si="81"/>
        <v>CLK_DETM_DETIS_ESDS_V</v>
      </c>
      <c r="V615" s="7" t="s">
        <v>829</v>
      </c>
    </row>
    <row r="616" spans="1:22">
      <c r="A616" s="7" t="str">
        <f>TRIM(ETLMetadata!$B616)</f>
        <v>CLK</v>
      </c>
      <c r="B616" s="7" t="str">
        <f>TRIM(ETLMetadata!$C616)</f>
        <v>DETM_DETIS_ESDS</v>
      </c>
      <c r="C616" s="7" t="str">
        <f>TRIM(ETLMetadata!$F616)</f>
        <v>ESDS_AMR_2</v>
      </c>
      <c r="D616" s="7" t="str">
        <f>TRIM(ETLMetadata!$H616)</f>
        <v>StringType()</v>
      </c>
      <c r="E616" s="7" t="str">
        <f t="shared" si="80"/>
        <v>CLK_DETM_DETIS_ESDS</v>
      </c>
      <c r="F616" s="7" t="str">
        <f t="shared" si="74"/>
        <v>ESDS_AMR_2</v>
      </c>
      <c r="G616" s="7" t="s">
        <v>825</v>
      </c>
      <c r="H616" s="7" t="str">
        <f t="shared" si="75"/>
        <v>CLK_DETM_DETIS_ESDS</v>
      </c>
      <c r="I616" s="7" t="str">
        <f t="shared" si="76"/>
        <v>ESDS_AMR_2</v>
      </c>
      <c r="J616" s="7" t="str">
        <f t="shared" si="77"/>
        <v>VARCHAR</v>
      </c>
      <c r="K616" s="7" t="str">
        <f>TRIM(ETLMetadata!$G616)</f>
        <v>CHAR(1)</v>
      </c>
      <c r="L616" s="7" t="str">
        <f>TRIM(ETLMetadata!$I616)</f>
        <v/>
      </c>
      <c r="M616" s="7" t="str">
        <f t="shared" si="78"/>
        <v>NULLIF(TRIM(ESDS_AMR_2),'')</v>
      </c>
      <c r="N616" s="7" t="str">
        <f>TRIM(ETLMetadata!$J616)</f>
        <v/>
      </c>
      <c r="O616" s="8" t="str">
        <f>IF(TRIM(Classification!$G616)="","NOT CONFIDENTIAL",TRIM(Classification!$G616))</f>
        <v>NOT CONFIDENTIAL</v>
      </c>
      <c r="P616" s="7" t="str">
        <f t="shared" si="79"/>
        <v>Y</v>
      </c>
      <c r="Q616" s="7" t="s">
        <v>826</v>
      </c>
      <c r="R616" s="9">
        <v>2958465</v>
      </c>
      <c r="S616" s="7" t="s">
        <v>827</v>
      </c>
      <c r="T616" s="7" t="s">
        <v>828</v>
      </c>
      <c r="U616" s="7" t="str">
        <f t="shared" si="81"/>
        <v>CLK_DETM_DETIS_ESDS_V</v>
      </c>
      <c r="V616" s="7" t="s">
        <v>829</v>
      </c>
    </row>
    <row r="617" spans="1:22">
      <c r="A617" s="7" t="str">
        <f>TRIM(ETLMetadata!$B617)</f>
        <v>CLK</v>
      </c>
      <c r="B617" s="7" t="str">
        <f>TRIM(ETLMetadata!$C617)</f>
        <v>DETM_DETIS_ESDS</v>
      </c>
      <c r="C617" s="7" t="str">
        <f>TRIM(ETLMetadata!$F617)</f>
        <v>ESDS_AMR_3</v>
      </c>
      <c r="D617" s="7" t="str">
        <f>TRIM(ETLMetadata!$H617)</f>
        <v>StringType()</v>
      </c>
      <c r="E617" s="7" t="str">
        <f t="shared" si="80"/>
        <v>CLK_DETM_DETIS_ESDS</v>
      </c>
      <c r="F617" s="7" t="str">
        <f t="shared" si="74"/>
        <v>ESDS_AMR_3</v>
      </c>
      <c r="G617" s="7" t="s">
        <v>825</v>
      </c>
      <c r="H617" s="7" t="str">
        <f t="shared" si="75"/>
        <v>CLK_DETM_DETIS_ESDS</v>
      </c>
      <c r="I617" s="7" t="str">
        <f t="shared" si="76"/>
        <v>ESDS_AMR_3</v>
      </c>
      <c r="J617" s="7" t="str">
        <f t="shared" si="77"/>
        <v>VARCHAR</v>
      </c>
      <c r="K617" s="7" t="str">
        <f>TRIM(ETLMetadata!$G617)</f>
        <v>CHAR(4)</v>
      </c>
      <c r="L617" s="7" t="str">
        <f>TRIM(ETLMetadata!$I617)</f>
        <v/>
      </c>
      <c r="M617" s="7" t="str">
        <f t="shared" si="78"/>
        <v>NULLIF(TRIM(ESDS_AMR_3),'')</v>
      </c>
      <c r="N617" s="7" t="str">
        <f>TRIM(ETLMetadata!$J617)</f>
        <v/>
      </c>
      <c r="O617" s="8" t="str">
        <f>IF(TRIM(Classification!$G617)="","NOT CONFIDENTIAL",TRIM(Classification!$G617))</f>
        <v>NOT CONFIDENTIAL</v>
      </c>
      <c r="P617" s="7" t="str">
        <f t="shared" si="79"/>
        <v>Y</v>
      </c>
      <c r="Q617" s="7" t="s">
        <v>826</v>
      </c>
      <c r="R617" s="9">
        <v>2958465</v>
      </c>
      <c r="S617" s="7" t="s">
        <v>827</v>
      </c>
      <c r="T617" s="7" t="s">
        <v>828</v>
      </c>
      <c r="U617" s="7" t="str">
        <f t="shared" si="81"/>
        <v>CLK_DETM_DETIS_ESDS_V</v>
      </c>
      <c r="V617" s="7" t="s">
        <v>829</v>
      </c>
    </row>
    <row r="618" spans="1:22">
      <c r="A618" s="7" t="str">
        <f>TRIM(ETLMetadata!$B618)</f>
        <v>CLK</v>
      </c>
      <c r="B618" s="7" t="str">
        <f>TRIM(ETLMetadata!$C618)</f>
        <v>DETM_DETIS_ESDS</v>
      </c>
      <c r="C618" s="7" t="str">
        <f>TRIM(ETLMetadata!$F618)</f>
        <v>ESDS_BEN_TYPE_CODE</v>
      </c>
      <c r="D618" s="7" t="str">
        <f>TRIM(ETLMetadata!$H618)</f>
        <v>StringType()</v>
      </c>
      <c r="E618" s="7" t="str">
        <f t="shared" si="80"/>
        <v>CLK_DETM_DETIS_ESDS</v>
      </c>
      <c r="F618" s="7" t="str">
        <f t="shared" si="74"/>
        <v>ESDS_BEN_TYPE_CODE</v>
      </c>
      <c r="G618" s="7" t="s">
        <v>825</v>
      </c>
      <c r="H618" s="7" t="str">
        <f t="shared" si="75"/>
        <v>CLK_DETM_DETIS_ESDS</v>
      </c>
      <c r="I618" s="7" t="str">
        <f t="shared" si="76"/>
        <v>ESDS_BEN_TYPE_CODE</v>
      </c>
      <c r="J618" s="7" t="str">
        <f t="shared" si="77"/>
        <v>VARCHAR</v>
      </c>
      <c r="K618" s="7" t="str">
        <f>TRIM(ETLMetadata!$G618)</f>
        <v>CHAR(3)</v>
      </c>
      <c r="L618" s="7" t="str">
        <f>TRIM(ETLMetadata!$I618)</f>
        <v/>
      </c>
      <c r="M618" s="7" t="str">
        <f t="shared" si="78"/>
        <v>NULLIF(TRIM(ESDS_BEN_TYPE_CODE),'')</v>
      </c>
      <c r="N618" s="7" t="str">
        <f>TRIM(ETLMetadata!$J618)</f>
        <v/>
      </c>
      <c r="O618" s="8" t="str">
        <f>IF(TRIM(Classification!$G618)="","NOT CONFIDENTIAL",TRIM(Classification!$G618))</f>
        <v>NOT CONFIDENTIAL</v>
      </c>
      <c r="P618" s="7" t="str">
        <f t="shared" si="79"/>
        <v>Y</v>
      </c>
      <c r="Q618" s="7" t="s">
        <v>826</v>
      </c>
      <c r="R618" s="9">
        <v>2958465</v>
      </c>
      <c r="S618" s="7" t="s">
        <v>827</v>
      </c>
      <c r="T618" s="7" t="s">
        <v>828</v>
      </c>
      <c r="U618" s="7" t="str">
        <f t="shared" si="81"/>
        <v>CLK_DETM_DETIS_ESDS_V</v>
      </c>
      <c r="V618" s="7" t="s">
        <v>829</v>
      </c>
    </row>
    <row r="619" spans="1:22">
      <c r="A619" s="7" t="str">
        <f>TRIM(ETLMetadata!$B619)</f>
        <v>CLK</v>
      </c>
      <c r="B619" s="7" t="str">
        <f>TRIM(ETLMetadata!$C619)</f>
        <v>DETM_DETIS_ESDS</v>
      </c>
      <c r="C619" s="7" t="str">
        <f>TRIM(ETLMetadata!$F619)</f>
        <v>ESDS_RSN_CODE</v>
      </c>
      <c r="D619" s="7" t="str">
        <f>TRIM(ETLMetadata!$H619)</f>
        <v>StringType()</v>
      </c>
      <c r="E619" s="7" t="str">
        <f t="shared" si="80"/>
        <v>CLK_DETM_DETIS_ESDS</v>
      </c>
      <c r="F619" s="7" t="str">
        <f t="shared" si="74"/>
        <v>ESDS_RSN_CODE</v>
      </c>
      <c r="G619" s="7" t="s">
        <v>825</v>
      </c>
      <c r="H619" s="7" t="str">
        <f t="shared" si="75"/>
        <v>CLK_DETM_DETIS_ESDS</v>
      </c>
      <c r="I619" s="7" t="str">
        <f t="shared" si="76"/>
        <v>ESDS_RSN_CODE</v>
      </c>
      <c r="J619" s="7" t="str">
        <f t="shared" si="77"/>
        <v>VARCHAR</v>
      </c>
      <c r="K619" s="7" t="str">
        <f>TRIM(ETLMetadata!$G619)</f>
        <v>CHAR(3)</v>
      </c>
      <c r="L619" s="7" t="str">
        <f>TRIM(ETLMetadata!$I619)</f>
        <v/>
      </c>
      <c r="M619" s="7" t="str">
        <f t="shared" si="78"/>
        <v>NULLIF(TRIM(ESDS_RSN_CODE),'')</v>
      </c>
      <c r="N619" s="7" t="str">
        <f>TRIM(ETLMetadata!$J619)</f>
        <v/>
      </c>
      <c r="O619" s="8" t="str">
        <f>IF(TRIM(Classification!$G619)="","NOT CONFIDENTIAL",TRIM(Classification!$G619))</f>
        <v>NOT CONFIDENTIAL</v>
      </c>
      <c r="P619" s="7" t="str">
        <f t="shared" si="79"/>
        <v>Y</v>
      </c>
      <c r="Q619" s="7" t="s">
        <v>826</v>
      </c>
      <c r="R619" s="9">
        <v>2958465</v>
      </c>
      <c r="S619" s="7" t="s">
        <v>827</v>
      </c>
      <c r="T619" s="7" t="s">
        <v>828</v>
      </c>
      <c r="U619" s="7" t="str">
        <f t="shared" si="81"/>
        <v>CLK_DETM_DETIS_ESDS_V</v>
      </c>
      <c r="V619" s="7" t="s">
        <v>829</v>
      </c>
    </row>
    <row r="620" spans="1:22">
      <c r="A620" s="7" t="str">
        <f>TRIM(ETLMetadata!$B620)</f>
        <v>CLK</v>
      </c>
      <c r="B620" s="7" t="str">
        <f>TRIM(ETLMetadata!$C620)</f>
        <v>DETM_DETIS_ESDS</v>
      </c>
      <c r="C620" s="7" t="str">
        <f>TRIM(ETLMetadata!$F620)</f>
        <v>ESDS_STS_CODE</v>
      </c>
      <c r="D620" s="7" t="str">
        <f>TRIM(ETLMetadata!$H620)</f>
        <v>StringType()</v>
      </c>
      <c r="E620" s="7" t="str">
        <f t="shared" si="80"/>
        <v>CLK_DETM_DETIS_ESDS</v>
      </c>
      <c r="F620" s="7" t="str">
        <f t="shared" si="74"/>
        <v>ESDS_STS_CODE</v>
      </c>
      <c r="G620" s="7" t="s">
        <v>825</v>
      </c>
      <c r="H620" s="7" t="str">
        <f t="shared" si="75"/>
        <v>CLK_DETM_DETIS_ESDS</v>
      </c>
      <c r="I620" s="7" t="str">
        <f t="shared" si="76"/>
        <v>ESDS_STS_CODE</v>
      </c>
      <c r="J620" s="7" t="str">
        <f t="shared" si="77"/>
        <v>VARCHAR</v>
      </c>
      <c r="K620" s="7" t="str">
        <f>TRIM(ETLMetadata!$G620)</f>
        <v>CHAR(3)</v>
      </c>
      <c r="L620" s="7" t="str">
        <f>TRIM(ETLMetadata!$I620)</f>
        <v/>
      </c>
      <c r="M620" s="7" t="str">
        <f t="shared" si="78"/>
        <v>NULLIF(TRIM(ESDS_STS_CODE),'')</v>
      </c>
      <c r="N620" s="7" t="str">
        <f>TRIM(ETLMetadata!$J620)</f>
        <v/>
      </c>
      <c r="O620" s="8" t="str">
        <f>IF(TRIM(Classification!$G620)="","NOT CONFIDENTIAL",TRIM(Classification!$G620))</f>
        <v>NOT CONFIDENTIAL</v>
      </c>
      <c r="P620" s="7" t="str">
        <f t="shared" si="79"/>
        <v>Y</v>
      </c>
      <c r="Q620" s="7" t="s">
        <v>826</v>
      </c>
      <c r="R620" s="9">
        <v>2958465</v>
      </c>
      <c r="S620" s="7" t="s">
        <v>827</v>
      </c>
      <c r="T620" s="7" t="s">
        <v>828</v>
      </c>
      <c r="U620" s="7" t="str">
        <f t="shared" si="81"/>
        <v>CLK_DETM_DETIS_ESDS_V</v>
      </c>
      <c r="V620" s="7" t="s">
        <v>829</v>
      </c>
    </row>
    <row r="621" spans="1:22">
      <c r="A621" s="7" t="str">
        <f>TRIM(ETLMetadata!$B621)</f>
        <v>CLK</v>
      </c>
      <c r="B621" s="7" t="str">
        <f>TRIM(ETLMetadata!$C621)</f>
        <v>DETM_DETIS_ESDS</v>
      </c>
      <c r="C621" s="7" t="str">
        <f>TRIM(ETLMetadata!$F621)</f>
        <v>PARTY_ROLE_ID</v>
      </c>
      <c r="D621" s="7" t="str">
        <f>TRIM(ETLMetadata!$H621)</f>
        <v>StringType()</v>
      </c>
      <c r="E621" s="7" t="str">
        <f t="shared" si="80"/>
        <v>CLK_DETM_DETIS_ESDS</v>
      </c>
      <c r="F621" s="7" t="str">
        <f t="shared" si="74"/>
        <v>PARTY_ROLE_ID</v>
      </c>
      <c r="G621" s="7" t="s">
        <v>825</v>
      </c>
      <c r="H621" s="7" t="str">
        <f t="shared" si="75"/>
        <v>CLK_DETM_DETIS_ESDS</v>
      </c>
      <c r="I621" s="7" t="str">
        <f t="shared" si="76"/>
        <v>PARTY_ROLE_ID</v>
      </c>
      <c r="J621" s="7" t="str">
        <f t="shared" si="77"/>
        <v>INTEGER</v>
      </c>
      <c r="K621" s="7" t="str">
        <f>TRIM(ETLMetadata!$G621)</f>
        <v>INTEGER</v>
      </c>
      <c r="L621" s="7" t="str">
        <f>TRIM(ETLMetadata!$I621)</f>
        <v/>
      </c>
      <c r="M621" s="7" t="str">
        <f t="shared" si="78"/>
        <v>CAST(NULLIF(TRIM(PARTY_ROLE_ID),'') AS INTEGER)</v>
      </c>
      <c r="N621" s="7" t="str">
        <f>TRIM(ETLMetadata!$J621)</f>
        <v/>
      </c>
      <c r="O621" s="8" t="str">
        <f>IF(TRIM(Classification!$G621)="","NOT CONFIDENTIAL",TRIM(Classification!$G621))</f>
        <v>NOT CONFIDENTIAL</v>
      </c>
      <c r="P621" s="7" t="str">
        <f t="shared" si="79"/>
        <v>Y</v>
      </c>
      <c r="Q621" s="7" t="s">
        <v>826</v>
      </c>
      <c r="R621" s="9">
        <v>2958465</v>
      </c>
      <c r="S621" s="7" t="s">
        <v>827</v>
      </c>
      <c r="T621" s="7" t="s">
        <v>828</v>
      </c>
      <c r="U621" s="7" t="str">
        <f t="shared" si="81"/>
        <v>CLK_DETM_DETIS_ESDS_V</v>
      </c>
      <c r="V621" s="7" t="s">
        <v>829</v>
      </c>
    </row>
    <row r="622" spans="1:22">
      <c r="A622" s="7" t="str">
        <f>TRIM(ETLMetadata!$B622)</f>
        <v>CLK</v>
      </c>
      <c r="B622" s="7" t="str">
        <f>TRIM(ETLMetadata!$C622)</f>
        <v>DETM_DETIS_ESDS</v>
      </c>
      <c r="C622" s="7" t="str">
        <f>TRIM(ETLMetadata!$F622)</f>
        <v>PAYMENT_TYPE_ID</v>
      </c>
      <c r="D622" s="7" t="str">
        <f>TRIM(ETLMetadata!$H622)</f>
        <v>StringType()</v>
      </c>
      <c r="E622" s="7" t="str">
        <f t="shared" si="80"/>
        <v>CLK_DETM_DETIS_ESDS</v>
      </c>
      <c r="F622" s="7" t="str">
        <f t="shared" si="74"/>
        <v>PAYMENT_TYPE_ID</v>
      </c>
      <c r="G622" s="7" t="s">
        <v>825</v>
      </c>
      <c r="H622" s="7" t="str">
        <f t="shared" si="75"/>
        <v>CLK_DETM_DETIS_ESDS</v>
      </c>
      <c r="I622" s="7" t="str">
        <f t="shared" si="76"/>
        <v>PAYMENT_TYPE_ID</v>
      </c>
      <c r="J622" s="7" t="str">
        <f t="shared" si="77"/>
        <v>INTEGER</v>
      </c>
      <c r="K622" s="7" t="str">
        <f>TRIM(ETLMetadata!$G622)</f>
        <v>INTEGER</v>
      </c>
      <c r="L622" s="7" t="str">
        <f>TRIM(ETLMetadata!$I622)</f>
        <v/>
      </c>
      <c r="M622" s="7" t="str">
        <f t="shared" si="78"/>
        <v>CAST(NULLIF(TRIM(PAYMENT_TYPE_ID),'') AS INTEGER)</v>
      </c>
      <c r="N622" s="7" t="str">
        <f>TRIM(ETLMetadata!$J622)</f>
        <v/>
      </c>
      <c r="O622" s="8" t="str">
        <f>IF(TRIM(Classification!$G622)="","NOT CONFIDENTIAL",TRIM(Classification!$G622))</f>
        <v>NOT CONFIDENTIAL</v>
      </c>
      <c r="P622" s="7" t="str">
        <f t="shared" si="79"/>
        <v>Y</v>
      </c>
      <c r="Q622" s="7" t="s">
        <v>826</v>
      </c>
      <c r="R622" s="9">
        <v>2958465</v>
      </c>
      <c r="S622" s="7" t="s">
        <v>827</v>
      </c>
      <c r="T622" s="7" t="s">
        <v>828</v>
      </c>
      <c r="U622" s="7" t="str">
        <f t="shared" si="81"/>
        <v>CLK_DETM_DETIS_ESDS_V</v>
      </c>
      <c r="V622" s="7" t="s">
        <v>829</v>
      </c>
    </row>
    <row r="623" spans="1:22">
      <c r="A623" s="7" t="str">
        <f>TRIM(ETLMetadata!$B623)</f>
        <v>CLK</v>
      </c>
      <c r="B623" s="7" t="str">
        <f>TRIM(ETLMetadata!$C623)</f>
        <v>DETM_DETIS_ESDS</v>
      </c>
      <c r="C623" s="7" t="str">
        <f>TRIM(ETLMetadata!$F623)</f>
        <v>AMR1_RISL_DTS</v>
      </c>
      <c r="D623" s="7" t="str">
        <f>TRIM(ETLMetadata!$H623)</f>
        <v>StringType()</v>
      </c>
      <c r="E623" s="7" t="str">
        <f t="shared" si="80"/>
        <v>CLK_DETM_DETIS_ESDS</v>
      </c>
      <c r="F623" s="7" t="str">
        <f t="shared" si="74"/>
        <v>AMR1_RISL_DTS</v>
      </c>
      <c r="G623" s="7" t="s">
        <v>825</v>
      </c>
      <c r="H623" s="7" t="str">
        <f t="shared" si="75"/>
        <v>CLK_DETM_DETIS_ESDS</v>
      </c>
      <c r="I623" s="7" t="str">
        <f t="shared" si="76"/>
        <v>AMR1_RISL_DTS</v>
      </c>
      <c r="J623" s="7" t="str">
        <f t="shared" si="77"/>
        <v>TIMESTAMP</v>
      </c>
      <c r="K623" s="7" t="str">
        <f>TRIM(ETLMetadata!$G623)</f>
        <v>TIMESTAMP(6)</v>
      </c>
      <c r="L623" s="7" t="str">
        <f>TRIM(ETLMetadata!$I623)</f>
        <v>YYYY-MM-DDBHH:MI:SS.S(6)</v>
      </c>
      <c r="M623" s="7" t="str">
        <f t="shared" si="78"/>
        <v>TO_TIMESTAMP_NTZ(NULLIF(TRIM(AMR1_RISL_DTS),''),'YYYY-MM-DD HH24:MI:SS.FF6')</v>
      </c>
      <c r="N623" s="7" t="str">
        <f>TRIM(ETLMetadata!$J623)</f>
        <v/>
      </c>
      <c r="O623" s="8" t="str">
        <f>IF(TRIM(Classification!$G623)="","NOT CONFIDENTIAL",TRIM(Classification!$G623))</f>
        <v>NOT CONFIDENTIAL</v>
      </c>
      <c r="P623" s="7" t="str">
        <f t="shared" si="79"/>
        <v>Y</v>
      </c>
      <c r="Q623" s="7" t="s">
        <v>826</v>
      </c>
      <c r="R623" s="9">
        <v>2958465</v>
      </c>
      <c r="S623" s="7" t="s">
        <v>827</v>
      </c>
      <c r="T623" s="7" t="s">
        <v>828</v>
      </c>
      <c r="U623" s="7" t="str">
        <f t="shared" si="81"/>
        <v>CLK_DETM_DETIS_ESDS_V</v>
      </c>
      <c r="V623" s="7" t="s">
        <v>829</v>
      </c>
    </row>
    <row r="624" spans="1:22">
      <c r="A624" s="7" t="str">
        <f>TRIM(ETLMetadata!$B624)</f>
        <v>CLK</v>
      </c>
      <c r="B624" s="7" t="str">
        <f>TRIM(ETLMetadata!$C624)</f>
        <v>DETM_DETIS_ESDS</v>
      </c>
      <c r="C624" s="7" t="str">
        <f>TRIM(ETLMetadata!$F624)</f>
        <v>AMR3_RISL_DTS</v>
      </c>
      <c r="D624" s="7" t="str">
        <f>TRIM(ETLMetadata!$H624)</f>
        <v>StringType()</v>
      </c>
      <c r="E624" s="7" t="str">
        <f t="shared" si="80"/>
        <v>CLK_DETM_DETIS_ESDS</v>
      </c>
      <c r="F624" s="7" t="str">
        <f t="shared" si="74"/>
        <v>AMR3_RISL_DTS</v>
      </c>
      <c r="G624" s="7" t="s">
        <v>825</v>
      </c>
      <c r="H624" s="7" t="str">
        <f t="shared" si="75"/>
        <v>CLK_DETM_DETIS_ESDS</v>
      </c>
      <c r="I624" s="7" t="str">
        <f t="shared" si="76"/>
        <v>AMR3_RISL_DTS</v>
      </c>
      <c r="J624" s="7" t="str">
        <f t="shared" si="77"/>
        <v>TIMESTAMP</v>
      </c>
      <c r="K624" s="7" t="str">
        <f>TRIM(ETLMetadata!$G624)</f>
        <v>TIMESTAMP(6)</v>
      </c>
      <c r="L624" s="7" t="str">
        <f>TRIM(ETLMetadata!$I624)</f>
        <v>YYYY-MM-DDBHH:MI:SS.S(6)</v>
      </c>
      <c r="M624" s="7" t="str">
        <f t="shared" si="78"/>
        <v>TO_TIMESTAMP_NTZ(NULLIF(TRIM(AMR3_RISL_DTS),''),'YYYY-MM-DD HH24:MI:SS.FF6')</v>
      </c>
      <c r="N624" s="7" t="str">
        <f>TRIM(ETLMetadata!$J624)</f>
        <v/>
      </c>
      <c r="O624" s="8" t="str">
        <f>IF(TRIM(Classification!$G624)="","NOT CONFIDENTIAL",TRIM(Classification!$G624))</f>
        <v>NOT CONFIDENTIAL</v>
      </c>
      <c r="P624" s="7" t="str">
        <f t="shared" si="79"/>
        <v>Y</v>
      </c>
      <c r="Q624" s="7" t="s">
        <v>826</v>
      </c>
      <c r="R624" s="9">
        <v>2958465</v>
      </c>
      <c r="S624" s="7" t="s">
        <v>827</v>
      </c>
      <c r="T624" s="7" t="s">
        <v>828</v>
      </c>
      <c r="U624" s="7" t="str">
        <f t="shared" si="81"/>
        <v>CLK_DETM_DETIS_ESDS_V</v>
      </c>
      <c r="V624" s="7" t="s">
        <v>829</v>
      </c>
    </row>
    <row r="625" spans="1:22">
      <c r="A625" s="7" t="str">
        <f>TRIM(ETLMetadata!$B625)</f>
        <v>CLK</v>
      </c>
      <c r="B625" s="7" t="str">
        <f>TRIM(ETLMetadata!$C625)</f>
        <v>DETM_DETIS_ESDS</v>
      </c>
      <c r="C625" s="7" t="str">
        <f>TRIM(ETLMetadata!$F625)</f>
        <v>ERROR_COUNT</v>
      </c>
      <c r="D625" s="7" t="str">
        <f>TRIM(ETLMetadata!$H625)</f>
        <v>StringType()</v>
      </c>
      <c r="E625" s="7" t="str">
        <f t="shared" si="80"/>
        <v>CLK_DETM_DETIS_ESDS</v>
      </c>
      <c r="F625" s="7" t="str">
        <f t="shared" si="74"/>
        <v>ERROR_COUNT</v>
      </c>
      <c r="G625" s="7" t="s">
        <v>825</v>
      </c>
      <c r="H625" s="7" t="str">
        <f t="shared" si="75"/>
        <v>CLK_DETM_DETIS_ESDS</v>
      </c>
      <c r="I625" s="7" t="str">
        <f t="shared" si="76"/>
        <v>ERROR_COUNT</v>
      </c>
      <c r="J625" s="7" t="str">
        <f t="shared" si="77"/>
        <v>SMALLINT</v>
      </c>
      <c r="K625" s="7" t="str">
        <f>TRIM(ETLMetadata!$G625)</f>
        <v>SMALLINT</v>
      </c>
      <c r="L625" s="7" t="str">
        <f>TRIM(ETLMetadata!$I625)</f>
        <v/>
      </c>
      <c r="M625" s="7" t="str">
        <f t="shared" si="78"/>
        <v>CAST(NULLIF(TRIM(ERROR_COUNT),'') AS SMALLINT)</v>
      </c>
      <c r="N625" s="7" t="str">
        <f>TRIM(ETLMetadata!$J625)</f>
        <v/>
      </c>
      <c r="O625" s="8" t="str">
        <f>IF(TRIM(Classification!$G625)="","NOT CONFIDENTIAL",TRIM(Classification!$G625))</f>
        <v>NOT CONFIDENTIAL</v>
      </c>
      <c r="P625" s="7" t="str">
        <f t="shared" si="79"/>
        <v>Y</v>
      </c>
      <c r="Q625" s="7" t="s">
        <v>826</v>
      </c>
      <c r="R625" s="9">
        <v>2958465</v>
      </c>
      <c r="S625" s="7" t="s">
        <v>827</v>
      </c>
      <c r="T625" s="7" t="s">
        <v>828</v>
      </c>
      <c r="U625" s="7" t="str">
        <f t="shared" si="81"/>
        <v>CLK_DETM_DETIS_ESDS_V</v>
      </c>
      <c r="V625" s="7" t="s">
        <v>829</v>
      </c>
    </row>
    <row r="626" spans="1:22">
      <c r="A626" s="7" t="str">
        <f>TRIM(ETLMetadata!$B626)</f>
        <v>CLK</v>
      </c>
      <c r="B626" s="7" t="str">
        <f>TRIM(ETLMetadata!$C626)</f>
        <v>DETM_DETIS_ESDS</v>
      </c>
      <c r="C626" s="7" t="str">
        <f>TRIM(ETLMetadata!$F626)</f>
        <v>Start_Date</v>
      </c>
      <c r="D626" s="7" t="str">
        <f>TRIM(ETLMetadata!$H626)</f>
        <v>StringType()</v>
      </c>
      <c r="E626" s="7" t="str">
        <f t="shared" si="80"/>
        <v>CLK_DETM_DETIS_ESDS</v>
      </c>
      <c r="F626" s="7" t="str">
        <f t="shared" si="74"/>
        <v>STRT_DT</v>
      </c>
      <c r="G626" s="7" t="s">
        <v>825</v>
      </c>
      <c r="H626" s="7" t="str">
        <f t="shared" si="75"/>
        <v>CLK_DETM_DETIS_ESDS</v>
      </c>
      <c r="I626" s="7" t="str">
        <f t="shared" si="76"/>
        <v>STRT_DT</v>
      </c>
      <c r="J626" s="7" t="str">
        <f t="shared" si="77"/>
        <v>DATE</v>
      </c>
      <c r="K626" s="7" t="str">
        <f>TRIM(ETLMetadata!$G626)</f>
        <v>DATE</v>
      </c>
      <c r="L626" s="7" t="str">
        <f>TRIM(ETLMetadata!$I626)</f>
        <v>YYYY-MM-DD</v>
      </c>
      <c r="M626" s="7" t="str">
        <f t="shared" si="78"/>
        <v>TO_DATE(NULLIF(TRIM(STRT_DT),'') , 'YYYY-MM-DD')</v>
      </c>
      <c r="N626" s="7" t="str">
        <f>TRIM(ETLMetadata!$J626)</f>
        <v/>
      </c>
      <c r="O626" s="8" t="str">
        <f>IF(TRIM(Classification!$G626)="","NOT CONFIDENTIAL",TRIM(Classification!$G626))</f>
        <v>NOT CONFIDENTIAL</v>
      </c>
      <c r="P626" s="7" t="str">
        <f t="shared" si="79"/>
        <v>N</v>
      </c>
      <c r="Q626" s="7" t="s">
        <v>826</v>
      </c>
      <c r="R626" s="9">
        <v>2958465</v>
      </c>
      <c r="S626" s="7" t="s">
        <v>827</v>
      </c>
      <c r="T626" s="7" t="s">
        <v>828</v>
      </c>
      <c r="U626" s="7" t="str">
        <f t="shared" si="81"/>
        <v>CLK_DETM_DETIS_ESDS_V</v>
      </c>
      <c r="V626" s="7" t="s">
        <v>829</v>
      </c>
    </row>
    <row r="627" spans="1:22">
      <c r="A627" s="7" t="str">
        <f>TRIM(ETLMetadata!$B627)</f>
        <v>CLK</v>
      </c>
      <c r="B627" s="7" t="str">
        <f>TRIM(ETLMetadata!$C627)</f>
        <v>DETM_DETIS_ESDS</v>
      </c>
      <c r="C627" s="7" t="str">
        <f>TRIM(ETLMetadata!$F627)</f>
        <v>End_Date</v>
      </c>
      <c r="D627" s="7" t="str">
        <f>TRIM(ETLMetadata!$H627)</f>
        <v>StringType()</v>
      </c>
      <c r="E627" s="7" t="str">
        <f t="shared" si="80"/>
        <v>CLK_DETM_DETIS_ESDS</v>
      </c>
      <c r="F627" s="7" t="str">
        <f t="shared" si="74"/>
        <v>END_DT</v>
      </c>
      <c r="G627" s="7" t="s">
        <v>825</v>
      </c>
      <c r="H627" s="7" t="str">
        <f t="shared" si="75"/>
        <v>CLK_DETM_DETIS_ESDS</v>
      </c>
      <c r="I627" s="7" t="str">
        <f t="shared" si="76"/>
        <v>END_DT</v>
      </c>
      <c r="J627" s="7" t="str">
        <f t="shared" si="77"/>
        <v>DATE</v>
      </c>
      <c r="K627" s="7" t="str">
        <f>TRIM(ETLMetadata!$G627)</f>
        <v>DATE</v>
      </c>
      <c r="L627" s="7" t="str">
        <f>TRIM(ETLMetadata!$I627)</f>
        <v>YYYY-MM-DD</v>
      </c>
      <c r="M627" s="7" t="str">
        <f t="shared" si="78"/>
        <v>TO_DATE(NULLIF(TRIM(END_DT),'') , 'YYYY-MM-DD')</v>
      </c>
      <c r="N627" s="7" t="str">
        <f>TRIM(ETLMetadata!$J627)</f>
        <v/>
      </c>
      <c r="O627" s="8" t="str">
        <f>IF(TRIM(Classification!$G627)="","NOT CONFIDENTIAL",TRIM(Classification!$G627))</f>
        <v>NOT CONFIDENTIAL</v>
      </c>
      <c r="P627" s="7" t="str">
        <f t="shared" si="79"/>
        <v>N</v>
      </c>
      <c r="Q627" s="7" t="s">
        <v>826</v>
      </c>
      <c r="R627" s="9">
        <v>2958465</v>
      </c>
      <c r="S627" s="7" t="s">
        <v>827</v>
      </c>
      <c r="T627" s="7" t="s">
        <v>828</v>
      </c>
      <c r="U627" s="7" t="str">
        <f t="shared" si="81"/>
        <v>CLK_DETM_DETIS_ESDS_V</v>
      </c>
      <c r="V627" s="7" t="s">
        <v>829</v>
      </c>
    </row>
    <row r="628" spans="1:22">
      <c r="A628" s="7" t="str">
        <f>TRIM(ETLMetadata!$B628)</f>
        <v>CLK</v>
      </c>
      <c r="B628" s="7" t="str">
        <f>TRIM(ETLMetadata!$C628)</f>
        <v>DETM_DETIS_ESDS</v>
      </c>
      <c r="C628" s="7" t="str">
        <f>TRIM(ETLMetadata!$F628)</f>
        <v>Record_Deleted_Flag</v>
      </c>
      <c r="D628" s="7" t="str">
        <f>TRIM(ETLMetadata!$H628)</f>
        <v>StringType()</v>
      </c>
      <c r="E628" s="7" t="str">
        <f t="shared" si="80"/>
        <v>CLK_DETM_DETIS_ESDS</v>
      </c>
      <c r="F628" s="7" t="str">
        <f t="shared" si="74"/>
        <v>RCRD_DEL_IND</v>
      </c>
      <c r="G628" s="7" t="s">
        <v>825</v>
      </c>
      <c r="H628" s="7" t="str">
        <f t="shared" si="75"/>
        <v>CLK_DETM_DETIS_ESDS</v>
      </c>
      <c r="I628" s="7" t="str">
        <f t="shared" si="76"/>
        <v>RCRD_DEL_IND</v>
      </c>
      <c r="J628" s="7" t="str">
        <f t="shared" si="77"/>
        <v>SMALLINT</v>
      </c>
      <c r="K628" s="7" t="str">
        <f>TRIM(ETLMetadata!$G628)</f>
        <v>BYTEINT</v>
      </c>
      <c r="L628" s="7" t="str">
        <f>TRIM(ETLMetadata!$I628)</f>
        <v/>
      </c>
      <c r="M628" s="7" t="str">
        <f t="shared" si="78"/>
        <v>CAST(NULLIF(TRIM(RCRD_DEL_IND),'') AS SMALLINT)</v>
      </c>
      <c r="N628" s="7" t="str">
        <f>TRIM(ETLMetadata!$J628)</f>
        <v/>
      </c>
      <c r="O628" s="8" t="str">
        <f>IF(TRIM(Classification!$G628)="","NOT CONFIDENTIAL",TRIM(Classification!$G628))</f>
        <v>NOT CONFIDENTIAL</v>
      </c>
      <c r="P628" s="7" t="str">
        <f t="shared" si="79"/>
        <v>N</v>
      </c>
      <c r="Q628" s="7" t="s">
        <v>826</v>
      </c>
      <c r="R628" s="9">
        <v>2958465</v>
      </c>
      <c r="S628" s="7" t="s">
        <v>827</v>
      </c>
      <c r="T628" s="7" t="s">
        <v>828</v>
      </c>
      <c r="U628" s="7" t="str">
        <f t="shared" si="81"/>
        <v>CLK_DETM_DETIS_ESDS_V</v>
      </c>
      <c r="V628" s="7" t="s">
        <v>829</v>
      </c>
    </row>
    <row r="629" spans="1:22">
      <c r="A629" s="7" t="str">
        <f>TRIM(ETLMetadata!$B629)</f>
        <v>CLK</v>
      </c>
      <c r="B629" s="7" t="str">
        <f>TRIM(ETLMetadata!$C629)</f>
        <v>DETM_DETIS_F2DS</v>
      </c>
      <c r="C629" s="7" t="str">
        <f>TRIM(ETLMetadata!$F629)</f>
        <v>EXTRACT_DATE</v>
      </c>
      <c r="D629" s="7" t="str">
        <f>TRIM(ETLMetadata!$H629)</f>
        <v>StringType()</v>
      </c>
      <c r="E629" s="7" t="str">
        <f t="shared" si="80"/>
        <v>CLK_DETM_DETIS_F2DS</v>
      </c>
      <c r="F629" s="7" t="str">
        <f t="shared" si="74"/>
        <v>EXTRACT_DATE</v>
      </c>
      <c r="G629" s="7" t="s">
        <v>825</v>
      </c>
      <c r="H629" s="7" t="str">
        <f t="shared" si="75"/>
        <v>CLK_DETM_DETIS_F2DS</v>
      </c>
      <c r="I629" s="7" t="str">
        <f t="shared" si="76"/>
        <v>EXTRACT_DATE</v>
      </c>
      <c r="J629" s="7" t="str">
        <f t="shared" si="77"/>
        <v>DATE</v>
      </c>
      <c r="K629" s="7" t="str">
        <f>TRIM(ETLMetadata!$G629)</f>
        <v>DATE</v>
      </c>
      <c r="L629" s="7" t="str">
        <f>TRIM(ETLMetadata!$I629)</f>
        <v>YYYY-MM-DD</v>
      </c>
      <c r="M629" s="7" t="str">
        <f t="shared" si="78"/>
        <v>TO_DATE(NULLIF(TRIM(EXTRACT_DATE),'') , 'YYYY-MM-DD')</v>
      </c>
      <c r="N629" s="7" t="str">
        <f>TRIM(ETLMetadata!$J629)</f>
        <v/>
      </c>
      <c r="O629" s="8" t="str">
        <f>IF(TRIM(Classification!$G629)="","NOT CONFIDENTIAL",TRIM(Classification!$G629))</f>
        <v>NOT CONFIDENTIAL</v>
      </c>
      <c r="P629" s="7" t="str">
        <f t="shared" si="79"/>
        <v>Y</v>
      </c>
      <c r="Q629" s="7" t="s">
        <v>826</v>
      </c>
      <c r="R629" s="9">
        <v>2958465</v>
      </c>
      <c r="S629" s="7" t="s">
        <v>827</v>
      </c>
      <c r="T629" s="7" t="s">
        <v>828</v>
      </c>
      <c r="U629" s="7" t="str">
        <f t="shared" si="81"/>
        <v>CLK_DETM_DETIS_F2DS_V</v>
      </c>
      <c r="V629" s="7" t="s">
        <v>829</v>
      </c>
    </row>
    <row r="630" spans="1:22">
      <c r="A630" s="7" t="str">
        <f>TRIM(ETLMetadata!$B630)</f>
        <v>CLK</v>
      </c>
      <c r="B630" s="7" t="str">
        <f>TRIM(ETLMetadata!$C630)</f>
        <v>DETM_DETIS_F2DS</v>
      </c>
      <c r="C630" s="7" t="str">
        <f>TRIM(ETLMetadata!$F630)</f>
        <v>LOGICAL_DELETE_DATE</v>
      </c>
      <c r="D630" s="7" t="str">
        <f>TRIM(ETLMetadata!$H630)</f>
        <v>StringType()</v>
      </c>
      <c r="E630" s="7" t="str">
        <f t="shared" si="80"/>
        <v>CLK_DETM_DETIS_F2DS</v>
      </c>
      <c r="F630" s="7" t="str">
        <f t="shared" si="74"/>
        <v>LOGICAL_DELETE_DATE</v>
      </c>
      <c r="G630" s="7" t="s">
        <v>825</v>
      </c>
      <c r="H630" s="7" t="str">
        <f t="shared" si="75"/>
        <v>CLK_DETM_DETIS_F2DS</v>
      </c>
      <c r="I630" s="7" t="str">
        <f t="shared" si="76"/>
        <v>LOGICAL_DELETE_DATE</v>
      </c>
      <c r="J630" s="7" t="str">
        <f t="shared" si="77"/>
        <v>DATE</v>
      </c>
      <c r="K630" s="7" t="str">
        <f>TRIM(ETLMetadata!$G630)</f>
        <v>DATE</v>
      </c>
      <c r="L630" s="7" t="str">
        <f>TRIM(ETLMetadata!$I630)</f>
        <v>YYYY-MM-DD</v>
      </c>
      <c r="M630" s="7" t="str">
        <f t="shared" si="78"/>
        <v>TO_DATE(NULLIF(TRIM(LOGICAL_DELETE_DATE),'') , 'YYYY-MM-DD')</v>
      </c>
      <c r="N630" s="7" t="str">
        <f>TRIM(ETLMetadata!$J630)</f>
        <v/>
      </c>
      <c r="O630" s="8" t="str">
        <f>IF(TRIM(Classification!$G630)="","NOT CONFIDENTIAL",TRIM(Classification!$G630))</f>
        <v>NOT CONFIDENTIAL</v>
      </c>
      <c r="P630" s="7" t="str">
        <f t="shared" si="79"/>
        <v>Y</v>
      </c>
      <c r="Q630" s="7" t="s">
        <v>826</v>
      </c>
      <c r="R630" s="9">
        <v>2958465</v>
      </c>
      <c r="S630" s="7" t="s">
        <v>827</v>
      </c>
      <c r="T630" s="7" t="s">
        <v>828</v>
      </c>
      <c r="U630" s="7" t="str">
        <f t="shared" si="81"/>
        <v>CLK_DETM_DETIS_F2DS_V</v>
      </c>
      <c r="V630" s="7" t="s">
        <v>829</v>
      </c>
    </row>
    <row r="631" spans="1:22">
      <c r="A631" s="7" t="str">
        <f>TRIM(ETLMetadata!$B631)</f>
        <v>CLK</v>
      </c>
      <c r="B631" s="7" t="str">
        <f>TRIM(ETLMetadata!$C631)</f>
        <v>DETM_DETIS_F2DS</v>
      </c>
      <c r="C631" s="7" t="str">
        <f>TRIM(ETLMetadata!$F631)</f>
        <v>ENVIRONMENT_ID</v>
      </c>
      <c r="D631" s="7" t="str">
        <f>TRIM(ETLMetadata!$H631)</f>
        <v>StringType()</v>
      </c>
      <c r="E631" s="7" t="str">
        <f t="shared" si="80"/>
        <v>CLK_DETM_DETIS_F2DS</v>
      </c>
      <c r="F631" s="7" t="str">
        <f t="shared" si="74"/>
        <v>ENVIRONMENT_ID</v>
      </c>
      <c r="G631" s="7" t="s">
        <v>825</v>
      </c>
      <c r="H631" s="7" t="str">
        <f t="shared" si="75"/>
        <v>CLK_DETM_DETIS_F2DS</v>
      </c>
      <c r="I631" s="7" t="str">
        <f t="shared" si="76"/>
        <v>ENVIRONMENT_ID</v>
      </c>
      <c r="J631" s="7" t="str">
        <f t="shared" si="77"/>
        <v>VARCHAR</v>
      </c>
      <c r="K631" s="7" t="str">
        <f>TRIM(ETLMetadata!$G631)</f>
        <v>CHAR(1)</v>
      </c>
      <c r="L631" s="7" t="str">
        <f>TRIM(ETLMetadata!$I631)</f>
        <v/>
      </c>
      <c r="M631" s="7" t="str">
        <f t="shared" si="78"/>
        <v>NULLIF(TRIM(ENVIRONMENT_ID),'')</v>
      </c>
      <c r="N631" s="7" t="str">
        <f>TRIM(ETLMetadata!$J631)</f>
        <v>Y</v>
      </c>
      <c r="O631" s="8" t="str">
        <f>IF(TRIM(Classification!$G631)="","NOT CONFIDENTIAL",TRIM(Classification!$G631))</f>
        <v>NOT CONFIDENTIAL</v>
      </c>
      <c r="P631" s="7" t="str">
        <f t="shared" si="79"/>
        <v>Y</v>
      </c>
      <c r="Q631" s="7" t="s">
        <v>826</v>
      </c>
      <c r="R631" s="9">
        <v>2958465</v>
      </c>
      <c r="S631" s="7" t="s">
        <v>827</v>
      </c>
      <c r="T631" s="7" t="s">
        <v>828</v>
      </c>
      <c r="U631" s="7" t="str">
        <f t="shared" si="81"/>
        <v>CLK_DETM_DETIS_F2DS_V</v>
      </c>
      <c r="V631" s="7" t="s">
        <v>829</v>
      </c>
    </row>
    <row r="632" spans="1:22">
      <c r="A632" s="7" t="str">
        <f>TRIM(ETLMetadata!$B632)</f>
        <v>CLK</v>
      </c>
      <c r="B632" s="7" t="str">
        <f>TRIM(ETLMetadata!$C632)</f>
        <v>DETM_DETIS_F2DS</v>
      </c>
      <c r="C632" s="7" t="str">
        <f>TRIM(ETLMetadata!$F632)</f>
        <v>PERSON_ID</v>
      </c>
      <c r="D632" s="7" t="str">
        <f>TRIM(ETLMetadata!$H632)</f>
        <v>StringType()</v>
      </c>
      <c r="E632" s="7" t="str">
        <f t="shared" si="80"/>
        <v>CLK_DETM_DETIS_F2DS</v>
      </c>
      <c r="F632" s="7" t="str">
        <f t="shared" si="74"/>
        <v>PERSON_ID</v>
      </c>
      <c r="G632" s="7" t="s">
        <v>825</v>
      </c>
      <c r="H632" s="7" t="str">
        <f t="shared" si="75"/>
        <v>CLK_DETM_DETIS_F2DS</v>
      </c>
      <c r="I632" s="7" t="str">
        <f t="shared" si="76"/>
        <v>PERSON_ID</v>
      </c>
      <c r="J632" s="7" t="str">
        <f t="shared" si="77"/>
        <v>INTEGER</v>
      </c>
      <c r="K632" s="7" t="str">
        <f>TRIM(ETLMetadata!$G632)</f>
        <v>INTEGER</v>
      </c>
      <c r="L632" s="7" t="str">
        <f>TRIM(ETLMetadata!$I632)</f>
        <v/>
      </c>
      <c r="M632" s="7" t="str">
        <f t="shared" si="78"/>
        <v>CAST(NULLIF(TRIM(PERSON_ID),'') AS INTEGER)</v>
      </c>
      <c r="N632" s="7" t="str">
        <f>TRIM(ETLMetadata!$J632)</f>
        <v>Y</v>
      </c>
      <c r="O632" s="8" t="str">
        <f>IF(TRIM(Classification!$G632)="","NOT CONFIDENTIAL",TRIM(Classification!$G632))</f>
        <v>PERSONAL_IDENTITYINFOINDIRECT</v>
      </c>
      <c r="P632" s="7" t="str">
        <f t="shared" si="79"/>
        <v>Y</v>
      </c>
      <c r="Q632" s="7" t="s">
        <v>826</v>
      </c>
      <c r="R632" s="9">
        <v>2958465</v>
      </c>
      <c r="S632" s="7" t="s">
        <v>827</v>
      </c>
      <c r="T632" s="7" t="s">
        <v>828</v>
      </c>
      <c r="U632" s="7" t="str">
        <f t="shared" si="81"/>
        <v>CLK_DETM_DETIS_F2DS_V</v>
      </c>
      <c r="V632" s="7" t="s">
        <v>829</v>
      </c>
    </row>
    <row r="633" spans="1:22">
      <c r="A633" s="7" t="str">
        <f>TRIM(ETLMetadata!$B633)</f>
        <v>CLK</v>
      </c>
      <c r="B633" s="7" t="str">
        <f>TRIM(ETLMetadata!$C633)</f>
        <v>DETM_DETIS_F2DS</v>
      </c>
      <c r="C633" s="7" t="str">
        <f>TRIM(ETLMetadata!$F633)</f>
        <v>F2DS_DOE</v>
      </c>
      <c r="D633" s="7" t="str">
        <f>TRIM(ETLMetadata!$H633)</f>
        <v>StringType()</v>
      </c>
      <c r="E633" s="7" t="str">
        <f t="shared" si="80"/>
        <v>CLK_DETM_DETIS_F2DS</v>
      </c>
      <c r="F633" s="7" t="str">
        <f t="shared" si="74"/>
        <v>F2DS_DOE</v>
      </c>
      <c r="G633" s="7" t="s">
        <v>825</v>
      </c>
      <c r="H633" s="7" t="str">
        <f t="shared" si="75"/>
        <v>CLK_DETM_DETIS_F2DS</v>
      </c>
      <c r="I633" s="7" t="str">
        <f t="shared" si="76"/>
        <v>F2DS_DOE</v>
      </c>
      <c r="J633" s="7" t="str">
        <f t="shared" si="77"/>
        <v>DATE</v>
      </c>
      <c r="K633" s="17" t="s">
        <v>80</v>
      </c>
      <c r="L633" s="7" t="str">
        <f>TRIM(ETLMetadata!$I633)</f>
        <v>YYYY-MM-DD</v>
      </c>
      <c r="M633" s="7" t="str">
        <f t="shared" si="78"/>
        <v>TO_DATE(NULLIF(TRIM(F2DS_DOE),'') , 'YYYY-MM-DD')</v>
      </c>
      <c r="N633" s="7" t="str">
        <f>TRIM(ETLMetadata!$J633)</f>
        <v/>
      </c>
      <c r="O633" s="8" t="str">
        <f>IF(TRIM(Classification!$G633)="","NOT CONFIDENTIAL",TRIM(Classification!$G633))</f>
        <v>NOT CONFIDENTIAL</v>
      </c>
      <c r="P633" s="7" t="str">
        <f t="shared" si="79"/>
        <v>Y</v>
      </c>
      <c r="Q633" s="7" t="s">
        <v>826</v>
      </c>
      <c r="R633" s="9">
        <v>2958465</v>
      </c>
      <c r="S633" s="7" t="s">
        <v>827</v>
      </c>
      <c r="T633" s="7" t="s">
        <v>828</v>
      </c>
      <c r="U633" s="7" t="str">
        <f t="shared" si="81"/>
        <v>CLK_DETM_DETIS_F2DS_V</v>
      </c>
      <c r="V633" s="7" t="s">
        <v>829</v>
      </c>
    </row>
    <row r="634" spans="1:22">
      <c r="A634" s="7" t="str">
        <f>TRIM(ETLMetadata!$B634)</f>
        <v>CLK</v>
      </c>
      <c r="B634" s="7" t="str">
        <f>TRIM(ETLMetadata!$C634)</f>
        <v>DETM_DETIS_F2DS</v>
      </c>
      <c r="C634" s="7" t="str">
        <f>TRIM(ETLMetadata!$F634)</f>
        <v>F2DS_DOE_ORIG</v>
      </c>
      <c r="D634" s="7" t="str">
        <f>TRIM(ETLMetadata!$H634)</f>
        <v>StringType()</v>
      </c>
      <c r="E634" s="7" t="str">
        <f t="shared" si="80"/>
        <v>CLK_DETM_DETIS_F2DS</v>
      </c>
      <c r="F634" s="7" t="str">
        <f t="shared" si="74"/>
        <v>F2DS_DOE_ORIG</v>
      </c>
      <c r="G634" s="7" t="s">
        <v>825</v>
      </c>
      <c r="H634" s="7" t="str">
        <f t="shared" si="75"/>
        <v>CLK_DETM_DETIS_F2DS</v>
      </c>
      <c r="I634" s="7" t="str">
        <f t="shared" si="76"/>
        <v>F2DS_DOE_ORIG</v>
      </c>
      <c r="J634" s="7" t="str">
        <f t="shared" si="77"/>
        <v>INTEGER</v>
      </c>
      <c r="K634" s="17" t="s">
        <v>90</v>
      </c>
      <c r="L634" s="7" t="str">
        <f>TRIM(ETLMetadata!$I634)</f>
        <v/>
      </c>
      <c r="M634" s="7" t="str">
        <f t="shared" si="78"/>
        <v>CAST(NULLIF(TRIM(F2DS_DOE_ORIG),'') AS INTEGER)</v>
      </c>
      <c r="N634" s="7" t="str">
        <f>TRIM(ETLMetadata!$J634)</f>
        <v/>
      </c>
      <c r="O634" s="8" t="str">
        <f>IF(TRIM(Classification!$G634)="","NOT CONFIDENTIAL",TRIM(Classification!$G634))</f>
        <v>NOT CONFIDENTIAL</v>
      </c>
      <c r="P634" s="7" t="str">
        <f t="shared" si="79"/>
        <v>Y</v>
      </c>
      <c r="Q634" s="7" t="s">
        <v>826</v>
      </c>
      <c r="R634" s="9">
        <v>2958465</v>
      </c>
      <c r="S634" s="7" t="s">
        <v>827</v>
      </c>
      <c r="T634" s="7" t="s">
        <v>828</v>
      </c>
      <c r="U634" s="7" t="str">
        <f t="shared" si="81"/>
        <v>CLK_DETM_DETIS_F2DS_V</v>
      </c>
      <c r="V634" s="7" t="s">
        <v>829</v>
      </c>
    </row>
    <row r="635" spans="1:22">
      <c r="A635" s="7" t="str">
        <f>TRIM(ETLMetadata!$B635)</f>
        <v>CLK</v>
      </c>
      <c r="B635" s="7" t="str">
        <f>TRIM(ETLMetadata!$C635)</f>
        <v>DETM_DETIS_F2DS</v>
      </c>
      <c r="C635" s="7" t="str">
        <f>TRIM(ETLMetadata!$F635)</f>
        <v>PROCESSING_SEQUENCE</v>
      </c>
      <c r="D635" s="7" t="str">
        <f>TRIM(ETLMetadata!$H635)</f>
        <v>StringType()</v>
      </c>
      <c r="E635" s="7" t="str">
        <f t="shared" si="80"/>
        <v>CLK_DETM_DETIS_F2DS</v>
      </c>
      <c r="F635" s="7" t="str">
        <f t="shared" si="74"/>
        <v>PROCESSING_SEQUENCE</v>
      </c>
      <c r="G635" s="7" t="s">
        <v>825</v>
      </c>
      <c r="H635" s="7" t="str">
        <f t="shared" si="75"/>
        <v>CLK_DETM_DETIS_F2DS</v>
      </c>
      <c r="I635" s="7" t="str">
        <f t="shared" si="76"/>
        <v>PROCESSING_SEQUENCE</v>
      </c>
      <c r="J635" s="7" t="str">
        <f t="shared" si="77"/>
        <v>SMALLINT</v>
      </c>
      <c r="K635" s="7" t="str">
        <f>TRIM(ETLMetadata!$G635)</f>
        <v>SMALLINT</v>
      </c>
      <c r="L635" s="7" t="str">
        <f>TRIM(ETLMetadata!$I635)</f>
        <v/>
      </c>
      <c r="M635" s="7" t="str">
        <f t="shared" si="78"/>
        <v>CAST(NULLIF(TRIM(PROCESSING_SEQUENCE),'') AS SMALLINT)</v>
      </c>
      <c r="N635" s="7" t="str">
        <f>TRIM(ETLMetadata!$J635)</f>
        <v>Y</v>
      </c>
      <c r="O635" s="8" t="str">
        <f>IF(TRIM(Classification!$G635)="","NOT CONFIDENTIAL",TRIM(Classification!$G635))</f>
        <v>NOT CONFIDENTIAL</v>
      </c>
      <c r="P635" s="7" t="str">
        <f t="shared" si="79"/>
        <v>Y</v>
      </c>
      <c r="Q635" s="7" t="s">
        <v>826</v>
      </c>
      <c r="R635" s="9">
        <v>2958465</v>
      </c>
      <c r="S635" s="7" t="s">
        <v>827</v>
      </c>
      <c r="T635" s="7" t="s">
        <v>828</v>
      </c>
      <c r="U635" s="7" t="str">
        <f t="shared" si="81"/>
        <v>CLK_DETM_DETIS_F2DS_V</v>
      </c>
      <c r="V635" s="7" t="s">
        <v>829</v>
      </c>
    </row>
    <row r="636" spans="1:22">
      <c r="A636" s="7" t="str">
        <f>TRIM(ETLMetadata!$B636)</f>
        <v>CLK</v>
      </c>
      <c r="B636" s="7" t="str">
        <f>TRIM(ETLMetadata!$C636)</f>
        <v>DETM_DETIS_F2DS</v>
      </c>
      <c r="C636" s="7" t="str">
        <f>TRIM(ETLMetadata!$F636)</f>
        <v>F2DS_AMR_1</v>
      </c>
      <c r="D636" s="7" t="str">
        <f>TRIM(ETLMetadata!$H636)</f>
        <v>StringType()</v>
      </c>
      <c r="E636" s="7" t="str">
        <f t="shared" si="80"/>
        <v>CLK_DETM_DETIS_F2DS</v>
      </c>
      <c r="F636" s="7" t="str">
        <f t="shared" si="74"/>
        <v>F2DS_AMR_1</v>
      </c>
      <c r="G636" s="7" t="s">
        <v>825</v>
      </c>
      <c r="H636" s="7" t="str">
        <f t="shared" si="75"/>
        <v>CLK_DETM_DETIS_F2DS</v>
      </c>
      <c r="I636" s="7" t="str">
        <f t="shared" si="76"/>
        <v>F2DS_AMR_1</v>
      </c>
      <c r="J636" s="7" t="str">
        <f t="shared" si="77"/>
        <v>VARCHAR</v>
      </c>
      <c r="K636" s="7" t="str">
        <f>TRIM(ETLMetadata!$G636)</f>
        <v>CHAR(4)</v>
      </c>
      <c r="L636" s="7" t="str">
        <f>TRIM(ETLMetadata!$I636)</f>
        <v/>
      </c>
      <c r="M636" s="7" t="str">
        <f t="shared" si="78"/>
        <v>NULLIF(TRIM(F2DS_AMR_1),'')</v>
      </c>
      <c r="N636" s="7" t="str">
        <f>TRIM(ETLMetadata!$J636)</f>
        <v/>
      </c>
      <c r="O636" s="8" t="str">
        <f>IF(TRIM(Classification!$G636)="","NOT CONFIDENTIAL",TRIM(Classification!$G636))</f>
        <v>NOT CONFIDENTIAL</v>
      </c>
      <c r="P636" s="7" t="str">
        <f t="shared" si="79"/>
        <v>Y</v>
      </c>
      <c r="Q636" s="7" t="s">
        <v>826</v>
      </c>
      <c r="R636" s="9">
        <v>2958465</v>
      </c>
      <c r="S636" s="7" t="s">
        <v>827</v>
      </c>
      <c r="T636" s="7" t="s">
        <v>828</v>
      </c>
      <c r="U636" s="7" t="str">
        <f t="shared" si="81"/>
        <v>CLK_DETM_DETIS_F2DS_V</v>
      </c>
      <c r="V636" s="7" t="s">
        <v>829</v>
      </c>
    </row>
    <row r="637" spans="1:22">
      <c r="A637" s="7" t="str">
        <f>TRIM(ETLMetadata!$B637)</f>
        <v>CLK</v>
      </c>
      <c r="B637" s="7" t="str">
        <f>TRIM(ETLMetadata!$C637)</f>
        <v>DETM_DETIS_F2DS</v>
      </c>
      <c r="C637" s="7" t="str">
        <f>TRIM(ETLMetadata!$F637)</f>
        <v>F2DS_AMR_2</v>
      </c>
      <c r="D637" s="7" t="str">
        <f>TRIM(ETLMetadata!$H637)</f>
        <v>StringType()</v>
      </c>
      <c r="E637" s="7" t="str">
        <f t="shared" si="80"/>
        <v>CLK_DETM_DETIS_F2DS</v>
      </c>
      <c r="F637" s="7" t="str">
        <f t="shared" si="74"/>
        <v>F2DS_AMR_2</v>
      </c>
      <c r="G637" s="7" t="s">
        <v>825</v>
      </c>
      <c r="H637" s="7" t="str">
        <f t="shared" si="75"/>
        <v>CLK_DETM_DETIS_F2DS</v>
      </c>
      <c r="I637" s="7" t="str">
        <f t="shared" si="76"/>
        <v>F2DS_AMR_2</v>
      </c>
      <c r="J637" s="7" t="str">
        <f t="shared" si="77"/>
        <v>VARCHAR</v>
      </c>
      <c r="K637" s="7" t="str">
        <f>TRIM(ETLMetadata!$G637)</f>
        <v>CHAR(1)</v>
      </c>
      <c r="L637" s="7" t="str">
        <f>TRIM(ETLMetadata!$I637)</f>
        <v/>
      </c>
      <c r="M637" s="7" t="str">
        <f t="shared" si="78"/>
        <v>NULLIF(TRIM(F2DS_AMR_2),'')</v>
      </c>
      <c r="N637" s="7" t="str">
        <f>TRIM(ETLMetadata!$J637)</f>
        <v/>
      </c>
      <c r="O637" s="8" t="str">
        <f>IF(TRIM(Classification!$G637)="","NOT CONFIDENTIAL",TRIM(Classification!$G637))</f>
        <v>NOT CONFIDENTIAL</v>
      </c>
      <c r="P637" s="7" t="str">
        <f t="shared" si="79"/>
        <v>Y</v>
      </c>
      <c r="Q637" s="7" t="s">
        <v>826</v>
      </c>
      <c r="R637" s="9">
        <v>2958465</v>
      </c>
      <c r="S637" s="7" t="s">
        <v>827</v>
      </c>
      <c r="T637" s="7" t="s">
        <v>828</v>
      </c>
      <c r="U637" s="7" t="str">
        <f t="shared" si="81"/>
        <v>CLK_DETM_DETIS_F2DS_V</v>
      </c>
      <c r="V637" s="7" t="s">
        <v>829</v>
      </c>
    </row>
    <row r="638" spans="1:22">
      <c r="A638" s="7" t="str">
        <f>TRIM(ETLMetadata!$B638)</f>
        <v>CLK</v>
      </c>
      <c r="B638" s="7" t="str">
        <f>TRIM(ETLMetadata!$C638)</f>
        <v>DETM_DETIS_F2DS</v>
      </c>
      <c r="C638" s="7" t="str">
        <f>TRIM(ETLMetadata!$F638)</f>
        <v>F2DS_AMR_3</v>
      </c>
      <c r="D638" s="7" t="str">
        <f>TRIM(ETLMetadata!$H638)</f>
        <v>StringType()</v>
      </c>
      <c r="E638" s="7" t="str">
        <f t="shared" si="80"/>
        <v>CLK_DETM_DETIS_F2DS</v>
      </c>
      <c r="F638" s="7" t="str">
        <f t="shared" si="74"/>
        <v>F2DS_AMR_3</v>
      </c>
      <c r="G638" s="7" t="s">
        <v>825</v>
      </c>
      <c r="H638" s="7" t="str">
        <f t="shared" si="75"/>
        <v>CLK_DETM_DETIS_F2DS</v>
      </c>
      <c r="I638" s="7" t="str">
        <f t="shared" si="76"/>
        <v>F2DS_AMR_3</v>
      </c>
      <c r="J638" s="7" t="str">
        <f t="shared" si="77"/>
        <v>VARCHAR</v>
      </c>
      <c r="K638" s="7" t="str">
        <f>TRIM(ETLMetadata!$G638)</f>
        <v>CHAR(4)</v>
      </c>
      <c r="L638" s="7" t="str">
        <f>TRIM(ETLMetadata!$I638)</f>
        <v/>
      </c>
      <c r="M638" s="7" t="str">
        <f t="shared" si="78"/>
        <v>NULLIF(TRIM(F2DS_AMR_3),'')</v>
      </c>
      <c r="N638" s="7" t="str">
        <f>TRIM(ETLMetadata!$J638)</f>
        <v/>
      </c>
      <c r="O638" s="8" t="str">
        <f>IF(TRIM(Classification!$G638)="","NOT CONFIDENTIAL",TRIM(Classification!$G638))</f>
        <v>NOT CONFIDENTIAL</v>
      </c>
      <c r="P638" s="7" t="str">
        <f t="shared" si="79"/>
        <v>Y</v>
      </c>
      <c r="Q638" s="7" t="s">
        <v>826</v>
      </c>
      <c r="R638" s="9">
        <v>2958465</v>
      </c>
      <c r="S638" s="7" t="s">
        <v>827</v>
      </c>
      <c r="T638" s="7" t="s">
        <v>828</v>
      </c>
      <c r="U638" s="7" t="str">
        <f t="shared" si="81"/>
        <v>CLK_DETM_DETIS_F2DS_V</v>
      </c>
      <c r="V638" s="7" t="s">
        <v>829</v>
      </c>
    </row>
    <row r="639" spans="1:22">
      <c r="A639" s="7" t="str">
        <f>TRIM(ETLMetadata!$B639)</f>
        <v>CLK</v>
      </c>
      <c r="B639" s="7" t="str">
        <f>TRIM(ETLMetadata!$C639)</f>
        <v>DETM_DETIS_F2DS</v>
      </c>
      <c r="C639" s="7" t="str">
        <f>TRIM(ETLMetadata!$F639)</f>
        <v>F2DS_BEN_TYPE_CODE</v>
      </c>
      <c r="D639" s="7" t="str">
        <f>TRIM(ETLMetadata!$H639)</f>
        <v>StringType()</v>
      </c>
      <c r="E639" s="7" t="str">
        <f t="shared" si="80"/>
        <v>CLK_DETM_DETIS_F2DS</v>
      </c>
      <c r="F639" s="7" t="str">
        <f t="shared" si="74"/>
        <v>F2DS_BEN_TYPE_CODE</v>
      </c>
      <c r="G639" s="7" t="s">
        <v>825</v>
      </c>
      <c r="H639" s="7" t="str">
        <f t="shared" si="75"/>
        <v>CLK_DETM_DETIS_F2DS</v>
      </c>
      <c r="I639" s="7" t="str">
        <f t="shared" si="76"/>
        <v>F2DS_BEN_TYPE_CODE</v>
      </c>
      <c r="J639" s="7" t="str">
        <f t="shared" si="77"/>
        <v>VARCHAR</v>
      </c>
      <c r="K639" s="7" t="str">
        <f>TRIM(ETLMetadata!$G639)</f>
        <v>CHAR(3)</v>
      </c>
      <c r="L639" s="7" t="str">
        <f>TRIM(ETLMetadata!$I639)</f>
        <v/>
      </c>
      <c r="M639" s="7" t="str">
        <f t="shared" si="78"/>
        <v>NULLIF(TRIM(F2DS_BEN_TYPE_CODE),'')</v>
      </c>
      <c r="N639" s="7" t="str">
        <f>TRIM(ETLMetadata!$J639)</f>
        <v/>
      </c>
      <c r="O639" s="8" t="str">
        <f>IF(TRIM(Classification!$G639)="","NOT CONFIDENTIAL",TRIM(Classification!$G639))</f>
        <v>NOT CONFIDENTIAL</v>
      </c>
      <c r="P639" s="7" t="str">
        <f t="shared" si="79"/>
        <v>Y</v>
      </c>
      <c r="Q639" s="7" t="s">
        <v>826</v>
      </c>
      <c r="R639" s="9">
        <v>2958465</v>
      </c>
      <c r="S639" s="7" t="s">
        <v>827</v>
      </c>
      <c r="T639" s="7" t="s">
        <v>828</v>
      </c>
      <c r="U639" s="7" t="str">
        <f t="shared" si="81"/>
        <v>CLK_DETM_DETIS_F2DS_V</v>
      </c>
      <c r="V639" s="7" t="s">
        <v>829</v>
      </c>
    </row>
    <row r="640" spans="1:22">
      <c r="A640" s="7" t="str">
        <f>TRIM(ETLMetadata!$B640)</f>
        <v>CLK</v>
      </c>
      <c r="B640" s="7" t="str">
        <f>TRIM(ETLMetadata!$C640)</f>
        <v>DETM_DETIS_F2DS</v>
      </c>
      <c r="C640" s="7" t="str">
        <f>TRIM(ETLMetadata!$F640)</f>
        <v>F2DS_STS_CODE</v>
      </c>
      <c r="D640" s="7" t="str">
        <f>TRIM(ETLMetadata!$H640)</f>
        <v>StringType()</v>
      </c>
      <c r="E640" s="7" t="str">
        <f t="shared" si="80"/>
        <v>CLK_DETM_DETIS_F2DS</v>
      </c>
      <c r="F640" s="7" t="str">
        <f t="shared" si="74"/>
        <v>F2DS_STS_CODE</v>
      </c>
      <c r="G640" s="7" t="s">
        <v>825</v>
      </c>
      <c r="H640" s="7" t="str">
        <f t="shared" si="75"/>
        <v>CLK_DETM_DETIS_F2DS</v>
      </c>
      <c r="I640" s="7" t="str">
        <f t="shared" si="76"/>
        <v>F2DS_STS_CODE</v>
      </c>
      <c r="J640" s="7" t="str">
        <f t="shared" si="77"/>
        <v>VARCHAR</v>
      </c>
      <c r="K640" s="7" t="str">
        <f>TRIM(ETLMetadata!$G640)</f>
        <v>CHAR(3)</v>
      </c>
      <c r="L640" s="7" t="str">
        <f>TRIM(ETLMetadata!$I640)</f>
        <v/>
      </c>
      <c r="M640" s="7" t="str">
        <f t="shared" si="78"/>
        <v>NULLIF(TRIM(F2DS_STS_CODE),'')</v>
      </c>
      <c r="N640" s="7" t="str">
        <f>TRIM(ETLMetadata!$J640)</f>
        <v/>
      </c>
      <c r="O640" s="8" t="str">
        <f>IF(TRIM(Classification!$G640)="","NOT CONFIDENTIAL",TRIM(Classification!$G640))</f>
        <v>NOT CONFIDENTIAL</v>
      </c>
      <c r="P640" s="7" t="str">
        <f t="shared" si="79"/>
        <v>Y</v>
      </c>
      <c r="Q640" s="7" t="s">
        <v>826</v>
      </c>
      <c r="R640" s="9">
        <v>2958465</v>
      </c>
      <c r="S640" s="7" t="s">
        <v>827</v>
      </c>
      <c r="T640" s="7" t="s">
        <v>828</v>
      </c>
      <c r="U640" s="7" t="str">
        <f t="shared" si="81"/>
        <v>CLK_DETM_DETIS_F2DS_V</v>
      </c>
      <c r="V640" s="7" t="s">
        <v>829</v>
      </c>
    </row>
    <row r="641" spans="1:22">
      <c r="A641" s="7" t="str">
        <f>TRIM(ETLMetadata!$B641)</f>
        <v>CLK</v>
      </c>
      <c r="B641" s="7" t="str">
        <f>TRIM(ETLMetadata!$C641)</f>
        <v>DETM_DETIS_F2DS</v>
      </c>
      <c r="C641" s="7" t="str">
        <f>TRIM(ETLMetadata!$F641)</f>
        <v>F2DS_RSN_CODE</v>
      </c>
      <c r="D641" s="7" t="str">
        <f>TRIM(ETLMetadata!$H641)</f>
        <v>StringType()</v>
      </c>
      <c r="E641" s="7" t="str">
        <f t="shared" si="80"/>
        <v>CLK_DETM_DETIS_F2DS</v>
      </c>
      <c r="F641" s="7" t="str">
        <f t="shared" si="74"/>
        <v>F2DS_RSN_CODE</v>
      </c>
      <c r="G641" s="7" t="s">
        <v>825</v>
      </c>
      <c r="H641" s="7" t="str">
        <f t="shared" si="75"/>
        <v>CLK_DETM_DETIS_F2DS</v>
      </c>
      <c r="I641" s="7" t="str">
        <f t="shared" si="76"/>
        <v>F2DS_RSN_CODE</v>
      </c>
      <c r="J641" s="7" t="str">
        <f t="shared" si="77"/>
        <v>VARCHAR</v>
      </c>
      <c r="K641" s="7" t="str">
        <f>TRIM(ETLMetadata!$G641)</f>
        <v>CHAR(3)</v>
      </c>
      <c r="L641" s="7" t="str">
        <f>TRIM(ETLMetadata!$I641)</f>
        <v/>
      </c>
      <c r="M641" s="7" t="str">
        <f t="shared" si="78"/>
        <v>NULLIF(TRIM(F2DS_RSN_CODE),'')</v>
      </c>
      <c r="N641" s="7" t="str">
        <f>TRIM(ETLMetadata!$J641)</f>
        <v/>
      </c>
      <c r="O641" s="8" t="str">
        <f>IF(TRIM(Classification!$G641)="","NOT CONFIDENTIAL",TRIM(Classification!$G641))</f>
        <v>NOT CONFIDENTIAL</v>
      </c>
      <c r="P641" s="7" t="str">
        <f t="shared" si="79"/>
        <v>Y</v>
      </c>
      <c r="Q641" s="7" t="s">
        <v>826</v>
      </c>
      <c r="R641" s="9">
        <v>2958465</v>
      </c>
      <c r="S641" s="7" t="s">
        <v>827</v>
      </c>
      <c r="T641" s="7" t="s">
        <v>828</v>
      </c>
      <c r="U641" s="7" t="str">
        <f t="shared" si="81"/>
        <v>CLK_DETM_DETIS_F2DS_V</v>
      </c>
      <c r="V641" s="7" t="s">
        <v>829</v>
      </c>
    </row>
    <row r="642" spans="1:22">
      <c r="A642" s="7" t="str">
        <f>TRIM(ETLMetadata!$B642)</f>
        <v>CLK</v>
      </c>
      <c r="B642" s="7" t="str">
        <f>TRIM(ETLMetadata!$C642)</f>
        <v>DETM_DETIS_F2DS</v>
      </c>
      <c r="C642" s="7" t="str">
        <f>TRIM(ETLMetadata!$F642)</f>
        <v>F2DS_UNIQ_ID</v>
      </c>
      <c r="D642" s="7" t="str">
        <f>TRIM(ETLMetadata!$H642)</f>
        <v>StringType()</v>
      </c>
      <c r="E642" s="7" t="str">
        <f t="shared" si="80"/>
        <v>CLK_DETM_DETIS_F2DS</v>
      </c>
      <c r="F642" s="7" t="str">
        <f t="shared" si="74"/>
        <v>F2DS_UNIQ_ID</v>
      </c>
      <c r="G642" s="7" t="s">
        <v>825</v>
      </c>
      <c r="H642" s="7" t="str">
        <f t="shared" si="75"/>
        <v>CLK_DETM_DETIS_F2DS</v>
      </c>
      <c r="I642" s="7" t="str">
        <f t="shared" si="76"/>
        <v>F2DS_UNIQ_ID</v>
      </c>
      <c r="J642" s="7" t="str">
        <f t="shared" si="77"/>
        <v>VARCHAR</v>
      </c>
      <c r="K642" s="7" t="str">
        <f>TRIM(ETLMetadata!$G642)</f>
        <v>VARCHAR(8)</v>
      </c>
      <c r="L642" s="7" t="str">
        <f>TRIM(ETLMetadata!$I642)</f>
        <v/>
      </c>
      <c r="M642" s="7" t="str">
        <f t="shared" si="78"/>
        <v>NULLIF(TRIM(F2DS_UNIQ_ID),'')</v>
      </c>
      <c r="N642" s="7" t="str">
        <f>TRIM(ETLMetadata!$J642)</f>
        <v/>
      </c>
      <c r="O642" s="8" t="str">
        <f>IF(TRIM(Classification!$G642)="","NOT CONFIDENTIAL",TRIM(Classification!$G642))</f>
        <v>NOT CONFIDENTIAL</v>
      </c>
      <c r="P642" s="7" t="str">
        <f t="shared" si="79"/>
        <v>Y</v>
      </c>
      <c r="Q642" s="7" t="s">
        <v>826</v>
      </c>
      <c r="R642" s="9">
        <v>2958465</v>
      </c>
      <c r="S642" s="7" t="s">
        <v>827</v>
      </c>
      <c r="T642" s="7" t="s">
        <v>828</v>
      </c>
      <c r="U642" s="7" t="str">
        <f t="shared" si="81"/>
        <v>CLK_DETM_DETIS_F2DS_V</v>
      </c>
      <c r="V642" s="7" t="s">
        <v>829</v>
      </c>
    </row>
    <row r="643" spans="1:22">
      <c r="A643" s="7" t="str">
        <f>TRIM(ETLMetadata!$B643)</f>
        <v>CLK</v>
      </c>
      <c r="B643" s="7" t="str">
        <f>TRIM(ETLMetadata!$C643)</f>
        <v>DETM_DETIS_F2DS</v>
      </c>
      <c r="C643" s="7" t="str">
        <f>TRIM(ETLMetadata!$F643)</f>
        <v>AMR1_RISL_DTS</v>
      </c>
      <c r="D643" s="7" t="str">
        <f>TRIM(ETLMetadata!$H643)</f>
        <v>StringType()</v>
      </c>
      <c r="E643" s="7" t="str">
        <f t="shared" si="80"/>
        <v>CLK_DETM_DETIS_F2DS</v>
      </c>
      <c r="F643" s="7" t="str">
        <f t="shared" ref="F643:F706" si="82">IF($C643="Start_Date","STRT_DT",
 IF($C643="End_Date","END_DT",
 IF($C643="Record_Deleted_Flag","RCRD_DEL_IND",
 IF($C643="IsDeleted","RCRD_DEL_IND",
 $C643
))))</f>
        <v>AMR1_RISL_DTS</v>
      </c>
      <c r="G643" s="7" t="s">
        <v>825</v>
      </c>
      <c r="H643" s="7" t="str">
        <f t="shared" ref="H643:H706" si="83">CONCATENATE($A643,"_",$B643)</f>
        <v>CLK_DETM_DETIS_F2DS</v>
      </c>
      <c r="I643" s="7" t="str">
        <f t="shared" ref="I643:I706" si="84">IF($C643="Start_Date","STRT_DT",
 IF($C643="End_Date","END_DT",
 IF($C643="Record_Deleted_Flag","RCRD_DEL_IND",
 IF($C643="IsDeleted","RCRD_DEL_IND",
 $C643
))))</f>
        <v>AMR1_RISL_DTS</v>
      </c>
      <c r="J643" s="7" t="str">
        <f t="shared" ref="J643:J706" si="85">IF(LEFT(TRIM($K643),7)="VARCHAR","VARCHAR",
 IF(LEFT(TRIM($K643),4)="CHAR","VARCHAR",
 IF(TRIM($K643)="TIMESTAMP(6)","TIMESTAMP",
 IF(TRIM($K643)="DATE","DATE",
 IF(TRIM($K643)="BYTEINT","SMALLINT",
 IF(TRIM($K643)="SMALLINT","SMALLINT",
 IF(TRIM($K643)="INTEGER","INTEGER",
 IF(TRIM($K643)="BIGINT","INTEGER",
 IF(LEFT(TRIM($K643),7)="DECIMAL",TRIM($K643),
 IF(TRIM($K643)="BOOLEAN","BOOLEAN",
 IF(TRIM($K643)="DOUBLE","DOUBLE",
 IF(TRIM($K643)="FLOAT","FLOAT",
 IF(TRIM($K643)="REAL","REAL",
 IF(LEFT(TRIM($K643),6)="STRUCT","VARIANT",
 IF(LEFT(TRIM($K643),5)="ARRAY","VARIANT",
 IF(LEFT(TRIM($K643),3)="MAP","VARIANT",
 IF(LEFT(TRIM($K643),3)="ROW","VARIANT",
 "NONE"
)))))))))))))))))</f>
        <v>TIMESTAMP</v>
      </c>
      <c r="K643" s="7" t="str">
        <f>TRIM(ETLMetadata!$G643)</f>
        <v>TIMESTAMP(6)</v>
      </c>
      <c r="L643" s="7" t="str">
        <f>TRIM(ETLMetadata!$I643)</f>
        <v>YYYY-MM-DDBHH:MI:SS.S(6)</v>
      </c>
      <c r="M643" s="7" t="str">
        <f t="shared" ref="M643:M706" si="86">IF(LEFT($K643,7)="VARCHAR","NULLIF(TRIM("&amp;$I643&amp;"),'')",
 IF(LEFT($K643,4)="CHAR","NULLIF(TRIM("&amp;$I643&amp;"),'')",
 IF(LEFT($K643,7)="DECIMAL","CAST(NULLIF(TRIM("&amp;$I643&amp;"),'') AS "&amp;$K643&amp;")",
 IF($K643="TIMESTAMP(6)","TO_TIMESTAMP_NTZ(NULLIF(TRIM("&amp;$I643&amp;"),''),'YYYY-MM-DD HH24:MI:SS.FF6')",
 IF($K643="DATE","TO_DATE(NULLIF(TRIM("&amp;$I643&amp;"),'') , 'YYYY-MM-DD')",
 IF($K643="BIGINT","CAST(NULLIF(TRIM("&amp;I643&amp;"),'') AS INTEGER)",
 IF($K643="BYTEINT","CAST(NULLIF(TRIM("&amp;I643&amp;"),'') AS SMALLINT)",
 IF($K643="SMALLINT","CAST(NULLIF(TRIM("&amp;I643&amp;"),'') AS SMALLINT)",
 IF($K643="INTEGER","CAST(NULLIF(TRIM("&amp;I643&amp;"),'') AS INTEGER)",
 IF($K643="BOOLEAN","CAST(NULLIF(TRIM("&amp;I643&amp;"),'') AS BOOLEAN)",
 IF($K643="DOUBLE","CAST(NULLIF(TRIM("&amp;I643&amp;"),'') AS DOUBLE)",
 IF($K643="FLOAT","CAST(NULLIF(TRIM("&amp;I643&amp;"),'') AS FLOAT)",
 IF($K643="REAL","CAST(NULLIF(TRIM("&amp;I643&amp;"),'') AS REAL)",
 IF(OR($K643="STRUCT",$K643="ARRAY",$K643="MAP",$K643="ROW"),"CAST(NULLIF(TRIM("&amp;I643&amp;"),'') AS VARIANT)",
 "NONE"
))))))))))))))</f>
        <v>TO_TIMESTAMP_NTZ(NULLIF(TRIM(AMR1_RISL_DTS),''),'YYYY-MM-DD HH24:MI:SS.FF6')</v>
      </c>
      <c r="N643" s="7" t="str">
        <f>TRIM(ETLMetadata!$J643)</f>
        <v/>
      </c>
      <c r="O643" s="8" t="str">
        <f>IF(TRIM(Classification!$G643)="","NOT CONFIDENTIAL",TRIM(Classification!$G643))</f>
        <v>NOT CONFIDENTIAL</v>
      </c>
      <c r="P643" s="7" t="str">
        <f t="shared" ref="P643:P706" si="87">IF($C643="Start_Date","N",
 IF($C643="End_Date","N",
 IF($C643="Record_Deleted_Flag","N",
 IF($C643="IsDeleted","N",
 "Y"
))))</f>
        <v>Y</v>
      </c>
      <c r="Q643" s="7" t="s">
        <v>826</v>
      </c>
      <c r="R643" s="9">
        <v>2958465</v>
      </c>
      <c r="S643" s="7" t="s">
        <v>827</v>
      </c>
      <c r="T643" s="7" t="s">
        <v>828</v>
      </c>
      <c r="U643" s="7" t="str">
        <f t="shared" si="81"/>
        <v>CLK_DETM_DETIS_F2DS_V</v>
      </c>
      <c r="V643" s="7" t="s">
        <v>829</v>
      </c>
    </row>
    <row r="644" spans="1:22">
      <c r="A644" s="7" t="str">
        <f>TRIM(ETLMetadata!$B644)</f>
        <v>CLK</v>
      </c>
      <c r="B644" s="7" t="str">
        <f>TRIM(ETLMetadata!$C644)</f>
        <v>DETM_DETIS_F2DS</v>
      </c>
      <c r="C644" s="7" t="str">
        <f>TRIM(ETLMetadata!$F644)</f>
        <v>AMR3_RISL_DTS</v>
      </c>
      <c r="D644" s="7" t="str">
        <f>TRIM(ETLMetadata!$H644)</f>
        <v>StringType()</v>
      </c>
      <c r="E644" s="7" t="str">
        <f t="shared" si="80"/>
        <v>CLK_DETM_DETIS_F2DS</v>
      </c>
      <c r="F644" s="7" t="str">
        <f t="shared" si="82"/>
        <v>AMR3_RISL_DTS</v>
      </c>
      <c r="G644" s="7" t="s">
        <v>825</v>
      </c>
      <c r="H644" s="7" t="str">
        <f t="shared" si="83"/>
        <v>CLK_DETM_DETIS_F2DS</v>
      </c>
      <c r="I644" s="7" t="str">
        <f t="shared" si="84"/>
        <v>AMR3_RISL_DTS</v>
      </c>
      <c r="J644" s="7" t="str">
        <f t="shared" si="85"/>
        <v>TIMESTAMP</v>
      </c>
      <c r="K644" s="7" t="str">
        <f>TRIM(ETLMetadata!$G644)</f>
        <v>TIMESTAMP(6)</v>
      </c>
      <c r="L644" s="7" t="str">
        <f>TRIM(ETLMetadata!$I644)</f>
        <v>YYYY-MM-DDBHH:MI:SS.S(6)</v>
      </c>
      <c r="M644" s="7" t="str">
        <f t="shared" si="86"/>
        <v>TO_TIMESTAMP_NTZ(NULLIF(TRIM(AMR3_RISL_DTS),''),'YYYY-MM-DD HH24:MI:SS.FF6')</v>
      </c>
      <c r="N644" s="7" t="str">
        <f>TRIM(ETLMetadata!$J644)</f>
        <v/>
      </c>
      <c r="O644" s="8" t="str">
        <f>IF(TRIM(Classification!$G644)="","NOT CONFIDENTIAL",TRIM(Classification!$G644))</f>
        <v>NOT CONFIDENTIAL</v>
      </c>
      <c r="P644" s="7" t="str">
        <f t="shared" si="87"/>
        <v>Y</v>
      </c>
      <c r="Q644" s="7" t="s">
        <v>826</v>
      </c>
      <c r="R644" s="9">
        <v>2958465</v>
      </c>
      <c r="S644" s="7" t="s">
        <v>827</v>
      </c>
      <c r="T644" s="7" t="s">
        <v>828</v>
      </c>
      <c r="U644" s="7" t="str">
        <f t="shared" si="81"/>
        <v>CLK_DETM_DETIS_F2DS_V</v>
      </c>
      <c r="V644" s="7" t="s">
        <v>829</v>
      </c>
    </row>
    <row r="645" spans="1:22">
      <c r="A645" s="7" t="str">
        <f>TRIM(ETLMetadata!$B645)</f>
        <v>CLK</v>
      </c>
      <c r="B645" s="7" t="str">
        <f>TRIM(ETLMetadata!$C645)</f>
        <v>DETM_DETIS_F2DS</v>
      </c>
      <c r="C645" s="7" t="str">
        <f>TRIM(ETLMetadata!$F645)</f>
        <v>PARTY_ROLE_ID</v>
      </c>
      <c r="D645" s="7" t="str">
        <f>TRIM(ETLMetadata!$H645)</f>
        <v>StringType()</v>
      </c>
      <c r="E645" s="7" t="str">
        <f t="shared" si="80"/>
        <v>CLK_DETM_DETIS_F2DS</v>
      </c>
      <c r="F645" s="7" t="str">
        <f t="shared" si="82"/>
        <v>PARTY_ROLE_ID</v>
      </c>
      <c r="G645" s="7" t="s">
        <v>825</v>
      </c>
      <c r="H645" s="7" t="str">
        <f t="shared" si="83"/>
        <v>CLK_DETM_DETIS_F2DS</v>
      </c>
      <c r="I645" s="7" t="str">
        <f t="shared" si="84"/>
        <v>PARTY_ROLE_ID</v>
      </c>
      <c r="J645" s="7" t="str">
        <f t="shared" si="85"/>
        <v>INTEGER</v>
      </c>
      <c r="K645" s="7" t="str">
        <f>TRIM(ETLMetadata!$G645)</f>
        <v>INTEGER</v>
      </c>
      <c r="L645" s="7" t="str">
        <f>TRIM(ETLMetadata!$I645)</f>
        <v/>
      </c>
      <c r="M645" s="7" t="str">
        <f t="shared" si="86"/>
        <v>CAST(NULLIF(TRIM(PARTY_ROLE_ID),'') AS INTEGER)</v>
      </c>
      <c r="N645" s="7" t="str">
        <f>TRIM(ETLMetadata!$J645)</f>
        <v/>
      </c>
      <c r="O645" s="8" t="str">
        <f>IF(TRIM(Classification!$G645)="","NOT CONFIDENTIAL",TRIM(Classification!$G645))</f>
        <v>NOT CONFIDENTIAL</v>
      </c>
      <c r="P645" s="7" t="str">
        <f t="shared" si="87"/>
        <v>Y</v>
      </c>
      <c r="Q645" s="7" t="s">
        <v>826</v>
      </c>
      <c r="R645" s="9">
        <v>2958465</v>
      </c>
      <c r="S645" s="7" t="s">
        <v>827</v>
      </c>
      <c r="T645" s="7" t="s">
        <v>828</v>
      </c>
      <c r="U645" s="7" t="str">
        <f t="shared" si="81"/>
        <v>CLK_DETM_DETIS_F2DS_V</v>
      </c>
      <c r="V645" s="7" t="s">
        <v>829</v>
      </c>
    </row>
    <row r="646" spans="1:22">
      <c r="A646" s="7" t="str">
        <f>TRIM(ETLMetadata!$B646)</f>
        <v>CLK</v>
      </c>
      <c r="B646" s="7" t="str">
        <f>TRIM(ETLMetadata!$C646)</f>
        <v>DETM_DETIS_F2DS</v>
      </c>
      <c r="C646" s="7" t="str">
        <f>TRIM(ETLMetadata!$F646)</f>
        <v>PAYMENT_TYPE_ID</v>
      </c>
      <c r="D646" s="7" t="str">
        <f>TRIM(ETLMetadata!$H646)</f>
        <v>StringType()</v>
      </c>
      <c r="E646" s="7" t="str">
        <f t="shared" si="80"/>
        <v>CLK_DETM_DETIS_F2DS</v>
      </c>
      <c r="F646" s="7" t="str">
        <f t="shared" si="82"/>
        <v>PAYMENT_TYPE_ID</v>
      </c>
      <c r="G646" s="7" t="s">
        <v>825</v>
      </c>
      <c r="H646" s="7" t="str">
        <f t="shared" si="83"/>
        <v>CLK_DETM_DETIS_F2DS</v>
      </c>
      <c r="I646" s="7" t="str">
        <f t="shared" si="84"/>
        <v>PAYMENT_TYPE_ID</v>
      </c>
      <c r="J646" s="7" t="str">
        <f t="shared" si="85"/>
        <v>INTEGER</v>
      </c>
      <c r="K646" s="7" t="str">
        <f>TRIM(ETLMetadata!$G646)</f>
        <v>INTEGER</v>
      </c>
      <c r="L646" s="7" t="str">
        <f>TRIM(ETLMetadata!$I646)</f>
        <v/>
      </c>
      <c r="M646" s="7" t="str">
        <f t="shared" si="86"/>
        <v>CAST(NULLIF(TRIM(PAYMENT_TYPE_ID),'') AS INTEGER)</v>
      </c>
      <c r="N646" s="7" t="str">
        <f>TRIM(ETLMetadata!$J646)</f>
        <v/>
      </c>
      <c r="O646" s="8" t="str">
        <f>IF(TRIM(Classification!$G646)="","NOT CONFIDENTIAL",TRIM(Classification!$G646))</f>
        <v>NOT CONFIDENTIAL</v>
      </c>
      <c r="P646" s="7" t="str">
        <f t="shared" si="87"/>
        <v>Y</v>
      </c>
      <c r="Q646" s="7" t="s">
        <v>826</v>
      </c>
      <c r="R646" s="9">
        <v>2958465</v>
      </c>
      <c r="S646" s="7" t="s">
        <v>827</v>
      </c>
      <c r="T646" s="7" t="s">
        <v>828</v>
      </c>
      <c r="U646" s="7" t="str">
        <f t="shared" si="81"/>
        <v>CLK_DETM_DETIS_F2DS_V</v>
      </c>
      <c r="V646" s="7" t="s">
        <v>829</v>
      </c>
    </row>
    <row r="647" spans="1:22">
      <c r="A647" s="7" t="str">
        <f>TRIM(ETLMetadata!$B647)</f>
        <v>CLK</v>
      </c>
      <c r="B647" s="7" t="str">
        <f>TRIM(ETLMetadata!$C647)</f>
        <v>DETM_DETIS_F2DS</v>
      </c>
      <c r="C647" s="7" t="str">
        <f>TRIM(ETLMetadata!$F647)</f>
        <v>ERROR_COUNT</v>
      </c>
      <c r="D647" s="7" t="str">
        <f>TRIM(ETLMetadata!$H647)</f>
        <v>StringType()</v>
      </c>
      <c r="E647" s="7" t="str">
        <f t="shared" si="80"/>
        <v>CLK_DETM_DETIS_F2DS</v>
      </c>
      <c r="F647" s="7" t="str">
        <f t="shared" si="82"/>
        <v>ERROR_COUNT</v>
      </c>
      <c r="G647" s="7" t="s">
        <v>825</v>
      </c>
      <c r="H647" s="7" t="str">
        <f t="shared" si="83"/>
        <v>CLK_DETM_DETIS_F2DS</v>
      </c>
      <c r="I647" s="7" t="str">
        <f t="shared" si="84"/>
        <v>ERROR_COUNT</v>
      </c>
      <c r="J647" s="7" t="str">
        <f t="shared" si="85"/>
        <v>SMALLINT</v>
      </c>
      <c r="K647" s="7" t="str">
        <f>TRIM(ETLMetadata!$G647)</f>
        <v>SMALLINT</v>
      </c>
      <c r="L647" s="7" t="str">
        <f>TRIM(ETLMetadata!$I647)</f>
        <v/>
      </c>
      <c r="M647" s="7" t="str">
        <f t="shared" si="86"/>
        <v>CAST(NULLIF(TRIM(ERROR_COUNT),'') AS SMALLINT)</v>
      </c>
      <c r="N647" s="7" t="str">
        <f>TRIM(ETLMetadata!$J647)</f>
        <v/>
      </c>
      <c r="O647" s="8" t="str">
        <f>IF(TRIM(Classification!$G647)="","NOT CONFIDENTIAL",TRIM(Classification!$G647))</f>
        <v>NOT CONFIDENTIAL</v>
      </c>
      <c r="P647" s="7" t="str">
        <f t="shared" si="87"/>
        <v>Y</v>
      </c>
      <c r="Q647" s="7" t="s">
        <v>826</v>
      </c>
      <c r="R647" s="9">
        <v>2958465</v>
      </c>
      <c r="S647" s="7" t="s">
        <v>827</v>
      </c>
      <c r="T647" s="7" t="s">
        <v>828</v>
      </c>
      <c r="U647" s="7" t="str">
        <f t="shared" si="81"/>
        <v>CLK_DETM_DETIS_F2DS_V</v>
      </c>
      <c r="V647" s="7" t="s">
        <v>829</v>
      </c>
    </row>
    <row r="648" spans="1:22">
      <c r="A648" s="7" t="str">
        <f>TRIM(ETLMetadata!$B648)</f>
        <v>CLK</v>
      </c>
      <c r="B648" s="7" t="str">
        <f>TRIM(ETLMetadata!$C648)</f>
        <v>DETM_DETIS_F2DS</v>
      </c>
      <c r="C648" s="7" t="str">
        <f>TRIM(ETLMetadata!$F648)</f>
        <v>Start_Date</v>
      </c>
      <c r="D648" s="7" t="str">
        <f>TRIM(ETLMetadata!$H648)</f>
        <v>StringType()</v>
      </c>
      <c r="E648" s="7" t="str">
        <f t="shared" si="80"/>
        <v>CLK_DETM_DETIS_F2DS</v>
      </c>
      <c r="F648" s="7" t="str">
        <f t="shared" si="82"/>
        <v>STRT_DT</v>
      </c>
      <c r="G648" s="7" t="s">
        <v>825</v>
      </c>
      <c r="H648" s="7" t="str">
        <f t="shared" si="83"/>
        <v>CLK_DETM_DETIS_F2DS</v>
      </c>
      <c r="I648" s="7" t="str">
        <f t="shared" si="84"/>
        <v>STRT_DT</v>
      </c>
      <c r="J648" s="7" t="str">
        <f t="shared" si="85"/>
        <v>DATE</v>
      </c>
      <c r="K648" s="7" t="str">
        <f>TRIM(ETLMetadata!$G648)</f>
        <v>DATE</v>
      </c>
      <c r="L648" s="7" t="str">
        <f>TRIM(ETLMetadata!$I648)</f>
        <v>YYYY-MM-DD</v>
      </c>
      <c r="M648" s="7" t="str">
        <f t="shared" si="86"/>
        <v>TO_DATE(NULLIF(TRIM(STRT_DT),'') , 'YYYY-MM-DD')</v>
      </c>
      <c r="N648" s="7" t="str">
        <f>TRIM(ETLMetadata!$J648)</f>
        <v/>
      </c>
      <c r="O648" s="8" t="str">
        <f>IF(TRIM(Classification!$G648)="","NOT CONFIDENTIAL",TRIM(Classification!$G648))</f>
        <v>NOT CONFIDENTIAL</v>
      </c>
      <c r="P648" s="7" t="str">
        <f t="shared" si="87"/>
        <v>N</v>
      </c>
      <c r="Q648" s="7" t="s">
        <v>826</v>
      </c>
      <c r="R648" s="9">
        <v>2958465</v>
      </c>
      <c r="S648" s="7" t="s">
        <v>827</v>
      </c>
      <c r="T648" s="7" t="s">
        <v>828</v>
      </c>
      <c r="U648" s="7" t="str">
        <f t="shared" si="81"/>
        <v>CLK_DETM_DETIS_F2DS_V</v>
      </c>
      <c r="V648" s="7" t="s">
        <v>829</v>
      </c>
    </row>
    <row r="649" spans="1:22">
      <c r="A649" s="7" t="str">
        <f>TRIM(ETLMetadata!$B649)</f>
        <v>CLK</v>
      </c>
      <c r="B649" s="7" t="str">
        <f>TRIM(ETLMetadata!$C649)</f>
        <v>DETM_DETIS_F2DS</v>
      </c>
      <c r="C649" s="7" t="str">
        <f>TRIM(ETLMetadata!$F649)</f>
        <v>End_Date</v>
      </c>
      <c r="D649" s="7" t="str">
        <f>TRIM(ETLMetadata!$H649)</f>
        <v>StringType()</v>
      </c>
      <c r="E649" s="7" t="str">
        <f t="shared" si="80"/>
        <v>CLK_DETM_DETIS_F2DS</v>
      </c>
      <c r="F649" s="7" t="str">
        <f t="shared" si="82"/>
        <v>END_DT</v>
      </c>
      <c r="G649" s="7" t="s">
        <v>825</v>
      </c>
      <c r="H649" s="7" t="str">
        <f t="shared" si="83"/>
        <v>CLK_DETM_DETIS_F2DS</v>
      </c>
      <c r="I649" s="7" t="str">
        <f t="shared" si="84"/>
        <v>END_DT</v>
      </c>
      <c r="J649" s="7" t="str">
        <f t="shared" si="85"/>
        <v>DATE</v>
      </c>
      <c r="K649" s="7" t="str">
        <f>TRIM(ETLMetadata!$G649)</f>
        <v>DATE</v>
      </c>
      <c r="L649" s="7" t="str">
        <f>TRIM(ETLMetadata!$I649)</f>
        <v>YYYY-MM-DD</v>
      </c>
      <c r="M649" s="7" t="str">
        <f t="shared" si="86"/>
        <v>TO_DATE(NULLIF(TRIM(END_DT),'') , 'YYYY-MM-DD')</v>
      </c>
      <c r="N649" s="7" t="str">
        <f>TRIM(ETLMetadata!$J649)</f>
        <v/>
      </c>
      <c r="O649" s="8" t="str">
        <f>IF(TRIM(Classification!$G649)="","NOT CONFIDENTIAL",TRIM(Classification!$G649))</f>
        <v>NOT CONFIDENTIAL</v>
      </c>
      <c r="P649" s="7" t="str">
        <f t="shared" si="87"/>
        <v>N</v>
      </c>
      <c r="Q649" s="7" t="s">
        <v>826</v>
      </c>
      <c r="R649" s="9">
        <v>2958465</v>
      </c>
      <c r="S649" s="7" t="s">
        <v>827</v>
      </c>
      <c r="T649" s="7" t="s">
        <v>828</v>
      </c>
      <c r="U649" s="7" t="str">
        <f t="shared" si="81"/>
        <v>CLK_DETM_DETIS_F2DS_V</v>
      </c>
      <c r="V649" s="7" t="s">
        <v>829</v>
      </c>
    </row>
    <row r="650" spans="1:22">
      <c r="A650" s="7" t="str">
        <f>TRIM(ETLMetadata!$B650)</f>
        <v>CLK</v>
      </c>
      <c r="B650" s="7" t="str">
        <f>TRIM(ETLMetadata!$C650)</f>
        <v>DETM_DETIS_F2DS</v>
      </c>
      <c r="C650" s="7" t="str">
        <f>TRIM(ETLMetadata!$F650)</f>
        <v>Record_Deleted_Flag</v>
      </c>
      <c r="D650" s="7" t="str">
        <f>TRIM(ETLMetadata!$H650)</f>
        <v>StringType()</v>
      </c>
      <c r="E650" s="7" t="str">
        <f t="shared" si="80"/>
        <v>CLK_DETM_DETIS_F2DS</v>
      </c>
      <c r="F650" s="7" t="str">
        <f t="shared" si="82"/>
        <v>RCRD_DEL_IND</v>
      </c>
      <c r="G650" s="7" t="s">
        <v>825</v>
      </c>
      <c r="H650" s="7" t="str">
        <f t="shared" si="83"/>
        <v>CLK_DETM_DETIS_F2DS</v>
      </c>
      <c r="I650" s="7" t="str">
        <f t="shared" si="84"/>
        <v>RCRD_DEL_IND</v>
      </c>
      <c r="J650" s="7" t="str">
        <f t="shared" si="85"/>
        <v>SMALLINT</v>
      </c>
      <c r="K650" s="7" t="str">
        <f>TRIM(ETLMetadata!$G650)</f>
        <v>BYTEINT</v>
      </c>
      <c r="L650" s="7" t="str">
        <f>TRIM(ETLMetadata!$I650)</f>
        <v/>
      </c>
      <c r="M650" s="7" t="str">
        <f t="shared" si="86"/>
        <v>CAST(NULLIF(TRIM(RCRD_DEL_IND),'') AS SMALLINT)</v>
      </c>
      <c r="N650" s="7" t="str">
        <f>TRIM(ETLMetadata!$J650)</f>
        <v/>
      </c>
      <c r="O650" s="8" t="str">
        <f>IF(TRIM(Classification!$G650)="","NOT CONFIDENTIAL",TRIM(Classification!$G650))</f>
        <v>NOT CONFIDENTIAL</v>
      </c>
      <c r="P650" s="7" t="str">
        <f t="shared" si="87"/>
        <v>N</v>
      </c>
      <c r="Q650" s="7" t="s">
        <v>826</v>
      </c>
      <c r="R650" s="9">
        <v>2958465</v>
      </c>
      <c r="S650" s="7" t="s">
        <v>827</v>
      </c>
      <c r="T650" s="7" t="s">
        <v>828</v>
      </c>
      <c r="U650" s="7" t="str">
        <f t="shared" si="81"/>
        <v>CLK_DETM_DETIS_F2DS_V</v>
      </c>
      <c r="V650" s="7" t="s">
        <v>829</v>
      </c>
    </row>
    <row r="651" spans="1:22">
      <c r="A651" s="7" t="str">
        <f>TRIM(ETLMetadata!$B651)</f>
        <v>CLK</v>
      </c>
      <c r="B651" s="7" t="str">
        <f>TRIM(ETLMetadata!$C651)</f>
        <v>DETM_DETIS_FDDS</v>
      </c>
      <c r="C651" s="7" t="str">
        <f>TRIM(ETLMetadata!$F651)</f>
        <v>EXTRACT_DATE</v>
      </c>
      <c r="D651" s="7" t="str">
        <f>TRIM(ETLMetadata!$H651)</f>
        <v>StringType()</v>
      </c>
      <c r="E651" s="7" t="str">
        <f t="shared" si="80"/>
        <v>CLK_DETM_DETIS_FDDS</v>
      </c>
      <c r="F651" s="7" t="str">
        <f t="shared" si="82"/>
        <v>EXTRACT_DATE</v>
      </c>
      <c r="G651" s="7" t="s">
        <v>825</v>
      </c>
      <c r="H651" s="7" t="str">
        <f t="shared" si="83"/>
        <v>CLK_DETM_DETIS_FDDS</v>
      </c>
      <c r="I651" s="7" t="str">
        <f t="shared" si="84"/>
        <v>EXTRACT_DATE</v>
      </c>
      <c r="J651" s="7" t="str">
        <f t="shared" si="85"/>
        <v>DATE</v>
      </c>
      <c r="K651" s="7" t="str">
        <f>TRIM(ETLMetadata!$G651)</f>
        <v>DATE</v>
      </c>
      <c r="L651" s="7" t="str">
        <f>TRIM(ETLMetadata!$I651)</f>
        <v>YYYY-MM-DD</v>
      </c>
      <c r="M651" s="7" t="str">
        <f t="shared" si="86"/>
        <v>TO_DATE(NULLIF(TRIM(EXTRACT_DATE),'') , 'YYYY-MM-DD')</v>
      </c>
      <c r="N651" s="7" t="str">
        <f>TRIM(ETLMetadata!$J651)</f>
        <v/>
      </c>
      <c r="O651" s="8" t="str">
        <f>IF(TRIM(Classification!$G651)="","NOT CONFIDENTIAL",TRIM(Classification!$G651))</f>
        <v>NOT CONFIDENTIAL</v>
      </c>
      <c r="P651" s="7" t="str">
        <f t="shared" si="87"/>
        <v>Y</v>
      </c>
      <c r="Q651" s="7" t="s">
        <v>826</v>
      </c>
      <c r="R651" s="9">
        <v>2958465</v>
      </c>
      <c r="S651" s="7" t="s">
        <v>827</v>
      </c>
      <c r="T651" s="7" t="s">
        <v>828</v>
      </c>
      <c r="U651" s="7" t="str">
        <f t="shared" si="81"/>
        <v>CLK_DETM_DETIS_FDDS_V</v>
      </c>
      <c r="V651" s="7" t="s">
        <v>829</v>
      </c>
    </row>
    <row r="652" spans="1:22">
      <c r="A652" s="7" t="str">
        <f>TRIM(ETLMetadata!$B652)</f>
        <v>CLK</v>
      </c>
      <c r="B652" s="7" t="str">
        <f>TRIM(ETLMetadata!$C652)</f>
        <v>DETM_DETIS_FDDS</v>
      </c>
      <c r="C652" s="7" t="str">
        <f>TRIM(ETLMetadata!$F652)</f>
        <v>LOGICAL_DELETE_DATE</v>
      </c>
      <c r="D652" s="7" t="str">
        <f>TRIM(ETLMetadata!$H652)</f>
        <v>StringType()</v>
      </c>
      <c r="E652" s="7" t="str">
        <f t="shared" si="80"/>
        <v>CLK_DETM_DETIS_FDDS</v>
      </c>
      <c r="F652" s="7" t="str">
        <f t="shared" si="82"/>
        <v>LOGICAL_DELETE_DATE</v>
      </c>
      <c r="G652" s="7" t="s">
        <v>825</v>
      </c>
      <c r="H652" s="7" t="str">
        <f t="shared" si="83"/>
        <v>CLK_DETM_DETIS_FDDS</v>
      </c>
      <c r="I652" s="7" t="str">
        <f t="shared" si="84"/>
        <v>LOGICAL_DELETE_DATE</v>
      </c>
      <c r="J652" s="7" t="str">
        <f t="shared" si="85"/>
        <v>DATE</v>
      </c>
      <c r="K652" s="7" t="str">
        <f>TRIM(ETLMetadata!$G652)</f>
        <v>DATE</v>
      </c>
      <c r="L652" s="7" t="str">
        <f>TRIM(ETLMetadata!$I652)</f>
        <v>YYYY-MM-DD</v>
      </c>
      <c r="M652" s="7" t="str">
        <f t="shared" si="86"/>
        <v>TO_DATE(NULLIF(TRIM(LOGICAL_DELETE_DATE),'') , 'YYYY-MM-DD')</v>
      </c>
      <c r="N652" s="7" t="str">
        <f>TRIM(ETLMetadata!$J652)</f>
        <v/>
      </c>
      <c r="O652" s="8" t="str">
        <f>IF(TRIM(Classification!$G652)="","NOT CONFIDENTIAL",TRIM(Classification!$G652))</f>
        <v>NOT CONFIDENTIAL</v>
      </c>
      <c r="P652" s="7" t="str">
        <f t="shared" si="87"/>
        <v>Y</v>
      </c>
      <c r="Q652" s="7" t="s">
        <v>826</v>
      </c>
      <c r="R652" s="9">
        <v>2958465</v>
      </c>
      <c r="S652" s="7" t="s">
        <v>827</v>
      </c>
      <c r="T652" s="7" t="s">
        <v>828</v>
      </c>
      <c r="U652" s="7" t="str">
        <f t="shared" si="81"/>
        <v>CLK_DETM_DETIS_FDDS_V</v>
      </c>
      <c r="V652" s="7" t="s">
        <v>829</v>
      </c>
    </row>
    <row r="653" spans="1:22">
      <c r="A653" s="7" t="str">
        <f>TRIM(ETLMetadata!$B653)</f>
        <v>CLK</v>
      </c>
      <c r="B653" s="7" t="str">
        <f>TRIM(ETLMetadata!$C653)</f>
        <v>DETM_DETIS_FDDS</v>
      </c>
      <c r="C653" s="7" t="str">
        <f>TRIM(ETLMetadata!$F653)</f>
        <v>ENVIRONMENT_ID</v>
      </c>
      <c r="D653" s="7" t="str">
        <f>TRIM(ETLMetadata!$H653)</f>
        <v>StringType()</v>
      </c>
      <c r="E653" s="7" t="str">
        <f t="shared" si="80"/>
        <v>CLK_DETM_DETIS_FDDS</v>
      </c>
      <c r="F653" s="7" t="str">
        <f t="shared" si="82"/>
        <v>ENVIRONMENT_ID</v>
      </c>
      <c r="G653" s="7" t="s">
        <v>825</v>
      </c>
      <c r="H653" s="7" t="str">
        <f t="shared" si="83"/>
        <v>CLK_DETM_DETIS_FDDS</v>
      </c>
      <c r="I653" s="7" t="str">
        <f t="shared" si="84"/>
        <v>ENVIRONMENT_ID</v>
      </c>
      <c r="J653" s="7" t="str">
        <f t="shared" si="85"/>
        <v>VARCHAR</v>
      </c>
      <c r="K653" s="7" t="str">
        <f>TRIM(ETLMetadata!$G653)</f>
        <v>CHAR(1)</v>
      </c>
      <c r="L653" s="7" t="str">
        <f>TRIM(ETLMetadata!$I653)</f>
        <v/>
      </c>
      <c r="M653" s="7" t="str">
        <f t="shared" si="86"/>
        <v>NULLIF(TRIM(ENVIRONMENT_ID),'')</v>
      </c>
      <c r="N653" s="7" t="str">
        <f>TRIM(ETLMetadata!$J653)</f>
        <v>Y</v>
      </c>
      <c r="O653" s="8" t="str">
        <f>IF(TRIM(Classification!$G653)="","NOT CONFIDENTIAL",TRIM(Classification!$G653))</f>
        <v>NOT CONFIDENTIAL</v>
      </c>
      <c r="P653" s="7" t="str">
        <f t="shared" si="87"/>
        <v>Y</v>
      </c>
      <c r="Q653" s="7" t="s">
        <v>826</v>
      </c>
      <c r="R653" s="9">
        <v>2958465</v>
      </c>
      <c r="S653" s="7" t="s">
        <v>827</v>
      </c>
      <c r="T653" s="7" t="s">
        <v>828</v>
      </c>
      <c r="U653" s="7" t="str">
        <f t="shared" si="81"/>
        <v>CLK_DETM_DETIS_FDDS_V</v>
      </c>
      <c r="V653" s="7" t="s">
        <v>829</v>
      </c>
    </row>
    <row r="654" spans="1:22">
      <c r="A654" s="7" t="str">
        <f>TRIM(ETLMetadata!$B654)</f>
        <v>CLK</v>
      </c>
      <c r="B654" s="7" t="str">
        <f>TRIM(ETLMetadata!$C654)</f>
        <v>DETM_DETIS_FDDS</v>
      </c>
      <c r="C654" s="7" t="str">
        <f>TRIM(ETLMetadata!$F654)</f>
        <v>PERSON_ID</v>
      </c>
      <c r="D654" s="7" t="str">
        <f>TRIM(ETLMetadata!$H654)</f>
        <v>StringType()</v>
      </c>
      <c r="E654" s="7" t="str">
        <f t="shared" si="80"/>
        <v>CLK_DETM_DETIS_FDDS</v>
      </c>
      <c r="F654" s="7" t="str">
        <f t="shared" si="82"/>
        <v>PERSON_ID</v>
      </c>
      <c r="G654" s="7" t="s">
        <v>825</v>
      </c>
      <c r="H654" s="7" t="str">
        <f t="shared" si="83"/>
        <v>CLK_DETM_DETIS_FDDS</v>
      </c>
      <c r="I654" s="7" t="str">
        <f t="shared" si="84"/>
        <v>PERSON_ID</v>
      </c>
      <c r="J654" s="7" t="str">
        <f t="shared" si="85"/>
        <v>INTEGER</v>
      </c>
      <c r="K654" s="7" t="str">
        <f>TRIM(ETLMetadata!$G654)</f>
        <v>INTEGER</v>
      </c>
      <c r="L654" s="7" t="str">
        <f>TRIM(ETLMetadata!$I654)</f>
        <v/>
      </c>
      <c r="M654" s="7" t="str">
        <f t="shared" si="86"/>
        <v>CAST(NULLIF(TRIM(PERSON_ID),'') AS INTEGER)</v>
      </c>
      <c r="N654" s="7" t="str">
        <f>TRIM(ETLMetadata!$J654)</f>
        <v>Y</v>
      </c>
      <c r="O654" s="8" t="str">
        <f>IF(TRIM(Classification!$G654)="","NOT CONFIDENTIAL",TRIM(Classification!$G654))</f>
        <v>PERSONAL_IDENTITYINFOINDIRECT</v>
      </c>
      <c r="P654" s="7" t="str">
        <f t="shared" si="87"/>
        <v>Y</v>
      </c>
      <c r="Q654" s="7" t="s">
        <v>826</v>
      </c>
      <c r="R654" s="9">
        <v>2958465</v>
      </c>
      <c r="S654" s="7" t="s">
        <v>827</v>
      </c>
      <c r="T654" s="7" t="s">
        <v>828</v>
      </c>
      <c r="U654" s="7" t="str">
        <f t="shared" si="81"/>
        <v>CLK_DETM_DETIS_FDDS_V</v>
      </c>
      <c r="V654" s="7" t="s">
        <v>829</v>
      </c>
    </row>
    <row r="655" spans="1:22">
      <c r="A655" s="7" t="str">
        <f>TRIM(ETLMetadata!$B655)</f>
        <v>CLK</v>
      </c>
      <c r="B655" s="7" t="str">
        <f>TRIM(ETLMetadata!$C655)</f>
        <v>DETM_DETIS_FDDS</v>
      </c>
      <c r="C655" s="7" t="str">
        <f>TRIM(ETLMetadata!$F655)</f>
        <v>FDDS_DOE</v>
      </c>
      <c r="D655" s="7" t="str">
        <f>TRIM(ETLMetadata!$H655)</f>
        <v>StringType()</v>
      </c>
      <c r="E655" s="7" t="str">
        <f t="shared" si="80"/>
        <v>CLK_DETM_DETIS_FDDS</v>
      </c>
      <c r="F655" s="7" t="str">
        <f t="shared" si="82"/>
        <v>FDDS_DOE</v>
      </c>
      <c r="G655" s="7" t="s">
        <v>825</v>
      </c>
      <c r="H655" s="7" t="str">
        <f t="shared" si="83"/>
        <v>CLK_DETM_DETIS_FDDS</v>
      </c>
      <c r="I655" s="7" t="str">
        <f t="shared" si="84"/>
        <v>FDDS_DOE</v>
      </c>
      <c r="J655" s="7" t="str">
        <f t="shared" si="85"/>
        <v>DATE</v>
      </c>
      <c r="K655" s="17" t="s">
        <v>80</v>
      </c>
      <c r="L655" s="7" t="str">
        <f>TRIM(ETLMetadata!$I655)</f>
        <v>YYYY-MM-DD</v>
      </c>
      <c r="M655" s="7" t="str">
        <f t="shared" si="86"/>
        <v>TO_DATE(NULLIF(TRIM(FDDS_DOE),'') , 'YYYY-MM-DD')</v>
      </c>
      <c r="N655" s="7" t="str">
        <f>TRIM(ETLMetadata!$J655)</f>
        <v/>
      </c>
      <c r="O655" s="8" t="str">
        <f>IF(TRIM(Classification!$G655)="","NOT CONFIDENTIAL",TRIM(Classification!$G655))</f>
        <v>NOT CONFIDENTIAL</v>
      </c>
      <c r="P655" s="7" t="str">
        <f t="shared" si="87"/>
        <v>Y</v>
      </c>
      <c r="Q655" s="7" t="s">
        <v>826</v>
      </c>
      <c r="R655" s="9">
        <v>2958465</v>
      </c>
      <c r="S655" s="7" t="s">
        <v>827</v>
      </c>
      <c r="T655" s="7" t="s">
        <v>828</v>
      </c>
      <c r="U655" s="7" t="str">
        <f t="shared" si="81"/>
        <v>CLK_DETM_DETIS_FDDS_V</v>
      </c>
      <c r="V655" s="7" t="s">
        <v>829</v>
      </c>
    </row>
    <row r="656" spans="1:22">
      <c r="A656" s="7" t="str">
        <f>TRIM(ETLMetadata!$B656)</f>
        <v>CLK</v>
      </c>
      <c r="B656" s="7" t="str">
        <f>TRIM(ETLMetadata!$C656)</f>
        <v>DETM_DETIS_FDDS</v>
      </c>
      <c r="C656" s="7" t="str">
        <f>TRIM(ETLMetadata!$F656)</f>
        <v>FDDS_DOE_ORIG</v>
      </c>
      <c r="D656" s="7" t="str">
        <f>TRIM(ETLMetadata!$H656)</f>
        <v>StringType()</v>
      </c>
      <c r="E656" s="7" t="str">
        <f t="shared" si="80"/>
        <v>CLK_DETM_DETIS_FDDS</v>
      </c>
      <c r="F656" s="7" t="str">
        <f t="shared" si="82"/>
        <v>FDDS_DOE_ORIG</v>
      </c>
      <c r="G656" s="7" t="s">
        <v>825</v>
      </c>
      <c r="H656" s="7" t="str">
        <f t="shared" si="83"/>
        <v>CLK_DETM_DETIS_FDDS</v>
      </c>
      <c r="I656" s="7" t="str">
        <f t="shared" si="84"/>
        <v>FDDS_DOE_ORIG</v>
      </c>
      <c r="J656" s="7" t="str">
        <f t="shared" si="85"/>
        <v>INTEGER</v>
      </c>
      <c r="K656" s="17" t="s">
        <v>90</v>
      </c>
      <c r="L656" s="7" t="str">
        <f>TRIM(ETLMetadata!$I656)</f>
        <v/>
      </c>
      <c r="M656" s="7" t="str">
        <f t="shared" si="86"/>
        <v>CAST(NULLIF(TRIM(FDDS_DOE_ORIG),'') AS INTEGER)</v>
      </c>
      <c r="N656" s="7" t="str">
        <f>TRIM(ETLMetadata!$J656)</f>
        <v/>
      </c>
      <c r="O656" s="8" t="str">
        <f>IF(TRIM(Classification!$G656)="","NOT CONFIDENTIAL",TRIM(Classification!$G656))</f>
        <v>NOT CONFIDENTIAL</v>
      </c>
      <c r="P656" s="7" t="str">
        <f t="shared" si="87"/>
        <v>Y</v>
      </c>
      <c r="Q656" s="7" t="s">
        <v>826</v>
      </c>
      <c r="R656" s="9">
        <v>2958465</v>
      </c>
      <c r="S656" s="7" t="s">
        <v>827</v>
      </c>
      <c r="T656" s="7" t="s">
        <v>828</v>
      </c>
      <c r="U656" s="7" t="str">
        <f t="shared" si="81"/>
        <v>CLK_DETM_DETIS_FDDS_V</v>
      </c>
      <c r="V656" s="7" t="s">
        <v>829</v>
      </c>
    </row>
    <row r="657" spans="1:22">
      <c r="A657" s="7" t="str">
        <f>TRIM(ETLMetadata!$B657)</f>
        <v>CLK</v>
      </c>
      <c r="B657" s="7" t="str">
        <f>TRIM(ETLMetadata!$C657)</f>
        <v>DETM_DETIS_FDDS</v>
      </c>
      <c r="C657" s="7" t="str">
        <f>TRIM(ETLMetadata!$F657)</f>
        <v>PROCESSING_SEQUENCE</v>
      </c>
      <c r="D657" s="7" t="str">
        <f>TRIM(ETLMetadata!$H657)</f>
        <v>StringType()</v>
      </c>
      <c r="E657" s="7" t="str">
        <f t="shared" si="80"/>
        <v>CLK_DETM_DETIS_FDDS</v>
      </c>
      <c r="F657" s="7" t="str">
        <f t="shared" si="82"/>
        <v>PROCESSING_SEQUENCE</v>
      </c>
      <c r="G657" s="7" t="s">
        <v>825</v>
      </c>
      <c r="H657" s="7" t="str">
        <f t="shared" si="83"/>
        <v>CLK_DETM_DETIS_FDDS</v>
      </c>
      <c r="I657" s="7" t="str">
        <f t="shared" si="84"/>
        <v>PROCESSING_SEQUENCE</v>
      </c>
      <c r="J657" s="7" t="str">
        <f t="shared" si="85"/>
        <v>SMALLINT</v>
      </c>
      <c r="K657" s="7" t="str">
        <f>TRIM(ETLMetadata!$G657)</f>
        <v>SMALLINT</v>
      </c>
      <c r="L657" s="7" t="str">
        <f>TRIM(ETLMetadata!$I657)</f>
        <v/>
      </c>
      <c r="M657" s="7" t="str">
        <f t="shared" si="86"/>
        <v>CAST(NULLIF(TRIM(PROCESSING_SEQUENCE),'') AS SMALLINT)</v>
      </c>
      <c r="N657" s="7" t="str">
        <f>TRIM(ETLMetadata!$J657)</f>
        <v>Y</v>
      </c>
      <c r="O657" s="8" t="str">
        <f>IF(TRIM(Classification!$G657)="","NOT CONFIDENTIAL",TRIM(Classification!$G657))</f>
        <v>NOT CONFIDENTIAL</v>
      </c>
      <c r="P657" s="7" t="str">
        <f t="shared" si="87"/>
        <v>Y</v>
      </c>
      <c r="Q657" s="7" t="s">
        <v>826</v>
      </c>
      <c r="R657" s="9">
        <v>2958465</v>
      </c>
      <c r="S657" s="7" t="s">
        <v>827</v>
      </c>
      <c r="T657" s="7" t="s">
        <v>828</v>
      </c>
      <c r="U657" s="7" t="str">
        <f t="shared" si="81"/>
        <v>CLK_DETM_DETIS_FDDS_V</v>
      </c>
      <c r="V657" s="7" t="s">
        <v>829</v>
      </c>
    </row>
    <row r="658" spans="1:22">
      <c r="A658" s="7" t="str">
        <f>TRIM(ETLMetadata!$B658)</f>
        <v>CLK</v>
      </c>
      <c r="B658" s="7" t="str">
        <f>TRIM(ETLMetadata!$C658)</f>
        <v>DETM_DETIS_FDDS</v>
      </c>
      <c r="C658" s="7" t="str">
        <f>TRIM(ETLMetadata!$F658)</f>
        <v>FDDS_AMR_1</v>
      </c>
      <c r="D658" s="7" t="str">
        <f>TRIM(ETLMetadata!$H658)</f>
        <v>StringType()</v>
      </c>
      <c r="E658" s="7" t="str">
        <f t="shared" si="80"/>
        <v>CLK_DETM_DETIS_FDDS</v>
      </c>
      <c r="F658" s="7" t="str">
        <f t="shared" si="82"/>
        <v>FDDS_AMR_1</v>
      </c>
      <c r="G658" s="7" t="s">
        <v>825</v>
      </c>
      <c r="H658" s="7" t="str">
        <f t="shared" si="83"/>
        <v>CLK_DETM_DETIS_FDDS</v>
      </c>
      <c r="I658" s="7" t="str">
        <f t="shared" si="84"/>
        <v>FDDS_AMR_1</v>
      </c>
      <c r="J658" s="7" t="str">
        <f t="shared" si="85"/>
        <v>VARCHAR</v>
      </c>
      <c r="K658" s="7" t="str">
        <f>TRIM(ETLMetadata!$G658)</f>
        <v>CHAR(4)</v>
      </c>
      <c r="L658" s="7" t="str">
        <f>TRIM(ETLMetadata!$I658)</f>
        <v/>
      </c>
      <c r="M658" s="7" t="str">
        <f t="shared" si="86"/>
        <v>NULLIF(TRIM(FDDS_AMR_1),'')</v>
      </c>
      <c r="N658" s="7" t="str">
        <f>TRIM(ETLMetadata!$J658)</f>
        <v/>
      </c>
      <c r="O658" s="8" t="str">
        <f>IF(TRIM(Classification!$G658)="","NOT CONFIDENTIAL",TRIM(Classification!$G658))</f>
        <v>NOT CONFIDENTIAL</v>
      </c>
      <c r="P658" s="7" t="str">
        <f t="shared" si="87"/>
        <v>Y</v>
      </c>
      <c r="Q658" s="7" t="s">
        <v>826</v>
      </c>
      <c r="R658" s="9">
        <v>2958465</v>
      </c>
      <c r="S658" s="7" t="s">
        <v>827</v>
      </c>
      <c r="T658" s="7" t="s">
        <v>828</v>
      </c>
      <c r="U658" s="7" t="str">
        <f t="shared" si="81"/>
        <v>CLK_DETM_DETIS_FDDS_V</v>
      </c>
      <c r="V658" s="7" t="s">
        <v>829</v>
      </c>
    </row>
    <row r="659" spans="1:22">
      <c r="A659" s="7" t="str">
        <f>TRIM(ETLMetadata!$B659)</f>
        <v>CLK</v>
      </c>
      <c r="B659" s="7" t="str">
        <f>TRIM(ETLMetadata!$C659)</f>
        <v>DETM_DETIS_FDDS</v>
      </c>
      <c r="C659" s="7" t="str">
        <f>TRIM(ETLMetadata!$F659)</f>
        <v>FDDS_AMR_2</v>
      </c>
      <c r="D659" s="7" t="str">
        <f>TRIM(ETLMetadata!$H659)</f>
        <v>StringType()</v>
      </c>
      <c r="E659" s="7" t="str">
        <f t="shared" si="80"/>
        <v>CLK_DETM_DETIS_FDDS</v>
      </c>
      <c r="F659" s="7" t="str">
        <f t="shared" si="82"/>
        <v>FDDS_AMR_2</v>
      </c>
      <c r="G659" s="7" t="s">
        <v>825</v>
      </c>
      <c r="H659" s="7" t="str">
        <f t="shared" si="83"/>
        <v>CLK_DETM_DETIS_FDDS</v>
      </c>
      <c r="I659" s="7" t="str">
        <f t="shared" si="84"/>
        <v>FDDS_AMR_2</v>
      </c>
      <c r="J659" s="7" t="str">
        <f t="shared" si="85"/>
        <v>VARCHAR</v>
      </c>
      <c r="K659" s="7" t="str">
        <f>TRIM(ETLMetadata!$G659)</f>
        <v>CHAR(1)</v>
      </c>
      <c r="L659" s="7" t="str">
        <f>TRIM(ETLMetadata!$I659)</f>
        <v/>
      </c>
      <c r="M659" s="7" t="str">
        <f t="shared" si="86"/>
        <v>NULLIF(TRIM(FDDS_AMR_2),'')</v>
      </c>
      <c r="N659" s="7" t="str">
        <f>TRIM(ETLMetadata!$J659)</f>
        <v/>
      </c>
      <c r="O659" s="8" t="str">
        <f>IF(TRIM(Classification!$G659)="","NOT CONFIDENTIAL",TRIM(Classification!$G659))</f>
        <v>NOT CONFIDENTIAL</v>
      </c>
      <c r="P659" s="7" t="str">
        <f t="shared" si="87"/>
        <v>Y</v>
      </c>
      <c r="Q659" s="7" t="s">
        <v>826</v>
      </c>
      <c r="R659" s="9">
        <v>2958465</v>
      </c>
      <c r="S659" s="7" t="s">
        <v>827</v>
      </c>
      <c r="T659" s="7" t="s">
        <v>828</v>
      </c>
      <c r="U659" s="7" t="str">
        <f t="shared" si="81"/>
        <v>CLK_DETM_DETIS_FDDS_V</v>
      </c>
      <c r="V659" s="7" t="s">
        <v>829</v>
      </c>
    </row>
    <row r="660" spans="1:22">
      <c r="A660" s="7" t="str">
        <f>TRIM(ETLMetadata!$B660)</f>
        <v>CLK</v>
      </c>
      <c r="B660" s="7" t="str">
        <f>TRIM(ETLMetadata!$C660)</f>
        <v>DETM_DETIS_FDDS</v>
      </c>
      <c r="C660" s="7" t="str">
        <f>TRIM(ETLMetadata!$F660)</f>
        <v>FDDS_AMR_3</v>
      </c>
      <c r="D660" s="7" t="str">
        <f>TRIM(ETLMetadata!$H660)</f>
        <v>StringType()</v>
      </c>
      <c r="E660" s="7" t="str">
        <f t="shared" si="80"/>
        <v>CLK_DETM_DETIS_FDDS</v>
      </c>
      <c r="F660" s="7" t="str">
        <f t="shared" si="82"/>
        <v>FDDS_AMR_3</v>
      </c>
      <c r="G660" s="7" t="s">
        <v>825</v>
      </c>
      <c r="H660" s="7" t="str">
        <f t="shared" si="83"/>
        <v>CLK_DETM_DETIS_FDDS</v>
      </c>
      <c r="I660" s="7" t="str">
        <f t="shared" si="84"/>
        <v>FDDS_AMR_3</v>
      </c>
      <c r="J660" s="7" t="str">
        <f t="shared" si="85"/>
        <v>VARCHAR</v>
      </c>
      <c r="K660" s="7" t="str">
        <f>TRIM(ETLMetadata!$G660)</f>
        <v>CHAR(4)</v>
      </c>
      <c r="L660" s="7" t="str">
        <f>TRIM(ETLMetadata!$I660)</f>
        <v/>
      </c>
      <c r="M660" s="7" t="str">
        <f t="shared" si="86"/>
        <v>NULLIF(TRIM(FDDS_AMR_3),'')</v>
      </c>
      <c r="N660" s="7" t="str">
        <f>TRIM(ETLMetadata!$J660)</f>
        <v/>
      </c>
      <c r="O660" s="8" t="str">
        <f>IF(TRIM(Classification!$G660)="","NOT CONFIDENTIAL",TRIM(Classification!$G660))</f>
        <v>NOT CONFIDENTIAL</v>
      </c>
      <c r="P660" s="7" t="str">
        <f t="shared" si="87"/>
        <v>Y</v>
      </c>
      <c r="Q660" s="7" t="s">
        <v>826</v>
      </c>
      <c r="R660" s="9">
        <v>2958465</v>
      </c>
      <c r="S660" s="7" t="s">
        <v>827</v>
      </c>
      <c r="T660" s="7" t="s">
        <v>828</v>
      </c>
      <c r="U660" s="7" t="str">
        <f t="shared" si="81"/>
        <v>CLK_DETM_DETIS_FDDS_V</v>
      </c>
      <c r="V660" s="7" t="s">
        <v>829</v>
      </c>
    </row>
    <row r="661" spans="1:22">
      <c r="A661" s="7" t="str">
        <f>TRIM(ETLMetadata!$B661)</f>
        <v>CLK</v>
      </c>
      <c r="B661" s="7" t="str">
        <f>TRIM(ETLMetadata!$C661)</f>
        <v>DETM_DETIS_FDDS</v>
      </c>
      <c r="C661" s="7" t="str">
        <f>TRIM(ETLMetadata!$F661)</f>
        <v>FDDS_BEN_TYPE_CODE</v>
      </c>
      <c r="D661" s="7" t="str">
        <f>TRIM(ETLMetadata!$H661)</f>
        <v>StringType()</v>
      </c>
      <c r="E661" s="7" t="str">
        <f t="shared" si="80"/>
        <v>CLK_DETM_DETIS_FDDS</v>
      </c>
      <c r="F661" s="7" t="str">
        <f t="shared" si="82"/>
        <v>FDDS_BEN_TYPE_CODE</v>
      </c>
      <c r="G661" s="7" t="s">
        <v>825</v>
      </c>
      <c r="H661" s="7" t="str">
        <f t="shared" si="83"/>
        <v>CLK_DETM_DETIS_FDDS</v>
      </c>
      <c r="I661" s="7" t="str">
        <f t="shared" si="84"/>
        <v>FDDS_BEN_TYPE_CODE</v>
      </c>
      <c r="J661" s="7" t="str">
        <f t="shared" si="85"/>
        <v>VARCHAR</v>
      </c>
      <c r="K661" s="7" t="str">
        <f>TRIM(ETLMetadata!$G661)</f>
        <v>CHAR(3)</v>
      </c>
      <c r="L661" s="7" t="str">
        <f>TRIM(ETLMetadata!$I661)</f>
        <v/>
      </c>
      <c r="M661" s="7" t="str">
        <f t="shared" si="86"/>
        <v>NULLIF(TRIM(FDDS_BEN_TYPE_CODE),'')</v>
      </c>
      <c r="N661" s="7" t="str">
        <f>TRIM(ETLMetadata!$J661)</f>
        <v/>
      </c>
      <c r="O661" s="8" t="str">
        <f>IF(TRIM(Classification!$G661)="","NOT CONFIDENTIAL",TRIM(Classification!$G661))</f>
        <v>NOT CONFIDENTIAL</v>
      </c>
      <c r="P661" s="7" t="str">
        <f t="shared" si="87"/>
        <v>Y</v>
      </c>
      <c r="Q661" s="7" t="s">
        <v>826</v>
      </c>
      <c r="R661" s="9">
        <v>2958465</v>
      </c>
      <c r="S661" s="7" t="s">
        <v>827</v>
      </c>
      <c r="T661" s="7" t="s">
        <v>828</v>
      </c>
      <c r="U661" s="7" t="str">
        <f t="shared" si="81"/>
        <v>CLK_DETM_DETIS_FDDS_V</v>
      </c>
      <c r="V661" s="7" t="s">
        <v>829</v>
      </c>
    </row>
    <row r="662" spans="1:22">
      <c r="A662" s="7" t="str">
        <f>TRIM(ETLMetadata!$B662)</f>
        <v>CLK</v>
      </c>
      <c r="B662" s="7" t="str">
        <f>TRIM(ETLMetadata!$C662)</f>
        <v>DETM_DETIS_FDDS</v>
      </c>
      <c r="C662" s="7" t="str">
        <f>TRIM(ETLMetadata!$F662)</f>
        <v>FDDS_STS_CODE</v>
      </c>
      <c r="D662" s="7" t="str">
        <f>TRIM(ETLMetadata!$H662)</f>
        <v>StringType()</v>
      </c>
      <c r="E662" s="7" t="str">
        <f t="shared" si="80"/>
        <v>CLK_DETM_DETIS_FDDS</v>
      </c>
      <c r="F662" s="7" t="str">
        <f t="shared" si="82"/>
        <v>FDDS_STS_CODE</v>
      </c>
      <c r="G662" s="7" t="s">
        <v>825</v>
      </c>
      <c r="H662" s="7" t="str">
        <f t="shared" si="83"/>
        <v>CLK_DETM_DETIS_FDDS</v>
      </c>
      <c r="I662" s="7" t="str">
        <f t="shared" si="84"/>
        <v>FDDS_STS_CODE</v>
      </c>
      <c r="J662" s="7" t="str">
        <f t="shared" si="85"/>
        <v>VARCHAR</v>
      </c>
      <c r="K662" s="7" t="str">
        <f>TRIM(ETLMetadata!$G662)</f>
        <v>CHAR(3)</v>
      </c>
      <c r="L662" s="7" t="str">
        <f>TRIM(ETLMetadata!$I662)</f>
        <v/>
      </c>
      <c r="M662" s="7" t="str">
        <f t="shared" si="86"/>
        <v>NULLIF(TRIM(FDDS_STS_CODE),'')</v>
      </c>
      <c r="N662" s="7" t="str">
        <f>TRIM(ETLMetadata!$J662)</f>
        <v/>
      </c>
      <c r="O662" s="8" t="str">
        <f>IF(TRIM(Classification!$G662)="","NOT CONFIDENTIAL",TRIM(Classification!$G662))</f>
        <v>NOT CONFIDENTIAL</v>
      </c>
      <c r="P662" s="7" t="str">
        <f t="shared" si="87"/>
        <v>Y</v>
      </c>
      <c r="Q662" s="7" t="s">
        <v>826</v>
      </c>
      <c r="R662" s="9">
        <v>2958465</v>
      </c>
      <c r="S662" s="7" t="s">
        <v>827</v>
      </c>
      <c r="T662" s="7" t="s">
        <v>828</v>
      </c>
      <c r="U662" s="7" t="str">
        <f t="shared" si="81"/>
        <v>CLK_DETM_DETIS_FDDS_V</v>
      </c>
      <c r="V662" s="7" t="s">
        <v>829</v>
      </c>
    </row>
    <row r="663" spans="1:22">
      <c r="A663" s="7" t="str">
        <f>TRIM(ETLMetadata!$B663)</f>
        <v>CLK</v>
      </c>
      <c r="B663" s="7" t="str">
        <f>TRIM(ETLMetadata!$C663)</f>
        <v>DETM_DETIS_FDDS</v>
      </c>
      <c r="C663" s="7" t="str">
        <f>TRIM(ETLMetadata!$F663)</f>
        <v>FDDS_RSN_CODE</v>
      </c>
      <c r="D663" s="7" t="str">
        <f>TRIM(ETLMetadata!$H663)</f>
        <v>StringType()</v>
      </c>
      <c r="E663" s="7" t="str">
        <f t="shared" si="80"/>
        <v>CLK_DETM_DETIS_FDDS</v>
      </c>
      <c r="F663" s="7" t="str">
        <f t="shared" si="82"/>
        <v>FDDS_RSN_CODE</v>
      </c>
      <c r="G663" s="7" t="s">
        <v>825</v>
      </c>
      <c r="H663" s="7" t="str">
        <f t="shared" si="83"/>
        <v>CLK_DETM_DETIS_FDDS</v>
      </c>
      <c r="I663" s="7" t="str">
        <f t="shared" si="84"/>
        <v>FDDS_RSN_CODE</v>
      </c>
      <c r="J663" s="7" t="str">
        <f t="shared" si="85"/>
        <v>VARCHAR</v>
      </c>
      <c r="K663" s="7" t="str">
        <f>TRIM(ETLMetadata!$G663)</f>
        <v>CHAR(3)</v>
      </c>
      <c r="L663" s="7" t="str">
        <f>TRIM(ETLMetadata!$I663)</f>
        <v/>
      </c>
      <c r="M663" s="7" t="str">
        <f t="shared" si="86"/>
        <v>NULLIF(TRIM(FDDS_RSN_CODE),'')</v>
      </c>
      <c r="N663" s="7" t="str">
        <f>TRIM(ETLMetadata!$J663)</f>
        <v/>
      </c>
      <c r="O663" s="8" t="str">
        <f>IF(TRIM(Classification!$G663)="","NOT CONFIDENTIAL",TRIM(Classification!$G663))</f>
        <v>NOT CONFIDENTIAL</v>
      </c>
      <c r="P663" s="7" t="str">
        <f t="shared" si="87"/>
        <v>Y</v>
      </c>
      <c r="Q663" s="7" t="s">
        <v>826</v>
      </c>
      <c r="R663" s="9">
        <v>2958465</v>
      </c>
      <c r="S663" s="7" t="s">
        <v>827</v>
      </c>
      <c r="T663" s="7" t="s">
        <v>828</v>
      </c>
      <c r="U663" s="7" t="str">
        <f t="shared" si="81"/>
        <v>CLK_DETM_DETIS_FDDS_V</v>
      </c>
      <c r="V663" s="7" t="s">
        <v>829</v>
      </c>
    </row>
    <row r="664" spans="1:22">
      <c r="A664" s="7" t="str">
        <f>TRIM(ETLMetadata!$B664)</f>
        <v>CLK</v>
      </c>
      <c r="B664" s="7" t="str">
        <f>TRIM(ETLMetadata!$C664)</f>
        <v>DETM_DETIS_FDDS</v>
      </c>
      <c r="C664" s="7" t="str">
        <f>TRIM(ETLMetadata!$F664)</f>
        <v>FDDS_UNIQ_ID</v>
      </c>
      <c r="D664" s="7" t="str">
        <f>TRIM(ETLMetadata!$H664)</f>
        <v>StringType()</v>
      </c>
      <c r="E664" s="7" t="str">
        <f t="shared" si="80"/>
        <v>CLK_DETM_DETIS_FDDS</v>
      </c>
      <c r="F664" s="7" t="str">
        <f t="shared" si="82"/>
        <v>FDDS_UNIQ_ID</v>
      </c>
      <c r="G664" s="7" t="s">
        <v>825</v>
      </c>
      <c r="H664" s="7" t="str">
        <f t="shared" si="83"/>
        <v>CLK_DETM_DETIS_FDDS</v>
      </c>
      <c r="I664" s="7" t="str">
        <f t="shared" si="84"/>
        <v>FDDS_UNIQ_ID</v>
      </c>
      <c r="J664" s="7" t="str">
        <f t="shared" si="85"/>
        <v>VARCHAR</v>
      </c>
      <c r="K664" s="7" t="str">
        <f>TRIM(ETLMetadata!$G664)</f>
        <v>VARCHAR(8)</v>
      </c>
      <c r="L664" s="7" t="str">
        <f>TRIM(ETLMetadata!$I664)</f>
        <v/>
      </c>
      <c r="M664" s="7" t="str">
        <f t="shared" si="86"/>
        <v>NULLIF(TRIM(FDDS_UNIQ_ID),'')</v>
      </c>
      <c r="N664" s="7" t="str">
        <f>TRIM(ETLMetadata!$J664)</f>
        <v/>
      </c>
      <c r="O664" s="8" t="str">
        <f>IF(TRIM(Classification!$G664)="","NOT CONFIDENTIAL",TRIM(Classification!$G664))</f>
        <v>NOT CONFIDENTIAL</v>
      </c>
      <c r="P664" s="7" t="str">
        <f t="shared" si="87"/>
        <v>Y</v>
      </c>
      <c r="Q664" s="7" t="s">
        <v>826</v>
      </c>
      <c r="R664" s="9">
        <v>2958465</v>
      </c>
      <c r="S664" s="7" t="s">
        <v>827</v>
      </c>
      <c r="T664" s="7" t="s">
        <v>828</v>
      </c>
      <c r="U664" s="7" t="str">
        <f t="shared" si="81"/>
        <v>CLK_DETM_DETIS_FDDS_V</v>
      </c>
      <c r="V664" s="7" t="s">
        <v>829</v>
      </c>
    </row>
    <row r="665" spans="1:22">
      <c r="A665" s="7" t="str">
        <f>TRIM(ETLMetadata!$B665)</f>
        <v>CLK</v>
      </c>
      <c r="B665" s="7" t="str">
        <f>TRIM(ETLMetadata!$C665)</f>
        <v>DETM_DETIS_FDDS</v>
      </c>
      <c r="C665" s="7" t="str">
        <f>TRIM(ETLMetadata!$F665)</f>
        <v>AMR1_RISL_DTS</v>
      </c>
      <c r="D665" s="7" t="str">
        <f>TRIM(ETLMetadata!$H665)</f>
        <v>StringType()</v>
      </c>
      <c r="E665" s="7" t="str">
        <f t="shared" si="80"/>
        <v>CLK_DETM_DETIS_FDDS</v>
      </c>
      <c r="F665" s="7" t="str">
        <f t="shared" si="82"/>
        <v>AMR1_RISL_DTS</v>
      </c>
      <c r="G665" s="7" t="s">
        <v>825</v>
      </c>
      <c r="H665" s="7" t="str">
        <f t="shared" si="83"/>
        <v>CLK_DETM_DETIS_FDDS</v>
      </c>
      <c r="I665" s="7" t="str">
        <f t="shared" si="84"/>
        <v>AMR1_RISL_DTS</v>
      </c>
      <c r="J665" s="7" t="str">
        <f t="shared" si="85"/>
        <v>TIMESTAMP</v>
      </c>
      <c r="K665" s="7" t="str">
        <f>TRIM(ETLMetadata!$G665)</f>
        <v>TIMESTAMP(6)</v>
      </c>
      <c r="L665" s="7" t="str">
        <f>TRIM(ETLMetadata!$I665)</f>
        <v>YYYY-MM-DDBHH:MI:SS.S(6)</v>
      </c>
      <c r="M665" s="7" t="str">
        <f t="shared" si="86"/>
        <v>TO_TIMESTAMP_NTZ(NULLIF(TRIM(AMR1_RISL_DTS),''),'YYYY-MM-DD HH24:MI:SS.FF6')</v>
      </c>
      <c r="N665" s="7" t="str">
        <f>TRIM(ETLMetadata!$J665)</f>
        <v/>
      </c>
      <c r="O665" s="8" t="str">
        <f>IF(TRIM(Classification!$G665)="","NOT CONFIDENTIAL",TRIM(Classification!$G665))</f>
        <v>NOT CONFIDENTIAL</v>
      </c>
      <c r="P665" s="7" t="str">
        <f t="shared" si="87"/>
        <v>Y</v>
      </c>
      <c r="Q665" s="7" t="s">
        <v>826</v>
      </c>
      <c r="R665" s="9">
        <v>2958465</v>
      </c>
      <c r="S665" s="7" t="s">
        <v>827</v>
      </c>
      <c r="T665" s="7" t="s">
        <v>828</v>
      </c>
      <c r="U665" s="7" t="str">
        <f t="shared" si="81"/>
        <v>CLK_DETM_DETIS_FDDS_V</v>
      </c>
      <c r="V665" s="7" t="s">
        <v>829</v>
      </c>
    </row>
    <row r="666" spans="1:22">
      <c r="A666" s="7" t="str">
        <f>TRIM(ETLMetadata!$B666)</f>
        <v>CLK</v>
      </c>
      <c r="B666" s="7" t="str">
        <f>TRIM(ETLMetadata!$C666)</f>
        <v>DETM_DETIS_FDDS</v>
      </c>
      <c r="C666" s="7" t="str">
        <f>TRIM(ETLMetadata!$F666)</f>
        <v>AMR3_RISL_DTS</v>
      </c>
      <c r="D666" s="7" t="str">
        <f>TRIM(ETLMetadata!$H666)</f>
        <v>StringType()</v>
      </c>
      <c r="E666" s="7" t="str">
        <f t="shared" si="80"/>
        <v>CLK_DETM_DETIS_FDDS</v>
      </c>
      <c r="F666" s="7" t="str">
        <f t="shared" si="82"/>
        <v>AMR3_RISL_DTS</v>
      </c>
      <c r="G666" s="7" t="s">
        <v>825</v>
      </c>
      <c r="H666" s="7" t="str">
        <f t="shared" si="83"/>
        <v>CLK_DETM_DETIS_FDDS</v>
      </c>
      <c r="I666" s="7" t="str">
        <f t="shared" si="84"/>
        <v>AMR3_RISL_DTS</v>
      </c>
      <c r="J666" s="7" t="str">
        <f t="shared" si="85"/>
        <v>TIMESTAMP</v>
      </c>
      <c r="K666" s="7" t="str">
        <f>TRIM(ETLMetadata!$G666)</f>
        <v>TIMESTAMP(6)</v>
      </c>
      <c r="L666" s="7" t="str">
        <f>TRIM(ETLMetadata!$I666)</f>
        <v>YYYY-MM-DDBHH:MI:SS.S(6)</v>
      </c>
      <c r="M666" s="7" t="str">
        <f t="shared" si="86"/>
        <v>TO_TIMESTAMP_NTZ(NULLIF(TRIM(AMR3_RISL_DTS),''),'YYYY-MM-DD HH24:MI:SS.FF6')</v>
      </c>
      <c r="N666" s="7" t="str">
        <f>TRIM(ETLMetadata!$J666)</f>
        <v/>
      </c>
      <c r="O666" s="8" t="str">
        <f>IF(TRIM(Classification!$G666)="","NOT CONFIDENTIAL",TRIM(Classification!$G666))</f>
        <v>NOT CONFIDENTIAL</v>
      </c>
      <c r="P666" s="7" t="str">
        <f t="shared" si="87"/>
        <v>Y</v>
      </c>
      <c r="Q666" s="7" t="s">
        <v>826</v>
      </c>
      <c r="R666" s="9">
        <v>2958465</v>
      </c>
      <c r="S666" s="7" t="s">
        <v>827</v>
      </c>
      <c r="T666" s="7" t="s">
        <v>828</v>
      </c>
      <c r="U666" s="7" t="str">
        <f t="shared" si="81"/>
        <v>CLK_DETM_DETIS_FDDS_V</v>
      </c>
      <c r="V666" s="7" t="s">
        <v>829</v>
      </c>
    </row>
    <row r="667" spans="1:22">
      <c r="A667" s="7" t="str">
        <f>TRIM(ETLMetadata!$B667)</f>
        <v>CLK</v>
      </c>
      <c r="B667" s="7" t="str">
        <f>TRIM(ETLMetadata!$C667)</f>
        <v>DETM_DETIS_FDDS</v>
      </c>
      <c r="C667" s="7" t="str">
        <f>TRIM(ETLMetadata!$F667)</f>
        <v>EPISODE_ID</v>
      </c>
      <c r="D667" s="7" t="str">
        <f>TRIM(ETLMetadata!$H667)</f>
        <v>StringType()</v>
      </c>
      <c r="E667" s="7" t="str">
        <f t="shared" si="80"/>
        <v>CLK_DETM_DETIS_FDDS</v>
      </c>
      <c r="F667" s="7" t="str">
        <f t="shared" si="82"/>
        <v>EPISODE_ID</v>
      </c>
      <c r="G667" s="7" t="s">
        <v>825</v>
      </c>
      <c r="H667" s="7" t="str">
        <f t="shared" si="83"/>
        <v>CLK_DETM_DETIS_FDDS</v>
      </c>
      <c r="I667" s="7" t="str">
        <f t="shared" si="84"/>
        <v>EPISODE_ID</v>
      </c>
      <c r="J667" s="7" t="str">
        <f t="shared" si="85"/>
        <v>INTEGER</v>
      </c>
      <c r="K667" s="7" t="str">
        <f>TRIM(ETLMetadata!$G667)</f>
        <v>INTEGER</v>
      </c>
      <c r="L667" s="7" t="str">
        <f>TRIM(ETLMetadata!$I667)</f>
        <v/>
      </c>
      <c r="M667" s="7" t="str">
        <f t="shared" si="86"/>
        <v>CAST(NULLIF(TRIM(EPISODE_ID),'') AS INTEGER)</v>
      </c>
      <c r="N667" s="7" t="str">
        <f>TRIM(ETLMetadata!$J667)</f>
        <v/>
      </c>
      <c r="O667" s="8" t="str">
        <f>IF(TRIM(Classification!$G667)="","NOT CONFIDENTIAL",TRIM(Classification!$G667))</f>
        <v>NOT CONFIDENTIAL</v>
      </c>
      <c r="P667" s="7" t="str">
        <f t="shared" si="87"/>
        <v>Y</v>
      </c>
      <c r="Q667" s="7" t="s">
        <v>826</v>
      </c>
      <c r="R667" s="9">
        <v>2958465</v>
      </c>
      <c r="S667" s="7" t="s">
        <v>827</v>
      </c>
      <c r="T667" s="7" t="s">
        <v>828</v>
      </c>
      <c r="U667" s="7" t="str">
        <f t="shared" si="81"/>
        <v>CLK_DETM_DETIS_FDDS_V</v>
      </c>
      <c r="V667" s="7" t="s">
        <v>829</v>
      </c>
    </row>
    <row r="668" spans="1:22">
      <c r="A668" s="7" t="str">
        <f>TRIM(ETLMetadata!$B668)</f>
        <v>CLK</v>
      </c>
      <c r="B668" s="7" t="str">
        <f>TRIM(ETLMetadata!$C668)</f>
        <v>DETM_DETIS_FDDS</v>
      </c>
      <c r="C668" s="7" t="str">
        <f>TRIM(ETLMetadata!$F668)</f>
        <v>PARTY_ROLE_ID</v>
      </c>
      <c r="D668" s="7" t="str">
        <f>TRIM(ETLMetadata!$H668)</f>
        <v>StringType()</v>
      </c>
      <c r="E668" s="7" t="str">
        <f t="shared" si="80"/>
        <v>CLK_DETM_DETIS_FDDS</v>
      </c>
      <c r="F668" s="7" t="str">
        <f t="shared" si="82"/>
        <v>PARTY_ROLE_ID</v>
      </c>
      <c r="G668" s="7" t="s">
        <v>825</v>
      </c>
      <c r="H668" s="7" t="str">
        <f t="shared" si="83"/>
        <v>CLK_DETM_DETIS_FDDS</v>
      </c>
      <c r="I668" s="7" t="str">
        <f t="shared" si="84"/>
        <v>PARTY_ROLE_ID</v>
      </c>
      <c r="J668" s="7" t="str">
        <f t="shared" si="85"/>
        <v>INTEGER</v>
      </c>
      <c r="K668" s="7" t="str">
        <f>TRIM(ETLMetadata!$G668)</f>
        <v>INTEGER</v>
      </c>
      <c r="L668" s="7" t="str">
        <f>TRIM(ETLMetadata!$I668)</f>
        <v/>
      </c>
      <c r="M668" s="7" t="str">
        <f t="shared" si="86"/>
        <v>CAST(NULLIF(TRIM(PARTY_ROLE_ID),'') AS INTEGER)</v>
      </c>
      <c r="N668" s="7" t="str">
        <f>TRIM(ETLMetadata!$J668)</f>
        <v/>
      </c>
      <c r="O668" s="8" t="str">
        <f>IF(TRIM(Classification!$G668)="","NOT CONFIDENTIAL",TRIM(Classification!$G668))</f>
        <v>NOT CONFIDENTIAL</v>
      </c>
      <c r="P668" s="7" t="str">
        <f t="shared" si="87"/>
        <v>Y</v>
      </c>
      <c r="Q668" s="7" t="s">
        <v>826</v>
      </c>
      <c r="R668" s="9">
        <v>2958465</v>
      </c>
      <c r="S668" s="7" t="s">
        <v>827</v>
      </c>
      <c r="T668" s="7" t="s">
        <v>828</v>
      </c>
      <c r="U668" s="7" t="str">
        <f t="shared" si="81"/>
        <v>CLK_DETM_DETIS_FDDS_V</v>
      </c>
      <c r="V668" s="7" t="s">
        <v>829</v>
      </c>
    </row>
    <row r="669" spans="1:22">
      <c r="A669" s="7" t="str">
        <f>TRIM(ETLMetadata!$B669)</f>
        <v>CLK</v>
      </c>
      <c r="B669" s="7" t="str">
        <f>TRIM(ETLMetadata!$C669)</f>
        <v>DETM_DETIS_FDDS</v>
      </c>
      <c r="C669" s="7" t="str">
        <f>TRIM(ETLMetadata!$F669)</f>
        <v>PAYMENT_TYPE_ID</v>
      </c>
      <c r="D669" s="7" t="str">
        <f>TRIM(ETLMetadata!$H669)</f>
        <v>StringType()</v>
      </c>
      <c r="E669" s="7" t="str">
        <f t="shared" si="80"/>
        <v>CLK_DETM_DETIS_FDDS</v>
      </c>
      <c r="F669" s="7" t="str">
        <f t="shared" si="82"/>
        <v>PAYMENT_TYPE_ID</v>
      </c>
      <c r="G669" s="7" t="s">
        <v>825</v>
      </c>
      <c r="H669" s="7" t="str">
        <f t="shared" si="83"/>
        <v>CLK_DETM_DETIS_FDDS</v>
      </c>
      <c r="I669" s="7" t="str">
        <f t="shared" si="84"/>
        <v>PAYMENT_TYPE_ID</v>
      </c>
      <c r="J669" s="7" t="str">
        <f t="shared" si="85"/>
        <v>INTEGER</v>
      </c>
      <c r="K669" s="7" t="str">
        <f>TRIM(ETLMetadata!$G669)</f>
        <v>INTEGER</v>
      </c>
      <c r="L669" s="7" t="str">
        <f>TRIM(ETLMetadata!$I669)</f>
        <v/>
      </c>
      <c r="M669" s="7" t="str">
        <f t="shared" si="86"/>
        <v>CAST(NULLIF(TRIM(PAYMENT_TYPE_ID),'') AS INTEGER)</v>
      </c>
      <c r="N669" s="7" t="str">
        <f>TRIM(ETLMetadata!$J669)</f>
        <v/>
      </c>
      <c r="O669" s="8" t="str">
        <f>IF(TRIM(Classification!$G669)="","NOT CONFIDENTIAL",TRIM(Classification!$G669))</f>
        <v>NOT CONFIDENTIAL</v>
      </c>
      <c r="P669" s="7" t="str">
        <f t="shared" si="87"/>
        <v>Y</v>
      </c>
      <c r="Q669" s="7" t="s">
        <v>826</v>
      </c>
      <c r="R669" s="9">
        <v>2958465</v>
      </c>
      <c r="S669" s="7" t="s">
        <v>827</v>
      </c>
      <c r="T669" s="7" t="s">
        <v>828</v>
      </c>
      <c r="U669" s="7" t="str">
        <f t="shared" si="81"/>
        <v>CLK_DETM_DETIS_FDDS_V</v>
      </c>
      <c r="V669" s="7" t="s">
        <v>829</v>
      </c>
    </row>
    <row r="670" spans="1:22">
      <c r="A670" s="7" t="str">
        <f>TRIM(ETLMetadata!$B670)</f>
        <v>CLK</v>
      </c>
      <c r="B670" s="7" t="str">
        <f>TRIM(ETLMetadata!$C670)</f>
        <v>DETM_DETIS_FDDS</v>
      </c>
      <c r="C670" s="7" t="str">
        <f>TRIM(ETLMetadata!$F670)</f>
        <v>ERROR_COUNT</v>
      </c>
      <c r="D670" s="7" t="str">
        <f>TRIM(ETLMetadata!$H670)</f>
        <v>StringType()</v>
      </c>
      <c r="E670" s="7" t="str">
        <f t="shared" si="80"/>
        <v>CLK_DETM_DETIS_FDDS</v>
      </c>
      <c r="F670" s="7" t="str">
        <f t="shared" si="82"/>
        <v>ERROR_COUNT</v>
      </c>
      <c r="G670" s="7" t="s">
        <v>825</v>
      </c>
      <c r="H670" s="7" t="str">
        <f t="shared" si="83"/>
        <v>CLK_DETM_DETIS_FDDS</v>
      </c>
      <c r="I670" s="7" t="str">
        <f t="shared" si="84"/>
        <v>ERROR_COUNT</v>
      </c>
      <c r="J670" s="7" t="str">
        <f t="shared" si="85"/>
        <v>SMALLINT</v>
      </c>
      <c r="K670" s="7" t="str">
        <f>TRIM(ETLMetadata!$G670)</f>
        <v>SMALLINT</v>
      </c>
      <c r="L670" s="7" t="str">
        <f>TRIM(ETLMetadata!$I670)</f>
        <v/>
      </c>
      <c r="M670" s="7" t="str">
        <f t="shared" si="86"/>
        <v>CAST(NULLIF(TRIM(ERROR_COUNT),'') AS SMALLINT)</v>
      </c>
      <c r="N670" s="7" t="str">
        <f>TRIM(ETLMetadata!$J670)</f>
        <v/>
      </c>
      <c r="O670" s="8" t="str">
        <f>IF(TRIM(Classification!$G670)="","NOT CONFIDENTIAL",TRIM(Classification!$G670))</f>
        <v>NOT CONFIDENTIAL</v>
      </c>
      <c r="P670" s="7" t="str">
        <f t="shared" si="87"/>
        <v>Y</v>
      </c>
      <c r="Q670" s="7" t="s">
        <v>826</v>
      </c>
      <c r="R670" s="9">
        <v>2958465</v>
      </c>
      <c r="S670" s="7" t="s">
        <v>827</v>
      </c>
      <c r="T670" s="7" t="s">
        <v>828</v>
      </c>
      <c r="U670" s="7" t="str">
        <f t="shared" si="81"/>
        <v>CLK_DETM_DETIS_FDDS_V</v>
      </c>
      <c r="V670" s="7" t="s">
        <v>829</v>
      </c>
    </row>
    <row r="671" spans="1:22">
      <c r="A671" s="7" t="str">
        <f>TRIM(ETLMetadata!$B671)</f>
        <v>CLK</v>
      </c>
      <c r="B671" s="7" t="str">
        <f>TRIM(ETLMetadata!$C671)</f>
        <v>DETM_DETIS_FDDS</v>
      </c>
      <c r="C671" s="7" t="str">
        <f>TRIM(ETLMetadata!$F671)</f>
        <v>Start_Date</v>
      </c>
      <c r="D671" s="7" t="str">
        <f>TRIM(ETLMetadata!$H671)</f>
        <v>StringType()</v>
      </c>
      <c r="E671" s="7" t="str">
        <f t="shared" ref="E671:E734" si="88">CONCATENATE($A671,"_",B671)</f>
        <v>CLK_DETM_DETIS_FDDS</v>
      </c>
      <c r="F671" s="7" t="str">
        <f t="shared" si="82"/>
        <v>STRT_DT</v>
      </c>
      <c r="G671" s="7" t="s">
        <v>825</v>
      </c>
      <c r="H671" s="7" t="str">
        <f t="shared" si="83"/>
        <v>CLK_DETM_DETIS_FDDS</v>
      </c>
      <c r="I671" s="7" t="str">
        <f t="shared" si="84"/>
        <v>STRT_DT</v>
      </c>
      <c r="J671" s="7" t="str">
        <f t="shared" si="85"/>
        <v>DATE</v>
      </c>
      <c r="K671" s="7" t="str">
        <f>TRIM(ETLMetadata!$G671)</f>
        <v>DATE</v>
      </c>
      <c r="L671" s="7" t="str">
        <f>TRIM(ETLMetadata!$I671)</f>
        <v>YYYY-MM-DD</v>
      </c>
      <c r="M671" s="7" t="str">
        <f t="shared" si="86"/>
        <v>TO_DATE(NULLIF(TRIM(STRT_DT),'') , 'YYYY-MM-DD')</v>
      </c>
      <c r="N671" s="7" t="str">
        <f>TRIM(ETLMetadata!$J671)</f>
        <v/>
      </c>
      <c r="O671" s="8" t="str">
        <f>IF(TRIM(Classification!$G671)="","NOT CONFIDENTIAL",TRIM(Classification!$G671))</f>
        <v>NOT CONFIDENTIAL</v>
      </c>
      <c r="P671" s="7" t="str">
        <f t="shared" si="87"/>
        <v>N</v>
      </c>
      <c r="Q671" s="7" t="s">
        <v>826</v>
      </c>
      <c r="R671" s="9">
        <v>2958465</v>
      </c>
      <c r="S671" s="7" t="s">
        <v>827</v>
      </c>
      <c r="T671" s="7" t="s">
        <v>828</v>
      </c>
      <c r="U671" s="7" t="str">
        <f t="shared" ref="U671:U734" si="89">CONCATENATE(A671,"_",B671,"_V")</f>
        <v>CLK_DETM_DETIS_FDDS_V</v>
      </c>
      <c r="V671" s="7" t="s">
        <v>829</v>
      </c>
    </row>
    <row r="672" spans="1:22">
      <c r="A672" s="7" t="str">
        <f>TRIM(ETLMetadata!$B672)</f>
        <v>CLK</v>
      </c>
      <c r="B672" s="7" t="str">
        <f>TRIM(ETLMetadata!$C672)</f>
        <v>DETM_DETIS_FDDS</v>
      </c>
      <c r="C672" s="7" t="str">
        <f>TRIM(ETLMetadata!$F672)</f>
        <v>End_Date</v>
      </c>
      <c r="D672" s="7" t="str">
        <f>TRIM(ETLMetadata!$H672)</f>
        <v>StringType()</v>
      </c>
      <c r="E672" s="7" t="str">
        <f t="shared" si="88"/>
        <v>CLK_DETM_DETIS_FDDS</v>
      </c>
      <c r="F672" s="7" t="str">
        <f t="shared" si="82"/>
        <v>END_DT</v>
      </c>
      <c r="G672" s="7" t="s">
        <v>825</v>
      </c>
      <c r="H672" s="7" t="str">
        <f t="shared" si="83"/>
        <v>CLK_DETM_DETIS_FDDS</v>
      </c>
      <c r="I672" s="7" t="str">
        <f t="shared" si="84"/>
        <v>END_DT</v>
      </c>
      <c r="J672" s="7" t="str">
        <f t="shared" si="85"/>
        <v>DATE</v>
      </c>
      <c r="K672" s="7" t="str">
        <f>TRIM(ETLMetadata!$G672)</f>
        <v>DATE</v>
      </c>
      <c r="L672" s="7" t="str">
        <f>TRIM(ETLMetadata!$I672)</f>
        <v>YYYY-MM-DD</v>
      </c>
      <c r="M672" s="7" t="str">
        <f t="shared" si="86"/>
        <v>TO_DATE(NULLIF(TRIM(END_DT),'') , 'YYYY-MM-DD')</v>
      </c>
      <c r="N672" s="7" t="str">
        <f>TRIM(ETLMetadata!$J672)</f>
        <v/>
      </c>
      <c r="O672" s="8" t="str">
        <f>IF(TRIM(Classification!$G672)="","NOT CONFIDENTIAL",TRIM(Classification!$G672))</f>
        <v>NOT CONFIDENTIAL</v>
      </c>
      <c r="P672" s="7" t="str">
        <f t="shared" si="87"/>
        <v>N</v>
      </c>
      <c r="Q672" s="7" t="s">
        <v>826</v>
      </c>
      <c r="R672" s="9">
        <v>2958465</v>
      </c>
      <c r="S672" s="7" t="s">
        <v>827</v>
      </c>
      <c r="T672" s="7" t="s">
        <v>828</v>
      </c>
      <c r="U672" s="7" t="str">
        <f t="shared" si="89"/>
        <v>CLK_DETM_DETIS_FDDS_V</v>
      </c>
      <c r="V672" s="7" t="s">
        <v>829</v>
      </c>
    </row>
    <row r="673" spans="1:22">
      <c r="A673" s="7" t="str">
        <f>TRIM(ETLMetadata!$B673)</f>
        <v>CLK</v>
      </c>
      <c r="B673" s="7" t="str">
        <f>TRIM(ETLMetadata!$C673)</f>
        <v>DETM_DETIS_FDDS</v>
      </c>
      <c r="C673" s="7" t="str">
        <f>TRIM(ETLMetadata!$F673)</f>
        <v>Record_Deleted_Flag</v>
      </c>
      <c r="D673" s="7" t="str">
        <f>TRIM(ETLMetadata!$H673)</f>
        <v>StringType()</v>
      </c>
      <c r="E673" s="7" t="str">
        <f t="shared" si="88"/>
        <v>CLK_DETM_DETIS_FDDS</v>
      </c>
      <c r="F673" s="7" t="str">
        <f t="shared" si="82"/>
        <v>RCRD_DEL_IND</v>
      </c>
      <c r="G673" s="7" t="s">
        <v>825</v>
      </c>
      <c r="H673" s="7" t="str">
        <f t="shared" si="83"/>
        <v>CLK_DETM_DETIS_FDDS</v>
      </c>
      <c r="I673" s="7" t="str">
        <f t="shared" si="84"/>
        <v>RCRD_DEL_IND</v>
      </c>
      <c r="J673" s="7" t="str">
        <f t="shared" si="85"/>
        <v>SMALLINT</v>
      </c>
      <c r="K673" s="7" t="str">
        <f>TRIM(ETLMetadata!$G673)</f>
        <v>BYTEINT</v>
      </c>
      <c r="L673" s="7" t="str">
        <f>TRIM(ETLMetadata!$I673)</f>
        <v/>
      </c>
      <c r="M673" s="7" t="str">
        <f t="shared" si="86"/>
        <v>CAST(NULLIF(TRIM(RCRD_DEL_IND),'') AS SMALLINT)</v>
      </c>
      <c r="N673" s="7" t="str">
        <f>TRIM(ETLMetadata!$J673)</f>
        <v/>
      </c>
      <c r="O673" s="8" t="str">
        <f>IF(TRIM(Classification!$G673)="","NOT CONFIDENTIAL",TRIM(Classification!$G673))</f>
        <v>NOT CONFIDENTIAL</v>
      </c>
      <c r="P673" s="7" t="str">
        <f t="shared" si="87"/>
        <v>N</v>
      </c>
      <c r="Q673" s="7" t="s">
        <v>826</v>
      </c>
      <c r="R673" s="9">
        <v>2958465</v>
      </c>
      <c r="S673" s="7" t="s">
        <v>827</v>
      </c>
      <c r="T673" s="7" t="s">
        <v>828</v>
      </c>
      <c r="U673" s="7" t="str">
        <f t="shared" si="89"/>
        <v>CLK_DETM_DETIS_FDDS_V</v>
      </c>
      <c r="V673" s="7" t="s">
        <v>829</v>
      </c>
    </row>
    <row r="674" spans="1:22">
      <c r="A674" s="7" t="str">
        <f>TRIM(ETLMetadata!$B674)</f>
        <v>CLK</v>
      </c>
      <c r="B674" s="7" t="str">
        <f>TRIM(ETLMetadata!$C674)</f>
        <v>DETM_DETIS_FFDS</v>
      </c>
      <c r="C674" s="7" t="str">
        <f>TRIM(ETLMetadata!$F674)</f>
        <v>EXTRACT_DATE</v>
      </c>
      <c r="D674" s="7" t="str">
        <f>TRIM(ETLMetadata!$H674)</f>
        <v>StringType()</v>
      </c>
      <c r="E674" s="7" t="str">
        <f t="shared" si="88"/>
        <v>CLK_DETM_DETIS_FFDS</v>
      </c>
      <c r="F674" s="7" t="str">
        <f t="shared" si="82"/>
        <v>EXTRACT_DATE</v>
      </c>
      <c r="G674" s="7" t="s">
        <v>825</v>
      </c>
      <c r="H674" s="7" t="str">
        <f t="shared" si="83"/>
        <v>CLK_DETM_DETIS_FFDS</v>
      </c>
      <c r="I674" s="7" t="str">
        <f t="shared" si="84"/>
        <v>EXTRACT_DATE</v>
      </c>
      <c r="J674" s="7" t="str">
        <f t="shared" si="85"/>
        <v>DATE</v>
      </c>
      <c r="K674" s="7" t="str">
        <f>TRIM(ETLMetadata!$G674)</f>
        <v>DATE</v>
      </c>
      <c r="L674" s="7" t="str">
        <f>TRIM(ETLMetadata!$I674)</f>
        <v>YYYY-MM-DD</v>
      </c>
      <c r="M674" s="7" t="str">
        <f t="shared" si="86"/>
        <v>TO_DATE(NULLIF(TRIM(EXTRACT_DATE),'') , 'YYYY-MM-DD')</v>
      </c>
      <c r="N674" s="7" t="str">
        <f>TRIM(ETLMetadata!$J674)</f>
        <v/>
      </c>
      <c r="O674" s="8" t="str">
        <f>IF(TRIM(Classification!$G674)="","NOT CONFIDENTIAL",TRIM(Classification!$G674))</f>
        <v>NOT CONFIDENTIAL</v>
      </c>
      <c r="P674" s="7" t="str">
        <f t="shared" si="87"/>
        <v>Y</v>
      </c>
      <c r="Q674" s="7" t="s">
        <v>826</v>
      </c>
      <c r="R674" s="9">
        <v>2958465</v>
      </c>
      <c r="S674" s="7" t="s">
        <v>827</v>
      </c>
      <c r="T674" s="7" t="s">
        <v>828</v>
      </c>
      <c r="U674" s="7" t="str">
        <f t="shared" si="89"/>
        <v>CLK_DETM_DETIS_FFDS_V</v>
      </c>
      <c r="V674" s="7" t="s">
        <v>829</v>
      </c>
    </row>
    <row r="675" spans="1:22">
      <c r="A675" s="7" t="str">
        <f>TRIM(ETLMetadata!$B675)</f>
        <v>CLK</v>
      </c>
      <c r="B675" s="7" t="str">
        <f>TRIM(ETLMetadata!$C675)</f>
        <v>DETM_DETIS_FFDS</v>
      </c>
      <c r="C675" s="7" t="str">
        <f>TRIM(ETLMetadata!$F675)</f>
        <v>LOGICAL_DELETE_DATE</v>
      </c>
      <c r="D675" s="7" t="str">
        <f>TRIM(ETLMetadata!$H675)</f>
        <v>StringType()</v>
      </c>
      <c r="E675" s="7" t="str">
        <f t="shared" si="88"/>
        <v>CLK_DETM_DETIS_FFDS</v>
      </c>
      <c r="F675" s="7" t="str">
        <f t="shared" si="82"/>
        <v>LOGICAL_DELETE_DATE</v>
      </c>
      <c r="G675" s="7" t="s">
        <v>825</v>
      </c>
      <c r="H675" s="7" t="str">
        <f t="shared" si="83"/>
        <v>CLK_DETM_DETIS_FFDS</v>
      </c>
      <c r="I675" s="7" t="str">
        <f t="shared" si="84"/>
        <v>LOGICAL_DELETE_DATE</v>
      </c>
      <c r="J675" s="7" t="str">
        <f t="shared" si="85"/>
        <v>DATE</v>
      </c>
      <c r="K675" s="7" t="str">
        <f>TRIM(ETLMetadata!$G675)</f>
        <v>DATE</v>
      </c>
      <c r="L675" s="7" t="str">
        <f>TRIM(ETLMetadata!$I675)</f>
        <v>YYYY-MM-DD</v>
      </c>
      <c r="M675" s="7" t="str">
        <f t="shared" si="86"/>
        <v>TO_DATE(NULLIF(TRIM(LOGICAL_DELETE_DATE),'') , 'YYYY-MM-DD')</v>
      </c>
      <c r="N675" s="7" t="str">
        <f>TRIM(ETLMetadata!$J675)</f>
        <v/>
      </c>
      <c r="O675" s="8" t="str">
        <f>IF(TRIM(Classification!$G675)="","NOT CONFIDENTIAL",TRIM(Classification!$G675))</f>
        <v>NOT CONFIDENTIAL</v>
      </c>
      <c r="P675" s="7" t="str">
        <f t="shared" si="87"/>
        <v>Y</v>
      </c>
      <c r="Q675" s="7" t="s">
        <v>826</v>
      </c>
      <c r="R675" s="9">
        <v>2958465</v>
      </c>
      <c r="S675" s="7" t="s">
        <v>827</v>
      </c>
      <c r="T675" s="7" t="s">
        <v>828</v>
      </c>
      <c r="U675" s="7" t="str">
        <f t="shared" si="89"/>
        <v>CLK_DETM_DETIS_FFDS_V</v>
      </c>
      <c r="V675" s="7" t="s">
        <v>829</v>
      </c>
    </row>
    <row r="676" spans="1:22">
      <c r="A676" s="7" t="str">
        <f>TRIM(ETLMetadata!$B676)</f>
        <v>CLK</v>
      </c>
      <c r="B676" s="7" t="str">
        <f>TRIM(ETLMetadata!$C676)</f>
        <v>DETM_DETIS_FFDS</v>
      </c>
      <c r="C676" s="7" t="str">
        <f>TRIM(ETLMetadata!$F676)</f>
        <v>ENVIRONMENT_ID</v>
      </c>
      <c r="D676" s="7" t="str">
        <f>TRIM(ETLMetadata!$H676)</f>
        <v>StringType()</v>
      </c>
      <c r="E676" s="7" t="str">
        <f t="shared" si="88"/>
        <v>CLK_DETM_DETIS_FFDS</v>
      </c>
      <c r="F676" s="7" t="str">
        <f t="shared" si="82"/>
        <v>ENVIRONMENT_ID</v>
      </c>
      <c r="G676" s="7" t="s">
        <v>825</v>
      </c>
      <c r="H676" s="7" t="str">
        <f t="shared" si="83"/>
        <v>CLK_DETM_DETIS_FFDS</v>
      </c>
      <c r="I676" s="7" t="str">
        <f t="shared" si="84"/>
        <v>ENVIRONMENT_ID</v>
      </c>
      <c r="J676" s="7" t="str">
        <f t="shared" si="85"/>
        <v>VARCHAR</v>
      </c>
      <c r="K676" s="7" t="str">
        <f>TRIM(ETLMetadata!$G676)</f>
        <v>CHAR(1)</v>
      </c>
      <c r="L676" s="7" t="str">
        <f>TRIM(ETLMetadata!$I676)</f>
        <v/>
      </c>
      <c r="M676" s="7" t="str">
        <f t="shared" si="86"/>
        <v>NULLIF(TRIM(ENVIRONMENT_ID),'')</v>
      </c>
      <c r="N676" s="7" t="str">
        <f>TRIM(ETLMetadata!$J676)</f>
        <v>Y</v>
      </c>
      <c r="O676" s="8" t="str">
        <f>IF(TRIM(Classification!$G676)="","NOT CONFIDENTIAL",TRIM(Classification!$G676))</f>
        <v>NOT CONFIDENTIAL</v>
      </c>
      <c r="P676" s="7" t="str">
        <f t="shared" si="87"/>
        <v>Y</v>
      </c>
      <c r="Q676" s="7" t="s">
        <v>826</v>
      </c>
      <c r="R676" s="9">
        <v>2958465</v>
      </c>
      <c r="S676" s="7" t="s">
        <v>827</v>
      </c>
      <c r="T676" s="7" t="s">
        <v>828</v>
      </c>
      <c r="U676" s="7" t="str">
        <f t="shared" si="89"/>
        <v>CLK_DETM_DETIS_FFDS_V</v>
      </c>
      <c r="V676" s="7" t="s">
        <v>829</v>
      </c>
    </row>
    <row r="677" spans="1:22">
      <c r="A677" s="7" t="str">
        <f>TRIM(ETLMetadata!$B677)</f>
        <v>CLK</v>
      </c>
      <c r="B677" s="7" t="str">
        <f>TRIM(ETLMetadata!$C677)</f>
        <v>DETM_DETIS_FFDS</v>
      </c>
      <c r="C677" s="7" t="str">
        <f>TRIM(ETLMetadata!$F677)</f>
        <v>PERSON_ID</v>
      </c>
      <c r="D677" s="7" t="str">
        <f>TRIM(ETLMetadata!$H677)</f>
        <v>StringType()</v>
      </c>
      <c r="E677" s="7" t="str">
        <f t="shared" si="88"/>
        <v>CLK_DETM_DETIS_FFDS</v>
      </c>
      <c r="F677" s="7" t="str">
        <f t="shared" si="82"/>
        <v>PERSON_ID</v>
      </c>
      <c r="G677" s="7" t="s">
        <v>825</v>
      </c>
      <c r="H677" s="7" t="str">
        <f t="shared" si="83"/>
        <v>CLK_DETM_DETIS_FFDS</v>
      </c>
      <c r="I677" s="7" t="str">
        <f t="shared" si="84"/>
        <v>PERSON_ID</v>
      </c>
      <c r="J677" s="7" t="str">
        <f t="shared" si="85"/>
        <v>INTEGER</v>
      </c>
      <c r="K677" s="7" t="str">
        <f>TRIM(ETLMetadata!$G677)</f>
        <v>INTEGER</v>
      </c>
      <c r="L677" s="7" t="str">
        <f>TRIM(ETLMetadata!$I677)</f>
        <v/>
      </c>
      <c r="M677" s="7" t="str">
        <f t="shared" si="86"/>
        <v>CAST(NULLIF(TRIM(PERSON_ID),'') AS INTEGER)</v>
      </c>
      <c r="N677" s="7" t="str">
        <f>TRIM(ETLMetadata!$J677)</f>
        <v>Y</v>
      </c>
      <c r="O677" s="8" t="str">
        <f>IF(TRIM(Classification!$G677)="","NOT CONFIDENTIAL",TRIM(Classification!$G677))</f>
        <v>PERSONAL_IDENTITYINFOINDIRECT</v>
      </c>
      <c r="P677" s="7" t="str">
        <f t="shared" si="87"/>
        <v>Y</v>
      </c>
      <c r="Q677" s="7" t="s">
        <v>826</v>
      </c>
      <c r="R677" s="9">
        <v>2958465</v>
      </c>
      <c r="S677" s="7" t="s">
        <v>827</v>
      </c>
      <c r="T677" s="7" t="s">
        <v>828</v>
      </c>
      <c r="U677" s="7" t="str">
        <f t="shared" si="89"/>
        <v>CLK_DETM_DETIS_FFDS_V</v>
      </c>
      <c r="V677" s="7" t="s">
        <v>829</v>
      </c>
    </row>
    <row r="678" spans="1:22">
      <c r="A678" s="7" t="str">
        <f>TRIM(ETLMetadata!$B678)</f>
        <v>CLK</v>
      </c>
      <c r="B678" s="7" t="str">
        <f>TRIM(ETLMetadata!$C678)</f>
        <v>DETM_DETIS_FFDS</v>
      </c>
      <c r="C678" s="7" t="str">
        <f>TRIM(ETLMetadata!$F678)</f>
        <v>FFDS_DOE</v>
      </c>
      <c r="D678" s="7" t="str">
        <f>TRIM(ETLMetadata!$H678)</f>
        <v>StringType()</v>
      </c>
      <c r="E678" s="7" t="str">
        <f t="shared" si="88"/>
        <v>CLK_DETM_DETIS_FFDS</v>
      </c>
      <c r="F678" s="7" t="str">
        <f t="shared" si="82"/>
        <v>FFDS_DOE</v>
      </c>
      <c r="G678" s="7" t="s">
        <v>825</v>
      </c>
      <c r="H678" s="7" t="str">
        <f t="shared" si="83"/>
        <v>CLK_DETM_DETIS_FFDS</v>
      </c>
      <c r="I678" s="7" t="str">
        <f t="shared" si="84"/>
        <v>FFDS_DOE</v>
      </c>
      <c r="J678" s="7" t="str">
        <f t="shared" si="85"/>
        <v>DATE</v>
      </c>
      <c r="K678" s="17" t="s">
        <v>80</v>
      </c>
      <c r="L678" s="7" t="str">
        <f>TRIM(ETLMetadata!$I678)</f>
        <v>YYYY-MM-DD</v>
      </c>
      <c r="M678" s="7" t="str">
        <f t="shared" si="86"/>
        <v>TO_DATE(NULLIF(TRIM(FFDS_DOE),'') , 'YYYY-MM-DD')</v>
      </c>
      <c r="N678" s="7" t="str">
        <f>TRIM(ETLMetadata!$J678)</f>
        <v/>
      </c>
      <c r="O678" s="8" t="str">
        <f>IF(TRIM(Classification!$G678)="","NOT CONFIDENTIAL",TRIM(Classification!$G678))</f>
        <v>NOT CONFIDENTIAL</v>
      </c>
      <c r="P678" s="7" t="str">
        <f t="shared" si="87"/>
        <v>Y</v>
      </c>
      <c r="Q678" s="7" t="s">
        <v>826</v>
      </c>
      <c r="R678" s="9">
        <v>2958465</v>
      </c>
      <c r="S678" s="7" t="s">
        <v>827</v>
      </c>
      <c r="T678" s="7" t="s">
        <v>828</v>
      </c>
      <c r="U678" s="7" t="str">
        <f t="shared" si="89"/>
        <v>CLK_DETM_DETIS_FFDS_V</v>
      </c>
      <c r="V678" s="7" t="s">
        <v>829</v>
      </c>
    </row>
    <row r="679" spans="1:22">
      <c r="A679" s="7" t="str">
        <f>TRIM(ETLMetadata!$B679)</f>
        <v>CLK</v>
      </c>
      <c r="B679" s="7" t="str">
        <f>TRIM(ETLMetadata!$C679)</f>
        <v>DETM_DETIS_FFDS</v>
      </c>
      <c r="C679" s="7" t="str">
        <f>TRIM(ETLMetadata!$F679)</f>
        <v>FFDS_DOE_ORIG</v>
      </c>
      <c r="D679" s="7" t="str">
        <f>TRIM(ETLMetadata!$H679)</f>
        <v>StringType()</v>
      </c>
      <c r="E679" s="7" t="str">
        <f t="shared" si="88"/>
        <v>CLK_DETM_DETIS_FFDS</v>
      </c>
      <c r="F679" s="7" t="str">
        <f t="shared" si="82"/>
        <v>FFDS_DOE_ORIG</v>
      </c>
      <c r="G679" s="7" t="s">
        <v>825</v>
      </c>
      <c r="H679" s="7" t="str">
        <f t="shared" si="83"/>
        <v>CLK_DETM_DETIS_FFDS</v>
      </c>
      <c r="I679" s="7" t="str">
        <f t="shared" si="84"/>
        <v>FFDS_DOE_ORIG</v>
      </c>
      <c r="J679" s="7" t="str">
        <f t="shared" si="85"/>
        <v>INTEGER</v>
      </c>
      <c r="K679" s="17" t="s">
        <v>90</v>
      </c>
      <c r="L679" s="7" t="str">
        <f>TRIM(ETLMetadata!$I679)</f>
        <v/>
      </c>
      <c r="M679" s="7" t="str">
        <f t="shared" si="86"/>
        <v>CAST(NULLIF(TRIM(FFDS_DOE_ORIG),'') AS INTEGER)</v>
      </c>
      <c r="N679" s="7" t="str">
        <f>TRIM(ETLMetadata!$J679)</f>
        <v/>
      </c>
      <c r="O679" s="8" t="str">
        <f>IF(TRIM(Classification!$G679)="","NOT CONFIDENTIAL",TRIM(Classification!$G679))</f>
        <v>NOT CONFIDENTIAL</v>
      </c>
      <c r="P679" s="7" t="str">
        <f t="shared" si="87"/>
        <v>Y</v>
      </c>
      <c r="Q679" s="7" t="s">
        <v>826</v>
      </c>
      <c r="R679" s="9">
        <v>2958465</v>
      </c>
      <c r="S679" s="7" t="s">
        <v>827</v>
      </c>
      <c r="T679" s="7" t="s">
        <v>828</v>
      </c>
      <c r="U679" s="7" t="str">
        <f t="shared" si="89"/>
        <v>CLK_DETM_DETIS_FFDS_V</v>
      </c>
      <c r="V679" s="7" t="s">
        <v>829</v>
      </c>
    </row>
    <row r="680" spans="1:22">
      <c r="A680" s="7" t="str">
        <f>TRIM(ETLMetadata!$B680)</f>
        <v>CLK</v>
      </c>
      <c r="B680" s="7" t="str">
        <f>TRIM(ETLMetadata!$C680)</f>
        <v>DETM_DETIS_FFDS</v>
      </c>
      <c r="C680" s="7" t="str">
        <f>TRIM(ETLMetadata!$F680)</f>
        <v>PROCESSING_SEQUENCE</v>
      </c>
      <c r="D680" s="7" t="str">
        <f>TRIM(ETLMetadata!$H680)</f>
        <v>StringType()</v>
      </c>
      <c r="E680" s="7" t="str">
        <f t="shared" si="88"/>
        <v>CLK_DETM_DETIS_FFDS</v>
      </c>
      <c r="F680" s="7" t="str">
        <f t="shared" si="82"/>
        <v>PROCESSING_SEQUENCE</v>
      </c>
      <c r="G680" s="7" t="s">
        <v>825</v>
      </c>
      <c r="H680" s="7" t="str">
        <f t="shared" si="83"/>
        <v>CLK_DETM_DETIS_FFDS</v>
      </c>
      <c r="I680" s="7" t="str">
        <f t="shared" si="84"/>
        <v>PROCESSING_SEQUENCE</v>
      </c>
      <c r="J680" s="7" t="str">
        <f t="shared" si="85"/>
        <v>SMALLINT</v>
      </c>
      <c r="K680" s="7" t="str">
        <f>TRIM(ETLMetadata!$G680)</f>
        <v>SMALLINT</v>
      </c>
      <c r="L680" s="7" t="str">
        <f>TRIM(ETLMetadata!$I680)</f>
        <v/>
      </c>
      <c r="M680" s="7" t="str">
        <f t="shared" si="86"/>
        <v>CAST(NULLIF(TRIM(PROCESSING_SEQUENCE),'') AS SMALLINT)</v>
      </c>
      <c r="N680" s="7" t="str">
        <f>TRIM(ETLMetadata!$J680)</f>
        <v>Y</v>
      </c>
      <c r="O680" s="8" t="str">
        <f>IF(TRIM(Classification!$G680)="","NOT CONFIDENTIAL",TRIM(Classification!$G680))</f>
        <v>NOT CONFIDENTIAL</v>
      </c>
      <c r="P680" s="7" t="str">
        <f t="shared" si="87"/>
        <v>Y</v>
      </c>
      <c r="Q680" s="7" t="s">
        <v>826</v>
      </c>
      <c r="R680" s="9">
        <v>2958465</v>
      </c>
      <c r="S680" s="7" t="s">
        <v>827</v>
      </c>
      <c r="T680" s="7" t="s">
        <v>828</v>
      </c>
      <c r="U680" s="7" t="str">
        <f t="shared" si="89"/>
        <v>CLK_DETM_DETIS_FFDS_V</v>
      </c>
      <c r="V680" s="7" t="s">
        <v>829</v>
      </c>
    </row>
    <row r="681" spans="1:22">
      <c r="A681" s="7" t="str">
        <f>TRIM(ETLMetadata!$B681)</f>
        <v>CLK</v>
      </c>
      <c r="B681" s="7" t="str">
        <f>TRIM(ETLMetadata!$C681)</f>
        <v>DETM_DETIS_FFDS</v>
      </c>
      <c r="C681" s="7" t="str">
        <f>TRIM(ETLMetadata!$F681)</f>
        <v>FFDS_AMR_1</v>
      </c>
      <c r="D681" s="7" t="str">
        <f>TRIM(ETLMetadata!$H681)</f>
        <v>StringType()</v>
      </c>
      <c r="E681" s="7" t="str">
        <f t="shared" si="88"/>
        <v>CLK_DETM_DETIS_FFDS</v>
      </c>
      <c r="F681" s="7" t="str">
        <f t="shared" si="82"/>
        <v>FFDS_AMR_1</v>
      </c>
      <c r="G681" s="7" t="s">
        <v>825</v>
      </c>
      <c r="H681" s="7" t="str">
        <f t="shared" si="83"/>
        <v>CLK_DETM_DETIS_FFDS</v>
      </c>
      <c r="I681" s="7" t="str">
        <f t="shared" si="84"/>
        <v>FFDS_AMR_1</v>
      </c>
      <c r="J681" s="7" t="str">
        <f t="shared" si="85"/>
        <v>VARCHAR</v>
      </c>
      <c r="K681" s="7" t="str">
        <f>TRIM(ETLMetadata!$G681)</f>
        <v>CHAR(4)</v>
      </c>
      <c r="L681" s="7" t="str">
        <f>TRIM(ETLMetadata!$I681)</f>
        <v/>
      </c>
      <c r="M681" s="7" t="str">
        <f t="shared" si="86"/>
        <v>NULLIF(TRIM(FFDS_AMR_1),'')</v>
      </c>
      <c r="N681" s="7" t="str">
        <f>TRIM(ETLMetadata!$J681)</f>
        <v/>
      </c>
      <c r="O681" s="8" t="str">
        <f>IF(TRIM(Classification!$G681)="","NOT CONFIDENTIAL",TRIM(Classification!$G681))</f>
        <v>NOT CONFIDENTIAL</v>
      </c>
      <c r="P681" s="7" t="str">
        <f t="shared" si="87"/>
        <v>Y</v>
      </c>
      <c r="Q681" s="7" t="s">
        <v>826</v>
      </c>
      <c r="R681" s="9">
        <v>2958465</v>
      </c>
      <c r="S681" s="7" t="s">
        <v>827</v>
      </c>
      <c r="T681" s="7" t="s">
        <v>828</v>
      </c>
      <c r="U681" s="7" t="str">
        <f t="shared" si="89"/>
        <v>CLK_DETM_DETIS_FFDS_V</v>
      </c>
      <c r="V681" s="7" t="s">
        <v>829</v>
      </c>
    </row>
    <row r="682" spans="1:22">
      <c r="A682" s="7" t="str">
        <f>TRIM(ETLMetadata!$B682)</f>
        <v>CLK</v>
      </c>
      <c r="B682" s="7" t="str">
        <f>TRIM(ETLMetadata!$C682)</f>
        <v>DETM_DETIS_FFDS</v>
      </c>
      <c r="C682" s="7" t="str">
        <f>TRIM(ETLMetadata!$F682)</f>
        <v>FFDS_AMR_2</v>
      </c>
      <c r="D682" s="7" t="str">
        <f>TRIM(ETLMetadata!$H682)</f>
        <v>StringType()</v>
      </c>
      <c r="E682" s="7" t="str">
        <f t="shared" si="88"/>
        <v>CLK_DETM_DETIS_FFDS</v>
      </c>
      <c r="F682" s="7" t="str">
        <f t="shared" si="82"/>
        <v>FFDS_AMR_2</v>
      </c>
      <c r="G682" s="7" t="s">
        <v>825</v>
      </c>
      <c r="H682" s="7" t="str">
        <f t="shared" si="83"/>
        <v>CLK_DETM_DETIS_FFDS</v>
      </c>
      <c r="I682" s="7" t="str">
        <f t="shared" si="84"/>
        <v>FFDS_AMR_2</v>
      </c>
      <c r="J682" s="7" t="str">
        <f t="shared" si="85"/>
        <v>VARCHAR</v>
      </c>
      <c r="K682" s="7" t="str">
        <f>TRIM(ETLMetadata!$G682)</f>
        <v>CHAR(1)</v>
      </c>
      <c r="L682" s="7" t="str">
        <f>TRIM(ETLMetadata!$I682)</f>
        <v/>
      </c>
      <c r="M682" s="7" t="str">
        <f t="shared" si="86"/>
        <v>NULLIF(TRIM(FFDS_AMR_2),'')</v>
      </c>
      <c r="N682" s="7" t="str">
        <f>TRIM(ETLMetadata!$J682)</f>
        <v/>
      </c>
      <c r="O682" s="8" t="str">
        <f>IF(TRIM(Classification!$G682)="","NOT CONFIDENTIAL",TRIM(Classification!$G682))</f>
        <v>NOT CONFIDENTIAL</v>
      </c>
      <c r="P682" s="7" t="str">
        <f t="shared" si="87"/>
        <v>Y</v>
      </c>
      <c r="Q682" s="7" t="s">
        <v>826</v>
      </c>
      <c r="R682" s="9">
        <v>2958465</v>
      </c>
      <c r="S682" s="7" t="s">
        <v>827</v>
      </c>
      <c r="T682" s="7" t="s">
        <v>828</v>
      </c>
      <c r="U682" s="7" t="str">
        <f t="shared" si="89"/>
        <v>CLK_DETM_DETIS_FFDS_V</v>
      </c>
      <c r="V682" s="7" t="s">
        <v>829</v>
      </c>
    </row>
    <row r="683" spans="1:22">
      <c r="A683" s="7" t="str">
        <f>TRIM(ETLMetadata!$B683)</f>
        <v>CLK</v>
      </c>
      <c r="B683" s="7" t="str">
        <f>TRIM(ETLMetadata!$C683)</f>
        <v>DETM_DETIS_FFDS</v>
      </c>
      <c r="C683" s="7" t="str">
        <f>TRIM(ETLMetadata!$F683)</f>
        <v>FFDS_AMR_3</v>
      </c>
      <c r="D683" s="7" t="str">
        <f>TRIM(ETLMetadata!$H683)</f>
        <v>StringType()</v>
      </c>
      <c r="E683" s="7" t="str">
        <f t="shared" si="88"/>
        <v>CLK_DETM_DETIS_FFDS</v>
      </c>
      <c r="F683" s="7" t="str">
        <f t="shared" si="82"/>
        <v>FFDS_AMR_3</v>
      </c>
      <c r="G683" s="7" t="s">
        <v>825</v>
      </c>
      <c r="H683" s="7" t="str">
        <f t="shared" si="83"/>
        <v>CLK_DETM_DETIS_FFDS</v>
      </c>
      <c r="I683" s="7" t="str">
        <f t="shared" si="84"/>
        <v>FFDS_AMR_3</v>
      </c>
      <c r="J683" s="7" t="str">
        <f t="shared" si="85"/>
        <v>VARCHAR</v>
      </c>
      <c r="K683" s="7" t="str">
        <f>TRIM(ETLMetadata!$G683)</f>
        <v>CHAR(4)</v>
      </c>
      <c r="L683" s="7" t="str">
        <f>TRIM(ETLMetadata!$I683)</f>
        <v/>
      </c>
      <c r="M683" s="7" t="str">
        <f t="shared" si="86"/>
        <v>NULLIF(TRIM(FFDS_AMR_3),'')</v>
      </c>
      <c r="N683" s="7" t="str">
        <f>TRIM(ETLMetadata!$J683)</f>
        <v/>
      </c>
      <c r="O683" s="8" t="str">
        <f>IF(TRIM(Classification!$G683)="","NOT CONFIDENTIAL",TRIM(Classification!$G683))</f>
        <v>NOT CONFIDENTIAL</v>
      </c>
      <c r="P683" s="7" t="str">
        <f t="shared" si="87"/>
        <v>Y</v>
      </c>
      <c r="Q683" s="7" t="s">
        <v>826</v>
      </c>
      <c r="R683" s="9">
        <v>2958465</v>
      </c>
      <c r="S683" s="7" t="s">
        <v>827</v>
      </c>
      <c r="T683" s="7" t="s">
        <v>828</v>
      </c>
      <c r="U683" s="7" t="str">
        <f t="shared" si="89"/>
        <v>CLK_DETM_DETIS_FFDS_V</v>
      </c>
      <c r="V683" s="7" t="s">
        <v>829</v>
      </c>
    </row>
    <row r="684" spans="1:22">
      <c r="A684" s="7" t="str">
        <f>TRIM(ETLMetadata!$B684)</f>
        <v>CLK</v>
      </c>
      <c r="B684" s="7" t="str">
        <f>TRIM(ETLMetadata!$C684)</f>
        <v>DETM_DETIS_FFDS</v>
      </c>
      <c r="C684" s="7" t="str">
        <f>TRIM(ETLMetadata!$F684)</f>
        <v>FFDS_BEN_TYPE_CODE</v>
      </c>
      <c r="D684" s="7" t="str">
        <f>TRIM(ETLMetadata!$H684)</f>
        <v>StringType()</v>
      </c>
      <c r="E684" s="7" t="str">
        <f t="shared" si="88"/>
        <v>CLK_DETM_DETIS_FFDS</v>
      </c>
      <c r="F684" s="7" t="str">
        <f t="shared" si="82"/>
        <v>FFDS_BEN_TYPE_CODE</v>
      </c>
      <c r="G684" s="7" t="s">
        <v>825</v>
      </c>
      <c r="H684" s="7" t="str">
        <f t="shared" si="83"/>
        <v>CLK_DETM_DETIS_FFDS</v>
      </c>
      <c r="I684" s="7" t="str">
        <f t="shared" si="84"/>
        <v>FFDS_BEN_TYPE_CODE</v>
      </c>
      <c r="J684" s="7" t="str">
        <f t="shared" si="85"/>
        <v>VARCHAR</v>
      </c>
      <c r="K684" s="7" t="str">
        <f>TRIM(ETLMetadata!$G684)</f>
        <v>CHAR(3)</v>
      </c>
      <c r="L684" s="7" t="str">
        <f>TRIM(ETLMetadata!$I684)</f>
        <v/>
      </c>
      <c r="M684" s="7" t="str">
        <f t="shared" si="86"/>
        <v>NULLIF(TRIM(FFDS_BEN_TYPE_CODE),'')</v>
      </c>
      <c r="N684" s="7" t="str">
        <f>TRIM(ETLMetadata!$J684)</f>
        <v/>
      </c>
      <c r="O684" s="8" t="str">
        <f>IF(TRIM(Classification!$G684)="","NOT CONFIDENTIAL",TRIM(Classification!$G684))</f>
        <v>NOT CONFIDENTIAL</v>
      </c>
      <c r="P684" s="7" t="str">
        <f t="shared" si="87"/>
        <v>Y</v>
      </c>
      <c r="Q684" s="7" t="s">
        <v>826</v>
      </c>
      <c r="R684" s="9">
        <v>2958465</v>
      </c>
      <c r="S684" s="7" t="s">
        <v>827</v>
      </c>
      <c r="T684" s="7" t="s">
        <v>828</v>
      </c>
      <c r="U684" s="7" t="str">
        <f t="shared" si="89"/>
        <v>CLK_DETM_DETIS_FFDS_V</v>
      </c>
      <c r="V684" s="7" t="s">
        <v>829</v>
      </c>
    </row>
    <row r="685" spans="1:22">
      <c r="A685" s="7" t="str">
        <f>TRIM(ETLMetadata!$B685)</f>
        <v>CLK</v>
      </c>
      <c r="B685" s="7" t="str">
        <f>TRIM(ETLMetadata!$C685)</f>
        <v>DETM_DETIS_FFDS</v>
      </c>
      <c r="C685" s="7" t="str">
        <f>TRIM(ETLMetadata!$F685)</f>
        <v>FFDS_STS_CODE</v>
      </c>
      <c r="D685" s="7" t="str">
        <f>TRIM(ETLMetadata!$H685)</f>
        <v>StringType()</v>
      </c>
      <c r="E685" s="7" t="str">
        <f t="shared" si="88"/>
        <v>CLK_DETM_DETIS_FFDS</v>
      </c>
      <c r="F685" s="7" t="str">
        <f t="shared" si="82"/>
        <v>FFDS_STS_CODE</v>
      </c>
      <c r="G685" s="7" t="s">
        <v>825</v>
      </c>
      <c r="H685" s="7" t="str">
        <f t="shared" si="83"/>
        <v>CLK_DETM_DETIS_FFDS</v>
      </c>
      <c r="I685" s="7" t="str">
        <f t="shared" si="84"/>
        <v>FFDS_STS_CODE</v>
      </c>
      <c r="J685" s="7" t="str">
        <f t="shared" si="85"/>
        <v>VARCHAR</v>
      </c>
      <c r="K685" s="7" t="str">
        <f>TRIM(ETLMetadata!$G685)</f>
        <v>CHAR(3)</v>
      </c>
      <c r="L685" s="7" t="str">
        <f>TRIM(ETLMetadata!$I685)</f>
        <v/>
      </c>
      <c r="M685" s="7" t="str">
        <f t="shared" si="86"/>
        <v>NULLIF(TRIM(FFDS_STS_CODE),'')</v>
      </c>
      <c r="N685" s="7" t="str">
        <f>TRIM(ETLMetadata!$J685)</f>
        <v/>
      </c>
      <c r="O685" s="8" t="str">
        <f>IF(TRIM(Classification!$G685)="","NOT CONFIDENTIAL",TRIM(Classification!$G685))</f>
        <v>NOT CONFIDENTIAL</v>
      </c>
      <c r="P685" s="7" t="str">
        <f t="shared" si="87"/>
        <v>Y</v>
      </c>
      <c r="Q685" s="7" t="s">
        <v>826</v>
      </c>
      <c r="R685" s="9">
        <v>2958465</v>
      </c>
      <c r="S685" s="7" t="s">
        <v>827</v>
      </c>
      <c r="T685" s="7" t="s">
        <v>828</v>
      </c>
      <c r="U685" s="7" t="str">
        <f t="shared" si="89"/>
        <v>CLK_DETM_DETIS_FFDS_V</v>
      </c>
      <c r="V685" s="7" t="s">
        <v>829</v>
      </c>
    </row>
    <row r="686" spans="1:22">
      <c r="A686" s="7" t="str">
        <f>TRIM(ETLMetadata!$B686)</f>
        <v>CLK</v>
      </c>
      <c r="B686" s="7" t="str">
        <f>TRIM(ETLMetadata!$C686)</f>
        <v>DETM_DETIS_FFDS</v>
      </c>
      <c r="C686" s="7" t="str">
        <f>TRIM(ETLMetadata!$F686)</f>
        <v>FFDS_RSN_CODE</v>
      </c>
      <c r="D686" s="7" t="str">
        <f>TRIM(ETLMetadata!$H686)</f>
        <v>StringType()</v>
      </c>
      <c r="E686" s="7" t="str">
        <f t="shared" si="88"/>
        <v>CLK_DETM_DETIS_FFDS</v>
      </c>
      <c r="F686" s="7" t="str">
        <f t="shared" si="82"/>
        <v>FFDS_RSN_CODE</v>
      </c>
      <c r="G686" s="7" t="s">
        <v>825</v>
      </c>
      <c r="H686" s="7" t="str">
        <f t="shared" si="83"/>
        <v>CLK_DETM_DETIS_FFDS</v>
      </c>
      <c r="I686" s="7" t="str">
        <f t="shared" si="84"/>
        <v>FFDS_RSN_CODE</v>
      </c>
      <c r="J686" s="7" t="str">
        <f t="shared" si="85"/>
        <v>VARCHAR</v>
      </c>
      <c r="K686" s="7" t="str">
        <f>TRIM(ETLMetadata!$G686)</f>
        <v>CHAR(3)</v>
      </c>
      <c r="L686" s="7" t="str">
        <f>TRIM(ETLMetadata!$I686)</f>
        <v/>
      </c>
      <c r="M686" s="7" t="str">
        <f t="shared" si="86"/>
        <v>NULLIF(TRIM(FFDS_RSN_CODE),'')</v>
      </c>
      <c r="N686" s="7" t="str">
        <f>TRIM(ETLMetadata!$J686)</f>
        <v/>
      </c>
      <c r="O686" s="8" t="str">
        <f>IF(TRIM(Classification!$G686)="","NOT CONFIDENTIAL",TRIM(Classification!$G686))</f>
        <v>NOT CONFIDENTIAL</v>
      </c>
      <c r="P686" s="7" t="str">
        <f t="shared" si="87"/>
        <v>Y</v>
      </c>
      <c r="Q686" s="7" t="s">
        <v>826</v>
      </c>
      <c r="R686" s="9">
        <v>2958465</v>
      </c>
      <c r="S686" s="7" t="s">
        <v>827</v>
      </c>
      <c r="T686" s="7" t="s">
        <v>828</v>
      </c>
      <c r="U686" s="7" t="str">
        <f t="shared" si="89"/>
        <v>CLK_DETM_DETIS_FFDS_V</v>
      </c>
      <c r="V686" s="7" t="s">
        <v>829</v>
      </c>
    </row>
    <row r="687" spans="1:22">
      <c r="A687" s="7" t="str">
        <f>TRIM(ETLMetadata!$B687)</f>
        <v>CLK</v>
      </c>
      <c r="B687" s="7" t="str">
        <f>TRIM(ETLMetadata!$C687)</f>
        <v>DETM_DETIS_FFDS</v>
      </c>
      <c r="C687" s="7" t="str">
        <f>TRIM(ETLMetadata!$F687)</f>
        <v>FFDS_UNIQ_ID</v>
      </c>
      <c r="D687" s="7" t="str">
        <f>TRIM(ETLMetadata!$H687)</f>
        <v>StringType()</v>
      </c>
      <c r="E687" s="7" t="str">
        <f t="shared" si="88"/>
        <v>CLK_DETM_DETIS_FFDS</v>
      </c>
      <c r="F687" s="7" t="str">
        <f t="shared" si="82"/>
        <v>FFDS_UNIQ_ID</v>
      </c>
      <c r="G687" s="7" t="s">
        <v>825</v>
      </c>
      <c r="H687" s="7" t="str">
        <f t="shared" si="83"/>
        <v>CLK_DETM_DETIS_FFDS</v>
      </c>
      <c r="I687" s="7" t="str">
        <f t="shared" si="84"/>
        <v>FFDS_UNIQ_ID</v>
      </c>
      <c r="J687" s="7" t="str">
        <f t="shared" si="85"/>
        <v>VARCHAR</v>
      </c>
      <c r="K687" s="7" t="str">
        <f>TRIM(ETLMetadata!$G687)</f>
        <v>VARCHAR(8)</v>
      </c>
      <c r="L687" s="7" t="str">
        <f>TRIM(ETLMetadata!$I687)</f>
        <v/>
      </c>
      <c r="M687" s="7" t="str">
        <f t="shared" si="86"/>
        <v>NULLIF(TRIM(FFDS_UNIQ_ID),'')</v>
      </c>
      <c r="N687" s="7" t="str">
        <f>TRIM(ETLMetadata!$J687)</f>
        <v/>
      </c>
      <c r="O687" s="8" t="str">
        <f>IF(TRIM(Classification!$G687)="","NOT CONFIDENTIAL",TRIM(Classification!$G687))</f>
        <v>NOT CONFIDENTIAL</v>
      </c>
      <c r="P687" s="7" t="str">
        <f t="shared" si="87"/>
        <v>Y</v>
      </c>
      <c r="Q687" s="7" t="s">
        <v>826</v>
      </c>
      <c r="R687" s="9">
        <v>2958465</v>
      </c>
      <c r="S687" s="7" t="s">
        <v>827</v>
      </c>
      <c r="T687" s="7" t="s">
        <v>828</v>
      </c>
      <c r="U687" s="7" t="str">
        <f t="shared" si="89"/>
        <v>CLK_DETM_DETIS_FFDS_V</v>
      </c>
      <c r="V687" s="7" t="s">
        <v>829</v>
      </c>
    </row>
    <row r="688" spans="1:22">
      <c r="A688" s="7" t="str">
        <f>TRIM(ETLMetadata!$B688)</f>
        <v>CLK</v>
      </c>
      <c r="B688" s="7" t="str">
        <f>TRIM(ETLMetadata!$C688)</f>
        <v>DETM_DETIS_FFDS</v>
      </c>
      <c r="C688" s="7" t="str">
        <f>TRIM(ETLMetadata!$F688)</f>
        <v>AMR1_RISL_DTS</v>
      </c>
      <c r="D688" s="7" t="str">
        <f>TRIM(ETLMetadata!$H688)</f>
        <v>StringType()</v>
      </c>
      <c r="E688" s="7" t="str">
        <f t="shared" si="88"/>
        <v>CLK_DETM_DETIS_FFDS</v>
      </c>
      <c r="F688" s="7" t="str">
        <f t="shared" si="82"/>
        <v>AMR1_RISL_DTS</v>
      </c>
      <c r="G688" s="7" t="s">
        <v>825</v>
      </c>
      <c r="H688" s="7" t="str">
        <f t="shared" si="83"/>
        <v>CLK_DETM_DETIS_FFDS</v>
      </c>
      <c r="I688" s="7" t="str">
        <f t="shared" si="84"/>
        <v>AMR1_RISL_DTS</v>
      </c>
      <c r="J688" s="7" t="str">
        <f t="shared" si="85"/>
        <v>TIMESTAMP</v>
      </c>
      <c r="K688" s="7" t="str">
        <f>TRIM(ETLMetadata!$G688)</f>
        <v>TIMESTAMP(6)</v>
      </c>
      <c r="L688" s="7" t="str">
        <f>TRIM(ETLMetadata!$I688)</f>
        <v>YYYY-MM-DDBHH:MI:SS.S(6)</v>
      </c>
      <c r="M688" s="7" t="str">
        <f t="shared" si="86"/>
        <v>TO_TIMESTAMP_NTZ(NULLIF(TRIM(AMR1_RISL_DTS),''),'YYYY-MM-DD HH24:MI:SS.FF6')</v>
      </c>
      <c r="N688" s="7" t="str">
        <f>TRIM(ETLMetadata!$J688)</f>
        <v/>
      </c>
      <c r="O688" s="8" t="str">
        <f>IF(TRIM(Classification!$G688)="","NOT CONFIDENTIAL",TRIM(Classification!$G688))</f>
        <v>NOT CONFIDENTIAL</v>
      </c>
      <c r="P688" s="7" t="str">
        <f t="shared" si="87"/>
        <v>Y</v>
      </c>
      <c r="Q688" s="7" t="s">
        <v>826</v>
      </c>
      <c r="R688" s="9">
        <v>2958465</v>
      </c>
      <c r="S688" s="7" t="s">
        <v>827</v>
      </c>
      <c r="T688" s="7" t="s">
        <v>828</v>
      </c>
      <c r="U688" s="7" t="str">
        <f t="shared" si="89"/>
        <v>CLK_DETM_DETIS_FFDS_V</v>
      </c>
      <c r="V688" s="7" t="s">
        <v>829</v>
      </c>
    </row>
    <row r="689" spans="1:22">
      <c r="A689" s="7" t="str">
        <f>TRIM(ETLMetadata!$B689)</f>
        <v>CLK</v>
      </c>
      <c r="B689" s="7" t="str">
        <f>TRIM(ETLMetadata!$C689)</f>
        <v>DETM_DETIS_FFDS</v>
      </c>
      <c r="C689" s="7" t="str">
        <f>TRIM(ETLMetadata!$F689)</f>
        <v>AMR3_RISL_DTS</v>
      </c>
      <c r="D689" s="7" t="str">
        <f>TRIM(ETLMetadata!$H689)</f>
        <v>StringType()</v>
      </c>
      <c r="E689" s="7" t="str">
        <f t="shared" si="88"/>
        <v>CLK_DETM_DETIS_FFDS</v>
      </c>
      <c r="F689" s="7" t="str">
        <f t="shared" si="82"/>
        <v>AMR3_RISL_DTS</v>
      </c>
      <c r="G689" s="7" t="s">
        <v>825</v>
      </c>
      <c r="H689" s="7" t="str">
        <f t="shared" si="83"/>
        <v>CLK_DETM_DETIS_FFDS</v>
      </c>
      <c r="I689" s="7" t="str">
        <f t="shared" si="84"/>
        <v>AMR3_RISL_DTS</v>
      </c>
      <c r="J689" s="7" t="str">
        <f t="shared" si="85"/>
        <v>TIMESTAMP</v>
      </c>
      <c r="K689" s="7" t="str">
        <f>TRIM(ETLMetadata!$G689)</f>
        <v>TIMESTAMP(6)</v>
      </c>
      <c r="L689" s="7" t="str">
        <f>TRIM(ETLMetadata!$I689)</f>
        <v>YYYY-MM-DDBHH:MI:SS.S(6)</v>
      </c>
      <c r="M689" s="7" t="str">
        <f t="shared" si="86"/>
        <v>TO_TIMESTAMP_NTZ(NULLIF(TRIM(AMR3_RISL_DTS),''),'YYYY-MM-DD HH24:MI:SS.FF6')</v>
      </c>
      <c r="N689" s="7" t="str">
        <f>TRIM(ETLMetadata!$J689)</f>
        <v/>
      </c>
      <c r="O689" s="8" t="str">
        <f>IF(TRIM(Classification!$G689)="","NOT CONFIDENTIAL",TRIM(Classification!$G689))</f>
        <v>NOT CONFIDENTIAL</v>
      </c>
      <c r="P689" s="7" t="str">
        <f t="shared" si="87"/>
        <v>Y</v>
      </c>
      <c r="Q689" s="7" t="s">
        <v>826</v>
      </c>
      <c r="R689" s="9">
        <v>2958465</v>
      </c>
      <c r="S689" s="7" t="s">
        <v>827</v>
      </c>
      <c r="T689" s="7" t="s">
        <v>828</v>
      </c>
      <c r="U689" s="7" t="str">
        <f t="shared" si="89"/>
        <v>CLK_DETM_DETIS_FFDS_V</v>
      </c>
      <c r="V689" s="7" t="s">
        <v>829</v>
      </c>
    </row>
    <row r="690" spans="1:22">
      <c r="A690" s="7" t="str">
        <f>TRIM(ETLMetadata!$B690)</f>
        <v>CLK</v>
      </c>
      <c r="B690" s="7" t="str">
        <f>TRIM(ETLMetadata!$C690)</f>
        <v>DETM_DETIS_FFDS</v>
      </c>
      <c r="C690" s="7" t="str">
        <f>TRIM(ETLMetadata!$F690)</f>
        <v>EPISODE_ID</v>
      </c>
      <c r="D690" s="7" t="str">
        <f>TRIM(ETLMetadata!$H690)</f>
        <v>StringType()</v>
      </c>
      <c r="E690" s="7" t="str">
        <f t="shared" si="88"/>
        <v>CLK_DETM_DETIS_FFDS</v>
      </c>
      <c r="F690" s="7" t="str">
        <f t="shared" si="82"/>
        <v>EPISODE_ID</v>
      </c>
      <c r="G690" s="7" t="s">
        <v>825</v>
      </c>
      <c r="H690" s="7" t="str">
        <f t="shared" si="83"/>
        <v>CLK_DETM_DETIS_FFDS</v>
      </c>
      <c r="I690" s="7" t="str">
        <f t="shared" si="84"/>
        <v>EPISODE_ID</v>
      </c>
      <c r="J690" s="7" t="str">
        <f t="shared" si="85"/>
        <v>INTEGER</v>
      </c>
      <c r="K690" s="7" t="str">
        <f>TRIM(ETLMetadata!$G690)</f>
        <v>INTEGER</v>
      </c>
      <c r="L690" s="7" t="str">
        <f>TRIM(ETLMetadata!$I690)</f>
        <v/>
      </c>
      <c r="M690" s="7" t="str">
        <f t="shared" si="86"/>
        <v>CAST(NULLIF(TRIM(EPISODE_ID),'') AS INTEGER)</v>
      </c>
      <c r="N690" s="7" t="str">
        <f>TRIM(ETLMetadata!$J690)</f>
        <v/>
      </c>
      <c r="O690" s="8" t="str">
        <f>IF(TRIM(Classification!$G690)="","NOT CONFIDENTIAL",TRIM(Classification!$G690))</f>
        <v>NOT CONFIDENTIAL</v>
      </c>
      <c r="P690" s="7" t="str">
        <f t="shared" si="87"/>
        <v>Y</v>
      </c>
      <c r="Q690" s="7" t="s">
        <v>826</v>
      </c>
      <c r="R690" s="9">
        <v>2958465</v>
      </c>
      <c r="S690" s="7" t="s">
        <v>827</v>
      </c>
      <c r="T690" s="7" t="s">
        <v>828</v>
      </c>
      <c r="U690" s="7" t="str">
        <f t="shared" si="89"/>
        <v>CLK_DETM_DETIS_FFDS_V</v>
      </c>
      <c r="V690" s="7" t="s">
        <v>829</v>
      </c>
    </row>
    <row r="691" spans="1:22">
      <c r="A691" s="7" t="str">
        <f>TRIM(ETLMetadata!$B691)</f>
        <v>CLK</v>
      </c>
      <c r="B691" s="7" t="str">
        <f>TRIM(ETLMetadata!$C691)</f>
        <v>DETM_DETIS_FFDS</v>
      </c>
      <c r="C691" s="7" t="str">
        <f>TRIM(ETLMetadata!$F691)</f>
        <v>PARTY_ROLE_ID</v>
      </c>
      <c r="D691" s="7" t="str">
        <f>TRIM(ETLMetadata!$H691)</f>
        <v>StringType()</v>
      </c>
      <c r="E691" s="7" t="str">
        <f t="shared" si="88"/>
        <v>CLK_DETM_DETIS_FFDS</v>
      </c>
      <c r="F691" s="7" t="str">
        <f t="shared" si="82"/>
        <v>PARTY_ROLE_ID</v>
      </c>
      <c r="G691" s="7" t="s">
        <v>825</v>
      </c>
      <c r="H691" s="7" t="str">
        <f t="shared" si="83"/>
        <v>CLK_DETM_DETIS_FFDS</v>
      </c>
      <c r="I691" s="7" t="str">
        <f t="shared" si="84"/>
        <v>PARTY_ROLE_ID</v>
      </c>
      <c r="J691" s="7" t="str">
        <f t="shared" si="85"/>
        <v>INTEGER</v>
      </c>
      <c r="K691" s="7" t="str">
        <f>TRIM(ETLMetadata!$G691)</f>
        <v>INTEGER</v>
      </c>
      <c r="L691" s="7" t="str">
        <f>TRIM(ETLMetadata!$I691)</f>
        <v/>
      </c>
      <c r="M691" s="7" t="str">
        <f t="shared" si="86"/>
        <v>CAST(NULLIF(TRIM(PARTY_ROLE_ID),'') AS INTEGER)</v>
      </c>
      <c r="N691" s="7" t="str">
        <f>TRIM(ETLMetadata!$J691)</f>
        <v/>
      </c>
      <c r="O691" s="8" t="str">
        <f>IF(TRIM(Classification!$G691)="","NOT CONFIDENTIAL",TRIM(Classification!$G691))</f>
        <v>NOT CONFIDENTIAL</v>
      </c>
      <c r="P691" s="7" t="str">
        <f t="shared" si="87"/>
        <v>Y</v>
      </c>
      <c r="Q691" s="7" t="s">
        <v>826</v>
      </c>
      <c r="R691" s="9">
        <v>2958465</v>
      </c>
      <c r="S691" s="7" t="s">
        <v>827</v>
      </c>
      <c r="T691" s="7" t="s">
        <v>828</v>
      </c>
      <c r="U691" s="7" t="str">
        <f t="shared" si="89"/>
        <v>CLK_DETM_DETIS_FFDS_V</v>
      </c>
      <c r="V691" s="7" t="s">
        <v>829</v>
      </c>
    </row>
    <row r="692" spans="1:22">
      <c r="A692" s="7" t="str">
        <f>TRIM(ETLMetadata!$B692)</f>
        <v>CLK</v>
      </c>
      <c r="B692" s="7" t="str">
        <f>TRIM(ETLMetadata!$C692)</f>
        <v>DETM_DETIS_FFDS</v>
      </c>
      <c r="C692" s="7" t="str">
        <f>TRIM(ETLMetadata!$F692)</f>
        <v>PAYMENT_TYPE_ID</v>
      </c>
      <c r="D692" s="7" t="str">
        <f>TRIM(ETLMetadata!$H692)</f>
        <v>StringType()</v>
      </c>
      <c r="E692" s="7" t="str">
        <f t="shared" si="88"/>
        <v>CLK_DETM_DETIS_FFDS</v>
      </c>
      <c r="F692" s="7" t="str">
        <f t="shared" si="82"/>
        <v>PAYMENT_TYPE_ID</v>
      </c>
      <c r="G692" s="7" t="s">
        <v>825</v>
      </c>
      <c r="H692" s="7" t="str">
        <f t="shared" si="83"/>
        <v>CLK_DETM_DETIS_FFDS</v>
      </c>
      <c r="I692" s="7" t="str">
        <f t="shared" si="84"/>
        <v>PAYMENT_TYPE_ID</v>
      </c>
      <c r="J692" s="7" t="str">
        <f t="shared" si="85"/>
        <v>INTEGER</v>
      </c>
      <c r="K692" s="7" t="str">
        <f>TRIM(ETLMetadata!$G692)</f>
        <v>INTEGER</v>
      </c>
      <c r="L692" s="7" t="str">
        <f>TRIM(ETLMetadata!$I692)</f>
        <v/>
      </c>
      <c r="M692" s="7" t="str">
        <f t="shared" si="86"/>
        <v>CAST(NULLIF(TRIM(PAYMENT_TYPE_ID),'') AS INTEGER)</v>
      </c>
      <c r="N692" s="7" t="str">
        <f>TRIM(ETLMetadata!$J692)</f>
        <v/>
      </c>
      <c r="O692" s="8" t="str">
        <f>IF(TRIM(Classification!$G692)="","NOT CONFIDENTIAL",TRIM(Classification!$G692))</f>
        <v>NOT CONFIDENTIAL</v>
      </c>
      <c r="P692" s="7" t="str">
        <f t="shared" si="87"/>
        <v>Y</v>
      </c>
      <c r="Q692" s="7" t="s">
        <v>826</v>
      </c>
      <c r="R692" s="9">
        <v>2958465</v>
      </c>
      <c r="S692" s="7" t="s">
        <v>827</v>
      </c>
      <c r="T692" s="7" t="s">
        <v>828</v>
      </c>
      <c r="U692" s="7" t="str">
        <f t="shared" si="89"/>
        <v>CLK_DETM_DETIS_FFDS_V</v>
      </c>
      <c r="V692" s="7" t="s">
        <v>829</v>
      </c>
    </row>
    <row r="693" spans="1:22">
      <c r="A693" s="7" t="str">
        <f>TRIM(ETLMetadata!$B693)</f>
        <v>CLK</v>
      </c>
      <c r="B693" s="7" t="str">
        <f>TRIM(ETLMetadata!$C693)</f>
        <v>DETM_DETIS_FFDS</v>
      </c>
      <c r="C693" s="7" t="str">
        <f>TRIM(ETLMetadata!$F693)</f>
        <v>ERROR_COUNT</v>
      </c>
      <c r="D693" s="7" t="str">
        <f>TRIM(ETLMetadata!$H693)</f>
        <v>StringType()</v>
      </c>
      <c r="E693" s="7" t="str">
        <f t="shared" si="88"/>
        <v>CLK_DETM_DETIS_FFDS</v>
      </c>
      <c r="F693" s="7" t="str">
        <f t="shared" si="82"/>
        <v>ERROR_COUNT</v>
      </c>
      <c r="G693" s="7" t="s">
        <v>825</v>
      </c>
      <c r="H693" s="7" t="str">
        <f t="shared" si="83"/>
        <v>CLK_DETM_DETIS_FFDS</v>
      </c>
      <c r="I693" s="7" t="str">
        <f t="shared" si="84"/>
        <v>ERROR_COUNT</v>
      </c>
      <c r="J693" s="7" t="str">
        <f t="shared" si="85"/>
        <v>SMALLINT</v>
      </c>
      <c r="K693" s="7" t="str">
        <f>TRIM(ETLMetadata!$G693)</f>
        <v>SMALLINT</v>
      </c>
      <c r="L693" s="7" t="str">
        <f>TRIM(ETLMetadata!$I693)</f>
        <v/>
      </c>
      <c r="M693" s="7" t="str">
        <f t="shared" si="86"/>
        <v>CAST(NULLIF(TRIM(ERROR_COUNT),'') AS SMALLINT)</v>
      </c>
      <c r="N693" s="7" t="str">
        <f>TRIM(ETLMetadata!$J693)</f>
        <v/>
      </c>
      <c r="O693" s="8" t="str">
        <f>IF(TRIM(Classification!$G693)="","NOT CONFIDENTIAL",TRIM(Classification!$G693))</f>
        <v>NOT CONFIDENTIAL</v>
      </c>
      <c r="P693" s="7" t="str">
        <f t="shared" si="87"/>
        <v>Y</v>
      </c>
      <c r="Q693" s="7" t="s">
        <v>826</v>
      </c>
      <c r="R693" s="9">
        <v>2958465</v>
      </c>
      <c r="S693" s="7" t="s">
        <v>827</v>
      </c>
      <c r="T693" s="7" t="s">
        <v>828</v>
      </c>
      <c r="U693" s="7" t="str">
        <f t="shared" si="89"/>
        <v>CLK_DETM_DETIS_FFDS_V</v>
      </c>
      <c r="V693" s="7" t="s">
        <v>829</v>
      </c>
    </row>
    <row r="694" spans="1:22">
      <c r="A694" s="7" t="str">
        <f>TRIM(ETLMetadata!$B694)</f>
        <v>CLK</v>
      </c>
      <c r="B694" s="7" t="str">
        <f>TRIM(ETLMetadata!$C694)</f>
        <v>DETM_DETIS_FFDS</v>
      </c>
      <c r="C694" s="7" t="str">
        <f>TRIM(ETLMetadata!$F694)</f>
        <v>Start_Date</v>
      </c>
      <c r="D694" s="7" t="str">
        <f>TRIM(ETLMetadata!$H694)</f>
        <v>StringType()</v>
      </c>
      <c r="E694" s="7" t="str">
        <f t="shared" si="88"/>
        <v>CLK_DETM_DETIS_FFDS</v>
      </c>
      <c r="F694" s="7" t="str">
        <f t="shared" si="82"/>
        <v>STRT_DT</v>
      </c>
      <c r="G694" s="7" t="s">
        <v>825</v>
      </c>
      <c r="H694" s="7" t="str">
        <f t="shared" si="83"/>
        <v>CLK_DETM_DETIS_FFDS</v>
      </c>
      <c r="I694" s="7" t="str">
        <f t="shared" si="84"/>
        <v>STRT_DT</v>
      </c>
      <c r="J694" s="7" t="str">
        <f t="shared" si="85"/>
        <v>DATE</v>
      </c>
      <c r="K694" s="7" t="str">
        <f>TRIM(ETLMetadata!$G694)</f>
        <v>DATE</v>
      </c>
      <c r="L694" s="7" t="str">
        <f>TRIM(ETLMetadata!$I694)</f>
        <v>YYYY-MM-DD</v>
      </c>
      <c r="M694" s="7" t="str">
        <f t="shared" si="86"/>
        <v>TO_DATE(NULLIF(TRIM(STRT_DT),'') , 'YYYY-MM-DD')</v>
      </c>
      <c r="N694" s="7" t="str">
        <f>TRIM(ETLMetadata!$J694)</f>
        <v/>
      </c>
      <c r="O694" s="8" t="str">
        <f>IF(TRIM(Classification!$G694)="","NOT CONFIDENTIAL",TRIM(Classification!$G694))</f>
        <v>NOT CONFIDENTIAL</v>
      </c>
      <c r="P694" s="7" t="str">
        <f t="shared" si="87"/>
        <v>N</v>
      </c>
      <c r="Q694" s="7" t="s">
        <v>826</v>
      </c>
      <c r="R694" s="9">
        <v>2958465</v>
      </c>
      <c r="S694" s="7" t="s">
        <v>827</v>
      </c>
      <c r="T694" s="7" t="s">
        <v>828</v>
      </c>
      <c r="U694" s="7" t="str">
        <f t="shared" si="89"/>
        <v>CLK_DETM_DETIS_FFDS_V</v>
      </c>
      <c r="V694" s="7" t="s">
        <v>829</v>
      </c>
    </row>
    <row r="695" spans="1:22">
      <c r="A695" s="7" t="str">
        <f>TRIM(ETLMetadata!$B695)</f>
        <v>CLK</v>
      </c>
      <c r="B695" s="7" t="str">
        <f>TRIM(ETLMetadata!$C695)</f>
        <v>DETM_DETIS_FFDS</v>
      </c>
      <c r="C695" s="7" t="str">
        <f>TRIM(ETLMetadata!$F695)</f>
        <v>End_Date</v>
      </c>
      <c r="D695" s="7" t="str">
        <f>TRIM(ETLMetadata!$H695)</f>
        <v>StringType()</v>
      </c>
      <c r="E695" s="7" t="str">
        <f t="shared" si="88"/>
        <v>CLK_DETM_DETIS_FFDS</v>
      </c>
      <c r="F695" s="7" t="str">
        <f t="shared" si="82"/>
        <v>END_DT</v>
      </c>
      <c r="G695" s="7" t="s">
        <v>825</v>
      </c>
      <c r="H695" s="7" t="str">
        <f t="shared" si="83"/>
        <v>CLK_DETM_DETIS_FFDS</v>
      </c>
      <c r="I695" s="7" t="str">
        <f t="shared" si="84"/>
        <v>END_DT</v>
      </c>
      <c r="J695" s="7" t="str">
        <f t="shared" si="85"/>
        <v>DATE</v>
      </c>
      <c r="K695" s="7" t="str">
        <f>TRIM(ETLMetadata!$G695)</f>
        <v>DATE</v>
      </c>
      <c r="L695" s="7" t="str">
        <f>TRIM(ETLMetadata!$I695)</f>
        <v>YYYY-MM-DD</v>
      </c>
      <c r="M695" s="7" t="str">
        <f t="shared" si="86"/>
        <v>TO_DATE(NULLIF(TRIM(END_DT),'') , 'YYYY-MM-DD')</v>
      </c>
      <c r="N695" s="7" t="str">
        <f>TRIM(ETLMetadata!$J695)</f>
        <v/>
      </c>
      <c r="O695" s="8" t="str">
        <f>IF(TRIM(Classification!$G695)="","NOT CONFIDENTIAL",TRIM(Classification!$G695))</f>
        <v>NOT CONFIDENTIAL</v>
      </c>
      <c r="P695" s="7" t="str">
        <f t="shared" si="87"/>
        <v>N</v>
      </c>
      <c r="Q695" s="7" t="s">
        <v>826</v>
      </c>
      <c r="R695" s="9">
        <v>2958465</v>
      </c>
      <c r="S695" s="7" t="s">
        <v>827</v>
      </c>
      <c r="T695" s="7" t="s">
        <v>828</v>
      </c>
      <c r="U695" s="7" t="str">
        <f t="shared" si="89"/>
        <v>CLK_DETM_DETIS_FFDS_V</v>
      </c>
      <c r="V695" s="7" t="s">
        <v>829</v>
      </c>
    </row>
    <row r="696" spans="1:22">
      <c r="A696" s="7" t="str">
        <f>TRIM(ETLMetadata!$B696)</f>
        <v>CLK</v>
      </c>
      <c r="B696" s="7" t="str">
        <f>TRIM(ETLMetadata!$C696)</f>
        <v>DETM_DETIS_FFDS</v>
      </c>
      <c r="C696" s="7" t="str">
        <f>TRIM(ETLMetadata!$F696)</f>
        <v>Record_Deleted_Flag</v>
      </c>
      <c r="D696" s="7" t="str">
        <f>TRIM(ETLMetadata!$H696)</f>
        <v>StringType()</v>
      </c>
      <c r="E696" s="7" t="str">
        <f t="shared" si="88"/>
        <v>CLK_DETM_DETIS_FFDS</v>
      </c>
      <c r="F696" s="7" t="str">
        <f t="shared" si="82"/>
        <v>RCRD_DEL_IND</v>
      </c>
      <c r="G696" s="7" t="s">
        <v>825</v>
      </c>
      <c r="H696" s="7" t="str">
        <f t="shared" si="83"/>
        <v>CLK_DETM_DETIS_FFDS</v>
      </c>
      <c r="I696" s="7" t="str">
        <f t="shared" si="84"/>
        <v>RCRD_DEL_IND</v>
      </c>
      <c r="J696" s="7" t="str">
        <f t="shared" si="85"/>
        <v>SMALLINT</v>
      </c>
      <c r="K696" s="7" t="str">
        <f>TRIM(ETLMetadata!$G696)</f>
        <v>BYTEINT</v>
      </c>
      <c r="L696" s="7" t="str">
        <f>TRIM(ETLMetadata!$I696)</f>
        <v/>
      </c>
      <c r="M696" s="7" t="str">
        <f t="shared" si="86"/>
        <v>CAST(NULLIF(TRIM(RCRD_DEL_IND),'') AS SMALLINT)</v>
      </c>
      <c r="N696" s="7" t="str">
        <f>TRIM(ETLMetadata!$J696)</f>
        <v/>
      </c>
      <c r="O696" s="8" t="str">
        <f>IF(TRIM(Classification!$G696)="","NOT CONFIDENTIAL",TRIM(Classification!$G696))</f>
        <v>NOT CONFIDENTIAL</v>
      </c>
      <c r="P696" s="7" t="str">
        <f t="shared" si="87"/>
        <v>N</v>
      </c>
      <c r="Q696" s="7" t="s">
        <v>826</v>
      </c>
      <c r="R696" s="9">
        <v>2958465</v>
      </c>
      <c r="S696" s="7" t="s">
        <v>827</v>
      </c>
      <c r="T696" s="7" t="s">
        <v>828</v>
      </c>
      <c r="U696" s="7" t="str">
        <f t="shared" si="89"/>
        <v>CLK_DETM_DETIS_FFDS_V</v>
      </c>
      <c r="V696" s="7" t="s">
        <v>829</v>
      </c>
    </row>
    <row r="697" spans="1:22">
      <c r="A697" s="7" t="str">
        <f>TRIM(ETLMetadata!$B697)</f>
        <v>CLK</v>
      </c>
      <c r="B697" s="7" t="str">
        <f>TRIM(ETLMetadata!$C697)</f>
        <v>DETM_DETIS_FHDS</v>
      </c>
      <c r="C697" s="7" t="str">
        <f>TRIM(ETLMetadata!$F697)</f>
        <v>EXTRACT_DATE</v>
      </c>
      <c r="D697" s="7" t="str">
        <f>TRIM(ETLMetadata!$H697)</f>
        <v>StringType()</v>
      </c>
      <c r="E697" s="7" t="str">
        <f t="shared" si="88"/>
        <v>CLK_DETM_DETIS_FHDS</v>
      </c>
      <c r="F697" s="7" t="str">
        <f t="shared" si="82"/>
        <v>EXTRACT_DATE</v>
      </c>
      <c r="G697" s="7" t="s">
        <v>825</v>
      </c>
      <c r="H697" s="7" t="str">
        <f t="shared" si="83"/>
        <v>CLK_DETM_DETIS_FHDS</v>
      </c>
      <c r="I697" s="7" t="str">
        <f t="shared" si="84"/>
        <v>EXTRACT_DATE</v>
      </c>
      <c r="J697" s="7" t="str">
        <f t="shared" si="85"/>
        <v>DATE</v>
      </c>
      <c r="K697" s="7" t="str">
        <f>TRIM(ETLMetadata!$G697)</f>
        <v>DATE</v>
      </c>
      <c r="L697" s="7" t="str">
        <f>TRIM(ETLMetadata!$I697)</f>
        <v>YYYY-MM-DD</v>
      </c>
      <c r="M697" s="7" t="str">
        <f t="shared" si="86"/>
        <v>TO_DATE(NULLIF(TRIM(EXTRACT_DATE),'') , 'YYYY-MM-DD')</v>
      </c>
      <c r="N697" s="7" t="str">
        <f>TRIM(ETLMetadata!$J697)</f>
        <v/>
      </c>
      <c r="O697" s="8" t="str">
        <f>IF(TRIM(Classification!$G697)="","NOT CONFIDENTIAL",TRIM(Classification!$G697))</f>
        <v>NOT CONFIDENTIAL</v>
      </c>
      <c r="P697" s="7" t="str">
        <f t="shared" si="87"/>
        <v>Y</v>
      </c>
      <c r="Q697" s="7" t="s">
        <v>826</v>
      </c>
      <c r="R697" s="9">
        <v>2958465</v>
      </c>
      <c r="S697" s="7" t="s">
        <v>827</v>
      </c>
      <c r="T697" s="7" t="s">
        <v>828</v>
      </c>
      <c r="U697" s="7" t="str">
        <f t="shared" si="89"/>
        <v>CLK_DETM_DETIS_FHDS_V</v>
      </c>
      <c r="V697" s="7" t="s">
        <v>829</v>
      </c>
    </row>
    <row r="698" spans="1:22">
      <c r="A698" s="7" t="str">
        <f>TRIM(ETLMetadata!$B698)</f>
        <v>CLK</v>
      </c>
      <c r="B698" s="7" t="str">
        <f>TRIM(ETLMetadata!$C698)</f>
        <v>DETM_DETIS_FHDS</v>
      </c>
      <c r="C698" s="7" t="str">
        <f>TRIM(ETLMetadata!$F698)</f>
        <v>LOGICAL_DELETE_DATE</v>
      </c>
      <c r="D698" s="7" t="str">
        <f>TRIM(ETLMetadata!$H698)</f>
        <v>StringType()</v>
      </c>
      <c r="E698" s="7" t="str">
        <f t="shared" si="88"/>
        <v>CLK_DETM_DETIS_FHDS</v>
      </c>
      <c r="F698" s="7" t="str">
        <f t="shared" si="82"/>
        <v>LOGICAL_DELETE_DATE</v>
      </c>
      <c r="G698" s="7" t="s">
        <v>825</v>
      </c>
      <c r="H698" s="7" t="str">
        <f t="shared" si="83"/>
        <v>CLK_DETM_DETIS_FHDS</v>
      </c>
      <c r="I698" s="7" t="str">
        <f t="shared" si="84"/>
        <v>LOGICAL_DELETE_DATE</v>
      </c>
      <c r="J698" s="7" t="str">
        <f t="shared" si="85"/>
        <v>DATE</v>
      </c>
      <c r="K698" s="7" t="str">
        <f>TRIM(ETLMetadata!$G698)</f>
        <v>DATE</v>
      </c>
      <c r="L698" s="7" t="str">
        <f>TRIM(ETLMetadata!$I698)</f>
        <v>YYYY-MM-DD</v>
      </c>
      <c r="M698" s="7" t="str">
        <f t="shared" si="86"/>
        <v>TO_DATE(NULLIF(TRIM(LOGICAL_DELETE_DATE),'') , 'YYYY-MM-DD')</v>
      </c>
      <c r="N698" s="7" t="str">
        <f>TRIM(ETLMetadata!$J698)</f>
        <v/>
      </c>
      <c r="O698" s="8" t="str">
        <f>IF(TRIM(Classification!$G698)="","NOT CONFIDENTIAL",TRIM(Classification!$G698))</f>
        <v>NOT CONFIDENTIAL</v>
      </c>
      <c r="P698" s="7" t="str">
        <f t="shared" si="87"/>
        <v>Y</v>
      </c>
      <c r="Q698" s="7" t="s">
        <v>826</v>
      </c>
      <c r="R698" s="9">
        <v>2958465</v>
      </c>
      <c r="S698" s="7" t="s">
        <v>827</v>
      </c>
      <c r="T698" s="7" t="s">
        <v>828</v>
      </c>
      <c r="U698" s="7" t="str">
        <f t="shared" si="89"/>
        <v>CLK_DETM_DETIS_FHDS_V</v>
      </c>
      <c r="V698" s="7" t="s">
        <v>829</v>
      </c>
    </row>
    <row r="699" spans="1:22">
      <c r="A699" s="7" t="str">
        <f>TRIM(ETLMetadata!$B699)</f>
        <v>CLK</v>
      </c>
      <c r="B699" s="7" t="str">
        <f>TRIM(ETLMetadata!$C699)</f>
        <v>DETM_DETIS_FHDS</v>
      </c>
      <c r="C699" s="7" t="str">
        <f>TRIM(ETLMetadata!$F699)</f>
        <v>ENVIRONMENT_ID</v>
      </c>
      <c r="D699" s="7" t="str">
        <f>TRIM(ETLMetadata!$H699)</f>
        <v>StringType()</v>
      </c>
      <c r="E699" s="7" t="str">
        <f t="shared" si="88"/>
        <v>CLK_DETM_DETIS_FHDS</v>
      </c>
      <c r="F699" s="7" t="str">
        <f t="shared" si="82"/>
        <v>ENVIRONMENT_ID</v>
      </c>
      <c r="G699" s="7" t="s">
        <v>825</v>
      </c>
      <c r="H699" s="7" t="str">
        <f t="shared" si="83"/>
        <v>CLK_DETM_DETIS_FHDS</v>
      </c>
      <c r="I699" s="7" t="str">
        <f t="shared" si="84"/>
        <v>ENVIRONMENT_ID</v>
      </c>
      <c r="J699" s="7" t="str">
        <f t="shared" si="85"/>
        <v>VARCHAR</v>
      </c>
      <c r="K699" s="7" t="str">
        <f>TRIM(ETLMetadata!$G699)</f>
        <v>CHAR(1)</v>
      </c>
      <c r="L699" s="7" t="str">
        <f>TRIM(ETLMetadata!$I699)</f>
        <v/>
      </c>
      <c r="M699" s="7" t="str">
        <f t="shared" si="86"/>
        <v>NULLIF(TRIM(ENVIRONMENT_ID),'')</v>
      </c>
      <c r="N699" s="7" t="str">
        <f>TRIM(ETLMetadata!$J699)</f>
        <v>Y</v>
      </c>
      <c r="O699" s="8" t="str">
        <f>IF(TRIM(Classification!$G699)="","NOT CONFIDENTIAL",TRIM(Classification!$G699))</f>
        <v>NOT CONFIDENTIAL</v>
      </c>
      <c r="P699" s="7" t="str">
        <f t="shared" si="87"/>
        <v>Y</v>
      </c>
      <c r="Q699" s="7" t="s">
        <v>826</v>
      </c>
      <c r="R699" s="9">
        <v>2958465</v>
      </c>
      <c r="S699" s="7" t="s">
        <v>827</v>
      </c>
      <c r="T699" s="7" t="s">
        <v>828</v>
      </c>
      <c r="U699" s="7" t="str">
        <f t="shared" si="89"/>
        <v>CLK_DETM_DETIS_FHDS_V</v>
      </c>
      <c r="V699" s="7" t="s">
        <v>829</v>
      </c>
    </row>
    <row r="700" spans="1:22">
      <c r="A700" s="7" t="str">
        <f>TRIM(ETLMetadata!$B700)</f>
        <v>CLK</v>
      </c>
      <c r="B700" s="7" t="str">
        <f>TRIM(ETLMetadata!$C700)</f>
        <v>DETM_DETIS_FHDS</v>
      </c>
      <c r="C700" s="7" t="str">
        <f>TRIM(ETLMetadata!$F700)</f>
        <v>PERSON_ID</v>
      </c>
      <c r="D700" s="7" t="str">
        <f>TRIM(ETLMetadata!$H700)</f>
        <v>StringType()</v>
      </c>
      <c r="E700" s="7" t="str">
        <f t="shared" si="88"/>
        <v>CLK_DETM_DETIS_FHDS</v>
      </c>
      <c r="F700" s="7" t="str">
        <f t="shared" si="82"/>
        <v>PERSON_ID</v>
      </c>
      <c r="G700" s="7" t="s">
        <v>825</v>
      </c>
      <c r="H700" s="7" t="str">
        <f t="shared" si="83"/>
        <v>CLK_DETM_DETIS_FHDS</v>
      </c>
      <c r="I700" s="7" t="str">
        <f t="shared" si="84"/>
        <v>PERSON_ID</v>
      </c>
      <c r="J700" s="7" t="str">
        <f t="shared" si="85"/>
        <v>INTEGER</v>
      </c>
      <c r="K700" s="7" t="str">
        <f>TRIM(ETLMetadata!$G700)</f>
        <v>INTEGER</v>
      </c>
      <c r="L700" s="7" t="str">
        <f>TRIM(ETLMetadata!$I700)</f>
        <v/>
      </c>
      <c r="M700" s="7" t="str">
        <f t="shared" si="86"/>
        <v>CAST(NULLIF(TRIM(PERSON_ID),'') AS INTEGER)</v>
      </c>
      <c r="N700" s="7" t="str">
        <f>TRIM(ETLMetadata!$J700)</f>
        <v>Y</v>
      </c>
      <c r="O700" s="8" t="str">
        <f>IF(TRIM(Classification!$G700)="","NOT CONFIDENTIAL",TRIM(Classification!$G700))</f>
        <v>PERSONAL_IDENTITYINFOINDIRECT</v>
      </c>
      <c r="P700" s="7" t="str">
        <f t="shared" si="87"/>
        <v>Y</v>
      </c>
      <c r="Q700" s="7" t="s">
        <v>826</v>
      </c>
      <c r="R700" s="9">
        <v>2958465</v>
      </c>
      <c r="S700" s="7" t="s">
        <v>827</v>
      </c>
      <c r="T700" s="7" t="s">
        <v>828</v>
      </c>
      <c r="U700" s="7" t="str">
        <f t="shared" si="89"/>
        <v>CLK_DETM_DETIS_FHDS_V</v>
      </c>
      <c r="V700" s="7" t="s">
        <v>829</v>
      </c>
    </row>
    <row r="701" spans="1:22">
      <c r="A701" s="7" t="str">
        <f>TRIM(ETLMetadata!$B701)</f>
        <v>CLK</v>
      </c>
      <c r="B701" s="7" t="str">
        <f>TRIM(ETLMetadata!$C701)</f>
        <v>DETM_DETIS_FHDS</v>
      </c>
      <c r="C701" s="7" t="str">
        <f>TRIM(ETLMetadata!$F701)</f>
        <v>FHDS_DOE</v>
      </c>
      <c r="D701" s="7" t="str">
        <f>TRIM(ETLMetadata!$H701)</f>
        <v>StringType()</v>
      </c>
      <c r="E701" s="7" t="str">
        <f t="shared" si="88"/>
        <v>CLK_DETM_DETIS_FHDS</v>
      </c>
      <c r="F701" s="7" t="str">
        <f t="shared" si="82"/>
        <v>FHDS_DOE</v>
      </c>
      <c r="G701" s="7" t="s">
        <v>825</v>
      </c>
      <c r="H701" s="7" t="str">
        <f t="shared" si="83"/>
        <v>CLK_DETM_DETIS_FHDS</v>
      </c>
      <c r="I701" s="7" t="str">
        <f t="shared" si="84"/>
        <v>FHDS_DOE</v>
      </c>
      <c r="J701" s="7" t="str">
        <f t="shared" si="85"/>
        <v>DATE</v>
      </c>
      <c r="K701" s="17" t="s">
        <v>80</v>
      </c>
      <c r="L701" s="7" t="str">
        <f>TRIM(ETLMetadata!$I701)</f>
        <v>YYYY-MM-DD</v>
      </c>
      <c r="M701" s="7" t="str">
        <f t="shared" si="86"/>
        <v>TO_DATE(NULLIF(TRIM(FHDS_DOE),'') , 'YYYY-MM-DD')</v>
      </c>
      <c r="N701" s="7" t="str">
        <f>TRIM(ETLMetadata!$J701)</f>
        <v/>
      </c>
      <c r="O701" s="8" t="str">
        <f>IF(TRIM(Classification!$G701)="","NOT CONFIDENTIAL",TRIM(Classification!$G701))</f>
        <v>NOT CONFIDENTIAL</v>
      </c>
      <c r="P701" s="7" t="str">
        <f t="shared" si="87"/>
        <v>Y</v>
      </c>
      <c r="Q701" s="7" t="s">
        <v>826</v>
      </c>
      <c r="R701" s="9">
        <v>2958465</v>
      </c>
      <c r="S701" s="7" t="s">
        <v>827</v>
      </c>
      <c r="T701" s="7" t="s">
        <v>828</v>
      </c>
      <c r="U701" s="7" t="str">
        <f t="shared" si="89"/>
        <v>CLK_DETM_DETIS_FHDS_V</v>
      </c>
      <c r="V701" s="7" t="s">
        <v>829</v>
      </c>
    </row>
    <row r="702" spans="1:22">
      <c r="A702" s="7" t="str">
        <f>TRIM(ETLMetadata!$B702)</f>
        <v>CLK</v>
      </c>
      <c r="B702" s="7" t="str">
        <f>TRIM(ETLMetadata!$C702)</f>
        <v>DETM_DETIS_FHDS</v>
      </c>
      <c r="C702" s="7" t="str">
        <f>TRIM(ETLMetadata!$F702)</f>
        <v>FHDS_DOE_ORIG</v>
      </c>
      <c r="D702" s="7" t="str">
        <f>TRIM(ETLMetadata!$H702)</f>
        <v>StringType()</v>
      </c>
      <c r="E702" s="7" t="str">
        <f t="shared" si="88"/>
        <v>CLK_DETM_DETIS_FHDS</v>
      </c>
      <c r="F702" s="7" t="str">
        <f t="shared" si="82"/>
        <v>FHDS_DOE_ORIG</v>
      </c>
      <c r="G702" s="7" t="s">
        <v>825</v>
      </c>
      <c r="H702" s="7" t="str">
        <f t="shared" si="83"/>
        <v>CLK_DETM_DETIS_FHDS</v>
      </c>
      <c r="I702" s="7" t="str">
        <f t="shared" si="84"/>
        <v>FHDS_DOE_ORIG</v>
      </c>
      <c r="J702" s="7" t="str">
        <f t="shared" si="85"/>
        <v>INTEGER</v>
      </c>
      <c r="K702" s="17" t="s">
        <v>90</v>
      </c>
      <c r="L702" s="7" t="str">
        <f>TRIM(ETLMetadata!$I702)</f>
        <v/>
      </c>
      <c r="M702" s="7" t="str">
        <f t="shared" si="86"/>
        <v>CAST(NULLIF(TRIM(FHDS_DOE_ORIG),'') AS INTEGER)</v>
      </c>
      <c r="N702" s="7" t="str">
        <f>TRIM(ETLMetadata!$J702)</f>
        <v/>
      </c>
      <c r="O702" s="8" t="str">
        <f>IF(TRIM(Classification!$G702)="","NOT CONFIDENTIAL",TRIM(Classification!$G702))</f>
        <v>NOT CONFIDENTIAL</v>
      </c>
      <c r="P702" s="7" t="str">
        <f t="shared" si="87"/>
        <v>Y</v>
      </c>
      <c r="Q702" s="7" t="s">
        <v>826</v>
      </c>
      <c r="R702" s="9">
        <v>2958465</v>
      </c>
      <c r="S702" s="7" t="s">
        <v>827</v>
      </c>
      <c r="T702" s="7" t="s">
        <v>828</v>
      </c>
      <c r="U702" s="7" t="str">
        <f t="shared" si="89"/>
        <v>CLK_DETM_DETIS_FHDS_V</v>
      </c>
      <c r="V702" s="7" t="s">
        <v>829</v>
      </c>
    </row>
    <row r="703" spans="1:22">
      <c r="A703" s="7" t="str">
        <f>TRIM(ETLMetadata!$B703)</f>
        <v>CLK</v>
      </c>
      <c r="B703" s="7" t="str">
        <f>TRIM(ETLMetadata!$C703)</f>
        <v>DETM_DETIS_FHDS</v>
      </c>
      <c r="C703" s="7" t="str">
        <f>TRIM(ETLMetadata!$F703)</f>
        <v>PROCESSING_SEQUENCE</v>
      </c>
      <c r="D703" s="7" t="str">
        <f>TRIM(ETLMetadata!$H703)</f>
        <v>StringType()</v>
      </c>
      <c r="E703" s="7" t="str">
        <f t="shared" si="88"/>
        <v>CLK_DETM_DETIS_FHDS</v>
      </c>
      <c r="F703" s="7" t="str">
        <f t="shared" si="82"/>
        <v>PROCESSING_SEQUENCE</v>
      </c>
      <c r="G703" s="7" t="s">
        <v>825</v>
      </c>
      <c r="H703" s="7" t="str">
        <f t="shared" si="83"/>
        <v>CLK_DETM_DETIS_FHDS</v>
      </c>
      <c r="I703" s="7" t="str">
        <f t="shared" si="84"/>
        <v>PROCESSING_SEQUENCE</v>
      </c>
      <c r="J703" s="7" t="str">
        <f t="shared" si="85"/>
        <v>SMALLINT</v>
      </c>
      <c r="K703" s="7" t="str">
        <f>TRIM(ETLMetadata!$G703)</f>
        <v>SMALLINT</v>
      </c>
      <c r="L703" s="7" t="str">
        <f>TRIM(ETLMetadata!$I703)</f>
        <v/>
      </c>
      <c r="M703" s="7" t="str">
        <f t="shared" si="86"/>
        <v>CAST(NULLIF(TRIM(PROCESSING_SEQUENCE),'') AS SMALLINT)</v>
      </c>
      <c r="N703" s="7" t="str">
        <f>TRIM(ETLMetadata!$J703)</f>
        <v>Y</v>
      </c>
      <c r="O703" s="8" t="str">
        <f>IF(TRIM(Classification!$G703)="","NOT CONFIDENTIAL",TRIM(Classification!$G703))</f>
        <v>NOT CONFIDENTIAL</v>
      </c>
      <c r="P703" s="7" t="str">
        <f t="shared" si="87"/>
        <v>Y</v>
      </c>
      <c r="Q703" s="7" t="s">
        <v>826</v>
      </c>
      <c r="R703" s="9">
        <v>2958465</v>
      </c>
      <c r="S703" s="7" t="s">
        <v>827</v>
      </c>
      <c r="T703" s="7" t="s">
        <v>828</v>
      </c>
      <c r="U703" s="7" t="str">
        <f t="shared" si="89"/>
        <v>CLK_DETM_DETIS_FHDS_V</v>
      </c>
      <c r="V703" s="7" t="s">
        <v>829</v>
      </c>
    </row>
    <row r="704" spans="1:22">
      <c r="A704" s="7" t="str">
        <f>TRIM(ETLMetadata!$B704)</f>
        <v>CLK</v>
      </c>
      <c r="B704" s="7" t="str">
        <f>TRIM(ETLMetadata!$C704)</f>
        <v>DETM_DETIS_FHDS</v>
      </c>
      <c r="C704" s="7" t="str">
        <f>TRIM(ETLMetadata!$F704)</f>
        <v>FHDS_AMR_1</v>
      </c>
      <c r="D704" s="7" t="str">
        <f>TRIM(ETLMetadata!$H704)</f>
        <v>StringType()</v>
      </c>
      <c r="E704" s="7" t="str">
        <f t="shared" si="88"/>
        <v>CLK_DETM_DETIS_FHDS</v>
      </c>
      <c r="F704" s="7" t="str">
        <f t="shared" si="82"/>
        <v>FHDS_AMR_1</v>
      </c>
      <c r="G704" s="7" t="s">
        <v>825</v>
      </c>
      <c r="H704" s="7" t="str">
        <f t="shared" si="83"/>
        <v>CLK_DETM_DETIS_FHDS</v>
      </c>
      <c r="I704" s="7" t="str">
        <f t="shared" si="84"/>
        <v>FHDS_AMR_1</v>
      </c>
      <c r="J704" s="7" t="str">
        <f t="shared" si="85"/>
        <v>VARCHAR</v>
      </c>
      <c r="K704" s="7" t="str">
        <f>TRIM(ETLMetadata!$G704)</f>
        <v>CHAR(4)</v>
      </c>
      <c r="L704" s="7" t="str">
        <f>TRIM(ETLMetadata!$I704)</f>
        <v/>
      </c>
      <c r="M704" s="7" t="str">
        <f t="shared" si="86"/>
        <v>NULLIF(TRIM(FHDS_AMR_1),'')</v>
      </c>
      <c r="N704" s="7" t="str">
        <f>TRIM(ETLMetadata!$J704)</f>
        <v/>
      </c>
      <c r="O704" s="8" t="str">
        <f>IF(TRIM(Classification!$G704)="","NOT CONFIDENTIAL",TRIM(Classification!$G704))</f>
        <v>NOT CONFIDENTIAL</v>
      </c>
      <c r="P704" s="7" t="str">
        <f t="shared" si="87"/>
        <v>Y</v>
      </c>
      <c r="Q704" s="7" t="s">
        <v>826</v>
      </c>
      <c r="R704" s="9">
        <v>2958465</v>
      </c>
      <c r="S704" s="7" t="s">
        <v>827</v>
      </c>
      <c r="T704" s="7" t="s">
        <v>828</v>
      </c>
      <c r="U704" s="7" t="str">
        <f t="shared" si="89"/>
        <v>CLK_DETM_DETIS_FHDS_V</v>
      </c>
      <c r="V704" s="7" t="s">
        <v>829</v>
      </c>
    </row>
    <row r="705" spans="1:22">
      <c r="A705" s="7" t="str">
        <f>TRIM(ETLMetadata!$B705)</f>
        <v>CLK</v>
      </c>
      <c r="B705" s="7" t="str">
        <f>TRIM(ETLMetadata!$C705)</f>
        <v>DETM_DETIS_FHDS</v>
      </c>
      <c r="C705" s="7" t="str">
        <f>TRIM(ETLMetadata!$F705)</f>
        <v>FHDS_AMR_2</v>
      </c>
      <c r="D705" s="7" t="str">
        <f>TRIM(ETLMetadata!$H705)</f>
        <v>StringType()</v>
      </c>
      <c r="E705" s="7" t="str">
        <f t="shared" si="88"/>
        <v>CLK_DETM_DETIS_FHDS</v>
      </c>
      <c r="F705" s="7" t="str">
        <f t="shared" si="82"/>
        <v>FHDS_AMR_2</v>
      </c>
      <c r="G705" s="7" t="s">
        <v>825</v>
      </c>
      <c r="H705" s="7" t="str">
        <f t="shared" si="83"/>
        <v>CLK_DETM_DETIS_FHDS</v>
      </c>
      <c r="I705" s="7" t="str">
        <f t="shared" si="84"/>
        <v>FHDS_AMR_2</v>
      </c>
      <c r="J705" s="7" t="str">
        <f t="shared" si="85"/>
        <v>VARCHAR</v>
      </c>
      <c r="K705" s="7" t="str">
        <f>TRIM(ETLMetadata!$G705)</f>
        <v>CHAR(1)</v>
      </c>
      <c r="L705" s="7" t="str">
        <f>TRIM(ETLMetadata!$I705)</f>
        <v/>
      </c>
      <c r="M705" s="7" t="str">
        <f t="shared" si="86"/>
        <v>NULLIF(TRIM(FHDS_AMR_2),'')</v>
      </c>
      <c r="N705" s="7" t="str">
        <f>TRIM(ETLMetadata!$J705)</f>
        <v/>
      </c>
      <c r="O705" s="8" t="str">
        <f>IF(TRIM(Classification!$G705)="","NOT CONFIDENTIAL",TRIM(Classification!$G705))</f>
        <v>NOT CONFIDENTIAL</v>
      </c>
      <c r="P705" s="7" t="str">
        <f t="shared" si="87"/>
        <v>Y</v>
      </c>
      <c r="Q705" s="7" t="s">
        <v>826</v>
      </c>
      <c r="R705" s="9">
        <v>2958465</v>
      </c>
      <c r="S705" s="7" t="s">
        <v>827</v>
      </c>
      <c r="T705" s="7" t="s">
        <v>828</v>
      </c>
      <c r="U705" s="7" t="str">
        <f t="shared" si="89"/>
        <v>CLK_DETM_DETIS_FHDS_V</v>
      </c>
      <c r="V705" s="7" t="s">
        <v>829</v>
      </c>
    </row>
    <row r="706" spans="1:22">
      <c r="A706" s="7" t="str">
        <f>TRIM(ETLMetadata!$B706)</f>
        <v>CLK</v>
      </c>
      <c r="B706" s="7" t="str">
        <f>TRIM(ETLMetadata!$C706)</f>
        <v>DETM_DETIS_FHDS</v>
      </c>
      <c r="C706" s="7" t="str">
        <f>TRIM(ETLMetadata!$F706)</f>
        <v>FHDS_AMR_3</v>
      </c>
      <c r="D706" s="7" t="str">
        <f>TRIM(ETLMetadata!$H706)</f>
        <v>StringType()</v>
      </c>
      <c r="E706" s="7" t="str">
        <f t="shared" si="88"/>
        <v>CLK_DETM_DETIS_FHDS</v>
      </c>
      <c r="F706" s="7" t="str">
        <f t="shared" si="82"/>
        <v>FHDS_AMR_3</v>
      </c>
      <c r="G706" s="7" t="s">
        <v>825</v>
      </c>
      <c r="H706" s="7" t="str">
        <f t="shared" si="83"/>
        <v>CLK_DETM_DETIS_FHDS</v>
      </c>
      <c r="I706" s="7" t="str">
        <f t="shared" si="84"/>
        <v>FHDS_AMR_3</v>
      </c>
      <c r="J706" s="7" t="str">
        <f t="shared" si="85"/>
        <v>VARCHAR</v>
      </c>
      <c r="K706" s="7" t="str">
        <f>TRIM(ETLMetadata!$G706)</f>
        <v>CHAR(4)</v>
      </c>
      <c r="L706" s="7" t="str">
        <f>TRIM(ETLMetadata!$I706)</f>
        <v/>
      </c>
      <c r="M706" s="7" t="str">
        <f t="shared" si="86"/>
        <v>NULLIF(TRIM(FHDS_AMR_3),'')</v>
      </c>
      <c r="N706" s="7" t="str">
        <f>TRIM(ETLMetadata!$J706)</f>
        <v/>
      </c>
      <c r="O706" s="8" t="str">
        <f>IF(TRIM(Classification!$G706)="","NOT CONFIDENTIAL",TRIM(Classification!$G706))</f>
        <v>NOT CONFIDENTIAL</v>
      </c>
      <c r="P706" s="7" t="str">
        <f t="shared" si="87"/>
        <v>Y</v>
      </c>
      <c r="Q706" s="7" t="s">
        <v>826</v>
      </c>
      <c r="R706" s="9">
        <v>2958465</v>
      </c>
      <c r="S706" s="7" t="s">
        <v>827</v>
      </c>
      <c r="T706" s="7" t="s">
        <v>828</v>
      </c>
      <c r="U706" s="7" t="str">
        <f t="shared" si="89"/>
        <v>CLK_DETM_DETIS_FHDS_V</v>
      </c>
      <c r="V706" s="7" t="s">
        <v>829</v>
      </c>
    </row>
    <row r="707" spans="1:22">
      <c r="A707" s="7" t="str">
        <f>TRIM(ETLMetadata!$B707)</f>
        <v>CLK</v>
      </c>
      <c r="B707" s="7" t="str">
        <f>TRIM(ETLMetadata!$C707)</f>
        <v>DETM_DETIS_FHDS</v>
      </c>
      <c r="C707" s="7" t="str">
        <f>TRIM(ETLMetadata!$F707)</f>
        <v>FHDS_BEN_TYPE_CODE</v>
      </c>
      <c r="D707" s="7" t="str">
        <f>TRIM(ETLMetadata!$H707)</f>
        <v>StringType()</v>
      </c>
      <c r="E707" s="7" t="str">
        <f t="shared" si="88"/>
        <v>CLK_DETM_DETIS_FHDS</v>
      </c>
      <c r="F707" s="7" t="str">
        <f t="shared" ref="F707:F770" si="90">IF($C707="Start_Date","STRT_DT",
 IF($C707="End_Date","END_DT",
 IF($C707="Record_Deleted_Flag","RCRD_DEL_IND",
 IF($C707="IsDeleted","RCRD_DEL_IND",
 $C707
))))</f>
        <v>FHDS_BEN_TYPE_CODE</v>
      </c>
      <c r="G707" s="7" t="s">
        <v>825</v>
      </c>
      <c r="H707" s="7" t="str">
        <f t="shared" ref="H707:H770" si="91">CONCATENATE($A707,"_",$B707)</f>
        <v>CLK_DETM_DETIS_FHDS</v>
      </c>
      <c r="I707" s="7" t="str">
        <f t="shared" ref="I707:I770" si="92">IF($C707="Start_Date","STRT_DT",
 IF($C707="End_Date","END_DT",
 IF($C707="Record_Deleted_Flag","RCRD_DEL_IND",
 IF($C707="IsDeleted","RCRD_DEL_IND",
 $C707
))))</f>
        <v>FHDS_BEN_TYPE_CODE</v>
      </c>
      <c r="J707" s="7" t="str">
        <f t="shared" ref="J707:J770" si="93">IF(LEFT(TRIM($K707),7)="VARCHAR","VARCHAR",
 IF(LEFT(TRIM($K707),4)="CHAR","VARCHAR",
 IF(TRIM($K707)="TIMESTAMP(6)","TIMESTAMP",
 IF(TRIM($K707)="DATE","DATE",
 IF(TRIM($K707)="BYTEINT","SMALLINT",
 IF(TRIM($K707)="SMALLINT","SMALLINT",
 IF(TRIM($K707)="INTEGER","INTEGER",
 IF(TRIM($K707)="BIGINT","INTEGER",
 IF(LEFT(TRIM($K707),7)="DECIMAL",TRIM($K707),
 IF(TRIM($K707)="BOOLEAN","BOOLEAN",
 IF(TRIM($K707)="DOUBLE","DOUBLE",
 IF(TRIM($K707)="FLOAT","FLOAT",
 IF(TRIM($K707)="REAL","REAL",
 IF(LEFT(TRIM($K707),6)="STRUCT","VARIANT",
 IF(LEFT(TRIM($K707),5)="ARRAY","VARIANT",
 IF(LEFT(TRIM($K707),3)="MAP","VARIANT",
 IF(LEFT(TRIM($K707),3)="ROW","VARIANT",
 "NONE"
)))))))))))))))))</f>
        <v>VARCHAR</v>
      </c>
      <c r="K707" s="7" t="str">
        <f>TRIM(ETLMetadata!$G707)</f>
        <v>CHAR(3)</v>
      </c>
      <c r="L707" s="7" t="str">
        <f>TRIM(ETLMetadata!$I707)</f>
        <v/>
      </c>
      <c r="M707" s="7" t="str">
        <f t="shared" ref="M707:M770" si="94">IF(LEFT($K707,7)="VARCHAR","NULLIF(TRIM("&amp;$I707&amp;"),'')",
 IF(LEFT($K707,4)="CHAR","NULLIF(TRIM("&amp;$I707&amp;"),'')",
 IF(LEFT($K707,7)="DECIMAL","CAST(NULLIF(TRIM("&amp;$I707&amp;"),'') AS "&amp;$K707&amp;")",
 IF($K707="TIMESTAMP(6)","TO_TIMESTAMP_NTZ(NULLIF(TRIM("&amp;$I707&amp;"),''),'YYYY-MM-DD HH24:MI:SS.FF6')",
 IF($K707="DATE","TO_DATE(NULLIF(TRIM("&amp;$I707&amp;"),'') , 'YYYY-MM-DD')",
 IF($K707="BIGINT","CAST(NULLIF(TRIM("&amp;I707&amp;"),'') AS INTEGER)",
 IF($K707="BYTEINT","CAST(NULLIF(TRIM("&amp;I707&amp;"),'') AS SMALLINT)",
 IF($K707="SMALLINT","CAST(NULLIF(TRIM("&amp;I707&amp;"),'') AS SMALLINT)",
 IF($K707="INTEGER","CAST(NULLIF(TRIM("&amp;I707&amp;"),'') AS INTEGER)",
 IF($K707="BOOLEAN","CAST(NULLIF(TRIM("&amp;I707&amp;"),'') AS BOOLEAN)",
 IF($K707="DOUBLE","CAST(NULLIF(TRIM("&amp;I707&amp;"),'') AS DOUBLE)",
 IF($K707="FLOAT","CAST(NULLIF(TRIM("&amp;I707&amp;"),'') AS FLOAT)",
 IF($K707="REAL","CAST(NULLIF(TRIM("&amp;I707&amp;"),'') AS REAL)",
 IF(OR($K707="STRUCT",$K707="ARRAY",$K707="MAP",$K707="ROW"),"CAST(NULLIF(TRIM("&amp;I707&amp;"),'') AS VARIANT)",
 "NONE"
))))))))))))))</f>
        <v>NULLIF(TRIM(FHDS_BEN_TYPE_CODE),'')</v>
      </c>
      <c r="N707" s="7" t="str">
        <f>TRIM(ETLMetadata!$J707)</f>
        <v/>
      </c>
      <c r="O707" s="8" t="str">
        <f>IF(TRIM(Classification!$G707)="","NOT CONFIDENTIAL",TRIM(Classification!$G707))</f>
        <v>NOT CONFIDENTIAL</v>
      </c>
      <c r="P707" s="7" t="str">
        <f t="shared" ref="P707:P770" si="95">IF($C707="Start_Date","N",
 IF($C707="End_Date","N",
 IF($C707="Record_Deleted_Flag","N",
 IF($C707="IsDeleted","N",
 "Y"
))))</f>
        <v>Y</v>
      </c>
      <c r="Q707" s="7" t="s">
        <v>826</v>
      </c>
      <c r="R707" s="9">
        <v>2958465</v>
      </c>
      <c r="S707" s="7" t="s">
        <v>827</v>
      </c>
      <c r="T707" s="7" t="s">
        <v>828</v>
      </c>
      <c r="U707" s="7" t="str">
        <f t="shared" si="89"/>
        <v>CLK_DETM_DETIS_FHDS_V</v>
      </c>
      <c r="V707" s="7" t="s">
        <v>829</v>
      </c>
    </row>
    <row r="708" spans="1:22">
      <c r="A708" s="7" t="str">
        <f>TRIM(ETLMetadata!$B708)</f>
        <v>CLK</v>
      </c>
      <c r="B708" s="7" t="str">
        <f>TRIM(ETLMetadata!$C708)</f>
        <v>DETM_DETIS_FHDS</v>
      </c>
      <c r="C708" s="7" t="str">
        <f>TRIM(ETLMetadata!$F708)</f>
        <v>FHDS_RSN_CODE</v>
      </c>
      <c r="D708" s="7" t="str">
        <f>TRIM(ETLMetadata!$H708)</f>
        <v>StringType()</v>
      </c>
      <c r="E708" s="7" t="str">
        <f t="shared" si="88"/>
        <v>CLK_DETM_DETIS_FHDS</v>
      </c>
      <c r="F708" s="7" t="str">
        <f t="shared" si="90"/>
        <v>FHDS_RSN_CODE</v>
      </c>
      <c r="G708" s="7" t="s">
        <v>825</v>
      </c>
      <c r="H708" s="7" t="str">
        <f t="shared" si="91"/>
        <v>CLK_DETM_DETIS_FHDS</v>
      </c>
      <c r="I708" s="7" t="str">
        <f t="shared" si="92"/>
        <v>FHDS_RSN_CODE</v>
      </c>
      <c r="J708" s="7" t="str">
        <f t="shared" si="93"/>
        <v>VARCHAR</v>
      </c>
      <c r="K708" s="7" t="str">
        <f>TRIM(ETLMetadata!$G708)</f>
        <v>CHAR(3)</v>
      </c>
      <c r="L708" s="7" t="str">
        <f>TRIM(ETLMetadata!$I708)</f>
        <v/>
      </c>
      <c r="M708" s="7" t="str">
        <f t="shared" si="94"/>
        <v>NULLIF(TRIM(FHDS_RSN_CODE),'')</v>
      </c>
      <c r="N708" s="7" t="str">
        <f>TRIM(ETLMetadata!$J708)</f>
        <v/>
      </c>
      <c r="O708" s="8" t="str">
        <f>IF(TRIM(Classification!$G708)="","NOT CONFIDENTIAL",TRIM(Classification!$G708))</f>
        <v>NOT CONFIDENTIAL</v>
      </c>
      <c r="P708" s="7" t="str">
        <f t="shared" si="95"/>
        <v>Y</v>
      </c>
      <c r="Q708" s="7" t="s">
        <v>826</v>
      </c>
      <c r="R708" s="9">
        <v>2958465</v>
      </c>
      <c r="S708" s="7" t="s">
        <v>827</v>
      </c>
      <c r="T708" s="7" t="s">
        <v>828</v>
      </c>
      <c r="U708" s="7" t="str">
        <f t="shared" si="89"/>
        <v>CLK_DETM_DETIS_FHDS_V</v>
      </c>
      <c r="V708" s="7" t="s">
        <v>829</v>
      </c>
    </row>
    <row r="709" spans="1:22">
      <c r="A709" s="7" t="str">
        <f>TRIM(ETLMetadata!$B709)</f>
        <v>CLK</v>
      </c>
      <c r="B709" s="7" t="str">
        <f>TRIM(ETLMetadata!$C709)</f>
        <v>DETM_DETIS_FHDS</v>
      </c>
      <c r="C709" s="7" t="str">
        <f>TRIM(ETLMetadata!$F709)</f>
        <v>FHDS_STS_CODE</v>
      </c>
      <c r="D709" s="7" t="str">
        <f>TRIM(ETLMetadata!$H709)</f>
        <v>StringType()</v>
      </c>
      <c r="E709" s="7" t="str">
        <f t="shared" si="88"/>
        <v>CLK_DETM_DETIS_FHDS</v>
      </c>
      <c r="F709" s="7" t="str">
        <f t="shared" si="90"/>
        <v>FHDS_STS_CODE</v>
      </c>
      <c r="G709" s="7" t="s">
        <v>825</v>
      </c>
      <c r="H709" s="7" t="str">
        <f t="shared" si="91"/>
        <v>CLK_DETM_DETIS_FHDS</v>
      </c>
      <c r="I709" s="7" t="str">
        <f t="shared" si="92"/>
        <v>FHDS_STS_CODE</v>
      </c>
      <c r="J709" s="7" t="str">
        <f t="shared" si="93"/>
        <v>VARCHAR</v>
      </c>
      <c r="K709" s="7" t="str">
        <f>TRIM(ETLMetadata!$G709)</f>
        <v>CHAR(3)</v>
      </c>
      <c r="L709" s="7" t="str">
        <f>TRIM(ETLMetadata!$I709)</f>
        <v/>
      </c>
      <c r="M709" s="7" t="str">
        <f t="shared" si="94"/>
        <v>NULLIF(TRIM(FHDS_STS_CODE),'')</v>
      </c>
      <c r="N709" s="7" t="str">
        <f>TRIM(ETLMetadata!$J709)</f>
        <v/>
      </c>
      <c r="O709" s="8" t="str">
        <f>IF(TRIM(Classification!$G709)="","NOT CONFIDENTIAL",TRIM(Classification!$G709))</f>
        <v>NOT CONFIDENTIAL</v>
      </c>
      <c r="P709" s="7" t="str">
        <f t="shared" si="95"/>
        <v>Y</v>
      </c>
      <c r="Q709" s="7" t="s">
        <v>826</v>
      </c>
      <c r="R709" s="9">
        <v>2958465</v>
      </c>
      <c r="S709" s="7" t="s">
        <v>827</v>
      </c>
      <c r="T709" s="7" t="s">
        <v>828</v>
      </c>
      <c r="U709" s="7" t="str">
        <f t="shared" si="89"/>
        <v>CLK_DETM_DETIS_FHDS_V</v>
      </c>
      <c r="V709" s="7" t="s">
        <v>829</v>
      </c>
    </row>
    <row r="710" spans="1:22">
      <c r="A710" s="7" t="str">
        <f>TRIM(ETLMetadata!$B710)</f>
        <v>CLK</v>
      </c>
      <c r="B710" s="7" t="str">
        <f>TRIM(ETLMetadata!$C710)</f>
        <v>DETM_DETIS_FHDS</v>
      </c>
      <c r="C710" s="7" t="str">
        <f>TRIM(ETLMetadata!$F710)</f>
        <v>AMR1_RISL_DTS</v>
      </c>
      <c r="D710" s="7" t="str">
        <f>TRIM(ETLMetadata!$H710)</f>
        <v>StringType()</v>
      </c>
      <c r="E710" s="7" t="str">
        <f t="shared" si="88"/>
        <v>CLK_DETM_DETIS_FHDS</v>
      </c>
      <c r="F710" s="7" t="str">
        <f t="shared" si="90"/>
        <v>AMR1_RISL_DTS</v>
      </c>
      <c r="G710" s="7" t="s">
        <v>825</v>
      </c>
      <c r="H710" s="7" t="str">
        <f t="shared" si="91"/>
        <v>CLK_DETM_DETIS_FHDS</v>
      </c>
      <c r="I710" s="7" t="str">
        <f t="shared" si="92"/>
        <v>AMR1_RISL_DTS</v>
      </c>
      <c r="J710" s="7" t="str">
        <f t="shared" si="93"/>
        <v>TIMESTAMP</v>
      </c>
      <c r="K710" s="7" t="str">
        <f>TRIM(ETLMetadata!$G710)</f>
        <v>TIMESTAMP(6)</v>
      </c>
      <c r="L710" s="7" t="str">
        <f>TRIM(ETLMetadata!$I710)</f>
        <v>YYYY-MM-DDBHH:MI:SS.S(6)</v>
      </c>
      <c r="M710" s="7" t="str">
        <f t="shared" si="94"/>
        <v>TO_TIMESTAMP_NTZ(NULLIF(TRIM(AMR1_RISL_DTS),''),'YYYY-MM-DD HH24:MI:SS.FF6')</v>
      </c>
      <c r="N710" s="7" t="str">
        <f>TRIM(ETLMetadata!$J710)</f>
        <v/>
      </c>
      <c r="O710" s="8" t="str">
        <f>IF(TRIM(Classification!$G710)="","NOT CONFIDENTIAL",TRIM(Classification!$G710))</f>
        <v>NOT CONFIDENTIAL</v>
      </c>
      <c r="P710" s="7" t="str">
        <f t="shared" si="95"/>
        <v>Y</v>
      </c>
      <c r="Q710" s="7" t="s">
        <v>826</v>
      </c>
      <c r="R710" s="9">
        <v>2958465</v>
      </c>
      <c r="S710" s="7" t="s">
        <v>827</v>
      </c>
      <c r="T710" s="7" t="s">
        <v>828</v>
      </c>
      <c r="U710" s="7" t="str">
        <f t="shared" si="89"/>
        <v>CLK_DETM_DETIS_FHDS_V</v>
      </c>
      <c r="V710" s="7" t="s">
        <v>829</v>
      </c>
    </row>
    <row r="711" spans="1:22">
      <c r="A711" s="7" t="str">
        <f>TRIM(ETLMetadata!$B711)</f>
        <v>CLK</v>
      </c>
      <c r="B711" s="7" t="str">
        <f>TRIM(ETLMetadata!$C711)</f>
        <v>DETM_DETIS_FHDS</v>
      </c>
      <c r="C711" s="7" t="str">
        <f>TRIM(ETLMetadata!$F711)</f>
        <v>AMR3_RISL_DTS</v>
      </c>
      <c r="D711" s="7" t="str">
        <f>TRIM(ETLMetadata!$H711)</f>
        <v>StringType()</v>
      </c>
      <c r="E711" s="7" t="str">
        <f t="shared" si="88"/>
        <v>CLK_DETM_DETIS_FHDS</v>
      </c>
      <c r="F711" s="7" t="str">
        <f t="shared" si="90"/>
        <v>AMR3_RISL_DTS</v>
      </c>
      <c r="G711" s="7" t="s">
        <v>825</v>
      </c>
      <c r="H711" s="7" t="str">
        <f t="shared" si="91"/>
        <v>CLK_DETM_DETIS_FHDS</v>
      </c>
      <c r="I711" s="7" t="str">
        <f t="shared" si="92"/>
        <v>AMR3_RISL_DTS</v>
      </c>
      <c r="J711" s="7" t="str">
        <f t="shared" si="93"/>
        <v>TIMESTAMP</v>
      </c>
      <c r="K711" s="7" t="str">
        <f>TRIM(ETLMetadata!$G711)</f>
        <v>TIMESTAMP(6)</v>
      </c>
      <c r="L711" s="7" t="str">
        <f>TRIM(ETLMetadata!$I711)</f>
        <v>YYYY-MM-DDBHH:MI:SS.S(6)</v>
      </c>
      <c r="M711" s="7" t="str">
        <f t="shared" si="94"/>
        <v>TO_TIMESTAMP_NTZ(NULLIF(TRIM(AMR3_RISL_DTS),''),'YYYY-MM-DD HH24:MI:SS.FF6')</v>
      </c>
      <c r="N711" s="7" t="str">
        <f>TRIM(ETLMetadata!$J711)</f>
        <v/>
      </c>
      <c r="O711" s="8" t="str">
        <f>IF(TRIM(Classification!$G711)="","NOT CONFIDENTIAL",TRIM(Classification!$G711))</f>
        <v>NOT CONFIDENTIAL</v>
      </c>
      <c r="P711" s="7" t="str">
        <f t="shared" si="95"/>
        <v>Y</v>
      </c>
      <c r="Q711" s="7" t="s">
        <v>826</v>
      </c>
      <c r="R711" s="9">
        <v>2958465</v>
      </c>
      <c r="S711" s="7" t="s">
        <v>827</v>
      </c>
      <c r="T711" s="7" t="s">
        <v>828</v>
      </c>
      <c r="U711" s="7" t="str">
        <f t="shared" si="89"/>
        <v>CLK_DETM_DETIS_FHDS_V</v>
      </c>
      <c r="V711" s="7" t="s">
        <v>829</v>
      </c>
    </row>
    <row r="712" spans="1:22">
      <c r="A712" s="7" t="str">
        <f>TRIM(ETLMetadata!$B712)</f>
        <v>CLK</v>
      </c>
      <c r="B712" s="7" t="str">
        <f>TRIM(ETLMetadata!$C712)</f>
        <v>DETM_DETIS_FHDS</v>
      </c>
      <c r="C712" s="7" t="str">
        <f>TRIM(ETLMetadata!$F712)</f>
        <v>PARTY_ROLE_ID</v>
      </c>
      <c r="D712" s="7" t="str">
        <f>TRIM(ETLMetadata!$H712)</f>
        <v>StringType()</v>
      </c>
      <c r="E712" s="7" t="str">
        <f t="shared" si="88"/>
        <v>CLK_DETM_DETIS_FHDS</v>
      </c>
      <c r="F712" s="7" t="str">
        <f t="shared" si="90"/>
        <v>PARTY_ROLE_ID</v>
      </c>
      <c r="G712" s="7" t="s">
        <v>825</v>
      </c>
      <c r="H712" s="7" t="str">
        <f t="shared" si="91"/>
        <v>CLK_DETM_DETIS_FHDS</v>
      </c>
      <c r="I712" s="7" t="str">
        <f t="shared" si="92"/>
        <v>PARTY_ROLE_ID</v>
      </c>
      <c r="J712" s="7" t="str">
        <f t="shared" si="93"/>
        <v>INTEGER</v>
      </c>
      <c r="K712" s="7" t="str">
        <f>TRIM(ETLMetadata!$G712)</f>
        <v>INTEGER</v>
      </c>
      <c r="L712" s="7" t="str">
        <f>TRIM(ETLMetadata!$I712)</f>
        <v/>
      </c>
      <c r="M712" s="7" t="str">
        <f t="shared" si="94"/>
        <v>CAST(NULLIF(TRIM(PARTY_ROLE_ID),'') AS INTEGER)</v>
      </c>
      <c r="N712" s="7" t="str">
        <f>TRIM(ETLMetadata!$J712)</f>
        <v/>
      </c>
      <c r="O712" s="8" t="str">
        <f>IF(TRIM(Classification!$G712)="","NOT CONFIDENTIAL",TRIM(Classification!$G712))</f>
        <v>NOT CONFIDENTIAL</v>
      </c>
      <c r="P712" s="7" t="str">
        <f t="shared" si="95"/>
        <v>Y</v>
      </c>
      <c r="Q712" s="7" t="s">
        <v>826</v>
      </c>
      <c r="R712" s="9">
        <v>2958465</v>
      </c>
      <c r="S712" s="7" t="s">
        <v>827</v>
      </c>
      <c r="T712" s="7" t="s">
        <v>828</v>
      </c>
      <c r="U712" s="7" t="str">
        <f t="shared" si="89"/>
        <v>CLK_DETM_DETIS_FHDS_V</v>
      </c>
      <c r="V712" s="7" t="s">
        <v>829</v>
      </c>
    </row>
    <row r="713" spans="1:22">
      <c r="A713" s="7" t="str">
        <f>TRIM(ETLMetadata!$B713)</f>
        <v>CLK</v>
      </c>
      <c r="B713" s="7" t="str">
        <f>TRIM(ETLMetadata!$C713)</f>
        <v>DETM_DETIS_FHDS</v>
      </c>
      <c r="C713" s="7" t="str">
        <f>TRIM(ETLMetadata!$F713)</f>
        <v>EPISODE_ID</v>
      </c>
      <c r="D713" s="7" t="str">
        <f>TRIM(ETLMetadata!$H713)</f>
        <v>StringType()</v>
      </c>
      <c r="E713" s="7" t="str">
        <f t="shared" si="88"/>
        <v>CLK_DETM_DETIS_FHDS</v>
      </c>
      <c r="F713" s="7" t="str">
        <f t="shared" si="90"/>
        <v>EPISODE_ID</v>
      </c>
      <c r="G713" s="7" t="s">
        <v>825</v>
      </c>
      <c r="H713" s="7" t="str">
        <f t="shared" si="91"/>
        <v>CLK_DETM_DETIS_FHDS</v>
      </c>
      <c r="I713" s="7" t="str">
        <f t="shared" si="92"/>
        <v>EPISODE_ID</v>
      </c>
      <c r="J713" s="7" t="str">
        <f t="shared" si="93"/>
        <v>INTEGER</v>
      </c>
      <c r="K713" s="7" t="str">
        <f>TRIM(ETLMetadata!$G713)</f>
        <v>INTEGER</v>
      </c>
      <c r="L713" s="7" t="str">
        <f>TRIM(ETLMetadata!$I713)</f>
        <v/>
      </c>
      <c r="M713" s="7" t="str">
        <f t="shared" si="94"/>
        <v>CAST(NULLIF(TRIM(EPISODE_ID),'') AS INTEGER)</v>
      </c>
      <c r="N713" s="7" t="str">
        <f>TRIM(ETLMetadata!$J713)</f>
        <v/>
      </c>
      <c r="O713" s="8" t="str">
        <f>IF(TRIM(Classification!$G713)="","NOT CONFIDENTIAL",TRIM(Classification!$G713))</f>
        <v>NOT CONFIDENTIAL</v>
      </c>
      <c r="P713" s="7" t="str">
        <f t="shared" si="95"/>
        <v>Y</v>
      </c>
      <c r="Q713" s="7" t="s">
        <v>826</v>
      </c>
      <c r="R713" s="9">
        <v>2958465</v>
      </c>
      <c r="S713" s="7" t="s">
        <v>827</v>
      </c>
      <c r="T713" s="7" t="s">
        <v>828</v>
      </c>
      <c r="U713" s="7" t="str">
        <f t="shared" si="89"/>
        <v>CLK_DETM_DETIS_FHDS_V</v>
      </c>
      <c r="V713" s="7" t="s">
        <v>829</v>
      </c>
    </row>
    <row r="714" spans="1:22">
      <c r="A714" s="7" t="str">
        <f>TRIM(ETLMetadata!$B714)</f>
        <v>CLK</v>
      </c>
      <c r="B714" s="7" t="str">
        <f>TRIM(ETLMetadata!$C714)</f>
        <v>DETM_DETIS_FHDS</v>
      </c>
      <c r="C714" s="7" t="str">
        <f>TRIM(ETLMetadata!$F714)</f>
        <v>PAYMENT_TYPE_ID</v>
      </c>
      <c r="D714" s="7" t="str">
        <f>TRIM(ETLMetadata!$H714)</f>
        <v>StringType()</v>
      </c>
      <c r="E714" s="7" t="str">
        <f t="shared" si="88"/>
        <v>CLK_DETM_DETIS_FHDS</v>
      </c>
      <c r="F714" s="7" t="str">
        <f t="shared" si="90"/>
        <v>PAYMENT_TYPE_ID</v>
      </c>
      <c r="G714" s="7" t="s">
        <v>825</v>
      </c>
      <c r="H714" s="7" t="str">
        <f t="shared" si="91"/>
        <v>CLK_DETM_DETIS_FHDS</v>
      </c>
      <c r="I714" s="7" t="str">
        <f t="shared" si="92"/>
        <v>PAYMENT_TYPE_ID</v>
      </c>
      <c r="J714" s="7" t="str">
        <f t="shared" si="93"/>
        <v>INTEGER</v>
      </c>
      <c r="K714" s="7" t="str">
        <f>TRIM(ETLMetadata!$G714)</f>
        <v>INTEGER</v>
      </c>
      <c r="L714" s="7" t="str">
        <f>TRIM(ETLMetadata!$I714)</f>
        <v/>
      </c>
      <c r="M714" s="7" t="str">
        <f t="shared" si="94"/>
        <v>CAST(NULLIF(TRIM(PAYMENT_TYPE_ID),'') AS INTEGER)</v>
      </c>
      <c r="N714" s="7" t="str">
        <f>TRIM(ETLMetadata!$J714)</f>
        <v/>
      </c>
      <c r="O714" s="8" t="str">
        <f>IF(TRIM(Classification!$G714)="","NOT CONFIDENTIAL",TRIM(Classification!$G714))</f>
        <v>NOT CONFIDENTIAL</v>
      </c>
      <c r="P714" s="7" t="str">
        <f t="shared" si="95"/>
        <v>Y</v>
      </c>
      <c r="Q714" s="7" t="s">
        <v>826</v>
      </c>
      <c r="R714" s="9">
        <v>2958465</v>
      </c>
      <c r="S714" s="7" t="s">
        <v>827</v>
      </c>
      <c r="T714" s="7" t="s">
        <v>828</v>
      </c>
      <c r="U714" s="7" t="str">
        <f t="shared" si="89"/>
        <v>CLK_DETM_DETIS_FHDS_V</v>
      </c>
      <c r="V714" s="7" t="s">
        <v>829</v>
      </c>
    </row>
    <row r="715" spans="1:22">
      <c r="A715" s="7" t="str">
        <f>TRIM(ETLMetadata!$B715)</f>
        <v>CLK</v>
      </c>
      <c r="B715" s="7" t="str">
        <f>TRIM(ETLMetadata!$C715)</f>
        <v>DETM_DETIS_FHDS</v>
      </c>
      <c r="C715" s="7" t="str">
        <f>TRIM(ETLMetadata!$F715)</f>
        <v>ERROR_COUNT</v>
      </c>
      <c r="D715" s="7" t="str">
        <f>TRIM(ETLMetadata!$H715)</f>
        <v>StringType()</v>
      </c>
      <c r="E715" s="7" t="str">
        <f t="shared" si="88"/>
        <v>CLK_DETM_DETIS_FHDS</v>
      </c>
      <c r="F715" s="7" t="str">
        <f t="shared" si="90"/>
        <v>ERROR_COUNT</v>
      </c>
      <c r="G715" s="7" t="s">
        <v>825</v>
      </c>
      <c r="H715" s="7" t="str">
        <f t="shared" si="91"/>
        <v>CLK_DETM_DETIS_FHDS</v>
      </c>
      <c r="I715" s="7" t="str">
        <f t="shared" si="92"/>
        <v>ERROR_COUNT</v>
      </c>
      <c r="J715" s="7" t="str">
        <f t="shared" si="93"/>
        <v>SMALLINT</v>
      </c>
      <c r="K715" s="7" t="str">
        <f>TRIM(ETLMetadata!$G715)</f>
        <v>SMALLINT</v>
      </c>
      <c r="L715" s="7" t="str">
        <f>TRIM(ETLMetadata!$I715)</f>
        <v/>
      </c>
      <c r="M715" s="7" t="str">
        <f t="shared" si="94"/>
        <v>CAST(NULLIF(TRIM(ERROR_COUNT),'') AS SMALLINT)</v>
      </c>
      <c r="N715" s="7" t="str">
        <f>TRIM(ETLMetadata!$J715)</f>
        <v/>
      </c>
      <c r="O715" s="8" t="str">
        <f>IF(TRIM(Classification!$G715)="","NOT CONFIDENTIAL",TRIM(Classification!$G715))</f>
        <v>NOT CONFIDENTIAL</v>
      </c>
      <c r="P715" s="7" t="str">
        <f t="shared" si="95"/>
        <v>Y</v>
      </c>
      <c r="Q715" s="7" t="s">
        <v>826</v>
      </c>
      <c r="R715" s="9">
        <v>2958465</v>
      </c>
      <c r="S715" s="7" t="s">
        <v>827</v>
      </c>
      <c r="T715" s="7" t="s">
        <v>828</v>
      </c>
      <c r="U715" s="7" t="str">
        <f t="shared" si="89"/>
        <v>CLK_DETM_DETIS_FHDS_V</v>
      </c>
      <c r="V715" s="7" t="s">
        <v>829</v>
      </c>
    </row>
    <row r="716" spans="1:22">
      <c r="A716" s="7" t="str">
        <f>TRIM(ETLMetadata!$B716)</f>
        <v>CLK</v>
      </c>
      <c r="B716" s="7" t="str">
        <f>TRIM(ETLMetadata!$C716)</f>
        <v>DETM_DETIS_FHDS</v>
      </c>
      <c r="C716" s="7" t="str">
        <f>TRIM(ETLMetadata!$F716)</f>
        <v>Start_Date</v>
      </c>
      <c r="D716" s="7" t="str">
        <f>TRIM(ETLMetadata!$H716)</f>
        <v>StringType()</v>
      </c>
      <c r="E716" s="7" t="str">
        <f t="shared" si="88"/>
        <v>CLK_DETM_DETIS_FHDS</v>
      </c>
      <c r="F716" s="7" t="str">
        <f t="shared" si="90"/>
        <v>STRT_DT</v>
      </c>
      <c r="G716" s="7" t="s">
        <v>825</v>
      </c>
      <c r="H716" s="7" t="str">
        <f t="shared" si="91"/>
        <v>CLK_DETM_DETIS_FHDS</v>
      </c>
      <c r="I716" s="7" t="str">
        <f t="shared" si="92"/>
        <v>STRT_DT</v>
      </c>
      <c r="J716" s="7" t="str">
        <f t="shared" si="93"/>
        <v>DATE</v>
      </c>
      <c r="K716" s="7" t="str">
        <f>TRIM(ETLMetadata!$G716)</f>
        <v>DATE</v>
      </c>
      <c r="L716" s="7" t="str">
        <f>TRIM(ETLMetadata!$I716)</f>
        <v>YYYY-MM-DD</v>
      </c>
      <c r="M716" s="7" t="str">
        <f t="shared" si="94"/>
        <v>TO_DATE(NULLIF(TRIM(STRT_DT),'') , 'YYYY-MM-DD')</v>
      </c>
      <c r="N716" s="7" t="str">
        <f>TRIM(ETLMetadata!$J716)</f>
        <v/>
      </c>
      <c r="O716" s="8" t="str">
        <f>IF(TRIM(Classification!$G716)="","NOT CONFIDENTIAL",TRIM(Classification!$G716))</f>
        <v>NOT CONFIDENTIAL</v>
      </c>
      <c r="P716" s="7" t="str">
        <f t="shared" si="95"/>
        <v>N</v>
      </c>
      <c r="Q716" s="7" t="s">
        <v>826</v>
      </c>
      <c r="R716" s="9">
        <v>2958465</v>
      </c>
      <c r="S716" s="7" t="s">
        <v>827</v>
      </c>
      <c r="T716" s="7" t="s">
        <v>828</v>
      </c>
      <c r="U716" s="7" t="str">
        <f t="shared" si="89"/>
        <v>CLK_DETM_DETIS_FHDS_V</v>
      </c>
      <c r="V716" s="7" t="s">
        <v>829</v>
      </c>
    </row>
    <row r="717" spans="1:22">
      <c r="A717" s="7" t="str">
        <f>TRIM(ETLMetadata!$B717)</f>
        <v>CLK</v>
      </c>
      <c r="B717" s="7" t="str">
        <f>TRIM(ETLMetadata!$C717)</f>
        <v>DETM_DETIS_FHDS</v>
      </c>
      <c r="C717" s="7" t="str">
        <f>TRIM(ETLMetadata!$F717)</f>
        <v>End_Date</v>
      </c>
      <c r="D717" s="7" t="str">
        <f>TRIM(ETLMetadata!$H717)</f>
        <v>StringType()</v>
      </c>
      <c r="E717" s="7" t="str">
        <f t="shared" si="88"/>
        <v>CLK_DETM_DETIS_FHDS</v>
      </c>
      <c r="F717" s="7" t="str">
        <f t="shared" si="90"/>
        <v>END_DT</v>
      </c>
      <c r="G717" s="7" t="s">
        <v>825</v>
      </c>
      <c r="H717" s="7" t="str">
        <f t="shared" si="91"/>
        <v>CLK_DETM_DETIS_FHDS</v>
      </c>
      <c r="I717" s="7" t="str">
        <f t="shared" si="92"/>
        <v>END_DT</v>
      </c>
      <c r="J717" s="7" t="str">
        <f t="shared" si="93"/>
        <v>DATE</v>
      </c>
      <c r="K717" s="7" t="str">
        <f>TRIM(ETLMetadata!$G717)</f>
        <v>DATE</v>
      </c>
      <c r="L717" s="7" t="str">
        <f>TRIM(ETLMetadata!$I717)</f>
        <v>YYYY-MM-DD</v>
      </c>
      <c r="M717" s="7" t="str">
        <f t="shared" si="94"/>
        <v>TO_DATE(NULLIF(TRIM(END_DT),'') , 'YYYY-MM-DD')</v>
      </c>
      <c r="N717" s="7" t="str">
        <f>TRIM(ETLMetadata!$J717)</f>
        <v/>
      </c>
      <c r="O717" s="8" t="str">
        <f>IF(TRIM(Classification!$G717)="","NOT CONFIDENTIAL",TRIM(Classification!$G717))</f>
        <v>NOT CONFIDENTIAL</v>
      </c>
      <c r="P717" s="7" t="str">
        <f t="shared" si="95"/>
        <v>N</v>
      </c>
      <c r="Q717" s="7" t="s">
        <v>826</v>
      </c>
      <c r="R717" s="9">
        <v>2958465</v>
      </c>
      <c r="S717" s="7" t="s">
        <v>827</v>
      </c>
      <c r="T717" s="7" t="s">
        <v>828</v>
      </c>
      <c r="U717" s="7" t="str">
        <f t="shared" si="89"/>
        <v>CLK_DETM_DETIS_FHDS_V</v>
      </c>
      <c r="V717" s="7" t="s">
        <v>829</v>
      </c>
    </row>
    <row r="718" spans="1:22">
      <c r="A718" s="7" t="str">
        <f>TRIM(ETLMetadata!$B718)</f>
        <v>CLK</v>
      </c>
      <c r="B718" s="7" t="str">
        <f>TRIM(ETLMetadata!$C718)</f>
        <v>DETM_DETIS_FHDS</v>
      </c>
      <c r="C718" s="7" t="str">
        <f>TRIM(ETLMetadata!$F718)</f>
        <v>Record_Deleted_Flag</v>
      </c>
      <c r="D718" s="7" t="str">
        <f>TRIM(ETLMetadata!$H718)</f>
        <v>StringType()</v>
      </c>
      <c r="E718" s="7" t="str">
        <f t="shared" si="88"/>
        <v>CLK_DETM_DETIS_FHDS</v>
      </c>
      <c r="F718" s="7" t="str">
        <f t="shared" si="90"/>
        <v>RCRD_DEL_IND</v>
      </c>
      <c r="G718" s="7" t="s">
        <v>825</v>
      </c>
      <c r="H718" s="7" t="str">
        <f t="shared" si="91"/>
        <v>CLK_DETM_DETIS_FHDS</v>
      </c>
      <c r="I718" s="7" t="str">
        <f t="shared" si="92"/>
        <v>RCRD_DEL_IND</v>
      </c>
      <c r="J718" s="7" t="str">
        <f t="shared" si="93"/>
        <v>SMALLINT</v>
      </c>
      <c r="K718" s="7" t="str">
        <f>TRIM(ETLMetadata!$G718)</f>
        <v>BYTEINT</v>
      </c>
      <c r="L718" s="7" t="str">
        <f>TRIM(ETLMetadata!$I718)</f>
        <v/>
      </c>
      <c r="M718" s="7" t="str">
        <f t="shared" si="94"/>
        <v>CAST(NULLIF(TRIM(RCRD_DEL_IND),'') AS SMALLINT)</v>
      </c>
      <c r="N718" s="7" t="str">
        <f>TRIM(ETLMetadata!$J718)</f>
        <v/>
      </c>
      <c r="O718" s="8" t="str">
        <f>IF(TRIM(Classification!$G718)="","NOT CONFIDENTIAL",TRIM(Classification!$G718))</f>
        <v>NOT CONFIDENTIAL</v>
      </c>
      <c r="P718" s="7" t="str">
        <f t="shared" si="95"/>
        <v>N</v>
      </c>
      <c r="Q718" s="7" t="s">
        <v>826</v>
      </c>
      <c r="R718" s="9">
        <v>2958465</v>
      </c>
      <c r="S718" s="7" t="s">
        <v>827</v>
      </c>
      <c r="T718" s="7" t="s">
        <v>828</v>
      </c>
      <c r="U718" s="7" t="str">
        <f t="shared" si="89"/>
        <v>CLK_DETM_DETIS_FHDS_V</v>
      </c>
      <c r="V718" s="7" t="s">
        <v>829</v>
      </c>
    </row>
    <row r="719" spans="1:22">
      <c r="A719" s="7" t="str">
        <f>TRIM(ETLMetadata!$B719)</f>
        <v>CLK</v>
      </c>
      <c r="B719" s="7" t="str">
        <f>TRIM(ETLMetadata!$C719)</f>
        <v>DETM_DETIS_FTDS</v>
      </c>
      <c r="C719" s="7" t="str">
        <f>TRIM(ETLMetadata!$F719)</f>
        <v>EXTRACT_DATE</v>
      </c>
      <c r="D719" s="7" t="str">
        <f>TRIM(ETLMetadata!$H719)</f>
        <v>StringType()</v>
      </c>
      <c r="E719" s="7" t="str">
        <f t="shared" si="88"/>
        <v>CLK_DETM_DETIS_FTDS</v>
      </c>
      <c r="F719" s="7" t="str">
        <f t="shared" si="90"/>
        <v>EXTRACT_DATE</v>
      </c>
      <c r="G719" s="7" t="s">
        <v>825</v>
      </c>
      <c r="H719" s="7" t="str">
        <f t="shared" si="91"/>
        <v>CLK_DETM_DETIS_FTDS</v>
      </c>
      <c r="I719" s="7" t="str">
        <f t="shared" si="92"/>
        <v>EXTRACT_DATE</v>
      </c>
      <c r="J719" s="7" t="str">
        <f t="shared" si="93"/>
        <v>DATE</v>
      </c>
      <c r="K719" s="7" t="str">
        <f>TRIM(ETLMetadata!$G719)</f>
        <v>DATE</v>
      </c>
      <c r="L719" s="7" t="str">
        <f>TRIM(ETLMetadata!$I719)</f>
        <v>YYYY-MM-DD</v>
      </c>
      <c r="M719" s="7" t="str">
        <f t="shared" si="94"/>
        <v>TO_DATE(NULLIF(TRIM(EXTRACT_DATE),'') , 'YYYY-MM-DD')</v>
      </c>
      <c r="N719" s="7" t="str">
        <f>TRIM(ETLMetadata!$J719)</f>
        <v/>
      </c>
      <c r="O719" s="8" t="str">
        <f>IF(TRIM(Classification!$G719)="","NOT CONFIDENTIAL",TRIM(Classification!$G719))</f>
        <v>NOT CONFIDENTIAL</v>
      </c>
      <c r="P719" s="7" t="str">
        <f t="shared" si="95"/>
        <v>Y</v>
      </c>
      <c r="Q719" s="7" t="s">
        <v>826</v>
      </c>
      <c r="R719" s="9">
        <v>2958465</v>
      </c>
      <c r="S719" s="7" t="s">
        <v>827</v>
      </c>
      <c r="T719" s="7" t="s">
        <v>828</v>
      </c>
      <c r="U719" s="7" t="str">
        <f t="shared" si="89"/>
        <v>CLK_DETM_DETIS_FTDS_V</v>
      </c>
      <c r="V719" s="7" t="s">
        <v>829</v>
      </c>
    </row>
    <row r="720" spans="1:22">
      <c r="A720" s="7" t="str">
        <f>TRIM(ETLMetadata!$B720)</f>
        <v>CLK</v>
      </c>
      <c r="B720" s="7" t="str">
        <f>TRIM(ETLMetadata!$C720)</f>
        <v>DETM_DETIS_FTDS</v>
      </c>
      <c r="C720" s="7" t="str">
        <f>TRIM(ETLMetadata!$F720)</f>
        <v>LOGICAL_DELETE_DATE</v>
      </c>
      <c r="D720" s="7" t="str">
        <f>TRIM(ETLMetadata!$H720)</f>
        <v>StringType()</v>
      </c>
      <c r="E720" s="7" t="str">
        <f t="shared" si="88"/>
        <v>CLK_DETM_DETIS_FTDS</v>
      </c>
      <c r="F720" s="7" t="str">
        <f t="shared" si="90"/>
        <v>LOGICAL_DELETE_DATE</v>
      </c>
      <c r="G720" s="7" t="s">
        <v>825</v>
      </c>
      <c r="H720" s="7" t="str">
        <f t="shared" si="91"/>
        <v>CLK_DETM_DETIS_FTDS</v>
      </c>
      <c r="I720" s="7" t="str">
        <f t="shared" si="92"/>
        <v>LOGICAL_DELETE_DATE</v>
      </c>
      <c r="J720" s="7" t="str">
        <f t="shared" si="93"/>
        <v>DATE</v>
      </c>
      <c r="K720" s="7" t="str">
        <f>TRIM(ETLMetadata!$G720)</f>
        <v>DATE</v>
      </c>
      <c r="L720" s="7" t="str">
        <f>TRIM(ETLMetadata!$I720)</f>
        <v>YYYY-MM-DD</v>
      </c>
      <c r="M720" s="7" t="str">
        <f t="shared" si="94"/>
        <v>TO_DATE(NULLIF(TRIM(LOGICAL_DELETE_DATE),'') , 'YYYY-MM-DD')</v>
      </c>
      <c r="N720" s="7" t="str">
        <f>TRIM(ETLMetadata!$J720)</f>
        <v/>
      </c>
      <c r="O720" s="8" t="str">
        <f>IF(TRIM(Classification!$G720)="","NOT CONFIDENTIAL",TRIM(Classification!$G720))</f>
        <v>NOT CONFIDENTIAL</v>
      </c>
      <c r="P720" s="7" t="str">
        <f t="shared" si="95"/>
        <v>Y</v>
      </c>
      <c r="Q720" s="7" t="s">
        <v>826</v>
      </c>
      <c r="R720" s="9">
        <v>2958465</v>
      </c>
      <c r="S720" s="7" t="s">
        <v>827</v>
      </c>
      <c r="T720" s="7" t="s">
        <v>828</v>
      </c>
      <c r="U720" s="7" t="str">
        <f t="shared" si="89"/>
        <v>CLK_DETM_DETIS_FTDS_V</v>
      </c>
      <c r="V720" s="7" t="s">
        <v>829</v>
      </c>
    </row>
    <row r="721" spans="1:22">
      <c r="A721" s="7" t="str">
        <f>TRIM(ETLMetadata!$B721)</f>
        <v>CLK</v>
      </c>
      <c r="B721" s="7" t="str">
        <f>TRIM(ETLMetadata!$C721)</f>
        <v>DETM_DETIS_FTDS</v>
      </c>
      <c r="C721" s="7" t="str">
        <f>TRIM(ETLMetadata!$F721)</f>
        <v>ENVIRONMENT_ID</v>
      </c>
      <c r="D721" s="7" t="str">
        <f>TRIM(ETLMetadata!$H721)</f>
        <v>StringType()</v>
      </c>
      <c r="E721" s="7" t="str">
        <f t="shared" si="88"/>
        <v>CLK_DETM_DETIS_FTDS</v>
      </c>
      <c r="F721" s="7" t="str">
        <f t="shared" si="90"/>
        <v>ENVIRONMENT_ID</v>
      </c>
      <c r="G721" s="7" t="s">
        <v>825</v>
      </c>
      <c r="H721" s="7" t="str">
        <f t="shared" si="91"/>
        <v>CLK_DETM_DETIS_FTDS</v>
      </c>
      <c r="I721" s="7" t="str">
        <f t="shared" si="92"/>
        <v>ENVIRONMENT_ID</v>
      </c>
      <c r="J721" s="7" t="str">
        <f t="shared" si="93"/>
        <v>VARCHAR</v>
      </c>
      <c r="K721" s="7" t="str">
        <f>TRIM(ETLMetadata!$G721)</f>
        <v>CHAR(1)</v>
      </c>
      <c r="L721" s="7" t="str">
        <f>TRIM(ETLMetadata!$I721)</f>
        <v/>
      </c>
      <c r="M721" s="7" t="str">
        <f t="shared" si="94"/>
        <v>NULLIF(TRIM(ENVIRONMENT_ID),'')</v>
      </c>
      <c r="N721" s="7" t="str">
        <f>TRIM(ETLMetadata!$J721)</f>
        <v>Y</v>
      </c>
      <c r="O721" s="8" t="str">
        <f>IF(TRIM(Classification!$G721)="","NOT CONFIDENTIAL",TRIM(Classification!$G721))</f>
        <v>NOT CONFIDENTIAL</v>
      </c>
      <c r="P721" s="7" t="str">
        <f t="shared" si="95"/>
        <v>Y</v>
      </c>
      <c r="Q721" s="7" t="s">
        <v>826</v>
      </c>
      <c r="R721" s="9">
        <v>2958465</v>
      </c>
      <c r="S721" s="7" t="s">
        <v>827</v>
      </c>
      <c r="T721" s="7" t="s">
        <v>828</v>
      </c>
      <c r="U721" s="7" t="str">
        <f t="shared" si="89"/>
        <v>CLK_DETM_DETIS_FTDS_V</v>
      </c>
      <c r="V721" s="7" t="s">
        <v>829</v>
      </c>
    </row>
    <row r="722" spans="1:22">
      <c r="A722" s="7" t="str">
        <f>TRIM(ETLMetadata!$B722)</f>
        <v>CLK</v>
      </c>
      <c r="B722" s="7" t="str">
        <f>TRIM(ETLMetadata!$C722)</f>
        <v>DETM_DETIS_FTDS</v>
      </c>
      <c r="C722" s="7" t="str">
        <f>TRIM(ETLMetadata!$F722)</f>
        <v>PERSON_ID</v>
      </c>
      <c r="D722" s="7" t="str">
        <f>TRIM(ETLMetadata!$H722)</f>
        <v>StringType()</v>
      </c>
      <c r="E722" s="7" t="str">
        <f t="shared" si="88"/>
        <v>CLK_DETM_DETIS_FTDS</v>
      </c>
      <c r="F722" s="7" t="str">
        <f t="shared" si="90"/>
        <v>PERSON_ID</v>
      </c>
      <c r="G722" s="7" t="s">
        <v>825</v>
      </c>
      <c r="H722" s="7" t="str">
        <f t="shared" si="91"/>
        <v>CLK_DETM_DETIS_FTDS</v>
      </c>
      <c r="I722" s="7" t="str">
        <f t="shared" si="92"/>
        <v>PERSON_ID</v>
      </c>
      <c r="J722" s="7" t="str">
        <f t="shared" si="93"/>
        <v>INTEGER</v>
      </c>
      <c r="K722" s="7" t="str">
        <f>TRIM(ETLMetadata!$G722)</f>
        <v>INTEGER</v>
      </c>
      <c r="L722" s="7" t="str">
        <f>TRIM(ETLMetadata!$I722)</f>
        <v/>
      </c>
      <c r="M722" s="7" t="str">
        <f t="shared" si="94"/>
        <v>CAST(NULLIF(TRIM(PERSON_ID),'') AS INTEGER)</v>
      </c>
      <c r="N722" s="7" t="str">
        <f>TRIM(ETLMetadata!$J722)</f>
        <v>Y</v>
      </c>
      <c r="O722" s="8" t="str">
        <f>IF(TRIM(Classification!$G722)="","NOT CONFIDENTIAL",TRIM(Classification!$G722))</f>
        <v>PERSONAL_IDENTITYINFOINDIRECT</v>
      </c>
      <c r="P722" s="7" t="str">
        <f t="shared" si="95"/>
        <v>Y</v>
      </c>
      <c r="Q722" s="7" t="s">
        <v>826</v>
      </c>
      <c r="R722" s="9">
        <v>2958465</v>
      </c>
      <c r="S722" s="7" t="s">
        <v>827</v>
      </c>
      <c r="T722" s="7" t="s">
        <v>828</v>
      </c>
      <c r="U722" s="7" t="str">
        <f t="shared" si="89"/>
        <v>CLK_DETM_DETIS_FTDS_V</v>
      </c>
      <c r="V722" s="7" t="s">
        <v>829</v>
      </c>
    </row>
    <row r="723" spans="1:22">
      <c r="A723" s="7" t="str">
        <f>TRIM(ETLMetadata!$B723)</f>
        <v>CLK</v>
      </c>
      <c r="B723" s="7" t="str">
        <f>TRIM(ETLMetadata!$C723)</f>
        <v>DETM_DETIS_FTDS</v>
      </c>
      <c r="C723" s="7" t="str">
        <f>TRIM(ETLMetadata!$F723)</f>
        <v>FTDS_DOE</v>
      </c>
      <c r="D723" s="7" t="str">
        <f>TRIM(ETLMetadata!$H723)</f>
        <v>StringType()</v>
      </c>
      <c r="E723" s="7" t="str">
        <f t="shared" si="88"/>
        <v>CLK_DETM_DETIS_FTDS</v>
      </c>
      <c r="F723" s="7" t="str">
        <f t="shared" si="90"/>
        <v>FTDS_DOE</v>
      </c>
      <c r="G723" s="7" t="s">
        <v>825</v>
      </c>
      <c r="H723" s="7" t="str">
        <f t="shared" si="91"/>
        <v>CLK_DETM_DETIS_FTDS</v>
      </c>
      <c r="I723" s="7" t="str">
        <f t="shared" si="92"/>
        <v>FTDS_DOE</v>
      </c>
      <c r="J723" s="7" t="str">
        <f t="shared" si="93"/>
        <v>DATE</v>
      </c>
      <c r="K723" s="17" t="s">
        <v>80</v>
      </c>
      <c r="L723" s="7" t="str">
        <f>TRIM(ETLMetadata!$I723)</f>
        <v>YYYY-MM-DD</v>
      </c>
      <c r="M723" s="7" t="str">
        <f t="shared" si="94"/>
        <v>TO_DATE(NULLIF(TRIM(FTDS_DOE),'') , 'YYYY-MM-DD')</v>
      </c>
      <c r="N723" s="7" t="str">
        <f>TRIM(ETLMetadata!$J723)</f>
        <v/>
      </c>
      <c r="O723" s="8" t="str">
        <f>IF(TRIM(Classification!$G723)="","NOT CONFIDENTIAL",TRIM(Classification!$G723))</f>
        <v>NOT CONFIDENTIAL</v>
      </c>
      <c r="P723" s="7" t="str">
        <f t="shared" si="95"/>
        <v>Y</v>
      </c>
      <c r="Q723" s="7" t="s">
        <v>826</v>
      </c>
      <c r="R723" s="9">
        <v>2958465</v>
      </c>
      <c r="S723" s="7" t="s">
        <v>827</v>
      </c>
      <c r="T723" s="7" t="s">
        <v>828</v>
      </c>
      <c r="U723" s="7" t="str">
        <f t="shared" si="89"/>
        <v>CLK_DETM_DETIS_FTDS_V</v>
      </c>
      <c r="V723" s="7" t="s">
        <v>829</v>
      </c>
    </row>
    <row r="724" spans="1:22">
      <c r="A724" s="7" t="str">
        <f>TRIM(ETLMetadata!$B724)</f>
        <v>CLK</v>
      </c>
      <c r="B724" s="7" t="str">
        <f>TRIM(ETLMetadata!$C724)</f>
        <v>DETM_DETIS_FTDS</v>
      </c>
      <c r="C724" s="7" t="str">
        <f>TRIM(ETLMetadata!$F724)</f>
        <v>FTDS_DOE_ORIG</v>
      </c>
      <c r="D724" s="7" t="str">
        <f>TRIM(ETLMetadata!$H724)</f>
        <v>StringType()</v>
      </c>
      <c r="E724" s="7" t="str">
        <f t="shared" si="88"/>
        <v>CLK_DETM_DETIS_FTDS</v>
      </c>
      <c r="F724" s="7" t="str">
        <f t="shared" si="90"/>
        <v>FTDS_DOE_ORIG</v>
      </c>
      <c r="G724" s="7" t="s">
        <v>825</v>
      </c>
      <c r="H724" s="7" t="str">
        <f t="shared" si="91"/>
        <v>CLK_DETM_DETIS_FTDS</v>
      </c>
      <c r="I724" s="7" t="str">
        <f t="shared" si="92"/>
        <v>FTDS_DOE_ORIG</v>
      </c>
      <c r="J724" s="7" t="str">
        <f t="shared" si="93"/>
        <v>INTEGER</v>
      </c>
      <c r="K724" s="17" t="s">
        <v>90</v>
      </c>
      <c r="L724" s="7" t="str">
        <f>TRIM(ETLMetadata!$I724)</f>
        <v/>
      </c>
      <c r="M724" s="7" t="str">
        <f t="shared" si="94"/>
        <v>CAST(NULLIF(TRIM(FTDS_DOE_ORIG),'') AS INTEGER)</v>
      </c>
      <c r="N724" s="7" t="str">
        <f>TRIM(ETLMetadata!$J724)</f>
        <v/>
      </c>
      <c r="O724" s="8" t="str">
        <f>IF(TRIM(Classification!$G724)="","NOT CONFIDENTIAL",TRIM(Classification!$G724))</f>
        <v>NOT CONFIDENTIAL</v>
      </c>
      <c r="P724" s="7" t="str">
        <f t="shared" si="95"/>
        <v>Y</v>
      </c>
      <c r="Q724" s="7" t="s">
        <v>826</v>
      </c>
      <c r="R724" s="9">
        <v>2958465</v>
      </c>
      <c r="S724" s="7" t="s">
        <v>827</v>
      </c>
      <c r="T724" s="7" t="s">
        <v>828</v>
      </c>
      <c r="U724" s="7" t="str">
        <f t="shared" si="89"/>
        <v>CLK_DETM_DETIS_FTDS_V</v>
      </c>
      <c r="V724" s="7" t="s">
        <v>829</v>
      </c>
    </row>
    <row r="725" spans="1:22">
      <c r="A725" s="7" t="str">
        <f>TRIM(ETLMetadata!$B725)</f>
        <v>CLK</v>
      </c>
      <c r="B725" s="7" t="str">
        <f>TRIM(ETLMetadata!$C725)</f>
        <v>DETM_DETIS_FTDS</v>
      </c>
      <c r="C725" s="7" t="str">
        <f>TRIM(ETLMetadata!$F725)</f>
        <v>PROCESSING_SEQUENCE</v>
      </c>
      <c r="D725" s="7" t="str">
        <f>TRIM(ETLMetadata!$H725)</f>
        <v>StringType()</v>
      </c>
      <c r="E725" s="7" t="str">
        <f t="shared" si="88"/>
        <v>CLK_DETM_DETIS_FTDS</v>
      </c>
      <c r="F725" s="7" t="str">
        <f t="shared" si="90"/>
        <v>PROCESSING_SEQUENCE</v>
      </c>
      <c r="G725" s="7" t="s">
        <v>825</v>
      </c>
      <c r="H725" s="7" t="str">
        <f t="shared" si="91"/>
        <v>CLK_DETM_DETIS_FTDS</v>
      </c>
      <c r="I725" s="7" t="str">
        <f t="shared" si="92"/>
        <v>PROCESSING_SEQUENCE</v>
      </c>
      <c r="J725" s="7" t="str">
        <f t="shared" si="93"/>
        <v>SMALLINT</v>
      </c>
      <c r="K725" s="7" t="str">
        <f>TRIM(ETLMetadata!$G725)</f>
        <v>SMALLINT</v>
      </c>
      <c r="L725" s="7" t="str">
        <f>TRIM(ETLMetadata!$I725)</f>
        <v/>
      </c>
      <c r="M725" s="7" t="str">
        <f t="shared" si="94"/>
        <v>CAST(NULLIF(TRIM(PROCESSING_SEQUENCE),'') AS SMALLINT)</v>
      </c>
      <c r="N725" s="7" t="str">
        <f>TRIM(ETLMetadata!$J725)</f>
        <v>Y</v>
      </c>
      <c r="O725" s="8" t="str">
        <f>IF(TRIM(Classification!$G725)="","NOT CONFIDENTIAL",TRIM(Classification!$G725))</f>
        <v>NOT CONFIDENTIAL</v>
      </c>
      <c r="P725" s="7" t="str">
        <f t="shared" si="95"/>
        <v>Y</v>
      </c>
      <c r="Q725" s="7" t="s">
        <v>826</v>
      </c>
      <c r="R725" s="9">
        <v>2958465</v>
      </c>
      <c r="S725" s="7" t="s">
        <v>827</v>
      </c>
      <c r="T725" s="7" t="s">
        <v>828</v>
      </c>
      <c r="U725" s="7" t="str">
        <f t="shared" si="89"/>
        <v>CLK_DETM_DETIS_FTDS_V</v>
      </c>
      <c r="V725" s="7" t="s">
        <v>829</v>
      </c>
    </row>
    <row r="726" spans="1:22">
      <c r="A726" s="7" t="str">
        <f>TRIM(ETLMetadata!$B726)</f>
        <v>CLK</v>
      </c>
      <c r="B726" s="7" t="str">
        <f>TRIM(ETLMetadata!$C726)</f>
        <v>DETM_DETIS_FTDS</v>
      </c>
      <c r="C726" s="7" t="str">
        <f>TRIM(ETLMetadata!$F726)</f>
        <v>FTDS_AMR_1</v>
      </c>
      <c r="D726" s="7" t="str">
        <f>TRIM(ETLMetadata!$H726)</f>
        <v>StringType()</v>
      </c>
      <c r="E726" s="7" t="str">
        <f t="shared" si="88"/>
        <v>CLK_DETM_DETIS_FTDS</v>
      </c>
      <c r="F726" s="7" t="str">
        <f t="shared" si="90"/>
        <v>FTDS_AMR_1</v>
      </c>
      <c r="G726" s="7" t="s">
        <v>825</v>
      </c>
      <c r="H726" s="7" t="str">
        <f t="shared" si="91"/>
        <v>CLK_DETM_DETIS_FTDS</v>
      </c>
      <c r="I726" s="7" t="str">
        <f t="shared" si="92"/>
        <v>FTDS_AMR_1</v>
      </c>
      <c r="J726" s="7" t="str">
        <f t="shared" si="93"/>
        <v>VARCHAR</v>
      </c>
      <c r="K726" s="7" t="str">
        <f>TRIM(ETLMetadata!$G726)</f>
        <v>CHAR(4)</v>
      </c>
      <c r="L726" s="7" t="str">
        <f>TRIM(ETLMetadata!$I726)</f>
        <v/>
      </c>
      <c r="M726" s="7" t="str">
        <f t="shared" si="94"/>
        <v>NULLIF(TRIM(FTDS_AMR_1),'')</v>
      </c>
      <c r="N726" s="7" t="str">
        <f>TRIM(ETLMetadata!$J726)</f>
        <v/>
      </c>
      <c r="O726" s="8" t="str">
        <f>IF(TRIM(Classification!$G726)="","NOT CONFIDENTIAL",TRIM(Classification!$G726))</f>
        <v>NOT CONFIDENTIAL</v>
      </c>
      <c r="P726" s="7" t="str">
        <f t="shared" si="95"/>
        <v>Y</v>
      </c>
      <c r="Q726" s="7" t="s">
        <v>826</v>
      </c>
      <c r="R726" s="9">
        <v>2958465</v>
      </c>
      <c r="S726" s="7" t="s">
        <v>827</v>
      </c>
      <c r="T726" s="7" t="s">
        <v>828</v>
      </c>
      <c r="U726" s="7" t="str">
        <f t="shared" si="89"/>
        <v>CLK_DETM_DETIS_FTDS_V</v>
      </c>
      <c r="V726" s="7" t="s">
        <v>829</v>
      </c>
    </row>
    <row r="727" spans="1:22">
      <c r="A727" s="7" t="str">
        <f>TRIM(ETLMetadata!$B727)</f>
        <v>CLK</v>
      </c>
      <c r="B727" s="7" t="str">
        <f>TRIM(ETLMetadata!$C727)</f>
        <v>DETM_DETIS_FTDS</v>
      </c>
      <c r="C727" s="7" t="str">
        <f>TRIM(ETLMetadata!$F727)</f>
        <v>FTDS_AMR_2</v>
      </c>
      <c r="D727" s="7" t="str">
        <f>TRIM(ETLMetadata!$H727)</f>
        <v>StringType()</v>
      </c>
      <c r="E727" s="7" t="str">
        <f t="shared" si="88"/>
        <v>CLK_DETM_DETIS_FTDS</v>
      </c>
      <c r="F727" s="7" t="str">
        <f t="shared" si="90"/>
        <v>FTDS_AMR_2</v>
      </c>
      <c r="G727" s="7" t="s">
        <v>825</v>
      </c>
      <c r="H727" s="7" t="str">
        <f t="shared" si="91"/>
        <v>CLK_DETM_DETIS_FTDS</v>
      </c>
      <c r="I727" s="7" t="str">
        <f t="shared" si="92"/>
        <v>FTDS_AMR_2</v>
      </c>
      <c r="J727" s="7" t="str">
        <f t="shared" si="93"/>
        <v>VARCHAR</v>
      </c>
      <c r="K727" s="7" t="str">
        <f>TRIM(ETLMetadata!$G727)</f>
        <v>CHAR(1)</v>
      </c>
      <c r="L727" s="7" t="str">
        <f>TRIM(ETLMetadata!$I727)</f>
        <v/>
      </c>
      <c r="M727" s="7" t="str">
        <f t="shared" si="94"/>
        <v>NULLIF(TRIM(FTDS_AMR_2),'')</v>
      </c>
      <c r="N727" s="7" t="str">
        <f>TRIM(ETLMetadata!$J727)</f>
        <v/>
      </c>
      <c r="O727" s="8" t="str">
        <f>IF(TRIM(Classification!$G727)="","NOT CONFIDENTIAL",TRIM(Classification!$G727))</f>
        <v>NOT CONFIDENTIAL</v>
      </c>
      <c r="P727" s="7" t="str">
        <f t="shared" si="95"/>
        <v>Y</v>
      </c>
      <c r="Q727" s="7" t="s">
        <v>826</v>
      </c>
      <c r="R727" s="9">
        <v>2958465</v>
      </c>
      <c r="S727" s="7" t="s">
        <v>827</v>
      </c>
      <c r="T727" s="7" t="s">
        <v>828</v>
      </c>
      <c r="U727" s="7" t="str">
        <f t="shared" si="89"/>
        <v>CLK_DETM_DETIS_FTDS_V</v>
      </c>
      <c r="V727" s="7" t="s">
        <v>829</v>
      </c>
    </row>
    <row r="728" spans="1:22">
      <c r="A728" s="7" t="str">
        <f>TRIM(ETLMetadata!$B728)</f>
        <v>CLK</v>
      </c>
      <c r="B728" s="7" t="str">
        <f>TRIM(ETLMetadata!$C728)</f>
        <v>DETM_DETIS_FTDS</v>
      </c>
      <c r="C728" s="7" t="str">
        <f>TRIM(ETLMetadata!$F728)</f>
        <v>FTDS_AMR_3</v>
      </c>
      <c r="D728" s="7" t="str">
        <f>TRIM(ETLMetadata!$H728)</f>
        <v>StringType()</v>
      </c>
      <c r="E728" s="7" t="str">
        <f t="shared" si="88"/>
        <v>CLK_DETM_DETIS_FTDS</v>
      </c>
      <c r="F728" s="7" t="str">
        <f t="shared" si="90"/>
        <v>FTDS_AMR_3</v>
      </c>
      <c r="G728" s="7" t="s">
        <v>825</v>
      </c>
      <c r="H728" s="7" t="str">
        <f t="shared" si="91"/>
        <v>CLK_DETM_DETIS_FTDS</v>
      </c>
      <c r="I728" s="7" t="str">
        <f t="shared" si="92"/>
        <v>FTDS_AMR_3</v>
      </c>
      <c r="J728" s="7" t="str">
        <f t="shared" si="93"/>
        <v>VARCHAR</v>
      </c>
      <c r="K728" s="7" t="str">
        <f>TRIM(ETLMetadata!$G728)</f>
        <v>CHAR(4)</v>
      </c>
      <c r="L728" s="7" t="str">
        <f>TRIM(ETLMetadata!$I728)</f>
        <v/>
      </c>
      <c r="M728" s="7" t="str">
        <f t="shared" si="94"/>
        <v>NULLIF(TRIM(FTDS_AMR_3),'')</v>
      </c>
      <c r="N728" s="7" t="str">
        <f>TRIM(ETLMetadata!$J728)</f>
        <v/>
      </c>
      <c r="O728" s="8" t="str">
        <f>IF(TRIM(Classification!$G728)="","NOT CONFIDENTIAL",TRIM(Classification!$G728))</f>
        <v>NOT CONFIDENTIAL</v>
      </c>
      <c r="P728" s="7" t="str">
        <f t="shared" si="95"/>
        <v>Y</v>
      </c>
      <c r="Q728" s="7" t="s">
        <v>826</v>
      </c>
      <c r="R728" s="9">
        <v>2958465</v>
      </c>
      <c r="S728" s="7" t="s">
        <v>827</v>
      </c>
      <c r="T728" s="7" t="s">
        <v>828</v>
      </c>
      <c r="U728" s="7" t="str">
        <f t="shared" si="89"/>
        <v>CLK_DETM_DETIS_FTDS_V</v>
      </c>
      <c r="V728" s="7" t="s">
        <v>829</v>
      </c>
    </row>
    <row r="729" spans="1:22">
      <c r="A729" s="7" t="str">
        <f>TRIM(ETLMetadata!$B729)</f>
        <v>CLK</v>
      </c>
      <c r="B729" s="7" t="str">
        <f>TRIM(ETLMetadata!$C729)</f>
        <v>DETM_DETIS_FTDS</v>
      </c>
      <c r="C729" s="7" t="str">
        <f>TRIM(ETLMetadata!$F729)</f>
        <v>FTDS_BEN_TYPE_CODE</v>
      </c>
      <c r="D729" s="7" t="str">
        <f>TRIM(ETLMetadata!$H729)</f>
        <v>StringType()</v>
      </c>
      <c r="E729" s="7" t="str">
        <f t="shared" si="88"/>
        <v>CLK_DETM_DETIS_FTDS</v>
      </c>
      <c r="F729" s="7" t="str">
        <f t="shared" si="90"/>
        <v>FTDS_BEN_TYPE_CODE</v>
      </c>
      <c r="G729" s="7" t="s">
        <v>825</v>
      </c>
      <c r="H729" s="7" t="str">
        <f t="shared" si="91"/>
        <v>CLK_DETM_DETIS_FTDS</v>
      </c>
      <c r="I729" s="7" t="str">
        <f t="shared" si="92"/>
        <v>FTDS_BEN_TYPE_CODE</v>
      </c>
      <c r="J729" s="7" t="str">
        <f t="shared" si="93"/>
        <v>VARCHAR</v>
      </c>
      <c r="K729" s="7" t="str">
        <f>TRIM(ETLMetadata!$G729)</f>
        <v>CHAR(3)</v>
      </c>
      <c r="L729" s="7" t="str">
        <f>TRIM(ETLMetadata!$I729)</f>
        <v/>
      </c>
      <c r="M729" s="7" t="str">
        <f t="shared" si="94"/>
        <v>NULLIF(TRIM(FTDS_BEN_TYPE_CODE),'')</v>
      </c>
      <c r="N729" s="7" t="str">
        <f>TRIM(ETLMetadata!$J729)</f>
        <v/>
      </c>
      <c r="O729" s="8" t="str">
        <f>IF(TRIM(Classification!$G729)="","NOT CONFIDENTIAL",TRIM(Classification!$G729))</f>
        <v>NOT CONFIDENTIAL</v>
      </c>
      <c r="P729" s="7" t="str">
        <f t="shared" si="95"/>
        <v>Y</v>
      </c>
      <c r="Q729" s="7" t="s">
        <v>826</v>
      </c>
      <c r="R729" s="9">
        <v>2958465</v>
      </c>
      <c r="S729" s="7" t="s">
        <v>827</v>
      </c>
      <c r="T729" s="7" t="s">
        <v>828</v>
      </c>
      <c r="U729" s="7" t="str">
        <f t="shared" si="89"/>
        <v>CLK_DETM_DETIS_FTDS_V</v>
      </c>
      <c r="V729" s="7" t="s">
        <v>829</v>
      </c>
    </row>
    <row r="730" spans="1:22">
      <c r="A730" s="7" t="str">
        <f>TRIM(ETLMetadata!$B730)</f>
        <v>CLK</v>
      </c>
      <c r="B730" s="7" t="str">
        <f>TRIM(ETLMetadata!$C730)</f>
        <v>DETM_DETIS_FTDS</v>
      </c>
      <c r="C730" s="7" t="str">
        <f>TRIM(ETLMetadata!$F730)</f>
        <v>FTDS_STS_CODE</v>
      </c>
      <c r="D730" s="7" t="str">
        <f>TRIM(ETLMetadata!$H730)</f>
        <v>StringType()</v>
      </c>
      <c r="E730" s="7" t="str">
        <f t="shared" si="88"/>
        <v>CLK_DETM_DETIS_FTDS</v>
      </c>
      <c r="F730" s="7" t="str">
        <f t="shared" si="90"/>
        <v>FTDS_STS_CODE</v>
      </c>
      <c r="G730" s="7" t="s">
        <v>825</v>
      </c>
      <c r="H730" s="7" t="str">
        <f t="shared" si="91"/>
        <v>CLK_DETM_DETIS_FTDS</v>
      </c>
      <c r="I730" s="7" t="str">
        <f t="shared" si="92"/>
        <v>FTDS_STS_CODE</v>
      </c>
      <c r="J730" s="7" t="str">
        <f t="shared" si="93"/>
        <v>VARCHAR</v>
      </c>
      <c r="K730" s="7" t="str">
        <f>TRIM(ETLMetadata!$G730)</f>
        <v>CHAR(3)</v>
      </c>
      <c r="L730" s="7" t="str">
        <f>TRIM(ETLMetadata!$I730)</f>
        <v/>
      </c>
      <c r="M730" s="7" t="str">
        <f t="shared" si="94"/>
        <v>NULLIF(TRIM(FTDS_STS_CODE),'')</v>
      </c>
      <c r="N730" s="7" t="str">
        <f>TRIM(ETLMetadata!$J730)</f>
        <v/>
      </c>
      <c r="O730" s="8" t="str">
        <f>IF(TRIM(Classification!$G730)="","NOT CONFIDENTIAL",TRIM(Classification!$G730))</f>
        <v>NOT CONFIDENTIAL</v>
      </c>
      <c r="P730" s="7" t="str">
        <f t="shared" si="95"/>
        <v>Y</v>
      </c>
      <c r="Q730" s="7" t="s">
        <v>826</v>
      </c>
      <c r="R730" s="9">
        <v>2958465</v>
      </c>
      <c r="S730" s="7" t="s">
        <v>827</v>
      </c>
      <c r="T730" s="7" t="s">
        <v>828</v>
      </c>
      <c r="U730" s="7" t="str">
        <f t="shared" si="89"/>
        <v>CLK_DETM_DETIS_FTDS_V</v>
      </c>
      <c r="V730" s="7" t="s">
        <v>829</v>
      </c>
    </row>
    <row r="731" spans="1:22">
      <c r="A731" s="7" t="str">
        <f>TRIM(ETLMetadata!$B731)</f>
        <v>CLK</v>
      </c>
      <c r="B731" s="7" t="str">
        <f>TRIM(ETLMetadata!$C731)</f>
        <v>DETM_DETIS_FTDS</v>
      </c>
      <c r="C731" s="7" t="str">
        <f>TRIM(ETLMetadata!$F731)</f>
        <v>FTDS_RSN_CODE</v>
      </c>
      <c r="D731" s="7" t="str">
        <f>TRIM(ETLMetadata!$H731)</f>
        <v>StringType()</v>
      </c>
      <c r="E731" s="7" t="str">
        <f t="shared" si="88"/>
        <v>CLK_DETM_DETIS_FTDS</v>
      </c>
      <c r="F731" s="7" t="str">
        <f t="shared" si="90"/>
        <v>FTDS_RSN_CODE</v>
      </c>
      <c r="G731" s="7" t="s">
        <v>825</v>
      </c>
      <c r="H731" s="7" t="str">
        <f t="shared" si="91"/>
        <v>CLK_DETM_DETIS_FTDS</v>
      </c>
      <c r="I731" s="7" t="str">
        <f t="shared" si="92"/>
        <v>FTDS_RSN_CODE</v>
      </c>
      <c r="J731" s="7" t="str">
        <f t="shared" si="93"/>
        <v>VARCHAR</v>
      </c>
      <c r="K731" s="7" t="str">
        <f>TRIM(ETLMetadata!$G731)</f>
        <v>CHAR(3)</v>
      </c>
      <c r="L731" s="7" t="str">
        <f>TRIM(ETLMetadata!$I731)</f>
        <v/>
      </c>
      <c r="M731" s="7" t="str">
        <f t="shared" si="94"/>
        <v>NULLIF(TRIM(FTDS_RSN_CODE),'')</v>
      </c>
      <c r="N731" s="7" t="str">
        <f>TRIM(ETLMetadata!$J731)</f>
        <v/>
      </c>
      <c r="O731" s="8" t="str">
        <f>IF(TRIM(Classification!$G731)="","NOT CONFIDENTIAL",TRIM(Classification!$G731))</f>
        <v>NOT CONFIDENTIAL</v>
      </c>
      <c r="P731" s="7" t="str">
        <f t="shared" si="95"/>
        <v>Y</v>
      </c>
      <c r="Q731" s="7" t="s">
        <v>826</v>
      </c>
      <c r="R731" s="9">
        <v>2958465</v>
      </c>
      <c r="S731" s="7" t="s">
        <v>827</v>
      </c>
      <c r="T731" s="7" t="s">
        <v>828</v>
      </c>
      <c r="U731" s="7" t="str">
        <f t="shared" si="89"/>
        <v>CLK_DETM_DETIS_FTDS_V</v>
      </c>
      <c r="V731" s="7" t="s">
        <v>829</v>
      </c>
    </row>
    <row r="732" spans="1:22">
      <c r="A732" s="7" t="str">
        <f>TRIM(ETLMetadata!$B732)</f>
        <v>CLK</v>
      </c>
      <c r="B732" s="7" t="str">
        <f>TRIM(ETLMetadata!$C732)</f>
        <v>DETM_DETIS_FTDS</v>
      </c>
      <c r="C732" s="7" t="str">
        <f>TRIM(ETLMetadata!$F732)</f>
        <v>FTDS_UNIQ_ID</v>
      </c>
      <c r="D732" s="7" t="str">
        <f>TRIM(ETLMetadata!$H732)</f>
        <v>StringType()</v>
      </c>
      <c r="E732" s="7" t="str">
        <f t="shared" si="88"/>
        <v>CLK_DETM_DETIS_FTDS</v>
      </c>
      <c r="F732" s="7" t="str">
        <f t="shared" si="90"/>
        <v>FTDS_UNIQ_ID</v>
      </c>
      <c r="G732" s="7" t="s">
        <v>825</v>
      </c>
      <c r="H732" s="7" t="str">
        <f t="shared" si="91"/>
        <v>CLK_DETM_DETIS_FTDS</v>
      </c>
      <c r="I732" s="7" t="str">
        <f t="shared" si="92"/>
        <v>FTDS_UNIQ_ID</v>
      </c>
      <c r="J732" s="7" t="str">
        <f t="shared" si="93"/>
        <v>VARCHAR</v>
      </c>
      <c r="K732" s="7" t="str">
        <f>TRIM(ETLMetadata!$G732)</f>
        <v>VARCHAR(8)</v>
      </c>
      <c r="L732" s="7" t="str">
        <f>TRIM(ETLMetadata!$I732)</f>
        <v/>
      </c>
      <c r="M732" s="7" t="str">
        <f t="shared" si="94"/>
        <v>NULLIF(TRIM(FTDS_UNIQ_ID),'')</v>
      </c>
      <c r="N732" s="7" t="str">
        <f>TRIM(ETLMetadata!$J732)</f>
        <v/>
      </c>
      <c r="O732" s="8" t="str">
        <f>IF(TRIM(Classification!$G732)="","NOT CONFIDENTIAL",TRIM(Classification!$G732))</f>
        <v>NOT CONFIDENTIAL</v>
      </c>
      <c r="P732" s="7" t="str">
        <f t="shared" si="95"/>
        <v>Y</v>
      </c>
      <c r="Q732" s="7" t="s">
        <v>826</v>
      </c>
      <c r="R732" s="9">
        <v>2958465</v>
      </c>
      <c r="S732" s="7" t="s">
        <v>827</v>
      </c>
      <c r="T732" s="7" t="s">
        <v>828</v>
      </c>
      <c r="U732" s="7" t="str">
        <f t="shared" si="89"/>
        <v>CLK_DETM_DETIS_FTDS_V</v>
      </c>
      <c r="V732" s="7" t="s">
        <v>829</v>
      </c>
    </row>
    <row r="733" spans="1:22">
      <c r="A733" s="7" t="str">
        <f>TRIM(ETLMetadata!$B733)</f>
        <v>CLK</v>
      </c>
      <c r="B733" s="7" t="str">
        <f>TRIM(ETLMetadata!$C733)</f>
        <v>DETM_DETIS_FTDS</v>
      </c>
      <c r="C733" s="7" t="str">
        <f>TRIM(ETLMetadata!$F733)</f>
        <v>AMR1_RISL_DTS</v>
      </c>
      <c r="D733" s="7" t="str">
        <f>TRIM(ETLMetadata!$H733)</f>
        <v>StringType()</v>
      </c>
      <c r="E733" s="7" t="str">
        <f t="shared" si="88"/>
        <v>CLK_DETM_DETIS_FTDS</v>
      </c>
      <c r="F733" s="7" t="str">
        <f t="shared" si="90"/>
        <v>AMR1_RISL_DTS</v>
      </c>
      <c r="G733" s="7" t="s">
        <v>825</v>
      </c>
      <c r="H733" s="7" t="str">
        <f t="shared" si="91"/>
        <v>CLK_DETM_DETIS_FTDS</v>
      </c>
      <c r="I733" s="7" t="str">
        <f t="shared" si="92"/>
        <v>AMR1_RISL_DTS</v>
      </c>
      <c r="J733" s="7" t="str">
        <f t="shared" si="93"/>
        <v>TIMESTAMP</v>
      </c>
      <c r="K733" s="7" t="str">
        <f>TRIM(ETLMetadata!$G733)</f>
        <v>TIMESTAMP(6)</v>
      </c>
      <c r="L733" s="7" t="str">
        <f>TRIM(ETLMetadata!$I733)</f>
        <v>YYYY-MM-DDBHH:MI:SS.S(6)</v>
      </c>
      <c r="M733" s="7" t="str">
        <f t="shared" si="94"/>
        <v>TO_TIMESTAMP_NTZ(NULLIF(TRIM(AMR1_RISL_DTS),''),'YYYY-MM-DD HH24:MI:SS.FF6')</v>
      </c>
      <c r="N733" s="7" t="str">
        <f>TRIM(ETLMetadata!$J733)</f>
        <v/>
      </c>
      <c r="O733" s="8" t="str">
        <f>IF(TRIM(Classification!$G733)="","NOT CONFIDENTIAL",TRIM(Classification!$G733))</f>
        <v>NOT CONFIDENTIAL</v>
      </c>
      <c r="P733" s="7" t="str">
        <f t="shared" si="95"/>
        <v>Y</v>
      </c>
      <c r="Q733" s="7" t="s">
        <v>826</v>
      </c>
      <c r="R733" s="9">
        <v>2958465</v>
      </c>
      <c r="S733" s="7" t="s">
        <v>827</v>
      </c>
      <c r="T733" s="7" t="s">
        <v>828</v>
      </c>
      <c r="U733" s="7" t="str">
        <f t="shared" si="89"/>
        <v>CLK_DETM_DETIS_FTDS_V</v>
      </c>
      <c r="V733" s="7" t="s">
        <v>829</v>
      </c>
    </row>
    <row r="734" spans="1:22">
      <c r="A734" s="7" t="str">
        <f>TRIM(ETLMetadata!$B734)</f>
        <v>CLK</v>
      </c>
      <c r="B734" s="7" t="str">
        <f>TRIM(ETLMetadata!$C734)</f>
        <v>DETM_DETIS_FTDS</v>
      </c>
      <c r="C734" s="7" t="str">
        <f>TRIM(ETLMetadata!$F734)</f>
        <v>AMR3_RISL_DTS</v>
      </c>
      <c r="D734" s="7" t="str">
        <f>TRIM(ETLMetadata!$H734)</f>
        <v>StringType()</v>
      </c>
      <c r="E734" s="7" t="str">
        <f t="shared" si="88"/>
        <v>CLK_DETM_DETIS_FTDS</v>
      </c>
      <c r="F734" s="7" t="str">
        <f t="shared" si="90"/>
        <v>AMR3_RISL_DTS</v>
      </c>
      <c r="G734" s="7" t="s">
        <v>825</v>
      </c>
      <c r="H734" s="7" t="str">
        <f t="shared" si="91"/>
        <v>CLK_DETM_DETIS_FTDS</v>
      </c>
      <c r="I734" s="7" t="str">
        <f t="shared" si="92"/>
        <v>AMR3_RISL_DTS</v>
      </c>
      <c r="J734" s="7" t="str">
        <f t="shared" si="93"/>
        <v>TIMESTAMP</v>
      </c>
      <c r="K734" s="7" t="str">
        <f>TRIM(ETLMetadata!$G734)</f>
        <v>TIMESTAMP(6)</v>
      </c>
      <c r="L734" s="7" t="str">
        <f>TRIM(ETLMetadata!$I734)</f>
        <v>YYYY-MM-DDBHH:MI:SS.S(6)</v>
      </c>
      <c r="M734" s="7" t="str">
        <f t="shared" si="94"/>
        <v>TO_TIMESTAMP_NTZ(NULLIF(TRIM(AMR3_RISL_DTS),''),'YYYY-MM-DD HH24:MI:SS.FF6')</v>
      </c>
      <c r="N734" s="7" t="str">
        <f>TRIM(ETLMetadata!$J734)</f>
        <v/>
      </c>
      <c r="O734" s="8" t="str">
        <f>IF(TRIM(Classification!$G734)="","NOT CONFIDENTIAL",TRIM(Classification!$G734))</f>
        <v>NOT CONFIDENTIAL</v>
      </c>
      <c r="P734" s="7" t="str">
        <f t="shared" si="95"/>
        <v>Y</v>
      </c>
      <c r="Q734" s="7" t="s">
        <v>826</v>
      </c>
      <c r="R734" s="9">
        <v>2958465</v>
      </c>
      <c r="S734" s="7" t="s">
        <v>827</v>
      </c>
      <c r="T734" s="7" t="s">
        <v>828</v>
      </c>
      <c r="U734" s="7" t="str">
        <f t="shared" si="89"/>
        <v>CLK_DETM_DETIS_FTDS_V</v>
      </c>
      <c r="V734" s="7" t="s">
        <v>829</v>
      </c>
    </row>
    <row r="735" spans="1:22">
      <c r="A735" s="7" t="str">
        <f>TRIM(ETLMetadata!$B735)</f>
        <v>CLK</v>
      </c>
      <c r="B735" s="7" t="str">
        <f>TRIM(ETLMetadata!$C735)</f>
        <v>DETM_DETIS_FTDS</v>
      </c>
      <c r="C735" s="7" t="str">
        <f>TRIM(ETLMetadata!$F735)</f>
        <v>EPISODE_ID</v>
      </c>
      <c r="D735" s="7" t="str">
        <f>TRIM(ETLMetadata!$H735)</f>
        <v>StringType()</v>
      </c>
      <c r="E735" s="7" t="str">
        <f t="shared" ref="E735:E798" si="96">CONCATENATE($A735,"_",B735)</f>
        <v>CLK_DETM_DETIS_FTDS</v>
      </c>
      <c r="F735" s="7" t="str">
        <f t="shared" si="90"/>
        <v>EPISODE_ID</v>
      </c>
      <c r="G735" s="7" t="s">
        <v>825</v>
      </c>
      <c r="H735" s="7" t="str">
        <f t="shared" si="91"/>
        <v>CLK_DETM_DETIS_FTDS</v>
      </c>
      <c r="I735" s="7" t="str">
        <f t="shared" si="92"/>
        <v>EPISODE_ID</v>
      </c>
      <c r="J735" s="7" t="str">
        <f t="shared" si="93"/>
        <v>INTEGER</v>
      </c>
      <c r="K735" s="7" t="str">
        <f>TRIM(ETLMetadata!$G735)</f>
        <v>INTEGER</v>
      </c>
      <c r="L735" s="7" t="str">
        <f>TRIM(ETLMetadata!$I735)</f>
        <v/>
      </c>
      <c r="M735" s="7" t="str">
        <f t="shared" si="94"/>
        <v>CAST(NULLIF(TRIM(EPISODE_ID),'') AS INTEGER)</v>
      </c>
      <c r="N735" s="7" t="str">
        <f>TRIM(ETLMetadata!$J735)</f>
        <v/>
      </c>
      <c r="O735" s="8" t="str">
        <f>IF(TRIM(Classification!$G735)="","NOT CONFIDENTIAL",TRIM(Classification!$G735))</f>
        <v>NOT CONFIDENTIAL</v>
      </c>
      <c r="P735" s="7" t="str">
        <f t="shared" si="95"/>
        <v>Y</v>
      </c>
      <c r="Q735" s="7" t="s">
        <v>826</v>
      </c>
      <c r="R735" s="9">
        <v>2958465</v>
      </c>
      <c r="S735" s="7" t="s">
        <v>827</v>
      </c>
      <c r="T735" s="7" t="s">
        <v>828</v>
      </c>
      <c r="U735" s="7" t="str">
        <f t="shared" ref="U735:U798" si="97">CONCATENATE(A735,"_",B735,"_V")</f>
        <v>CLK_DETM_DETIS_FTDS_V</v>
      </c>
      <c r="V735" s="7" t="s">
        <v>829</v>
      </c>
    </row>
    <row r="736" spans="1:22">
      <c r="A736" s="7" t="str">
        <f>TRIM(ETLMetadata!$B736)</f>
        <v>CLK</v>
      </c>
      <c r="B736" s="7" t="str">
        <f>TRIM(ETLMetadata!$C736)</f>
        <v>DETM_DETIS_FTDS</v>
      </c>
      <c r="C736" s="7" t="str">
        <f>TRIM(ETLMetadata!$F736)</f>
        <v>PARTY_ROLE_ID</v>
      </c>
      <c r="D736" s="7" t="str">
        <f>TRIM(ETLMetadata!$H736)</f>
        <v>StringType()</v>
      </c>
      <c r="E736" s="7" t="str">
        <f t="shared" si="96"/>
        <v>CLK_DETM_DETIS_FTDS</v>
      </c>
      <c r="F736" s="7" t="str">
        <f t="shared" si="90"/>
        <v>PARTY_ROLE_ID</v>
      </c>
      <c r="G736" s="7" t="s">
        <v>825</v>
      </c>
      <c r="H736" s="7" t="str">
        <f t="shared" si="91"/>
        <v>CLK_DETM_DETIS_FTDS</v>
      </c>
      <c r="I736" s="7" t="str">
        <f t="shared" si="92"/>
        <v>PARTY_ROLE_ID</v>
      </c>
      <c r="J736" s="7" t="str">
        <f t="shared" si="93"/>
        <v>INTEGER</v>
      </c>
      <c r="K736" s="7" t="str">
        <f>TRIM(ETLMetadata!$G736)</f>
        <v>INTEGER</v>
      </c>
      <c r="L736" s="7" t="str">
        <f>TRIM(ETLMetadata!$I736)</f>
        <v/>
      </c>
      <c r="M736" s="7" t="str">
        <f t="shared" si="94"/>
        <v>CAST(NULLIF(TRIM(PARTY_ROLE_ID),'') AS INTEGER)</v>
      </c>
      <c r="N736" s="7" t="str">
        <f>TRIM(ETLMetadata!$J736)</f>
        <v/>
      </c>
      <c r="O736" s="8" t="str">
        <f>IF(TRIM(Classification!$G736)="","NOT CONFIDENTIAL",TRIM(Classification!$G736))</f>
        <v>NOT CONFIDENTIAL</v>
      </c>
      <c r="P736" s="7" t="str">
        <f t="shared" si="95"/>
        <v>Y</v>
      </c>
      <c r="Q736" s="7" t="s">
        <v>826</v>
      </c>
      <c r="R736" s="9">
        <v>2958465</v>
      </c>
      <c r="S736" s="7" t="s">
        <v>827</v>
      </c>
      <c r="T736" s="7" t="s">
        <v>828</v>
      </c>
      <c r="U736" s="7" t="str">
        <f t="shared" si="97"/>
        <v>CLK_DETM_DETIS_FTDS_V</v>
      </c>
      <c r="V736" s="7" t="s">
        <v>829</v>
      </c>
    </row>
    <row r="737" spans="1:22">
      <c r="A737" s="7" t="str">
        <f>TRIM(ETLMetadata!$B737)</f>
        <v>CLK</v>
      </c>
      <c r="B737" s="7" t="str">
        <f>TRIM(ETLMetadata!$C737)</f>
        <v>DETM_DETIS_FTDS</v>
      </c>
      <c r="C737" s="7" t="str">
        <f>TRIM(ETLMetadata!$F737)</f>
        <v>PAYMENT_TYPE_ID</v>
      </c>
      <c r="D737" s="7" t="str">
        <f>TRIM(ETLMetadata!$H737)</f>
        <v>StringType()</v>
      </c>
      <c r="E737" s="7" t="str">
        <f t="shared" si="96"/>
        <v>CLK_DETM_DETIS_FTDS</v>
      </c>
      <c r="F737" s="7" t="str">
        <f t="shared" si="90"/>
        <v>PAYMENT_TYPE_ID</v>
      </c>
      <c r="G737" s="7" t="s">
        <v>825</v>
      </c>
      <c r="H737" s="7" t="str">
        <f t="shared" si="91"/>
        <v>CLK_DETM_DETIS_FTDS</v>
      </c>
      <c r="I737" s="7" t="str">
        <f t="shared" si="92"/>
        <v>PAYMENT_TYPE_ID</v>
      </c>
      <c r="J737" s="7" t="str">
        <f t="shared" si="93"/>
        <v>INTEGER</v>
      </c>
      <c r="K737" s="7" t="str">
        <f>TRIM(ETLMetadata!$G737)</f>
        <v>INTEGER</v>
      </c>
      <c r="L737" s="7" t="str">
        <f>TRIM(ETLMetadata!$I737)</f>
        <v/>
      </c>
      <c r="M737" s="7" t="str">
        <f t="shared" si="94"/>
        <v>CAST(NULLIF(TRIM(PAYMENT_TYPE_ID),'') AS INTEGER)</v>
      </c>
      <c r="N737" s="7" t="str">
        <f>TRIM(ETLMetadata!$J737)</f>
        <v/>
      </c>
      <c r="O737" s="8" t="str">
        <f>IF(TRIM(Classification!$G737)="","NOT CONFIDENTIAL",TRIM(Classification!$G737))</f>
        <v>NOT CONFIDENTIAL</v>
      </c>
      <c r="P737" s="7" t="str">
        <f t="shared" si="95"/>
        <v>Y</v>
      </c>
      <c r="Q737" s="7" t="s">
        <v>826</v>
      </c>
      <c r="R737" s="9">
        <v>2958465</v>
      </c>
      <c r="S737" s="7" t="s">
        <v>827</v>
      </c>
      <c r="T737" s="7" t="s">
        <v>828</v>
      </c>
      <c r="U737" s="7" t="str">
        <f t="shared" si="97"/>
        <v>CLK_DETM_DETIS_FTDS_V</v>
      </c>
      <c r="V737" s="7" t="s">
        <v>829</v>
      </c>
    </row>
    <row r="738" spans="1:22">
      <c r="A738" s="7" t="str">
        <f>TRIM(ETLMetadata!$B738)</f>
        <v>CLK</v>
      </c>
      <c r="B738" s="7" t="str">
        <f>TRIM(ETLMetadata!$C738)</f>
        <v>DETM_DETIS_FTDS</v>
      </c>
      <c r="C738" s="7" t="str">
        <f>TRIM(ETLMetadata!$F738)</f>
        <v>ERROR_COUNT</v>
      </c>
      <c r="D738" s="7" t="str">
        <f>TRIM(ETLMetadata!$H738)</f>
        <v>StringType()</v>
      </c>
      <c r="E738" s="7" t="str">
        <f t="shared" si="96"/>
        <v>CLK_DETM_DETIS_FTDS</v>
      </c>
      <c r="F738" s="7" t="str">
        <f t="shared" si="90"/>
        <v>ERROR_COUNT</v>
      </c>
      <c r="G738" s="7" t="s">
        <v>825</v>
      </c>
      <c r="H738" s="7" t="str">
        <f t="shared" si="91"/>
        <v>CLK_DETM_DETIS_FTDS</v>
      </c>
      <c r="I738" s="7" t="str">
        <f t="shared" si="92"/>
        <v>ERROR_COUNT</v>
      </c>
      <c r="J738" s="7" t="str">
        <f t="shared" si="93"/>
        <v>SMALLINT</v>
      </c>
      <c r="K738" s="7" t="str">
        <f>TRIM(ETLMetadata!$G738)</f>
        <v>SMALLINT</v>
      </c>
      <c r="L738" s="7" t="str">
        <f>TRIM(ETLMetadata!$I738)</f>
        <v/>
      </c>
      <c r="M738" s="7" t="str">
        <f t="shared" si="94"/>
        <v>CAST(NULLIF(TRIM(ERROR_COUNT),'') AS SMALLINT)</v>
      </c>
      <c r="N738" s="7" t="str">
        <f>TRIM(ETLMetadata!$J738)</f>
        <v/>
      </c>
      <c r="O738" s="8" t="str">
        <f>IF(TRIM(Classification!$G738)="","NOT CONFIDENTIAL",TRIM(Classification!$G738))</f>
        <v>NOT CONFIDENTIAL</v>
      </c>
      <c r="P738" s="7" t="str">
        <f t="shared" si="95"/>
        <v>Y</v>
      </c>
      <c r="Q738" s="7" t="s">
        <v>826</v>
      </c>
      <c r="R738" s="9">
        <v>2958465</v>
      </c>
      <c r="S738" s="7" t="s">
        <v>827</v>
      </c>
      <c r="T738" s="7" t="s">
        <v>828</v>
      </c>
      <c r="U738" s="7" t="str">
        <f t="shared" si="97"/>
        <v>CLK_DETM_DETIS_FTDS_V</v>
      </c>
      <c r="V738" s="7" t="s">
        <v>829</v>
      </c>
    </row>
    <row r="739" spans="1:22">
      <c r="A739" s="7" t="str">
        <f>TRIM(ETLMetadata!$B739)</f>
        <v>CLK</v>
      </c>
      <c r="B739" s="7" t="str">
        <f>TRIM(ETLMetadata!$C739)</f>
        <v>DETM_DETIS_FTDS</v>
      </c>
      <c r="C739" s="7" t="str">
        <f>TRIM(ETLMetadata!$F739)</f>
        <v>Start_Date</v>
      </c>
      <c r="D739" s="7" t="str">
        <f>TRIM(ETLMetadata!$H739)</f>
        <v>StringType()</v>
      </c>
      <c r="E739" s="7" t="str">
        <f t="shared" si="96"/>
        <v>CLK_DETM_DETIS_FTDS</v>
      </c>
      <c r="F739" s="7" t="str">
        <f t="shared" si="90"/>
        <v>STRT_DT</v>
      </c>
      <c r="G739" s="7" t="s">
        <v>825</v>
      </c>
      <c r="H739" s="7" t="str">
        <f t="shared" si="91"/>
        <v>CLK_DETM_DETIS_FTDS</v>
      </c>
      <c r="I739" s="7" t="str">
        <f t="shared" si="92"/>
        <v>STRT_DT</v>
      </c>
      <c r="J739" s="7" t="str">
        <f t="shared" si="93"/>
        <v>DATE</v>
      </c>
      <c r="K739" s="7" t="str">
        <f>TRIM(ETLMetadata!$G739)</f>
        <v>DATE</v>
      </c>
      <c r="L739" s="7" t="str">
        <f>TRIM(ETLMetadata!$I739)</f>
        <v>YYYY-MM-DD</v>
      </c>
      <c r="M739" s="7" t="str">
        <f t="shared" si="94"/>
        <v>TO_DATE(NULLIF(TRIM(STRT_DT),'') , 'YYYY-MM-DD')</v>
      </c>
      <c r="N739" s="7" t="str">
        <f>TRIM(ETLMetadata!$J739)</f>
        <v/>
      </c>
      <c r="O739" s="8" t="str">
        <f>IF(TRIM(Classification!$G739)="","NOT CONFIDENTIAL",TRIM(Classification!$G739))</f>
        <v>NOT CONFIDENTIAL</v>
      </c>
      <c r="P739" s="7" t="str">
        <f t="shared" si="95"/>
        <v>N</v>
      </c>
      <c r="Q739" s="7" t="s">
        <v>826</v>
      </c>
      <c r="R739" s="9">
        <v>2958465</v>
      </c>
      <c r="S739" s="7" t="s">
        <v>827</v>
      </c>
      <c r="T739" s="7" t="s">
        <v>828</v>
      </c>
      <c r="U739" s="7" t="str">
        <f t="shared" si="97"/>
        <v>CLK_DETM_DETIS_FTDS_V</v>
      </c>
      <c r="V739" s="7" t="s">
        <v>829</v>
      </c>
    </row>
    <row r="740" spans="1:22">
      <c r="A740" s="7" t="str">
        <f>TRIM(ETLMetadata!$B740)</f>
        <v>CLK</v>
      </c>
      <c r="B740" s="7" t="str">
        <f>TRIM(ETLMetadata!$C740)</f>
        <v>DETM_DETIS_FTDS</v>
      </c>
      <c r="C740" s="7" t="str">
        <f>TRIM(ETLMetadata!$F740)</f>
        <v>End_Date</v>
      </c>
      <c r="D740" s="7" t="str">
        <f>TRIM(ETLMetadata!$H740)</f>
        <v>StringType()</v>
      </c>
      <c r="E740" s="7" t="str">
        <f t="shared" si="96"/>
        <v>CLK_DETM_DETIS_FTDS</v>
      </c>
      <c r="F740" s="7" t="str">
        <f t="shared" si="90"/>
        <v>END_DT</v>
      </c>
      <c r="G740" s="7" t="s">
        <v>825</v>
      </c>
      <c r="H740" s="7" t="str">
        <f t="shared" si="91"/>
        <v>CLK_DETM_DETIS_FTDS</v>
      </c>
      <c r="I740" s="7" t="str">
        <f t="shared" si="92"/>
        <v>END_DT</v>
      </c>
      <c r="J740" s="7" t="str">
        <f t="shared" si="93"/>
        <v>DATE</v>
      </c>
      <c r="K740" s="7" t="str">
        <f>TRIM(ETLMetadata!$G740)</f>
        <v>DATE</v>
      </c>
      <c r="L740" s="7" t="str">
        <f>TRIM(ETLMetadata!$I740)</f>
        <v>YYYY-MM-DD</v>
      </c>
      <c r="M740" s="7" t="str">
        <f t="shared" si="94"/>
        <v>TO_DATE(NULLIF(TRIM(END_DT),'') , 'YYYY-MM-DD')</v>
      </c>
      <c r="N740" s="7" t="str">
        <f>TRIM(ETLMetadata!$J740)</f>
        <v/>
      </c>
      <c r="O740" s="8" t="str">
        <f>IF(TRIM(Classification!$G740)="","NOT CONFIDENTIAL",TRIM(Classification!$G740))</f>
        <v>NOT CONFIDENTIAL</v>
      </c>
      <c r="P740" s="7" t="str">
        <f t="shared" si="95"/>
        <v>N</v>
      </c>
      <c r="Q740" s="7" t="s">
        <v>826</v>
      </c>
      <c r="R740" s="9">
        <v>2958465</v>
      </c>
      <c r="S740" s="7" t="s">
        <v>827</v>
      </c>
      <c r="T740" s="7" t="s">
        <v>828</v>
      </c>
      <c r="U740" s="7" t="str">
        <f t="shared" si="97"/>
        <v>CLK_DETM_DETIS_FTDS_V</v>
      </c>
      <c r="V740" s="7" t="s">
        <v>829</v>
      </c>
    </row>
    <row r="741" spans="1:22">
      <c r="A741" s="7" t="str">
        <f>TRIM(ETLMetadata!$B741)</f>
        <v>CLK</v>
      </c>
      <c r="B741" s="7" t="str">
        <f>TRIM(ETLMetadata!$C741)</f>
        <v>DETM_DETIS_FTDS</v>
      </c>
      <c r="C741" s="7" t="str">
        <f>TRIM(ETLMetadata!$F741)</f>
        <v>Record_Deleted_Flag</v>
      </c>
      <c r="D741" s="7" t="str">
        <f>TRIM(ETLMetadata!$H741)</f>
        <v>StringType()</v>
      </c>
      <c r="E741" s="7" t="str">
        <f t="shared" si="96"/>
        <v>CLK_DETM_DETIS_FTDS</v>
      </c>
      <c r="F741" s="7" t="str">
        <f t="shared" si="90"/>
        <v>RCRD_DEL_IND</v>
      </c>
      <c r="G741" s="7" t="s">
        <v>825</v>
      </c>
      <c r="H741" s="7" t="str">
        <f t="shared" si="91"/>
        <v>CLK_DETM_DETIS_FTDS</v>
      </c>
      <c r="I741" s="7" t="str">
        <f t="shared" si="92"/>
        <v>RCRD_DEL_IND</v>
      </c>
      <c r="J741" s="7" t="str">
        <f t="shared" si="93"/>
        <v>SMALLINT</v>
      </c>
      <c r="K741" s="7" t="str">
        <f>TRIM(ETLMetadata!$G741)</f>
        <v>BYTEINT</v>
      </c>
      <c r="L741" s="7" t="str">
        <f>TRIM(ETLMetadata!$I741)</f>
        <v/>
      </c>
      <c r="M741" s="7" t="str">
        <f t="shared" si="94"/>
        <v>CAST(NULLIF(TRIM(RCRD_DEL_IND),'') AS SMALLINT)</v>
      </c>
      <c r="N741" s="7" t="str">
        <f>TRIM(ETLMetadata!$J741)</f>
        <v/>
      </c>
      <c r="O741" s="8" t="str">
        <f>IF(TRIM(Classification!$G741)="","NOT CONFIDENTIAL",TRIM(Classification!$G741))</f>
        <v>NOT CONFIDENTIAL</v>
      </c>
      <c r="P741" s="7" t="str">
        <f t="shared" si="95"/>
        <v>N</v>
      </c>
      <c r="Q741" s="7" t="s">
        <v>826</v>
      </c>
      <c r="R741" s="9">
        <v>2958465</v>
      </c>
      <c r="S741" s="7" t="s">
        <v>827</v>
      </c>
      <c r="T741" s="7" t="s">
        <v>828</v>
      </c>
      <c r="U741" s="7" t="str">
        <f t="shared" si="97"/>
        <v>CLK_DETM_DETIS_FTDS_V</v>
      </c>
      <c r="V741" s="7" t="s">
        <v>829</v>
      </c>
    </row>
    <row r="742" spans="1:22">
      <c r="A742" s="7" t="str">
        <f>TRIM(ETLMetadata!$B742)</f>
        <v>CLK</v>
      </c>
      <c r="B742" s="7" t="str">
        <f>TRIM(ETLMetadata!$C742)</f>
        <v>DETM_DETIS_FYDS</v>
      </c>
      <c r="C742" s="7" t="str">
        <f>TRIM(ETLMetadata!$F742)</f>
        <v>EXTRACT_DATE</v>
      </c>
      <c r="D742" s="7" t="str">
        <f>TRIM(ETLMetadata!$H742)</f>
        <v>StringType()</v>
      </c>
      <c r="E742" s="7" t="str">
        <f t="shared" si="96"/>
        <v>CLK_DETM_DETIS_FYDS</v>
      </c>
      <c r="F742" s="7" t="str">
        <f t="shared" si="90"/>
        <v>EXTRACT_DATE</v>
      </c>
      <c r="G742" s="7" t="s">
        <v>825</v>
      </c>
      <c r="H742" s="7" t="str">
        <f t="shared" si="91"/>
        <v>CLK_DETM_DETIS_FYDS</v>
      </c>
      <c r="I742" s="7" t="str">
        <f t="shared" si="92"/>
        <v>EXTRACT_DATE</v>
      </c>
      <c r="J742" s="7" t="str">
        <f t="shared" si="93"/>
        <v>DATE</v>
      </c>
      <c r="K742" s="7" t="str">
        <f>TRIM(ETLMetadata!$G742)</f>
        <v>DATE</v>
      </c>
      <c r="L742" s="7" t="str">
        <f>TRIM(ETLMetadata!$I742)</f>
        <v>YYYY-MM-DD</v>
      </c>
      <c r="M742" s="7" t="str">
        <f t="shared" si="94"/>
        <v>TO_DATE(NULLIF(TRIM(EXTRACT_DATE),'') , 'YYYY-MM-DD')</v>
      </c>
      <c r="N742" s="7" t="str">
        <f>TRIM(ETLMetadata!$J742)</f>
        <v/>
      </c>
      <c r="O742" s="8" t="str">
        <f>IF(TRIM(Classification!$G742)="","NOT CONFIDENTIAL",TRIM(Classification!$G742))</f>
        <v>NOT CONFIDENTIAL</v>
      </c>
      <c r="P742" s="7" t="str">
        <f t="shared" si="95"/>
        <v>Y</v>
      </c>
      <c r="Q742" s="7" t="s">
        <v>826</v>
      </c>
      <c r="R742" s="9">
        <v>2958465</v>
      </c>
      <c r="S742" s="7" t="s">
        <v>827</v>
      </c>
      <c r="T742" s="7" t="s">
        <v>828</v>
      </c>
      <c r="U742" s="7" t="str">
        <f t="shared" si="97"/>
        <v>CLK_DETM_DETIS_FYDS_V</v>
      </c>
      <c r="V742" s="7" t="s">
        <v>829</v>
      </c>
    </row>
    <row r="743" spans="1:22">
      <c r="A743" s="7" t="str">
        <f>TRIM(ETLMetadata!$B743)</f>
        <v>CLK</v>
      </c>
      <c r="B743" s="7" t="str">
        <f>TRIM(ETLMetadata!$C743)</f>
        <v>DETM_DETIS_FYDS</v>
      </c>
      <c r="C743" s="7" t="str">
        <f>TRIM(ETLMetadata!$F743)</f>
        <v>LOGICAL_DELETE_DATE</v>
      </c>
      <c r="D743" s="7" t="str">
        <f>TRIM(ETLMetadata!$H743)</f>
        <v>StringType()</v>
      </c>
      <c r="E743" s="7" t="str">
        <f t="shared" si="96"/>
        <v>CLK_DETM_DETIS_FYDS</v>
      </c>
      <c r="F743" s="7" t="str">
        <f t="shared" si="90"/>
        <v>LOGICAL_DELETE_DATE</v>
      </c>
      <c r="G743" s="7" t="s">
        <v>825</v>
      </c>
      <c r="H743" s="7" t="str">
        <f t="shared" si="91"/>
        <v>CLK_DETM_DETIS_FYDS</v>
      </c>
      <c r="I743" s="7" t="str">
        <f t="shared" si="92"/>
        <v>LOGICAL_DELETE_DATE</v>
      </c>
      <c r="J743" s="7" t="str">
        <f t="shared" si="93"/>
        <v>DATE</v>
      </c>
      <c r="K743" s="7" t="str">
        <f>TRIM(ETLMetadata!$G743)</f>
        <v>DATE</v>
      </c>
      <c r="L743" s="7" t="str">
        <f>TRIM(ETLMetadata!$I743)</f>
        <v>YYYY-MM-DD</v>
      </c>
      <c r="M743" s="7" t="str">
        <f t="shared" si="94"/>
        <v>TO_DATE(NULLIF(TRIM(LOGICAL_DELETE_DATE),'') , 'YYYY-MM-DD')</v>
      </c>
      <c r="N743" s="7" t="str">
        <f>TRIM(ETLMetadata!$J743)</f>
        <v/>
      </c>
      <c r="O743" s="8" t="str">
        <f>IF(TRIM(Classification!$G743)="","NOT CONFIDENTIAL",TRIM(Classification!$G743))</f>
        <v>NOT CONFIDENTIAL</v>
      </c>
      <c r="P743" s="7" t="str">
        <f t="shared" si="95"/>
        <v>Y</v>
      </c>
      <c r="Q743" s="7" t="s">
        <v>826</v>
      </c>
      <c r="R743" s="9">
        <v>2958465</v>
      </c>
      <c r="S743" s="7" t="s">
        <v>827</v>
      </c>
      <c r="T743" s="7" t="s">
        <v>828</v>
      </c>
      <c r="U743" s="7" t="str">
        <f t="shared" si="97"/>
        <v>CLK_DETM_DETIS_FYDS_V</v>
      </c>
      <c r="V743" s="7" t="s">
        <v>829</v>
      </c>
    </row>
    <row r="744" spans="1:22">
      <c r="A744" s="7" t="str">
        <f>TRIM(ETLMetadata!$B744)</f>
        <v>CLK</v>
      </c>
      <c r="B744" s="7" t="str">
        <f>TRIM(ETLMetadata!$C744)</f>
        <v>DETM_DETIS_FYDS</v>
      </c>
      <c r="C744" s="7" t="str">
        <f>TRIM(ETLMetadata!$F744)</f>
        <v>ENVIRONMENT_ID</v>
      </c>
      <c r="D744" s="7" t="str">
        <f>TRIM(ETLMetadata!$H744)</f>
        <v>StringType()</v>
      </c>
      <c r="E744" s="7" t="str">
        <f t="shared" si="96"/>
        <v>CLK_DETM_DETIS_FYDS</v>
      </c>
      <c r="F744" s="7" t="str">
        <f t="shared" si="90"/>
        <v>ENVIRONMENT_ID</v>
      </c>
      <c r="G744" s="7" t="s">
        <v>825</v>
      </c>
      <c r="H744" s="7" t="str">
        <f t="shared" si="91"/>
        <v>CLK_DETM_DETIS_FYDS</v>
      </c>
      <c r="I744" s="7" t="str">
        <f t="shared" si="92"/>
        <v>ENVIRONMENT_ID</v>
      </c>
      <c r="J744" s="7" t="str">
        <f t="shared" si="93"/>
        <v>VARCHAR</v>
      </c>
      <c r="K744" s="7" t="str">
        <f>TRIM(ETLMetadata!$G744)</f>
        <v>CHAR(1)</v>
      </c>
      <c r="L744" s="7" t="str">
        <f>TRIM(ETLMetadata!$I744)</f>
        <v/>
      </c>
      <c r="M744" s="7" t="str">
        <f t="shared" si="94"/>
        <v>NULLIF(TRIM(ENVIRONMENT_ID),'')</v>
      </c>
      <c r="N744" s="7" t="str">
        <f>TRIM(ETLMetadata!$J744)</f>
        <v>Y</v>
      </c>
      <c r="O744" s="8" t="str">
        <f>IF(TRIM(Classification!$G744)="","NOT CONFIDENTIAL",TRIM(Classification!$G744))</f>
        <v>NOT CONFIDENTIAL</v>
      </c>
      <c r="P744" s="7" t="str">
        <f t="shared" si="95"/>
        <v>Y</v>
      </c>
      <c r="Q744" s="7" t="s">
        <v>826</v>
      </c>
      <c r="R744" s="9">
        <v>2958465</v>
      </c>
      <c r="S744" s="7" t="s">
        <v>827</v>
      </c>
      <c r="T744" s="7" t="s">
        <v>828</v>
      </c>
      <c r="U744" s="7" t="str">
        <f t="shared" si="97"/>
        <v>CLK_DETM_DETIS_FYDS_V</v>
      </c>
      <c r="V744" s="7" t="s">
        <v>829</v>
      </c>
    </row>
    <row r="745" spans="1:22">
      <c r="A745" s="7" t="str">
        <f>TRIM(ETLMetadata!$B745)</f>
        <v>CLK</v>
      </c>
      <c r="B745" s="7" t="str">
        <f>TRIM(ETLMetadata!$C745)</f>
        <v>DETM_DETIS_FYDS</v>
      </c>
      <c r="C745" s="7" t="str">
        <f>TRIM(ETLMetadata!$F745)</f>
        <v>PERSON_ID</v>
      </c>
      <c r="D745" s="7" t="str">
        <f>TRIM(ETLMetadata!$H745)</f>
        <v>StringType()</v>
      </c>
      <c r="E745" s="7" t="str">
        <f t="shared" si="96"/>
        <v>CLK_DETM_DETIS_FYDS</v>
      </c>
      <c r="F745" s="7" t="str">
        <f t="shared" si="90"/>
        <v>PERSON_ID</v>
      </c>
      <c r="G745" s="7" t="s">
        <v>825</v>
      </c>
      <c r="H745" s="7" t="str">
        <f t="shared" si="91"/>
        <v>CLK_DETM_DETIS_FYDS</v>
      </c>
      <c r="I745" s="7" t="str">
        <f t="shared" si="92"/>
        <v>PERSON_ID</v>
      </c>
      <c r="J745" s="7" t="str">
        <f t="shared" si="93"/>
        <v>INTEGER</v>
      </c>
      <c r="K745" s="7" t="str">
        <f>TRIM(ETLMetadata!$G745)</f>
        <v>INTEGER</v>
      </c>
      <c r="L745" s="7" t="str">
        <f>TRIM(ETLMetadata!$I745)</f>
        <v/>
      </c>
      <c r="M745" s="7" t="str">
        <f t="shared" si="94"/>
        <v>CAST(NULLIF(TRIM(PERSON_ID),'') AS INTEGER)</v>
      </c>
      <c r="N745" s="7" t="str">
        <f>TRIM(ETLMetadata!$J745)</f>
        <v>Y</v>
      </c>
      <c r="O745" s="8" t="str">
        <f>IF(TRIM(Classification!$G745)="","NOT CONFIDENTIAL",TRIM(Classification!$G745))</f>
        <v>PERSONAL_IDENTITYINFOINDIRECT</v>
      </c>
      <c r="P745" s="7" t="str">
        <f t="shared" si="95"/>
        <v>Y</v>
      </c>
      <c r="Q745" s="7" t="s">
        <v>826</v>
      </c>
      <c r="R745" s="9">
        <v>2958465</v>
      </c>
      <c r="S745" s="7" t="s">
        <v>827</v>
      </c>
      <c r="T745" s="7" t="s">
        <v>828</v>
      </c>
      <c r="U745" s="7" t="str">
        <f t="shared" si="97"/>
        <v>CLK_DETM_DETIS_FYDS_V</v>
      </c>
      <c r="V745" s="7" t="s">
        <v>829</v>
      </c>
    </row>
    <row r="746" spans="1:22">
      <c r="A746" s="7" t="str">
        <f>TRIM(ETLMetadata!$B746)</f>
        <v>CLK</v>
      </c>
      <c r="B746" s="7" t="str">
        <f>TRIM(ETLMetadata!$C746)</f>
        <v>DETM_DETIS_FYDS</v>
      </c>
      <c r="C746" s="7" t="str">
        <f>TRIM(ETLMetadata!$F746)</f>
        <v>FYDS_DOE</v>
      </c>
      <c r="D746" s="7" t="str">
        <f>TRIM(ETLMetadata!$H746)</f>
        <v>StringType()</v>
      </c>
      <c r="E746" s="7" t="str">
        <f t="shared" si="96"/>
        <v>CLK_DETM_DETIS_FYDS</v>
      </c>
      <c r="F746" s="7" t="str">
        <f t="shared" si="90"/>
        <v>FYDS_DOE</v>
      </c>
      <c r="G746" s="7" t="s">
        <v>825</v>
      </c>
      <c r="H746" s="7" t="str">
        <f t="shared" si="91"/>
        <v>CLK_DETM_DETIS_FYDS</v>
      </c>
      <c r="I746" s="7" t="str">
        <f t="shared" si="92"/>
        <v>FYDS_DOE</v>
      </c>
      <c r="J746" s="7" t="str">
        <f t="shared" si="93"/>
        <v>DATE</v>
      </c>
      <c r="K746" s="17" t="s">
        <v>80</v>
      </c>
      <c r="L746" s="7" t="str">
        <f>TRIM(ETLMetadata!$I746)</f>
        <v>YYYY-MM-DD</v>
      </c>
      <c r="M746" s="7" t="str">
        <f t="shared" si="94"/>
        <v>TO_DATE(NULLIF(TRIM(FYDS_DOE),'') , 'YYYY-MM-DD')</v>
      </c>
      <c r="N746" s="7" t="str">
        <f>TRIM(ETLMetadata!$J746)</f>
        <v/>
      </c>
      <c r="O746" s="8" t="str">
        <f>IF(TRIM(Classification!$G746)="","NOT CONFIDENTIAL",TRIM(Classification!$G746))</f>
        <v>NOT CONFIDENTIAL</v>
      </c>
      <c r="P746" s="7" t="str">
        <f t="shared" si="95"/>
        <v>Y</v>
      </c>
      <c r="Q746" s="7" t="s">
        <v>826</v>
      </c>
      <c r="R746" s="9">
        <v>2958465</v>
      </c>
      <c r="S746" s="7" t="s">
        <v>827</v>
      </c>
      <c r="T746" s="7" t="s">
        <v>828</v>
      </c>
      <c r="U746" s="7" t="str">
        <f t="shared" si="97"/>
        <v>CLK_DETM_DETIS_FYDS_V</v>
      </c>
      <c r="V746" s="7" t="s">
        <v>829</v>
      </c>
    </row>
    <row r="747" spans="1:22">
      <c r="A747" s="7" t="str">
        <f>TRIM(ETLMetadata!$B747)</f>
        <v>CLK</v>
      </c>
      <c r="B747" s="7" t="str">
        <f>TRIM(ETLMetadata!$C747)</f>
        <v>DETM_DETIS_FYDS</v>
      </c>
      <c r="C747" s="7" t="str">
        <f>TRIM(ETLMetadata!$F747)</f>
        <v>FYDS_DOE_ORIG</v>
      </c>
      <c r="D747" s="7" t="str">
        <f>TRIM(ETLMetadata!$H747)</f>
        <v>StringType()</v>
      </c>
      <c r="E747" s="7" t="str">
        <f t="shared" si="96"/>
        <v>CLK_DETM_DETIS_FYDS</v>
      </c>
      <c r="F747" s="7" t="str">
        <f t="shared" si="90"/>
        <v>FYDS_DOE_ORIG</v>
      </c>
      <c r="G747" s="7" t="s">
        <v>825</v>
      </c>
      <c r="H747" s="7" t="str">
        <f t="shared" si="91"/>
        <v>CLK_DETM_DETIS_FYDS</v>
      </c>
      <c r="I747" s="7" t="str">
        <f t="shared" si="92"/>
        <v>FYDS_DOE_ORIG</v>
      </c>
      <c r="J747" s="7" t="str">
        <f t="shared" si="93"/>
        <v>INTEGER</v>
      </c>
      <c r="K747" s="17" t="s">
        <v>90</v>
      </c>
      <c r="L747" s="7" t="str">
        <f>TRIM(ETLMetadata!$I747)</f>
        <v/>
      </c>
      <c r="M747" s="7" t="str">
        <f t="shared" si="94"/>
        <v>CAST(NULLIF(TRIM(FYDS_DOE_ORIG),'') AS INTEGER)</v>
      </c>
      <c r="N747" s="7" t="str">
        <f>TRIM(ETLMetadata!$J747)</f>
        <v/>
      </c>
      <c r="O747" s="8" t="str">
        <f>IF(TRIM(Classification!$G747)="","NOT CONFIDENTIAL",TRIM(Classification!$G747))</f>
        <v>NOT CONFIDENTIAL</v>
      </c>
      <c r="P747" s="7" t="str">
        <f t="shared" si="95"/>
        <v>Y</v>
      </c>
      <c r="Q747" s="7" t="s">
        <v>826</v>
      </c>
      <c r="R747" s="9">
        <v>2958465</v>
      </c>
      <c r="S747" s="7" t="s">
        <v>827</v>
      </c>
      <c r="T747" s="7" t="s">
        <v>828</v>
      </c>
      <c r="U747" s="7" t="str">
        <f t="shared" si="97"/>
        <v>CLK_DETM_DETIS_FYDS_V</v>
      </c>
      <c r="V747" s="7" t="s">
        <v>829</v>
      </c>
    </row>
    <row r="748" spans="1:22">
      <c r="A748" s="7" t="str">
        <f>TRIM(ETLMetadata!$B748)</f>
        <v>CLK</v>
      </c>
      <c r="B748" s="7" t="str">
        <f>TRIM(ETLMetadata!$C748)</f>
        <v>DETM_DETIS_FYDS</v>
      </c>
      <c r="C748" s="7" t="str">
        <f>TRIM(ETLMetadata!$F748)</f>
        <v>PROCESSING_SEQUENCE</v>
      </c>
      <c r="D748" s="7" t="str">
        <f>TRIM(ETLMetadata!$H748)</f>
        <v>StringType()</v>
      </c>
      <c r="E748" s="7" t="str">
        <f t="shared" si="96"/>
        <v>CLK_DETM_DETIS_FYDS</v>
      </c>
      <c r="F748" s="7" t="str">
        <f t="shared" si="90"/>
        <v>PROCESSING_SEQUENCE</v>
      </c>
      <c r="G748" s="7" t="s">
        <v>825</v>
      </c>
      <c r="H748" s="7" t="str">
        <f t="shared" si="91"/>
        <v>CLK_DETM_DETIS_FYDS</v>
      </c>
      <c r="I748" s="7" t="str">
        <f t="shared" si="92"/>
        <v>PROCESSING_SEQUENCE</v>
      </c>
      <c r="J748" s="7" t="str">
        <f t="shared" si="93"/>
        <v>SMALLINT</v>
      </c>
      <c r="K748" s="7" t="str">
        <f>TRIM(ETLMetadata!$G748)</f>
        <v>SMALLINT</v>
      </c>
      <c r="L748" s="7" t="str">
        <f>TRIM(ETLMetadata!$I748)</f>
        <v/>
      </c>
      <c r="M748" s="7" t="str">
        <f t="shared" si="94"/>
        <v>CAST(NULLIF(TRIM(PROCESSING_SEQUENCE),'') AS SMALLINT)</v>
      </c>
      <c r="N748" s="7" t="str">
        <f>TRIM(ETLMetadata!$J748)</f>
        <v>Y</v>
      </c>
      <c r="O748" s="8" t="str">
        <f>IF(TRIM(Classification!$G748)="","NOT CONFIDENTIAL",TRIM(Classification!$G748))</f>
        <v>NOT CONFIDENTIAL</v>
      </c>
      <c r="P748" s="7" t="str">
        <f t="shared" si="95"/>
        <v>Y</v>
      </c>
      <c r="Q748" s="7" t="s">
        <v>826</v>
      </c>
      <c r="R748" s="9">
        <v>2958465</v>
      </c>
      <c r="S748" s="7" t="s">
        <v>827</v>
      </c>
      <c r="T748" s="7" t="s">
        <v>828</v>
      </c>
      <c r="U748" s="7" t="str">
        <f t="shared" si="97"/>
        <v>CLK_DETM_DETIS_FYDS_V</v>
      </c>
      <c r="V748" s="7" t="s">
        <v>829</v>
      </c>
    </row>
    <row r="749" spans="1:22">
      <c r="A749" s="7" t="str">
        <f>TRIM(ETLMetadata!$B749)</f>
        <v>CLK</v>
      </c>
      <c r="B749" s="7" t="str">
        <f>TRIM(ETLMetadata!$C749)</f>
        <v>DETM_DETIS_FYDS</v>
      </c>
      <c r="C749" s="7" t="str">
        <f>TRIM(ETLMetadata!$F749)</f>
        <v>FYDS_AMR_1</v>
      </c>
      <c r="D749" s="7" t="str">
        <f>TRIM(ETLMetadata!$H749)</f>
        <v>StringType()</v>
      </c>
      <c r="E749" s="7" t="str">
        <f t="shared" si="96"/>
        <v>CLK_DETM_DETIS_FYDS</v>
      </c>
      <c r="F749" s="7" t="str">
        <f t="shared" si="90"/>
        <v>FYDS_AMR_1</v>
      </c>
      <c r="G749" s="7" t="s">
        <v>825</v>
      </c>
      <c r="H749" s="7" t="str">
        <f t="shared" si="91"/>
        <v>CLK_DETM_DETIS_FYDS</v>
      </c>
      <c r="I749" s="7" t="str">
        <f t="shared" si="92"/>
        <v>FYDS_AMR_1</v>
      </c>
      <c r="J749" s="7" t="str">
        <f t="shared" si="93"/>
        <v>VARCHAR</v>
      </c>
      <c r="K749" s="7" t="str">
        <f>TRIM(ETLMetadata!$G749)</f>
        <v>CHAR(4)</v>
      </c>
      <c r="L749" s="7" t="str">
        <f>TRIM(ETLMetadata!$I749)</f>
        <v/>
      </c>
      <c r="M749" s="7" t="str">
        <f t="shared" si="94"/>
        <v>NULLIF(TRIM(FYDS_AMR_1),'')</v>
      </c>
      <c r="N749" s="7" t="str">
        <f>TRIM(ETLMetadata!$J749)</f>
        <v/>
      </c>
      <c r="O749" s="8" t="str">
        <f>IF(TRIM(Classification!$G749)="","NOT CONFIDENTIAL",TRIM(Classification!$G749))</f>
        <v>NOT CONFIDENTIAL</v>
      </c>
      <c r="P749" s="7" t="str">
        <f t="shared" si="95"/>
        <v>Y</v>
      </c>
      <c r="Q749" s="7" t="s">
        <v>826</v>
      </c>
      <c r="R749" s="9">
        <v>2958465</v>
      </c>
      <c r="S749" s="7" t="s">
        <v>827</v>
      </c>
      <c r="T749" s="7" t="s">
        <v>828</v>
      </c>
      <c r="U749" s="7" t="str">
        <f t="shared" si="97"/>
        <v>CLK_DETM_DETIS_FYDS_V</v>
      </c>
      <c r="V749" s="7" t="s">
        <v>829</v>
      </c>
    </row>
    <row r="750" spans="1:22">
      <c r="A750" s="7" t="str">
        <f>TRIM(ETLMetadata!$B750)</f>
        <v>CLK</v>
      </c>
      <c r="B750" s="7" t="str">
        <f>TRIM(ETLMetadata!$C750)</f>
        <v>DETM_DETIS_FYDS</v>
      </c>
      <c r="C750" s="7" t="str">
        <f>TRIM(ETLMetadata!$F750)</f>
        <v>FYDS_AMR_2</v>
      </c>
      <c r="D750" s="7" t="str">
        <f>TRIM(ETLMetadata!$H750)</f>
        <v>StringType()</v>
      </c>
      <c r="E750" s="7" t="str">
        <f t="shared" si="96"/>
        <v>CLK_DETM_DETIS_FYDS</v>
      </c>
      <c r="F750" s="7" t="str">
        <f t="shared" si="90"/>
        <v>FYDS_AMR_2</v>
      </c>
      <c r="G750" s="7" t="s">
        <v>825</v>
      </c>
      <c r="H750" s="7" t="str">
        <f t="shared" si="91"/>
        <v>CLK_DETM_DETIS_FYDS</v>
      </c>
      <c r="I750" s="7" t="str">
        <f t="shared" si="92"/>
        <v>FYDS_AMR_2</v>
      </c>
      <c r="J750" s="7" t="str">
        <f t="shared" si="93"/>
        <v>VARCHAR</v>
      </c>
      <c r="K750" s="7" t="str">
        <f>TRIM(ETLMetadata!$G750)</f>
        <v>CHAR(1)</v>
      </c>
      <c r="L750" s="7" t="str">
        <f>TRIM(ETLMetadata!$I750)</f>
        <v/>
      </c>
      <c r="M750" s="7" t="str">
        <f t="shared" si="94"/>
        <v>NULLIF(TRIM(FYDS_AMR_2),'')</v>
      </c>
      <c r="N750" s="7" t="str">
        <f>TRIM(ETLMetadata!$J750)</f>
        <v/>
      </c>
      <c r="O750" s="8" t="str">
        <f>IF(TRIM(Classification!$G750)="","NOT CONFIDENTIAL",TRIM(Classification!$G750))</f>
        <v>NOT CONFIDENTIAL</v>
      </c>
      <c r="P750" s="7" t="str">
        <f t="shared" si="95"/>
        <v>Y</v>
      </c>
      <c r="Q750" s="7" t="s">
        <v>826</v>
      </c>
      <c r="R750" s="9">
        <v>2958465</v>
      </c>
      <c r="S750" s="7" t="s">
        <v>827</v>
      </c>
      <c r="T750" s="7" t="s">
        <v>828</v>
      </c>
      <c r="U750" s="7" t="str">
        <f t="shared" si="97"/>
        <v>CLK_DETM_DETIS_FYDS_V</v>
      </c>
      <c r="V750" s="7" t="s">
        <v>829</v>
      </c>
    </row>
    <row r="751" spans="1:22">
      <c r="A751" s="7" t="str">
        <f>TRIM(ETLMetadata!$B751)</f>
        <v>CLK</v>
      </c>
      <c r="B751" s="7" t="str">
        <f>TRIM(ETLMetadata!$C751)</f>
        <v>DETM_DETIS_FYDS</v>
      </c>
      <c r="C751" s="7" t="str">
        <f>TRIM(ETLMetadata!$F751)</f>
        <v>FYDS_AMR_3</v>
      </c>
      <c r="D751" s="7" t="str">
        <f>TRIM(ETLMetadata!$H751)</f>
        <v>StringType()</v>
      </c>
      <c r="E751" s="7" t="str">
        <f t="shared" si="96"/>
        <v>CLK_DETM_DETIS_FYDS</v>
      </c>
      <c r="F751" s="7" t="str">
        <f t="shared" si="90"/>
        <v>FYDS_AMR_3</v>
      </c>
      <c r="G751" s="7" t="s">
        <v>825</v>
      </c>
      <c r="H751" s="7" t="str">
        <f t="shared" si="91"/>
        <v>CLK_DETM_DETIS_FYDS</v>
      </c>
      <c r="I751" s="7" t="str">
        <f t="shared" si="92"/>
        <v>FYDS_AMR_3</v>
      </c>
      <c r="J751" s="7" t="str">
        <f t="shared" si="93"/>
        <v>VARCHAR</v>
      </c>
      <c r="K751" s="7" t="str">
        <f>TRIM(ETLMetadata!$G751)</f>
        <v>CHAR(4)</v>
      </c>
      <c r="L751" s="7" t="str">
        <f>TRIM(ETLMetadata!$I751)</f>
        <v/>
      </c>
      <c r="M751" s="7" t="str">
        <f t="shared" si="94"/>
        <v>NULLIF(TRIM(FYDS_AMR_3),'')</v>
      </c>
      <c r="N751" s="7" t="str">
        <f>TRIM(ETLMetadata!$J751)</f>
        <v/>
      </c>
      <c r="O751" s="8" t="str">
        <f>IF(TRIM(Classification!$G751)="","NOT CONFIDENTIAL",TRIM(Classification!$G751))</f>
        <v>NOT CONFIDENTIAL</v>
      </c>
      <c r="P751" s="7" t="str">
        <f t="shared" si="95"/>
        <v>Y</v>
      </c>
      <c r="Q751" s="7" t="s">
        <v>826</v>
      </c>
      <c r="R751" s="9">
        <v>2958465</v>
      </c>
      <c r="S751" s="7" t="s">
        <v>827</v>
      </c>
      <c r="T751" s="7" t="s">
        <v>828</v>
      </c>
      <c r="U751" s="7" t="str">
        <f t="shared" si="97"/>
        <v>CLK_DETM_DETIS_FYDS_V</v>
      </c>
      <c r="V751" s="7" t="s">
        <v>829</v>
      </c>
    </row>
    <row r="752" spans="1:22">
      <c r="A752" s="7" t="str">
        <f>TRIM(ETLMetadata!$B752)</f>
        <v>CLK</v>
      </c>
      <c r="B752" s="7" t="str">
        <f>TRIM(ETLMetadata!$C752)</f>
        <v>DETM_DETIS_FYDS</v>
      </c>
      <c r="C752" s="7" t="str">
        <f>TRIM(ETLMetadata!$F752)</f>
        <v>FYDS_BEN_TYPE_CODE</v>
      </c>
      <c r="D752" s="7" t="str">
        <f>TRIM(ETLMetadata!$H752)</f>
        <v>StringType()</v>
      </c>
      <c r="E752" s="7" t="str">
        <f t="shared" si="96"/>
        <v>CLK_DETM_DETIS_FYDS</v>
      </c>
      <c r="F752" s="7" t="str">
        <f t="shared" si="90"/>
        <v>FYDS_BEN_TYPE_CODE</v>
      </c>
      <c r="G752" s="7" t="s">
        <v>825</v>
      </c>
      <c r="H752" s="7" t="str">
        <f t="shared" si="91"/>
        <v>CLK_DETM_DETIS_FYDS</v>
      </c>
      <c r="I752" s="7" t="str">
        <f t="shared" si="92"/>
        <v>FYDS_BEN_TYPE_CODE</v>
      </c>
      <c r="J752" s="7" t="str">
        <f t="shared" si="93"/>
        <v>VARCHAR</v>
      </c>
      <c r="K752" s="7" t="str">
        <f>TRIM(ETLMetadata!$G752)</f>
        <v>CHAR(3)</v>
      </c>
      <c r="L752" s="7" t="str">
        <f>TRIM(ETLMetadata!$I752)</f>
        <v/>
      </c>
      <c r="M752" s="7" t="str">
        <f t="shared" si="94"/>
        <v>NULLIF(TRIM(FYDS_BEN_TYPE_CODE),'')</v>
      </c>
      <c r="N752" s="7" t="str">
        <f>TRIM(ETLMetadata!$J752)</f>
        <v/>
      </c>
      <c r="O752" s="8" t="str">
        <f>IF(TRIM(Classification!$G752)="","NOT CONFIDENTIAL",TRIM(Classification!$G752))</f>
        <v>NOT CONFIDENTIAL</v>
      </c>
      <c r="P752" s="7" t="str">
        <f t="shared" si="95"/>
        <v>Y</v>
      </c>
      <c r="Q752" s="7" t="s">
        <v>826</v>
      </c>
      <c r="R752" s="9">
        <v>2958465</v>
      </c>
      <c r="S752" s="7" t="s">
        <v>827</v>
      </c>
      <c r="T752" s="7" t="s">
        <v>828</v>
      </c>
      <c r="U752" s="7" t="str">
        <f t="shared" si="97"/>
        <v>CLK_DETM_DETIS_FYDS_V</v>
      </c>
      <c r="V752" s="7" t="s">
        <v>829</v>
      </c>
    </row>
    <row r="753" spans="1:22">
      <c r="A753" s="7" t="str">
        <f>TRIM(ETLMetadata!$B753)</f>
        <v>CLK</v>
      </c>
      <c r="B753" s="7" t="str">
        <f>TRIM(ETLMetadata!$C753)</f>
        <v>DETM_DETIS_FYDS</v>
      </c>
      <c r="C753" s="7" t="str">
        <f>TRIM(ETLMetadata!$F753)</f>
        <v>FYDS_STS_CODE</v>
      </c>
      <c r="D753" s="7" t="str">
        <f>TRIM(ETLMetadata!$H753)</f>
        <v>StringType()</v>
      </c>
      <c r="E753" s="7" t="str">
        <f t="shared" si="96"/>
        <v>CLK_DETM_DETIS_FYDS</v>
      </c>
      <c r="F753" s="7" t="str">
        <f t="shared" si="90"/>
        <v>FYDS_STS_CODE</v>
      </c>
      <c r="G753" s="7" t="s">
        <v>825</v>
      </c>
      <c r="H753" s="7" t="str">
        <f t="shared" si="91"/>
        <v>CLK_DETM_DETIS_FYDS</v>
      </c>
      <c r="I753" s="7" t="str">
        <f t="shared" si="92"/>
        <v>FYDS_STS_CODE</v>
      </c>
      <c r="J753" s="7" t="str">
        <f t="shared" si="93"/>
        <v>VARCHAR</v>
      </c>
      <c r="K753" s="7" t="str">
        <f>TRIM(ETLMetadata!$G753)</f>
        <v>CHAR(3)</v>
      </c>
      <c r="L753" s="7" t="str">
        <f>TRIM(ETLMetadata!$I753)</f>
        <v/>
      </c>
      <c r="M753" s="7" t="str">
        <f t="shared" si="94"/>
        <v>NULLIF(TRIM(FYDS_STS_CODE),'')</v>
      </c>
      <c r="N753" s="7" t="str">
        <f>TRIM(ETLMetadata!$J753)</f>
        <v/>
      </c>
      <c r="O753" s="8" t="str">
        <f>IF(TRIM(Classification!$G753)="","NOT CONFIDENTIAL",TRIM(Classification!$G753))</f>
        <v>NOT CONFIDENTIAL</v>
      </c>
      <c r="P753" s="7" t="str">
        <f t="shared" si="95"/>
        <v>Y</v>
      </c>
      <c r="Q753" s="7" t="s">
        <v>826</v>
      </c>
      <c r="R753" s="9">
        <v>2958465</v>
      </c>
      <c r="S753" s="7" t="s">
        <v>827</v>
      </c>
      <c r="T753" s="7" t="s">
        <v>828</v>
      </c>
      <c r="U753" s="7" t="str">
        <f t="shared" si="97"/>
        <v>CLK_DETM_DETIS_FYDS_V</v>
      </c>
      <c r="V753" s="7" t="s">
        <v>829</v>
      </c>
    </row>
    <row r="754" spans="1:22">
      <c r="A754" s="7" t="str">
        <f>TRIM(ETLMetadata!$B754)</f>
        <v>CLK</v>
      </c>
      <c r="B754" s="7" t="str">
        <f>TRIM(ETLMetadata!$C754)</f>
        <v>DETM_DETIS_FYDS</v>
      </c>
      <c r="C754" s="7" t="str">
        <f>TRIM(ETLMetadata!$F754)</f>
        <v>FYDS_RSN_CODE</v>
      </c>
      <c r="D754" s="7" t="str">
        <f>TRIM(ETLMetadata!$H754)</f>
        <v>StringType()</v>
      </c>
      <c r="E754" s="7" t="str">
        <f t="shared" si="96"/>
        <v>CLK_DETM_DETIS_FYDS</v>
      </c>
      <c r="F754" s="7" t="str">
        <f t="shared" si="90"/>
        <v>FYDS_RSN_CODE</v>
      </c>
      <c r="G754" s="7" t="s">
        <v>825</v>
      </c>
      <c r="H754" s="7" t="str">
        <f t="shared" si="91"/>
        <v>CLK_DETM_DETIS_FYDS</v>
      </c>
      <c r="I754" s="7" t="str">
        <f t="shared" si="92"/>
        <v>FYDS_RSN_CODE</v>
      </c>
      <c r="J754" s="7" t="str">
        <f t="shared" si="93"/>
        <v>VARCHAR</v>
      </c>
      <c r="K754" s="7" t="str">
        <f>TRIM(ETLMetadata!$G754)</f>
        <v>CHAR(3)</v>
      </c>
      <c r="L754" s="7" t="str">
        <f>TRIM(ETLMetadata!$I754)</f>
        <v/>
      </c>
      <c r="M754" s="7" t="str">
        <f t="shared" si="94"/>
        <v>NULLIF(TRIM(FYDS_RSN_CODE),'')</v>
      </c>
      <c r="N754" s="7" t="str">
        <f>TRIM(ETLMetadata!$J754)</f>
        <v/>
      </c>
      <c r="O754" s="8" t="str">
        <f>IF(TRIM(Classification!$G754)="","NOT CONFIDENTIAL",TRIM(Classification!$G754))</f>
        <v>NOT CONFIDENTIAL</v>
      </c>
      <c r="P754" s="7" t="str">
        <f t="shared" si="95"/>
        <v>Y</v>
      </c>
      <c r="Q754" s="7" t="s">
        <v>826</v>
      </c>
      <c r="R754" s="9">
        <v>2958465</v>
      </c>
      <c r="S754" s="7" t="s">
        <v>827</v>
      </c>
      <c r="T754" s="7" t="s">
        <v>828</v>
      </c>
      <c r="U754" s="7" t="str">
        <f t="shared" si="97"/>
        <v>CLK_DETM_DETIS_FYDS_V</v>
      </c>
      <c r="V754" s="7" t="s">
        <v>829</v>
      </c>
    </row>
    <row r="755" spans="1:22">
      <c r="A755" s="7" t="str">
        <f>TRIM(ETLMetadata!$B755)</f>
        <v>CLK</v>
      </c>
      <c r="B755" s="7" t="str">
        <f>TRIM(ETLMetadata!$C755)</f>
        <v>DETM_DETIS_FYDS</v>
      </c>
      <c r="C755" s="7" t="str">
        <f>TRIM(ETLMetadata!$F755)</f>
        <v>FYDS_UNIQ_ID</v>
      </c>
      <c r="D755" s="7" t="str">
        <f>TRIM(ETLMetadata!$H755)</f>
        <v>StringType()</v>
      </c>
      <c r="E755" s="7" t="str">
        <f t="shared" si="96"/>
        <v>CLK_DETM_DETIS_FYDS</v>
      </c>
      <c r="F755" s="7" t="str">
        <f t="shared" si="90"/>
        <v>FYDS_UNIQ_ID</v>
      </c>
      <c r="G755" s="7" t="s">
        <v>825</v>
      </c>
      <c r="H755" s="7" t="str">
        <f t="shared" si="91"/>
        <v>CLK_DETM_DETIS_FYDS</v>
      </c>
      <c r="I755" s="7" t="str">
        <f t="shared" si="92"/>
        <v>FYDS_UNIQ_ID</v>
      </c>
      <c r="J755" s="7" t="str">
        <f t="shared" si="93"/>
        <v>VARCHAR</v>
      </c>
      <c r="K755" s="7" t="str">
        <f>TRIM(ETLMetadata!$G755)</f>
        <v>VARCHAR(8)</v>
      </c>
      <c r="L755" s="7" t="str">
        <f>TRIM(ETLMetadata!$I755)</f>
        <v/>
      </c>
      <c r="M755" s="7" t="str">
        <f t="shared" si="94"/>
        <v>NULLIF(TRIM(FYDS_UNIQ_ID),'')</v>
      </c>
      <c r="N755" s="7" t="str">
        <f>TRIM(ETLMetadata!$J755)</f>
        <v/>
      </c>
      <c r="O755" s="8" t="str">
        <f>IF(TRIM(Classification!$G755)="","NOT CONFIDENTIAL",TRIM(Classification!$G755))</f>
        <v>NOT CONFIDENTIAL</v>
      </c>
      <c r="P755" s="7" t="str">
        <f t="shared" si="95"/>
        <v>Y</v>
      </c>
      <c r="Q755" s="7" t="s">
        <v>826</v>
      </c>
      <c r="R755" s="9">
        <v>2958465</v>
      </c>
      <c r="S755" s="7" t="s">
        <v>827</v>
      </c>
      <c r="T755" s="7" t="s">
        <v>828</v>
      </c>
      <c r="U755" s="7" t="str">
        <f t="shared" si="97"/>
        <v>CLK_DETM_DETIS_FYDS_V</v>
      </c>
      <c r="V755" s="7" t="s">
        <v>829</v>
      </c>
    </row>
    <row r="756" spans="1:22">
      <c r="A756" s="7" t="str">
        <f>TRIM(ETLMetadata!$B756)</f>
        <v>CLK</v>
      </c>
      <c r="B756" s="7" t="str">
        <f>TRIM(ETLMetadata!$C756)</f>
        <v>DETM_DETIS_FYDS</v>
      </c>
      <c r="C756" s="7" t="str">
        <f>TRIM(ETLMetadata!$F756)</f>
        <v>AMR1_RISL_DTS</v>
      </c>
      <c r="D756" s="7" t="str">
        <f>TRIM(ETLMetadata!$H756)</f>
        <v>StringType()</v>
      </c>
      <c r="E756" s="7" t="str">
        <f t="shared" si="96"/>
        <v>CLK_DETM_DETIS_FYDS</v>
      </c>
      <c r="F756" s="7" t="str">
        <f t="shared" si="90"/>
        <v>AMR1_RISL_DTS</v>
      </c>
      <c r="G756" s="7" t="s">
        <v>825</v>
      </c>
      <c r="H756" s="7" t="str">
        <f t="shared" si="91"/>
        <v>CLK_DETM_DETIS_FYDS</v>
      </c>
      <c r="I756" s="7" t="str">
        <f t="shared" si="92"/>
        <v>AMR1_RISL_DTS</v>
      </c>
      <c r="J756" s="7" t="str">
        <f t="shared" si="93"/>
        <v>TIMESTAMP</v>
      </c>
      <c r="K756" s="7" t="str">
        <f>TRIM(ETLMetadata!$G756)</f>
        <v>TIMESTAMP(6)</v>
      </c>
      <c r="L756" s="7" t="str">
        <f>TRIM(ETLMetadata!$I756)</f>
        <v>YYYY-MM-DDBHH:MI:SS.S(6)</v>
      </c>
      <c r="M756" s="7" t="str">
        <f t="shared" si="94"/>
        <v>TO_TIMESTAMP_NTZ(NULLIF(TRIM(AMR1_RISL_DTS),''),'YYYY-MM-DD HH24:MI:SS.FF6')</v>
      </c>
      <c r="N756" s="7" t="str">
        <f>TRIM(ETLMetadata!$J756)</f>
        <v/>
      </c>
      <c r="O756" s="8" t="str">
        <f>IF(TRIM(Classification!$G756)="","NOT CONFIDENTIAL",TRIM(Classification!$G756))</f>
        <v>NOT CONFIDENTIAL</v>
      </c>
      <c r="P756" s="7" t="str">
        <f t="shared" si="95"/>
        <v>Y</v>
      </c>
      <c r="Q756" s="7" t="s">
        <v>826</v>
      </c>
      <c r="R756" s="9">
        <v>2958465</v>
      </c>
      <c r="S756" s="7" t="s">
        <v>827</v>
      </c>
      <c r="T756" s="7" t="s">
        <v>828</v>
      </c>
      <c r="U756" s="7" t="str">
        <f t="shared" si="97"/>
        <v>CLK_DETM_DETIS_FYDS_V</v>
      </c>
      <c r="V756" s="7" t="s">
        <v>829</v>
      </c>
    </row>
    <row r="757" spans="1:22">
      <c r="A757" s="7" t="str">
        <f>TRIM(ETLMetadata!$B757)</f>
        <v>CLK</v>
      </c>
      <c r="B757" s="7" t="str">
        <f>TRIM(ETLMetadata!$C757)</f>
        <v>DETM_DETIS_FYDS</v>
      </c>
      <c r="C757" s="7" t="str">
        <f>TRIM(ETLMetadata!$F757)</f>
        <v>AMR3_RISL_DTS</v>
      </c>
      <c r="D757" s="7" t="str">
        <f>TRIM(ETLMetadata!$H757)</f>
        <v>StringType()</v>
      </c>
      <c r="E757" s="7" t="str">
        <f t="shared" si="96"/>
        <v>CLK_DETM_DETIS_FYDS</v>
      </c>
      <c r="F757" s="7" t="str">
        <f t="shared" si="90"/>
        <v>AMR3_RISL_DTS</v>
      </c>
      <c r="G757" s="7" t="s">
        <v>825</v>
      </c>
      <c r="H757" s="7" t="str">
        <f t="shared" si="91"/>
        <v>CLK_DETM_DETIS_FYDS</v>
      </c>
      <c r="I757" s="7" t="str">
        <f t="shared" si="92"/>
        <v>AMR3_RISL_DTS</v>
      </c>
      <c r="J757" s="7" t="str">
        <f t="shared" si="93"/>
        <v>TIMESTAMP</v>
      </c>
      <c r="K757" s="7" t="str">
        <f>TRIM(ETLMetadata!$G757)</f>
        <v>TIMESTAMP(6)</v>
      </c>
      <c r="L757" s="7" t="str">
        <f>TRIM(ETLMetadata!$I757)</f>
        <v>YYYY-MM-DDBHH:MI:SS.S(6)</v>
      </c>
      <c r="M757" s="7" t="str">
        <f t="shared" si="94"/>
        <v>TO_TIMESTAMP_NTZ(NULLIF(TRIM(AMR3_RISL_DTS),''),'YYYY-MM-DD HH24:MI:SS.FF6')</v>
      </c>
      <c r="N757" s="7" t="str">
        <f>TRIM(ETLMetadata!$J757)</f>
        <v/>
      </c>
      <c r="O757" s="8" t="str">
        <f>IF(TRIM(Classification!$G757)="","NOT CONFIDENTIAL",TRIM(Classification!$G757))</f>
        <v>NOT CONFIDENTIAL</v>
      </c>
      <c r="P757" s="7" t="str">
        <f t="shared" si="95"/>
        <v>Y</v>
      </c>
      <c r="Q757" s="7" t="s">
        <v>826</v>
      </c>
      <c r="R757" s="9">
        <v>2958465</v>
      </c>
      <c r="S757" s="7" t="s">
        <v>827</v>
      </c>
      <c r="T757" s="7" t="s">
        <v>828</v>
      </c>
      <c r="U757" s="7" t="str">
        <f t="shared" si="97"/>
        <v>CLK_DETM_DETIS_FYDS_V</v>
      </c>
      <c r="V757" s="7" t="s">
        <v>829</v>
      </c>
    </row>
    <row r="758" spans="1:22">
      <c r="A758" s="7" t="str">
        <f>TRIM(ETLMetadata!$B758)</f>
        <v>CLK</v>
      </c>
      <c r="B758" s="7" t="str">
        <f>TRIM(ETLMetadata!$C758)</f>
        <v>DETM_DETIS_FYDS</v>
      </c>
      <c r="C758" s="7" t="str">
        <f>TRIM(ETLMetadata!$F758)</f>
        <v>EPISODE_ID</v>
      </c>
      <c r="D758" s="7" t="str">
        <f>TRIM(ETLMetadata!$H758)</f>
        <v>StringType()</v>
      </c>
      <c r="E758" s="7" t="str">
        <f t="shared" si="96"/>
        <v>CLK_DETM_DETIS_FYDS</v>
      </c>
      <c r="F758" s="7" t="str">
        <f t="shared" si="90"/>
        <v>EPISODE_ID</v>
      </c>
      <c r="G758" s="7" t="s">
        <v>825</v>
      </c>
      <c r="H758" s="7" t="str">
        <f t="shared" si="91"/>
        <v>CLK_DETM_DETIS_FYDS</v>
      </c>
      <c r="I758" s="7" t="str">
        <f t="shared" si="92"/>
        <v>EPISODE_ID</v>
      </c>
      <c r="J758" s="7" t="str">
        <f t="shared" si="93"/>
        <v>INTEGER</v>
      </c>
      <c r="K758" s="7" t="str">
        <f>TRIM(ETLMetadata!$G758)</f>
        <v>INTEGER</v>
      </c>
      <c r="L758" s="7" t="str">
        <f>TRIM(ETLMetadata!$I758)</f>
        <v/>
      </c>
      <c r="M758" s="7" t="str">
        <f t="shared" si="94"/>
        <v>CAST(NULLIF(TRIM(EPISODE_ID),'') AS INTEGER)</v>
      </c>
      <c r="N758" s="7" t="str">
        <f>TRIM(ETLMetadata!$J758)</f>
        <v/>
      </c>
      <c r="O758" s="8" t="str">
        <f>IF(TRIM(Classification!$G758)="","NOT CONFIDENTIAL",TRIM(Classification!$G758))</f>
        <v>NOT CONFIDENTIAL</v>
      </c>
      <c r="P758" s="7" t="str">
        <f t="shared" si="95"/>
        <v>Y</v>
      </c>
      <c r="Q758" s="7" t="s">
        <v>826</v>
      </c>
      <c r="R758" s="9">
        <v>2958465</v>
      </c>
      <c r="S758" s="7" t="s">
        <v>827</v>
      </c>
      <c r="T758" s="7" t="s">
        <v>828</v>
      </c>
      <c r="U758" s="7" t="str">
        <f t="shared" si="97"/>
        <v>CLK_DETM_DETIS_FYDS_V</v>
      </c>
      <c r="V758" s="7" t="s">
        <v>829</v>
      </c>
    </row>
    <row r="759" spans="1:22">
      <c r="A759" s="7" t="str">
        <f>TRIM(ETLMetadata!$B759)</f>
        <v>CLK</v>
      </c>
      <c r="B759" s="7" t="str">
        <f>TRIM(ETLMetadata!$C759)</f>
        <v>DETM_DETIS_FYDS</v>
      </c>
      <c r="C759" s="7" t="str">
        <f>TRIM(ETLMetadata!$F759)</f>
        <v>PARTY_ROLE_ID</v>
      </c>
      <c r="D759" s="7" t="str">
        <f>TRIM(ETLMetadata!$H759)</f>
        <v>StringType()</v>
      </c>
      <c r="E759" s="7" t="str">
        <f t="shared" si="96"/>
        <v>CLK_DETM_DETIS_FYDS</v>
      </c>
      <c r="F759" s="7" t="str">
        <f t="shared" si="90"/>
        <v>PARTY_ROLE_ID</v>
      </c>
      <c r="G759" s="7" t="s">
        <v>825</v>
      </c>
      <c r="H759" s="7" t="str">
        <f t="shared" si="91"/>
        <v>CLK_DETM_DETIS_FYDS</v>
      </c>
      <c r="I759" s="7" t="str">
        <f t="shared" si="92"/>
        <v>PARTY_ROLE_ID</v>
      </c>
      <c r="J759" s="7" t="str">
        <f t="shared" si="93"/>
        <v>INTEGER</v>
      </c>
      <c r="K759" s="7" t="str">
        <f>TRIM(ETLMetadata!$G759)</f>
        <v>INTEGER</v>
      </c>
      <c r="L759" s="7" t="str">
        <f>TRIM(ETLMetadata!$I759)</f>
        <v/>
      </c>
      <c r="M759" s="7" t="str">
        <f t="shared" si="94"/>
        <v>CAST(NULLIF(TRIM(PARTY_ROLE_ID),'') AS INTEGER)</v>
      </c>
      <c r="N759" s="7" t="str">
        <f>TRIM(ETLMetadata!$J759)</f>
        <v/>
      </c>
      <c r="O759" s="8" t="str">
        <f>IF(TRIM(Classification!$G759)="","NOT CONFIDENTIAL",TRIM(Classification!$G759))</f>
        <v>NOT CONFIDENTIAL</v>
      </c>
      <c r="P759" s="7" t="str">
        <f t="shared" si="95"/>
        <v>Y</v>
      </c>
      <c r="Q759" s="7" t="s">
        <v>826</v>
      </c>
      <c r="R759" s="9">
        <v>2958465</v>
      </c>
      <c r="S759" s="7" t="s">
        <v>827</v>
      </c>
      <c r="T759" s="7" t="s">
        <v>828</v>
      </c>
      <c r="U759" s="7" t="str">
        <f t="shared" si="97"/>
        <v>CLK_DETM_DETIS_FYDS_V</v>
      </c>
      <c r="V759" s="7" t="s">
        <v>829</v>
      </c>
    </row>
    <row r="760" spans="1:22">
      <c r="A760" s="7" t="str">
        <f>TRIM(ETLMetadata!$B760)</f>
        <v>CLK</v>
      </c>
      <c r="B760" s="7" t="str">
        <f>TRIM(ETLMetadata!$C760)</f>
        <v>DETM_DETIS_FYDS</v>
      </c>
      <c r="C760" s="7" t="str">
        <f>TRIM(ETLMetadata!$F760)</f>
        <v>PAYMENT_TYPE_ID</v>
      </c>
      <c r="D760" s="7" t="str">
        <f>TRIM(ETLMetadata!$H760)</f>
        <v>StringType()</v>
      </c>
      <c r="E760" s="7" t="str">
        <f t="shared" si="96"/>
        <v>CLK_DETM_DETIS_FYDS</v>
      </c>
      <c r="F760" s="7" t="str">
        <f t="shared" si="90"/>
        <v>PAYMENT_TYPE_ID</v>
      </c>
      <c r="G760" s="7" t="s">
        <v>825</v>
      </c>
      <c r="H760" s="7" t="str">
        <f t="shared" si="91"/>
        <v>CLK_DETM_DETIS_FYDS</v>
      </c>
      <c r="I760" s="7" t="str">
        <f t="shared" si="92"/>
        <v>PAYMENT_TYPE_ID</v>
      </c>
      <c r="J760" s="7" t="str">
        <f t="shared" si="93"/>
        <v>INTEGER</v>
      </c>
      <c r="K760" s="7" t="str">
        <f>TRIM(ETLMetadata!$G760)</f>
        <v>INTEGER</v>
      </c>
      <c r="L760" s="7" t="str">
        <f>TRIM(ETLMetadata!$I760)</f>
        <v/>
      </c>
      <c r="M760" s="7" t="str">
        <f t="shared" si="94"/>
        <v>CAST(NULLIF(TRIM(PAYMENT_TYPE_ID),'') AS INTEGER)</v>
      </c>
      <c r="N760" s="7" t="str">
        <f>TRIM(ETLMetadata!$J760)</f>
        <v/>
      </c>
      <c r="O760" s="8" t="str">
        <f>IF(TRIM(Classification!$G760)="","NOT CONFIDENTIAL",TRIM(Classification!$G760))</f>
        <v>NOT CONFIDENTIAL</v>
      </c>
      <c r="P760" s="7" t="str">
        <f t="shared" si="95"/>
        <v>Y</v>
      </c>
      <c r="Q760" s="7" t="s">
        <v>826</v>
      </c>
      <c r="R760" s="9">
        <v>2958465</v>
      </c>
      <c r="S760" s="7" t="s">
        <v>827</v>
      </c>
      <c r="T760" s="7" t="s">
        <v>828</v>
      </c>
      <c r="U760" s="7" t="str">
        <f t="shared" si="97"/>
        <v>CLK_DETM_DETIS_FYDS_V</v>
      </c>
      <c r="V760" s="7" t="s">
        <v>829</v>
      </c>
    </row>
    <row r="761" spans="1:22">
      <c r="A761" s="7" t="str">
        <f>TRIM(ETLMetadata!$B761)</f>
        <v>CLK</v>
      </c>
      <c r="B761" s="7" t="str">
        <f>TRIM(ETLMetadata!$C761)</f>
        <v>DETM_DETIS_FYDS</v>
      </c>
      <c r="C761" s="7" t="str">
        <f>TRIM(ETLMetadata!$F761)</f>
        <v>ERROR_COUNT</v>
      </c>
      <c r="D761" s="7" t="str">
        <f>TRIM(ETLMetadata!$H761)</f>
        <v>StringType()</v>
      </c>
      <c r="E761" s="7" t="str">
        <f t="shared" si="96"/>
        <v>CLK_DETM_DETIS_FYDS</v>
      </c>
      <c r="F761" s="7" t="str">
        <f t="shared" si="90"/>
        <v>ERROR_COUNT</v>
      </c>
      <c r="G761" s="7" t="s">
        <v>825</v>
      </c>
      <c r="H761" s="7" t="str">
        <f t="shared" si="91"/>
        <v>CLK_DETM_DETIS_FYDS</v>
      </c>
      <c r="I761" s="7" t="str">
        <f t="shared" si="92"/>
        <v>ERROR_COUNT</v>
      </c>
      <c r="J761" s="7" t="str">
        <f t="shared" si="93"/>
        <v>SMALLINT</v>
      </c>
      <c r="K761" s="7" t="str">
        <f>TRIM(ETLMetadata!$G761)</f>
        <v>SMALLINT</v>
      </c>
      <c r="L761" s="7" t="str">
        <f>TRIM(ETLMetadata!$I761)</f>
        <v/>
      </c>
      <c r="M761" s="7" t="str">
        <f t="shared" si="94"/>
        <v>CAST(NULLIF(TRIM(ERROR_COUNT),'') AS SMALLINT)</v>
      </c>
      <c r="N761" s="7" t="str">
        <f>TRIM(ETLMetadata!$J761)</f>
        <v/>
      </c>
      <c r="O761" s="8" t="str">
        <f>IF(TRIM(Classification!$G761)="","NOT CONFIDENTIAL",TRIM(Classification!$G761))</f>
        <v>NOT CONFIDENTIAL</v>
      </c>
      <c r="P761" s="7" t="str">
        <f t="shared" si="95"/>
        <v>Y</v>
      </c>
      <c r="Q761" s="7" t="s">
        <v>826</v>
      </c>
      <c r="R761" s="9">
        <v>2958465</v>
      </c>
      <c r="S761" s="7" t="s">
        <v>827</v>
      </c>
      <c r="T761" s="7" t="s">
        <v>828</v>
      </c>
      <c r="U761" s="7" t="str">
        <f t="shared" si="97"/>
        <v>CLK_DETM_DETIS_FYDS_V</v>
      </c>
      <c r="V761" s="7" t="s">
        <v>829</v>
      </c>
    </row>
    <row r="762" spans="1:22">
      <c r="A762" s="7" t="str">
        <f>TRIM(ETLMetadata!$B762)</f>
        <v>CLK</v>
      </c>
      <c r="B762" s="7" t="str">
        <f>TRIM(ETLMetadata!$C762)</f>
        <v>DETM_DETIS_FYDS</v>
      </c>
      <c r="C762" s="7" t="str">
        <f>TRIM(ETLMetadata!$F762)</f>
        <v>Start_Date</v>
      </c>
      <c r="D762" s="7" t="str">
        <f>TRIM(ETLMetadata!$H762)</f>
        <v>StringType()</v>
      </c>
      <c r="E762" s="7" t="str">
        <f t="shared" si="96"/>
        <v>CLK_DETM_DETIS_FYDS</v>
      </c>
      <c r="F762" s="7" t="str">
        <f t="shared" si="90"/>
        <v>STRT_DT</v>
      </c>
      <c r="G762" s="7" t="s">
        <v>825</v>
      </c>
      <c r="H762" s="7" t="str">
        <f t="shared" si="91"/>
        <v>CLK_DETM_DETIS_FYDS</v>
      </c>
      <c r="I762" s="7" t="str">
        <f t="shared" si="92"/>
        <v>STRT_DT</v>
      </c>
      <c r="J762" s="7" t="str">
        <f t="shared" si="93"/>
        <v>DATE</v>
      </c>
      <c r="K762" s="7" t="str">
        <f>TRIM(ETLMetadata!$G762)</f>
        <v>DATE</v>
      </c>
      <c r="L762" s="7" t="str">
        <f>TRIM(ETLMetadata!$I762)</f>
        <v>YYYY-MM-DD</v>
      </c>
      <c r="M762" s="7" t="str">
        <f t="shared" si="94"/>
        <v>TO_DATE(NULLIF(TRIM(STRT_DT),'') , 'YYYY-MM-DD')</v>
      </c>
      <c r="N762" s="7" t="str">
        <f>TRIM(ETLMetadata!$J762)</f>
        <v/>
      </c>
      <c r="O762" s="8" t="str">
        <f>IF(TRIM(Classification!$G762)="","NOT CONFIDENTIAL",TRIM(Classification!$G762))</f>
        <v>NOT CONFIDENTIAL</v>
      </c>
      <c r="P762" s="7" t="str">
        <f t="shared" si="95"/>
        <v>N</v>
      </c>
      <c r="Q762" s="7" t="s">
        <v>826</v>
      </c>
      <c r="R762" s="9">
        <v>2958465</v>
      </c>
      <c r="S762" s="7" t="s">
        <v>827</v>
      </c>
      <c r="T762" s="7" t="s">
        <v>828</v>
      </c>
      <c r="U762" s="7" t="str">
        <f t="shared" si="97"/>
        <v>CLK_DETM_DETIS_FYDS_V</v>
      </c>
      <c r="V762" s="7" t="s">
        <v>829</v>
      </c>
    </row>
    <row r="763" spans="1:22">
      <c r="A763" s="7" t="str">
        <f>TRIM(ETLMetadata!$B763)</f>
        <v>CLK</v>
      </c>
      <c r="B763" s="7" t="str">
        <f>TRIM(ETLMetadata!$C763)</f>
        <v>DETM_DETIS_FYDS</v>
      </c>
      <c r="C763" s="7" t="str">
        <f>TRIM(ETLMetadata!$F763)</f>
        <v>End_Date</v>
      </c>
      <c r="D763" s="7" t="str">
        <f>TRIM(ETLMetadata!$H763)</f>
        <v>StringType()</v>
      </c>
      <c r="E763" s="7" t="str">
        <f t="shared" si="96"/>
        <v>CLK_DETM_DETIS_FYDS</v>
      </c>
      <c r="F763" s="7" t="str">
        <f t="shared" si="90"/>
        <v>END_DT</v>
      </c>
      <c r="G763" s="7" t="s">
        <v>825</v>
      </c>
      <c r="H763" s="7" t="str">
        <f t="shared" si="91"/>
        <v>CLK_DETM_DETIS_FYDS</v>
      </c>
      <c r="I763" s="7" t="str">
        <f t="shared" si="92"/>
        <v>END_DT</v>
      </c>
      <c r="J763" s="7" t="str">
        <f t="shared" si="93"/>
        <v>DATE</v>
      </c>
      <c r="K763" s="7" t="str">
        <f>TRIM(ETLMetadata!$G763)</f>
        <v>DATE</v>
      </c>
      <c r="L763" s="7" t="str">
        <f>TRIM(ETLMetadata!$I763)</f>
        <v>YYYY-MM-DD</v>
      </c>
      <c r="M763" s="7" t="str">
        <f t="shared" si="94"/>
        <v>TO_DATE(NULLIF(TRIM(END_DT),'') , 'YYYY-MM-DD')</v>
      </c>
      <c r="N763" s="7" t="str">
        <f>TRIM(ETLMetadata!$J763)</f>
        <v/>
      </c>
      <c r="O763" s="8" t="str">
        <f>IF(TRIM(Classification!$G763)="","NOT CONFIDENTIAL",TRIM(Classification!$G763))</f>
        <v>NOT CONFIDENTIAL</v>
      </c>
      <c r="P763" s="7" t="str">
        <f t="shared" si="95"/>
        <v>N</v>
      </c>
      <c r="Q763" s="7" t="s">
        <v>826</v>
      </c>
      <c r="R763" s="9">
        <v>2958465</v>
      </c>
      <c r="S763" s="7" t="s">
        <v>827</v>
      </c>
      <c r="T763" s="7" t="s">
        <v>828</v>
      </c>
      <c r="U763" s="7" t="str">
        <f t="shared" si="97"/>
        <v>CLK_DETM_DETIS_FYDS_V</v>
      </c>
      <c r="V763" s="7" t="s">
        <v>829</v>
      </c>
    </row>
    <row r="764" spans="1:22">
      <c r="A764" s="7" t="str">
        <f>TRIM(ETLMetadata!$B764)</f>
        <v>CLK</v>
      </c>
      <c r="B764" s="7" t="str">
        <f>TRIM(ETLMetadata!$C764)</f>
        <v>DETM_DETIS_FYDS</v>
      </c>
      <c r="C764" s="7" t="str">
        <f>TRIM(ETLMetadata!$F764)</f>
        <v>Record_Deleted_Flag</v>
      </c>
      <c r="D764" s="7" t="str">
        <f>TRIM(ETLMetadata!$H764)</f>
        <v>StringType()</v>
      </c>
      <c r="E764" s="7" t="str">
        <f t="shared" si="96"/>
        <v>CLK_DETM_DETIS_FYDS</v>
      </c>
      <c r="F764" s="7" t="str">
        <f t="shared" si="90"/>
        <v>RCRD_DEL_IND</v>
      </c>
      <c r="G764" s="7" t="s">
        <v>825</v>
      </c>
      <c r="H764" s="7" t="str">
        <f t="shared" si="91"/>
        <v>CLK_DETM_DETIS_FYDS</v>
      </c>
      <c r="I764" s="7" t="str">
        <f t="shared" si="92"/>
        <v>RCRD_DEL_IND</v>
      </c>
      <c r="J764" s="7" t="str">
        <f t="shared" si="93"/>
        <v>SMALLINT</v>
      </c>
      <c r="K764" s="7" t="str">
        <f>TRIM(ETLMetadata!$G764)</f>
        <v>BYTEINT</v>
      </c>
      <c r="L764" s="7" t="str">
        <f>TRIM(ETLMetadata!$I764)</f>
        <v/>
      </c>
      <c r="M764" s="7" t="str">
        <f t="shared" si="94"/>
        <v>CAST(NULLIF(TRIM(RCRD_DEL_IND),'') AS SMALLINT)</v>
      </c>
      <c r="N764" s="7" t="str">
        <f>TRIM(ETLMetadata!$J764)</f>
        <v/>
      </c>
      <c r="O764" s="8" t="str">
        <f>IF(TRIM(Classification!$G764)="","NOT CONFIDENTIAL",TRIM(Classification!$G764))</f>
        <v>NOT CONFIDENTIAL</v>
      </c>
      <c r="P764" s="7" t="str">
        <f t="shared" si="95"/>
        <v>N</v>
      </c>
      <c r="Q764" s="7" t="s">
        <v>826</v>
      </c>
      <c r="R764" s="9">
        <v>2958465</v>
      </c>
      <c r="S764" s="7" t="s">
        <v>827</v>
      </c>
      <c r="T764" s="7" t="s">
        <v>828</v>
      </c>
      <c r="U764" s="7" t="str">
        <f t="shared" si="97"/>
        <v>CLK_DETM_DETIS_FYDS_V</v>
      </c>
      <c r="V764" s="7" t="s">
        <v>829</v>
      </c>
    </row>
    <row r="765" spans="1:22">
      <c r="A765" s="7" t="str">
        <f>TRIM(ETLMetadata!$B765)</f>
        <v>CLK</v>
      </c>
      <c r="B765" s="7" t="str">
        <f>TRIM(ETLMetadata!$C765)</f>
        <v>DETM_DETIS_GPDS</v>
      </c>
      <c r="C765" s="7" t="str">
        <f>TRIM(ETLMetadata!$F765)</f>
        <v>EXTRACT_DATE</v>
      </c>
      <c r="D765" s="7" t="str">
        <f>TRIM(ETLMetadata!$H765)</f>
        <v>StringType()</v>
      </c>
      <c r="E765" s="7" t="str">
        <f t="shared" si="96"/>
        <v>CLK_DETM_DETIS_GPDS</v>
      </c>
      <c r="F765" s="7" t="str">
        <f t="shared" si="90"/>
        <v>EXTRACT_DATE</v>
      </c>
      <c r="G765" s="7" t="s">
        <v>825</v>
      </c>
      <c r="H765" s="7" t="str">
        <f t="shared" si="91"/>
        <v>CLK_DETM_DETIS_GPDS</v>
      </c>
      <c r="I765" s="7" t="str">
        <f t="shared" si="92"/>
        <v>EXTRACT_DATE</v>
      </c>
      <c r="J765" s="7" t="str">
        <f t="shared" si="93"/>
        <v>DATE</v>
      </c>
      <c r="K765" s="7" t="str">
        <f>TRIM(ETLMetadata!$G765)</f>
        <v>DATE</v>
      </c>
      <c r="L765" s="7" t="str">
        <f>TRIM(ETLMetadata!$I765)</f>
        <v>YYYY-MM-DD</v>
      </c>
      <c r="M765" s="7" t="str">
        <f t="shared" si="94"/>
        <v>TO_DATE(NULLIF(TRIM(EXTRACT_DATE),'') , 'YYYY-MM-DD')</v>
      </c>
      <c r="N765" s="7" t="str">
        <f>TRIM(ETLMetadata!$J765)</f>
        <v/>
      </c>
      <c r="O765" s="8" t="str">
        <f>IF(TRIM(Classification!$G765)="","NOT CONFIDENTIAL",TRIM(Classification!$G765))</f>
        <v>NOT CONFIDENTIAL</v>
      </c>
      <c r="P765" s="7" t="str">
        <f t="shared" si="95"/>
        <v>Y</v>
      </c>
      <c r="Q765" s="7" t="s">
        <v>826</v>
      </c>
      <c r="R765" s="9">
        <v>2958465</v>
      </c>
      <c r="S765" s="7" t="s">
        <v>827</v>
      </c>
      <c r="T765" s="7" t="s">
        <v>828</v>
      </c>
      <c r="U765" s="7" t="str">
        <f t="shared" si="97"/>
        <v>CLK_DETM_DETIS_GPDS_V</v>
      </c>
      <c r="V765" s="7" t="s">
        <v>829</v>
      </c>
    </row>
    <row r="766" spans="1:22">
      <c r="A766" s="7" t="str">
        <f>TRIM(ETLMetadata!$B766)</f>
        <v>CLK</v>
      </c>
      <c r="B766" s="7" t="str">
        <f>TRIM(ETLMetadata!$C766)</f>
        <v>DETM_DETIS_GPDS</v>
      </c>
      <c r="C766" s="7" t="str">
        <f>TRIM(ETLMetadata!$F766)</f>
        <v>LOGICAL_DELETE_DATE</v>
      </c>
      <c r="D766" s="7" t="str">
        <f>TRIM(ETLMetadata!$H766)</f>
        <v>StringType()</v>
      </c>
      <c r="E766" s="7" t="str">
        <f t="shared" si="96"/>
        <v>CLK_DETM_DETIS_GPDS</v>
      </c>
      <c r="F766" s="7" t="str">
        <f t="shared" si="90"/>
        <v>LOGICAL_DELETE_DATE</v>
      </c>
      <c r="G766" s="7" t="s">
        <v>825</v>
      </c>
      <c r="H766" s="7" t="str">
        <f t="shared" si="91"/>
        <v>CLK_DETM_DETIS_GPDS</v>
      </c>
      <c r="I766" s="7" t="str">
        <f t="shared" si="92"/>
        <v>LOGICAL_DELETE_DATE</v>
      </c>
      <c r="J766" s="7" t="str">
        <f t="shared" si="93"/>
        <v>DATE</v>
      </c>
      <c r="K766" s="7" t="str">
        <f>TRIM(ETLMetadata!$G766)</f>
        <v>DATE</v>
      </c>
      <c r="L766" s="7" t="str">
        <f>TRIM(ETLMetadata!$I766)</f>
        <v>YYYY-MM-DD</v>
      </c>
      <c r="M766" s="7" t="str">
        <f t="shared" si="94"/>
        <v>TO_DATE(NULLIF(TRIM(LOGICAL_DELETE_DATE),'') , 'YYYY-MM-DD')</v>
      </c>
      <c r="N766" s="7" t="str">
        <f>TRIM(ETLMetadata!$J766)</f>
        <v/>
      </c>
      <c r="O766" s="8" t="str">
        <f>IF(TRIM(Classification!$G766)="","NOT CONFIDENTIAL",TRIM(Classification!$G766))</f>
        <v>NOT CONFIDENTIAL</v>
      </c>
      <c r="P766" s="7" t="str">
        <f t="shared" si="95"/>
        <v>Y</v>
      </c>
      <c r="Q766" s="7" t="s">
        <v>826</v>
      </c>
      <c r="R766" s="9">
        <v>2958465</v>
      </c>
      <c r="S766" s="7" t="s">
        <v>827</v>
      </c>
      <c r="T766" s="7" t="s">
        <v>828</v>
      </c>
      <c r="U766" s="7" t="str">
        <f t="shared" si="97"/>
        <v>CLK_DETM_DETIS_GPDS_V</v>
      </c>
      <c r="V766" s="7" t="s">
        <v>829</v>
      </c>
    </row>
    <row r="767" spans="1:22">
      <c r="A767" s="7" t="str">
        <f>TRIM(ETLMetadata!$B767)</f>
        <v>CLK</v>
      </c>
      <c r="B767" s="7" t="str">
        <f>TRIM(ETLMetadata!$C767)</f>
        <v>DETM_DETIS_GPDS</v>
      </c>
      <c r="C767" s="7" t="str">
        <f>TRIM(ETLMetadata!$F767)</f>
        <v>ENVIRONMENT_ID</v>
      </c>
      <c r="D767" s="7" t="str">
        <f>TRIM(ETLMetadata!$H767)</f>
        <v>StringType()</v>
      </c>
      <c r="E767" s="7" t="str">
        <f t="shared" si="96"/>
        <v>CLK_DETM_DETIS_GPDS</v>
      </c>
      <c r="F767" s="7" t="str">
        <f t="shared" si="90"/>
        <v>ENVIRONMENT_ID</v>
      </c>
      <c r="G767" s="7" t="s">
        <v>825</v>
      </c>
      <c r="H767" s="7" t="str">
        <f t="shared" si="91"/>
        <v>CLK_DETM_DETIS_GPDS</v>
      </c>
      <c r="I767" s="7" t="str">
        <f t="shared" si="92"/>
        <v>ENVIRONMENT_ID</v>
      </c>
      <c r="J767" s="7" t="str">
        <f t="shared" si="93"/>
        <v>VARCHAR</v>
      </c>
      <c r="K767" s="7" t="str">
        <f>TRIM(ETLMetadata!$G767)</f>
        <v>CHAR(1)</v>
      </c>
      <c r="L767" s="7" t="str">
        <f>TRIM(ETLMetadata!$I767)</f>
        <v/>
      </c>
      <c r="M767" s="7" t="str">
        <f t="shared" si="94"/>
        <v>NULLIF(TRIM(ENVIRONMENT_ID),'')</v>
      </c>
      <c r="N767" s="7" t="str">
        <f>TRIM(ETLMetadata!$J767)</f>
        <v>Y</v>
      </c>
      <c r="O767" s="8" t="str">
        <f>IF(TRIM(Classification!$G767)="","NOT CONFIDENTIAL",TRIM(Classification!$G767))</f>
        <v>NOT CONFIDENTIAL</v>
      </c>
      <c r="P767" s="7" t="str">
        <f t="shared" si="95"/>
        <v>Y</v>
      </c>
      <c r="Q767" s="7" t="s">
        <v>826</v>
      </c>
      <c r="R767" s="9">
        <v>2958465</v>
      </c>
      <c r="S767" s="7" t="s">
        <v>827</v>
      </c>
      <c r="T767" s="7" t="s">
        <v>828</v>
      </c>
      <c r="U767" s="7" t="str">
        <f t="shared" si="97"/>
        <v>CLK_DETM_DETIS_GPDS_V</v>
      </c>
      <c r="V767" s="7" t="s">
        <v>829</v>
      </c>
    </row>
    <row r="768" spans="1:22">
      <c r="A768" s="7" t="str">
        <f>TRIM(ETLMetadata!$B768)</f>
        <v>CLK</v>
      </c>
      <c r="B768" s="7" t="str">
        <f>TRIM(ETLMetadata!$C768)</f>
        <v>DETM_DETIS_GPDS</v>
      </c>
      <c r="C768" s="7" t="str">
        <f>TRIM(ETLMetadata!$F768)</f>
        <v>PERSON_ID</v>
      </c>
      <c r="D768" s="7" t="str">
        <f>TRIM(ETLMetadata!$H768)</f>
        <v>StringType()</v>
      </c>
      <c r="E768" s="7" t="str">
        <f t="shared" si="96"/>
        <v>CLK_DETM_DETIS_GPDS</v>
      </c>
      <c r="F768" s="7" t="str">
        <f t="shared" si="90"/>
        <v>PERSON_ID</v>
      </c>
      <c r="G768" s="7" t="s">
        <v>825</v>
      </c>
      <c r="H768" s="7" t="str">
        <f t="shared" si="91"/>
        <v>CLK_DETM_DETIS_GPDS</v>
      </c>
      <c r="I768" s="7" t="str">
        <f t="shared" si="92"/>
        <v>PERSON_ID</v>
      </c>
      <c r="J768" s="7" t="str">
        <f t="shared" si="93"/>
        <v>INTEGER</v>
      </c>
      <c r="K768" s="7" t="str">
        <f>TRIM(ETLMetadata!$G768)</f>
        <v>INTEGER</v>
      </c>
      <c r="L768" s="7" t="str">
        <f>TRIM(ETLMetadata!$I768)</f>
        <v/>
      </c>
      <c r="M768" s="7" t="str">
        <f t="shared" si="94"/>
        <v>CAST(NULLIF(TRIM(PERSON_ID),'') AS INTEGER)</v>
      </c>
      <c r="N768" s="7" t="str">
        <f>TRIM(ETLMetadata!$J768)</f>
        <v>Y</v>
      </c>
      <c r="O768" s="8" t="str">
        <f>IF(TRIM(Classification!$G768)="","NOT CONFIDENTIAL",TRIM(Classification!$G768))</f>
        <v>PERSONAL_IDENTITYINFOINDIRECT</v>
      </c>
      <c r="P768" s="7" t="str">
        <f t="shared" si="95"/>
        <v>Y</v>
      </c>
      <c r="Q768" s="7" t="s">
        <v>826</v>
      </c>
      <c r="R768" s="9">
        <v>2958465</v>
      </c>
      <c r="S768" s="7" t="s">
        <v>827</v>
      </c>
      <c r="T768" s="7" t="s">
        <v>828</v>
      </c>
      <c r="U768" s="7" t="str">
        <f t="shared" si="97"/>
        <v>CLK_DETM_DETIS_GPDS_V</v>
      </c>
      <c r="V768" s="7" t="s">
        <v>829</v>
      </c>
    </row>
    <row r="769" spans="1:22">
      <c r="A769" s="7" t="str">
        <f>TRIM(ETLMetadata!$B769)</f>
        <v>CLK</v>
      </c>
      <c r="B769" s="7" t="str">
        <f>TRIM(ETLMetadata!$C769)</f>
        <v>DETM_DETIS_GPDS</v>
      </c>
      <c r="C769" s="7" t="str">
        <f>TRIM(ETLMetadata!$F769)</f>
        <v>GPDS_AMR_1</v>
      </c>
      <c r="D769" s="7" t="str">
        <f>TRIM(ETLMetadata!$H769)</f>
        <v>StringType()</v>
      </c>
      <c r="E769" s="7" t="str">
        <f t="shared" si="96"/>
        <v>CLK_DETM_DETIS_GPDS</v>
      </c>
      <c r="F769" s="7" t="str">
        <f t="shared" si="90"/>
        <v>GPDS_AMR_1</v>
      </c>
      <c r="G769" s="7" t="s">
        <v>825</v>
      </c>
      <c r="H769" s="7" t="str">
        <f t="shared" si="91"/>
        <v>CLK_DETM_DETIS_GPDS</v>
      </c>
      <c r="I769" s="7" t="str">
        <f t="shared" si="92"/>
        <v>GPDS_AMR_1</v>
      </c>
      <c r="J769" s="7" t="str">
        <f t="shared" si="93"/>
        <v>VARCHAR</v>
      </c>
      <c r="K769" s="7" t="str">
        <f>TRIM(ETLMetadata!$G769)</f>
        <v>CHAR(4)</v>
      </c>
      <c r="L769" s="7" t="str">
        <f>TRIM(ETLMetadata!$I769)</f>
        <v/>
      </c>
      <c r="M769" s="7" t="str">
        <f t="shared" si="94"/>
        <v>NULLIF(TRIM(GPDS_AMR_1),'')</v>
      </c>
      <c r="N769" s="7" t="str">
        <f>TRIM(ETLMetadata!$J769)</f>
        <v/>
      </c>
      <c r="O769" s="8" t="str">
        <f>IF(TRIM(Classification!$G769)="","NOT CONFIDENTIAL",TRIM(Classification!$G769))</f>
        <v>NOT CONFIDENTIAL</v>
      </c>
      <c r="P769" s="7" t="str">
        <f t="shared" si="95"/>
        <v>Y</v>
      </c>
      <c r="Q769" s="7" t="s">
        <v>826</v>
      </c>
      <c r="R769" s="9">
        <v>2958465</v>
      </c>
      <c r="S769" s="7" t="s">
        <v>827</v>
      </c>
      <c r="T769" s="7" t="s">
        <v>828</v>
      </c>
      <c r="U769" s="7" t="str">
        <f t="shared" si="97"/>
        <v>CLK_DETM_DETIS_GPDS_V</v>
      </c>
      <c r="V769" s="7" t="s">
        <v>829</v>
      </c>
    </row>
    <row r="770" spans="1:22">
      <c r="A770" s="7" t="str">
        <f>TRIM(ETLMetadata!$B770)</f>
        <v>CLK</v>
      </c>
      <c r="B770" s="7" t="str">
        <f>TRIM(ETLMetadata!$C770)</f>
        <v>DETM_DETIS_GPDS</v>
      </c>
      <c r="C770" s="7" t="str">
        <f>TRIM(ETLMetadata!$F770)</f>
        <v>GPDS_AMR_2</v>
      </c>
      <c r="D770" s="7" t="str">
        <f>TRIM(ETLMetadata!$H770)</f>
        <v>StringType()</v>
      </c>
      <c r="E770" s="7" t="str">
        <f t="shared" si="96"/>
        <v>CLK_DETM_DETIS_GPDS</v>
      </c>
      <c r="F770" s="7" t="str">
        <f t="shared" si="90"/>
        <v>GPDS_AMR_2</v>
      </c>
      <c r="G770" s="7" t="s">
        <v>825</v>
      </c>
      <c r="H770" s="7" t="str">
        <f t="shared" si="91"/>
        <v>CLK_DETM_DETIS_GPDS</v>
      </c>
      <c r="I770" s="7" t="str">
        <f t="shared" si="92"/>
        <v>GPDS_AMR_2</v>
      </c>
      <c r="J770" s="7" t="str">
        <f t="shared" si="93"/>
        <v>VARCHAR</v>
      </c>
      <c r="K770" s="7" t="str">
        <f>TRIM(ETLMetadata!$G770)</f>
        <v>CHAR(1)</v>
      </c>
      <c r="L770" s="7" t="str">
        <f>TRIM(ETLMetadata!$I770)</f>
        <v/>
      </c>
      <c r="M770" s="7" t="str">
        <f t="shared" si="94"/>
        <v>NULLIF(TRIM(GPDS_AMR_2),'')</v>
      </c>
      <c r="N770" s="7" t="str">
        <f>TRIM(ETLMetadata!$J770)</f>
        <v/>
      </c>
      <c r="O770" s="8" t="str">
        <f>IF(TRIM(Classification!$G770)="","NOT CONFIDENTIAL",TRIM(Classification!$G770))</f>
        <v>NOT CONFIDENTIAL</v>
      </c>
      <c r="P770" s="7" t="str">
        <f t="shared" si="95"/>
        <v>Y</v>
      </c>
      <c r="Q770" s="7" t="s">
        <v>826</v>
      </c>
      <c r="R770" s="9">
        <v>2958465</v>
      </c>
      <c r="S770" s="7" t="s">
        <v>827</v>
      </c>
      <c r="T770" s="7" t="s">
        <v>828</v>
      </c>
      <c r="U770" s="7" t="str">
        <f t="shared" si="97"/>
        <v>CLK_DETM_DETIS_GPDS_V</v>
      </c>
      <c r="V770" s="7" t="s">
        <v>829</v>
      </c>
    </row>
    <row r="771" spans="1:22">
      <c r="A771" s="7" t="str">
        <f>TRIM(ETLMetadata!$B771)</f>
        <v>CLK</v>
      </c>
      <c r="B771" s="7" t="str">
        <f>TRIM(ETLMetadata!$C771)</f>
        <v>DETM_DETIS_GPDS</v>
      </c>
      <c r="C771" s="7" t="str">
        <f>TRIM(ETLMetadata!$F771)</f>
        <v>GPDS_AMR_3</v>
      </c>
      <c r="D771" s="7" t="str">
        <f>TRIM(ETLMetadata!$H771)</f>
        <v>StringType()</v>
      </c>
      <c r="E771" s="7" t="str">
        <f t="shared" si="96"/>
        <v>CLK_DETM_DETIS_GPDS</v>
      </c>
      <c r="F771" s="7" t="str">
        <f t="shared" ref="F771:F834" si="98">IF($C771="Start_Date","STRT_DT",
 IF($C771="End_Date","END_DT",
 IF($C771="Record_Deleted_Flag","RCRD_DEL_IND",
 IF($C771="IsDeleted","RCRD_DEL_IND",
 $C771
))))</f>
        <v>GPDS_AMR_3</v>
      </c>
      <c r="G771" s="7" t="s">
        <v>825</v>
      </c>
      <c r="H771" s="7" t="str">
        <f t="shared" ref="H771:H834" si="99">CONCATENATE($A771,"_",$B771)</f>
        <v>CLK_DETM_DETIS_GPDS</v>
      </c>
      <c r="I771" s="7" t="str">
        <f t="shared" ref="I771:I834" si="100">IF($C771="Start_Date","STRT_DT",
 IF($C771="End_Date","END_DT",
 IF($C771="Record_Deleted_Flag","RCRD_DEL_IND",
 IF($C771="IsDeleted","RCRD_DEL_IND",
 $C771
))))</f>
        <v>GPDS_AMR_3</v>
      </c>
      <c r="J771" s="7" t="str">
        <f t="shared" ref="J771:J834" si="101">IF(LEFT(TRIM($K771),7)="VARCHAR","VARCHAR",
 IF(LEFT(TRIM($K771),4)="CHAR","VARCHAR",
 IF(TRIM($K771)="TIMESTAMP(6)","TIMESTAMP",
 IF(TRIM($K771)="DATE","DATE",
 IF(TRIM($K771)="BYTEINT","SMALLINT",
 IF(TRIM($K771)="SMALLINT","SMALLINT",
 IF(TRIM($K771)="INTEGER","INTEGER",
 IF(TRIM($K771)="BIGINT","INTEGER",
 IF(LEFT(TRIM($K771),7)="DECIMAL",TRIM($K771),
 IF(TRIM($K771)="BOOLEAN","BOOLEAN",
 IF(TRIM($K771)="DOUBLE","DOUBLE",
 IF(TRIM($K771)="FLOAT","FLOAT",
 IF(TRIM($K771)="REAL","REAL",
 IF(LEFT(TRIM($K771),6)="STRUCT","VARIANT",
 IF(LEFT(TRIM($K771),5)="ARRAY","VARIANT",
 IF(LEFT(TRIM($K771),3)="MAP","VARIANT",
 IF(LEFT(TRIM($K771),3)="ROW","VARIANT",
 "NONE"
)))))))))))))))))</f>
        <v>VARCHAR</v>
      </c>
      <c r="K771" s="7" t="str">
        <f>TRIM(ETLMetadata!$G771)</f>
        <v>CHAR(4)</v>
      </c>
      <c r="L771" s="7" t="str">
        <f>TRIM(ETLMetadata!$I771)</f>
        <v/>
      </c>
      <c r="M771" s="7" t="str">
        <f t="shared" ref="M771:M834" si="102">IF(LEFT($K771,7)="VARCHAR","NULLIF(TRIM("&amp;$I771&amp;"),'')",
 IF(LEFT($K771,4)="CHAR","NULLIF(TRIM("&amp;$I771&amp;"),'')",
 IF(LEFT($K771,7)="DECIMAL","CAST(NULLIF(TRIM("&amp;$I771&amp;"),'') AS "&amp;$K771&amp;")",
 IF($K771="TIMESTAMP(6)","TO_TIMESTAMP_NTZ(NULLIF(TRIM("&amp;$I771&amp;"),''),'YYYY-MM-DD HH24:MI:SS.FF6')",
 IF($K771="DATE","TO_DATE(NULLIF(TRIM("&amp;$I771&amp;"),'') , 'YYYY-MM-DD')",
 IF($K771="BIGINT","CAST(NULLIF(TRIM("&amp;I771&amp;"),'') AS INTEGER)",
 IF($K771="BYTEINT","CAST(NULLIF(TRIM("&amp;I771&amp;"),'') AS SMALLINT)",
 IF($K771="SMALLINT","CAST(NULLIF(TRIM("&amp;I771&amp;"),'') AS SMALLINT)",
 IF($K771="INTEGER","CAST(NULLIF(TRIM("&amp;I771&amp;"),'') AS INTEGER)",
 IF($K771="BOOLEAN","CAST(NULLIF(TRIM("&amp;I771&amp;"),'') AS BOOLEAN)",
 IF($K771="DOUBLE","CAST(NULLIF(TRIM("&amp;I771&amp;"),'') AS DOUBLE)",
 IF($K771="FLOAT","CAST(NULLIF(TRIM("&amp;I771&amp;"),'') AS FLOAT)",
 IF($K771="REAL","CAST(NULLIF(TRIM("&amp;I771&amp;"),'') AS REAL)",
 IF(OR($K771="STRUCT",$K771="ARRAY",$K771="MAP",$K771="ROW"),"CAST(NULLIF(TRIM("&amp;I771&amp;"),'') AS VARIANT)",
 "NONE"
))))))))))))))</f>
        <v>NULLIF(TRIM(GPDS_AMR_3),'')</v>
      </c>
      <c r="N771" s="7" t="str">
        <f>TRIM(ETLMetadata!$J771)</f>
        <v/>
      </c>
      <c r="O771" s="8" t="str">
        <f>IF(TRIM(Classification!$G771)="","NOT CONFIDENTIAL",TRIM(Classification!$G771))</f>
        <v>NOT CONFIDENTIAL</v>
      </c>
      <c r="P771" s="7" t="str">
        <f t="shared" ref="P771:P834" si="103">IF($C771="Start_Date","N",
 IF($C771="End_Date","N",
 IF($C771="Record_Deleted_Flag","N",
 IF($C771="IsDeleted","N",
 "Y"
))))</f>
        <v>Y</v>
      </c>
      <c r="Q771" s="7" t="s">
        <v>826</v>
      </c>
      <c r="R771" s="9">
        <v>2958465</v>
      </c>
      <c r="S771" s="7" t="s">
        <v>827</v>
      </c>
      <c r="T771" s="7" t="s">
        <v>828</v>
      </c>
      <c r="U771" s="7" t="str">
        <f t="shared" si="97"/>
        <v>CLK_DETM_DETIS_GPDS_V</v>
      </c>
      <c r="V771" s="7" t="s">
        <v>829</v>
      </c>
    </row>
    <row r="772" spans="1:22">
      <c r="A772" s="7" t="str">
        <f>TRIM(ETLMetadata!$B772)</f>
        <v>CLK</v>
      </c>
      <c r="B772" s="7" t="str">
        <f>TRIM(ETLMetadata!$C772)</f>
        <v>DETM_DETIS_GPDS</v>
      </c>
      <c r="C772" s="7" t="str">
        <f>TRIM(ETLMetadata!$F772)</f>
        <v>GPDS_DOE</v>
      </c>
      <c r="D772" s="7" t="str">
        <f>TRIM(ETLMetadata!$H772)</f>
        <v>StringType()</v>
      </c>
      <c r="E772" s="7" t="str">
        <f t="shared" si="96"/>
        <v>CLK_DETM_DETIS_GPDS</v>
      </c>
      <c r="F772" s="7" t="str">
        <f t="shared" si="98"/>
        <v>GPDS_DOE</v>
      </c>
      <c r="G772" s="7" t="s">
        <v>825</v>
      </c>
      <c r="H772" s="7" t="str">
        <f t="shared" si="99"/>
        <v>CLK_DETM_DETIS_GPDS</v>
      </c>
      <c r="I772" s="7" t="str">
        <f t="shared" si="100"/>
        <v>GPDS_DOE</v>
      </c>
      <c r="J772" s="7" t="str">
        <f t="shared" si="101"/>
        <v>DATE</v>
      </c>
      <c r="K772" s="17" t="s">
        <v>80</v>
      </c>
      <c r="L772" s="7" t="str">
        <f>TRIM(ETLMetadata!$I772)</f>
        <v>YYYY-MM-DD</v>
      </c>
      <c r="M772" s="7" t="str">
        <f t="shared" si="102"/>
        <v>TO_DATE(NULLIF(TRIM(GPDS_DOE),'') , 'YYYY-MM-DD')</v>
      </c>
      <c r="N772" s="7" t="str">
        <f>TRIM(ETLMetadata!$J772)</f>
        <v/>
      </c>
      <c r="O772" s="8" t="str">
        <f>IF(TRIM(Classification!$G772)="","NOT CONFIDENTIAL",TRIM(Classification!$G772))</f>
        <v>NOT CONFIDENTIAL</v>
      </c>
      <c r="P772" s="7" t="str">
        <f t="shared" si="103"/>
        <v>Y</v>
      </c>
      <c r="Q772" s="7" t="s">
        <v>826</v>
      </c>
      <c r="R772" s="9">
        <v>2958465</v>
      </c>
      <c r="S772" s="7" t="s">
        <v>827</v>
      </c>
      <c r="T772" s="7" t="s">
        <v>828</v>
      </c>
      <c r="U772" s="7" t="str">
        <f t="shared" si="97"/>
        <v>CLK_DETM_DETIS_GPDS_V</v>
      </c>
      <c r="V772" s="7" t="s">
        <v>829</v>
      </c>
    </row>
    <row r="773" spans="1:22">
      <c r="A773" s="7" t="str">
        <f>TRIM(ETLMetadata!$B773)</f>
        <v>CLK</v>
      </c>
      <c r="B773" s="7" t="str">
        <f>TRIM(ETLMetadata!$C773)</f>
        <v>DETM_DETIS_GPDS</v>
      </c>
      <c r="C773" s="7" t="str">
        <f>TRIM(ETLMetadata!$F773)</f>
        <v>GPDS_DOE_ORIG</v>
      </c>
      <c r="D773" s="7" t="str">
        <f>TRIM(ETLMetadata!$H773)</f>
        <v>StringType()</v>
      </c>
      <c r="E773" s="7" t="str">
        <f t="shared" si="96"/>
        <v>CLK_DETM_DETIS_GPDS</v>
      </c>
      <c r="F773" s="7" t="str">
        <f t="shared" si="98"/>
        <v>GPDS_DOE_ORIG</v>
      </c>
      <c r="G773" s="7" t="s">
        <v>825</v>
      </c>
      <c r="H773" s="7" t="str">
        <f t="shared" si="99"/>
        <v>CLK_DETM_DETIS_GPDS</v>
      </c>
      <c r="I773" s="7" t="str">
        <f t="shared" si="100"/>
        <v>GPDS_DOE_ORIG</v>
      </c>
      <c r="J773" s="7" t="str">
        <f t="shared" si="101"/>
        <v>INTEGER</v>
      </c>
      <c r="K773" s="17" t="s">
        <v>90</v>
      </c>
      <c r="L773" s="7" t="str">
        <f>TRIM(ETLMetadata!$I773)</f>
        <v/>
      </c>
      <c r="M773" s="7" t="str">
        <f t="shared" si="102"/>
        <v>CAST(NULLIF(TRIM(GPDS_DOE_ORIG),'') AS INTEGER)</v>
      </c>
      <c r="N773" s="7" t="str">
        <f>TRIM(ETLMetadata!$J773)</f>
        <v/>
      </c>
      <c r="O773" s="8" t="str">
        <f>IF(TRIM(Classification!$G773)="","NOT CONFIDENTIAL",TRIM(Classification!$G773))</f>
        <v>NOT CONFIDENTIAL</v>
      </c>
      <c r="P773" s="7" t="str">
        <f t="shared" si="103"/>
        <v>Y</v>
      </c>
      <c r="Q773" s="7" t="s">
        <v>826</v>
      </c>
      <c r="R773" s="9">
        <v>2958465</v>
      </c>
      <c r="S773" s="7" t="s">
        <v>827</v>
      </c>
      <c r="T773" s="7" t="s">
        <v>828</v>
      </c>
      <c r="U773" s="7" t="str">
        <f t="shared" si="97"/>
        <v>CLK_DETM_DETIS_GPDS_V</v>
      </c>
      <c r="V773" s="7" t="s">
        <v>829</v>
      </c>
    </row>
    <row r="774" spans="1:22">
      <c r="A774" s="7" t="str">
        <f>TRIM(ETLMetadata!$B774)</f>
        <v>CLK</v>
      </c>
      <c r="B774" s="7" t="str">
        <f>TRIM(ETLMetadata!$C774)</f>
        <v>DETM_DETIS_GPDS</v>
      </c>
      <c r="C774" s="7" t="str">
        <f>TRIM(ETLMetadata!$F774)</f>
        <v>PROCESSING_SEQUENCE</v>
      </c>
      <c r="D774" s="7" t="str">
        <f>TRIM(ETLMetadata!$H774)</f>
        <v>StringType()</v>
      </c>
      <c r="E774" s="7" t="str">
        <f t="shared" si="96"/>
        <v>CLK_DETM_DETIS_GPDS</v>
      </c>
      <c r="F774" s="7" t="str">
        <f t="shared" si="98"/>
        <v>PROCESSING_SEQUENCE</v>
      </c>
      <c r="G774" s="7" t="s">
        <v>825</v>
      </c>
      <c r="H774" s="7" t="str">
        <f t="shared" si="99"/>
        <v>CLK_DETM_DETIS_GPDS</v>
      </c>
      <c r="I774" s="7" t="str">
        <f t="shared" si="100"/>
        <v>PROCESSING_SEQUENCE</v>
      </c>
      <c r="J774" s="7" t="str">
        <f t="shared" si="101"/>
        <v>SMALLINT</v>
      </c>
      <c r="K774" s="7" t="str">
        <f>TRIM(ETLMetadata!$G774)</f>
        <v>SMALLINT</v>
      </c>
      <c r="L774" s="7" t="str">
        <f>TRIM(ETLMetadata!$I774)</f>
        <v/>
      </c>
      <c r="M774" s="7" t="str">
        <f t="shared" si="102"/>
        <v>CAST(NULLIF(TRIM(PROCESSING_SEQUENCE),'') AS SMALLINT)</v>
      </c>
      <c r="N774" s="7" t="str">
        <f>TRIM(ETLMetadata!$J774)</f>
        <v>Y</v>
      </c>
      <c r="O774" s="8" t="str">
        <f>IF(TRIM(Classification!$G774)="","NOT CONFIDENTIAL",TRIM(Classification!$G774))</f>
        <v>NOT CONFIDENTIAL</v>
      </c>
      <c r="P774" s="7" t="str">
        <f t="shared" si="103"/>
        <v>Y</v>
      </c>
      <c r="Q774" s="7" t="s">
        <v>826</v>
      </c>
      <c r="R774" s="9">
        <v>2958465</v>
      </c>
      <c r="S774" s="7" t="s">
        <v>827</v>
      </c>
      <c r="T774" s="7" t="s">
        <v>828</v>
      </c>
      <c r="U774" s="7" t="str">
        <f t="shared" si="97"/>
        <v>CLK_DETM_DETIS_GPDS_V</v>
      </c>
      <c r="V774" s="7" t="s">
        <v>829</v>
      </c>
    </row>
    <row r="775" spans="1:22">
      <c r="A775" s="7" t="str">
        <f>TRIM(ETLMetadata!$B775)</f>
        <v>CLK</v>
      </c>
      <c r="B775" s="7" t="str">
        <f>TRIM(ETLMetadata!$C775)</f>
        <v>DETM_DETIS_GPDS</v>
      </c>
      <c r="C775" s="7" t="str">
        <f>TRIM(ETLMetadata!$F775)</f>
        <v>GPDS_BEN_TYPE_CODE</v>
      </c>
      <c r="D775" s="7" t="str">
        <f>TRIM(ETLMetadata!$H775)</f>
        <v>StringType()</v>
      </c>
      <c r="E775" s="7" t="str">
        <f t="shared" si="96"/>
        <v>CLK_DETM_DETIS_GPDS</v>
      </c>
      <c r="F775" s="7" t="str">
        <f t="shared" si="98"/>
        <v>GPDS_BEN_TYPE_CODE</v>
      </c>
      <c r="G775" s="7" t="s">
        <v>825</v>
      </c>
      <c r="H775" s="7" t="str">
        <f t="shared" si="99"/>
        <v>CLK_DETM_DETIS_GPDS</v>
      </c>
      <c r="I775" s="7" t="str">
        <f t="shared" si="100"/>
        <v>GPDS_BEN_TYPE_CODE</v>
      </c>
      <c r="J775" s="7" t="str">
        <f t="shared" si="101"/>
        <v>VARCHAR</v>
      </c>
      <c r="K775" s="7" t="str">
        <f>TRIM(ETLMetadata!$G775)</f>
        <v>CHAR(3)</v>
      </c>
      <c r="L775" s="7" t="str">
        <f>TRIM(ETLMetadata!$I775)</f>
        <v/>
      </c>
      <c r="M775" s="7" t="str">
        <f t="shared" si="102"/>
        <v>NULLIF(TRIM(GPDS_BEN_TYPE_CODE),'')</v>
      </c>
      <c r="N775" s="7" t="str">
        <f>TRIM(ETLMetadata!$J775)</f>
        <v/>
      </c>
      <c r="O775" s="8" t="str">
        <f>IF(TRIM(Classification!$G775)="","NOT CONFIDENTIAL",TRIM(Classification!$G775))</f>
        <v>NOT CONFIDENTIAL</v>
      </c>
      <c r="P775" s="7" t="str">
        <f t="shared" si="103"/>
        <v>Y</v>
      </c>
      <c r="Q775" s="7" t="s">
        <v>826</v>
      </c>
      <c r="R775" s="9">
        <v>2958465</v>
      </c>
      <c r="S775" s="7" t="s">
        <v>827</v>
      </c>
      <c r="T775" s="7" t="s">
        <v>828</v>
      </c>
      <c r="U775" s="7" t="str">
        <f t="shared" si="97"/>
        <v>CLK_DETM_DETIS_GPDS_V</v>
      </c>
      <c r="V775" s="7" t="s">
        <v>829</v>
      </c>
    </row>
    <row r="776" spans="1:22">
      <c r="A776" s="7" t="str">
        <f>TRIM(ETLMetadata!$B776)</f>
        <v>CLK</v>
      </c>
      <c r="B776" s="7" t="str">
        <f>TRIM(ETLMetadata!$C776)</f>
        <v>DETM_DETIS_GPDS</v>
      </c>
      <c r="C776" s="7" t="str">
        <f>TRIM(ETLMetadata!$F776)</f>
        <v>GPDS_RSN_CODE</v>
      </c>
      <c r="D776" s="7" t="str">
        <f>TRIM(ETLMetadata!$H776)</f>
        <v>StringType()</v>
      </c>
      <c r="E776" s="7" t="str">
        <f t="shared" si="96"/>
        <v>CLK_DETM_DETIS_GPDS</v>
      </c>
      <c r="F776" s="7" t="str">
        <f t="shared" si="98"/>
        <v>GPDS_RSN_CODE</v>
      </c>
      <c r="G776" s="7" t="s">
        <v>825</v>
      </c>
      <c r="H776" s="7" t="str">
        <f t="shared" si="99"/>
        <v>CLK_DETM_DETIS_GPDS</v>
      </c>
      <c r="I776" s="7" t="str">
        <f t="shared" si="100"/>
        <v>GPDS_RSN_CODE</v>
      </c>
      <c r="J776" s="7" t="str">
        <f t="shared" si="101"/>
        <v>VARCHAR</v>
      </c>
      <c r="K776" s="7" t="str">
        <f>TRIM(ETLMetadata!$G776)</f>
        <v>CHAR(3)</v>
      </c>
      <c r="L776" s="7" t="str">
        <f>TRIM(ETLMetadata!$I776)</f>
        <v/>
      </c>
      <c r="M776" s="7" t="str">
        <f t="shared" si="102"/>
        <v>NULLIF(TRIM(GPDS_RSN_CODE),'')</v>
      </c>
      <c r="N776" s="7" t="str">
        <f>TRIM(ETLMetadata!$J776)</f>
        <v/>
      </c>
      <c r="O776" s="8" t="str">
        <f>IF(TRIM(Classification!$G776)="","NOT CONFIDENTIAL",TRIM(Classification!$G776))</f>
        <v>NOT CONFIDENTIAL</v>
      </c>
      <c r="P776" s="7" t="str">
        <f t="shared" si="103"/>
        <v>Y</v>
      </c>
      <c r="Q776" s="7" t="s">
        <v>826</v>
      </c>
      <c r="R776" s="9">
        <v>2958465</v>
      </c>
      <c r="S776" s="7" t="s">
        <v>827</v>
      </c>
      <c r="T776" s="7" t="s">
        <v>828</v>
      </c>
      <c r="U776" s="7" t="str">
        <f t="shared" si="97"/>
        <v>CLK_DETM_DETIS_GPDS_V</v>
      </c>
      <c r="V776" s="7" t="s">
        <v>829</v>
      </c>
    </row>
    <row r="777" spans="1:22">
      <c r="A777" s="7" t="str">
        <f>TRIM(ETLMetadata!$B777)</f>
        <v>CLK</v>
      </c>
      <c r="B777" s="7" t="str">
        <f>TRIM(ETLMetadata!$C777)</f>
        <v>DETM_DETIS_GPDS</v>
      </c>
      <c r="C777" s="7" t="str">
        <f>TRIM(ETLMetadata!$F777)</f>
        <v>GPDS_STS_CODE</v>
      </c>
      <c r="D777" s="7" t="str">
        <f>TRIM(ETLMetadata!$H777)</f>
        <v>StringType()</v>
      </c>
      <c r="E777" s="7" t="str">
        <f t="shared" si="96"/>
        <v>CLK_DETM_DETIS_GPDS</v>
      </c>
      <c r="F777" s="7" t="str">
        <f t="shared" si="98"/>
        <v>GPDS_STS_CODE</v>
      </c>
      <c r="G777" s="7" t="s">
        <v>825</v>
      </c>
      <c r="H777" s="7" t="str">
        <f t="shared" si="99"/>
        <v>CLK_DETM_DETIS_GPDS</v>
      </c>
      <c r="I777" s="7" t="str">
        <f t="shared" si="100"/>
        <v>GPDS_STS_CODE</v>
      </c>
      <c r="J777" s="7" t="str">
        <f t="shared" si="101"/>
        <v>VARCHAR</v>
      </c>
      <c r="K777" s="7" t="str">
        <f>TRIM(ETLMetadata!$G777)</f>
        <v>CHAR(3)</v>
      </c>
      <c r="L777" s="7" t="str">
        <f>TRIM(ETLMetadata!$I777)</f>
        <v/>
      </c>
      <c r="M777" s="7" t="str">
        <f t="shared" si="102"/>
        <v>NULLIF(TRIM(GPDS_STS_CODE),'')</v>
      </c>
      <c r="N777" s="7" t="str">
        <f>TRIM(ETLMetadata!$J777)</f>
        <v/>
      </c>
      <c r="O777" s="8" t="str">
        <f>IF(TRIM(Classification!$G777)="","NOT CONFIDENTIAL",TRIM(Classification!$G777))</f>
        <v>NOT CONFIDENTIAL</v>
      </c>
      <c r="P777" s="7" t="str">
        <f t="shared" si="103"/>
        <v>Y</v>
      </c>
      <c r="Q777" s="7" t="s">
        <v>826</v>
      </c>
      <c r="R777" s="9">
        <v>2958465</v>
      </c>
      <c r="S777" s="7" t="s">
        <v>827</v>
      </c>
      <c r="T777" s="7" t="s">
        <v>828</v>
      </c>
      <c r="U777" s="7" t="str">
        <f t="shared" si="97"/>
        <v>CLK_DETM_DETIS_GPDS_V</v>
      </c>
      <c r="V777" s="7" t="s">
        <v>829</v>
      </c>
    </row>
    <row r="778" spans="1:22">
      <c r="A778" s="7" t="str">
        <f>TRIM(ETLMetadata!$B778)</f>
        <v>CLK</v>
      </c>
      <c r="B778" s="7" t="str">
        <f>TRIM(ETLMetadata!$C778)</f>
        <v>DETM_DETIS_GPDS</v>
      </c>
      <c r="C778" s="7" t="str">
        <f>TRIM(ETLMetadata!$F778)</f>
        <v>GPDS_TASK_CODE</v>
      </c>
      <c r="D778" s="7" t="str">
        <f>TRIM(ETLMetadata!$H778)</f>
        <v>StringType()</v>
      </c>
      <c r="E778" s="7" t="str">
        <f t="shared" si="96"/>
        <v>CLK_DETM_DETIS_GPDS</v>
      </c>
      <c r="F778" s="7" t="str">
        <f t="shared" si="98"/>
        <v>GPDS_TASK_CODE</v>
      </c>
      <c r="G778" s="7" t="s">
        <v>825</v>
      </c>
      <c r="H778" s="7" t="str">
        <f t="shared" si="99"/>
        <v>CLK_DETM_DETIS_GPDS</v>
      </c>
      <c r="I778" s="7" t="str">
        <f t="shared" si="100"/>
        <v>GPDS_TASK_CODE</v>
      </c>
      <c r="J778" s="7" t="str">
        <f t="shared" si="101"/>
        <v>VARCHAR</v>
      </c>
      <c r="K778" s="7" t="str">
        <f>TRIM(ETLMetadata!$G778)</f>
        <v>VARCHAR(7)</v>
      </c>
      <c r="L778" s="7" t="str">
        <f>TRIM(ETLMetadata!$I778)</f>
        <v/>
      </c>
      <c r="M778" s="7" t="str">
        <f t="shared" si="102"/>
        <v>NULLIF(TRIM(GPDS_TASK_CODE),'')</v>
      </c>
      <c r="N778" s="7" t="str">
        <f>TRIM(ETLMetadata!$J778)</f>
        <v/>
      </c>
      <c r="O778" s="8" t="str">
        <f>IF(TRIM(Classification!$G778)="","NOT CONFIDENTIAL",TRIM(Classification!$G778))</f>
        <v>NOT CONFIDENTIAL</v>
      </c>
      <c r="P778" s="7" t="str">
        <f t="shared" si="103"/>
        <v>Y</v>
      </c>
      <c r="Q778" s="7" t="s">
        <v>826</v>
      </c>
      <c r="R778" s="9">
        <v>2958465</v>
      </c>
      <c r="S778" s="7" t="s">
        <v>827</v>
      </c>
      <c r="T778" s="7" t="s">
        <v>828</v>
      </c>
      <c r="U778" s="7" t="str">
        <f t="shared" si="97"/>
        <v>CLK_DETM_DETIS_GPDS_V</v>
      </c>
      <c r="V778" s="7" t="s">
        <v>829</v>
      </c>
    </row>
    <row r="779" spans="1:22">
      <c r="A779" s="7" t="str">
        <f>TRIM(ETLMetadata!$B779)</f>
        <v>CLK</v>
      </c>
      <c r="B779" s="7" t="str">
        <f>TRIM(ETLMetadata!$C779)</f>
        <v>DETM_DETIS_GPDS</v>
      </c>
      <c r="C779" s="7" t="str">
        <f>TRIM(ETLMetadata!$F779)</f>
        <v>GPDS_UNIQ_ID</v>
      </c>
      <c r="D779" s="7" t="str">
        <f>TRIM(ETLMetadata!$H779)</f>
        <v>StringType()</v>
      </c>
      <c r="E779" s="7" t="str">
        <f t="shared" si="96"/>
        <v>CLK_DETM_DETIS_GPDS</v>
      </c>
      <c r="F779" s="7" t="str">
        <f t="shared" si="98"/>
        <v>GPDS_UNIQ_ID</v>
      </c>
      <c r="G779" s="7" t="s">
        <v>825</v>
      </c>
      <c r="H779" s="7" t="str">
        <f t="shared" si="99"/>
        <v>CLK_DETM_DETIS_GPDS</v>
      </c>
      <c r="I779" s="7" t="str">
        <f t="shared" si="100"/>
        <v>GPDS_UNIQ_ID</v>
      </c>
      <c r="J779" s="7" t="str">
        <f t="shared" si="101"/>
        <v>VARCHAR</v>
      </c>
      <c r="K779" s="7" t="str">
        <f>TRIM(ETLMetadata!$G779)</f>
        <v>VARCHAR(8)</v>
      </c>
      <c r="L779" s="7" t="str">
        <f>TRIM(ETLMetadata!$I779)</f>
        <v/>
      </c>
      <c r="M779" s="7" t="str">
        <f t="shared" si="102"/>
        <v>NULLIF(TRIM(GPDS_UNIQ_ID),'')</v>
      </c>
      <c r="N779" s="7" t="str">
        <f>TRIM(ETLMetadata!$J779)</f>
        <v/>
      </c>
      <c r="O779" s="8" t="str">
        <f>IF(TRIM(Classification!$G779)="","NOT CONFIDENTIAL",TRIM(Classification!$G779))</f>
        <v>NOT CONFIDENTIAL</v>
      </c>
      <c r="P779" s="7" t="str">
        <f t="shared" si="103"/>
        <v>Y</v>
      </c>
      <c r="Q779" s="7" t="s">
        <v>826</v>
      </c>
      <c r="R779" s="9">
        <v>2958465</v>
      </c>
      <c r="S779" s="7" t="s">
        <v>827</v>
      </c>
      <c r="T779" s="7" t="s">
        <v>828</v>
      </c>
      <c r="U779" s="7" t="str">
        <f t="shared" si="97"/>
        <v>CLK_DETM_DETIS_GPDS_V</v>
      </c>
      <c r="V779" s="7" t="s">
        <v>829</v>
      </c>
    </row>
    <row r="780" spans="1:22">
      <c r="A780" s="7" t="str">
        <f>TRIM(ETLMetadata!$B780)</f>
        <v>CLK</v>
      </c>
      <c r="B780" s="7" t="str">
        <f>TRIM(ETLMetadata!$C780)</f>
        <v>DETM_DETIS_GPDS</v>
      </c>
      <c r="C780" s="7" t="str">
        <f>TRIM(ETLMetadata!$F780)</f>
        <v>AMR1_RISL_DTS</v>
      </c>
      <c r="D780" s="7" t="str">
        <f>TRIM(ETLMetadata!$H780)</f>
        <v>StringType()</v>
      </c>
      <c r="E780" s="7" t="str">
        <f t="shared" si="96"/>
        <v>CLK_DETM_DETIS_GPDS</v>
      </c>
      <c r="F780" s="7" t="str">
        <f t="shared" si="98"/>
        <v>AMR1_RISL_DTS</v>
      </c>
      <c r="G780" s="7" t="s">
        <v>825</v>
      </c>
      <c r="H780" s="7" t="str">
        <f t="shared" si="99"/>
        <v>CLK_DETM_DETIS_GPDS</v>
      </c>
      <c r="I780" s="7" t="str">
        <f t="shared" si="100"/>
        <v>AMR1_RISL_DTS</v>
      </c>
      <c r="J780" s="7" t="str">
        <f t="shared" si="101"/>
        <v>TIMESTAMP</v>
      </c>
      <c r="K780" s="7" t="str">
        <f>TRIM(ETLMetadata!$G780)</f>
        <v>TIMESTAMP(6)</v>
      </c>
      <c r="L780" s="7" t="str">
        <f>TRIM(ETLMetadata!$I780)</f>
        <v>YYYY-MM-DDBHH:MI:SS.S(6)</v>
      </c>
      <c r="M780" s="7" t="str">
        <f t="shared" si="102"/>
        <v>TO_TIMESTAMP_NTZ(NULLIF(TRIM(AMR1_RISL_DTS),''),'YYYY-MM-DD HH24:MI:SS.FF6')</v>
      </c>
      <c r="N780" s="7" t="str">
        <f>TRIM(ETLMetadata!$J780)</f>
        <v/>
      </c>
      <c r="O780" s="8" t="str">
        <f>IF(TRIM(Classification!$G780)="","NOT CONFIDENTIAL",TRIM(Classification!$G780))</f>
        <v>NOT CONFIDENTIAL</v>
      </c>
      <c r="P780" s="7" t="str">
        <f t="shared" si="103"/>
        <v>Y</v>
      </c>
      <c r="Q780" s="7" t="s">
        <v>826</v>
      </c>
      <c r="R780" s="9">
        <v>2958465</v>
      </c>
      <c r="S780" s="7" t="s">
        <v>827</v>
      </c>
      <c r="T780" s="7" t="s">
        <v>828</v>
      </c>
      <c r="U780" s="7" t="str">
        <f t="shared" si="97"/>
        <v>CLK_DETM_DETIS_GPDS_V</v>
      </c>
      <c r="V780" s="7" t="s">
        <v>829</v>
      </c>
    </row>
    <row r="781" spans="1:22">
      <c r="A781" s="7" t="str">
        <f>TRIM(ETLMetadata!$B781)</f>
        <v>CLK</v>
      </c>
      <c r="B781" s="7" t="str">
        <f>TRIM(ETLMetadata!$C781)</f>
        <v>DETM_DETIS_GPDS</v>
      </c>
      <c r="C781" s="7" t="str">
        <f>TRIM(ETLMetadata!$F781)</f>
        <v>AMR3_RISL_DTS</v>
      </c>
      <c r="D781" s="7" t="str">
        <f>TRIM(ETLMetadata!$H781)</f>
        <v>StringType()</v>
      </c>
      <c r="E781" s="7" t="str">
        <f t="shared" si="96"/>
        <v>CLK_DETM_DETIS_GPDS</v>
      </c>
      <c r="F781" s="7" t="str">
        <f t="shared" si="98"/>
        <v>AMR3_RISL_DTS</v>
      </c>
      <c r="G781" s="7" t="s">
        <v>825</v>
      </c>
      <c r="H781" s="7" t="str">
        <f t="shared" si="99"/>
        <v>CLK_DETM_DETIS_GPDS</v>
      </c>
      <c r="I781" s="7" t="str">
        <f t="shared" si="100"/>
        <v>AMR3_RISL_DTS</v>
      </c>
      <c r="J781" s="7" t="str">
        <f t="shared" si="101"/>
        <v>TIMESTAMP</v>
      </c>
      <c r="K781" s="7" t="str">
        <f>TRIM(ETLMetadata!$G781)</f>
        <v>TIMESTAMP(6)</v>
      </c>
      <c r="L781" s="7" t="str">
        <f>TRIM(ETLMetadata!$I781)</f>
        <v>YYYY-MM-DDBHH:MI:SS.S(6)</v>
      </c>
      <c r="M781" s="7" t="str">
        <f t="shared" si="102"/>
        <v>TO_TIMESTAMP_NTZ(NULLIF(TRIM(AMR3_RISL_DTS),''),'YYYY-MM-DD HH24:MI:SS.FF6')</v>
      </c>
      <c r="N781" s="7" t="str">
        <f>TRIM(ETLMetadata!$J781)</f>
        <v/>
      </c>
      <c r="O781" s="8" t="str">
        <f>IF(TRIM(Classification!$G781)="","NOT CONFIDENTIAL",TRIM(Classification!$G781))</f>
        <v>NOT CONFIDENTIAL</v>
      </c>
      <c r="P781" s="7" t="str">
        <f t="shared" si="103"/>
        <v>Y</v>
      </c>
      <c r="Q781" s="7" t="s">
        <v>826</v>
      </c>
      <c r="R781" s="9">
        <v>2958465</v>
      </c>
      <c r="S781" s="7" t="s">
        <v>827</v>
      </c>
      <c r="T781" s="7" t="s">
        <v>828</v>
      </c>
      <c r="U781" s="7" t="str">
        <f t="shared" si="97"/>
        <v>CLK_DETM_DETIS_GPDS_V</v>
      </c>
      <c r="V781" s="7" t="s">
        <v>829</v>
      </c>
    </row>
    <row r="782" spans="1:22">
      <c r="A782" s="7" t="str">
        <f>TRIM(ETLMetadata!$B782)</f>
        <v>CLK</v>
      </c>
      <c r="B782" s="7" t="str">
        <f>TRIM(ETLMetadata!$C782)</f>
        <v>DETM_DETIS_GPDS</v>
      </c>
      <c r="C782" s="7" t="str">
        <f>TRIM(ETLMetadata!$F782)</f>
        <v>EPISODE_ID</v>
      </c>
      <c r="D782" s="7" t="str">
        <f>TRIM(ETLMetadata!$H782)</f>
        <v>StringType()</v>
      </c>
      <c r="E782" s="7" t="str">
        <f t="shared" si="96"/>
        <v>CLK_DETM_DETIS_GPDS</v>
      </c>
      <c r="F782" s="7" t="str">
        <f t="shared" si="98"/>
        <v>EPISODE_ID</v>
      </c>
      <c r="G782" s="7" t="s">
        <v>825</v>
      </c>
      <c r="H782" s="7" t="str">
        <f t="shared" si="99"/>
        <v>CLK_DETM_DETIS_GPDS</v>
      </c>
      <c r="I782" s="7" t="str">
        <f t="shared" si="100"/>
        <v>EPISODE_ID</v>
      </c>
      <c r="J782" s="7" t="str">
        <f t="shared" si="101"/>
        <v>INTEGER</v>
      </c>
      <c r="K782" s="7" t="str">
        <f>TRIM(ETLMetadata!$G782)</f>
        <v>INTEGER</v>
      </c>
      <c r="L782" s="7" t="str">
        <f>TRIM(ETLMetadata!$I782)</f>
        <v/>
      </c>
      <c r="M782" s="7" t="str">
        <f t="shared" si="102"/>
        <v>CAST(NULLIF(TRIM(EPISODE_ID),'') AS INTEGER)</v>
      </c>
      <c r="N782" s="7" t="str">
        <f>TRIM(ETLMetadata!$J782)</f>
        <v/>
      </c>
      <c r="O782" s="8" t="str">
        <f>IF(TRIM(Classification!$G782)="","NOT CONFIDENTIAL",TRIM(Classification!$G782))</f>
        <v>NOT CONFIDENTIAL</v>
      </c>
      <c r="P782" s="7" t="str">
        <f t="shared" si="103"/>
        <v>Y</v>
      </c>
      <c r="Q782" s="7" t="s">
        <v>826</v>
      </c>
      <c r="R782" s="9">
        <v>2958465</v>
      </c>
      <c r="S782" s="7" t="s">
        <v>827</v>
      </c>
      <c r="T782" s="7" t="s">
        <v>828</v>
      </c>
      <c r="U782" s="7" t="str">
        <f t="shared" si="97"/>
        <v>CLK_DETM_DETIS_GPDS_V</v>
      </c>
      <c r="V782" s="7" t="s">
        <v>829</v>
      </c>
    </row>
    <row r="783" spans="1:22">
      <c r="A783" s="7" t="str">
        <f>TRIM(ETLMetadata!$B783)</f>
        <v>CLK</v>
      </c>
      <c r="B783" s="7" t="str">
        <f>TRIM(ETLMetadata!$C783)</f>
        <v>DETM_DETIS_GPDS</v>
      </c>
      <c r="C783" s="7" t="str">
        <f>TRIM(ETLMetadata!$F783)</f>
        <v>PARTY_ROLE_ID</v>
      </c>
      <c r="D783" s="7" t="str">
        <f>TRIM(ETLMetadata!$H783)</f>
        <v>StringType()</v>
      </c>
      <c r="E783" s="7" t="str">
        <f t="shared" si="96"/>
        <v>CLK_DETM_DETIS_GPDS</v>
      </c>
      <c r="F783" s="7" t="str">
        <f t="shared" si="98"/>
        <v>PARTY_ROLE_ID</v>
      </c>
      <c r="G783" s="7" t="s">
        <v>825</v>
      </c>
      <c r="H783" s="7" t="str">
        <f t="shared" si="99"/>
        <v>CLK_DETM_DETIS_GPDS</v>
      </c>
      <c r="I783" s="7" t="str">
        <f t="shared" si="100"/>
        <v>PARTY_ROLE_ID</v>
      </c>
      <c r="J783" s="7" t="str">
        <f t="shared" si="101"/>
        <v>INTEGER</v>
      </c>
      <c r="K783" s="7" t="str">
        <f>TRIM(ETLMetadata!$G783)</f>
        <v>INTEGER</v>
      </c>
      <c r="L783" s="7" t="str">
        <f>TRIM(ETLMetadata!$I783)</f>
        <v/>
      </c>
      <c r="M783" s="7" t="str">
        <f t="shared" si="102"/>
        <v>CAST(NULLIF(TRIM(PARTY_ROLE_ID),'') AS INTEGER)</v>
      </c>
      <c r="N783" s="7" t="str">
        <f>TRIM(ETLMetadata!$J783)</f>
        <v/>
      </c>
      <c r="O783" s="8" t="str">
        <f>IF(TRIM(Classification!$G783)="","NOT CONFIDENTIAL",TRIM(Classification!$G783))</f>
        <v>NOT CONFIDENTIAL</v>
      </c>
      <c r="P783" s="7" t="str">
        <f t="shared" si="103"/>
        <v>Y</v>
      </c>
      <c r="Q783" s="7" t="s">
        <v>826</v>
      </c>
      <c r="R783" s="9">
        <v>2958465</v>
      </c>
      <c r="S783" s="7" t="s">
        <v>827</v>
      </c>
      <c r="T783" s="7" t="s">
        <v>828</v>
      </c>
      <c r="U783" s="7" t="str">
        <f t="shared" si="97"/>
        <v>CLK_DETM_DETIS_GPDS_V</v>
      </c>
      <c r="V783" s="7" t="s">
        <v>829</v>
      </c>
    </row>
    <row r="784" spans="1:22">
      <c r="A784" s="7" t="str">
        <f>TRIM(ETLMetadata!$B784)</f>
        <v>CLK</v>
      </c>
      <c r="B784" s="7" t="str">
        <f>TRIM(ETLMetadata!$C784)</f>
        <v>DETM_DETIS_GPDS</v>
      </c>
      <c r="C784" s="7" t="str">
        <f>TRIM(ETLMetadata!$F784)</f>
        <v>PAYMENT_TYPE_ID</v>
      </c>
      <c r="D784" s="7" t="str">
        <f>TRIM(ETLMetadata!$H784)</f>
        <v>StringType()</v>
      </c>
      <c r="E784" s="7" t="str">
        <f t="shared" si="96"/>
        <v>CLK_DETM_DETIS_GPDS</v>
      </c>
      <c r="F784" s="7" t="str">
        <f t="shared" si="98"/>
        <v>PAYMENT_TYPE_ID</v>
      </c>
      <c r="G784" s="7" t="s">
        <v>825</v>
      </c>
      <c r="H784" s="7" t="str">
        <f t="shared" si="99"/>
        <v>CLK_DETM_DETIS_GPDS</v>
      </c>
      <c r="I784" s="7" t="str">
        <f t="shared" si="100"/>
        <v>PAYMENT_TYPE_ID</v>
      </c>
      <c r="J784" s="7" t="str">
        <f t="shared" si="101"/>
        <v>INTEGER</v>
      </c>
      <c r="K784" s="7" t="str">
        <f>TRIM(ETLMetadata!$G784)</f>
        <v>INTEGER</v>
      </c>
      <c r="L784" s="7" t="str">
        <f>TRIM(ETLMetadata!$I784)</f>
        <v/>
      </c>
      <c r="M784" s="7" t="str">
        <f t="shared" si="102"/>
        <v>CAST(NULLIF(TRIM(PAYMENT_TYPE_ID),'') AS INTEGER)</v>
      </c>
      <c r="N784" s="7" t="str">
        <f>TRIM(ETLMetadata!$J784)</f>
        <v/>
      </c>
      <c r="O784" s="8" t="str">
        <f>IF(TRIM(Classification!$G784)="","NOT CONFIDENTIAL",TRIM(Classification!$G784))</f>
        <v>NOT CONFIDENTIAL</v>
      </c>
      <c r="P784" s="7" t="str">
        <f t="shared" si="103"/>
        <v>Y</v>
      </c>
      <c r="Q784" s="7" t="s">
        <v>826</v>
      </c>
      <c r="R784" s="9">
        <v>2958465</v>
      </c>
      <c r="S784" s="7" t="s">
        <v>827</v>
      </c>
      <c r="T784" s="7" t="s">
        <v>828</v>
      </c>
      <c r="U784" s="7" t="str">
        <f t="shared" si="97"/>
        <v>CLK_DETM_DETIS_GPDS_V</v>
      </c>
      <c r="V784" s="7" t="s">
        <v>829</v>
      </c>
    </row>
    <row r="785" spans="1:22">
      <c r="A785" s="7" t="str">
        <f>TRIM(ETLMetadata!$B785)</f>
        <v>CLK</v>
      </c>
      <c r="B785" s="7" t="str">
        <f>TRIM(ETLMetadata!$C785)</f>
        <v>DETM_DETIS_GPDS</v>
      </c>
      <c r="C785" s="7" t="str">
        <f>TRIM(ETLMetadata!$F785)</f>
        <v>ERROR_COUNT</v>
      </c>
      <c r="D785" s="7" t="str">
        <f>TRIM(ETLMetadata!$H785)</f>
        <v>StringType()</v>
      </c>
      <c r="E785" s="7" t="str">
        <f t="shared" si="96"/>
        <v>CLK_DETM_DETIS_GPDS</v>
      </c>
      <c r="F785" s="7" t="str">
        <f t="shared" si="98"/>
        <v>ERROR_COUNT</v>
      </c>
      <c r="G785" s="7" t="s">
        <v>825</v>
      </c>
      <c r="H785" s="7" t="str">
        <f t="shared" si="99"/>
        <v>CLK_DETM_DETIS_GPDS</v>
      </c>
      <c r="I785" s="7" t="str">
        <f t="shared" si="100"/>
        <v>ERROR_COUNT</v>
      </c>
      <c r="J785" s="7" t="str">
        <f t="shared" si="101"/>
        <v>SMALLINT</v>
      </c>
      <c r="K785" s="7" t="str">
        <f>TRIM(ETLMetadata!$G785)</f>
        <v>SMALLINT</v>
      </c>
      <c r="L785" s="7" t="str">
        <f>TRIM(ETLMetadata!$I785)</f>
        <v/>
      </c>
      <c r="M785" s="7" t="str">
        <f t="shared" si="102"/>
        <v>CAST(NULLIF(TRIM(ERROR_COUNT),'') AS SMALLINT)</v>
      </c>
      <c r="N785" s="7" t="str">
        <f>TRIM(ETLMetadata!$J785)</f>
        <v/>
      </c>
      <c r="O785" s="8" t="str">
        <f>IF(TRIM(Classification!$G785)="","NOT CONFIDENTIAL",TRIM(Classification!$G785))</f>
        <v>NOT CONFIDENTIAL</v>
      </c>
      <c r="P785" s="7" t="str">
        <f t="shared" si="103"/>
        <v>Y</v>
      </c>
      <c r="Q785" s="7" t="s">
        <v>826</v>
      </c>
      <c r="R785" s="9">
        <v>2958465</v>
      </c>
      <c r="S785" s="7" t="s">
        <v>827</v>
      </c>
      <c r="T785" s="7" t="s">
        <v>828</v>
      </c>
      <c r="U785" s="7" t="str">
        <f t="shared" si="97"/>
        <v>CLK_DETM_DETIS_GPDS_V</v>
      </c>
      <c r="V785" s="7" t="s">
        <v>829</v>
      </c>
    </row>
    <row r="786" spans="1:22">
      <c r="A786" s="7" t="str">
        <f>TRIM(ETLMetadata!$B786)</f>
        <v>CLK</v>
      </c>
      <c r="B786" s="7" t="str">
        <f>TRIM(ETLMetadata!$C786)</f>
        <v>DETM_DETIS_GPDS</v>
      </c>
      <c r="C786" s="7" t="str">
        <f>TRIM(ETLMetadata!$F786)</f>
        <v>Start_Date</v>
      </c>
      <c r="D786" s="7" t="str">
        <f>TRIM(ETLMetadata!$H786)</f>
        <v>StringType()</v>
      </c>
      <c r="E786" s="7" t="str">
        <f t="shared" si="96"/>
        <v>CLK_DETM_DETIS_GPDS</v>
      </c>
      <c r="F786" s="7" t="str">
        <f t="shared" si="98"/>
        <v>STRT_DT</v>
      </c>
      <c r="G786" s="7" t="s">
        <v>825</v>
      </c>
      <c r="H786" s="7" t="str">
        <f t="shared" si="99"/>
        <v>CLK_DETM_DETIS_GPDS</v>
      </c>
      <c r="I786" s="7" t="str">
        <f t="shared" si="100"/>
        <v>STRT_DT</v>
      </c>
      <c r="J786" s="7" t="str">
        <f t="shared" si="101"/>
        <v>DATE</v>
      </c>
      <c r="K786" s="7" t="str">
        <f>TRIM(ETLMetadata!$G786)</f>
        <v>DATE</v>
      </c>
      <c r="L786" s="7" t="str">
        <f>TRIM(ETLMetadata!$I786)</f>
        <v>YYYY-MM-DD</v>
      </c>
      <c r="M786" s="7" t="str">
        <f t="shared" si="102"/>
        <v>TO_DATE(NULLIF(TRIM(STRT_DT),'') , 'YYYY-MM-DD')</v>
      </c>
      <c r="N786" s="7" t="str">
        <f>TRIM(ETLMetadata!$J786)</f>
        <v/>
      </c>
      <c r="O786" s="8" t="str">
        <f>IF(TRIM(Classification!$G786)="","NOT CONFIDENTIAL",TRIM(Classification!$G786))</f>
        <v>NOT CONFIDENTIAL</v>
      </c>
      <c r="P786" s="7" t="str">
        <f t="shared" si="103"/>
        <v>N</v>
      </c>
      <c r="Q786" s="7" t="s">
        <v>826</v>
      </c>
      <c r="R786" s="9">
        <v>2958465</v>
      </c>
      <c r="S786" s="7" t="s">
        <v>827</v>
      </c>
      <c r="T786" s="7" t="s">
        <v>828</v>
      </c>
      <c r="U786" s="7" t="str">
        <f t="shared" si="97"/>
        <v>CLK_DETM_DETIS_GPDS_V</v>
      </c>
      <c r="V786" s="7" t="s">
        <v>829</v>
      </c>
    </row>
    <row r="787" spans="1:22">
      <c r="A787" s="7" t="str">
        <f>TRIM(ETLMetadata!$B787)</f>
        <v>CLK</v>
      </c>
      <c r="B787" s="7" t="str">
        <f>TRIM(ETLMetadata!$C787)</f>
        <v>DETM_DETIS_GPDS</v>
      </c>
      <c r="C787" s="7" t="str">
        <f>TRIM(ETLMetadata!$F787)</f>
        <v>End_Date</v>
      </c>
      <c r="D787" s="7" t="str">
        <f>TRIM(ETLMetadata!$H787)</f>
        <v>StringType()</v>
      </c>
      <c r="E787" s="7" t="str">
        <f t="shared" si="96"/>
        <v>CLK_DETM_DETIS_GPDS</v>
      </c>
      <c r="F787" s="7" t="str">
        <f t="shared" si="98"/>
        <v>END_DT</v>
      </c>
      <c r="G787" s="7" t="s">
        <v>825</v>
      </c>
      <c r="H787" s="7" t="str">
        <f t="shared" si="99"/>
        <v>CLK_DETM_DETIS_GPDS</v>
      </c>
      <c r="I787" s="7" t="str">
        <f t="shared" si="100"/>
        <v>END_DT</v>
      </c>
      <c r="J787" s="7" t="str">
        <f t="shared" si="101"/>
        <v>DATE</v>
      </c>
      <c r="K787" s="7" t="str">
        <f>TRIM(ETLMetadata!$G787)</f>
        <v>DATE</v>
      </c>
      <c r="L787" s="7" t="str">
        <f>TRIM(ETLMetadata!$I787)</f>
        <v>YYYY-MM-DD</v>
      </c>
      <c r="M787" s="7" t="str">
        <f t="shared" si="102"/>
        <v>TO_DATE(NULLIF(TRIM(END_DT),'') , 'YYYY-MM-DD')</v>
      </c>
      <c r="N787" s="7" t="str">
        <f>TRIM(ETLMetadata!$J787)</f>
        <v/>
      </c>
      <c r="O787" s="8" t="str">
        <f>IF(TRIM(Classification!$G787)="","NOT CONFIDENTIAL",TRIM(Classification!$G787))</f>
        <v>NOT CONFIDENTIAL</v>
      </c>
      <c r="P787" s="7" t="str">
        <f t="shared" si="103"/>
        <v>N</v>
      </c>
      <c r="Q787" s="7" t="s">
        <v>826</v>
      </c>
      <c r="R787" s="9">
        <v>2958465</v>
      </c>
      <c r="S787" s="7" t="s">
        <v>827</v>
      </c>
      <c r="T787" s="7" t="s">
        <v>828</v>
      </c>
      <c r="U787" s="7" t="str">
        <f t="shared" si="97"/>
        <v>CLK_DETM_DETIS_GPDS_V</v>
      </c>
      <c r="V787" s="7" t="s">
        <v>829</v>
      </c>
    </row>
    <row r="788" spans="1:22">
      <c r="A788" s="7" t="str">
        <f>TRIM(ETLMetadata!$B788)</f>
        <v>CLK</v>
      </c>
      <c r="B788" s="7" t="str">
        <f>TRIM(ETLMetadata!$C788)</f>
        <v>DETM_DETIS_GPDS</v>
      </c>
      <c r="C788" s="7" t="str">
        <f>TRIM(ETLMetadata!$F788)</f>
        <v>Record_Deleted_Flag</v>
      </c>
      <c r="D788" s="7" t="str">
        <f>TRIM(ETLMetadata!$H788)</f>
        <v>StringType()</v>
      </c>
      <c r="E788" s="7" t="str">
        <f t="shared" si="96"/>
        <v>CLK_DETM_DETIS_GPDS</v>
      </c>
      <c r="F788" s="7" t="str">
        <f t="shared" si="98"/>
        <v>RCRD_DEL_IND</v>
      </c>
      <c r="G788" s="7" t="s">
        <v>825</v>
      </c>
      <c r="H788" s="7" t="str">
        <f t="shared" si="99"/>
        <v>CLK_DETM_DETIS_GPDS</v>
      </c>
      <c r="I788" s="7" t="str">
        <f t="shared" si="100"/>
        <v>RCRD_DEL_IND</v>
      </c>
      <c r="J788" s="7" t="str">
        <f t="shared" si="101"/>
        <v>SMALLINT</v>
      </c>
      <c r="K788" s="7" t="str">
        <f>TRIM(ETLMetadata!$G788)</f>
        <v>BYTEINT</v>
      </c>
      <c r="L788" s="7" t="str">
        <f>TRIM(ETLMetadata!$I788)</f>
        <v/>
      </c>
      <c r="M788" s="7" t="str">
        <f t="shared" si="102"/>
        <v>CAST(NULLIF(TRIM(RCRD_DEL_IND),'') AS SMALLINT)</v>
      </c>
      <c r="N788" s="7" t="str">
        <f>TRIM(ETLMetadata!$J788)</f>
        <v/>
      </c>
      <c r="O788" s="8" t="str">
        <f>IF(TRIM(Classification!$G788)="","NOT CONFIDENTIAL",TRIM(Classification!$G788))</f>
        <v>NOT CONFIDENTIAL</v>
      </c>
      <c r="P788" s="7" t="str">
        <f t="shared" si="103"/>
        <v>N</v>
      </c>
      <c r="Q788" s="7" t="s">
        <v>826</v>
      </c>
      <c r="R788" s="9">
        <v>2958465</v>
      </c>
      <c r="S788" s="7" t="s">
        <v>827</v>
      </c>
      <c r="T788" s="7" t="s">
        <v>828</v>
      </c>
      <c r="U788" s="7" t="str">
        <f t="shared" si="97"/>
        <v>CLK_DETM_DETIS_GPDS_V</v>
      </c>
      <c r="V788" s="7" t="s">
        <v>829</v>
      </c>
    </row>
    <row r="789" spans="1:22">
      <c r="A789" s="7" t="str">
        <f>TRIM(ETLMetadata!$B789)</f>
        <v>CLK</v>
      </c>
      <c r="B789" s="7" t="str">
        <f>TRIM(ETLMetadata!$C789)</f>
        <v>DETM_DETIS_HDDS</v>
      </c>
      <c r="C789" s="7" t="str">
        <f>TRIM(ETLMetadata!$F789)</f>
        <v>EXTRACT_DATE</v>
      </c>
      <c r="D789" s="7" t="str">
        <f>TRIM(ETLMetadata!$H789)</f>
        <v>StringType()</v>
      </c>
      <c r="E789" s="7" t="str">
        <f t="shared" si="96"/>
        <v>CLK_DETM_DETIS_HDDS</v>
      </c>
      <c r="F789" s="7" t="str">
        <f t="shared" si="98"/>
        <v>EXTRACT_DATE</v>
      </c>
      <c r="G789" s="7" t="s">
        <v>825</v>
      </c>
      <c r="H789" s="7" t="str">
        <f t="shared" si="99"/>
        <v>CLK_DETM_DETIS_HDDS</v>
      </c>
      <c r="I789" s="7" t="str">
        <f t="shared" si="100"/>
        <v>EXTRACT_DATE</v>
      </c>
      <c r="J789" s="7" t="str">
        <f t="shared" si="101"/>
        <v>DATE</v>
      </c>
      <c r="K789" s="7" t="str">
        <f>TRIM(ETLMetadata!$G789)</f>
        <v>DATE</v>
      </c>
      <c r="L789" s="7" t="str">
        <f>TRIM(ETLMetadata!$I789)</f>
        <v>YYYY-MM-DD</v>
      </c>
      <c r="M789" s="7" t="str">
        <f t="shared" si="102"/>
        <v>TO_DATE(NULLIF(TRIM(EXTRACT_DATE),'') , 'YYYY-MM-DD')</v>
      </c>
      <c r="N789" s="7" t="str">
        <f>TRIM(ETLMetadata!$J789)</f>
        <v/>
      </c>
      <c r="O789" s="8" t="str">
        <f>IF(TRIM(Classification!$G789)="","NOT CONFIDENTIAL",TRIM(Classification!$G789))</f>
        <v>NOT CONFIDENTIAL</v>
      </c>
      <c r="P789" s="7" t="str">
        <f t="shared" si="103"/>
        <v>Y</v>
      </c>
      <c r="Q789" s="7" t="s">
        <v>826</v>
      </c>
      <c r="R789" s="9">
        <v>2958465</v>
      </c>
      <c r="S789" s="7" t="s">
        <v>827</v>
      </c>
      <c r="T789" s="7" t="s">
        <v>828</v>
      </c>
      <c r="U789" s="7" t="str">
        <f t="shared" si="97"/>
        <v>CLK_DETM_DETIS_HDDS_V</v>
      </c>
      <c r="V789" s="7" t="s">
        <v>829</v>
      </c>
    </row>
    <row r="790" spans="1:22">
      <c r="A790" s="7" t="str">
        <f>TRIM(ETLMetadata!$B790)</f>
        <v>CLK</v>
      </c>
      <c r="B790" s="7" t="str">
        <f>TRIM(ETLMetadata!$C790)</f>
        <v>DETM_DETIS_HDDS</v>
      </c>
      <c r="C790" s="7" t="str">
        <f>TRIM(ETLMetadata!$F790)</f>
        <v>LOGICAL_DELETE_DATE</v>
      </c>
      <c r="D790" s="7" t="str">
        <f>TRIM(ETLMetadata!$H790)</f>
        <v>StringType()</v>
      </c>
      <c r="E790" s="7" t="str">
        <f t="shared" si="96"/>
        <v>CLK_DETM_DETIS_HDDS</v>
      </c>
      <c r="F790" s="7" t="str">
        <f t="shared" si="98"/>
        <v>LOGICAL_DELETE_DATE</v>
      </c>
      <c r="G790" s="7" t="s">
        <v>825</v>
      </c>
      <c r="H790" s="7" t="str">
        <f t="shared" si="99"/>
        <v>CLK_DETM_DETIS_HDDS</v>
      </c>
      <c r="I790" s="7" t="str">
        <f t="shared" si="100"/>
        <v>LOGICAL_DELETE_DATE</v>
      </c>
      <c r="J790" s="7" t="str">
        <f t="shared" si="101"/>
        <v>DATE</v>
      </c>
      <c r="K790" s="7" t="str">
        <f>TRIM(ETLMetadata!$G790)</f>
        <v>DATE</v>
      </c>
      <c r="L790" s="7" t="str">
        <f>TRIM(ETLMetadata!$I790)</f>
        <v>YYYY-MM-DD</v>
      </c>
      <c r="M790" s="7" t="str">
        <f t="shared" si="102"/>
        <v>TO_DATE(NULLIF(TRIM(LOGICAL_DELETE_DATE),'') , 'YYYY-MM-DD')</v>
      </c>
      <c r="N790" s="7" t="str">
        <f>TRIM(ETLMetadata!$J790)</f>
        <v/>
      </c>
      <c r="O790" s="8" t="str">
        <f>IF(TRIM(Classification!$G790)="","NOT CONFIDENTIAL",TRIM(Classification!$G790))</f>
        <v>NOT CONFIDENTIAL</v>
      </c>
      <c r="P790" s="7" t="str">
        <f t="shared" si="103"/>
        <v>Y</v>
      </c>
      <c r="Q790" s="7" t="s">
        <v>826</v>
      </c>
      <c r="R790" s="9">
        <v>2958465</v>
      </c>
      <c r="S790" s="7" t="s">
        <v>827</v>
      </c>
      <c r="T790" s="7" t="s">
        <v>828</v>
      </c>
      <c r="U790" s="7" t="str">
        <f t="shared" si="97"/>
        <v>CLK_DETM_DETIS_HDDS_V</v>
      </c>
      <c r="V790" s="7" t="s">
        <v>829</v>
      </c>
    </row>
    <row r="791" spans="1:22">
      <c r="A791" s="7" t="str">
        <f>TRIM(ETLMetadata!$B791)</f>
        <v>CLK</v>
      </c>
      <c r="B791" s="7" t="str">
        <f>TRIM(ETLMetadata!$C791)</f>
        <v>DETM_DETIS_HDDS</v>
      </c>
      <c r="C791" s="7" t="str">
        <f>TRIM(ETLMetadata!$F791)</f>
        <v>ENVIRONMENT_ID</v>
      </c>
      <c r="D791" s="7" t="str">
        <f>TRIM(ETLMetadata!$H791)</f>
        <v>StringType()</v>
      </c>
      <c r="E791" s="7" t="str">
        <f t="shared" si="96"/>
        <v>CLK_DETM_DETIS_HDDS</v>
      </c>
      <c r="F791" s="7" t="str">
        <f t="shared" si="98"/>
        <v>ENVIRONMENT_ID</v>
      </c>
      <c r="G791" s="7" t="s">
        <v>825</v>
      </c>
      <c r="H791" s="7" t="str">
        <f t="shared" si="99"/>
        <v>CLK_DETM_DETIS_HDDS</v>
      </c>
      <c r="I791" s="7" t="str">
        <f t="shared" si="100"/>
        <v>ENVIRONMENT_ID</v>
      </c>
      <c r="J791" s="7" t="str">
        <f t="shared" si="101"/>
        <v>VARCHAR</v>
      </c>
      <c r="K791" s="7" t="str">
        <f>TRIM(ETLMetadata!$G791)</f>
        <v>CHAR(1)</v>
      </c>
      <c r="L791" s="7" t="str">
        <f>TRIM(ETLMetadata!$I791)</f>
        <v/>
      </c>
      <c r="M791" s="7" t="str">
        <f t="shared" si="102"/>
        <v>NULLIF(TRIM(ENVIRONMENT_ID),'')</v>
      </c>
      <c r="N791" s="7" t="str">
        <f>TRIM(ETLMetadata!$J791)</f>
        <v>Y</v>
      </c>
      <c r="O791" s="8" t="str">
        <f>IF(TRIM(Classification!$G791)="","NOT CONFIDENTIAL",TRIM(Classification!$G791))</f>
        <v>NOT CONFIDENTIAL</v>
      </c>
      <c r="P791" s="7" t="str">
        <f t="shared" si="103"/>
        <v>Y</v>
      </c>
      <c r="Q791" s="7" t="s">
        <v>826</v>
      </c>
      <c r="R791" s="9">
        <v>2958465</v>
      </c>
      <c r="S791" s="7" t="s">
        <v>827</v>
      </c>
      <c r="T791" s="7" t="s">
        <v>828</v>
      </c>
      <c r="U791" s="7" t="str">
        <f t="shared" si="97"/>
        <v>CLK_DETM_DETIS_HDDS_V</v>
      </c>
      <c r="V791" s="7" t="s">
        <v>829</v>
      </c>
    </row>
    <row r="792" spans="1:22">
      <c r="A792" s="7" t="str">
        <f>TRIM(ETLMetadata!$B792)</f>
        <v>CLK</v>
      </c>
      <c r="B792" s="7" t="str">
        <f>TRIM(ETLMetadata!$C792)</f>
        <v>DETM_DETIS_HDDS</v>
      </c>
      <c r="C792" s="7" t="str">
        <f>TRIM(ETLMetadata!$F792)</f>
        <v>PERSON_ID</v>
      </c>
      <c r="D792" s="7" t="str">
        <f>TRIM(ETLMetadata!$H792)</f>
        <v>StringType()</v>
      </c>
      <c r="E792" s="7" t="str">
        <f t="shared" si="96"/>
        <v>CLK_DETM_DETIS_HDDS</v>
      </c>
      <c r="F792" s="7" t="str">
        <f t="shared" si="98"/>
        <v>PERSON_ID</v>
      </c>
      <c r="G792" s="7" t="s">
        <v>825</v>
      </c>
      <c r="H792" s="7" t="str">
        <f t="shared" si="99"/>
        <v>CLK_DETM_DETIS_HDDS</v>
      </c>
      <c r="I792" s="7" t="str">
        <f t="shared" si="100"/>
        <v>PERSON_ID</v>
      </c>
      <c r="J792" s="7" t="str">
        <f t="shared" si="101"/>
        <v>INTEGER</v>
      </c>
      <c r="K792" s="7" t="str">
        <f>TRIM(ETLMetadata!$G792)</f>
        <v>INTEGER</v>
      </c>
      <c r="L792" s="7" t="str">
        <f>TRIM(ETLMetadata!$I792)</f>
        <v/>
      </c>
      <c r="M792" s="7" t="str">
        <f t="shared" si="102"/>
        <v>CAST(NULLIF(TRIM(PERSON_ID),'') AS INTEGER)</v>
      </c>
      <c r="N792" s="7" t="str">
        <f>TRIM(ETLMetadata!$J792)</f>
        <v>Y</v>
      </c>
      <c r="O792" s="8" t="str">
        <f>IF(TRIM(Classification!$G792)="","NOT CONFIDENTIAL",TRIM(Classification!$G792))</f>
        <v>PERSONAL_IDENTITYINFOINDIRECT</v>
      </c>
      <c r="P792" s="7" t="str">
        <f t="shared" si="103"/>
        <v>Y</v>
      </c>
      <c r="Q792" s="7" t="s">
        <v>826</v>
      </c>
      <c r="R792" s="9">
        <v>2958465</v>
      </c>
      <c r="S792" s="7" t="s">
        <v>827</v>
      </c>
      <c r="T792" s="7" t="s">
        <v>828</v>
      </c>
      <c r="U792" s="7" t="str">
        <f t="shared" si="97"/>
        <v>CLK_DETM_DETIS_HDDS_V</v>
      </c>
      <c r="V792" s="7" t="s">
        <v>829</v>
      </c>
    </row>
    <row r="793" spans="1:22">
      <c r="A793" s="7" t="str">
        <f>TRIM(ETLMetadata!$B793)</f>
        <v>CLK</v>
      </c>
      <c r="B793" s="7" t="str">
        <f>TRIM(ETLMetadata!$C793)</f>
        <v>DETM_DETIS_HDDS</v>
      </c>
      <c r="C793" s="7" t="str">
        <f>TRIM(ETLMetadata!$F793)</f>
        <v>HDDS_DOE</v>
      </c>
      <c r="D793" s="7" t="str">
        <f>TRIM(ETLMetadata!$H793)</f>
        <v>StringType()</v>
      </c>
      <c r="E793" s="7" t="str">
        <f t="shared" si="96"/>
        <v>CLK_DETM_DETIS_HDDS</v>
      </c>
      <c r="F793" s="7" t="str">
        <f t="shared" si="98"/>
        <v>HDDS_DOE</v>
      </c>
      <c r="G793" s="7" t="s">
        <v>825</v>
      </c>
      <c r="H793" s="7" t="str">
        <f t="shared" si="99"/>
        <v>CLK_DETM_DETIS_HDDS</v>
      </c>
      <c r="I793" s="7" t="str">
        <f t="shared" si="100"/>
        <v>HDDS_DOE</v>
      </c>
      <c r="J793" s="7" t="str">
        <f t="shared" si="101"/>
        <v>DATE</v>
      </c>
      <c r="K793" s="17" t="s">
        <v>80</v>
      </c>
      <c r="L793" s="7" t="str">
        <f>TRIM(ETLMetadata!$I793)</f>
        <v>YYYY-MM-DD</v>
      </c>
      <c r="M793" s="7" t="str">
        <f t="shared" si="102"/>
        <v>TO_DATE(NULLIF(TRIM(HDDS_DOE),'') , 'YYYY-MM-DD')</v>
      </c>
      <c r="N793" s="7" t="str">
        <f>TRIM(ETLMetadata!$J793)</f>
        <v/>
      </c>
      <c r="O793" s="8" t="str">
        <f>IF(TRIM(Classification!$G793)="","NOT CONFIDENTIAL",TRIM(Classification!$G793))</f>
        <v>NOT CONFIDENTIAL</v>
      </c>
      <c r="P793" s="7" t="str">
        <f t="shared" si="103"/>
        <v>Y</v>
      </c>
      <c r="Q793" s="7" t="s">
        <v>826</v>
      </c>
      <c r="R793" s="9">
        <v>2958465</v>
      </c>
      <c r="S793" s="7" t="s">
        <v>827</v>
      </c>
      <c r="T793" s="7" t="s">
        <v>828</v>
      </c>
      <c r="U793" s="7" t="str">
        <f t="shared" si="97"/>
        <v>CLK_DETM_DETIS_HDDS_V</v>
      </c>
      <c r="V793" s="7" t="s">
        <v>829</v>
      </c>
    </row>
    <row r="794" spans="1:22">
      <c r="A794" s="7" t="str">
        <f>TRIM(ETLMetadata!$B794)</f>
        <v>CLK</v>
      </c>
      <c r="B794" s="7" t="str">
        <f>TRIM(ETLMetadata!$C794)</f>
        <v>DETM_DETIS_HDDS</v>
      </c>
      <c r="C794" s="7" t="str">
        <f>TRIM(ETLMetadata!$F794)</f>
        <v>HDDS_DOE_ORIG</v>
      </c>
      <c r="D794" s="7" t="str">
        <f>TRIM(ETLMetadata!$H794)</f>
        <v>StringType()</v>
      </c>
      <c r="E794" s="7" t="str">
        <f t="shared" si="96"/>
        <v>CLK_DETM_DETIS_HDDS</v>
      </c>
      <c r="F794" s="7" t="str">
        <f t="shared" si="98"/>
        <v>HDDS_DOE_ORIG</v>
      </c>
      <c r="G794" s="7" t="s">
        <v>825</v>
      </c>
      <c r="H794" s="7" t="str">
        <f t="shared" si="99"/>
        <v>CLK_DETM_DETIS_HDDS</v>
      </c>
      <c r="I794" s="7" t="str">
        <f t="shared" si="100"/>
        <v>HDDS_DOE_ORIG</v>
      </c>
      <c r="J794" s="7" t="str">
        <f t="shared" si="101"/>
        <v>INTEGER</v>
      </c>
      <c r="K794" s="17" t="s">
        <v>90</v>
      </c>
      <c r="L794" s="7" t="str">
        <f>TRIM(ETLMetadata!$I794)</f>
        <v/>
      </c>
      <c r="M794" s="7" t="str">
        <f t="shared" si="102"/>
        <v>CAST(NULLIF(TRIM(HDDS_DOE_ORIG),'') AS INTEGER)</v>
      </c>
      <c r="N794" s="7" t="str">
        <f>TRIM(ETLMetadata!$J794)</f>
        <v/>
      </c>
      <c r="O794" s="8" t="str">
        <f>IF(TRIM(Classification!$G794)="","NOT CONFIDENTIAL",TRIM(Classification!$G794))</f>
        <v>NOT CONFIDENTIAL</v>
      </c>
      <c r="P794" s="7" t="str">
        <f t="shared" si="103"/>
        <v>Y</v>
      </c>
      <c r="Q794" s="7" t="s">
        <v>826</v>
      </c>
      <c r="R794" s="9">
        <v>2958465</v>
      </c>
      <c r="S794" s="7" t="s">
        <v>827</v>
      </c>
      <c r="T794" s="7" t="s">
        <v>828</v>
      </c>
      <c r="U794" s="7" t="str">
        <f t="shared" si="97"/>
        <v>CLK_DETM_DETIS_HDDS_V</v>
      </c>
      <c r="V794" s="7" t="s">
        <v>829</v>
      </c>
    </row>
    <row r="795" spans="1:22">
      <c r="A795" s="7" t="str">
        <f>TRIM(ETLMetadata!$B795)</f>
        <v>CLK</v>
      </c>
      <c r="B795" s="7" t="str">
        <f>TRIM(ETLMetadata!$C795)</f>
        <v>DETM_DETIS_HDDS</v>
      </c>
      <c r="C795" s="7" t="str">
        <f>TRIM(ETLMetadata!$F795)</f>
        <v>PROCESSING_SEQUENCE</v>
      </c>
      <c r="D795" s="7" t="str">
        <f>TRIM(ETLMetadata!$H795)</f>
        <v>StringType()</v>
      </c>
      <c r="E795" s="7" t="str">
        <f t="shared" si="96"/>
        <v>CLK_DETM_DETIS_HDDS</v>
      </c>
      <c r="F795" s="7" t="str">
        <f t="shared" si="98"/>
        <v>PROCESSING_SEQUENCE</v>
      </c>
      <c r="G795" s="7" t="s">
        <v>825</v>
      </c>
      <c r="H795" s="7" t="str">
        <f t="shared" si="99"/>
        <v>CLK_DETM_DETIS_HDDS</v>
      </c>
      <c r="I795" s="7" t="str">
        <f t="shared" si="100"/>
        <v>PROCESSING_SEQUENCE</v>
      </c>
      <c r="J795" s="7" t="str">
        <f t="shared" si="101"/>
        <v>SMALLINT</v>
      </c>
      <c r="K795" s="7" t="str">
        <f>TRIM(ETLMetadata!$G795)</f>
        <v>SMALLINT</v>
      </c>
      <c r="L795" s="7" t="str">
        <f>TRIM(ETLMetadata!$I795)</f>
        <v/>
      </c>
      <c r="M795" s="7" t="str">
        <f t="shared" si="102"/>
        <v>CAST(NULLIF(TRIM(PROCESSING_SEQUENCE),'') AS SMALLINT)</v>
      </c>
      <c r="N795" s="7" t="str">
        <f>TRIM(ETLMetadata!$J795)</f>
        <v>Y</v>
      </c>
      <c r="O795" s="8" t="str">
        <f>IF(TRIM(Classification!$G795)="","NOT CONFIDENTIAL",TRIM(Classification!$G795))</f>
        <v>NOT CONFIDENTIAL</v>
      </c>
      <c r="P795" s="7" t="str">
        <f t="shared" si="103"/>
        <v>Y</v>
      </c>
      <c r="Q795" s="7" t="s">
        <v>826</v>
      </c>
      <c r="R795" s="9">
        <v>2958465</v>
      </c>
      <c r="S795" s="7" t="s">
        <v>827</v>
      </c>
      <c r="T795" s="7" t="s">
        <v>828</v>
      </c>
      <c r="U795" s="7" t="str">
        <f t="shared" si="97"/>
        <v>CLK_DETM_DETIS_HDDS_V</v>
      </c>
      <c r="V795" s="7" t="s">
        <v>829</v>
      </c>
    </row>
    <row r="796" spans="1:22">
      <c r="A796" s="7" t="str">
        <f>TRIM(ETLMetadata!$B796)</f>
        <v>CLK</v>
      </c>
      <c r="B796" s="7" t="str">
        <f>TRIM(ETLMetadata!$C796)</f>
        <v>DETM_DETIS_HDDS</v>
      </c>
      <c r="C796" s="7" t="str">
        <f>TRIM(ETLMetadata!$F796)</f>
        <v>HDDS_AMR_1</v>
      </c>
      <c r="D796" s="7" t="str">
        <f>TRIM(ETLMetadata!$H796)</f>
        <v>StringType()</v>
      </c>
      <c r="E796" s="7" t="str">
        <f t="shared" si="96"/>
        <v>CLK_DETM_DETIS_HDDS</v>
      </c>
      <c r="F796" s="7" t="str">
        <f t="shared" si="98"/>
        <v>HDDS_AMR_1</v>
      </c>
      <c r="G796" s="7" t="s">
        <v>825</v>
      </c>
      <c r="H796" s="7" t="str">
        <f t="shared" si="99"/>
        <v>CLK_DETM_DETIS_HDDS</v>
      </c>
      <c r="I796" s="7" t="str">
        <f t="shared" si="100"/>
        <v>HDDS_AMR_1</v>
      </c>
      <c r="J796" s="7" t="str">
        <f t="shared" si="101"/>
        <v>VARCHAR</v>
      </c>
      <c r="K796" s="7" t="str">
        <f>TRIM(ETLMetadata!$G796)</f>
        <v>CHAR(4)</v>
      </c>
      <c r="L796" s="7" t="str">
        <f>TRIM(ETLMetadata!$I796)</f>
        <v/>
      </c>
      <c r="M796" s="7" t="str">
        <f t="shared" si="102"/>
        <v>NULLIF(TRIM(HDDS_AMR_1),'')</v>
      </c>
      <c r="N796" s="7" t="str">
        <f>TRIM(ETLMetadata!$J796)</f>
        <v/>
      </c>
      <c r="O796" s="8" t="str">
        <f>IF(TRIM(Classification!$G796)="","NOT CONFIDENTIAL",TRIM(Classification!$G796))</f>
        <v>NOT CONFIDENTIAL</v>
      </c>
      <c r="P796" s="7" t="str">
        <f t="shared" si="103"/>
        <v>Y</v>
      </c>
      <c r="Q796" s="7" t="s">
        <v>826</v>
      </c>
      <c r="R796" s="9">
        <v>2958465</v>
      </c>
      <c r="S796" s="7" t="s">
        <v>827</v>
      </c>
      <c r="T796" s="7" t="s">
        <v>828</v>
      </c>
      <c r="U796" s="7" t="str">
        <f t="shared" si="97"/>
        <v>CLK_DETM_DETIS_HDDS_V</v>
      </c>
      <c r="V796" s="7" t="s">
        <v>829</v>
      </c>
    </row>
    <row r="797" spans="1:22">
      <c r="A797" s="7" t="str">
        <f>TRIM(ETLMetadata!$B797)</f>
        <v>CLK</v>
      </c>
      <c r="B797" s="7" t="str">
        <f>TRIM(ETLMetadata!$C797)</f>
        <v>DETM_DETIS_HDDS</v>
      </c>
      <c r="C797" s="7" t="str">
        <f>TRIM(ETLMetadata!$F797)</f>
        <v>HDDS_AMR_2</v>
      </c>
      <c r="D797" s="7" t="str">
        <f>TRIM(ETLMetadata!$H797)</f>
        <v>StringType()</v>
      </c>
      <c r="E797" s="7" t="str">
        <f t="shared" si="96"/>
        <v>CLK_DETM_DETIS_HDDS</v>
      </c>
      <c r="F797" s="7" t="str">
        <f t="shared" si="98"/>
        <v>HDDS_AMR_2</v>
      </c>
      <c r="G797" s="7" t="s">
        <v>825</v>
      </c>
      <c r="H797" s="7" t="str">
        <f t="shared" si="99"/>
        <v>CLK_DETM_DETIS_HDDS</v>
      </c>
      <c r="I797" s="7" t="str">
        <f t="shared" si="100"/>
        <v>HDDS_AMR_2</v>
      </c>
      <c r="J797" s="7" t="str">
        <f t="shared" si="101"/>
        <v>VARCHAR</v>
      </c>
      <c r="K797" s="7" t="str">
        <f>TRIM(ETLMetadata!$G797)</f>
        <v>CHAR(1)</v>
      </c>
      <c r="L797" s="7" t="str">
        <f>TRIM(ETLMetadata!$I797)</f>
        <v/>
      </c>
      <c r="M797" s="7" t="str">
        <f t="shared" si="102"/>
        <v>NULLIF(TRIM(HDDS_AMR_2),'')</v>
      </c>
      <c r="N797" s="7" t="str">
        <f>TRIM(ETLMetadata!$J797)</f>
        <v/>
      </c>
      <c r="O797" s="8" t="str">
        <f>IF(TRIM(Classification!$G797)="","NOT CONFIDENTIAL",TRIM(Classification!$G797))</f>
        <v>NOT CONFIDENTIAL</v>
      </c>
      <c r="P797" s="7" t="str">
        <f t="shared" si="103"/>
        <v>Y</v>
      </c>
      <c r="Q797" s="7" t="s">
        <v>826</v>
      </c>
      <c r="R797" s="9">
        <v>2958465</v>
      </c>
      <c r="S797" s="7" t="s">
        <v>827</v>
      </c>
      <c r="T797" s="7" t="s">
        <v>828</v>
      </c>
      <c r="U797" s="7" t="str">
        <f t="shared" si="97"/>
        <v>CLK_DETM_DETIS_HDDS_V</v>
      </c>
      <c r="V797" s="7" t="s">
        <v>829</v>
      </c>
    </row>
    <row r="798" spans="1:22">
      <c r="A798" s="7" t="str">
        <f>TRIM(ETLMetadata!$B798)</f>
        <v>CLK</v>
      </c>
      <c r="B798" s="7" t="str">
        <f>TRIM(ETLMetadata!$C798)</f>
        <v>DETM_DETIS_HDDS</v>
      </c>
      <c r="C798" s="7" t="str">
        <f>TRIM(ETLMetadata!$F798)</f>
        <v>HDDS_AMR_3</v>
      </c>
      <c r="D798" s="7" t="str">
        <f>TRIM(ETLMetadata!$H798)</f>
        <v>StringType()</v>
      </c>
      <c r="E798" s="7" t="str">
        <f t="shared" si="96"/>
        <v>CLK_DETM_DETIS_HDDS</v>
      </c>
      <c r="F798" s="7" t="str">
        <f t="shared" si="98"/>
        <v>HDDS_AMR_3</v>
      </c>
      <c r="G798" s="7" t="s">
        <v>825</v>
      </c>
      <c r="H798" s="7" t="str">
        <f t="shared" si="99"/>
        <v>CLK_DETM_DETIS_HDDS</v>
      </c>
      <c r="I798" s="7" t="str">
        <f t="shared" si="100"/>
        <v>HDDS_AMR_3</v>
      </c>
      <c r="J798" s="7" t="str">
        <f t="shared" si="101"/>
        <v>VARCHAR</v>
      </c>
      <c r="K798" s="7" t="str">
        <f>TRIM(ETLMetadata!$G798)</f>
        <v>CHAR(4)</v>
      </c>
      <c r="L798" s="7" t="str">
        <f>TRIM(ETLMetadata!$I798)</f>
        <v/>
      </c>
      <c r="M798" s="7" t="str">
        <f t="shared" si="102"/>
        <v>NULLIF(TRIM(HDDS_AMR_3),'')</v>
      </c>
      <c r="N798" s="7" t="str">
        <f>TRIM(ETLMetadata!$J798)</f>
        <v/>
      </c>
      <c r="O798" s="8" t="str">
        <f>IF(TRIM(Classification!$G798)="","NOT CONFIDENTIAL",TRIM(Classification!$G798))</f>
        <v>NOT CONFIDENTIAL</v>
      </c>
      <c r="P798" s="7" t="str">
        <f t="shared" si="103"/>
        <v>Y</v>
      </c>
      <c r="Q798" s="7" t="s">
        <v>826</v>
      </c>
      <c r="R798" s="9">
        <v>2958465</v>
      </c>
      <c r="S798" s="7" t="s">
        <v>827</v>
      </c>
      <c r="T798" s="7" t="s">
        <v>828</v>
      </c>
      <c r="U798" s="7" t="str">
        <f t="shared" si="97"/>
        <v>CLK_DETM_DETIS_HDDS_V</v>
      </c>
      <c r="V798" s="7" t="s">
        <v>829</v>
      </c>
    </row>
    <row r="799" spans="1:22">
      <c r="A799" s="7" t="str">
        <f>TRIM(ETLMetadata!$B799)</f>
        <v>CLK</v>
      </c>
      <c r="B799" s="7" t="str">
        <f>TRIM(ETLMetadata!$C799)</f>
        <v>DETM_DETIS_HDDS</v>
      </c>
      <c r="C799" s="7" t="str">
        <f>TRIM(ETLMetadata!$F799)</f>
        <v>HDDS_BEN_TYPE_CODE</v>
      </c>
      <c r="D799" s="7" t="str">
        <f>TRIM(ETLMetadata!$H799)</f>
        <v>StringType()</v>
      </c>
      <c r="E799" s="7" t="str">
        <f t="shared" ref="E799:E862" si="104">CONCATENATE($A799,"_",B799)</f>
        <v>CLK_DETM_DETIS_HDDS</v>
      </c>
      <c r="F799" s="7" t="str">
        <f t="shared" si="98"/>
        <v>HDDS_BEN_TYPE_CODE</v>
      </c>
      <c r="G799" s="7" t="s">
        <v>825</v>
      </c>
      <c r="H799" s="7" t="str">
        <f t="shared" si="99"/>
        <v>CLK_DETM_DETIS_HDDS</v>
      </c>
      <c r="I799" s="7" t="str">
        <f t="shared" si="100"/>
        <v>HDDS_BEN_TYPE_CODE</v>
      </c>
      <c r="J799" s="7" t="str">
        <f t="shared" si="101"/>
        <v>VARCHAR</v>
      </c>
      <c r="K799" s="7" t="str">
        <f>TRIM(ETLMetadata!$G799)</f>
        <v>CHAR(3)</v>
      </c>
      <c r="L799" s="7" t="str">
        <f>TRIM(ETLMetadata!$I799)</f>
        <v/>
      </c>
      <c r="M799" s="7" t="str">
        <f t="shared" si="102"/>
        <v>NULLIF(TRIM(HDDS_BEN_TYPE_CODE),'')</v>
      </c>
      <c r="N799" s="7" t="str">
        <f>TRIM(ETLMetadata!$J799)</f>
        <v/>
      </c>
      <c r="O799" s="8" t="str">
        <f>IF(TRIM(Classification!$G799)="","NOT CONFIDENTIAL",TRIM(Classification!$G799))</f>
        <v>NOT CONFIDENTIAL</v>
      </c>
      <c r="P799" s="7" t="str">
        <f t="shared" si="103"/>
        <v>Y</v>
      </c>
      <c r="Q799" s="7" t="s">
        <v>826</v>
      </c>
      <c r="R799" s="9">
        <v>2958465</v>
      </c>
      <c r="S799" s="7" t="s">
        <v>827</v>
      </c>
      <c r="T799" s="7" t="s">
        <v>828</v>
      </c>
      <c r="U799" s="7" t="str">
        <f t="shared" ref="U799:U862" si="105">CONCATENATE(A799,"_",B799,"_V")</f>
        <v>CLK_DETM_DETIS_HDDS_V</v>
      </c>
      <c r="V799" s="7" t="s">
        <v>829</v>
      </c>
    </row>
    <row r="800" spans="1:22">
      <c r="A800" s="7" t="str">
        <f>TRIM(ETLMetadata!$B800)</f>
        <v>CLK</v>
      </c>
      <c r="B800" s="7" t="str">
        <f>TRIM(ETLMetadata!$C800)</f>
        <v>DETM_DETIS_HDDS</v>
      </c>
      <c r="C800" s="7" t="str">
        <f>TRIM(ETLMetadata!$F800)</f>
        <v>HDDS_RSN_CODE</v>
      </c>
      <c r="D800" s="7" t="str">
        <f>TRIM(ETLMetadata!$H800)</f>
        <v>StringType()</v>
      </c>
      <c r="E800" s="7" t="str">
        <f t="shared" si="104"/>
        <v>CLK_DETM_DETIS_HDDS</v>
      </c>
      <c r="F800" s="7" t="str">
        <f t="shared" si="98"/>
        <v>HDDS_RSN_CODE</v>
      </c>
      <c r="G800" s="7" t="s">
        <v>825</v>
      </c>
      <c r="H800" s="7" t="str">
        <f t="shared" si="99"/>
        <v>CLK_DETM_DETIS_HDDS</v>
      </c>
      <c r="I800" s="7" t="str">
        <f t="shared" si="100"/>
        <v>HDDS_RSN_CODE</v>
      </c>
      <c r="J800" s="7" t="str">
        <f t="shared" si="101"/>
        <v>VARCHAR</v>
      </c>
      <c r="K800" s="7" t="str">
        <f>TRIM(ETLMetadata!$G800)</f>
        <v>CHAR(3)</v>
      </c>
      <c r="L800" s="7" t="str">
        <f>TRIM(ETLMetadata!$I800)</f>
        <v/>
      </c>
      <c r="M800" s="7" t="str">
        <f t="shared" si="102"/>
        <v>NULLIF(TRIM(HDDS_RSN_CODE),'')</v>
      </c>
      <c r="N800" s="7" t="str">
        <f>TRIM(ETLMetadata!$J800)</f>
        <v/>
      </c>
      <c r="O800" s="8" t="str">
        <f>IF(TRIM(Classification!$G800)="","NOT CONFIDENTIAL",TRIM(Classification!$G800))</f>
        <v>NOT CONFIDENTIAL</v>
      </c>
      <c r="P800" s="7" t="str">
        <f t="shared" si="103"/>
        <v>Y</v>
      </c>
      <c r="Q800" s="7" t="s">
        <v>826</v>
      </c>
      <c r="R800" s="9">
        <v>2958465</v>
      </c>
      <c r="S800" s="7" t="s">
        <v>827</v>
      </c>
      <c r="T800" s="7" t="s">
        <v>828</v>
      </c>
      <c r="U800" s="7" t="str">
        <f t="shared" si="105"/>
        <v>CLK_DETM_DETIS_HDDS_V</v>
      </c>
      <c r="V800" s="7" t="s">
        <v>829</v>
      </c>
    </row>
    <row r="801" spans="1:22">
      <c r="A801" s="7" t="str">
        <f>TRIM(ETLMetadata!$B801)</f>
        <v>CLK</v>
      </c>
      <c r="B801" s="7" t="str">
        <f>TRIM(ETLMetadata!$C801)</f>
        <v>DETM_DETIS_HDDS</v>
      </c>
      <c r="C801" s="7" t="str">
        <f>TRIM(ETLMetadata!$F801)</f>
        <v>HDDS_LMT_DATE</v>
      </c>
      <c r="D801" s="7" t="str">
        <f>TRIM(ETLMetadata!$H801)</f>
        <v>StringType()</v>
      </c>
      <c r="E801" s="7" t="str">
        <f t="shared" si="104"/>
        <v>CLK_DETM_DETIS_HDDS</v>
      </c>
      <c r="F801" s="7" t="str">
        <f t="shared" si="98"/>
        <v>HDDS_LMT_DATE</v>
      </c>
      <c r="G801" s="7" t="s">
        <v>825</v>
      </c>
      <c r="H801" s="7" t="str">
        <f t="shared" si="99"/>
        <v>CLK_DETM_DETIS_HDDS</v>
      </c>
      <c r="I801" s="7" t="str">
        <f t="shared" si="100"/>
        <v>HDDS_LMT_DATE</v>
      </c>
      <c r="J801" s="7" t="str">
        <f t="shared" si="101"/>
        <v>DATE</v>
      </c>
      <c r="K801" s="17" t="s">
        <v>80</v>
      </c>
      <c r="L801" s="7" t="str">
        <f>TRIM(ETLMetadata!$I801)</f>
        <v>YYYY-MM-DD</v>
      </c>
      <c r="M801" s="7" t="str">
        <f t="shared" si="102"/>
        <v>TO_DATE(NULLIF(TRIM(HDDS_LMT_DATE),'') , 'YYYY-MM-DD')</v>
      </c>
      <c r="N801" s="7" t="str">
        <f>TRIM(ETLMetadata!$J801)</f>
        <v/>
      </c>
      <c r="O801" s="8" t="str">
        <f>IF(TRIM(Classification!$G801)="","NOT CONFIDENTIAL",TRIM(Classification!$G801))</f>
        <v>NOT CONFIDENTIAL</v>
      </c>
      <c r="P801" s="7" t="str">
        <f t="shared" si="103"/>
        <v>Y</v>
      </c>
      <c r="Q801" s="7" t="s">
        <v>826</v>
      </c>
      <c r="R801" s="9">
        <v>2958465</v>
      </c>
      <c r="S801" s="7" t="s">
        <v>827</v>
      </c>
      <c r="T801" s="7" t="s">
        <v>828</v>
      </c>
      <c r="U801" s="7" t="str">
        <f t="shared" si="105"/>
        <v>CLK_DETM_DETIS_HDDS_V</v>
      </c>
      <c r="V801" s="7" t="s">
        <v>829</v>
      </c>
    </row>
    <row r="802" spans="1:22">
      <c r="A802" s="7" t="str">
        <f>TRIM(ETLMetadata!$B802)</f>
        <v>CLK</v>
      </c>
      <c r="B802" s="7" t="str">
        <f>TRIM(ETLMetadata!$C802)</f>
        <v>DETM_DETIS_HDDS</v>
      </c>
      <c r="C802" s="7" t="str">
        <f>TRIM(ETLMetadata!$F802)</f>
        <v>HDDS_LMT_DATE_ORIG</v>
      </c>
      <c r="D802" s="7" t="str">
        <f>TRIM(ETLMetadata!$H802)</f>
        <v>StringType()</v>
      </c>
      <c r="E802" s="7" t="str">
        <f t="shared" si="104"/>
        <v>CLK_DETM_DETIS_HDDS</v>
      </c>
      <c r="F802" s="7" t="str">
        <f t="shared" si="98"/>
        <v>HDDS_LMT_DATE_ORIG</v>
      </c>
      <c r="G802" s="7" t="s">
        <v>825</v>
      </c>
      <c r="H802" s="7" t="str">
        <f t="shared" si="99"/>
        <v>CLK_DETM_DETIS_HDDS</v>
      </c>
      <c r="I802" s="7" t="str">
        <f t="shared" si="100"/>
        <v>HDDS_LMT_DATE_ORIG</v>
      </c>
      <c r="J802" s="7" t="str">
        <f t="shared" si="101"/>
        <v>INTEGER</v>
      </c>
      <c r="K802" s="17" t="s">
        <v>90</v>
      </c>
      <c r="L802" s="7" t="str">
        <f>TRIM(ETLMetadata!$I802)</f>
        <v/>
      </c>
      <c r="M802" s="7" t="str">
        <f t="shared" si="102"/>
        <v>CAST(NULLIF(TRIM(HDDS_LMT_DATE_ORIG),'') AS INTEGER)</v>
      </c>
      <c r="N802" s="7" t="str">
        <f>TRIM(ETLMetadata!$J802)</f>
        <v/>
      </c>
      <c r="O802" s="8" t="str">
        <f>IF(TRIM(Classification!$G802)="","NOT CONFIDENTIAL",TRIM(Classification!$G802))</f>
        <v>NOT CONFIDENTIAL</v>
      </c>
      <c r="P802" s="7" t="str">
        <f t="shared" si="103"/>
        <v>Y</v>
      </c>
      <c r="Q802" s="7" t="s">
        <v>826</v>
      </c>
      <c r="R802" s="9">
        <v>2958465</v>
      </c>
      <c r="S802" s="7" t="s">
        <v>827</v>
      </c>
      <c r="T802" s="7" t="s">
        <v>828</v>
      </c>
      <c r="U802" s="7" t="str">
        <f t="shared" si="105"/>
        <v>CLK_DETM_DETIS_HDDS_V</v>
      </c>
      <c r="V802" s="7" t="s">
        <v>829</v>
      </c>
    </row>
    <row r="803" spans="1:22">
      <c r="A803" s="7" t="str">
        <f>TRIM(ETLMetadata!$B803)</f>
        <v>CLK</v>
      </c>
      <c r="B803" s="7" t="str">
        <f>TRIM(ETLMetadata!$C803)</f>
        <v>DETM_DETIS_HDDS</v>
      </c>
      <c r="C803" s="7" t="str">
        <f>TRIM(ETLMetadata!$F803)</f>
        <v>HDDS_STS_CODE</v>
      </c>
      <c r="D803" s="7" t="str">
        <f>TRIM(ETLMetadata!$H803)</f>
        <v>StringType()</v>
      </c>
      <c r="E803" s="7" t="str">
        <f t="shared" si="104"/>
        <v>CLK_DETM_DETIS_HDDS</v>
      </c>
      <c r="F803" s="7" t="str">
        <f t="shared" si="98"/>
        <v>HDDS_STS_CODE</v>
      </c>
      <c r="G803" s="7" t="s">
        <v>825</v>
      </c>
      <c r="H803" s="7" t="str">
        <f t="shared" si="99"/>
        <v>CLK_DETM_DETIS_HDDS</v>
      </c>
      <c r="I803" s="7" t="str">
        <f t="shared" si="100"/>
        <v>HDDS_STS_CODE</v>
      </c>
      <c r="J803" s="7" t="str">
        <f t="shared" si="101"/>
        <v>VARCHAR</v>
      </c>
      <c r="K803" s="7" t="str">
        <f>TRIM(ETLMetadata!$G803)</f>
        <v>CHAR(3)</v>
      </c>
      <c r="L803" s="7" t="str">
        <f>TRIM(ETLMetadata!$I803)</f>
        <v/>
      </c>
      <c r="M803" s="7" t="str">
        <f t="shared" si="102"/>
        <v>NULLIF(TRIM(HDDS_STS_CODE),'')</v>
      </c>
      <c r="N803" s="7" t="str">
        <f>TRIM(ETLMetadata!$J803)</f>
        <v/>
      </c>
      <c r="O803" s="8" t="str">
        <f>IF(TRIM(Classification!$G803)="","NOT CONFIDENTIAL",TRIM(Classification!$G803))</f>
        <v>NOT CONFIDENTIAL</v>
      </c>
      <c r="P803" s="7" t="str">
        <f t="shared" si="103"/>
        <v>Y</v>
      </c>
      <c r="Q803" s="7" t="s">
        <v>826</v>
      </c>
      <c r="R803" s="9">
        <v>2958465</v>
      </c>
      <c r="S803" s="7" t="s">
        <v>827</v>
      </c>
      <c r="T803" s="7" t="s">
        <v>828</v>
      </c>
      <c r="U803" s="7" t="str">
        <f t="shared" si="105"/>
        <v>CLK_DETM_DETIS_HDDS_V</v>
      </c>
      <c r="V803" s="7" t="s">
        <v>829</v>
      </c>
    </row>
    <row r="804" spans="1:22">
      <c r="A804" s="7" t="str">
        <f>TRIM(ETLMetadata!$B804)</f>
        <v>CLK</v>
      </c>
      <c r="B804" s="7" t="str">
        <f>TRIM(ETLMetadata!$C804)</f>
        <v>DETM_DETIS_HDDS</v>
      </c>
      <c r="C804" s="7" t="str">
        <f>TRIM(ETLMetadata!$F804)</f>
        <v>AMR1_RISL_DTS</v>
      </c>
      <c r="D804" s="7" t="str">
        <f>TRIM(ETLMetadata!$H804)</f>
        <v>StringType()</v>
      </c>
      <c r="E804" s="7" t="str">
        <f t="shared" si="104"/>
        <v>CLK_DETM_DETIS_HDDS</v>
      </c>
      <c r="F804" s="7" t="str">
        <f t="shared" si="98"/>
        <v>AMR1_RISL_DTS</v>
      </c>
      <c r="G804" s="7" t="s">
        <v>825</v>
      </c>
      <c r="H804" s="7" t="str">
        <f t="shared" si="99"/>
        <v>CLK_DETM_DETIS_HDDS</v>
      </c>
      <c r="I804" s="7" t="str">
        <f t="shared" si="100"/>
        <v>AMR1_RISL_DTS</v>
      </c>
      <c r="J804" s="7" t="str">
        <f t="shared" si="101"/>
        <v>TIMESTAMP</v>
      </c>
      <c r="K804" s="7" t="str">
        <f>TRIM(ETLMetadata!$G804)</f>
        <v>TIMESTAMP(6)</v>
      </c>
      <c r="L804" s="7" t="str">
        <f>TRIM(ETLMetadata!$I804)</f>
        <v>YYYY-MM-DDBHH:MI:SS.S(6)</v>
      </c>
      <c r="M804" s="7" t="str">
        <f t="shared" si="102"/>
        <v>TO_TIMESTAMP_NTZ(NULLIF(TRIM(AMR1_RISL_DTS),''),'YYYY-MM-DD HH24:MI:SS.FF6')</v>
      </c>
      <c r="N804" s="7" t="str">
        <f>TRIM(ETLMetadata!$J804)</f>
        <v/>
      </c>
      <c r="O804" s="8" t="str">
        <f>IF(TRIM(Classification!$G804)="","NOT CONFIDENTIAL",TRIM(Classification!$G804))</f>
        <v>NOT CONFIDENTIAL</v>
      </c>
      <c r="P804" s="7" t="str">
        <f t="shared" si="103"/>
        <v>Y</v>
      </c>
      <c r="Q804" s="7" t="s">
        <v>826</v>
      </c>
      <c r="R804" s="9">
        <v>2958465</v>
      </c>
      <c r="S804" s="7" t="s">
        <v>827</v>
      </c>
      <c r="T804" s="7" t="s">
        <v>828</v>
      </c>
      <c r="U804" s="7" t="str">
        <f t="shared" si="105"/>
        <v>CLK_DETM_DETIS_HDDS_V</v>
      </c>
      <c r="V804" s="7" t="s">
        <v>829</v>
      </c>
    </row>
    <row r="805" spans="1:22">
      <c r="A805" s="7" t="str">
        <f>TRIM(ETLMetadata!$B805)</f>
        <v>CLK</v>
      </c>
      <c r="B805" s="7" t="str">
        <f>TRIM(ETLMetadata!$C805)</f>
        <v>DETM_DETIS_HDDS</v>
      </c>
      <c r="C805" s="7" t="str">
        <f>TRIM(ETLMetadata!$F805)</f>
        <v>AMR3_RISL_DTS</v>
      </c>
      <c r="D805" s="7" t="str">
        <f>TRIM(ETLMetadata!$H805)</f>
        <v>StringType()</v>
      </c>
      <c r="E805" s="7" t="str">
        <f t="shared" si="104"/>
        <v>CLK_DETM_DETIS_HDDS</v>
      </c>
      <c r="F805" s="7" t="str">
        <f t="shared" si="98"/>
        <v>AMR3_RISL_DTS</v>
      </c>
      <c r="G805" s="7" t="s">
        <v>825</v>
      </c>
      <c r="H805" s="7" t="str">
        <f t="shared" si="99"/>
        <v>CLK_DETM_DETIS_HDDS</v>
      </c>
      <c r="I805" s="7" t="str">
        <f t="shared" si="100"/>
        <v>AMR3_RISL_DTS</v>
      </c>
      <c r="J805" s="7" t="str">
        <f t="shared" si="101"/>
        <v>TIMESTAMP</v>
      </c>
      <c r="K805" s="7" t="str">
        <f>TRIM(ETLMetadata!$G805)</f>
        <v>TIMESTAMP(6)</v>
      </c>
      <c r="L805" s="7" t="str">
        <f>TRIM(ETLMetadata!$I805)</f>
        <v>YYYY-MM-DDBHH:MI:SS.S(6)</v>
      </c>
      <c r="M805" s="7" t="str">
        <f t="shared" si="102"/>
        <v>TO_TIMESTAMP_NTZ(NULLIF(TRIM(AMR3_RISL_DTS),''),'YYYY-MM-DD HH24:MI:SS.FF6')</v>
      </c>
      <c r="N805" s="7" t="str">
        <f>TRIM(ETLMetadata!$J805)</f>
        <v/>
      </c>
      <c r="O805" s="8" t="str">
        <f>IF(TRIM(Classification!$G805)="","NOT CONFIDENTIAL",TRIM(Classification!$G805))</f>
        <v>NOT CONFIDENTIAL</v>
      </c>
      <c r="P805" s="7" t="str">
        <f t="shared" si="103"/>
        <v>Y</v>
      </c>
      <c r="Q805" s="7" t="s">
        <v>826</v>
      </c>
      <c r="R805" s="9">
        <v>2958465</v>
      </c>
      <c r="S805" s="7" t="s">
        <v>827</v>
      </c>
      <c r="T805" s="7" t="s">
        <v>828</v>
      </c>
      <c r="U805" s="7" t="str">
        <f t="shared" si="105"/>
        <v>CLK_DETM_DETIS_HDDS_V</v>
      </c>
      <c r="V805" s="7" t="s">
        <v>829</v>
      </c>
    </row>
    <row r="806" spans="1:22">
      <c r="A806" s="7" t="str">
        <f>TRIM(ETLMetadata!$B806)</f>
        <v>CLK</v>
      </c>
      <c r="B806" s="7" t="str">
        <f>TRIM(ETLMetadata!$C806)</f>
        <v>DETM_DETIS_HDDS</v>
      </c>
      <c r="C806" s="7" t="str">
        <f>TRIM(ETLMetadata!$F806)</f>
        <v>PARTY_ROLE_ID</v>
      </c>
      <c r="D806" s="7" t="str">
        <f>TRIM(ETLMetadata!$H806)</f>
        <v>StringType()</v>
      </c>
      <c r="E806" s="7" t="str">
        <f t="shared" si="104"/>
        <v>CLK_DETM_DETIS_HDDS</v>
      </c>
      <c r="F806" s="7" t="str">
        <f t="shared" si="98"/>
        <v>PARTY_ROLE_ID</v>
      </c>
      <c r="G806" s="7" t="s">
        <v>825</v>
      </c>
      <c r="H806" s="7" t="str">
        <f t="shared" si="99"/>
        <v>CLK_DETM_DETIS_HDDS</v>
      </c>
      <c r="I806" s="7" t="str">
        <f t="shared" si="100"/>
        <v>PARTY_ROLE_ID</v>
      </c>
      <c r="J806" s="7" t="str">
        <f t="shared" si="101"/>
        <v>INTEGER</v>
      </c>
      <c r="K806" s="7" t="str">
        <f>TRIM(ETLMetadata!$G806)</f>
        <v>INTEGER</v>
      </c>
      <c r="L806" s="7" t="str">
        <f>TRIM(ETLMetadata!$I806)</f>
        <v/>
      </c>
      <c r="M806" s="7" t="str">
        <f t="shared" si="102"/>
        <v>CAST(NULLIF(TRIM(PARTY_ROLE_ID),'') AS INTEGER)</v>
      </c>
      <c r="N806" s="7" t="str">
        <f>TRIM(ETLMetadata!$J806)</f>
        <v/>
      </c>
      <c r="O806" s="8" t="str">
        <f>IF(TRIM(Classification!$G806)="","NOT CONFIDENTIAL",TRIM(Classification!$G806))</f>
        <v>NOT CONFIDENTIAL</v>
      </c>
      <c r="P806" s="7" t="str">
        <f t="shared" si="103"/>
        <v>Y</v>
      </c>
      <c r="Q806" s="7" t="s">
        <v>826</v>
      </c>
      <c r="R806" s="9">
        <v>2958465</v>
      </c>
      <c r="S806" s="7" t="s">
        <v>827</v>
      </c>
      <c r="T806" s="7" t="s">
        <v>828</v>
      </c>
      <c r="U806" s="7" t="str">
        <f t="shared" si="105"/>
        <v>CLK_DETM_DETIS_HDDS_V</v>
      </c>
      <c r="V806" s="7" t="s">
        <v>829</v>
      </c>
    </row>
    <row r="807" spans="1:22">
      <c r="A807" s="7" t="str">
        <f>TRIM(ETLMetadata!$B807)</f>
        <v>CLK</v>
      </c>
      <c r="B807" s="7" t="str">
        <f>TRIM(ETLMetadata!$C807)</f>
        <v>DETM_DETIS_HDDS</v>
      </c>
      <c r="C807" s="7" t="str">
        <f>TRIM(ETLMetadata!$F807)</f>
        <v>EPISODE_ID</v>
      </c>
      <c r="D807" s="7" t="str">
        <f>TRIM(ETLMetadata!$H807)</f>
        <v>StringType()</v>
      </c>
      <c r="E807" s="7" t="str">
        <f t="shared" si="104"/>
        <v>CLK_DETM_DETIS_HDDS</v>
      </c>
      <c r="F807" s="7" t="str">
        <f t="shared" si="98"/>
        <v>EPISODE_ID</v>
      </c>
      <c r="G807" s="7" t="s">
        <v>825</v>
      </c>
      <c r="H807" s="7" t="str">
        <f t="shared" si="99"/>
        <v>CLK_DETM_DETIS_HDDS</v>
      </c>
      <c r="I807" s="7" t="str">
        <f t="shared" si="100"/>
        <v>EPISODE_ID</v>
      </c>
      <c r="J807" s="7" t="str">
        <f t="shared" si="101"/>
        <v>INTEGER</v>
      </c>
      <c r="K807" s="7" t="str">
        <f>TRIM(ETLMetadata!$G807)</f>
        <v>INTEGER</v>
      </c>
      <c r="L807" s="7" t="str">
        <f>TRIM(ETLMetadata!$I807)</f>
        <v/>
      </c>
      <c r="M807" s="7" t="str">
        <f t="shared" si="102"/>
        <v>CAST(NULLIF(TRIM(EPISODE_ID),'') AS INTEGER)</v>
      </c>
      <c r="N807" s="7" t="str">
        <f>TRIM(ETLMetadata!$J807)</f>
        <v/>
      </c>
      <c r="O807" s="8" t="str">
        <f>IF(TRIM(Classification!$G807)="","NOT CONFIDENTIAL",TRIM(Classification!$G807))</f>
        <v>NOT CONFIDENTIAL</v>
      </c>
      <c r="P807" s="7" t="str">
        <f t="shared" si="103"/>
        <v>Y</v>
      </c>
      <c r="Q807" s="7" t="s">
        <v>826</v>
      </c>
      <c r="R807" s="9">
        <v>2958465</v>
      </c>
      <c r="S807" s="7" t="s">
        <v>827</v>
      </c>
      <c r="T807" s="7" t="s">
        <v>828</v>
      </c>
      <c r="U807" s="7" t="str">
        <f t="shared" si="105"/>
        <v>CLK_DETM_DETIS_HDDS_V</v>
      </c>
      <c r="V807" s="7" t="s">
        <v>829</v>
      </c>
    </row>
    <row r="808" spans="1:22">
      <c r="A808" s="7" t="str">
        <f>TRIM(ETLMetadata!$B808)</f>
        <v>CLK</v>
      </c>
      <c r="B808" s="7" t="str">
        <f>TRIM(ETLMetadata!$C808)</f>
        <v>DETM_DETIS_HDDS</v>
      </c>
      <c r="C808" s="7" t="str">
        <f>TRIM(ETLMetadata!$F808)</f>
        <v>PAYMENT_TYPE_ID</v>
      </c>
      <c r="D808" s="7" t="str">
        <f>TRIM(ETLMetadata!$H808)</f>
        <v>StringType()</v>
      </c>
      <c r="E808" s="7" t="str">
        <f t="shared" si="104"/>
        <v>CLK_DETM_DETIS_HDDS</v>
      </c>
      <c r="F808" s="7" t="str">
        <f t="shared" si="98"/>
        <v>PAYMENT_TYPE_ID</v>
      </c>
      <c r="G808" s="7" t="s">
        <v>825</v>
      </c>
      <c r="H808" s="7" t="str">
        <f t="shared" si="99"/>
        <v>CLK_DETM_DETIS_HDDS</v>
      </c>
      <c r="I808" s="7" t="str">
        <f t="shared" si="100"/>
        <v>PAYMENT_TYPE_ID</v>
      </c>
      <c r="J808" s="7" t="str">
        <f t="shared" si="101"/>
        <v>INTEGER</v>
      </c>
      <c r="K808" s="7" t="str">
        <f>TRIM(ETLMetadata!$G808)</f>
        <v>INTEGER</v>
      </c>
      <c r="L808" s="7" t="str">
        <f>TRIM(ETLMetadata!$I808)</f>
        <v/>
      </c>
      <c r="M808" s="7" t="str">
        <f t="shared" si="102"/>
        <v>CAST(NULLIF(TRIM(PAYMENT_TYPE_ID),'') AS INTEGER)</v>
      </c>
      <c r="N808" s="7" t="str">
        <f>TRIM(ETLMetadata!$J808)</f>
        <v/>
      </c>
      <c r="O808" s="8" t="str">
        <f>IF(TRIM(Classification!$G808)="","NOT CONFIDENTIAL",TRIM(Classification!$G808))</f>
        <v>NOT CONFIDENTIAL</v>
      </c>
      <c r="P808" s="7" t="str">
        <f t="shared" si="103"/>
        <v>Y</v>
      </c>
      <c r="Q808" s="7" t="s">
        <v>826</v>
      </c>
      <c r="R808" s="9">
        <v>2958465</v>
      </c>
      <c r="S808" s="7" t="s">
        <v>827</v>
      </c>
      <c r="T808" s="7" t="s">
        <v>828</v>
      </c>
      <c r="U808" s="7" t="str">
        <f t="shared" si="105"/>
        <v>CLK_DETM_DETIS_HDDS_V</v>
      </c>
      <c r="V808" s="7" t="s">
        <v>829</v>
      </c>
    </row>
    <row r="809" spans="1:22">
      <c r="A809" s="7" t="str">
        <f>TRIM(ETLMetadata!$B809)</f>
        <v>CLK</v>
      </c>
      <c r="B809" s="7" t="str">
        <f>TRIM(ETLMetadata!$C809)</f>
        <v>DETM_DETIS_HDDS</v>
      </c>
      <c r="C809" s="7" t="str">
        <f>TRIM(ETLMetadata!$F809)</f>
        <v>ERROR_COUNT</v>
      </c>
      <c r="D809" s="7" t="str">
        <f>TRIM(ETLMetadata!$H809)</f>
        <v>StringType()</v>
      </c>
      <c r="E809" s="7" t="str">
        <f t="shared" si="104"/>
        <v>CLK_DETM_DETIS_HDDS</v>
      </c>
      <c r="F809" s="7" t="str">
        <f t="shared" si="98"/>
        <v>ERROR_COUNT</v>
      </c>
      <c r="G809" s="7" t="s">
        <v>825</v>
      </c>
      <c r="H809" s="7" t="str">
        <f t="shared" si="99"/>
        <v>CLK_DETM_DETIS_HDDS</v>
      </c>
      <c r="I809" s="7" t="str">
        <f t="shared" si="100"/>
        <v>ERROR_COUNT</v>
      </c>
      <c r="J809" s="7" t="str">
        <f t="shared" si="101"/>
        <v>SMALLINT</v>
      </c>
      <c r="K809" s="7" t="str">
        <f>TRIM(ETLMetadata!$G809)</f>
        <v>SMALLINT</v>
      </c>
      <c r="L809" s="7" t="str">
        <f>TRIM(ETLMetadata!$I809)</f>
        <v/>
      </c>
      <c r="M809" s="7" t="str">
        <f t="shared" si="102"/>
        <v>CAST(NULLIF(TRIM(ERROR_COUNT),'') AS SMALLINT)</v>
      </c>
      <c r="N809" s="7" t="str">
        <f>TRIM(ETLMetadata!$J809)</f>
        <v/>
      </c>
      <c r="O809" s="8" t="str">
        <f>IF(TRIM(Classification!$G809)="","NOT CONFIDENTIAL",TRIM(Classification!$G809))</f>
        <v>NOT CONFIDENTIAL</v>
      </c>
      <c r="P809" s="7" t="str">
        <f t="shared" si="103"/>
        <v>Y</v>
      </c>
      <c r="Q809" s="7" t="s">
        <v>826</v>
      </c>
      <c r="R809" s="9">
        <v>2958465</v>
      </c>
      <c r="S809" s="7" t="s">
        <v>827</v>
      </c>
      <c r="T809" s="7" t="s">
        <v>828</v>
      </c>
      <c r="U809" s="7" t="str">
        <f t="shared" si="105"/>
        <v>CLK_DETM_DETIS_HDDS_V</v>
      </c>
      <c r="V809" s="7" t="s">
        <v>829</v>
      </c>
    </row>
    <row r="810" spans="1:22">
      <c r="A810" s="7" t="str">
        <f>TRIM(ETLMetadata!$B810)</f>
        <v>CLK</v>
      </c>
      <c r="B810" s="7" t="str">
        <f>TRIM(ETLMetadata!$C810)</f>
        <v>DETM_DETIS_HDDS</v>
      </c>
      <c r="C810" s="7" t="str">
        <f>TRIM(ETLMetadata!$F810)</f>
        <v>Start_Date</v>
      </c>
      <c r="D810" s="7" t="str">
        <f>TRIM(ETLMetadata!$H810)</f>
        <v>StringType()</v>
      </c>
      <c r="E810" s="7" t="str">
        <f t="shared" si="104"/>
        <v>CLK_DETM_DETIS_HDDS</v>
      </c>
      <c r="F810" s="7" t="str">
        <f t="shared" si="98"/>
        <v>STRT_DT</v>
      </c>
      <c r="G810" s="7" t="s">
        <v>825</v>
      </c>
      <c r="H810" s="7" t="str">
        <f t="shared" si="99"/>
        <v>CLK_DETM_DETIS_HDDS</v>
      </c>
      <c r="I810" s="7" t="str">
        <f t="shared" si="100"/>
        <v>STRT_DT</v>
      </c>
      <c r="J810" s="7" t="str">
        <f t="shared" si="101"/>
        <v>DATE</v>
      </c>
      <c r="K810" s="7" t="str">
        <f>TRIM(ETLMetadata!$G810)</f>
        <v>DATE</v>
      </c>
      <c r="L810" s="7" t="str">
        <f>TRIM(ETLMetadata!$I810)</f>
        <v>YYYY-MM-DD</v>
      </c>
      <c r="M810" s="7" t="str">
        <f t="shared" si="102"/>
        <v>TO_DATE(NULLIF(TRIM(STRT_DT),'') , 'YYYY-MM-DD')</v>
      </c>
      <c r="N810" s="7" t="str">
        <f>TRIM(ETLMetadata!$J810)</f>
        <v/>
      </c>
      <c r="O810" s="8" t="str">
        <f>IF(TRIM(Classification!$G810)="","NOT CONFIDENTIAL",TRIM(Classification!$G810))</f>
        <v>NOT CONFIDENTIAL</v>
      </c>
      <c r="P810" s="7" t="str">
        <f t="shared" si="103"/>
        <v>N</v>
      </c>
      <c r="Q810" s="7" t="s">
        <v>826</v>
      </c>
      <c r="R810" s="9">
        <v>2958465</v>
      </c>
      <c r="S810" s="7" t="s">
        <v>827</v>
      </c>
      <c r="T810" s="7" t="s">
        <v>828</v>
      </c>
      <c r="U810" s="7" t="str">
        <f t="shared" si="105"/>
        <v>CLK_DETM_DETIS_HDDS_V</v>
      </c>
      <c r="V810" s="7" t="s">
        <v>829</v>
      </c>
    </row>
    <row r="811" spans="1:22">
      <c r="A811" s="7" t="str">
        <f>TRIM(ETLMetadata!$B811)</f>
        <v>CLK</v>
      </c>
      <c r="B811" s="7" t="str">
        <f>TRIM(ETLMetadata!$C811)</f>
        <v>DETM_DETIS_HDDS</v>
      </c>
      <c r="C811" s="7" t="str">
        <f>TRIM(ETLMetadata!$F811)</f>
        <v>End_Date</v>
      </c>
      <c r="D811" s="7" t="str">
        <f>TRIM(ETLMetadata!$H811)</f>
        <v>StringType()</v>
      </c>
      <c r="E811" s="7" t="str">
        <f t="shared" si="104"/>
        <v>CLK_DETM_DETIS_HDDS</v>
      </c>
      <c r="F811" s="7" t="str">
        <f t="shared" si="98"/>
        <v>END_DT</v>
      </c>
      <c r="G811" s="7" t="s">
        <v>825</v>
      </c>
      <c r="H811" s="7" t="str">
        <f t="shared" si="99"/>
        <v>CLK_DETM_DETIS_HDDS</v>
      </c>
      <c r="I811" s="7" t="str">
        <f t="shared" si="100"/>
        <v>END_DT</v>
      </c>
      <c r="J811" s="7" t="str">
        <f t="shared" si="101"/>
        <v>DATE</v>
      </c>
      <c r="K811" s="7" t="str">
        <f>TRIM(ETLMetadata!$G811)</f>
        <v>DATE</v>
      </c>
      <c r="L811" s="7" t="str">
        <f>TRIM(ETLMetadata!$I811)</f>
        <v>YYYY-MM-DD</v>
      </c>
      <c r="M811" s="7" t="str">
        <f t="shared" si="102"/>
        <v>TO_DATE(NULLIF(TRIM(END_DT),'') , 'YYYY-MM-DD')</v>
      </c>
      <c r="N811" s="7" t="str">
        <f>TRIM(ETLMetadata!$J811)</f>
        <v/>
      </c>
      <c r="O811" s="8" t="str">
        <f>IF(TRIM(Classification!$G811)="","NOT CONFIDENTIAL",TRIM(Classification!$G811))</f>
        <v>NOT CONFIDENTIAL</v>
      </c>
      <c r="P811" s="7" t="str">
        <f t="shared" si="103"/>
        <v>N</v>
      </c>
      <c r="Q811" s="7" t="s">
        <v>826</v>
      </c>
      <c r="R811" s="9">
        <v>2958465</v>
      </c>
      <c r="S811" s="7" t="s">
        <v>827</v>
      </c>
      <c r="T811" s="7" t="s">
        <v>828</v>
      </c>
      <c r="U811" s="7" t="str">
        <f t="shared" si="105"/>
        <v>CLK_DETM_DETIS_HDDS_V</v>
      </c>
      <c r="V811" s="7" t="s">
        <v>829</v>
      </c>
    </row>
    <row r="812" spans="1:22">
      <c r="A812" s="7" t="str">
        <f>TRIM(ETLMetadata!$B812)</f>
        <v>CLK</v>
      </c>
      <c r="B812" s="7" t="str">
        <f>TRIM(ETLMetadata!$C812)</f>
        <v>DETM_DETIS_HDDS</v>
      </c>
      <c r="C812" s="7" t="str">
        <f>TRIM(ETLMetadata!$F812)</f>
        <v>Record_Deleted_Flag</v>
      </c>
      <c r="D812" s="7" t="str">
        <f>TRIM(ETLMetadata!$H812)</f>
        <v>StringType()</v>
      </c>
      <c r="E812" s="7" t="str">
        <f t="shared" si="104"/>
        <v>CLK_DETM_DETIS_HDDS</v>
      </c>
      <c r="F812" s="7" t="str">
        <f t="shared" si="98"/>
        <v>RCRD_DEL_IND</v>
      </c>
      <c r="G812" s="7" t="s">
        <v>825</v>
      </c>
      <c r="H812" s="7" t="str">
        <f t="shared" si="99"/>
        <v>CLK_DETM_DETIS_HDDS</v>
      </c>
      <c r="I812" s="7" t="str">
        <f t="shared" si="100"/>
        <v>RCRD_DEL_IND</v>
      </c>
      <c r="J812" s="7" t="str">
        <f t="shared" si="101"/>
        <v>SMALLINT</v>
      </c>
      <c r="K812" s="7" t="str">
        <f>TRIM(ETLMetadata!$G812)</f>
        <v>BYTEINT</v>
      </c>
      <c r="L812" s="7" t="str">
        <f>TRIM(ETLMetadata!$I812)</f>
        <v/>
      </c>
      <c r="M812" s="7" t="str">
        <f t="shared" si="102"/>
        <v>CAST(NULLIF(TRIM(RCRD_DEL_IND),'') AS SMALLINT)</v>
      </c>
      <c r="N812" s="7" t="str">
        <f>TRIM(ETLMetadata!$J812)</f>
        <v/>
      </c>
      <c r="O812" s="8" t="str">
        <f>IF(TRIM(Classification!$G812)="","NOT CONFIDENTIAL",TRIM(Classification!$G812))</f>
        <v>NOT CONFIDENTIAL</v>
      </c>
      <c r="P812" s="7" t="str">
        <f t="shared" si="103"/>
        <v>N</v>
      </c>
      <c r="Q812" s="7" t="s">
        <v>826</v>
      </c>
      <c r="R812" s="9">
        <v>2958465</v>
      </c>
      <c r="S812" s="7" t="s">
        <v>827</v>
      </c>
      <c r="T812" s="7" t="s">
        <v>828</v>
      </c>
      <c r="U812" s="7" t="str">
        <f t="shared" si="105"/>
        <v>CLK_DETM_DETIS_HDDS_V</v>
      </c>
      <c r="V812" s="7" t="s">
        <v>829</v>
      </c>
    </row>
    <row r="813" spans="1:22">
      <c r="A813" s="7" t="str">
        <f>TRIM(ETLMetadata!$B813)</f>
        <v>CLK</v>
      </c>
      <c r="B813" s="7" t="str">
        <f>TRIM(ETLMetadata!$C813)</f>
        <v>DETM_DETIS_JCDS</v>
      </c>
      <c r="C813" s="7" t="str">
        <f>TRIM(ETLMetadata!$F813)</f>
        <v>EXTRACT_DATE</v>
      </c>
      <c r="D813" s="7" t="str">
        <f>TRIM(ETLMetadata!$H813)</f>
        <v>StringType()</v>
      </c>
      <c r="E813" s="7" t="str">
        <f t="shared" si="104"/>
        <v>CLK_DETM_DETIS_JCDS</v>
      </c>
      <c r="F813" s="7" t="str">
        <f t="shared" si="98"/>
        <v>EXTRACT_DATE</v>
      </c>
      <c r="G813" s="7" t="s">
        <v>825</v>
      </c>
      <c r="H813" s="7" t="str">
        <f t="shared" si="99"/>
        <v>CLK_DETM_DETIS_JCDS</v>
      </c>
      <c r="I813" s="7" t="str">
        <f t="shared" si="100"/>
        <v>EXTRACT_DATE</v>
      </c>
      <c r="J813" s="7" t="str">
        <f t="shared" si="101"/>
        <v>DATE</v>
      </c>
      <c r="K813" s="7" t="str">
        <f>TRIM(ETLMetadata!$G813)</f>
        <v>DATE</v>
      </c>
      <c r="L813" s="7" t="str">
        <f>TRIM(ETLMetadata!$I813)</f>
        <v>YYYY-MM-DD</v>
      </c>
      <c r="M813" s="7" t="str">
        <f t="shared" si="102"/>
        <v>TO_DATE(NULLIF(TRIM(EXTRACT_DATE),'') , 'YYYY-MM-DD')</v>
      </c>
      <c r="N813" s="7" t="str">
        <f>TRIM(ETLMetadata!$J813)</f>
        <v/>
      </c>
      <c r="O813" s="8" t="str">
        <f>IF(TRIM(Classification!$G813)="","NOT CONFIDENTIAL",TRIM(Classification!$G813))</f>
        <v>NOT CONFIDENTIAL</v>
      </c>
      <c r="P813" s="7" t="str">
        <f t="shared" si="103"/>
        <v>Y</v>
      </c>
      <c r="Q813" s="7" t="s">
        <v>826</v>
      </c>
      <c r="R813" s="9">
        <v>2958465</v>
      </c>
      <c r="S813" s="7" t="s">
        <v>827</v>
      </c>
      <c r="T813" s="7" t="s">
        <v>828</v>
      </c>
      <c r="U813" s="7" t="str">
        <f t="shared" si="105"/>
        <v>CLK_DETM_DETIS_JCDS_V</v>
      </c>
      <c r="V813" s="7" t="s">
        <v>829</v>
      </c>
    </row>
    <row r="814" spans="1:22">
      <c r="A814" s="7" t="str">
        <f>TRIM(ETLMetadata!$B814)</f>
        <v>CLK</v>
      </c>
      <c r="B814" s="7" t="str">
        <f>TRIM(ETLMetadata!$C814)</f>
        <v>DETM_DETIS_JCDS</v>
      </c>
      <c r="C814" s="7" t="str">
        <f>TRIM(ETLMetadata!$F814)</f>
        <v>LOGICAL_DELETE_DATE</v>
      </c>
      <c r="D814" s="7" t="str">
        <f>TRIM(ETLMetadata!$H814)</f>
        <v>StringType()</v>
      </c>
      <c r="E814" s="7" t="str">
        <f t="shared" si="104"/>
        <v>CLK_DETM_DETIS_JCDS</v>
      </c>
      <c r="F814" s="7" t="str">
        <f t="shared" si="98"/>
        <v>LOGICAL_DELETE_DATE</v>
      </c>
      <c r="G814" s="7" t="s">
        <v>825</v>
      </c>
      <c r="H814" s="7" t="str">
        <f t="shared" si="99"/>
        <v>CLK_DETM_DETIS_JCDS</v>
      </c>
      <c r="I814" s="7" t="str">
        <f t="shared" si="100"/>
        <v>LOGICAL_DELETE_DATE</v>
      </c>
      <c r="J814" s="7" t="str">
        <f t="shared" si="101"/>
        <v>DATE</v>
      </c>
      <c r="K814" s="7" t="str">
        <f>TRIM(ETLMetadata!$G814)</f>
        <v>DATE</v>
      </c>
      <c r="L814" s="7" t="str">
        <f>TRIM(ETLMetadata!$I814)</f>
        <v>YYYY-MM-DD</v>
      </c>
      <c r="M814" s="7" t="str">
        <f t="shared" si="102"/>
        <v>TO_DATE(NULLIF(TRIM(LOGICAL_DELETE_DATE),'') , 'YYYY-MM-DD')</v>
      </c>
      <c r="N814" s="7" t="str">
        <f>TRIM(ETLMetadata!$J814)</f>
        <v/>
      </c>
      <c r="O814" s="8" t="str">
        <f>IF(TRIM(Classification!$G814)="","NOT CONFIDENTIAL",TRIM(Classification!$G814))</f>
        <v>NOT CONFIDENTIAL</v>
      </c>
      <c r="P814" s="7" t="str">
        <f t="shared" si="103"/>
        <v>Y</v>
      </c>
      <c r="Q814" s="7" t="s">
        <v>826</v>
      </c>
      <c r="R814" s="9">
        <v>2958465</v>
      </c>
      <c r="S814" s="7" t="s">
        <v>827</v>
      </c>
      <c r="T814" s="7" t="s">
        <v>828</v>
      </c>
      <c r="U814" s="7" t="str">
        <f t="shared" si="105"/>
        <v>CLK_DETM_DETIS_JCDS_V</v>
      </c>
      <c r="V814" s="7" t="s">
        <v>829</v>
      </c>
    </row>
    <row r="815" spans="1:22">
      <c r="A815" s="7" t="str">
        <f>TRIM(ETLMetadata!$B815)</f>
        <v>CLK</v>
      </c>
      <c r="B815" s="7" t="str">
        <f>TRIM(ETLMetadata!$C815)</f>
        <v>DETM_DETIS_JCDS</v>
      </c>
      <c r="C815" s="7" t="str">
        <f>TRIM(ETLMetadata!$F815)</f>
        <v>ENVIRONMENT_ID</v>
      </c>
      <c r="D815" s="7" t="str">
        <f>TRIM(ETLMetadata!$H815)</f>
        <v>StringType()</v>
      </c>
      <c r="E815" s="7" t="str">
        <f t="shared" si="104"/>
        <v>CLK_DETM_DETIS_JCDS</v>
      </c>
      <c r="F815" s="7" t="str">
        <f t="shared" si="98"/>
        <v>ENVIRONMENT_ID</v>
      </c>
      <c r="G815" s="7" t="s">
        <v>825</v>
      </c>
      <c r="H815" s="7" t="str">
        <f t="shared" si="99"/>
        <v>CLK_DETM_DETIS_JCDS</v>
      </c>
      <c r="I815" s="7" t="str">
        <f t="shared" si="100"/>
        <v>ENVIRONMENT_ID</v>
      </c>
      <c r="J815" s="7" t="str">
        <f t="shared" si="101"/>
        <v>VARCHAR</v>
      </c>
      <c r="K815" s="7" t="str">
        <f>TRIM(ETLMetadata!$G815)</f>
        <v>CHAR(1)</v>
      </c>
      <c r="L815" s="7" t="str">
        <f>TRIM(ETLMetadata!$I815)</f>
        <v/>
      </c>
      <c r="M815" s="7" t="str">
        <f t="shared" si="102"/>
        <v>NULLIF(TRIM(ENVIRONMENT_ID),'')</v>
      </c>
      <c r="N815" s="7" t="str">
        <f>TRIM(ETLMetadata!$J815)</f>
        <v>Y</v>
      </c>
      <c r="O815" s="8" t="str">
        <f>IF(TRIM(Classification!$G815)="","NOT CONFIDENTIAL",TRIM(Classification!$G815))</f>
        <v>NOT CONFIDENTIAL</v>
      </c>
      <c r="P815" s="7" t="str">
        <f t="shared" si="103"/>
        <v>Y</v>
      </c>
      <c r="Q815" s="7" t="s">
        <v>826</v>
      </c>
      <c r="R815" s="9">
        <v>2958465</v>
      </c>
      <c r="S815" s="7" t="s">
        <v>827</v>
      </c>
      <c r="T815" s="7" t="s">
        <v>828</v>
      </c>
      <c r="U815" s="7" t="str">
        <f t="shared" si="105"/>
        <v>CLK_DETM_DETIS_JCDS_V</v>
      </c>
      <c r="V815" s="7" t="s">
        <v>829</v>
      </c>
    </row>
    <row r="816" spans="1:22">
      <c r="A816" s="7" t="str">
        <f>TRIM(ETLMetadata!$B816)</f>
        <v>CLK</v>
      </c>
      <c r="B816" s="7" t="str">
        <f>TRIM(ETLMetadata!$C816)</f>
        <v>DETM_DETIS_JCDS</v>
      </c>
      <c r="C816" s="7" t="str">
        <f>TRIM(ETLMetadata!$F816)</f>
        <v>PERSON_ID</v>
      </c>
      <c r="D816" s="7" t="str">
        <f>TRIM(ETLMetadata!$H816)</f>
        <v>StringType()</v>
      </c>
      <c r="E816" s="7" t="str">
        <f t="shared" si="104"/>
        <v>CLK_DETM_DETIS_JCDS</v>
      </c>
      <c r="F816" s="7" t="str">
        <f t="shared" si="98"/>
        <v>PERSON_ID</v>
      </c>
      <c r="G816" s="7" t="s">
        <v>825</v>
      </c>
      <c r="H816" s="7" t="str">
        <f t="shared" si="99"/>
        <v>CLK_DETM_DETIS_JCDS</v>
      </c>
      <c r="I816" s="7" t="str">
        <f t="shared" si="100"/>
        <v>PERSON_ID</v>
      </c>
      <c r="J816" s="7" t="str">
        <f t="shared" si="101"/>
        <v>INTEGER</v>
      </c>
      <c r="K816" s="7" t="str">
        <f>TRIM(ETLMetadata!$G816)</f>
        <v>INTEGER</v>
      </c>
      <c r="L816" s="7" t="str">
        <f>TRIM(ETLMetadata!$I816)</f>
        <v/>
      </c>
      <c r="M816" s="7" t="str">
        <f t="shared" si="102"/>
        <v>CAST(NULLIF(TRIM(PERSON_ID),'') AS INTEGER)</v>
      </c>
      <c r="N816" s="7" t="str">
        <f>TRIM(ETLMetadata!$J816)</f>
        <v>Y</v>
      </c>
      <c r="O816" s="8" t="str">
        <f>IF(TRIM(Classification!$G816)="","NOT CONFIDENTIAL",TRIM(Classification!$G816))</f>
        <v>PERSONAL_IDENTITYINFOINDIRECT</v>
      </c>
      <c r="P816" s="7" t="str">
        <f t="shared" si="103"/>
        <v>Y</v>
      </c>
      <c r="Q816" s="7" t="s">
        <v>826</v>
      </c>
      <c r="R816" s="9">
        <v>2958465</v>
      </c>
      <c r="S816" s="7" t="s">
        <v>827</v>
      </c>
      <c r="T816" s="7" t="s">
        <v>828</v>
      </c>
      <c r="U816" s="7" t="str">
        <f t="shared" si="105"/>
        <v>CLK_DETM_DETIS_JCDS_V</v>
      </c>
      <c r="V816" s="7" t="s">
        <v>829</v>
      </c>
    </row>
    <row r="817" spans="1:22">
      <c r="A817" s="7" t="str">
        <f>TRIM(ETLMetadata!$B817)</f>
        <v>CLK</v>
      </c>
      <c r="B817" s="7" t="str">
        <f>TRIM(ETLMetadata!$C817)</f>
        <v>DETM_DETIS_JCDS</v>
      </c>
      <c r="C817" s="7" t="str">
        <f>TRIM(ETLMetadata!$F817)</f>
        <v>JCDS_DOE</v>
      </c>
      <c r="D817" s="7" t="str">
        <f>TRIM(ETLMetadata!$H817)</f>
        <v>StringType()</v>
      </c>
      <c r="E817" s="7" t="str">
        <f t="shared" si="104"/>
        <v>CLK_DETM_DETIS_JCDS</v>
      </c>
      <c r="F817" s="7" t="str">
        <f t="shared" si="98"/>
        <v>JCDS_DOE</v>
      </c>
      <c r="G817" s="7" t="s">
        <v>825</v>
      </c>
      <c r="H817" s="7" t="str">
        <f t="shared" si="99"/>
        <v>CLK_DETM_DETIS_JCDS</v>
      </c>
      <c r="I817" s="7" t="str">
        <f t="shared" si="100"/>
        <v>JCDS_DOE</v>
      </c>
      <c r="J817" s="7" t="str">
        <f t="shared" si="101"/>
        <v>DATE</v>
      </c>
      <c r="K817" s="17" t="s">
        <v>80</v>
      </c>
      <c r="L817" s="7" t="str">
        <f>TRIM(ETLMetadata!$I817)</f>
        <v>YYYY-MM-DD</v>
      </c>
      <c r="M817" s="7" t="str">
        <f t="shared" si="102"/>
        <v>TO_DATE(NULLIF(TRIM(JCDS_DOE),'') , 'YYYY-MM-DD')</v>
      </c>
      <c r="N817" s="7" t="str">
        <f>TRIM(ETLMetadata!$J817)</f>
        <v/>
      </c>
      <c r="O817" s="8" t="str">
        <f>IF(TRIM(Classification!$G817)="","NOT CONFIDENTIAL",TRIM(Classification!$G817))</f>
        <v>NOT CONFIDENTIAL</v>
      </c>
      <c r="P817" s="7" t="str">
        <f t="shared" si="103"/>
        <v>Y</v>
      </c>
      <c r="Q817" s="7" t="s">
        <v>826</v>
      </c>
      <c r="R817" s="9">
        <v>2958465</v>
      </c>
      <c r="S817" s="7" t="s">
        <v>827</v>
      </c>
      <c r="T817" s="7" t="s">
        <v>828</v>
      </c>
      <c r="U817" s="7" t="str">
        <f t="shared" si="105"/>
        <v>CLK_DETM_DETIS_JCDS_V</v>
      </c>
      <c r="V817" s="7" t="s">
        <v>829</v>
      </c>
    </row>
    <row r="818" spans="1:22">
      <c r="A818" s="7" t="str">
        <f>TRIM(ETLMetadata!$B818)</f>
        <v>CLK</v>
      </c>
      <c r="B818" s="7" t="str">
        <f>TRIM(ETLMetadata!$C818)</f>
        <v>DETM_DETIS_JCDS</v>
      </c>
      <c r="C818" s="7" t="str">
        <f>TRIM(ETLMetadata!$F818)</f>
        <v>JCDS_DOE_ORIG</v>
      </c>
      <c r="D818" s="7" t="str">
        <f>TRIM(ETLMetadata!$H818)</f>
        <v>StringType()</v>
      </c>
      <c r="E818" s="7" t="str">
        <f t="shared" si="104"/>
        <v>CLK_DETM_DETIS_JCDS</v>
      </c>
      <c r="F818" s="7" t="str">
        <f t="shared" si="98"/>
        <v>JCDS_DOE_ORIG</v>
      </c>
      <c r="G818" s="7" t="s">
        <v>825</v>
      </c>
      <c r="H818" s="7" t="str">
        <f t="shared" si="99"/>
        <v>CLK_DETM_DETIS_JCDS</v>
      </c>
      <c r="I818" s="7" t="str">
        <f t="shared" si="100"/>
        <v>JCDS_DOE_ORIG</v>
      </c>
      <c r="J818" s="7" t="str">
        <f t="shared" si="101"/>
        <v>INTEGER</v>
      </c>
      <c r="K818" s="17" t="s">
        <v>90</v>
      </c>
      <c r="L818" s="7" t="str">
        <f>TRIM(ETLMetadata!$I818)</f>
        <v/>
      </c>
      <c r="M818" s="7" t="str">
        <f t="shared" si="102"/>
        <v>CAST(NULLIF(TRIM(JCDS_DOE_ORIG),'') AS INTEGER)</v>
      </c>
      <c r="N818" s="7" t="str">
        <f>TRIM(ETLMetadata!$J818)</f>
        <v/>
      </c>
      <c r="O818" s="8" t="str">
        <f>IF(TRIM(Classification!$G818)="","NOT CONFIDENTIAL",TRIM(Classification!$G818))</f>
        <v>NOT CONFIDENTIAL</v>
      </c>
      <c r="P818" s="7" t="str">
        <f t="shared" si="103"/>
        <v>Y</v>
      </c>
      <c r="Q818" s="7" t="s">
        <v>826</v>
      </c>
      <c r="R818" s="9">
        <v>2958465</v>
      </c>
      <c r="S818" s="7" t="s">
        <v>827</v>
      </c>
      <c r="T818" s="7" t="s">
        <v>828</v>
      </c>
      <c r="U818" s="7" t="str">
        <f t="shared" si="105"/>
        <v>CLK_DETM_DETIS_JCDS_V</v>
      </c>
      <c r="V818" s="7" t="s">
        <v>829</v>
      </c>
    </row>
    <row r="819" spans="1:22">
      <c r="A819" s="7" t="str">
        <f>TRIM(ETLMetadata!$B819)</f>
        <v>CLK</v>
      </c>
      <c r="B819" s="7" t="str">
        <f>TRIM(ETLMetadata!$C819)</f>
        <v>DETM_DETIS_JCDS</v>
      </c>
      <c r="C819" s="7" t="str">
        <f>TRIM(ETLMetadata!$F819)</f>
        <v>PROCESSING_SEQUENCE</v>
      </c>
      <c r="D819" s="7" t="str">
        <f>TRIM(ETLMetadata!$H819)</f>
        <v>StringType()</v>
      </c>
      <c r="E819" s="7" t="str">
        <f t="shared" si="104"/>
        <v>CLK_DETM_DETIS_JCDS</v>
      </c>
      <c r="F819" s="7" t="str">
        <f t="shared" si="98"/>
        <v>PROCESSING_SEQUENCE</v>
      </c>
      <c r="G819" s="7" t="s">
        <v>825</v>
      </c>
      <c r="H819" s="7" t="str">
        <f t="shared" si="99"/>
        <v>CLK_DETM_DETIS_JCDS</v>
      </c>
      <c r="I819" s="7" t="str">
        <f t="shared" si="100"/>
        <v>PROCESSING_SEQUENCE</v>
      </c>
      <c r="J819" s="7" t="str">
        <f t="shared" si="101"/>
        <v>SMALLINT</v>
      </c>
      <c r="K819" s="7" t="str">
        <f>TRIM(ETLMetadata!$G819)</f>
        <v>SMALLINT</v>
      </c>
      <c r="L819" s="7" t="str">
        <f>TRIM(ETLMetadata!$I819)</f>
        <v/>
      </c>
      <c r="M819" s="7" t="str">
        <f t="shared" si="102"/>
        <v>CAST(NULLIF(TRIM(PROCESSING_SEQUENCE),'') AS SMALLINT)</v>
      </c>
      <c r="N819" s="7" t="str">
        <f>TRIM(ETLMetadata!$J819)</f>
        <v>Y</v>
      </c>
      <c r="O819" s="8" t="str">
        <f>IF(TRIM(Classification!$G819)="","NOT CONFIDENTIAL",TRIM(Classification!$G819))</f>
        <v>NOT CONFIDENTIAL</v>
      </c>
      <c r="P819" s="7" t="str">
        <f t="shared" si="103"/>
        <v>Y</v>
      </c>
      <c r="Q819" s="7" t="s">
        <v>826</v>
      </c>
      <c r="R819" s="9">
        <v>2958465</v>
      </c>
      <c r="S819" s="7" t="s">
        <v>827</v>
      </c>
      <c r="T819" s="7" t="s">
        <v>828</v>
      </c>
      <c r="U819" s="7" t="str">
        <f t="shared" si="105"/>
        <v>CLK_DETM_DETIS_JCDS_V</v>
      </c>
      <c r="V819" s="7" t="s">
        <v>829</v>
      </c>
    </row>
    <row r="820" spans="1:22">
      <c r="A820" s="7" t="str">
        <f>TRIM(ETLMetadata!$B820)</f>
        <v>CLK</v>
      </c>
      <c r="B820" s="7" t="str">
        <f>TRIM(ETLMetadata!$C820)</f>
        <v>DETM_DETIS_JCDS</v>
      </c>
      <c r="C820" s="7" t="str">
        <f>TRIM(ETLMetadata!$F820)</f>
        <v>JCDS_AMR_1</v>
      </c>
      <c r="D820" s="7" t="str">
        <f>TRIM(ETLMetadata!$H820)</f>
        <v>StringType()</v>
      </c>
      <c r="E820" s="7" t="str">
        <f t="shared" si="104"/>
        <v>CLK_DETM_DETIS_JCDS</v>
      </c>
      <c r="F820" s="7" t="str">
        <f t="shared" si="98"/>
        <v>JCDS_AMR_1</v>
      </c>
      <c r="G820" s="7" t="s">
        <v>825</v>
      </c>
      <c r="H820" s="7" t="str">
        <f t="shared" si="99"/>
        <v>CLK_DETM_DETIS_JCDS</v>
      </c>
      <c r="I820" s="7" t="str">
        <f t="shared" si="100"/>
        <v>JCDS_AMR_1</v>
      </c>
      <c r="J820" s="7" t="str">
        <f t="shared" si="101"/>
        <v>VARCHAR</v>
      </c>
      <c r="K820" s="7" t="str">
        <f>TRIM(ETLMetadata!$G820)</f>
        <v>CHAR(4)</v>
      </c>
      <c r="L820" s="7" t="str">
        <f>TRIM(ETLMetadata!$I820)</f>
        <v/>
      </c>
      <c r="M820" s="7" t="str">
        <f t="shared" si="102"/>
        <v>NULLIF(TRIM(JCDS_AMR_1),'')</v>
      </c>
      <c r="N820" s="7" t="str">
        <f>TRIM(ETLMetadata!$J820)</f>
        <v/>
      </c>
      <c r="O820" s="8" t="str">
        <f>IF(TRIM(Classification!$G820)="","NOT CONFIDENTIAL",TRIM(Classification!$G820))</f>
        <v>NOT CONFIDENTIAL</v>
      </c>
      <c r="P820" s="7" t="str">
        <f t="shared" si="103"/>
        <v>Y</v>
      </c>
      <c r="Q820" s="7" t="s">
        <v>826</v>
      </c>
      <c r="R820" s="9">
        <v>2958465</v>
      </c>
      <c r="S820" s="7" t="s">
        <v>827</v>
      </c>
      <c r="T820" s="7" t="s">
        <v>828</v>
      </c>
      <c r="U820" s="7" t="str">
        <f t="shared" si="105"/>
        <v>CLK_DETM_DETIS_JCDS_V</v>
      </c>
      <c r="V820" s="7" t="s">
        <v>829</v>
      </c>
    </row>
    <row r="821" spans="1:22">
      <c r="A821" s="7" t="str">
        <f>TRIM(ETLMetadata!$B821)</f>
        <v>CLK</v>
      </c>
      <c r="B821" s="7" t="str">
        <f>TRIM(ETLMetadata!$C821)</f>
        <v>DETM_DETIS_JCDS</v>
      </c>
      <c r="C821" s="7" t="str">
        <f>TRIM(ETLMetadata!$F821)</f>
        <v>JCDS_AMR_2</v>
      </c>
      <c r="D821" s="7" t="str">
        <f>TRIM(ETLMetadata!$H821)</f>
        <v>StringType()</v>
      </c>
      <c r="E821" s="7" t="str">
        <f t="shared" si="104"/>
        <v>CLK_DETM_DETIS_JCDS</v>
      </c>
      <c r="F821" s="7" t="str">
        <f t="shared" si="98"/>
        <v>JCDS_AMR_2</v>
      </c>
      <c r="G821" s="7" t="s">
        <v>825</v>
      </c>
      <c r="H821" s="7" t="str">
        <f t="shared" si="99"/>
        <v>CLK_DETM_DETIS_JCDS</v>
      </c>
      <c r="I821" s="7" t="str">
        <f t="shared" si="100"/>
        <v>JCDS_AMR_2</v>
      </c>
      <c r="J821" s="7" t="str">
        <f t="shared" si="101"/>
        <v>VARCHAR</v>
      </c>
      <c r="K821" s="7" t="str">
        <f>TRIM(ETLMetadata!$G821)</f>
        <v>CHAR(1)</v>
      </c>
      <c r="L821" s="7" t="str">
        <f>TRIM(ETLMetadata!$I821)</f>
        <v/>
      </c>
      <c r="M821" s="7" t="str">
        <f t="shared" si="102"/>
        <v>NULLIF(TRIM(JCDS_AMR_2),'')</v>
      </c>
      <c r="N821" s="7" t="str">
        <f>TRIM(ETLMetadata!$J821)</f>
        <v/>
      </c>
      <c r="O821" s="8" t="str">
        <f>IF(TRIM(Classification!$G821)="","NOT CONFIDENTIAL",TRIM(Classification!$G821))</f>
        <v>NOT CONFIDENTIAL</v>
      </c>
      <c r="P821" s="7" t="str">
        <f t="shared" si="103"/>
        <v>Y</v>
      </c>
      <c r="Q821" s="7" t="s">
        <v>826</v>
      </c>
      <c r="R821" s="9">
        <v>2958465</v>
      </c>
      <c r="S821" s="7" t="s">
        <v>827</v>
      </c>
      <c r="T821" s="7" t="s">
        <v>828</v>
      </c>
      <c r="U821" s="7" t="str">
        <f t="shared" si="105"/>
        <v>CLK_DETM_DETIS_JCDS_V</v>
      </c>
      <c r="V821" s="7" t="s">
        <v>829</v>
      </c>
    </row>
    <row r="822" spans="1:22">
      <c r="A822" s="7" t="str">
        <f>TRIM(ETLMetadata!$B822)</f>
        <v>CLK</v>
      </c>
      <c r="B822" s="7" t="str">
        <f>TRIM(ETLMetadata!$C822)</f>
        <v>DETM_DETIS_JCDS</v>
      </c>
      <c r="C822" s="7" t="str">
        <f>TRIM(ETLMetadata!$F822)</f>
        <v>JCDS_AMR_3</v>
      </c>
      <c r="D822" s="7" t="str">
        <f>TRIM(ETLMetadata!$H822)</f>
        <v>StringType()</v>
      </c>
      <c r="E822" s="7" t="str">
        <f t="shared" si="104"/>
        <v>CLK_DETM_DETIS_JCDS</v>
      </c>
      <c r="F822" s="7" t="str">
        <f t="shared" si="98"/>
        <v>JCDS_AMR_3</v>
      </c>
      <c r="G822" s="7" t="s">
        <v>825</v>
      </c>
      <c r="H822" s="7" t="str">
        <f t="shared" si="99"/>
        <v>CLK_DETM_DETIS_JCDS</v>
      </c>
      <c r="I822" s="7" t="str">
        <f t="shared" si="100"/>
        <v>JCDS_AMR_3</v>
      </c>
      <c r="J822" s="7" t="str">
        <f t="shared" si="101"/>
        <v>VARCHAR</v>
      </c>
      <c r="K822" s="7" t="str">
        <f>TRIM(ETLMetadata!$G822)</f>
        <v>CHAR(4)</v>
      </c>
      <c r="L822" s="7" t="str">
        <f>TRIM(ETLMetadata!$I822)</f>
        <v/>
      </c>
      <c r="M822" s="7" t="str">
        <f t="shared" si="102"/>
        <v>NULLIF(TRIM(JCDS_AMR_3),'')</v>
      </c>
      <c r="N822" s="7" t="str">
        <f>TRIM(ETLMetadata!$J822)</f>
        <v/>
      </c>
      <c r="O822" s="8" t="str">
        <f>IF(TRIM(Classification!$G822)="","NOT CONFIDENTIAL",TRIM(Classification!$G822))</f>
        <v>NOT CONFIDENTIAL</v>
      </c>
      <c r="P822" s="7" t="str">
        <f t="shared" si="103"/>
        <v>Y</v>
      </c>
      <c r="Q822" s="7" t="s">
        <v>826</v>
      </c>
      <c r="R822" s="9">
        <v>2958465</v>
      </c>
      <c r="S822" s="7" t="s">
        <v>827</v>
      </c>
      <c r="T822" s="7" t="s">
        <v>828</v>
      </c>
      <c r="U822" s="7" t="str">
        <f t="shared" si="105"/>
        <v>CLK_DETM_DETIS_JCDS_V</v>
      </c>
      <c r="V822" s="7" t="s">
        <v>829</v>
      </c>
    </row>
    <row r="823" spans="1:22">
      <c r="A823" s="7" t="str">
        <f>TRIM(ETLMetadata!$B823)</f>
        <v>CLK</v>
      </c>
      <c r="B823" s="7" t="str">
        <f>TRIM(ETLMetadata!$C823)</f>
        <v>DETM_DETIS_JCDS</v>
      </c>
      <c r="C823" s="7" t="str">
        <f>TRIM(ETLMetadata!$F823)</f>
        <v>JCDS_BEN_TYPE_CODE</v>
      </c>
      <c r="D823" s="7" t="str">
        <f>TRIM(ETLMetadata!$H823)</f>
        <v>StringType()</v>
      </c>
      <c r="E823" s="7" t="str">
        <f t="shared" si="104"/>
        <v>CLK_DETM_DETIS_JCDS</v>
      </c>
      <c r="F823" s="7" t="str">
        <f t="shared" si="98"/>
        <v>JCDS_BEN_TYPE_CODE</v>
      </c>
      <c r="G823" s="7" t="s">
        <v>825</v>
      </c>
      <c r="H823" s="7" t="str">
        <f t="shared" si="99"/>
        <v>CLK_DETM_DETIS_JCDS</v>
      </c>
      <c r="I823" s="7" t="str">
        <f t="shared" si="100"/>
        <v>JCDS_BEN_TYPE_CODE</v>
      </c>
      <c r="J823" s="7" t="str">
        <f t="shared" si="101"/>
        <v>VARCHAR</v>
      </c>
      <c r="K823" s="7" t="str">
        <f>TRIM(ETLMetadata!$G823)</f>
        <v>CHAR(3)</v>
      </c>
      <c r="L823" s="7" t="str">
        <f>TRIM(ETLMetadata!$I823)</f>
        <v/>
      </c>
      <c r="M823" s="7" t="str">
        <f t="shared" si="102"/>
        <v>NULLIF(TRIM(JCDS_BEN_TYPE_CODE),'')</v>
      </c>
      <c r="N823" s="7" t="str">
        <f>TRIM(ETLMetadata!$J823)</f>
        <v/>
      </c>
      <c r="O823" s="8" t="str">
        <f>IF(TRIM(Classification!$G823)="","NOT CONFIDENTIAL",TRIM(Classification!$G823))</f>
        <v>NOT CONFIDENTIAL</v>
      </c>
      <c r="P823" s="7" t="str">
        <f t="shared" si="103"/>
        <v>Y</v>
      </c>
      <c r="Q823" s="7" t="s">
        <v>826</v>
      </c>
      <c r="R823" s="9">
        <v>2958465</v>
      </c>
      <c r="S823" s="7" t="s">
        <v>827</v>
      </c>
      <c r="T823" s="7" t="s">
        <v>828</v>
      </c>
      <c r="U823" s="7" t="str">
        <f t="shared" si="105"/>
        <v>CLK_DETM_DETIS_JCDS_V</v>
      </c>
      <c r="V823" s="7" t="s">
        <v>829</v>
      </c>
    </row>
    <row r="824" spans="1:22">
      <c r="A824" s="7" t="str">
        <f>TRIM(ETLMetadata!$B824)</f>
        <v>CLK</v>
      </c>
      <c r="B824" s="7" t="str">
        <f>TRIM(ETLMetadata!$C824)</f>
        <v>DETM_DETIS_JCDS</v>
      </c>
      <c r="C824" s="7" t="str">
        <f>TRIM(ETLMetadata!$F824)</f>
        <v>JCDS_STS_CODE</v>
      </c>
      <c r="D824" s="7" t="str">
        <f>TRIM(ETLMetadata!$H824)</f>
        <v>StringType()</v>
      </c>
      <c r="E824" s="7" t="str">
        <f t="shared" si="104"/>
        <v>CLK_DETM_DETIS_JCDS</v>
      </c>
      <c r="F824" s="7" t="str">
        <f t="shared" si="98"/>
        <v>JCDS_STS_CODE</v>
      </c>
      <c r="G824" s="7" t="s">
        <v>825</v>
      </c>
      <c r="H824" s="7" t="str">
        <f t="shared" si="99"/>
        <v>CLK_DETM_DETIS_JCDS</v>
      </c>
      <c r="I824" s="7" t="str">
        <f t="shared" si="100"/>
        <v>JCDS_STS_CODE</v>
      </c>
      <c r="J824" s="7" t="str">
        <f t="shared" si="101"/>
        <v>VARCHAR</v>
      </c>
      <c r="K824" s="7" t="str">
        <f>TRIM(ETLMetadata!$G824)</f>
        <v>CHAR(3)</v>
      </c>
      <c r="L824" s="7" t="str">
        <f>TRIM(ETLMetadata!$I824)</f>
        <v/>
      </c>
      <c r="M824" s="7" t="str">
        <f t="shared" si="102"/>
        <v>NULLIF(TRIM(JCDS_STS_CODE),'')</v>
      </c>
      <c r="N824" s="7" t="str">
        <f>TRIM(ETLMetadata!$J824)</f>
        <v/>
      </c>
      <c r="O824" s="8" t="str">
        <f>IF(TRIM(Classification!$G824)="","NOT CONFIDENTIAL",TRIM(Classification!$G824))</f>
        <v>NOT CONFIDENTIAL</v>
      </c>
      <c r="P824" s="7" t="str">
        <f t="shared" si="103"/>
        <v>Y</v>
      </c>
      <c r="Q824" s="7" t="s">
        <v>826</v>
      </c>
      <c r="R824" s="9">
        <v>2958465</v>
      </c>
      <c r="S824" s="7" t="s">
        <v>827</v>
      </c>
      <c r="T824" s="7" t="s">
        <v>828</v>
      </c>
      <c r="U824" s="7" t="str">
        <f t="shared" si="105"/>
        <v>CLK_DETM_DETIS_JCDS_V</v>
      </c>
      <c r="V824" s="7" t="s">
        <v>829</v>
      </c>
    </row>
    <row r="825" spans="1:22">
      <c r="A825" s="7" t="str">
        <f>TRIM(ETLMetadata!$B825)</f>
        <v>CLK</v>
      </c>
      <c r="B825" s="7" t="str">
        <f>TRIM(ETLMetadata!$C825)</f>
        <v>DETM_DETIS_JCDS</v>
      </c>
      <c r="C825" s="7" t="str">
        <f>TRIM(ETLMetadata!$F825)</f>
        <v>JCDS_RSN_CODE</v>
      </c>
      <c r="D825" s="7" t="str">
        <f>TRIM(ETLMetadata!$H825)</f>
        <v>StringType()</v>
      </c>
      <c r="E825" s="7" t="str">
        <f t="shared" si="104"/>
        <v>CLK_DETM_DETIS_JCDS</v>
      </c>
      <c r="F825" s="7" t="str">
        <f t="shared" si="98"/>
        <v>JCDS_RSN_CODE</v>
      </c>
      <c r="G825" s="7" t="s">
        <v>825</v>
      </c>
      <c r="H825" s="7" t="str">
        <f t="shared" si="99"/>
        <v>CLK_DETM_DETIS_JCDS</v>
      </c>
      <c r="I825" s="7" t="str">
        <f t="shared" si="100"/>
        <v>JCDS_RSN_CODE</v>
      </c>
      <c r="J825" s="7" t="str">
        <f t="shared" si="101"/>
        <v>VARCHAR</v>
      </c>
      <c r="K825" s="7" t="str">
        <f>TRIM(ETLMetadata!$G825)</f>
        <v>CHAR(3)</v>
      </c>
      <c r="L825" s="7" t="str">
        <f>TRIM(ETLMetadata!$I825)</f>
        <v/>
      </c>
      <c r="M825" s="7" t="str">
        <f t="shared" si="102"/>
        <v>NULLIF(TRIM(JCDS_RSN_CODE),'')</v>
      </c>
      <c r="N825" s="7" t="str">
        <f>TRIM(ETLMetadata!$J825)</f>
        <v/>
      </c>
      <c r="O825" s="8" t="str">
        <f>IF(TRIM(Classification!$G825)="","NOT CONFIDENTIAL",TRIM(Classification!$G825))</f>
        <v>NOT CONFIDENTIAL</v>
      </c>
      <c r="P825" s="7" t="str">
        <f t="shared" si="103"/>
        <v>Y</v>
      </c>
      <c r="Q825" s="7" t="s">
        <v>826</v>
      </c>
      <c r="R825" s="9">
        <v>2958465</v>
      </c>
      <c r="S825" s="7" t="s">
        <v>827</v>
      </c>
      <c r="T825" s="7" t="s">
        <v>828</v>
      </c>
      <c r="U825" s="7" t="str">
        <f t="shared" si="105"/>
        <v>CLK_DETM_DETIS_JCDS_V</v>
      </c>
      <c r="V825" s="7" t="s">
        <v>829</v>
      </c>
    </row>
    <row r="826" spans="1:22">
      <c r="A826" s="7" t="str">
        <f>TRIM(ETLMetadata!$B826)</f>
        <v>CLK</v>
      </c>
      <c r="B826" s="7" t="str">
        <f>TRIM(ETLMetadata!$C826)</f>
        <v>DETM_DETIS_JCDS</v>
      </c>
      <c r="C826" s="7" t="str">
        <f>TRIM(ETLMetadata!$F826)</f>
        <v>JCDS_UNIQ_ID</v>
      </c>
      <c r="D826" s="7" t="str">
        <f>TRIM(ETLMetadata!$H826)</f>
        <v>StringType()</v>
      </c>
      <c r="E826" s="7" t="str">
        <f t="shared" si="104"/>
        <v>CLK_DETM_DETIS_JCDS</v>
      </c>
      <c r="F826" s="7" t="str">
        <f t="shared" si="98"/>
        <v>JCDS_UNIQ_ID</v>
      </c>
      <c r="G826" s="7" t="s">
        <v>825</v>
      </c>
      <c r="H826" s="7" t="str">
        <f t="shared" si="99"/>
        <v>CLK_DETM_DETIS_JCDS</v>
      </c>
      <c r="I826" s="7" t="str">
        <f t="shared" si="100"/>
        <v>JCDS_UNIQ_ID</v>
      </c>
      <c r="J826" s="7" t="str">
        <f t="shared" si="101"/>
        <v>VARCHAR</v>
      </c>
      <c r="K826" s="7" t="str">
        <f>TRIM(ETLMetadata!$G826)</f>
        <v>VARCHAR(8)</v>
      </c>
      <c r="L826" s="7" t="str">
        <f>TRIM(ETLMetadata!$I826)</f>
        <v/>
      </c>
      <c r="M826" s="7" t="str">
        <f t="shared" si="102"/>
        <v>NULLIF(TRIM(JCDS_UNIQ_ID),'')</v>
      </c>
      <c r="N826" s="7" t="str">
        <f>TRIM(ETLMetadata!$J826)</f>
        <v/>
      </c>
      <c r="O826" s="8" t="str">
        <f>IF(TRIM(Classification!$G826)="","NOT CONFIDENTIAL",TRIM(Classification!$G826))</f>
        <v>NOT CONFIDENTIAL</v>
      </c>
      <c r="P826" s="7" t="str">
        <f t="shared" si="103"/>
        <v>Y</v>
      </c>
      <c r="Q826" s="7" t="s">
        <v>826</v>
      </c>
      <c r="R826" s="9">
        <v>2958465</v>
      </c>
      <c r="S826" s="7" t="s">
        <v>827</v>
      </c>
      <c r="T826" s="7" t="s">
        <v>828</v>
      </c>
      <c r="U826" s="7" t="str">
        <f t="shared" si="105"/>
        <v>CLK_DETM_DETIS_JCDS_V</v>
      </c>
      <c r="V826" s="7" t="s">
        <v>829</v>
      </c>
    </row>
    <row r="827" spans="1:22">
      <c r="A827" s="7" t="str">
        <f>TRIM(ETLMetadata!$B827)</f>
        <v>CLK</v>
      </c>
      <c r="B827" s="7" t="str">
        <f>TRIM(ETLMetadata!$C827)</f>
        <v>DETM_DETIS_JCDS</v>
      </c>
      <c r="C827" s="7" t="str">
        <f>TRIM(ETLMetadata!$F827)</f>
        <v>AMR1_RISL_DTS</v>
      </c>
      <c r="D827" s="7" t="str">
        <f>TRIM(ETLMetadata!$H827)</f>
        <v>StringType()</v>
      </c>
      <c r="E827" s="7" t="str">
        <f t="shared" si="104"/>
        <v>CLK_DETM_DETIS_JCDS</v>
      </c>
      <c r="F827" s="7" t="str">
        <f t="shared" si="98"/>
        <v>AMR1_RISL_DTS</v>
      </c>
      <c r="G827" s="7" t="s">
        <v>825</v>
      </c>
      <c r="H827" s="7" t="str">
        <f t="shared" si="99"/>
        <v>CLK_DETM_DETIS_JCDS</v>
      </c>
      <c r="I827" s="7" t="str">
        <f t="shared" si="100"/>
        <v>AMR1_RISL_DTS</v>
      </c>
      <c r="J827" s="7" t="str">
        <f t="shared" si="101"/>
        <v>TIMESTAMP</v>
      </c>
      <c r="K827" s="7" t="str">
        <f>TRIM(ETLMetadata!$G827)</f>
        <v>TIMESTAMP(6)</v>
      </c>
      <c r="L827" s="7" t="str">
        <f>TRIM(ETLMetadata!$I827)</f>
        <v>YYYY-MM-DDBHH:MI:SS.S(6)</v>
      </c>
      <c r="M827" s="7" t="str">
        <f t="shared" si="102"/>
        <v>TO_TIMESTAMP_NTZ(NULLIF(TRIM(AMR1_RISL_DTS),''),'YYYY-MM-DD HH24:MI:SS.FF6')</v>
      </c>
      <c r="N827" s="7" t="str">
        <f>TRIM(ETLMetadata!$J827)</f>
        <v/>
      </c>
      <c r="O827" s="8" t="str">
        <f>IF(TRIM(Classification!$G827)="","NOT CONFIDENTIAL",TRIM(Classification!$G827))</f>
        <v>NOT CONFIDENTIAL</v>
      </c>
      <c r="P827" s="7" t="str">
        <f t="shared" si="103"/>
        <v>Y</v>
      </c>
      <c r="Q827" s="7" t="s">
        <v>826</v>
      </c>
      <c r="R827" s="9">
        <v>2958465</v>
      </c>
      <c r="S827" s="7" t="s">
        <v>827</v>
      </c>
      <c r="T827" s="7" t="s">
        <v>828</v>
      </c>
      <c r="U827" s="7" t="str">
        <f t="shared" si="105"/>
        <v>CLK_DETM_DETIS_JCDS_V</v>
      </c>
      <c r="V827" s="7" t="s">
        <v>829</v>
      </c>
    </row>
    <row r="828" spans="1:22">
      <c r="A828" s="7" t="str">
        <f>TRIM(ETLMetadata!$B828)</f>
        <v>CLK</v>
      </c>
      <c r="B828" s="7" t="str">
        <f>TRIM(ETLMetadata!$C828)</f>
        <v>DETM_DETIS_JCDS</v>
      </c>
      <c r="C828" s="7" t="str">
        <f>TRIM(ETLMetadata!$F828)</f>
        <v>AMR3_RISL_DTS</v>
      </c>
      <c r="D828" s="7" t="str">
        <f>TRIM(ETLMetadata!$H828)</f>
        <v>StringType()</v>
      </c>
      <c r="E828" s="7" t="str">
        <f t="shared" si="104"/>
        <v>CLK_DETM_DETIS_JCDS</v>
      </c>
      <c r="F828" s="7" t="str">
        <f t="shared" si="98"/>
        <v>AMR3_RISL_DTS</v>
      </c>
      <c r="G828" s="7" t="s">
        <v>825</v>
      </c>
      <c r="H828" s="7" t="str">
        <f t="shared" si="99"/>
        <v>CLK_DETM_DETIS_JCDS</v>
      </c>
      <c r="I828" s="7" t="str">
        <f t="shared" si="100"/>
        <v>AMR3_RISL_DTS</v>
      </c>
      <c r="J828" s="7" t="str">
        <f t="shared" si="101"/>
        <v>TIMESTAMP</v>
      </c>
      <c r="K828" s="7" t="str">
        <f>TRIM(ETLMetadata!$G828)</f>
        <v>TIMESTAMP(6)</v>
      </c>
      <c r="L828" s="7" t="str">
        <f>TRIM(ETLMetadata!$I828)</f>
        <v>YYYY-MM-DDBHH:MI:SS.S(6)</v>
      </c>
      <c r="M828" s="7" t="str">
        <f t="shared" si="102"/>
        <v>TO_TIMESTAMP_NTZ(NULLIF(TRIM(AMR3_RISL_DTS),''),'YYYY-MM-DD HH24:MI:SS.FF6')</v>
      </c>
      <c r="N828" s="7" t="str">
        <f>TRIM(ETLMetadata!$J828)</f>
        <v/>
      </c>
      <c r="O828" s="8" t="str">
        <f>IF(TRIM(Classification!$G828)="","NOT CONFIDENTIAL",TRIM(Classification!$G828))</f>
        <v>NOT CONFIDENTIAL</v>
      </c>
      <c r="P828" s="7" t="str">
        <f t="shared" si="103"/>
        <v>Y</v>
      </c>
      <c r="Q828" s="7" t="s">
        <v>826</v>
      </c>
      <c r="R828" s="9">
        <v>2958465</v>
      </c>
      <c r="S828" s="7" t="s">
        <v>827</v>
      </c>
      <c r="T828" s="7" t="s">
        <v>828</v>
      </c>
      <c r="U828" s="7" t="str">
        <f t="shared" si="105"/>
        <v>CLK_DETM_DETIS_JCDS_V</v>
      </c>
      <c r="V828" s="7" t="s">
        <v>829</v>
      </c>
    </row>
    <row r="829" spans="1:22">
      <c r="A829" s="7" t="str">
        <f>TRIM(ETLMetadata!$B829)</f>
        <v>CLK</v>
      </c>
      <c r="B829" s="7" t="str">
        <f>TRIM(ETLMetadata!$C829)</f>
        <v>DETM_DETIS_JCDS</v>
      </c>
      <c r="C829" s="7" t="str">
        <f>TRIM(ETLMetadata!$F829)</f>
        <v>EPISODE_ID</v>
      </c>
      <c r="D829" s="7" t="str">
        <f>TRIM(ETLMetadata!$H829)</f>
        <v>StringType()</v>
      </c>
      <c r="E829" s="7" t="str">
        <f t="shared" si="104"/>
        <v>CLK_DETM_DETIS_JCDS</v>
      </c>
      <c r="F829" s="7" t="str">
        <f t="shared" si="98"/>
        <v>EPISODE_ID</v>
      </c>
      <c r="G829" s="7" t="s">
        <v>825</v>
      </c>
      <c r="H829" s="7" t="str">
        <f t="shared" si="99"/>
        <v>CLK_DETM_DETIS_JCDS</v>
      </c>
      <c r="I829" s="7" t="str">
        <f t="shared" si="100"/>
        <v>EPISODE_ID</v>
      </c>
      <c r="J829" s="7" t="str">
        <f t="shared" si="101"/>
        <v>INTEGER</v>
      </c>
      <c r="K829" s="7" t="str">
        <f>TRIM(ETLMetadata!$G829)</f>
        <v>INTEGER</v>
      </c>
      <c r="L829" s="7" t="str">
        <f>TRIM(ETLMetadata!$I829)</f>
        <v/>
      </c>
      <c r="M829" s="7" t="str">
        <f t="shared" si="102"/>
        <v>CAST(NULLIF(TRIM(EPISODE_ID),'') AS INTEGER)</v>
      </c>
      <c r="N829" s="7" t="str">
        <f>TRIM(ETLMetadata!$J829)</f>
        <v/>
      </c>
      <c r="O829" s="8" t="str">
        <f>IF(TRIM(Classification!$G829)="","NOT CONFIDENTIAL",TRIM(Classification!$G829))</f>
        <v>NOT CONFIDENTIAL</v>
      </c>
      <c r="P829" s="7" t="str">
        <f t="shared" si="103"/>
        <v>Y</v>
      </c>
      <c r="Q829" s="7" t="s">
        <v>826</v>
      </c>
      <c r="R829" s="9">
        <v>2958465</v>
      </c>
      <c r="S829" s="7" t="s">
        <v>827</v>
      </c>
      <c r="T829" s="7" t="s">
        <v>828</v>
      </c>
      <c r="U829" s="7" t="str">
        <f t="shared" si="105"/>
        <v>CLK_DETM_DETIS_JCDS_V</v>
      </c>
      <c r="V829" s="7" t="s">
        <v>829</v>
      </c>
    </row>
    <row r="830" spans="1:22">
      <c r="A830" s="7" t="str">
        <f>TRIM(ETLMetadata!$B830)</f>
        <v>CLK</v>
      </c>
      <c r="B830" s="7" t="str">
        <f>TRIM(ETLMetadata!$C830)</f>
        <v>DETM_DETIS_JCDS</v>
      </c>
      <c r="C830" s="7" t="str">
        <f>TRIM(ETLMetadata!$F830)</f>
        <v>PARTY_ROLE_ID</v>
      </c>
      <c r="D830" s="7" t="str">
        <f>TRIM(ETLMetadata!$H830)</f>
        <v>StringType()</v>
      </c>
      <c r="E830" s="7" t="str">
        <f t="shared" si="104"/>
        <v>CLK_DETM_DETIS_JCDS</v>
      </c>
      <c r="F830" s="7" t="str">
        <f t="shared" si="98"/>
        <v>PARTY_ROLE_ID</v>
      </c>
      <c r="G830" s="7" t="s">
        <v>825</v>
      </c>
      <c r="H830" s="7" t="str">
        <f t="shared" si="99"/>
        <v>CLK_DETM_DETIS_JCDS</v>
      </c>
      <c r="I830" s="7" t="str">
        <f t="shared" si="100"/>
        <v>PARTY_ROLE_ID</v>
      </c>
      <c r="J830" s="7" t="str">
        <f t="shared" si="101"/>
        <v>INTEGER</v>
      </c>
      <c r="K830" s="7" t="str">
        <f>TRIM(ETLMetadata!$G830)</f>
        <v>INTEGER</v>
      </c>
      <c r="L830" s="7" t="str">
        <f>TRIM(ETLMetadata!$I830)</f>
        <v/>
      </c>
      <c r="M830" s="7" t="str">
        <f t="shared" si="102"/>
        <v>CAST(NULLIF(TRIM(PARTY_ROLE_ID),'') AS INTEGER)</v>
      </c>
      <c r="N830" s="7" t="str">
        <f>TRIM(ETLMetadata!$J830)</f>
        <v/>
      </c>
      <c r="O830" s="8" t="str">
        <f>IF(TRIM(Classification!$G830)="","NOT CONFIDENTIAL",TRIM(Classification!$G830))</f>
        <v>NOT CONFIDENTIAL</v>
      </c>
      <c r="P830" s="7" t="str">
        <f t="shared" si="103"/>
        <v>Y</v>
      </c>
      <c r="Q830" s="7" t="s">
        <v>826</v>
      </c>
      <c r="R830" s="9">
        <v>2958465</v>
      </c>
      <c r="S830" s="7" t="s">
        <v>827</v>
      </c>
      <c r="T830" s="7" t="s">
        <v>828</v>
      </c>
      <c r="U830" s="7" t="str">
        <f t="shared" si="105"/>
        <v>CLK_DETM_DETIS_JCDS_V</v>
      </c>
      <c r="V830" s="7" t="s">
        <v>829</v>
      </c>
    </row>
    <row r="831" spans="1:22">
      <c r="A831" s="7" t="str">
        <f>TRIM(ETLMetadata!$B831)</f>
        <v>CLK</v>
      </c>
      <c r="B831" s="7" t="str">
        <f>TRIM(ETLMetadata!$C831)</f>
        <v>DETM_DETIS_JCDS</v>
      </c>
      <c r="C831" s="7" t="str">
        <f>TRIM(ETLMetadata!$F831)</f>
        <v>PAYMENT_TYPE_ID</v>
      </c>
      <c r="D831" s="7" t="str">
        <f>TRIM(ETLMetadata!$H831)</f>
        <v>StringType()</v>
      </c>
      <c r="E831" s="7" t="str">
        <f t="shared" si="104"/>
        <v>CLK_DETM_DETIS_JCDS</v>
      </c>
      <c r="F831" s="7" t="str">
        <f t="shared" si="98"/>
        <v>PAYMENT_TYPE_ID</v>
      </c>
      <c r="G831" s="7" t="s">
        <v>825</v>
      </c>
      <c r="H831" s="7" t="str">
        <f t="shared" si="99"/>
        <v>CLK_DETM_DETIS_JCDS</v>
      </c>
      <c r="I831" s="7" t="str">
        <f t="shared" si="100"/>
        <v>PAYMENT_TYPE_ID</v>
      </c>
      <c r="J831" s="7" t="str">
        <f t="shared" si="101"/>
        <v>INTEGER</v>
      </c>
      <c r="K831" s="7" t="str">
        <f>TRIM(ETLMetadata!$G831)</f>
        <v>INTEGER</v>
      </c>
      <c r="L831" s="7" t="str">
        <f>TRIM(ETLMetadata!$I831)</f>
        <v/>
      </c>
      <c r="M831" s="7" t="str">
        <f t="shared" si="102"/>
        <v>CAST(NULLIF(TRIM(PAYMENT_TYPE_ID),'') AS INTEGER)</v>
      </c>
      <c r="N831" s="7" t="str">
        <f>TRIM(ETLMetadata!$J831)</f>
        <v/>
      </c>
      <c r="O831" s="8" t="str">
        <f>IF(TRIM(Classification!$G831)="","NOT CONFIDENTIAL",TRIM(Classification!$G831))</f>
        <v>NOT CONFIDENTIAL</v>
      </c>
      <c r="P831" s="7" t="str">
        <f t="shared" si="103"/>
        <v>Y</v>
      </c>
      <c r="Q831" s="7" t="s">
        <v>826</v>
      </c>
      <c r="R831" s="9">
        <v>2958465</v>
      </c>
      <c r="S831" s="7" t="s">
        <v>827</v>
      </c>
      <c r="T831" s="7" t="s">
        <v>828</v>
      </c>
      <c r="U831" s="7" t="str">
        <f t="shared" si="105"/>
        <v>CLK_DETM_DETIS_JCDS_V</v>
      </c>
      <c r="V831" s="7" t="s">
        <v>829</v>
      </c>
    </row>
    <row r="832" spans="1:22">
      <c r="A832" s="7" t="str">
        <f>TRIM(ETLMetadata!$B832)</f>
        <v>CLK</v>
      </c>
      <c r="B832" s="7" t="str">
        <f>TRIM(ETLMetadata!$C832)</f>
        <v>DETM_DETIS_JCDS</v>
      </c>
      <c r="C832" s="7" t="str">
        <f>TRIM(ETLMetadata!$F832)</f>
        <v>ERROR_COUNT</v>
      </c>
      <c r="D832" s="7" t="str">
        <f>TRIM(ETLMetadata!$H832)</f>
        <v>StringType()</v>
      </c>
      <c r="E832" s="7" t="str">
        <f t="shared" si="104"/>
        <v>CLK_DETM_DETIS_JCDS</v>
      </c>
      <c r="F832" s="7" t="str">
        <f t="shared" si="98"/>
        <v>ERROR_COUNT</v>
      </c>
      <c r="G832" s="7" t="s">
        <v>825</v>
      </c>
      <c r="H832" s="7" t="str">
        <f t="shared" si="99"/>
        <v>CLK_DETM_DETIS_JCDS</v>
      </c>
      <c r="I832" s="7" t="str">
        <f t="shared" si="100"/>
        <v>ERROR_COUNT</v>
      </c>
      <c r="J832" s="7" t="str">
        <f t="shared" si="101"/>
        <v>SMALLINT</v>
      </c>
      <c r="K832" s="7" t="str">
        <f>TRIM(ETLMetadata!$G832)</f>
        <v>SMALLINT</v>
      </c>
      <c r="L832" s="7" t="str">
        <f>TRIM(ETLMetadata!$I832)</f>
        <v/>
      </c>
      <c r="M832" s="7" t="str">
        <f t="shared" si="102"/>
        <v>CAST(NULLIF(TRIM(ERROR_COUNT),'') AS SMALLINT)</v>
      </c>
      <c r="N832" s="7" t="str">
        <f>TRIM(ETLMetadata!$J832)</f>
        <v/>
      </c>
      <c r="O832" s="8" t="str">
        <f>IF(TRIM(Classification!$G832)="","NOT CONFIDENTIAL",TRIM(Classification!$G832))</f>
        <v>NOT CONFIDENTIAL</v>
      </c>
      <c r="P832" s="7" t="str">
        <f t="shared" si="103"/>
        <v>Y</v>
      </c>
      <c r="Q832" s="7" t="s">
        <v>826</v>
      </c>
      <c r="R832" s="9">
        <v>2958465</v>
      </c>
      <c r="S832" s="7" t="s">
        <v>827</v>
      </c>
      <c r="T832" s="7" t="s">
        <v>828</v>
      </c>
      <c r="U832" s="7" t="str">
        <f t="shared" si="105"/>
        <v>CLK_DETM_DETIS_JCDS_V</v>
      </c>
      <c r="V832" s="7" t="s">
        <v>829</v>
      </c>
    </row>
    <row r="833" spans="1:22">
      <c r="A833" s="7" t="str">
        <f>TRIM(ETLMetadata!$B833)</f>
        <v>CLK</v>
      </c>
      <c r="B833" s="7" t="str">
        <f>TRIM(ETLMetadata!$C833)</f>
        <v>DETM_DETIS_JCDS</v>
      </c>
      <c r="C833" s="7" t="str">
        <f>TRIM(ETLMetadata!$F833)</f>
        <v>Start_Date</v>
      </c>
      <c r="D833" s="7" t="str">
        <f>TRIM(ETLMetadata!$H833)</f>
        <v>StringType()</v>
      </c>
      <c r="E833" s="7" t="str">
        <f t="shared" si="104"/>
        <v>CLK_DETM_DETIS_JCDS</v>
      </c>
      <c r="F833" s="7" t="str">
        <f t="shared" si="98"/>
        <v>STRT_DT</v>
      </c>
      <c r="G833" s="7" t="s">
        <v>825</v>
      </c>
      <c r="H833" s="7" t="str">
        <f t="shared" si="99"/>
        <v>CLK_DETM_DETIS_JCDS</v>
      </c>
      <c r="I833" s="7" t="str">
        <f t="shared" si="100"/>
        <v>STRT_DT</v>
      </c>
      <c r="J833" s="7" t="str">
        <f t="shared" si="101"/>
        <v>DATE</v>
      </c>
      <c r="K833" s="7" t="str">
        <f>TRIM(ETLMetadata!$G833)</f>
        <v>DATE</v>
      </c>
      <c r="L833" s="7" t="str">
        <f>TRIM(ETLMetadata!$I833)</f>
        <v>YYYY-MM-DD</v>
      </c>
      <c r="M833" s="7" t="str">
        <f t="shared" si="102"/>
        <v>TO_DATE(NULLIF(TRIM(STRT_DT),'') , 'YYYY-MM-DD')</v>
      </c>
      <c r="N833" s="7" t="str">
        <f>TRIM(ETLMetadata!$J833)</f>
        <v/>
      </c>
      <c r="O833" s="8" t="str">
        <f>IF(TRIM(Classification!$G833)="","NOT CONFIDENTIAL",TRIM(Classification!$G833))</f>
        <v>NOT CONFIDENTIAL</v>
      </c>
      <c r="P833" s="7" t="str">
        <f t="shared" si="103"/>
        <v>N</v>
      </c>
      <c r="Q833" s="7" t="s">
        <v>826</v>
      </c>
      <c r="R833" s="9">
        <v>2958465</v>
      </c>
      <c r="S833" s="7" t="s">
        <v>827</v>
      </c>
      <c r="T833" s="7" t="s">
        <v>828</v>
      </c>
      <c r="U833" s="7" t="str">
        <f t="shared" si="105"/>
        <v>CLK_DETM_DETIS_JCDS_V</v>
      </c>
      <c r="V833" s="7" t="s">
        <v>829</v>
      </c>
    </row>
    <row r="834" spans="1:22">
      <c r="A834" s="7" t="str">
        <f>TRIM(ETLMetadata!$B834)</f>
        <v>CLK</v>
      </c>
      <c r="B834" s="7" t="str">
        <f>TRIM(ETLMetadata!$C834)</f>
        <v>DETM_DETIS_JCDS</v>
      </c>
      <c r="C834" s="7" t="str">
        <f>TRIM(ETLMetadata!$F834)</f>
        <v>End_Date</v>
      </c>
      <c r="D834" s="7" t="str">
        <f>TRIM(ETLMetadata!$H834)</f>
        <v>StringType()</v>
      </c>
      <c r="E834" s="7" t="str">
        <f t="shared" si="104"/>
        <v>CLK_DETM_DETIS_JCDS</v>
      </c>
      <c r="F834" s="7" t="str">
        <f t="shared" si="98"/>
        <v>END_DT</v>
      </c>
      <c r="G834" s="7" t="s">
        <v>825</v>
      </c>
      <c r="H834" s="7" t="str">
        <f t="shared" si="99"/>
        <v>CLK_DETM_DETIS_JCDS</v>
      </c>
      <c r="I834" s="7" t="str">
        <f t="shared" si="100"/>
        <v>END_DT</v>
      </c>
      <c r="J834" s="7" t="str">
        <f t="shared" si="101"/>
        <v>DATE</v>
      </c>
      <c r="K834" s="7" t="str">
        <f>TRIM(ETLMetadata!$G834)</f>
        <v>DATE</v>
      </c>
      <c r="L834" s="7" t="str">
        <f>TRIM(ETLMetadata!$I834)</f>
        <v>YYYY-MM-DD</v>
      </c>
      <c r="M834" s="7" t="str">
        <f t="shared" si="102"/>
        <v>TO_DATE(NULLIF(TRIM(END_DT),'') , 'YYYY-MM-DD')</v>
      </c>
      <c r="N834" s="7" t="str">
        <f>TRIM(ETLMetadata!$J834)</f>
        <v/>
      </c>
      <c r="O834" s="8" t="str">
        <f>IF(TRIM(Classification!$G834)="","NOT CONFIDENTIAL",TRIM(Classification!$G834))</f>
        <v>NOT CONFIDENTIAL</v>
      </c>
      <c r="P834" s="7" t="str">
        <f t="shared" si="103"/>
        <v>N</v>
      </c>
      <c r="Q834" s="7" t="s">
        <v>826</v>
      </c>
      <c r="R834" s="9">
        <v>2958465</v>
      </c>
      <c r="S834" s="7" t="s">
        <v>827</v>
      </c>
      <c r="T834" s="7" t="s">
        <v>828</v>
      </c>
      <c r="U834" s="7" t="str">
        <f t="shared" si="105"/>
        <v>CLK_DETM_DETIS_JCDS_V</v>
      </c>
      <c r="V834" s="7" t="s">
        <v>829</v>
      </c>
    </row>
    <row r="835" spans="1:22">
      <c r="A835" s="7" t="str">
        <f>TRIM(ETLMetadata!$B835)</f>
        <v>CLK</v>
      </c>
      <c r="B835" s="7" t="str">
        <f>TRIM(ETLMetadata!$C835)</f>
        <v>DETM_DETIS_JCDS</v>
      </c>
      <c r="C835" s="7" t="str">
        <f>TRIM(ETLMetadata!$F835)</f>
        <v>Record_Deleted_Flag</v>
      </c>
      <c r="D835" s="7" t="str">
        <f>TRIM(ETLMetadata!$H835)</f>
        <v>StringType()</v>
      </c>
      <c r="E835" s="7" t="str">
        <f t="shared" si="104"/>
        <v>CLK_DETM_DETIS_JCDS</v>
      </c>
      <c r="F835" s="7" t="str">
        <f t="shared" ref="F835:F898" si="106">IF($C835="Start_Date","STRT_DT",
 IF($C835="End_Date","END_DT",
 IF($C835="Record_Deleted_Flag","RCRD_DEL_IND",
 IF($C835="IsDeleted","RCRD_DEL_IND",
 $C835
))))</f>
        <v>RCRD_DEL_IND</v>
      </c>
      <c r="G835" s="7" t="s">
        <v>825</v>
      </c>
      <c r="H835" s="7" t="str">
        <f t="shared" ref="H835:H898" si="107">CONCATENATE($A835,"_",$B835)</f>
        <v>CLK_DETM_DETIS_JCDS</v>
      </c>
      <c r="I835" s="7" t="str">
        <f t="shared" ref="I835:I898" si="108">IF($C835="Start_Date","STRT_DT",
 IF($C835="End_Date","END_DT",
 IF($C835="Record_Deleted_Flag","RCRD_DEL_IND",
 IF($C835="IsDeleted","RCRD_DEL_IND",
 $C835
))))</f>
        <v>RCRD_DEL_IND</v>
      </c>
      <c r="J835" s="7" t="str">
        <f t="shared" ref="J835:J898" si="109">IF(LEFT(TRIM($K835),7)="VARCHAR","VARCHAR",
 IF(LEFT(TRIM($K835),4)="CHAR","VARCHAR",
 IF(TRIM($K835)="TIMESTAMP(6)","TIMESTAMP",
 IF(TRIM($K835)="DATE","DATE",
 IF(TRIM($K835)="BYTEINT","SMALLINT",
 IF(TRIM($K835)="SMALLINT","SMALLINT",
 IF(TRIM($K835)="INTEGER","INTEGER",
 IF(TRIM($K835)="BIGINT","INTEGER",
 IF(LEFT(TRIM($K835),7)="DECIMAL",TRIM($K835),
 IF(TRIM($K835)="BOOLEAN","BOOLEAN",
 IF(TRIM($K835)="DOUBLE","DOUBLE",
 IF(TRIM($K835)="FLOAT","FLOAT",
 IF(TRIM($K835)="REAL","REAL",
 IF(LEFT(TRIM($K835),6)="STRUCT","VARIANT",
 IF(LEFT(TRIM($K835),5)="ARRAY","VARIANT",
 IF(LEFT(TRIM($K835),3)="MAP","VARIANT",
 IF(LEFT(TRIM($K835),3)="ROW","VARIANT",
 "NONE"
)))))))))))))))))</f>
        <v>SMALLINT</v>
      </c>
      <c r="K835" s="7" t="str">
        <f>TRIM(ETLMetadata!$G835)</f>
        <v>BYTEINT</v>
      </c>
      <c r="L835" s="7" t="str">
        <f>TRIM(ETLMetadata!$I835)</f>
        <v/>
      </c>
      <c r="M835" s="7" t="str">
        <f t="shared" ref="M835:M898" si="110">IF(LEFT($K835,7)="VARCHAR","NULLIF(TRIM("&amp;$I835&amp;"),'')",
 IF(LEFT($K835,4)="CHAR","NULLIF(TRIM("&amp;$I835&amp;"),'')",
 IF(LEFT($K835,7)="DECIMAL","CAST(NULLIF(TRIM("&amp;$I835&amp;"),'') AS "&amp;$K835&amp;")",
 IF($K835="TIMESTAMP(6)","TO_TIMESTAMP_NTZ(NULLIF(TRIM("&amp;$I835&amp;"),''),'YYYY-MM-DD HH24:MI:SS.FF6')",
 IF($K835="DATE","TO_DATE(NULLIF(TRIM("&amp;$I835&amp;"),'') , 'YYYY-MM-DD')",
 IF($K835="BIGINT","CAST(NULLIF(TRIM("&amp;I835&amp;"),'') AS INTEGER)",
 IF($K835="BYTEINT","CAST(NULLIF(TRIM("&amp;I835&amp;"),'') AS SMALLINT)",
 IF($K835="SMALLINT","CAST(NULLIF(TRIM("&amp;I835&amp;"),'') AS SMALLINT)",
 IF($K835="INTEGER","CAST(NULLIF(TRIM("&amp;I835&amp;"),'') AS INTEGER)",
 IF($K835="BOOLEAN","CAST(NULLIF(TRIM("&amp;I835&amp;"),'') AS BOOLEAN)",
 IF($K835="DOUBLE","CAST(NULLIF(TRIM("&amp;I835&amp;"),'') AS DOUBLE)",
 IF($K835="FLOAT","CAST(NULLIF(TRIM("&amp;I835&amp;"),'') AS FLOAT)",
 IF($K835="REAL","CAST(NULLIF(TRIM("&amp;I835&amp;"),'') AS REAL)",
 IF(OR($K835="STRUCT",$K835="ARRAY",$K835="MAP",$K835="ROW"),"CAST(NULLIF(TRIM("&amp;I835&amp;"),'') AS VARIANT)",
 "NONE"
))))))))))))))</f>
        <v>CAST(NULLIF(TRIM(RCRD_DEL_IND),'') AS SMALLINT)</v>
      </c>
      <c r="N835" s="7" t="str">
        <f>TRIM(ETLMetadata!$J835)</f>
        <v/>
      </c>
      <c r="O835" s="8" t="str">
        <f>IF(TRIM(Classification!$G835)="","NOT CONFIDENTIAL",TRIM(Classification!$G835))</f>
        <v>NOT CONFIDENTIAL</v>
      </c>
      <c r="P835" s="7" t="str">
        <f t="shared" ref="P835:P898" si="111">IF($C835="Start_Date","N",
 IF($C835="End_Date","N",
 IF($C835="Record_Deleted_Flag","N",
 IF($C835="IsDeleted","N",
 "Y"
))))</f>
        <v>N</v>
      </c>
      <c r="Q835" s="7" t="s">
        <v>826</v>
      </c>
      <c r="R835" s="9">
        <v>2958465</v>
      </c>
      <c r="S835" s="7" t="s">
        <v>827</v>
      </c>
      <c r="T835" s="7" t="s">
        <v>828</v>
      </c>
      <c r="U835" s="7" t="str">
        <f t="shared" si="105"/>
        <v>CLK_DETM_DETIS_JCDS_V</v>
      </c>
      <c r="V835" s="7" t="s">
        <v>829</v>
      </c>
    </row>
    <row r="836" spans="1:22">
      <c r="A836" s="7" t="str">
        <f>TRIM(ETLMetadata!$B836)</f>
        <v>CLK</v>
      </c>
      <c r="B836" s="7" t="str">
        <f>TRIM(ETLMetadata!$C836)</f>
        <v>DETM_DETIS_JMDS</v>
      </c>
      <c r="C836" s="7" t="str">
        <f>TRIM(ETLMetadata!$F836)</f>
        <v>EXTRACT_DATE</v>
      </c>
      <c r="D836" s="7" t="str">
        <f>TRIM(ETLMetadata!$H836)</f>
        <v>StringType()</v>
      </c>
      <c r="E836" s="7" t="str">
        <f t="shared" si="104"/>
        <v>CLK_DETM_DETIS_JMDS</v>
      </c>
      <c r="F836" s="7" t="str">
        <f t="shared" si="106"/>
        <v>EXTRACT_DATE</v>
      </c>
      <c r="G836" s="7" t="s">
        <v>825</v>
      </c>
      <c r="H836" s="7" t="str">
        <f t="shared" si="107"/>
        <v>CLK_DETM_DETIS_JMDS</v>
      </c>
      <c r="I836" s="7" t="str">
        <f t="shared" si="108"/>
        <v>EXTRACT_DATE</v>
      </c>
      <c r="J836" s="7" t="str">
        <f t="shared" si="109"/>
        <v>DATE</v>
      </c>
      <c r="K836" s="7" t="str">
        <f>TRIM(ETLMetadata!$G836)</f>
        <v>DATE</v>
      </c>
      <c r="L836" s="7" t="str">
        <f>TRIM(ETLMetadata!$I836)</f>
        <v>YYYY-MM-DD</v>
      </c>
      <c r="M836" s="7" t="str">
        <f t="shared" si="110"/>
        <v>TO_DATE(NULLIF(TRIM(EXTRACT_DATE),'') , 'YYYY-MM-DD')</v>
      </c>
      <c r="N836" s="7" t="str">
        <f>TRIM(ETLMetadata!$J836)</f>
        <v/>
      </c>
      <c r="O836" s="8" t="str">
        <f>IF(TRIM(Classification!$G836)="","NOT CONFIDENTIAL",TRIM(Classification!$G836))</f>
        <v>NOT CONFIDENTIAL</v>
      </c>
      <c r="P836" s="7" t="str">
        <f t="shared" si="111"/>
        <v>Y</v>
      </c>
      <c r="Q836" s="7" t="s">
        <v>826</v>
      </c>
      <c r="R836" s="9">
        <v>2958465</v>
      </c>
      <c r="S836" s="7" t="s">
        <v>827</v>
      </c>
      <c r="T836" s="7" t="s">
        <v>828</v>
      </c>
      <c r="U836" s="7" t="str">
        <f t="shared" si="105"/>
        <v>CLK_DETM_DETIS_JMDS_V</v>
      </c>
      <c r="V836" s="7" t="s">
        <v>829</v>
      </c>
    </row>
    <row r="837" spans="1:22">
      <c r="A837" s="7" t="str">
        <f>TRIM(ETLMetadata!$B837)</f>
        <v>CLK</v>
      </c>
      <c r="B837" s="7" t="str">
        <f>TRIM(ETLMetadata!$C837)</f>
        <v>DETM_DETIS_JMDS</v>
      </c>
      <c r="C837" s="7" t="str">
        <f>TRIM(ETLMetadata!$F837)</f>
        <v>LOGICAL_DELETE_DATE</v>
      </c>
      <c r="D837" s="7" t="str">
        <f>TRIM(ETLMetadata!$H837)</f>
        <v>StringType()</v>
      </c>
      <c r="E837" s="7" t="str">
        <f t="shared" si="104"/>
        <v>CLK_DETM_DETIS_JMDS</v>
      </c>
      <c r="F837" s="7" t="str">
        <f t="shared" si="106"/>
        <v>LOGICAL_DELETE_DATE</v>
      </c>
      <c r="G837" s="7" t="s">
        <v>825</v>
      </c>
      <c r="H837" s="7" t="str">
        <f t="shared" si="107"/>
        <v>CLK_DETM_DETIS_JMDS</v>
      </c>
      <c r="I837" s="7" t="str">
        <f t="shared" si="108"/>
        <v>LOGICAL_DELETE_DATE</v>
      </c>
      <c r="J837" s="7" t="str">
        <f t="shared" si="109"/>
        <v>DATE</v>
      </c>
      <c r="K837" s="7" t="str">
        <f>TRIM(ETLMetadata!$G837)</f>
        <v>DATE</v>
      </c>
      <c r="L837" s="7" t="str">
        <f>TRIM(ETLMetadata!$I837)</f>
        <v>YYYY-MM-DD</v>
      </c>
      <c r="M837" s="7" t="str">
        <f t="shared" si="110"/>
        <v>TO_DATE(NULLIF(TRIM(LOGICAL_DELETE_DATE),'') , 'YYYY-MM-DD')</v>
      </c>
      <c r="N837" s="7" t="str">
        <f>TRIM(ETLMetadata!$J837)</f>
        <v/>
      </c>
      <c r="O837" s="8" t="str">
        <f>IF(TRIM(Classification!$G837)="","NOT CONFIDENTIAL",TRIM(Classification!$G837))</f>
        <v>NOT CONFIDENTIAL</v>
      </c>
      <c r="P837" s="7" t="str">
        <f t="shared" si="111"/>
        <v>Y</v>
      </c>
      <c r="Q837" s="7" t="s">
        <v>826</v>
      </c>
      <c r="R837" s="9">
        <v>2958465</v>
      </c>
      <c r="S837" s="7" t="s">
        <v>827</v>
      </c>
      <c r="T837" s="7" t="s">
        <v>828</v>
      </c>
      <c r="U837" s="7" t="str">
        <f t="shared" si="105"/>
        <v>CLK_DETM_DETIS_JMDS_V</v>
      </c>
      <c r="V837" s="7" t="s">
        <v>829</v>
      </c>
    </row>
    <row r="838" spans="1:22">
      <c r="A838" s="7" t="str">
        <f>TRIM(ETLMetadata!$B838)</f>
        <v>CLK</v>
      </c>
      <c r="B838" s="7" t="str">
        <f>TRIM(ETLMetadata!$C838)</f>
        <v>DETM_DETIS_JMDS</v>
      </c>
      <c r="C838" s="7" t="str">
        <f>TRIM(ETLMetadata!$F838)</f>
        <v>ENVIRONMENT_ID</v>
      </c>
      <c r="D838" s="7" t="str">
        <f>TRIM(ETLMetadata!$H838)</f>
        <v>StringType()</v>
      </c>
      <c r="E838" s="7" t="str">
        <f t="shared" si="104"/>
        <v>CLK_DETM_DETIS_JMDS</v>
      </c>
      <c r="F838" s="7" t="str">
        <f t="shared" si="106"/>
        <v>ENVIRONMENT_ID</v>
      </c>
      <c r="G838" s="7" t="s">
        <v>825</v>
      </c>
      <c r="H838" s="7" t="str">
        <f t="shared" si="107"/>
        <v>CLK_DETM_DETIS_JMDS</v>
      </c>
      <c r="I838" s="7" t="str">
        <f t="shared" si="108"/>
        <v>ENVIRONMENT_ID</v>
      </c>
      <c r="J838" s="7" t="str">
        <f t="shared" si="109"/>
        <v>VARCHAR</v>
      </c>
      <c r="K838" s="7" t="str">
        <f>TRIM(ETLMetadata!$G838)</f>
        <v>CHAR(1)</v>
      </c>
      <c r="L838" s="7" t="str">
        <f>TRIM(ETLMetadata!$I838)</f>
        <v/>
      </c>
      <c r="M838" s="7" t="str">
        <f t="shared" si="110"/>
        <v>NULLIF(TRIM(ENVIRONMENT_ID),'')</v>
      </c>
      <c r="N838" s="7" t="str">
        <f>TRIM(ETLMetadata!$J838)</f>
        <v>Y</v>
      </c>
      <c r="O838" s="8" t="str">
        <f>IF(TRIM(Classification!$G838)="","NOT CONFIDENTIAL",TRIM(Classification!$G838))</f>
        <v>NOT CONFIDENTIAL</v>
      </c>
      <c r="P838" s="7" t="str">
        <f t="shared" si="111"/>
        <v>Y</v>
      </c>
      <c r="Q838" s="7" t="s">
        <v>826</v>
      </c>
      <c r="R838" s="9">
        <v>2958465</v>
      </c>
      <c r="S838" s="7" t="s">
        <v>827</v>
      </c>
      <c r="T838" s="7" t="s">
        <v>828</v>
      </c>
      <c r="U838" s="7" t="str">
        <f t="shared" si="105"/>
        <v>CLK_DETM_DETIS_JMDS_V</v>
      </c>
      <c r="V838" s="7" t="s">
        <v>829</v>
      </c>
    </row>
    <row r="839" spans="1:22">
      <c r="A839" s="7" t="str">
        <f>TRIM(ETLMetadata!$B839)</f>
        <v>CLK</v>
      </c>
      <c r="B839" s="7" t="str">
        <f>TRIM(ETLMetadata!$C839)</f>
        <v>DETM_DETIS_JMDS</v>
      </c>
      <c r="C839" s="7" t="str">
        <f>TRIM(ETLMetadata!$F839)</f>
        <v>PERSON_ID</v>
      </c>
      <c r="D839" s="7" t="str">
        <f>TRIM(ETLMetadata!$H839)</f>
        <v>StringType()</v>
      </c>
      <c r="E839" s="7" t="str">
        <f t="shared" si="104"/>
        <v>CLK_DETM_DETIS_JMDS</v>
      </c>
      <c r="F839" s="7" t="str">
        <f t="shared" si="106"/>
        <v>PERSON_ID</v>
      </c>
      <c r="G839" s="7" t="s">
        <v>825</v>
      </c>
      <c r="H839" s="7" t="str">
        <f t="shared" si="107"/>
        <v>CLK_DETM_DETIS_JMDS</v>
      </c>
      <c r="I839" s="7" t="str">
        <f t="shared" si="108"/>
        <v>PERSON_ID</v>
      </c>
      <c r="J839" s="7" t="str">
        <f t="shared" si="109"/>
        <v>INTEGER</v>
      </c>
      <c r="K839" s="7" t="str">
        <f>TRIM(ETLMetadata!$G839)</f>
        <v>INTEGER</v>
      </c>
      <c r="L839" s="7" t="str">
        <f>TRIM(ETLMetadata!$I839)</f>
        <v/>
      </c>
      <c r="M839" s="7" t="str">
        <f t="shared" si="110"/>
        <v>CAST(NULLIF(TRIM(PERSON_ID),'') AS INTEGER)</v>
      </c>
      <c r="N839" s="7" t="str">
        <f>TRIM(ETLMetadata!$J839)</f>
        <v>Y</v>
      </c>
      <c r="O839" s="8" t="str">
        <f>IF(TRIM(Classification!$G839)="","NOT CONFIDENTIAL",TRIM(Classification!$G839))</f>
        <v>PERSONAL_IDENTITYINFOINDIRECT</v>
      </c>
      <c r="P839" s="7" t="str">
        <f t="shared" si="111"/>
        <v>Y</v>
      </c>
      <c r="Q839" s="7" t="s">
        <v>826</v>
      </c>
      <c r="R839" s="9">
        <v>2958465</v>
      </c>
      <c r="S839" s="7" t="s">
        <v>827</v>
      </c>
      <c r="T839" s="7" t="s">
        <v>828</v>
      </c>
      <c r="U839" s="7" t="str">
        <f t="shared" si="105"/>
        <v>CLK_DETM_DETIS_JMDS_V</v>
      </c>
      <c r="V839" s="7" t="s">
        <v>829</v>
      </c>
    </row>
    <row r="840" spans="1:22">
      <c r="A840" s="7" t="str">
        <f>TRIM(ETLMetadata!$B840)</f>
        <v>CLK</v>
      </c>
      <c r="B840" s="7" t="str">
        <f>TRIM(ETLMetadata!$C840)</f>
        <v>DETM_DETIS_JMDS</v>
      </c>
      <c r="C840" s="7" t="str">
        <f>TRIM(ETLMetadata!$F840)</f>
        <v>JMDS_DOE</v>
      </c>
      <c r="D840" s="7" t="str">
        <f>TRIM(ETLMetadata!$H840)</f>
        <v>StringType()</v>
      </c>
      <c r="E840" s="7" t="str">
        <f t="shared" si="104"/>
        <v>CLK_DETM_DETIS_JMDS</v>
      </c>
      <c r="F840" s="7" t="str">
        <f t="shared" si="106"/>
        <v>JMDS_DOE</v>
      </c>
      <c r="G840" s="7" t="s">
        <v>825</v>
      </c>
      <c r="H840" s="7" t="str">
        <f t="shared" si="107"/>
        <v>CLK_DETM_DETIS_JMDS</v>
      </c>
      <c r="I840" s="7" t="str">
        <f t="shared" si="108"/>
        <v>JMDS_DOE</v>
      </c>
      <c r="J840" s="7" t="str">
        <f t="shared" si="109"/>
        <v>DATE</v>
      </c>
      <c r="K840" s="17" t="s">
        <v>80</v>
      </c>
      <c r="L840" s="7" t="str">
        <f>TRIM(ETLMetadata!$I840)</f>
        <v>YYYY-MM-DD</v>
      </c>
      <c r="M840" s="7" t="str">
        <f t="shared" si="110"/>
        <v>TO_DATE(NULLIF(TRIM(JMDS_DOE),'') , 'YYYY-MM-DD')</v>
      </c>
      <c r="N840" s="7" t="str">
        <f>TRIM(ETLMetadata!$J840)</f>
        <v/>
      </c>
      <c r="O840" s="8" t="str">
        <f>IF(TRIM(Classification!$G840)="","NOT CONFIDENTIAL",TRIM(Classification!$G840))</f>
        <v>NOT CONFIDENTIAL</v>
      </c>
      <c r="P840" s="7" t="str">
        <f t="shared" si="111"/>
        <v>Y</v>
      </c>
      <c r="Q840" s="7" t="s">
        <v>826</v>
      </c>
      <c r="R840" s="9">
        <v>2958465</v>
      </c>
      <c r="S840" s="7" t="s">
        <v>827</v>
      </c>
      <c r="T840" s="7" t="s">
        <v>828</v>
      </c>
      <c r="U840" s="7" t="str">
        <f t="shared" si="105"/>
        <v>CLK_DETM_DETIS_JMDS_V</v>
      </c>
      <c r="V840" s="7" t="s">
        <v>829</v>
      </c>
    </row>
    <row r="841" spans="1:22">
      <c r="A841" s="7" t="str">
        <f>TRIM(ETLMetadata!$B841)</f>
        <v>CLK</v>
      </c>
      <c r="B841" s="7" t="str">
        <f>TRIM(ETLMetadata!$C841)</f>
        <v>DETM_DETIS_JMDS</v>
      </c>
      <c r="C841" s="7" t="str">
        <f>TRIM(ETLMetadata!$F841)</f>
        <v>JMDS_DOE_ORIG</v>
      </c>
      <c r="D841" s="7" t="str">
        <f>TRIM(ETLMetadata!$H841)</f>
        <v>StringType()</v>
      </c>
      <c r="E841" s="7" t="str">
        <f t="shared" si="104"/>
        <v>CLK_DETM_DETIS_JMDS</v>
      </c>
      <c r="F841" s="7" t="str">
        <f t="shared" si="106"/>
        <v>JMDS_DOE_ORIG</v>
      </c>
      <c r="G841" s="7" t="s">
        <v>825</v>
      </c>
      <c r="H841" s="7" t="str">
        <f t="shared" si="107"/>
        <v>CLK_DETM_DETIS_JMDS</v>
      </c>
      <c r="I841" s="7" t="str">
        <f t="shared" si="108"/>
        <v>JMDS_DOE_ORIG</v>
      </c>
      <c r="J841" s="7" t="str">
        <f t="shared" si="109"/>
        <v>INTEGER</v>
      </c>
      <c r="K841" s="17" t="s">
        <v>90</v>
      </c>
      <c r="L841" s="7" t="str">
        <f>TRIM(ETLMetadata!$I841)</f>
        <v/>
      </c>
      <c r="M841" s="7" t="str">
        <f t="shared" si="110"/>
        <v>CAST(NULLIF(TRIM(JMDS_DOE_ORIG),'') AS INTEGER)</v>
      </c>
      <c r="N841" s="7" t="str">
        <f>TRIM(ETLMetadata!$J841)</f>
        <v/>
      </c>
      <c r="O841" s="8" t="str">
        <f>IF(TRIM(Classification!$G841)="","NOT CONFIDENTIAL",TRIM(Classification!$G841))</f>
        <v>NOT CONFIDENTIAL</v>
      </c>
      <c r="P841" s="7" t="str">
        <f t="shared" si="111"/>
        <v>Y</v>
      </c>
      <c r="Q841" s="7" t="s">
        <v>826</v>
      </c>
      <c r="R841" s="9">
        <v>2958465</v>
      </c>
      <c r="S841" s="7" t="s">
        <v>827</v>
      </c>
      <c r="T841" s="7" t="s">
        <v>828</v>
      </c>
      <c r="U841" s="7" t="str">
        <f t="shared" si="105"/>
        <v>CLK_DETM_DETIS_JMDS_V</v>
      </c>
      <c r="V841" s="7" t="s">
        <v>829</v>
      </c>
    </row>
    <row r="842" spans="1:22">
      <c r="A842" s="7" t="str">
        <f>TRIM(ETLMetadata!$B842)</f>
        <v>CLK</v>
      </c>
      <c r="B842" s="7" t="str">
        <f>TRIM(ETLMetadata!$C842)</f>
        <v>DETM_DETIS_JMDS</v>
      </c>
      <c r="C842" s="7" t="str">
        <f>TRIM(ETLMetadata!$F842)</f>
        <v>PROCESSING_SEQUENCE</v>
      </c>
      <c r="D842" s="7" t="str">
        <f>TRIM(ETLMetadata!$H842)</f>
        <v>StringType()</v>
      </c>
      <c r="E842" s="7" t="str">
        <f t="shared" si="104"/>
        <v>CLK_DETM_DETIS_JMDS</v>
      </c>
      <c r="F842" s="7" t="str">
        <f t="shared" si="106"/>
        <v>PROCESSING_SEQUENCE</v>
      </c>
      <c r="G842" s="7" t="s">
        <v>825</v>
      </c>
      <c r="H842" s="7" t="str">
        <f t="shared" si="107"/>
        <v>CLK_DETM_DETIS_JMDS</v>
      </c>
      <c r="I842" s="7" t="str">
        <f t="shared" si="108"/>
        <v>PROCESSING_SEQUENCE</v>
      </c>
      <c r="J842" s="7" t="str">
        <f t="shared" si="109"/>
        <v>SMALLINT</v>
      </c>
      <c r="K842" s="7" t="str">
        <f>TRIM(ETLMetadata!$G842)</f>
        <v>SMALLINT</v>
      </c>
      <c r="L842" s="7" t="str">
        <f>TRIM(ETLMetadata!$I842)</f>
        <v/>
      </c>
      <c r="M842" s="7" t="str">
        <f t="shared" si="110"/>
        <v>CAST(NULLIF(TRIM(PROCESSING_SEQUENCE),'') AS SMALLINT)</v>
      </c>
      <c r="N842" s="7" t="str">
        <f>TRIM(ETLMetadata!$J842)</f>
        <v>Y</v>
      </c>
      <c r="O842" s="8" t="str">
        <f>IF(TRIM(Classification!$G842)="","NOT CONFIDENTIAL",TRIM(Classification!$G842))</f>
        <v>NOT CONFIDENTIAL</v>
      </c>
      <c r="P842" s="7" t="str">
        <f t="shared" si="111"/>
        <v>Y</v>
      </c>
      <c r="Q842" s="7" t="s">
        <v>826</v>
      </c>
      <c r="R842" s="9">
        <v>2958465</v>
      </c>
      <c r="S842" s="7" t="s">
        <v>827</v>
      </c>
      <c r="T842" s="7" t="s">
        <v>828</v>
      </c>
      <c r="U842" s="7" t="str">
        <f t="shared" si="105"/>
        <v>CLK_DETM_DETIS_JMDS_V</v>
      </c>
      <c r="V842" s="7" t="s">
        <v>829</v>
      </c>
    </row>
    <row r="843" spans="1:22">
      <c r="A843" s="7" t="str">
        <f>TRIM(ETLMetadata!$B843)</f>
        <v>CLK</v>
      </c>
      <c r="B843" s="7" t="str">
        <f>TRIM(ETLMetadata!$C843)</f>
        <v>DETM_DETIS_JMDS</v>
      </c>
      <c r="C843" s="7" t="str">
        <f>TRIM(ETLMetadata!$F843)</f>
        <v>JMDS_AMR_1</v>
      </c>
      <c r="D843" s="7" t="str">
        <f>TRIM(ETLMetadata!$H843)</f>
        <v>StringType()</v>
      </c>
      <c r="E843" s="7" t="str">
        <f t="shared" si="104"/>
        <v>CLK_DETM_DETIS_JMDS</v>
      </c>
      <c r="F843" s="7" t="str">
        <f t="shared" si="106"/>
        <v>JMDS_AMR_1</v>
      </c>
      <c r="G843" s="7" t="s">
        <v>825</v>
      </c>
      <c r="H843" s="7" t="str">
        <f t="shared" si="107"/>
        <v>CLK_DETM_DETIS_JMDS</v>
      </c>
      <c r="I843" s="7" t="str">
        <f t="shared" si="108"/>
        <v>JMDS_AMR_1</v>
      </c>
      <c r="J843" s="7" t="str">
        <f t="shared" si="109"/>
        <v>VARCHAR</v>
      </c>
      <c r="K843" s="7" t="str">
        <f>TRIM(ETLMetadata!$G843)</f>
        <v>CHAR(4)</v>
      </c>
      <c r="L843" s="7" t="str">
        <f>TRIM(ETLMetadata!$I843)</f>
        <v/>
      </c>
      <c r="M843" s="7" t="str">
        <f t="shared" si="110"/>
        <v>NULLIF(TRIM(JMDS_AMR_1),'')</v>
      </c>
      <c r="N843" s="7" t="str">
        <f>TRIM(ETLMetadata!$J843)</f>
        <v/>
      </c>
      <c r="O843" s="8" t="str">
        <f>IF(TRIM(Classification!$G843)="","NOT CONFIDENTIAL",TRIM(Classification!$G843))</f>
        <v>NOT CONFIDENTIAL</v>
      </c>
      <c r="P843" s="7" t="str">
        <f t="shared" si="111"/>
        <v>Y</v>
      </c>
      <c r="Q843" s="7" t="s">
        <v>826</v>
      </c>
      <c r="R843" s="9">
        <v>2958465</v>
      </c>
      <c r="S843" s="7" t="s">
        <v>827</v>
      </c>
      <c r="T843" s="7" t="s">
        <v>828</v>
      </c>
      <c r="U843" s="7" t="str">
        <f t="shared" si="105"/>
        <v>CLK_DETM_DETIS_JMDS_V</v>
      </c>
      <c r="V843" s="7" t="s">
        <v>829</v>
      </c>
    </row>
    <row r="844" spans="1:22">
      <c r="A844" s="7" t="str">
        <f>TRIM(ETLMetadata!$B844)</f>
        <v>CLK</v>
      </c>
      <c r="B844" s="7" t="str">
        <f>TRIM(ETLMetadata!$C844)</f>
        <v>DETM_DETIS_JMDS</v>
      </c>
      <c r="C844" s="7" t="str">
        <f>TRIM(ETLMetadata!$F844)</f>
        <v>JMDS_AMR_2</v>
      </c>
      <c r="D844" s="7" t="str">
        <f>TRIM(ETLMetadata!$H844)</f>
        <v>StringType()</v>
      </c>
      <c r="E844" s="7" t="str">
        <f t="shared" si="104"/>
        <v>CLK_DETM_DETIS_JMDS</v>
      </c>
      <c r="F844" s="7" t="str">
        <f t="shared" si="106"/>
        <v>JMDS_AMR_2</v>
      </c>
      <c r="G844" s="7" t="s">
        <v>825</v>
      </c>
      <c r="H844" s="7" t="str">
        <f t="shared" si="107"/>
        <v>CLK_DETM_DETIS_JMDS</v>
      </c>
      <c r="I844" s="7" t="str">
        <f t="shared" si="108"/>
        <v>JMDS_AMR_2</v>
      </c>
      <c r="J844" s="7" t="str">
        <f t="shared" si="109"/>
        <v>VARCHAR</v>
      </c>
      <c r="K844" s="7" t="str">
        <f>TRIM(ETLMetadata!$G844)</f>
        <v>CHAR(1)</v>
      </c>
      <c r="L844" s="7" t="str">
        <f>TRIM(ETLMetadata!$I844)</f>
        <v/>
      </c>
      <c r="M844" s="7" t="str">
        <f t="shared" si="110"/>
        <v>NULLIF(TRIM(JMDS_AMR_2),'')</v>
      </c>
      <c r="N844" s="7" t="str">
        <f>TRIM(ETLMetadata!$J844)</f>
        <v/>
      </c>
      <c r="O844" s="8" t="str">
        <f>IF(TRIM(Classification!$G844)="","NOT CONFIDENTIAL",TRIM(Classification!$G844))</f>
        <v>NOT CONFIDENTIAL</v>
      </c>
      <c r="P844" s="7" t="str">
        <f t="shared" si="111"/>
        <v>Y</v>
      </c>
      <c r="Q844" s="7" t="s">
        <v>826</v>
      </c>
      <c r="R844" s="9">
        <v>2958465</v>
      </c>
      <c r="S844" s="7" t="s">
        <v>827</v>
      </c>
      <c r="T844" s="7" t="s">
        <v>828</v>
      </c>
      <c r="U844" s="7" t="str">
        <f t="shared" si="105"/>
        <v>CLK_DETM_DETIS_JMDS_V</v>
      </c>
      <c r="V844" s="7" t="s">
        <v>829</v>
      </c>
    </row>
    <row r="845" spans="1:22">
      <c r="A845" s="7" t="str">
        <f>TRIM(ETLMetadata!$B845)</f>
        <v>CLK</v>
      </c>
      <c r="B845" s="7" t="str">
        <f>TRIM(ETLMetadata!$C845)</f>
        <v>DETM_DETIS_JMDS</v>
      </c>
      <c r="C845" s="7" t="str">
        <f>TRIM(ETLMetadata!$F845)</f>
        <v>JMDS_AMR_3</v>
      </c>
      <c r="D845" s="7" t="str">
        <f>TRIM(ETLMetadata!$H845)</f>
        <v>StringType()</v>
      </c>
      <c r="E845" s="7" t="str">
        <f t="shared" si="104"/>
        <v>CLK_DETM_DETIS_JMDS</v>
      </c>
      <c r="F845" s="7" t="str">
        <f t="shared" si="106"/>
        <v>JMDS_AMR_3</v>
      </c>
      <c r="G845" s="7" t="s">
        <v>825</v>
      </c>
      <c r="H845" s="7" t="str">
        <f t="shared" si="107"/>
        <v>CLK_DETM_DETIS_JMDS</v>
      </c>
      <c r="I845" s="7" t="str">
        <f t="shared" si="108"/>
        <v>JMDS_AMR_3</v>
      </c>
      <c r="J845" s="7" t="str">
        <f t="shared" si="109"/>
        <v>VARCHAR</v>
      </c>
      <c r="K845" s="7" t="str">
        <f>TRIM(ETLMetadata!$G845)</f>
        <v>CHAR(4)</v>
      </c>
      <c r="L845" s="7" t="str">
        <f>TRIM(ETLMetadata!$I845)</f>
        <v/>
      </c>
      <c r="M845" s="7" t="str">
        <f t="shared" si="110"/>
        <v>NULLIF(TRIM(JMDS_AMR_3),'')</v>
      </c>
      <c r="N845" s="7" t="str">
        <f>TRIM(ETLMetadata!$J845)</f>
        <v/>
      </c>
      <c r="O845" s="8" t="str">
        <f>IF(TRIM(Classification!$G845)="","NOT CONFIDENTIAL",TRIM(Classification!$G845))</f>
        <v>NOT CONFIDENTIAL</v>
      </c>
      <c r="P845" s="7" t="str">
        <f t="shared" si="111"/>
        <v>Y</v>
      </c>
      <c r="Q845" s="7" t="s">
        <v>826</v>
      </c>
      <c r="R845" s="9">
        <v>2958465</v>
      </c>
      <c r="S845" s="7" t="s">
        <v>827</v>
      </c>
      <c r="T845" s="7" t="s">
        <v>828</v>
      </c>
      <c r="U845" s="7" t="str">
        <f t="shared" si="105"/>
        <v>CLK_DETM_DETIS_JMDS_V</v>
      </c>
      <c r="V845" s="7" t="s">
        <v>829</v>
      </c>
    </row>
    <row r="846" spans="1:22">
      <c r="A846" s="7" t="str">
        <f>TRIM(ETLMetadata!$B846)</f>
        <v>CLK</v>
      </c>
      <c r="B846" s="7" t="str">
        <f>TRIM(ETLMetadata!$C846)</f>
        <v>DETM_DETIS_JMDS</v>
      </c>
      <c r="C846" s="7" t="str">
        <f>TRIM(ETLMetadata!$F846)</f>
        <v>JMDS_BEN_TYPE_CODE</v>
      </c>
      <c r="D846" s="7" t="str">
        <f>TRIM(ETLMetadata!$H846)</f>
        <v>StringType()</v>
      </c>
      <c r="E846" s="7" t="str">
        <f t="shared" si="104"/>
        <v>CLK_DETM_DETIS_JMDS</v>
      </c>
      <c r="F846" s="7" t="str">
        <f t="shared" si="106"/>
        <v>JMDS_BEN_TYPE_CODE</v>
      </c>
      <c r="G846" s="7" t="s">
        <v>825</v>
      </c>
      <c r="H846" s="7" t="str">
        <f t="shared" si="107"/>
        <v>CLK_DETM_DETIS_JMDS</v>
      </c>
      <c r="I846" s="7" t="str">
        <f t="shared" si="108"/>
        <v>JMDS_BEN_TYPE_CODE</v>
      </c>
      <c r="J846" s="7" t="str">
        <f t="shared" si="109"/>
        <v>VARCHAR</v>
      </c>
      <c r="K846" s="7" t="str">
        <f>TRIM(ETLMetadata!$G846)</f>
        <v>CHAR(3)</v>
      </c>
      <c r="L846" s="7" t="str">
        <f>TRIM(ETLMetadata!$I846)</f>
        <v/>
      </c>
      <c r="M846" s="7" t="str">
        <f t="shared" si="110"/>
        <v>NULLIF(TRIM(JMDS_BEN_TYPE_CODE),'')</v>
      </c>
      <c r="N846" s="7" t="str">
        <f>TRIM(ETLMetadata!$J846)</f>
        <v/>
      </c>
      <c r="O846" s="8" t="str">
        <f>IF(TRIM(Classification!$G846)="","NOT CONFIDENTIAL",TRIM(Classification!$G846))</f>
        <v>NOT CONFIDENTIAL</v>
      </c>
      <c r="P846" s="7" t="str">
        <f t="shared" si="111"/>
        <v>Y</v>
      </c>
      <c r="Q846" s="7" t="s">
        <v>826</v>
      </c>
      <c r="R846" s="9">
        <v>2958465</v>
      </c>
      <c r="S846" s="7" t="s">
        <v>827</v>
      </c>
      <c r="T846" s="7" t="s">
        <v>828</v>
      </c>
      <c r="U846" s="7" t="str">
        <f t="shared" si="105"/>
        <v>CLK_DETM_DETIS_JMDS_V</v>
      </c>
      <c r="V846" s="7" t="s">
        <v>829</v>
      </c>
    </row>
    <row r="847" spans="1:22">
      <c r="A847" s="7" t="str">
        <f>TRIM(ETLMetadata!$B847)</f>
        <v>CLK</v>
      </c>
      <c r="B847" s="7" t="str">
        <f>TRIM(ETLMetadata!$C847)</f>
        <v>DETM_DETIS_JMDS</v>
      </c>
      <c r="C847" s="7" t="str">
        <f>TRIM(ETLMetadata!$F847)</f>
        <v>JMDS_STS_CODE</v>
      </c>
      <c r="D847" s="7" t="str">
        <f>TRIM(ETLMetadata!$H847)</f>
        <v>StringType()</v>
      </c>
      <c r="E847" s="7" t="str">
        <f t="shared" si="104"/>
        <v>CLK_DETM_DETIS_JMDS</v>
      </c>
      <c r="F847" s="7" t="str">
        <f t="shared" si="106"/>
        <v>JMDS_STS_CODE</v>
      </c>
      <c r="G847" s="7" t="s">
        <v>825</v>
      </c>
      <c r="H847" s="7" t="str">
        <f t="shared" si="107"/>
        <v>CLK_DETM_DETIS_JMDS</v>
      </c>
      <c r="I847" s="7" t="str">
        <f t="shared" si="108"/>
        <v>JMDS_STS_CODE</v>
      </c>
      <c r="J847" s="7" t="str">
        <f t="shared" si="109"/>
        <v>VARCHAR</v>
      </c>
      <c r="K847" s="7" t="str">
        <f>TRIM(ETLMetadata!$G847)</f>
        <v>CHAR(3)</v>
      </c>
      <c r="L847" s="7" t="str">
        <f>TRIM(ETLMetadata!$I847)</f>
        <v/>
      </c>
      <c r="M847" s="7" t="str">
        <f t="shared" si="110"/>
        <v>NULLIF(TRIM(JMDS_STS_CODE),'')</v>
      </c>
      <c r="N847" s="7" t="str">
        <f>TRIM(ETLMetadata!$J847)</f>
        <v/>
      </c>
      <c r="O847" s="8" t="str">
        <f>IF(TRIM(Classification!$G847)="","NOT CONFIDENTIAL",TRIM(Classification!$G847))</f>
        <v>NOT CONFIDENTIAL</v>
      </c>
      <c r="P847" s="7" t="str">
        <f t="shared" si="111"/>
        <v>Y</v>
      </c>
      <c r="Q847" s="7" t="s">
        <v>826</v>
      </c>
      <c r="R847" s="9">
        <v>2958465</v>
      </c>
      <c r="S847" s="7" t="s">
        <v>827</v>
      </c>
      <c r="T847" s="7" t="s">
        <v>828</v>
      </c>
      <c r="U847" s="7" t="str">
        <f t="shared" si="105"/>
        <v>CLK_DETM_DETIS_JMDS_V</v>
      </c>
      <c r="V847" s="7" t="s">
        <v>829</v>
      </c>
    </row>
    <row r="848" spans="1:22">
      <c r="A848" s="7" t="str">
        <f>TRIM(ETLMetadata!$B848)</f>
        <v>CLK</v>
      </c>
      <c r="B848" s="7" t="str">
        <f>TRIM(ETLMetadata!$C848)</f>
        <v>DETM_DETIS_JMDS</v>
      </c>
      <c r="C848" s="7" t="str">
        <f>TRIM(ETLMetadata!$F848)</f>
        <v>JMDS_RSN_CODE</v>
      </c>
      <c r="D848" s="7" t="str">
        <f>TRIM(ETLMetadata!$H848)</f>
        <v>StringType()</v>
      </c>
      <c r="E848" s="7" t="str">
        <f t="shared" si="104"/>
        <v>CLK_DETM_DETIS_JMDS</v>
      </c>
      <c r="F848" s="7" t="str">
        <f t="shared" si="106"/>
        <v>JMDS_RSN_CODE</v>
      </c>
      <c r="G848" s="7" t="s">
        <v>825</v>
      </c>
      <c r="H848" s="7" t="str">
        <f t="shared" si="107"/>
        <v>CLK_DETM_DETIS_JMDS</v>
      </c>
      <c r="I848" s="7" t="str">
        <f t="shared" si="108"/>
        <v>JMDS_RSN_CODE</v>
      </c>
      <c r="J848" s="7" t="str">
        <f t="shared" si="109"/>
        <v>VARCHAR</v>
      </c>
      <c r="K848" s="7" t="str">
        <f>TRIM(ETLMetadata!$G848)</f>
        <v>CHAR(3)</v>
      </c>
      <c r="L848" s="7" t="str">
        <f>TRIM(ETLMetadata!$I848)</f>
        <v/>
      </c>
      <c r="M848" s="7" t="str">
        <f t="shared" si="110"/>
        <v>NULLIF(TRIM(JMDS_RSN_CODE),'')</v>
      </c>
      <c r="N848" s="7" t="str">
        <f>TRIM(ETLMetadata!$J848)</f>
        <v/>
      </c>
      <c r="O848" s="8" t="str">
        <f>IF(TRIM(Classification!$G848)="","NOT CONFIDENTIAL",TRIM(Classification!$G848))</f>
        <v>NOT CONFIDENTIAL</v>
      </c>
      <c r="P848" s="7" t="str">
        <f t="shared" si="111"/>
        <v>Y</v>
      </c>
      <c r="Q848" s="7" t="s">
        <v>826</v>
      </c>
      <c r="R848" s="9">
        <v>2958465</v>
      </c>
      <c r="S848" s="7" t="s">
        <v>827</v>
      </c>
      <c r="T848" s="7" t="s">
        <v>828</v>
      </c>
      <c r="U848" s="7" t="str">
        <f t="shared" si="105"/>
        <v>CLK_DETM_DETIS_JMDS_V</v>
      </c>
      <c r="V848" s="7" t="s">
        <v>829</v>
      </c>
    </row>
    <row r="849" spans="1:22">
      <c r="A849" s="7" t="str">
        <f>TRIM(ETLMetadata!$B849)</f>
        <v>CLK</v>
      </c>
      <c r="B849" s="7" t="str">
        <f>TRIM(ETLMetadata!$C849)</f>
        <v>DETM_DETIS_JMDS</v>
      </c>
      <c r="C849" s="7" t="str">
        <f>TRIM(ETLMetadata!$F849)</f>
        <v>ERROR_COUNT</v>
      </c>
      <c r="D849" s="7" t="str">
        <f>TRIM(ETLMetadata!$H849)</f>
        <v>StringType()</v>
      </c>
      <c r="E849" s="7" t="str">
        <f t="shared" si="104"/>
        <v>CLK_DETM_DETIS_JMDS</v>
      </c>
      <c r="F849" s="7" t="str">
        <f t="shared" si="106"/>
        <v>ERROR_COUNT</v>
      </c>
      <c r="G849" s="7" t="s">
        <v>825</v>
      </c>
      <c r="H849" s="7" t="str">
        <f t="shared" si="107"/>
        <v>CLK_DETM_DETIS_JMDS</v>
      </c>
      <c r="I849" s="7" t="str">
        <f t="shared" si="108"/>
        <v>ERROR_COUNT</v>
      </c>
      <c r="J849" s="7" t="str">
        <f t="shared" si="109"/>
        <v>SMALLINT</v>
      </c>
      <c r="K849" s="7" t="str">
        <f>TRIM(ETLMetadata!$G849)</f>
        <v>SMALLINT</v>
      </c>
      <c r="L849" s="7" t="str">
        <f>TRIM(ETLMetadata!$I849)</f>
        <v/>
      </c>
      <c r="M849" s="7" t="str">
        <f t="shared" si="110"/>
        <v>CAST(NULLIF(TRIM(ERROR_COUNT),'') AS SMALLINT)</v>
      </c>
      <c r="N849" s="7" t="str">
        <f>TRIM(ETLMetadata!$J849)</f>
        <v/>
      </c>
      <c r="O849" s="8" t="str">
        <f>IF(TRIM(Classification!$G849)="","NOT CONFIDENTIAL",TRIM(Classification!$G849))</f>
        <v>NOT CONFIDENTIAL</v>
      </c>
      <c r="P849" s="7" t="str">
        <f t="shared" si="111"/>
        <v>Y</v>
      </c>
      <c r="Q849" s="7" t="s">
        <v>826</v>
      </c>
      <c r="R849" s="9">
        <v>2958465</v>
      </c>
      <c r="S849" s="7" t="s">
        <v>827</v>
      </c>
      <c r="T849" s="7" t="s">
        <v>828</v>
      </c>
      <c r="U849" s="7" t="str">
        <f t="shared" si="105"/>
        <v>CLK_DETM_DETIS_JMDS_V</v>
      </c>
      <c r="V849" s="7" t="s">
        <v>829</v>
      </c>
    </row>
    <row r="850" spans="1:22">
      <c r="A850" s="7" t="str">
        <f>TRIM(ETLMetadata!$B850)</f>
        <v>CLK</v>
      </c>
      <c r="B850" s="7" t="str">
        <f>TRIM(ETLMetadata!$C850)</f>
        <v>DETM_DETIS_JMDS</v>
      </c>
      <c r="C850" s="7" t="str">
        <f>TRIM(ETLMetadata!$F850)</f>
        <v>PARTY_ROLE_ID</v>
      </c>
      <c r="D850" s="7" t="str">
        <f>TRIM(ETLMetadata!$H850)</f>
        <v>StringType()</v>
      </c>
      <c r="E850" s="7" t="str">
        <f t="shared" si="104"/>
        <v>CLK_DETM_DETIS_JMDS</v>
      </c>
      <c r="F850" s="7" t="str">
        <f t="shared" si="106"/>
        <v>PARTY_ROLE_ID</v>
      </c>
      <c r="G850" s="7" t="s">
        <v>825</v>
      </c>
      <c r="H850" s="7" t="str">
        <f t="shared" si="107"/>
        <v>CLK_DETM_DETIS_JMDS</v>
      </c>
      <c r="I850" s="7" t="str">
        <f t="shared" si="108"/>
        <v>PARTY_ROLE_ID</v>
      </c>
      <c r="J850" s="7" t="str">
        <f t="shared" si="109"/>
        <v>INTEGER</v>
      </c>
      <c r="K850" s="7" t="str">
        <f>TRIM(ETLMetadata!$G850)</f>
        <v>INTEGER</v>
      </c>
      <c r="L850" s="7" t="str">
        <f>TRIM(ETLMetadata!$I850)</f>
        <v/>
      </c>
      <c r="M850" s="7" t="str">
        <f t="shared" si="110"/>
        <v>CAST(NULLIF(TRIM(PARTY_ROLE_ID),'') AS INTEGER)</v>
      </c>
      <c r="N850" s="7" t="str">
        <f>TRIM(ETLMetadata!$J850)</f>
        <v/>
      </c>
      <c r="O850" s="8" t="str">
        <f>IF(TRIM(Classification!$G850)="","NOT CONFIDENTIAL",TRIM(Classification!$G850))</f>
        <v>NOT CONFIDENTIAL</v>
      </c>
      <c r="P850" s="7" t="str">
        <f t="shared" si="111"/>
        <v>Y</v>
      </c>
      <c r="Q850" s="7" t="s">
        <v>826</v>
      </c>
      <c r="R850" s="9">
        <v>2958465</v>
      </c>
      <c r="S850" s="7" t="s">
        <v>827</v>
      </c>
      <c r="T850" s="7" t="s">
        <v>828</v>
      </c>
      <c r="U850" s="7" t="str">
        <f t="shared" si="105"/>
        <v>CLK_DETM_DETIS_JMDS_V</v>
      </c>
      <c r="V850" s="7" t="s">
        <v>829</v>
      </c>
    </row>
    <row r="851" spans="1:22">
      <c r="A851" s="7" t="str">
        <f>TRIM(ETLMetadata!$B851)</f>
        <v>CLK</v>
      </c>
      <c r="B851" s="7" t="str">
        <f>TRIM(ETLMetadata!$C851)</f>
        <v>DETM_DETIS_JMDS</v>
      </c>
      <c r="C851" s="7" t="str">
        <f>TRIM(ETLMetadata!$F851)</f>
        <v>EPISODE_ID</v>
      </c>
      <c r="D851" s="7" t="str">
        <f>TRIM(ETLMetadata!$H851)</f>
        <v>StringType()</v>
      </c>
      <c r="E851" s="7" t="str">
        <f t="shared" si="104"/>
        <v>CLK_DETM_DETIS_JMDS</v>
      </c>
      <c r="F851" s="7" t="str">
        <f t="shared" si="106"/>
        <v>EPISODE_ID</v>
      </c>
      <c r="G851" s="7" t="s">
        <v>825</v>
      </c>
      <c r="H851" s="7" t="str">
        <f t="shared" si="107"/>
        <v>CLK_DETM_DETIS_JMDS</v>
      </c>
      <c r="I851" s="7" t="str">
        <f t="shared" si="108"/>
        <v>EPISODE_ID</v>
      </c>
      <c r="J851" s="7" t="str">
        <f t="shared" si="109"/>
        <v>INTEGER</v>
      </c>
      <c r="K851" s="7" t="str">
        <f>TRIM(ETLMetadata!$G851)</f>
        <v>INTEGER</v>
      </c>
      <c r="L851" s="7" t="str">
        <f>TRIM(ETLMetadata!$I851)</f>
        <v/>
      </c>
      <c r="M851" s="7" t="str">
        <f t="shared" si="110"/>
        <v>CAST(NULLIF(TRIM(EPISODE_ID),'') AS INTEGER)</v>
      </c>
      <c r="N851" s="7" t="str">
        <f>TRIM(ETLMetadata!$J851)</f>
        <v/>
      </c>
      <c r="O851" s="8" t="str">
        <f>IF(TRIM(Classification!$G851)="","NOT CONFIDENTIAL",TRIM(Classification!$G851))</f>
        <v>NOT CONFIDENTIAL</v>
      </c>
      <c r="P851" s="7" t="str">
        <f t="shared" si="111"/>
        <v>Y</v>
      </c>
      <c r="Q851" s="7" t="s">
        <v>826</v>
      </c>
      <c r="R851" s="9">
        <v>2958465</v>
      </c>
      <c r="S851" s="7" t="s">
        <v>827</v>
      </c>
      <c r="T851" s="7" t="s">
        <v>828</v>
      </c>
      <c r="U851" s="7" t="str">
        <f t="shared" si="105"/>
        <v>CLK_DETM_DETIS_JMDS_V</v>
      </c>
      <c r="V851" s="7" t="s">
        <v>829</v>
      </c>
    </row>
    <row r="852" spans="1:22">
      <c r="A852" s="7" t="str">
        <f>TRIM(ETLMetadata!$B852)</f>
        <v>CLK</v>
      </c>
      <c r="B852" s="7" t="str">
        <f>TRIM(ETLMetadata!$C852)</f>
        <v>DETM_DETIS_JMDS</v>
      </c>
      <c r="C852" s="7" t="str">
        <f>TRIM(ETLMetadata!$F852)</f>
        <v>PAYMENT_TYPE_ID</v>
      </c>
      <c r="D852" s="7" t="str">
        <f>TRIM(ETLMetadata!$H852)</f>
        <v>StringType()</v>
      </c>
      <c r="E852" s="7" t="str">
        <f t="shared" si="104"/>
        <v>CLK_DETM_DETIS_JMDS</v>
      </c>
      <c r="F852" s="7" t="str">
        <f t="shared" si="106"/>
        <v>PAYMENT_TYPE_ID</v>
      </c>
      <c r="G852" s="7" t="s">
        <v>825</v>
      </c>
      <c r="H852" s="7" t="str">
        <f t="shared" si="107"/>
        <v>CLK_DETM_DETIS_JMDS</v>
      </c>
      <c r="I852" s="7" t="str">
        <f t="shared" si="108"/>
        <v>PAYMENT_TYPE_ID</v>
      </c>
      <c r="J852" s="7" t="str">
        <f t="shared" si="109"/>
        <v>INTEGER</v>
      </c>
      <c r="K852" s="7" t="str">
        <f>TRIM(ETLMetadata!$G852)</f>
        <v>INTEGER</v>
      </c>
      <c r="L852" s="7" t="str">
        <f>TRIM(ETLMetadata!$I852)</f>
        <v/>
      </c>
      <c r="M852" s="7" t="str">
        <f t="shared" si="110"/>
        <v>CAST(NULLIF(TRIM(PAYMENT_TYPE_ID),'') AS INTEGER)</v>
      </c>
      <c r="N852" s="7" t="str">
        <f>TRIM(ETLMetadata!$J852)</f>
        <v/>
      </c>
      <c r="O852" s="8" t="str">
        <f>IF(TRIM(Classification!$G852)="","NOT CONFIDENTIAL",TRIM(Classification!$G852))</f>
        <v>NOT CONFIDENTIAL</v>
      </c>
      <c r="P852" s="7" t="str">
        <f t="shared" si="111"/>
        <v>Y</v>
      </c>
      <c r="Q852" s="7" t="s">
        <v>826</v>
      </c>
      <c r="R852" s="9">
        <v>2958465</v>
      </c>
      <c r="S852" s="7" t="s">
        <v>827</v>
      </c>
      <c r="T852" s="7" t="s">
        <v>828</v>
      </c>
      <c r="U852" s="7" t="str">
        <f t="shared" si="105"/>
        <v>CLK_DETM_DETIS_JMDS_V</v>
      </c>
      <c r="V852" s="7" t="s">
        <v>829</v>
      </c>
    </row>
    <row r="853" spans="1:22">
      <c r="A853" s="7" t="str">
        <f>TRIM(ETLMetadata!$B853)</f>
        <v>CLK</v>
      </c>
      <c r="B853" s="7" t="str">
        <f>TRIM(ETLMetadata!$C853)</f>
        <v>DETM_DETIS_JMDS</v>
      </c>
      <c r="C853" s="7" t="str">
        <f>TRIM(ETLMetadata!$F853)</f>
        <v>AMR1_RISL_DTS</v>
      </c>
      <c r="D853" s="7" t="str">
        <f>TRIM(ETLMetadata!$H853)</f>
        <v>StringType()</v>
      </c>
      <c r="E853" s="7" t="str">
        <f t="shared" si="104"/>
        <v>CLK_DETM_DETIS_JMDS</v>
      </c>
      <c r="F853" s="7" t="str">
        <f t="shared" si="106"/>
        <v>AMR1_RISL_DTS</v>
      </c>
      <c r="G853" s="7" t="s">
        <v>825</v>
      </c>
      <c r="H853" s="7" t="str">
        <f t="shared" si="107"/>
        <v>CLK_DETM_DETIS_JMDS</v>
      </c>
      <c r="I853" s="7" t="str">
        <f t="shared" si="108"/>
        <v>AMR1_RISL_DTS</v>
      </c>
      <c r="J853" s="7" t="str">
        <f t="shared" si="109"/>
        <v>TIMESTAMP</v>
      </c>
      <c r="K853" s="7" t="str">
        <f>TRIM(ETLMetadata!$G853)</f>
        <v>TIMESTAMP(6)</v>
      </c>
      <c r="L853" s="7" t="str">
        <f>TRIM(ETLMetadata!$I853)</f>
        <v>YYYY-MM-DDBHH:MI:SS.S(6)</v>
      </c>
      <c r="M853" s="7" t="str">
        <f t="shared" si="110"/>
        <v>TO_TIMESTAMP_NTZ(NULLIF(TRIM(AMR1_RISL_DTS),''),'YYYY-MM-DD HH24:MI:SS.FF6')</v>
      </c>
      <c r="N853" s="7" t="str">
        <f>TRIM(ETLMetadata!$J853)</f>
        <v/>
      </c>
      <c r="O853" s="8" t="str">
        <f>IF(TRIM(Classification!$G853)="","NOT CONFIDENTIAL",TRIM(Classification!$G853))</f>
        <v>NOT CONFIDENTIAL</v>
      </c>
      <c r="P853" s="7" t="str">
        <f t="shared" si="111"/>
        <v>Y</v>
      </c>
      <c r="Q853" s="7" t="s">
        <v>826</v>
      </c>
      <c r="R853" s="9">
        <v>2958465</v>
      </c>
      <c r="S853" s="7" t="s">
        <v>827</v>
      </c>
      <c r="T853" s="7" t="s">
        <v>828</v>
      </c>
      <c r="U853" s="7" t="str">
        <f t="shared" si="105"/>
        <v>CLK_DETM_DETIS_JMDS_V</v>
      </c>
      <c r="V853" s="7" t="s">
        <v>829</v>
      </c>
    </row>
    <row r="854" spans="1:22">
      <c r="A854" s="7" t="str">
        <f>TRIM(ETLMetadata!$B854)</f>
        <v>CLK</v>
      </c>
      <c r="B854" s="7" t="str">
        <f>TRIM(ETLMetadata!$C854)</f>
        <v>DETM_DETIS_JMDS</v>
      </c>
      <c r="C854" s="7" t="str">
        <f>TRIM(ETLMetadata!$F854)</f>
        <v>AMR3_RISL_DTS</v>
      </c>
      <c r="D854" s="7" t="str">
        <f>TRIM(ETLMetadata!$H854)</f>
        <v>StringType()</v>
      </c>
      <c r="E854" s="7" t="str">
        <f t="shared" si="104"/>
        <v>CLK_DETM_DETIS_JMDS</v>
      </c>
      <c r="F854" s="7" t="str">
        <f t="shared" si="106"/>
        <v>AMR3_RISL_DTS</v>
      </c>
      <c r="G854" s="7" t="s">
        <v>825</v>
      </c>
      <c r="H854" s="7" t="str">
        <f t="shared" si="107"/>
        <v>CLK_DETM_DETIS_JMDS</v>
      </c>
      <c r="I854" s="7" t="str">
        <f t="shared" si="108"/>
        <v>AMR3_RISL_DTS</v>
      </c>
      <c r="J854" s="7" t="str">
        <f t="shared" si="109"/>
        <v>TIMESTAMP</v>
      </c>
      <c r="K854" s="7" t="str">
        <f>TRIM(ETLMetadata!$G854)</f>
        <v>TIMESTAMP(6)</v>
      </c>
      <c r="L854" s="7" t="str">
        <f>TRIM(ETLMetadata!$I854)</f>
        <v>YYYY-MM-DDBHH:MI:SS.S(6)</v>
      </c>
      <c r="M854" s="7" t="str">
        <f t="shared" si="110"/>
        <v>TO_TIMESTAMP_NTZ(NULLIF(TRIM(AMR3_RISL_DTS),''),'YYYY-MM-DD HH24:MI:SS.FF6')</v>
      </c>
      <c r="N854" s="7" t="str">
        <f>TRIM(ETLMetadata!$J854)</f>
        <v/>
      </c>
      <c r="O854" s="8" t="str">
        <f>IF(TRIM(Classification!$G854)="","NOT CONFIDENTIAL",TRIM(Classification!$G854))</f>
        <v>NOT CONFIDENTIAL</v>
      </c>
      <c r="P854" s="7" t="str">
        <f t="shared" si="111"/>
        <v>Y</v>
      </c>
      <c r="Q854" s="7" t="s">
        <v>826</v>
      </c>
      <c r="R854" s="9">
        <v>2958465</v>
      </c>
      <c r="S854" s="7" t="s">
        <v>827</v>
      </c>
      <c r="T854" s="7" t="s">
        <v>828</v>
      </c>
      <c r="U854" s="7" t="str">
        <f t="shared" si="105"/>
        <v>CLK_DETM_DETIS_JMDS_V</v>
      </c>
      <c r="V854" s="7" t="s">
        <v>829</v>
      </c>
    </row>
    <row r="855" spans="1:22">
      <c r="A855" s="7" t="str">
        <f>TRIM(ETLMetadata!$B855)</f>
        <v>CLK</v>
      </c>
      <c r="B855" s="7" t="str">
        <f>TRIM(ETLMetadata!$C855)</f>
        <v>DETM_DETIS_JMDS</v>
      </c>
      <c r="C855" s="7" t="str">
        <f>TRIM(ETLMetadata!$F855)</f>
        <v>Start_Date</v>
      </c>
      <c r="D855" s="7" t="str">
        <f>TRIM(ETLMetadata!$H855)</f>
        <v>StringType()</v>
      </c>
      <c r="E855" s="7" t="str">
        <f t="shared" si="104"/>
        <v>CLK_DETM_DETIS_JMDS</v>
      </c>
      <c r="F855" s="7" t="str">
        <f t="shared" si="106"/>
        <v>STRT_DT</v>
      </c>
      <c r="G855" s="7" t="s">
        <v>825</v>
      </c>
      <c r="H855" s="7" t="str">
        <f t="shared" si="107"/>
        <v>CLK_DETM_DETIS_JMDS</v>
      </c>
      <c r="I855" s="7" t="str">
        <f t="shared" si="108"/>
        <v>STRT_DT</v>
      </c>
      <c r="J855" s="7" t="str">
        <f t="shared" si="109"/>
        <v>DATE</v>
      </c>
      <c r="K855" s="7" t="str">
        <f>TRIM(ETLMetadata!$G855)</f>
        <v>DATE</v>
      </c>
      <c r="L855" s="7" t="str">
        <f>TRIM(ETLMetadata!$I855)</f>
        <v>YYYY-MM-DD</v>
      </c>
      <c r="M855" s="7" t="str">
        <f t="shared" si="110"/>
        <v>TO_DATE(NULLIF(TRIM(STRT_DT),'') , 'YYYY-MM-DD')</v>
      </c>
      <c r="N855" s="7" t="str">
        <f>TRIM(ETLMetadata!$J855)</f>
        <v/>
      </c>
      <c r="O855" s="8" t="str">
        <f>IF(TRIM(Classification!$G855)="","NOT CONFIDENTIAL",TRIM(Classification!$G855))</f>
        <v>NOT CONFIDENTIAL</v>
      </c>
      <c r="P855" s="7" t="str">
        <f t="shared" si="111"/>
        <v>N</v>
      </c>
      <c r="Q855" s="7" t="s">
        <v>826</v>
      </c>
      <c r="R855" s="9">
        <v>2958465</v>
      </c>
      <c r="S855" s="7" t="s">
        <v>827</v>
      </c>
      <c r="T855" s="7" t="s">
        <v>828</v>
      </c>
      <c r="U855" s="7" t="str">
        <f t="shared" si="105"/>
        <v>CLK_DETM_DETIS_JMDS_V</v>
      </c>
      <c r="V855" s="7" t="s">
        <v>829</v>
      </c>
    </row>
    <row r="856" spans="1:22">
      <c r="A856" s="7" t="str">
        <f>TRIM(ETLMetadata!$B856)</f>
        <v>CLK</v>
      </c>
      <c r="B856" s="7" t="str">
        <f>TRIM(ETLMetadata!$C856)</f>
        <v>DETM_DETIS_JMDS</v>
      </c>
      <c r="C856" s="7" t="str">
        <f>TRIM(ETLMetadata!$F856)</f>
        <v>End_Date</v>
      </c>
      <c r="D856" s="7" t="str">
        <f>TRIM(ETLMetadata!$H856)</f>
        <v>StringType()</v>
      </c>
      <c r="E856" s="7" t="str">
        <f t="shared" si="104"/>
        <v>CLK_DETM_DETIS_JMDS</v>
      </c>
      <c r="F856" s="7" t="str">
        <f t="shared" si="106"/>
        <v>END_DT</v>
      </c>
      <c r="G856" s="7" t="s">
        <v>825</v>
      </c>
      <c r="H856" s="7" t="str">
        <f t="shared" si="107"/>
        <v>CLK_DETM_DETIS_JMDS</v>
      </c>
      <c r="I856" s="7" t="str">
        <f t="shared" si="108"/>
        <v>END_DT</v>
      </c>
      <c r="J856" s="7" t="str">
        <f t="shared" si="109"/>
        <v>DATE</v>
      </c>
      <c r="K856" s="7" t="str">
        <f>TRIM(ETLMetadata!$G856)</f>
        <v>DATE</v>
      </c>
      <c r="L856" s="7" t="str">
        <f>TRIM(ETLMetadata!$I856)</f>
        <v>YYYY-MM-DD</v>
      </c>
      <c r="M856" s="7" t="str">
        <f t="shared" si="110"/>
        <v>TO_DATE(NULLIF(TRIM(END_DT),'') , 'YYYY-MM-DD')</v>
      </c>
      <c r="N856" s="7" t="str">
        <f>TRIM(ETLMetadata!$J856)</f>
        <v/>
      </c>
      <c r="O856" s="8" t="str">
        <f>IF(TRIM(Classification!$G856)="","NOT CONFIDENTIAL",TRIM(Classification!$G856))</f>
        <v>NOT CONFIDENTIAL</v>
      </c>
      <c r="P856" s="7" t="str">
        <f t="shared" si="111"/>
        <v>N</v>
      </c>
      <c r="Q856" s="7" t="s">
        <v>826</v>
      </c>
      <c r="R856" s="9">
        <v>2958465</v>
      </c>
      <c r="S856" s="7" t="s">
        <v>827</v>
      </c>
      <c r="T856" s="7" t="s">
        <v>828</v>
      </c>
      <c r="U856" s="7" t="str">
        <f t="shared" si="105"/>
        <v>CLK_DETM_DETIS_JMDS_V</v>
      </c>
      <c r="V856" s="7" t="s">
        <v>829</v>
      </c>
    </row>
    <row r="857" spans="1:22">
      <c r="A857" s="7" t="str">
        <f>TRIM(ETLMetadata!$B857)</f>
        <v>CLK</v>
      </c>
      <c r="B857" s="7" t="str">
        <f>TRIM(ETLMetadata!$C857)</f>
        <v>DETM_DETIS_JMDS</v>
      </c>
      <c r="C857" s="7" t="str">
        <f>TRIM(ETLMetadata!$F857)</f>
        <v>Record_Deleted_Flag</v>
      </c>
      <c r="D857" s="7" t="str">
        <f>TRIM(ETLMetadata!$H857)</f>
        <v>StringType()</v>
      </c>
      <c r="E857" s="7" t="str">
        <f t="shared" si="104"/>
        <v>CLK_DETM_DETIS_JMDS</v>
      </c>
      <c r="F857" s="7" t="str">
        <f t="shared" si="106"/>
        <v>RCRD_DEL_IND</v>
      </c>
      <c r="G857" s="7" t="s">
        <v>825</v>
      </c>
      <c r="H857" s="7" t="str">
        <f t="shared" si="107"/>
        <v>CLK_DETM_DETIS_JMDS</v>
      </c>
      <c r="I857" s="7" t="str">
        <f t="shared" si="108"/>
        <v>RCRD_DEL_IND</v>
      </c>
      <c r="J857" s="7" t="str">
        <f t="shared" si="109"/>
        <v>SMALLINT</v>
      </c>
      <c r="K857" s="7" t="str">
        <f>TRIM(ETLMetadata!$G857)</f>
        <v>BYTEINT</v>
      </c>
      <c r="L857" s="7" t="str">
        <f>TRIM(ETLMetadata!$I857)</f>
        <v/>
      </c>
      <c r="M857" s="7" t="str">
        <f t="shared" si="110"/>
        <v>CAST(NULLIF(TRIM(RCRD_DEL_IND),'') AS SMALLINT)</v>
      </c>
      <c r="N857" s="7" t="str">
        <f>TRIM(ETLMetadata!$J857)</f>
        <v/>
      </c>
      <c r="O857" s="8" t="str">
        <f>IF(TRIM(Classification!$G857)="","NOT CONFIDENTIAL",TRIM(Classification!$G857))</f>
        <v>NOT CONFIDENTIAL</v>
      </c>
      <c r="P857" s="7" t="str">
        <f t="shared" si="111"/>
        <v>N</v>
      </c>
      <c r="Q857" s="7" t="s">
        <v>826</v>
      </c>
      <c r="R857" s="9">
        <v>2958465</v>
      </c>
      <c r="S857" s="7" t="s">
        <v>827</v>
      </c>
      <c r="T857" s="7" t="s">
        <v>828</v>
      </c>
      <c r="U857" s="7" t="str">
        <f t="shared" si="105"/>
        <v>CLK_DETM_DETIS_JMDS_V</v>
      </c>
      <c r="V857" s="7" t="s">
        <v>829</v>
      </c>
    </row>
    <row r="858" spans="1:22">
      <c r="A858" s="7" t="str">
        <f>TRIM(ETLMetadata!$B858)</f>
        <v>CLK</v>
      </c>
      <c r="B858" s="7" t="str">
        <f>TRIM(ETLMetadata!$C858)</f>
        <v>DETM_DETIS_K9DS</v>
      </c>
      <c r="C858" s="7" t="str">
        <f>TRIM(ETLMetadata!$F858)</f>
        <v>EXTRACT_DATE</v>
      </c>
      <c r="D858" s="7" t="str">
        <f>TRIM(ETLMetadata!$H858)</f>
        <v>StringType()</v>
      </c>
      <c r="E858" s="7" t="str">
        <f t="shared" si="104"/>
        <v>CLK_DETM_DETIS_K9DS</v>
      </c>
      <c r="F858" s="7" t="str">
        <f t="shared" si="106"/>
        <v>EXTRACT_DATE</v>
      </c>
      <c r="G858" s="7" t="s">
        <v>825</v>
      </c>
      <c r="H858" s="7" t="str">
        <f t="shared" si="107"/>
        <v>CLK_DETM_DETIS_K9DS</v>
      </c>
      <c r="I858" s="7" t="str">
        <f t="shared" si="108"/>
        <v>EXTRACT_DATE</v>
      </c>
      <c r="J858" s="7" t="str">
        <f t="shared" si="109"/>
        <v>DATE</v>
      </c>
      <c r="K858" s="7" t="str">
        <f>TRIM(ETLMetadata!$G858)</f>
        <v>DATE</v>
      </c>
      <c r="L858" s="7" t="str">
        <f>TRIM(ETLMetadata!$I858)</f>
        <v>YYYY-MM-DD</v>
      </c>
      <c r="M858" s="7" t="str">
        <f t="shared" si="110"/>
        <v>TO_DATE(NULLIF(TRIM(EXTRACT_DATE),'') , 'YYYY-MM-DD')</v>
      </c>
      <c r="N858" s="7" t="str">
        <f>TRIM(ETLMetadata!$J858)</f>
        <v/>
      </c>
      <c r="O858" s="8" t="str">
        <f>IF(TRIM(Classification!$G858)="","NOT CONFIDENTIAL",TRIM(Classification!$G858))</f>
        <v>NOT CONFIDENTIAL</v>
      </c>
      <c r="P858" s="7" t="str">
        <f t="shared" si="111"/>
        <v>Y</v>
      </c>
      <c r="Q858" s="7" t="s">
        <v>826</v>
      </c>
      <c r="R858" s="9">
        <v>2958465</v>
      </c>
      <c r="S858" s="7" t="s">
        <v>827</v>
      </c>
      <c r="T858" s="7" t="s">
        <v>828</v>
      </c>
      <c r="U858" s="7" t="str">
        <f t="shared" si="105"/>
        <v>CLK_DETM_DETIS_K9DS_V</v>
      </c>
      <c r="V858" s="7" t="s">
        <v>829</v>
      </c>
    </row>
    <row r="859" spans="1:22">
      <c r="A859" s="7" t="str">
        <f>TRIM(ETLMetadata!$B859)</f>
        <v>CLK</v>
      </c>
      <c r="B859" s="7" t="str">
        <f>TRIM(ETLMetadata!$C859)</f>
        <v>DETM_DETIS_K9DS</v>
      </c>
      <c r="C859" s="7" t="str">
        <f>TRIM(ETLMetadata!$F859)</f>
        <v>LOGICAL_DELETE_DATE</v>
      </c>
      <c r="D859" s="7" t="str">
        <f>TRIM(ETLMetadata!$H859)</f>
        <v>StringType()</v>
      </c>
      <c r="E859" s="7" t="str">
        <f t="shared" si="104"/>
        <v>CLK_DETM_DETIS_K9DS</v>
      </c>
      <c r="F859" s="7" t="str">
        <f t="shared" si="106"/>
        <v>LOGICAL_DELETE_DATE</v>
      </c>
      <c r="G859" s="7" t="s">
        <v>825</v>
      </c>
      <c r="H859" s="7" t="str">
        <f t="shared" si="107"/>
        <v>CLK_DETM_DETIS_K9DS</v>
      </c>
      <c r="I859" s="7" t="str">
        <f t="shared" si="108"/>
        <v>LOGICAL_DELETE_DATE</v>
      </c>
      <c r="J859" s="7" t="str">
        <f t="shared" si="109"/>
        <v>DATE</v>
      </c>
      <c r="K859" s="7" t="str">
        <f>TRIM(ETLMetadata!$G859)</f>
        <v>DATE</v>
      </c>
      <c r="L859" s="7" t="str">
        <f>TRIM(ETLMetadata!$I859)</f>
        <v>YYYY-MM-DD</v>
      </c>
      <c r="M859" s="7" t="str">
        <f t="shared" si="110"/>
        <v>TO_DATE(NULLIF(TRIM(LOGICAL_DELETE_DATE),'') , 'YYYY-MM-DD')</v>
      </c>
      <c r="N859" s="7" t="str">
        <f>TRIM(ETLMetadata!$J859)</f>
        <v/>
      </c>
      <c r="O859" s="8" t="str">
        <f>IF(TRIM(Classification!$G859)="","NOT CONFIDENTIAL",TRIM(Classification!$G859))</f>
        <v>NOT CONFIDENTIAL</v>
      </c>
      <c r="P859" s="7" t="str">
        <f t="shared" si="111"/>
        <v>Y</v>
      </c>
      <c r="Q859" s="7" t="s">
        <v>826</v>
      </c>
      <c r="R859" s="9">
        <v>2958465</v>
      </c>
      <c r="S859" s="7" t="s">
        <v>827</v>
      </c>
      <c r="T859" s="7" t="s">
        <v>828</v>
      </c>
      <c r="U859" s="7" t="str">
        <f t="shared" si="105"/>
        <v>CLK_DETM_DETIS_K9DS_V</v>
      </c>
      <c r="V859" s="7" t="s">
        <v>829</v>
      </c>
    </row>
    <row r="860" spans="1:22">
      <c r="A860" s="7" t="str">
        <f>TRIM(ETLMetadata!$B860)</f>
        <v>CLK</v>
      </c>
      <c r="B860" s="7" t="str">
        <f>TRIM(ETLMetadata!$C860)</f>
        <v>DETM_DETIS_K9DS</v>
      </c>
      <c r="C860" s="7" t="str">
        <f>TRIM(ETLMetadata!$F860)</f>
        <v>ENVIRONMENT_ID</v>
      </c>
      <c r="D860" s="7" t="str">
        <f>TRIM(ETLMetadata!$H860)</f>
        <v>StringType()</v>
      </c>
      <c r="E860" s="7" t="str">
        <f t="shared" si="104"/>
        <v>CLK_DETM_DETIS_K9DS</v>
      </c>
      <c r="F860" s="7" t="str">
        <f t="shared" si="106"/>
        <v>ENVIRONMENT_ID</v>
      </c>
      <c r="G860" s="7" t="s">
        <v>825</v>
      </c>
      <c r="H860" s="7" t="str">
        <f t="shared" si="107"/>
        <v>CLK_DETM_DETIS_K9DS</v>
      </c>
      <c r="I860" s="7" t="str">
        <f t="shared" si="108"/>
        <v>ENVIRONMENT_ID</v>
      </c>
      <c r="J860" s="7" t="str">
        <f t="shared" si="109"/>
        <v>VARCHAR</v>
      </c>
      <c r="K860" s="7" t="str">
        <f>TRIM(ETLMetadata!$G860)</f>
        <v>CHAR(1)</v>
      </c>
      <c r="L860" s="7" t="str">
        <f>TRIM(ETLMetadata!$I860)</f>
        <v/>
      </c>
      <c r="M860" s="7" t="str">
        <f t="shared" si="110"/>
        <v>NULLIF(TRIM(ENVIRONMENT_ID),'')</v>
      </c>
      <c r="N860" s="7" t="str">
        <f>TRIM(ETLMetadata!$J860)</f>
        <v>Y</v>
      </c>
      <c r="O860" s="8" t="str">
        <f>IF(TRIM(Classification!$G860)="","NOT CONFIDENTIAL",TRIM(Classification!$G860))</f>
        <v>NOT CONFIDENTIAL</v>
      </c>
      <c r="P860" s="7" t="str">
        <f t="shared" si="111"/>
        <v>Y</v>
      </c>
      <c r="Q860" s="7" t="s">
        <v>826</v>
      </c>
      <c r="R860" s="9">
        <v>2958465</v>
      </c>
      <c r="S860" s="7" t="s">
        <v>827</v>
      </c>
      <c r="T860" s="7" t="s">
        <v>828</v>
      </c>
      <c r="U860" s="7" t="str">
        <f t="shared" si="105"/>
        <v>CLK_DETM_DETIS_K9DS_V</v>
      </c>
      <c r="V860" s="7" t="s">
        <v>829</v>
      </c>
    </row>
    <row r="861" spans="1:22">
      <c r="A861" s="7" t="str">
        <f>TRIM(ETLMetadata!$B861)</f>
        <v>CLK</v>
      </c>
      <c r="B861" s="7" t="str">
        <f>TRIM(ETLMetadata!$C861)</f>
        <v>DETM_DETIS_K9DS</v>
      </c>
      <c r="C861" s="7" t="str">
        <f>TRIM(ETLMetadata!$F861)</f>
        <v>PERSON_ID</v>
      </c>
      <c r="D861" s="7" t="str">
        <f>TRIM(ETLMetadata!$H861)</f>
        <v>StringType()</v>
      </c>
      <c r="E861" s="7" t="str">
        <f t="shared" si="104"/>
        <v>CLK_DETM_DETIS_K9DS</v>
      </c>
      <c r="F861" s="7" t="str">
        <f t="shared" si="106"/>
        <v>PERSON_ID</v>
      </c>
      <c r="G861" s="7" t="s">
        <v>825</v>
      </c>
      <c r="H861" s="7" t="str">
        <f t="shared" si="107"/>
        <v>CLK_DETM_DETIS_K9DS</v>
      </c>
      <c r="I861" s="7" t="str">
        <f t="shared" si="108"/>
        <v>PERSON_ID</v>
      </c>
      <c r="J861" s="7" t="str">
        <f t="shared" si="109"/>
        <v>INTEGER</v>
      </c>
      <c r="K861" s="7" t="str">
        <f>TRIM(ETLMetadata!$G861)</f>
        <v>INTEGER</v>
      </c>
      <c r="L861" s="7" t="str">
        <f>TRIM(ETLMetadata!$I861)</f>
        <v/>
      </c>
      <c r="M861" s="7" t="str">
        <f t="shared" si="110"/>
        <v>CAST(NULLIF(TRIM(PERSON_ID),'') AS INTEGER)</v>
      </c>
      <c r="N861" s="7" t="str">
        <f>TRIM(ETLMetadata!$J861)</f>
        <v>Y</v>
      </c>
      <c r="O861" s="8" t="str">
        <f>IF(TRIM(Classification!$G861)="","NOT CONFIDENTIAL",TRIM(Classification!$G861))</f>
        <v>PERSONAL_IDENTITYINFOINDIRECT</v>
      </c>
      <c r="P861" s="7" t="str">
        <f t="shared" si="111"/>
        <v>Y</v>
      </c>
      <c r="Q861" s="7" t="s">
        <v>826</v>
      </c>
      <c r="R861" s="9">
        <v>2958465</v>
      </c>
      <c r="S861" s="7" t="s">
        <v>827</v>
      </c>
      <c r="T861" s="7" t="s">
        <v>828</v>
      </c>
      <c r="U861" s="7" t="str">
        <f t="shared" si="105"/>
        <v>CLK_DETM_DETIS_K9DS_V</v>
      </c>
      <c r="V861" s="7" t="s">
        <v>829</v>
      </c>
    </row>
    <row r="862" spans="1:22">
      <c r="A862" s="7" t="str">
        <f>TRIM(ETLMetadata!$B862)</f>
        <v>CLK</v>
      </c>
      <c r="B862" s="7" t="str">
        <f>TRIM(ETLMetadata!$C862)</f>
        <v>DETM_DETIS_K9DS</v>
      </c>
      <c r="C862" s="7" t="str">
        <f>TRIM(ETLMetadata!$F862)</f>
        <v>PROCESSING_SEQUENCE</v>
      </c>
      <c r="D862" s="7" t="str">
        <f>TRIM(ETLMetadata!$H862)</f>
        <v>StringType()</v>
      </c>
      <c r="E862" s="7" t="str">
        <f t="shared" si="104"/>
        <v>CLK_DETM_DETIS_K9DS</v>
      </c>
      <c r="F862" s="7" t="str">
        <f t="shared" si="106"/>
        <v>PROCESSING_SEQUENCE</v>
      </c>
      <c r="G862" s="7" t="s">
        <v>825</v>
      </c>
      <c r="H862" s="7" t="str">
        <f t="shared" si="107"/>
        <v>CLK_DETM_DETIS_K9DS</v>
      </c>
      <c r="I862" s="7" t="str">
        <f t="shared" si="108"/>
        <v>PROCESSING_SEQUENCE</v>
      </c>
      <c r="J862" s="7" t="str">
        <f t="shared" si="109"/>
        <v>SMALLINT</v>
      </c>
      <c r="K862" s="7" t="str">
        <f>TRIM(ETLMetadata!$G862)</f>
        <v>SMALLINT</v>
      </c>
      <c r="L862" s="7" t="str">
        <f>TRIM(ETLMetadata!$I862)</f>
        <v/>
      </c>
      <c r="M862" s="7" t="str">
        <f t="shared" si="110"/>
        <v>CAST(NULLIF(TRIM(PROCESSING_SEQUENCE),'') AS SMALLINT)</v>
      </c>
      <c r="N862" s="7" t="str">
        <f>TRIM(ETLMetadata!$J862)</f>
        <v>Y</v>
      </c>
      <c r="O862" s="8" t="str">
        <f>IF(TRIM(Classification!$G862)="","NOT CONFIDENTIAL",TRIM(Classification!$G862))</f>
        <v>NOT CONFIDENTIAL</v>
      </c>
      <c r="P862" s="7" t="str">
        <f t="shared" si="111"/>
        <v>Y</v>
      </c>
      <c r="Q862" s="7" t="s">
        <v>826</v>
      </c>
      <c r="R862" s="9">
        <v>2958465</v>
      </c>
      <c r="S862" s="7" t="s">
        <v>827</v>
      </c>
      <c r="T862" s="7" t="s">
        <v>828</v>
      </c>
      <c r="U862" s="7" t="str">
        <f t="shared" si="105"/>
        <v>CLK_DETM_DETIS_K9DS_V</v>
      </c>
      <c r="V862" s="7" t="s">
        <v>829</v>
      </c>
    </row>
    <row r="863" spans="1:22">
      <c r="A863" s="7" t="str">
        <f>TRIM(ETLMetadata!$B863)</f>
        <v>CLK</v>
      </c>
      <c r="B863" s="7" t="str">
        <f>TRIM(ETLMetadata!$C863)</f>
        <v>DETM_DETIS_K9DS</v>
      </c>
      <c r="C863" s="7" t="str">
        <f>TRIM(ETLMetadata!$F863)</f>
        <v>K9DS_AMR_1</v>
      </c>
      <c r="D863" s="7" t="str">
        <f>TRIM(ETLMetadata!$H863)</f>
        <v>StringType()</v>
      </c>
      <c r="E863" s="7" t="str">
        <f t="shared" ref="E863:E926" si="112">CONCATENATE($A863,"_",B863)</f>
        <v>CLK_DETM_DETIS_K9DS</v>
      </c>
      <c r="F863" s="7" t="str">
        <f t="shared" si="106"/>
        <v>K9DS_AMR_1</v>
      </c>
      <c r="G863" s="7" t="s">
        <v>825</v>
      </c>
      <c r="H863" s="7" t="str">
        <f t="shared" si="107"/>
        <v>CLK_DETM_DETIS_K9DS</v>
      </c>
      <c r="I863" s="7" t="str">
        <f t="shared" si="108"/>
        <v>K9DS_AMR_1</v>
      </c>
      <c r="J863" s="7" t="str">
        <f t="shared" si="109"/>
        <v>VARCHAR</v>
      </c>
      <c r="K863" s="7" t="str">
        <f>TRIM(ETLMetadata!$G863)</f>
        <v>CHAR(4)</v>
      </c>
      <c r="L863" s="7" t="str">
        <f>TRIM(ETLMetadata!$I863)</f>
        <v/>
      </c>
      <c r="M863" s="7" t="str">
        <f t="shared" si="110"/>
        <v>NULLIF(TRIM(K9DS_AMR_1),'')</v>
      </c>
      <c r="N863" s="7" t="str">
        <f>TRIM(ETLMetadata!$J863)</f>
        <v/>
      </c>
      <c r="O863" s="8" t="str">
        <f>IF(TRIM(Classification!$G863)="","NOT CONFIDENTIAL",TRIM(Classification!$G863))</f>
        <v>NOT CONFIDENTIAL</v>
      </c>
      <c r="P863" s="7" t="str">
        <f t="shared" si="111"/>
        <v>Y</v>
      </c>
      <c r="Q863" s="7" t="s">
        <v>826</v>
      </c>
      <c r="R863" s="9">
        <v>2958465</v>
      </c>
      <c r="S863" s="7" t="s">
        <v>827</v>
      </c>
      <c r="T863" s="7" t="s">
        <v>828</v>
      </c>
      <c r="U863" s="7" t="str">
        <f t="shared" ref="U863:U926" si="113">CONCATENATE(A863,"_",B863,"_V")</f>
        <v>CLK_DETM_DETIS_K9DS_V</v>
      </c>
      <c r="V863" s="7" t="s">
        <v>829</v>
      </c>
    </row>
    <row r="864" spans="1:22">
      <c r="A864" s="7" t="str">
        <f>TRIM(ETLMetadata!$B864)</f>
        <v>CLK</v>
      </c>
      <c r="B864" s="7" t="str">
        <f>TRIM(ETLMetadata!$C864)</f>
        <v>DETM_DETIS_K9DS</v>
      </c>
      <c r="C864" s="7" t="str">
        <f>TRIM(ETLMetadata!$F864)</f>
        <v>K9DS_AMR_2</v>
      </c>
      <c r="D864" s="7" t="str">
        <f>TRIM(ETLMetadata!$H864)</f>
        <v>StringType()</v>
      </c>
      <c r="E864" s="7" t="str">
        <f t="shared" si="112"/>
        <v>CLK_DETM_DETIS_K9DS</v>
      </c>
      <c r="F864" s="7" t="str">
        <f t="shared" si="106"/>
        <v>K9DS_AMR_2</v>
      </c>
      <c r="G864" s="7" t="s">
        <v>825</v>
      </c>
      <c r="H864" s="7" t="str">
        <f t="shared" si="107"/>
        <v>CLK_DETM_DETIS_K9DS</v>
      </c>
      <c r="I864" s="7" t="str">
        <f t="shared" si="108"/>
        <v>K9DS_AMR_2</v>
      </c>
      <c r="J864" s="7" t="str">
        <f t="shared" si="109"/>
        <v>VARCHAR</v>
      </c>
      <c r="K864" s="7" t="str">
        <f>TRIM(ETLMetadata!$G864)</f>
        <v>CHAR(1)</v>
      </c>
      <c r="L864" s="7" t="str">
        <f>TRIM(ETLMetadata!$I864)</f>
        <v/>
      </c>
      <c r="M864" s="7" t="str">
        <f t="shared" si="110"/>
        <v>NULLIF(TRIM(K9DS_AMR_2),'')</v>
      </c>
      <c r="N864" s="7" t="str">
        <f>TRIM(ETLMetadata!$J864)</f>
        <v/>
      </c>
      <c r="O864" s="8" t="str">
        <f>IF(TRIM(Classification!$G864)="","NOT CONFIDENTIAL",TRIM(Classification!$G864))</f>
        <v>NOT CONFIDENTIAL</v>
      </c>
      <c r="P864" s="7" t="str">
        <f t="shared" si="111"/>
        <v>Y</v>
      </c>
      <c r="Q864" s="7" t="s">
        <v>826</v>
      </c>
      <c r="R864" s="9">
        <v>2958465</v>
      </c>
      <c r="S864" s="7" t="s">
        <v>827</v>
      </c>
      <c r="T864" s="7" t="s">
        <v>828</v>
      </c>
      <c r="U864" s="7" t="str">
        <f t="shared" si="113"/>
        <v>CLK_DETM_DETIS_K9DS_V</v>
      </c>
      <c r="V864" s="7" t="s">
        <v>829</v>
      </c>
    </row>
    <row r="865" spans="1:22">
      <c r="A865" s="7" t="str">
        <f>TRIM(ETLMetadata!$B865)</f>
        <v>CLK</v>
      </c>
      <c r="B865" s="7" t="str">
        <f>TRIM(ETLMetadata!$C865)</f>
        <v>DETM_DETIS_K9DS</v>
      </c>
      <c r="C865" s="7" t="str">
        <f>TRIM(ETLMetadata!$F865)</f>
        <v>K9DS_AMR_3</v>
      </c>
      <c r="D865" s="7" t="str">
        <f>TRIM(ETLMetadata!$H865)</f>
        <v>StringType()</v>
      </c>
      <c r="E865" s="7" t="str">
        <f t="shared" si="112"/>
        <v>CLK_DETM_DETIS_K9DS</v>
      </c>
      <c r="F865" s="7" t="str">
        <f t="shared" si="106"/>
        <v>K9DS_AMR_3</v>
      </c>
      <c r="G865" s="7" t="s">
        <v>825</v>
      </c>
      <c r="H865" s="7" t="str">
        <f t="shared" si="107"/>
        <v>CLK_DETM_DETIS_K9DS</v>
      </c>
      <c r="I865" s="7" t="str">
        <f t="shared" si="108"/>
        <v>K9DS_AMR_3</v>
      </c>
      <c r="J865" s="7" t="str">
        <f t="shared" si="109"/>
        <v>VARCHAR</v>
      </c>
      <c r="K865" s="7" t="str">
        <f>TRIM(ETLMetadata!$G865)</f>
        <v>CHAR(4)</v>
      </c>
      <c r="L865" s="7" t="str">
        <f>TRIM(ETLMetadata!$I865)</f>
        <v/>
      </c>
      <c r="M865" s="7" t="str">
        <f t="shared" si="110"/>
        <v>NULLIF(TRIM(K9DS_AMR_3),'')</v>
      </c>
      <c r="N865" s="7" t="str">
        <f>TRIM(ETLMetadata!$J865)</f>
        <v/>
      </c>
      <c r="O865" s="8" t="str">
        <f>IF(TRIM(Classification!$G865)="","NOT CONFIDENTIAL",TRIM(Classification!$G865))</f>
        <v>NOT CONFIDENTIAL</v>
      </c>
      <c r="P865" s="7" t="str">
        <f t="shared" si="111"/>
        <v>Y</v>
      </c>
      <c r="Q865" s="7" t="s">
        <v>826</v>
      </c>
      <c r="R865" s="9">
        <v>2958465</v>
      </c>
      <c r="S865" s="7" t="s">
        <v>827</v>
      </c>
      <c r="T865" s="7" t="s">
        <v>828</v>
      </c>
      <c r="U865" s="7" t="str">
        <f t="shared" si="113"/>
        <v>CLK_DETM_DETIS_K9DS_V</v>
      </c>
      <c r="V865" s="7" t="s">
        <v>829</v>
      </c>
    </row>
    <row r="866" spans="1:22">
      <c r="A866" s="7" t="str">
        <f>TRIM(ETLMetadata!$B866)</f>
        <v>CLK</v>
      </c>
      <c r="B866" s="7" t="str">
        <f>TRIM(ETLMetadata!$C866)</f>
        <v>DETM_DETIS_K9DS</v>
      </c>
      <c r="C866" s="7" t="str">
        <f>TRIM(ETLMetadata!$F866)</f>
        <v>K9DS_DOE</v>
      </c>
      <c r="D866" s="7" t="str">
        <f>TRIM(ETLMetadata!$H866)</f>
        <v>StringType()</v>
      </c>
      <c r="E866" s="7" t="str">
        <f t="shared" si="112"/>
        <v>CLK_DETM_DETIS_K9DS</v>
      </c>
      <c r="F866" s="7" t="str">
        <f t="shared" si="106"/>
        <v>K9DS_DOE</v>
      </c>
      <c r="G866" s="7" t="s">
        <v>825</v>
      </c>
      <c r="H866" s="7" t="str">
        <f t="shared" si="107"/>
        <v>CLK_DETM_DETIS_K9DS</v>
      </c>
      <c r="I866" s="7" t="str">
        <f t="shared" si="108"/>
        <v>K9DS_DOE</v>
      </c>
      <c r="J866" s="7" t="str">
        <f t="shared" si="109"/>
        <v>DATE</v>
      </c>
      <c r="K866" s="17" t="s">
        <v>80</v>
      </c>
      <c r="L866" s="7" t="str">
        <f>TRIM(ETLMetadata!$I866)</f>
        <v>YYYY-MM-DD</v>
      </c>
      <c r="M866" s="7" t="str">
        <f t="shared" si="110"/>
        <v>TO_DATE(NULLIF(TRIM(K9DS_DOE),'') , 'YYYY-MM-DD')</v>
      </c>
      <c r="N866" s="7" t="str">
        <f>TRIM(ETLMetadata!$J866)</f>
        <v/>
      </c>
      <c r="O866" s="8" t="str">
        <f>IF(TRIM(Classification!$G866)="","NOT CONFIDENTIAL",TRIM(Classification!$G866))</f>
        <v>NOT CONFIDENTIAL</v>
      </c>
      <c r="P866" s="7" t="str">
        <f t="shared" si="111"/>
        <v>Y</v>
      </c>
      <c r="Q866" s="7" t="s">
        <v>826</v>
      </c>
      <c r="R866" s="9">
        <v>2958465</v>
      </c>
      <c r="S866" s="7" t="s">
        <v>827</v>
      </c>
      <c r="T866" s="7" t="s">
        <v>828</v>
      </c>
      <c r="U866" s="7" t="str">
        <f t="shared" si="113"/>
        <v>CLK_DETM_DETIS_K9DS_V</v>
      </c>
      <c r="V866" s="7" t="s">
        <v>829</v>
      </c>
    </row>
    <row r="867" spans="1:22">
      <c r="A867" s="7" t="str">
        <f>TRIM(ETLMetadata!$B867)</f>
        <v>CLK</v>
      </c>
      <c r="B867" s="7" t="str">
        <f>TRIM(ETLMetadata!$C867)</f>
        <v>DETM_DETIS_K9DS</v>
      </c>
      <c r="C867" s="7" t="str">
        <f>TRIM(ETLMetadata!$F867)</f>
        <v>K9DS_DOE_ORIG</v>
      </c>
      <c r="D867" s="7" t="str">
        <f>TRIM(ETLMetadata!$H867)</f>
        <v>StringType()</v>
      </c>
      <c r="E867" s="7" t="str">
        <f t="shared" si="112"/>
        <v>CLK_DETM_DETIS_K9DS</v>
      </c>
      <c r="F867" s="7" t="str">
        <f t="shared" si="106"/>
        <v>K9DS_DOE_ORIG</v>
      </c>
      <c r="G867" s="7" t="s">
        <v>825</v>
      </c>
      <c r="H867" s="7" t="str">
        <f t="shared" si="107"/>
        <v>CLK_DETM_DETIS_K9DS</v>
      </c>
      <c r="I867" s="7" t="str">
        <f t="shared" si="108"/>
        <v>K9DS_DOE_ORIG</v>
      </c>
      <c r="J867" s="7" t="str">
        <f t="shared" si="109"/>
        <v>INTEGER</v>
      </c>
      <c r="K867" s="17" t="s">
        <v>90</v>
      </c>
      <c r="L867" s="7" t="str">
        <f>TRIM(ETLMetadata!$I867)</f>
        <v/>
      </c>
      <c r="M867" s="7" t="str">
        <f t="shared" si="110"/>
        <v>CAST(NULLIF(TRIM(K9DS_DOE_ORIG),'') AS INTEGER)</v>
      </c>
      <c r="N867" s="7" t="str">
        <f>TRIM(ETLMetadata!$J867)</f>
        <v/>
      </c>
      <c r="O867" s="8" t="str">
        <f>IF(TRIM(Classification!$G867)="","NOT CONFIDENTIAL",TRIM(Classification!$G867))</f>
        <v>NOT CONFIDENTIAL</v>
      </c>
      <c r="P867" s="7" t="str">
        <f t="shared" si="111"/>
        <v>Y</v>
      </c>
      <c r="Q867" s="7" t="s">
        <v>826</v>
      </c>
      <c r="R867" s="9">
        <v>2958465</v>
      </c>
      <c r="S867" s="7" t="s">
        <v>827</v>
      </c>
      <c r="T867" s="7" t="s">
        <v>828</v>
      </c>
      <c r="U867" s="7" t="str">
        <f t="shared" si="113"/>
        <v>CLK_DETM_DETIS_K9DS_V</v>
      </c>
      <c r="V867" s="7" t="s">
        <v>829</v>
      </c>
    </row>
    <row r="868" spans="1:22">
      <c r="A868" s="7" t="str">
        <f>TRIM(ETLMetadata!$B868)</f>
        <v>CLK</v>
      </c>
      <c r="B868" s="7" t="str">
        <f>TRIM(ETLMetadata!$C868)</f>
        <v>DETM_DETIS_K9DS</v>
      </c>
      <c r="C868" s="7" t="str">
        <f>TRIM(ETLMetadata!$F868)</f>
        <v>K9DS_BEN_TYPE_CODE</v>
      </c>
      <c r="D868" s="7" t="str">
        <f>TRIM(ETLMetadata!$H868)</f>
        <v>StringType()</v>
      </c>
      <c r="E868" s="7" t="str">
        <f t="shared" si="112"/>
        <v>CLK_DETM_DETIS_K9DS</v>
      </c>
      <c r="F868" s="7" t="str">
        <f t="shared" si="106"/>
        <v>K9DS_BEN_TYPE_CODE</v>
      </c>
      <c r="G868" s="7" t="s">
        <v>825</v>
      </c>
      <c r="H868" s="7" t="str">
        <f t="shared" si="107"/>
        <v>CLK_DETM_DETIS_K9DS</v>
      </c>
      <c r="I868" s="7" t="str">
        <f t="shared" si="108"/>
        <v>K9DS_BEN_TYPE_CODE</v>
      </c>
      <c r="J868" s="7" t="str">
        <f t="shared" si="109"/>
        <v>VARCHAR</v>
      </c>
      <c r="K868" s="7" t="str">
        <f>TRIM(ETLMetadata!$G868)</f>
        <v>CHAR(3)</v>
      </c>
      <c r="L868" s="7" t="str">
        <f>TRIM(ETLMetadata!$I868)</f>
        <v/>
      </c>
      <c r="M868" s="7" t="str">
        <f t="shared" si="110"/>
        <v>NULLIF(TRIM(K9DS_BEN_TYPE_CODE),'')</v>
      </c>
      <c r="N868" s="7" t="str">
        <f>TRIM(ETLMetadata!$J868)</f>
        <v/>
      </c>
      <c r="O868" s="8" t="str">
        <f>IF(TRIM(Classification!$G868)="","NOT CONFIDENTIAL",TRIM(Classification!$G868))</f>
        <v>NOT CONFIDENTIAL</v>
      </c>
      <c r="P868" s="7" t="str">
        <f t="shared" si="111"/>
        <v>Y</v>
      </c>
      <c r="Q868" s="7" t="s">
        <v>826</v>
      </c>
      <c r="R868" s="9">
        <v>2958465</v>
      </c>
      <c r="S868" s="7" t="s">
        <v>827</v>
      </c>
      <c r="T868" s="7" t="s">
        <v>828</v>
      </c>
      <c r="U868" s="7" t="str">
        <f t="shared" si="113"/>
        <v>CLK_DETM_DETIS_K9DS_V</v>
      </c>
      <c r="V868" s="7" t="s">
        <v>829</v>
      </c>
    </row>
    <row r="869" spans="1:22">
      <c r="A869" s="7" t="str">
        <f>TRIM(ETLMetadata!$B869)</f>
        <v>CLK</v>
      </c>
      <c r="B869" s="7" t="str">
        <f>TRIM(ETLMetadata!$C869)</f>
        <v>DETM_DETIS_K9DS</v>
      </c>
      <c r="C869" s="7" t="str">
        <f>TRIM(ETLMetadata!$F869)</f>
        <v>K9DS_STS_CODE</v>
      </c>
      <c r="D869" s="7" t="str">
        <f>TRIM(ETLMetadata!$H869)</f>
        <v>StringType()</v>
      </c>
      <c r="E869" s="7" t="str">
        <f t="shared" si="112"/>
        <v>CLK_DETM_DETIS_K9DS</v>
      </c>
      <c r="F869" s="7" t="str">
        <f t="shared" si="106"/>
        <v>K9DS_STS_CODE</v>
      </c>
      <c r="G869" s="7" t="s">
        <v>825</v>
      </c>
      <c r="H869" s="7" t="str">
        <f t="shared" si="107"/>
        <v>CLK_DETM_DETIS_K9DS</v>
      </c>
      <c r="I869" s="7" t="str">
        <f t="shared" si="108"/>
        <v>K9DS_STS_CODE</v>
      </c>
      <c r="J869" s="7" t="str">
        <f t="shared" si="109"/>
        <v>VARCHAR</v>
      </c>
      <c r="K869" s="7" t="str">
        <f>TRIM(ETLMetadata!$G869)</f>
        <v>CHAR(3)</v>
      </c>
      <c r="L869" s="7" t="str">
        <f>TRIM(ETLMetadata!$I869)</f>
        <v/>
      </c>
      <c r="M869" s="7" t="str">
        <f t="shared" si="110"/>
        <v>NULLIF(TRIM(K9DS_STS_CODE),'')</v>
      </c>
      <c r="N869" s="7" t="str">
        <f>TRIM(ETLMetadata!$J869)</f>
        <v/>
      </c>
      <c r="O869" s="8" t="str">
        <f>IF(TRIM(Classification!$G869)="","NOT CONFIDENTIAL",TRIM(Classification!$G869))</f>
        <v>NOT CONFIDENTIAL</v>
      </c>
      <c r="P869" s="7" t="str">
        <f t="shared" si="111"/>
        <v>Y</v>
      </c>
      <c r="Q869" s="7" t="s">
        <v>826</v>
      </c>
      <c r="R869" s="9">
        <v>2958465</v>
      </c>
      <c r="S869" s="7" t="s">
        <v>827</v>
      </c>
      <c r="T869" s="7" t="s">
        <v>828</v>
      </c>
      <c r="U869" s="7" t="str">
        <f t="shared" si="113"/>
        <v>CLK_DETM_DETIS_K9DS_V</v>
      </c>
      <c r="V869" s="7" t="s">
        <v>829</v>
      </c>
    </row>
    <row r="870" spans="1:22">
      <c r="A870" s="7" t="str">
        <f>TRIM(ETLMetadata!$B870)</f>
        <v>CLK</v>
      </c>
      <c r="B870" s="7" t="str">
        <f>TRIM(ETLMetadata!$C870)</f>
        <v>DETM_DETIS_K9DS</v>
      </c>
      <c r="C870" s="7" t="str">
        <f>TRIM(ETLMetadata!$F870)</f>
        <v>K9DS_RSN_CODE</v>
      </c>
      <c r="D870" s="7" t="str">
        <f>TRIM(ETLMetadata!$H870)</f>
        <v>StringType()</v>
      </c>
      <c r="E870" s="7" t="str">
        <f t="shared" si="112"/>
        <v>CLK_DETM_DETIS_K9DS</v>
      </c>
      <c r="F870" s="7" t="str">
        <f t="shared" si="106"/>
        <v>K9DS_RSN_CODE</v>
      </c>
      <c r="G870" s="7" t="s">
        <v>825</v>
      </c>
      <c r="H870" s="7" t="str">
        <f t="shared" si="107"/>
        <v>CLK_DETM_DETIS_K9DS</v>
      </c>
      <c r="I870" s="7" t="str">
        <f t="shared" si="108"/>
        <v>K9DS_RSN_CODE</v>
      </c>
      <c r="J870" s="7" t="str">
        <f t="shared" si="109"/>
        <v>VARCHAR</v>
      </c>
      <c r="K870" s="7" t="str">
        <f>TRIM(ETLMetadata!$G870)</f>
        <v>CHAR(3)</v>
      </c>
      <c r="L870" s="7" t="str">
        <f>TRIM(ETLMetadata!$I870)</f>
        <v/>
      </c>
      <c r="M870" s="7" t="str">
        <f t="shared" si="110"/>
        <v>NULLIF(TRIM(K9DS_RSN_CODE),'')</v>
      </c>
      <c r="N870" s="7" t="str">
        <f>TRIM(ETLMetadata!$J870)</f>
        <v/>
      </c>
      <c r="O870" s="8" t="str">
        <f>IF(TRIM(Classification!$G870)="","NOT CONFIDENTIAL",TRIM(Classification!$G870))</f>
        <v>NOT CONFIDENTIAL</v>
      </c>
      <c r="P870" s="7" t="str">
        <f t="shared" si="111"/>
        <v>Y</v>
      </c>
      <c r="Q870" s="7" t="s">
        <v>826</v>
      </c>
      <c r="R870" s="9">
        <v>2958465</v>
      </c>
      <c r="S870" s="7" t="s">
        <v>827</v>
      </c>
      <c r="T870" s="7" t="s">
        <v>828</v>
      </c>
      <c r="U870" s="7" t="str">
        <f t="shared" si="113"/>
        <v>CLK_DETM_DETIS_K9DS_V</v>
      </c>
      <c r="V870" s="7" t="s">
        <v>829</v>
      </c>
    </row>
    <row r="871" spans="1:22">
      <c r="A871" s="7" t="str">
        <f>TRIM(ETLMetadata!$B871)</f>
        <v>CLK</v>
      </c>
      <c r="B871" s="7" t="str">
        <f>TRIM(ETLMetadata!$C871)</f>
        <v>DETM_DETIS_K9DS</v>
      </c>
      <c r="C871" s="7" t="str">
        <f>TRIM(ETLMetadata!$F871)</f>
        <v>K9DS_UNIQ_ID</v>
      </c>
      <c r="D871" s="7" t="str">
        <f>TRIM(ETLMetadata!$H871)</f>
        <v>StringType()</v>
      </c>
      <c r="E871" s="7" t="str">
        <f t="shared" si="112"/>
        <v>CLK_DETM_DETIS_K9DS</v>
      </c>
      <c r="F871" s="7" t="str">
        <f t="shared" si="106"/>
        <v>K9DS_UNIQ_ID</v>
      </c>
      <c r="G871" s="7" t="s">
        <v>825</v>
      </c>
      <c r="H871" s="7" t="str">
        <f t="shared" si="107"/>
        <v>CLK_DETM_DETIS_K9DS</v>
      </c>
      <c r="I871" s="7" t="str">
        <f t="shared" si="108"/>
        <v>K9DS_UNIQ_ID</v>
      </c>
      <c r="J871" s="7" t="str">
        <f t="shared" si="109"/>
        <v>VARCHAR</v>
      </c>
      <c r="K871" s="7" t="str">
        <f>TRIM(ETLMetadata!$G871)</f>
        <v>VARCHAR(8)</v>
      </c>
      <c r="L871" s="7" t="str">
        <f>TRIM(ETLMetadata!$I871)</f>
        <v/>
      </c>
      <c r="M871" s="7" t="str">
        <f t="shared" si="110"/>
        <v>NULLIF(TRIM(K9DS_UNIQ_ID),'')</v>
      </c>
      <c r="N871" s="7" t="str">
        <f>TRIM(ETLMetadata!$J871)</f>
        <v/>
      </c>
      <c r="O871" s="8" t="str">
        <f>IF(TRIM(Classification!$G871)="","NOT CONFIDENTIAL",TRIM(Classification!$G871))</f>
        <v>NOT CONFIDENTIAL</v>
      </c>
      <c r="P871" s="7" t="str">
        <f t="shared" si="111"/>
        <v>Y</v>
      </c>
      <c r="Q871" s="7" t="s">
        <v>826</v>
      </c>
      <c r="R871" s="9">
        <v>2958465</v>
      </c>
      <c r="S871" s="7" t="s">
        <v>827</v>
      </c>
      <c r="T871" s="7" t="s">
        <v>828</v>
      </c>
      <c r="U871" s="7" t="str">
        <f t="shared" si="113"/>
        <v>CLK_DETM_DETIS_K9DS_V</v>
      </c>
      <c r="V871" s="7" t="s">
        <v>829</v>
      </c>
    </row>
    <row r="872" spans="1:22">
      <c r="A872" s="7" t="str">
        <f>TRIM(ETLMetadata!$B872)</f>
        <v>CLK</v>
      </c>
      <c r="B872" s="7" t="str">
        <f>TRIM(ETLMetadata!$C872)</f>
        <v>DETM_DETIS_K9DS</v>
      </c>
      <c r="C872" s="7" t="str">
        <f>TRIM(ETLMetadata!$F872)</f>
        <v>AMR1_RISL_DTS</v>
      </c>
      <c r="D872" s="7" t="str">
        <f>TRIM(ETLMetadata!$H872)</f>
        <v>StringType()</v>
      </c>
      <c r="E872" s="7" t="str">
        <f t="shared" si="112"/>
        <v>CLK_DETM_DETIS_K9DS</v>
      </c>
      <c r="F872" s="7" t="str">
        <f t="shared" si="106"/>
        <v>AMR1_RISL_DTS</v>
      </c>
      <c r="G872" s="7" t="s">
        <v>825</v>
      </c>
      <c r="H872" s="7" t="str">
        <f t="shared" si="107"/>
        <v>CLK_DETM_DETIS_K9DS</v>
      </c>
      <c r="I872" s="7" t="str">
        <f t="shared" si="108"/>
        <v>AMR1_RISL_DTS</v>
      </c>
      <c r="J872" s="7" t="str">
        <f t="shared" si="109"/>
        <v>TIMESTAMP</v>
      </c>
      <c r="K872" s="7" t="str">
        <f>TRIM(ETLMetadata!$G872)</f>
        <v>TIMESTAMP(6)</v>
      </c>
      <c r="L872" s="7" t="str">
        <f>TRIM(ETLMetadata!$I872)</f>
        <v>YYYY-MM-DDBHH:MI:SS.S(6)</v>
      </c>
      <c r="M872" s="7" t="str">
        <f t="shared" si="110"/>
        <v>TO_TIMESTAMP_NTZ(NULLIF(TRIM(AMR1_RISL_DTS),''),'YYYY-MM-DD HH24:MI:SS.FF6')</v>
      </c>
      <c r="N872" s="7" t="str">
        <f>TRIM(ETLMetadata!$J872)</f>
        <v/>
      </c>
      <c r="O872" s="8" t="str">
        <f>IF(TRIM(Classification!$G872)="","NOT CONFIDENTIAL",TRIM(Classification!$G872))</f>
        <v>NOT CONFIDENTIAL</v>
      </c>
      <c r="P872" s="7" t="str">
        <f t="shared" si="111"/>
        <v>Y</v>
      </c>
      <c r="Q872" s="7" t="s">
        <v>826</v>
      </c>
      <c r="R872" s="9">
        <v>2958465</v>
      </c>
      <c r="S872" s="7" t="s">
        <v>827</v>
      </c>
      <c r="T872" s="7" t="s">
        <v>828</v>
      </c>
      <c r="U872" s="7" t="str">
        <f t="shared" si="113"/>
        <v>CLK_DETM_DETIS_K9DS_V</v>
      </c>
      <c r="V872" s="7" t="s">
        <v>829</v>
      </c>
    </row>
    <row r="873" spans="1:22">
      <c r="A873" s="7" t="str">
        <f>TRIM(ETLMetadata!$B873)</f>
        <v>CLK</v>
      </c>
      <c r="B873" s="7" t="str">
        <f>TRIM(ETLMetadata!$C873)</f>
        <v>DETM_DETIS_K9DS</v>
      </c>
      <c r="C873" s="7" t="str">
        <f>TRIM(ETLMetadata!$F873)</f>
        <v>AMR3_RISL_DTS</v>
      </c>
      <c r="D873" s="7" t="str">
        <f>TRIM(ETLMetadata!$H873)</f>
        <v>StringType()</v>
      </c>
      <c r="E873" s="7" t="str">
        <f t="shared" si="112"/>
        <v>CLK_DETM_DETIS_K9DS</v>
      </c>
      <c r="F873" s="7" t="str">
        <f t="shared" si="106"/>
        <v>AMR3_RISL_DTS</v>
      </c>
      <c r="G873" s="7" t="s">
        <v>825</v>
      </c>
      <c r="H873" s="7" t="str">
        <f t="shared" si="107"/>
        <v>CLK_DETM_DETIS_K9DS</v>
      </c>
      <c r="I873" s="7" t="str">
        <f t="shared" si="108"/>
        <v>AMR3_RISL_DTS</v>
      </c>
      <c r="J873" s="7" t="str">
        <f t="shared" si="109"/>
        <v>TIMESTAMP</v>
      </c>
      <c r="K873" s="7" t="str">
        <f>TRIM(ETLMetadata!$G873)</f>
        <v>TIMESTAMP(6)</v>
      </c>
      <c r="L873" s="7" t="str">
        <f>TRIM(ETLMetadata!$I873)</f>
        <v>YYYY-MM-DDBHH:MI:SS.S(6)</v>
      </c>
      <c r="M873" s="7" t="str">
        <f t="shared" si="110"/>
        <v>TO_TIMESTAMP_NTZ(NULLIF(TRIM(AMR3_RISL_DTS),''),'YYYY-MM-DD HH24:MI:SS.FF6')</v>
      </c>
      <c r="N873" s="7" t="str">
        <f>TRIM(ETLMetadata!$J873)</f>
        <v/>
      </c>
      <c r="O873" s="8" t="str">
        <f>IF(TRIM(Classification!$G873)="","NOT CONFIDENTIAL",TRIM(Classification!$G873))</f>
        <v>NOT CONFIDENTIAL</v>
      </c>
      <c r="P873" s="7" t="str">
        <f t="shared" si="111"/>
        <v>Y</v>
      </c>
      <c r="Q873" s="7" t="s">
        <v>826</v>
      </c>
      <c r="R873" s="9">
        <v>2958465</v>
      </c>
      <c r="S873" s="7" t="s">
        <v>827</v>
      </c>
      <c r="T873" s="7" t="s">
        <v>828</v>
      </c>
      <c r="U873" s="7" t="str">
        <f t="shared" si="113"/>
        <v>CLK_DETM_DETIS_K9DS_V</v>
      </c>
      <c r="V873" s="7" t="s">
        <v>829</v>
      </c>
    </row>
    <row r="874" spans="1:22">
      <c r="A874" s="7" t="str">
        <f>TRIM(ETLMetadata!$B874)</f>
        <v>CLK</v>
      </c>
      <c r="B874" s="7" t="str">
        <f>TRIM(ETLMetadata!$C874)</f>
        <v>DETM_DETIS_K9DS</v>
      </c>
      <c r="C874" s="7" t="str">
        <f>TRIM(ETLMetadata!$F874)</f>
        <v>EPISODE_ID</v>
      </c>
      <c r="D874" s="7" t="str">
        <f>TRIM(ETLMetadata!$H874)</f>
        <v>StringType()</v>
      </c>
      <c r="E874" s="7" t="str">
        <f t="shared" si="112"/>
        <v>CLK_DETM_DETIS_K9DS</v>
      </c>
      <c r="F874" s="7" t="str">
        <f t="shared" si="106"/>
        <v>EPISODE_ID</v>
      </c>
      <c r="G874" s="7" t="s">
        <v>825</v>
      </c>
      <c r="H874" s="7" t="str">
        <f t="shared" si="107"/>
        <v>CLK_DETM_DETIS_K9DS</v>
      </c>
      <c r="I874" s="7" t="str">
        <f t="shared" si="108"/>
        <v>EPISODE_ID</v>
      </c>
      <c r="J874" s="7" t="str">
        <f t="shared" si="109"/>
        <v>INTEGER</v>
      </c>
      <c r="K874" s="7" t="str">
        <f>TRIM(ETLMetadata!$G874)</f>
        <v>INTEGER</v>
      </c>
      <c r="L874" s="7" t="str">
        <f>TRIM(ETLMetadata!$I874)</f>
        <v/>
      </c>
      <c r="M874" s="7" t="str">
        <f t="shared" si="110"/>
        <v>CAST(NULLIF(TRIM(EPISODE_ID),'') AS INTEGER)</v>
      </c>
      <c r="N874" s="7" t="str">
        <f>TRIM(ETLMetadata!$J874)</f>
        <v/>
      </c>
      <c r="O874" s="8" t="str">
        <f>IF(TRIM(Classification!$G874)="","NOT CONFIDENTIAL",TRIM(Classification!$G874))</f>
        <v>NOT CONFIDENTIAL</v>
      </c>
      <c r="P874" s="7" t="str">
        <f t="shared" si="111"/>
        <v>Y</v>
      </c>
      <c r="Q874" s="7" t="s">
        <v>826</v>
      </c>
      <c r="R874" s="9">
        <v>2958465</v>
      </c>
      <c r="S874" s="7" t="s">
        <v>827</v>
      </c>
      <c r="T874" s="7" t="s">
        <v>828</v>
      </c>
      <c r="U874" s="7" t="str">
        <f t="shared" si="113"/>
        <v>CLK_DETM_DETIS_K9DS_V</v>
      </c>
      <c r="V874" s="7" t="s">
        <v>829</v>
      </c>
    </row>
    <row r="875" spans="1:22">
      <c r="A875" s="7" t="str">
        <f>TRIM(ETLMetadata!$B875)</f>
        <v>CLK</v>
      </c>
      <c r="B875" s="7" t="str">
        <f>TRIM(ETLMetadata!$C875)</f>
        <v>DETM_DETIS_K9DS</v>
      </c>
      <c r="C875" s="7" t="str">
        <f>TRIM(ETLMetadata!$F875)</f>
        <v>PARTY_ROLE_ID</v>
      </c>
      <c r="D875" s="7" t="str">
        <f>TRIM(ETLMetadata!$H875)</f>
        <v>StringType()</v>
      </c>
      <c r="E875" s="7" t="str">
        <f t="shared" si="112"/>
        <v>CLK_DETM_DETIS_K9DS</v>
      </c>
      <c r="F875" s="7" t="str">
        <f t="shared" si="106"/>
        <v>PARTY_ROLE_ID</v>
      </c>
      <c r="G875" s="7" t="s">
        <v>825</v>
      </c>
      <c r="H875" s="7" t="str">
        <f t="shared" si="107"/>
        <v>CLK_DETM_DETIS_K9DS</v>
      </c>
      <c r="I875" s="7" t="str">
        <f t="shared" si="108"/>
        <v>PARTY_ROLE_ID</v>
      </c>
      <c r="J875" s="7" t="str">
        <f t="shared" si="109"/>
        <v>INTEGER</v>
      </c>
      <c r="K875" s="7" t="str">
        <f>TRIM(ETLMetadata!$G875)</f>
        <v>INTEGER</v>
      </c>
      <c r="L875" s="7" t="str">
        <f>TRIM(ETLMetadata!$I875)</f>
        <v/>
      </c>
      <c r="M875" s="7" t="str">
        <f t="shared" si="110"/>
        <v>CAST(NULLIF(TRIM(PARTY_ROLE_ID),'') AS INTEGER)</v>
      </c>
      <c r="N875" s="7" t="str">
        <f>TRIM(ETLMetadata!$J875)</f>
        <v/>
      </c>
      <c r="O875" s="8" t="str">
        <f>IF(TRIM(Classification!$G875)="","NOT CONFIDENTIAL",TRIM(Classification!$G875))</f>
        <v>NOT CONFIDENTIAL</v>
      </c>
      <c r="P875" s="7" t="str">
        <f t="shared" si="111"/>
        <v>Y</v>
      </c>
      <c r="Q875" s="7" t="s">
        <v>826</v>
      </c>
      <c r="R875" s="9">
        <v>2958465</v>
      </c>
      <c r="S875" s="7" t="s">
        <v>827</v>
      </c>
      <c r="T875" s="7" t="s">
        <v>828</v>
      </c>
      <c r="U875" s="7" t="str">
        <f t="shared" si="113"/>
        <v>CLK_DETM_DETIS_K9DS_V</v>
      </c>
      <c r="V875" s="7" t="s">
        <v>829</v>
      </c>
    </row>
    <row r="876" spans="1:22">
      <c r="A876" s="7" t="str">
        <f>TRIM(ETLMetadata!$B876)</f>
        <v>CLK</v>
      </c>
      <c r="B876" s="7" t="str">
        <f>TRIM(ETLMetadata!$C876)</f>
        <v>DETM_DETIS_K9DS</v>
      </c>
      <c r="C876" s="7" t="str">
        <f>TRIM(ETLMetadata!$F876)</f>
        <v>PAYMENT_TYPE_ID</v>
      </c>
      <c r="D876" s="7" t="str">
        <f>TRIM(ETLMetadata!$H876)</f>
        <v>StringType()</v>
      </c>
      <c r="E876" s="7" t="str">
        <f t="shared" si="112"/>
        <v>CLK_DETM_DETIS_K9DS</v>
      </c>
      <c r="F876" s="7" t="str">
        <f t="shared" si="106"/>
        <v>PAYMENT_TYPE_ID</v>
      </c>
      <c r="G876" s="7" t="s">
        <v>825</v>
      </c>
      <c r="H876" s="7" t="str">
        <f t="shared" si="107"/>
        <v>CLK_DETM_DETIS_K9DS</v>
      </c>
      <c r="I876" s="7" t="str">
        <f t="shared" si="108"/>
        <v>PAYMENT_TYPE_ID</v>
      </c>
      <c r="J876" s="7" t="str">
        <f t="shared" si="109"/>
        <v>INTEGER</v>
      </c>
      <c r="K876" s="7" t="str">
        <f>TRIM(ETLMetadata!$G876)</f>
        <v>INTEGER</v>
      </c>
      <c r="L876" s="7" t="str">
        <f>TRIM(ETLMetadata!$I876)</f>
        <v/>
      </c>
      <c r="M876" s="7" t="str">
        <f t="shared" si="110"/>
        <v>CAST(NULLIF(TRIM(PAYMENT_TYPE_ID),'') AS INTEGER)</v>
      </c>
      <c r="N876" s="7" t="str">
        <f>TRIM(ETLMetadata!$J876)</f>
        <v/>
      </c>
      <c r="O876" s="8" t="str">
        <f>IF(TRIM(Classification!$G876)="","NOT CONFIDENTIAL",TRIM(Classification!$G876))</f>
        <v>NOT CONFIDENTIAL</v>
      </c>
      <c r="P876" s="7" t="str">
        <f t="shared" si="111"/>
        <v>Y</v>
      </c>
      <c r="Q876" s="7" t="s">
        <v>826</v>
      </c>
      <c r="R876" s="9">
        <v>2958465</v>
      </c>
      <c r="S876" s="7" t="s">
        <v>827</v>
      </c>
      <c r="T876" s="7" t="s">
        <v>828</v>
      </c>
      <c r="U876" s="7" t="str">
        <f t="shared" si="113"/>
        <v>CLK_DETM_DETIS_K9DS_V</v>
      </c>
      <c r="V876" s="7" t="s">
        <v>829</v>
      </c>
    </row>
    <row r="877" spans="1:22">
      <c r="A877" s="7" t="str">
        <f>TRIM(ETLMetadata!$B877)</f>
        <v>CLK</v>
      </c>
      <c r="B877" s="7" t="str">
        <f>TRIM(ETLMetadata!$C877)</f>
        <v>DETM_DETIS_K9DS</v>
      </c>
      <c r="C877" s="7" t="str">
        <f>TRIM(ETLMetadata!$F877)</f>
        <v>ERROR_COUNT</v>
      </c>
      <c r="D877" s="7" t="str">
        <f>TRIM(ETLMetadata!$H877)</f>
        <v>StringType()</v>
      </c>
      <c r="E877" s="7" t="str">
        <f t="shared" si="112"/>
        <v>CLK_DETM_DETIS_K9DS</v>
      </c>
      <c r="F877" s="7" t="str">
        <f t="shared" si="106"/>
        <v>ERROR_COUNT</v>
      </c>
      <c r="G877" s="7" t="s">
        <v>825</v>
      </c>
      <c r="H877" s="7" t="str">
        <f t="shared" si="107"/>
        <v>CLK_DETM_DETIS_K9DS</v>
      </c>
      <c r="I877" s="7" t="str">
        <f t="shared" si="108"/>
        <v>ERROR_COUNT</v>
      </c>
      <c r="J877" s="7" t="str">
        <f t="shared" si="109"/>
        <v>SMALLINT</v>
      </c>
      <c r="K877" s="7" t="str">
        <f>TRIM(ETLMetadata!$G877)</f>
        <v>SMALLINT</v>
      </c>
      <c r="L877" s="7" t="str">
        <f>TRIM(ETLMetadata!$I877)</f>
        <v/>
      </c>
      <c r="M877" s="7" t="str">
        <f t="shared" si="110"/>
        <v>CAST(NULLIF(TRIM(ERROR_COUNT),'') AS SMALLINT)</v>
      </c>
      <c r="N877" s="7" t="str">
        <f>TRIM(ETLMetadata!$J877)</f>
        <v/>
      </c>
      <c r="O877" s="8" t="str">
        <f>IF(TRIM(Classification!$G877)="","NOT CONFIDENTIAL",TRIM(Classification!$G877))</f>
        <v>NOT CONFIDENTIAL</v>
      </c>
      <c r="P877" s="7" t="str">
        <f t="shared" si="111"/>
        <v>Y</v>
      </c>
      <c r="Q877" s="7" t="s">
        <v>826</v>
      </c>
      <c r="R877" s="9">
        <v>2958465</v>
      </c>
      <c r="S877" s="7" t="s">
        <v>827</v>
      </c>
      <c r="T877" s="7" t="s">
        <v>828</v>
      </c>
      <c r="U877" s="7" t="str">
        <f t="shared" si="113"/>
        <v>CLK_DETM_DETIS_K9DS_V</v>
      </c>
      <c r="V877" s="7" t="s">
        <v>829</v>
      </c>
    </row>
    <row r="878" spans="1:22">
      <c r="A878" s="7" t="str">
        <f>TRIM(ETLMetadata!$B878)</f>
        <v>CLK</v>
      </c>
      <c r="B878" s="7" t="str">
        <f>TRIM(ETLMetadata!$C878)</f>
        <v>DETM_DETIS_K9DS</v>
      </c>
      <c r="C878" s="7" t="str">
        <f>TRIM(ETLMetadata!$F878)</f>
        <v>Start_Date</v>
      </c>
      <c r="D878" s="7" t="str">
        <f>TRIM(ETLMetadata!$H878)</f>
        <v>StringType()</v>
      </c>
      <c r="E878" s="7" t="str">
        <f t="shared" si="112"/>
        <v>CLK_DETM_DETIS_K9DS</v>
      </c>
      <c r="F878" s="7" t="str">
        <f t="shared" si="106"/>
        <v>STRT_DT</v>
      </c>
      <c r="G878" s="7" t="s">
        <v>825</v>
      </c>
      <c r="H878" s="7" t="str">
        <f t="shared" si="107"/>
        <v>CLK_DETM_DETIS_K9DS</v>
      </c>
      <c r="I878" s="7" t="str">
        <f t="shared" si="108"/>
        <v>STRT_DT</v>
      </c>
      <c r="J878" s="7" t="str">
        <f t="shared" si="109"/>
        <v>DATE</v>
      </c>
      <c r="K878" s="7" t="str">
        <f>TRIM(ETLMetadata!$G878)</f>
        <v>DATE</v>
      </c>
      <c r="L878" s="7" t="str">
        <f>TRIM(ETLMetadata!$I878)</f>
        <v>YYYY-MM-DD</v>
      </c>
      <c r="M878" s="7" t="str">
        <f t="shared" si="110"/>
        <v>TO_DATE(NULLIF(TRIM(STRT_DT),'') , 'YYYY-MM-DD')</v>
      </c>
      <c r="N878" s="7" t="str">
        <f>TRIM(ETLMetadata!$J878)</f>
        <v/>
      </c>
      <c r="O878" s="8" t="str">
        <f>IF(TRIM(Classification!$G878)="","NOT CONFIDENTIAL",TRIM(Classification!$G878))</f>
        <v>NOT CONFIDENTIAL</v>
      </c>
      <c r="P878" s="7" t="str">
        <f t="shared" si="111"/>
        <v>N</v>
      </c>
      <c r="Q878" s="7" t="s">
        <v>826</v>
      </c>
      <c r="R878" s="9">
        <v>2958465</v>
      </c>
      <c r="S878" s="7" t="s">
        <v>827</v>
      </c>
      <c r="T878" s="7" t="s">
        <v>828</v>
      </c>
      <c r="U878" s="7" t="str">
        <f t="shared" si="113"/>
        <v>CLK_DETM_DETIS_K9DS_V</v>
      </c>
      <c r="V878" s="7" t="s">
        <v>829</v>
      </c>
    </row>
    <row r="879" spans="1:22">
      <c r="A879" s="7" t="str">
        <f>TRIM(ETLMetadata!$B879)</f>
        <v>CLK</v>
      </c>
      <c r="B879" s="7" t="str">
        <f>TRIM(ETLMetadata!$C879)</f>
        <v>DETM_DETIS_K9DS</v>
      </c>
      <c r="C879" s="7" t="str">
        <f>TRIM(ETLMetadata!$F879)</f>
        <v>End_Date</v>
      </c>
      <c r="D879" s="7" t="str">
        <f>TRIM(ETLMetadata!$H879)</f>
        <v>StringType()</v>
      </c>
      <c r="E879" s="7" t="str">
        <f t="shared" si="112"/>
        <v>CLK_DETM_DETIS_K9DS</v>
      </c>
      <c r="F879" s="7" t="str">
        <f t="shared" si="106"/>
        <v>END_DT</v>
      </c>
      <c r="G879" s="7" t="s">
        <v>825</v>
      </c>
      <c r="H879" s="7" t="str">
        <f t="shared" si="107"/>
        <v>CLK_DETM_DETIS_K9DS</v>
      </c>
      <c r="I879" s="7" t="str">
        <f t="shared" si="108"/>
        <v>END_DT</v>
      </c>
      <c r="J879" s="7" t="str">
        <f t="shared" si="109"/>
        <v>DATE</v>
      </c>
      <c r="K879" s="7" t="str">
        <f>TRIM(ETLMetadata!$G879)</f>
        <v>DATE</v>
      </c>
      <c r="L879" s="7" t="str">
        <f>TRIM(ETLMetadata!$I879)</f>
        <v>YYYY-MM-DD</v>
      </c>
      <c r="M879" s="7" t="str">
        <f t="shared" si="110"/>
        <v>TO_DATE(NULLIF(TRIM(END_DT),'') , 'YYYY-MM-DD')</v>
      </c>
      <c r="N879" s="7" t="str">
        <f>TRIM(ETLMetadata!$J879)</f>
        <v/>
      </c>
      <c r="O879" s="8" t="str">
        <f>IF(TRIM(Classification!$G879)="","NOT CONFIDENTIAL",TRIM(Classification!$G879))</f>
        <v>NOT CONFIDENTIAL</v>
      </c>
      <c r="P879" s="7" t="str">
        <f t="shared" si="111"/>
        <v>N</v>
      </c>
      <c r="Q879" s="7" t="s">
        <v>826</v>
      </c>
      <c r="R879" s="9">
        <v>2958465</v>
      </c>
      <c r="S879" s="7" t="s">
        <v>827</v>
      </c>
      <c r="T879" s="7" t="s">
        <v>828</v>
      </c>
      <c r="U879" s="7" t="str">
        <f t="shared" si="113"/>
        <v>CLK_DETM_DETIS_K9DS_V</v>
      </c>
      <c r="V879" s="7" t="s">
        <v>829</v>
      </c>
    </row>
    <row r="880" spans="1:22">
      <c r="A880" s="7" t="str">
        <f>TRIM(ETLMetadata!$B880)</f>
        <v>CLK</v>
      </c>
      <c r="B880" s="7" t="str">
        <f>TRIM(ETLMetadata!$C880)</f>
        <v>DETM_DETIS_K9DS</v>
      </c>
      <c r="C880" s="7" t="str">
        <f>TRIM(ETLMetadata!$F880)</f>
        <v>Record_Deleted_Flag</v>
      </c>
      <c r="D880" s="7" t="str">
        <f>TRIM(ETLMetadata!$H880)</f>
        <v>StringType()</v>
      </c>
      <c r="E880" s="7" t="str">
        <f t="shared" si="112"/>
        <v>CLK_DETM_DETIS_K9DS</v>
      </c>
      <c r="F880" s="7" t="str">
        <f t="shared" si="106"/>
        <v>RCRD_DEL_IND</v>
      </c>
      <c r="G880" s="7" t="s">
        <v>825</v>
      </c>
      <c r="H880" s="7" t="str">
        <f t="shared" si="107"/>
        <v>CLK_DETM_DETIS_K9DS</v>
      </c>
      <c r="I880" s="7" t="str">
        <f t="shared" si="108"/>
        <v>RCRD_DEL_IND</v>
      </c>
      <c r="J880" s="7" t="str">
        <f t="shared" si="109"/>
        <v>SMALLINT</v>
      </c>
      <c r="K880" s="7" t="str">
        <f>TRIM(ETLMetadata!$G880)</f>
        <v>BYTEINT</v>
      </c>
      <c r="L880" s="7" t="str">
        <f>TRIM(ETLMetadata!$I880)</f>
        <v/>
      </c>
      <c r="M880" s="7" t="str">
        <f t="shared" si="110"/>
        <v>CAST(NULLIF(TRIM(RCRD_DEL_IND),'') AS SMALLINT)</v>
      </c>
      <c r="N880" s="7" t="str">
        <f>TRIM(ETLMetadata!$J880)</f>
        <v/>
      </c>
      <c r="O880" s="8" t="str">
        <f>IF(TRIM(Classification!$G880)="","NOT CONFIDENTIAL",TRIM(Classification!$G880))</f>
        <v>NOT CONFIDENTIAL</v>
      </c>
      <c r="P880" s="7" t="str">
        <f t="shared" si="111"/>
        <v>N</v>
      </c>
      <c r="Q880" s="7" t="s">
        <v>826</v>
      </c>
      <c r="R880" s="9">
        <v>2958465</v>
      </c>
      <c r="S880" s="7" t="s">
        <v>827</v>
      </c>
      <c r="T880" s="7" t="s">
        <v>828</v>
      </c>
      <c r="U880" s="7" t="str">
        <f t="shared" si="113"/>
        <v>CLK_DETM_DETIS_K9DS_V</v>
      </c>
      <c r="V880" s="7" t="s">
        <v>829</v>
      </c>
    </row>
    <row r="881" spans="1:22">
      <c r="A881" s="7" t="str">
        <f>TRIM(ETLMetadata!$B881)</f>
        <v>CLK</v>
      </c>
      <c r="B881" s="7" t="str">
        <f>TRIM(ETLMetadata!$C881)</f>
        <v>DETM_DETIS_LIDS</v>
      </c>
      <c r="C881" s="7" t="str">
        <f>TRIM(ETLMetadata!$F881)</f>
        <v>EXTRACT_DATE</v>
      </c>
      <c r="D881" s="7" t="str">
        <f>TRIM(ETLMetadata!$H881)</f>
        <v>StringType()</v>
      </c>
      <c r="E881" s="7" t="str">
        <f t="shared" si="112"/>
        <v>CLK_DETM_DETIS_LIDS</v>
      </c>
      <c r="F881" s="7" t="str">
        <f t="shared" si="106"/>
        <v>EXTRACT_DATE</v>
      </c>
      <c r="G881" s="7" t="s">
        <v>825</v>
      </c>
      <c r="H881" s="7" t="str">
        <f t="shared" si="107"/>
        <v>CLK_DETM_DETIS_LIDS</v>
      </c>
      <c r="I881" s="7" t="str">
        <f t="shared" si="108"/>
        <v>EXTRACT_DATE</v>
      </c>
      <c r="J881" s="7" t="str">
        <f t="shared" si="109"/>
        <v>DATE</v>
      </c>
      <c r="K881" s="7" t="str">
        <f>TRIM(ETLMetadata!$G881)</f>
        <v>DATE</v>
      </c>
      <c r="L881" s="7" t="str">
        <f>TRIM(ETLMetadata!$I881)</f>
        <v>YYYY-MM-DD</v>
      </c>
      <c r="M881" s="7" t="str">
        <f t="shared" si="110"/>
        <v>TO_DATE(NULLIF(TRIM(EXTRACT_DATE),'') , 'YYYY-MM-DD')</v>
      </c>
      <c r="N881" s="7" t="str">
        <f>TRIM(ETLMetadata!$J881)</f>
        <v/>
      </c>
      <c r="O881" s="8" t="str">
        <f>IF(TRIM(Classification!$G881)="","NOT CONFIDENTIAL",TRIM(Classification!$G881))</f>
        <v>NOT CONFIDENTIAL</v>
      </c>
      <c r="P881" s="7" t="str">
        <f t="shared" si="111"/>
        <v>Y</v>
      </c>
      <c r="Q881" s="7" t="s">
        <v>826</v>
      </c>
      <c r="R881" s="9">
        <v>2958465</v>
      </c>
      <c r="S881" s="7" t="s">
        <v>827</v>
      </c>
      <c r="T881" s="7" t="s">
        <v>828</v>
      </c>
      <c r="U881" s="7" t="str">
        <f t="shared" si="113"/>
        <v>CLK_DETM_DETIS_LIDS_V</v>
      </c>
      <c r="V881" s="7" t="s">
        <v>829</v>
      </c>
    </row>
    <row r="882" spans="1:22">
      <c r="A882" s="7" t="str">
        <f>TRIM(ETLMetadata!$B882)</f>
        <v>CLK</v>
      </c>
      <c r="B882" s="7" t="str">
        <f>TRIM(ETLMetadata!$C882)</f>
        <v>DETM_DETIS_LIDS</v>
      </c>
      <c r="C882" s="7" t="str">
        <f>TRIM(ETLMetadata!$F882)</f>
        <v>LOGICAL_DELETE_DATE</v>
      </c>
      <c r="D882" s="7" t="str">
        <f>TRIM(ETLMetadata!$H882)</f>
        <v>StringType()</v>
      </c>
      <c r="E882" s="7" t="str">
        <f t="shared" si="112"/>
        <v>CLK_DETM_DETIS_LIDS</v>
      </c>
      <c r="F882" s="7" t="str">
        <f t="shared" si="106"/>
        <v>LOGICAL_DELETE_DATE</v>
      </c>
      <c r="G882" s="7" t="s">
        <v>825</v>
      </c>
      <c r="H882" s="7" t="str">
        <f t="shared" si="107"/>
        <v>CLK_DETM_DETIS_LIDS</v>
      </c>
      <c r="I882" s="7" t="str">
        <f t="shared" si="108"/>
        <v>LOGICAL_DELETE_DATE</v>
      </c>
      <c r="J882" s="7" t="str">
        <f t="shared" si="109"/>
        <v>DATE</v>
      </c>
      <c r="K882" s="7" t="str">
        <f>TRIM(ETLMetadata!$G882)</f>
        <v>DATE</v>
      </c>
      <c r="L882" s="7" t="str">
        <f>TRIM(ETLMetadata!$I882)</f>
        <v>YYYY-MM-DD</v>
      </c>
      <c r="M882" s="7" t="str">
        <f t="shared" si="110"/>
        <v>TO_DATE(NULLIF(TRIM(LOGICAL_DELETE_DATE),'') , 'YYYY-MM-DD')</v>
      </c>
      <c r="N882" s="7" t="str">
        <f>TRIM(ETLMetadata!$J882)</f>
        <v/>
      </c>
      <c r="O882" s="8" t="str">
        <f>IF(TRIM(Classification!$G882)="","NOT CONFIDENTIAL",TRIM(Classification!$G882))</f>
        <v>NOT CONFIDENTIAL</v>
      </c>
      <c r="P882" s="7" t="str">
        <f t="shared" si="111"/>
        <v>Y</v>
      </c>
      <c r="Q882" s="7" t="s">
        <v>826</v>
      </c>
      <c r="R882" s="9">
        <v>2958465</v>
      </c>
      <c r="S882" s="7" t="s">
        <v>827</v>
      </c>
      <c r="T882" s="7" t="s">
        <v>828</v>
      </c>
      <c r="U882" s="7" t="str">
        <f t="shared" si="113"/>
        <v>CLK_DETM_DETIS_LIDS_V</v>
      </c>
      <c r="V882" s="7" t="s">
        <v>829</v>
      </c>
    </row>
    <row r="883" spans="1:22">
      <c r="A883" s="7" t="str">
        <f>TRIM(ETLMetadata!$B883)</f>
        <v>CLK</v>
      </c>
      <c r="B883" s="7" t="str">
        <f>TRIM(ETLMetadata!$C883)</f>
        <v>DETM_DETIS_LIDS</v>
      </c>
      <c r="C883" s="7" t="str">
        <f>TRIM(ETLMetadata!$F883)</f>
        <v>ENVIRONMENT_ID</v>
      </c>
      <c r="D883" s="7" t="str">
        <f>TRIM(ETLMetadata!$H883)</f>
        <v>StringType()</v>
      </c>
      <c r="E883" s="7" t="str">
        <f t="shared" si="112"/>
        <v>CLK_DETM_DETIS_LIDS</v>
      </c>
      <c r="F883" s="7" t="str">
        <f t="shared" si="106"/>
        <v>ENVIRONMENT_ID</v>
      </c>
      <c r="G883" s="7" t="s">
        <v>825</v>
      </c>
      <c r="H883" s="7" t="str">
        <f t="shared" si="107"/>
        <v>CLK_DETM_DETIS_LIDS</v>
      </c>
      <c r="I883" s="7" t="str">
        <f t="shared" si="108"/>
        <v>ENVIRONMENT_ID</v>
      </c>
      <c r="J883" s="7" t="str">
        <f t="shared" si="109"/>
        <v>VARCHAR</v>
      </c>
      <c r="K883" s="7" t="str">
        <f>TRIM(ETLMetadata!$G883)</f>
        <v>CHAR(1)</v>
      </c>
      <c r="L883" s="7" t="str">
        <f>TRIM(ETLMetadata!$I883)</f>
        <v/>
      </c>
      <c r="M883" s="7" t="str">
        <f t="shared" si="110"/>
        <v>NULLIF(TRIM(ENVIRONMENT_ID),'')</v>
      </c>
      <c r="N883" s="7" t="str">
        <f>TRIM(ETLMetadata!$J883)</f>
        <v>Y</v>
      </c>
      <c r="O883" s="8" t="str">
        <f>IF(TRIM(Classification!$G883)="","NOT CONFIDENTIAL",TRIM(Classification!$G883))</f>
        <v>NOT CONFIDENTIAL</v>
      </c>
      <c r="P883" s="7" t="str">
        <f t="shared" si="111"/>
        <v>Y</v>
      </c>
      <c r="Q883" s="7" t="s">
        <v>826</v>
      </c>
      <c r="R883" s="9">
        <v>2958465</v>
      </c>
      <c r="S883" s="7" t="s">
        <v>827</v>
      </c>
      <c r="T883" s="7" t="s">
        <v>828</v>
      </c>
      <c r="U883" s="7" t="str">
        <f t="shared" si="113"/>
        <v>CLK_DETM_DETIS_LIDS_V</v>
      </c>
      <c r="V883" s="7" t="s">
        <v>829</v>
      </c>
    </row>
    <row r="884" spans="1:22">
      <c r="A884" s="7" t="str">
        <f>TRIM(ETLMetadata!$B884)</f>
        <v>CLK</v>
      </c>
      <c r="B884" s="7" t="str">
        <f>TRIM(ETLMetadata!$C884)</f>
        <v>DETM_DETIS_LIDS</v>
      </c>
      <c r="C884" s="7" t="str">
        <f>TRIM(ETLMetadata!$F884)</f>
        <v>PERSON_ID</v>
      </c>
      <c r="D884" s="7" t="str">
        <f>TRIM(ETLMetadata!$H884)</f>
        <v>StringType()</v>
      </c>
      <c r="E884" s="7" t="str">
        <f t="shared" si="112"/>
        <v>CLK_DETM_DETIS_LIDS</v>
      </c>
      <c r="F884" s="7" t="str">
        <f t="shared" si="106"/>
        <v>PERSON_ID</v>
      </c>
      <c r="G884" s="7" t="s">
        <v>825</v>
      </c>
      <c r="H884" s="7" t="str">
        <f t="shared" si="107"/>
        <v>CLK_DETM_DETIS_LIDS</v>
      </c>
      <c r="I884" s="7" t="str">
        <f t="shared" si="108"/>
        <v>PERSON_ID</v>
      </c>
      <c r="J884" s="7" t="str">
        <f t="shared" si="109"/>
        <v>INTEGER</v>
      </c>
      <c r="K884" s="7" t="str">
        <f>TRIM(ETLMetadata!$G884)</f>
        <v>INTEGER</v>
      </c>
      <c r="L884" s="7" t="str">
        <f>TRIM(ETLMetadata!$I884)</f>
        <v/>
      </c>
      <c r="M884" s="7" t="str">
        <f t="shared" si="110"/>
        <v>CAST(NULLIF(TRIM(PERSON_ID),'') AS INTEGER)</v>
      </c>
      <c r="N884" s="7" t="str">
        <f>TRIM(ETLMetadata!$J884)</f>
        <v>Y</v>
      </c>
      <c r="O884" s="8" t="str">
        <f>IF(TRIM(Classification!$G884)="","NOT CONFIDENTIAL",TRIM(Classification!$G884))</f>
        <v>PERSONAL_IDENTITYINFOINDIRECT</v>
      </c>
      <c r="P884" s="7" t="str">
        <f t="shared" si="111"/>
        <v>Y</v>
      </c>
      <c r="Q884" s="7" t="s">
        <v>826</v>
      </c>
      <c r="R884" s="9">
        <v>2958465</v>
      </c>
      <c r="S884" s="7" t="s">
        <v>827</v>
      </c>
      <c r="T884" s="7" t="s">
        <v>828</v>
      </c>
      <c r="U884" s="7" t="str">
        <f t="shared" si="113"/>
        <v>CLK_DETM_DETIS_LIDS_V</v>
      </c>
      <c r="V884" s="7" t="s">
        <v>829</v>
      </c>
    </row>
    <row r="885" spans="1:22">
      <c r="A885" s="7" t="str">
        <f>TRIM(ETLMetadata!$B885)</f>
        <v>CLK</v>
      </c>
      <c r="B885" s="7" t="str">
        <f>TRIM(ETLMetadata!$C885)</f>
        <v>DETM_DETIS_LIDS</v>
      </c>
      <c r="C885" s="7" t="str">
        <f>TRIM(ETLMetadata!$F885)</f>
        <v>LIDS_DOE</v>
      </c>
      <c r="D885" s="7" t="str">
        <f>TRIM(ETLMetadata!$H885)</f>
        <v>StringType()</v>
      </c>
      <c r="E885" s="7" t="str">
        <f t="shared" si="112"/>
        <v>CLK_DETM_DETIS_LIDS</v>
      </c>
      <c r="F885" s="7" t="str">
        <f t="shared" si="106"/>
        <v>LIDS_DOE</v>
      </c>
      <c r="G885" s="7" t="s">
        <v>825</v>
      </c>
      <c r="H885" s="7" t="str">
        <f t="shared" si="107"/>
        <v>CLK_DETM_DETIS_LIDS</v>
      </c>
      <c r="I885" s="7" t="str">
        <f t="shared" si="108"/>
        <v>LIDS_DOE</v>
      </c>
      <c r="J885" s="7" t="str">
        <f t="shared" si="109"/>
        <v>DATE</v>
      </c>
      <c r="K885" s="17" t="s">
        <v>80</v>
      </c>
      <c r="L885" s="7" t="str">
        <f>TRIM(ETLMetadata!$I885)</f>
        <v>YYYY-MM-DD</v>
      </c>
      <c r="M885" s="7" t="str">
        <f t="shared" si="110"/>
        <v>TO_DATE(NULLIF(TRIM(LIDS_DOE),'') , 'YYYY-MM-DD')</v>
      </c>
      <c r="N885" s="7" t="str">
        <f>TRIM(ETLMetadata!$J885)</f>
        <v/>
      </c>
      <c r="O885" s="8" t="str">
        <f>IF(TRIM(Classification!$G885)="","NOT CONFIDENTIAL",TRIM(Classification!$G885))</f>
        <v>NOT CONFIDENTIAL</v>
      </c>
      <c r="P885" s="7" t="str">
        <f t="shared" si="111"/>
        <v>Y</v>
      </c>
      <c r="Q885" s="7" t="s">
        <v>826</v>
      </c>
      <c r="R885" s="9">
        <v>2958465</v>
      </c>
      <c r="S885" s="7" t="s">
        <v>827</v>
      </c>
      <c r="T885" s="7" t="s">
        <v>828</v>
      </c>
      <c r="U885" s="7" t="str">
        <f t="shared" si="113"/>
        <v>CLK_DETM_DETIS_LIDS_V</v>
      </c>
      <c r="V885" s="7" t="s">
        <v>829</v>
      </c>
    </row>
    <row r="886" spans="1:22">
      <c r="A886" s="7" t="str">
        <f>TRIM(ETLMetadata!$B886)</f>
        <v>CLK</v>
      </c>
      <c r="B886" s="7" t="str">
        <f>TRIM(ETLMetadata!$C886)</f>
        <v>DETM_DETIS_LIDS</v>
      </c>
      <c r="C886" s="7" t="str">
        <f>TRIM(ETLMetadata!$F886)</f>
        <v>LIDS_DOE_ORIG</v>
      </c>
      <c r="D886" s="7" t="str">
        <f>TRIM(ETLMetadata!$H886)</f>
        <v>StringType()</v>
      </c>
      <c r="E886" s="7" t="str">
        <f t="shared" si="112"/>
        <v>CLK_DETM_DETIS_LIDS</v>
      </c>
      <c r="F886" s="7" t="str">
        <f t="shared" si="106"/>
        <v>LIDS_DOE_ORIG</v>
      </c>
      <c r="G886" s="7" t="s">
        <v>825</v>
      </c>
      <c r="H886" s="7" t="str">
        <f t="shared" si="107"/>
        <v>CLK_DETM_DETIS_LIDS</v>
      </c>
      <c r="I886" s="7" t="str">
        <f t="shared" si="108"/>
        <v>LIDS_DOE_ORIG</v>
      </c>
      <c r="J886" s="7" t="str">
        <f t="shared" si="109"/>
        <v>INTEGER</v>
      </c>
      <c r="K886" s="17" t="s">
        <v>90</v>
      </c>
      <c r="L886" s="7" t="str">
        <f>TRIM(ETLMetadata!$I886)</f>
        <v/>
      </c>
      <c r="M886" s="7" t="str">
        <f t="shared" si="110"/>
        <v>CAST(NULLIF(TRIM(LIDS_DOE_ORIG),'') AS INTEGER)</v>
      </c>
      <c r="N886" s="7" t="str">
        <f>TRIM(ETLMetadata!$J886)</f>
        <v/>
      </c>
      <c r="O886" s="8" t="str">
        <f>IF(TRIM(Classification!$G886)="","NOT CONFIDENTIAL",TRIM(Classification!$G886))</f>
        <v>NOT CONFIDENTIAL</v>
      </c>
      <c r="P886" s="7" t="str">
        <f t="shared" si="111"/>
        <v>Y</v>
      </c>
      <c r="Q886" s="7" t="s">
        <v>826</v>
      </c>
      <c r="R886" s="9">
        <v>2958465</v>
      </c>
      <c r="S886" s="7" t="s">
        <v>827</v>
      </c>
      <c r="T886" s="7" t="s">
        <v>828</v>
      </c>
      <c r="U886" s="7" t="str">
        <f t="shared" si="113"/>
        <v>CLK_DETM_DETIS_LIDS_V</v>
      </c>
      <c r="V886" s="7" t="s">
        <v>829</v>
      </c>
    </row>
    <row r="887" spans="1:22">
      <c r="A887" s="7" t="str">
        <f>TRIM(ETLMetadata!$B887)</f>
        <v>CLK</v>
      </c>
      <c r="B887" s="7" t="str">
        <f>TRIM(ETLMetadata!$C887)</f>
        <v>DETM_DETIS_LIDS</v>
      </c>
      <c r="C887" s="7" t="str">
        <f>TRIM(ETLMetadata!$F887)</f>
        <v>LIDS_STS_CODE</v>
      </c>
      <c r="D887" s="7" t="str">
        <f>TRIM(ETLMetadata!$H887)</f>
        <v>StringType()</v>
      </c>
      <c r="E887" s="7" t="str">
        <f t="shared" si="112"/>
        <v>CLK_DETM_DETIS_LIDS</v>
      </c>
      <c r="F887" s="7" t="str">
        <f t="shared" si="106"/>
        <v>LIDS_STS_CODE</v>
      </c>
      <c r="G887" s="7" t="s">
        <v>825</v>
      </c>
      <c r="H887" s="7" t="str">
        <f t="shared" si="107"/>
        <v>CLK_DETM_DETIS_LIDS</v>
      </c>
      <c r="I887" s="7" t="str">
        <f t="shared" si="108"/>
        <v>LIDS_STS_CODE</v>
      </c>
      <c r="J887" s="7" t="str">
        <f t="shared" si="109"/>
        <v>VARCHAR</v>
      </c>
      <c r="K887" s="7" t="str">
        <f>TRIM(ETLMetadata!$G887)</f>
        <v>CHAR(3)</v>
      </c>
      <c r="L887" s="7" t="str">
        <f>TRIM(ETLMetadata!$I887)</f>
        <v/>
      </c>
      <c r="M887" s="7" t="str">
        <f t="shared" si="110"/>
        <v>NULLIF(TRIM(LIDS_STS_CODE),'')</v>
      </c>
      <c r="N887" s="7" t="str">
        <f>TRIM(ETLMetadata!$J887)</f>
        <v/>
      </c>
      <c r="O887" s="8" t="str">
        <f>IF(TRIM(Classification!$G887)="","NOT CONFIDENTIAL",TRIM(Classification!$G887))</f>
        <v>NOT CONFIDENTIAL</v>
      </c>
      <c r="P887" s="7" t="str">
        <f t="shared" si="111"/>
        <v>Y</v>
      </c>
      <c r="Q887" s="7" t="s">
        <v>826</v>
      </c>
      <c r="R887" s="9">
        <v>2958465</v>
      </c>
      <c r="S887" s="7" t="s">
        <v>827</v>
      </c>
      <c r="T887" s="7" t="s">
        <v>828</v>
      </c>
      <c r="U887" s="7" t="str">
        <f t="shared" si="113"/>
        <v>CLK_DETM_DETIS_LIDS_V</v>
      </c>
      <c r="V887" s="7" t="s">
        <v>829</v>
      </c>
    </row>
    <row r="888" spans="1:22">
      <c r="A888" s="7" t="str">
        <f>TRIM(ETLMetadata!$B888)</f>
        <v>CLK</v>
      </c>
      <c r="B888" s="7" t="str">
        <f>TRIM(ETLMetadata!$C888)</f>
        <v>DETM_DETIS_LIDS</v>
      </c>
      <c r="C888" s="7" t="str">
        <f>TRIM(ETLMetadata!$F888)</f>
        <v>PROCESSING_SEQUENCE</v>
      </c>
      <c r="D888" s="7" t="str">
        <f>TRIM(ETLMetadata!$H888)</f>
        <v>StringType()</v>
      </c>
      <c r="E888" s="7" t="str">
        <f t="shared" si="112"/>
        <v>CLK_DETM_DETIS_LIDS</v>
      </c>
      <c r="F888" s="7" t="str">
        <f t="shared" si="106"/>
        <v>PROCESSING_SEQUENCE</v>
      </c>
      <c r="G888" s="7" t="s">
        <v>825</v>
      </c>
      <c r="H888" s="7" t="str">
        <f t="shared" si="107"/>
        <v>CLK_DETM_DETIS_LIDS</v>
      </c>
      <c r="I888" s="7" t="str">
        <f t="shared" si="108"/>
        <v>PROCESSING_SEQUENCE</v>
      </c>
      <c r="J888" s="7" t="str">
        <f t="shared" si="109"/>
        <v>SMALLINT</v>
      </c>
      <c r="K888" s="7" t="str">
        <f>TRIM(ETLMetadata!$G888)</f>
        <v>SMALLINT</v>
      </c>
      <c r="L888" s="7" t="str">
        <f>TRIM(ETLMetadata!$I888)</f>
        <v/>
      </c>
      <c r="M888" s="7" t="str">
        <f t="shared" si="110"/>
        <v>CAST(NULLIF(TRIM(PROCESSING_SEQUENCE),'') AS SMALLINT)</v>
      </c>
      <c r="N888" s="7" t="str">
        <f>TRIM(ETLMetadata!$J888)</f>
        <v>Y</v>
      </c>
      <c r="O888" s="8" t="str">
        <f>IF(TRIM(Classification!$G888)="","NOT CONFIDENTIAL",TRIM(Classification!$G888))</f>
        <v>NOT CONFIDENTIAL</v>
      </c>
      <c r="P888" s="7" t="str">
        <f t="shared" si="111"/>
        <v>Y</v>
      </c>
      <c r="Q888" s="7" t="s">
        <v>826</v>
      </c>
      <c r="R888" s="9">
        <v>2958465</v>
      </c>
      <c r="S888" s="7" t="s">
        <v>827</v>
      </c>
      <c r="T888" s="7" t="s">
        <v>828</v>
      </c>
      <c r="U888" s="7" t="str">
        <f t="shared" si="113"/>
        <v>CLK_DETM_DETIS_LIDS_V</v>
      </c>
      <c r="V888" s="7" t="s">
        <v>829</v>
      </c>
    </row>
    <row r="889" spans="1:22">
      <c r="A889" s="7" t="str">
        <f>TRIM(ETLMetadata!$B889)</f>
        <v>CLK</v>
      </c>
      <c r="B889" s="7" t="str">
        <f>TRIM(ETLMetadata!$C889)</f>
        <v>DETM_DETIS_LIDS</v>
      </c>
      <c r="C889" s="7" t="str">
        <f>TRIM(ETLMetadata!$F889)</f>
        <v>LIDS_AMR_1</v>
      </c>
      <c r="D889" s="7" t="str">
        <f>TRIM(ETLMetadata!$H889)</f>
        <v>StringType()</v>
      </c>
      <c r="E889" s="7" t="str">
        <f t="shared" si="112"/>
        <v>CLK_DETM_DETIS_LIDS</v>
      </c>
      <c r="F889" s="7" t="str">
        <f t="shared" si="106"/>
        <v>LIDS_AMR_1</v>
      </c>
      <c r="G889" s="7" t="s">
        <v>825</v>
      </c>
      <c r="H889" s="7" t="str">
        <f t="shared" si="107"/>
        <v>CLK_DETM_DETIS_LIDS</v>
      </c>
      <c r="I889" s="7" t="str">
        <f t="shared" si="108"/>
        <v>LIDS_AMR_1</v>
      </c>
      <c r="J889" s="7" t="str">
        <f t="shared" si="109"/>
        <v>VARCHAR</v>
      </c>
      <c r="K889" s="7" t="str">
        <f>TRIM(ETLMetadata!$G889)</f>
        <v>CHAR(4)</v>
      </c>
      <c r="L889" s="7" t="str">
        <f>TRIM(ETLMetadata!$I889)</f>
        <v/>
      </c>
      <c r="M889" s="7" t="str">
        <f t="shared" si="110"/>
        <v>NULLIF(TRIM(LIDS_AMR_1),'')</v>
      </c>
      <c r="N889" s="7" t="str">
        <f>TRIM(ETLMetadata!$J889)</f>
        <v/>
      </c>
      <c r="O889" s="8" t="str">
        <f>IF(TRIM(Classification!$G889)="","NOT CONFIDENTIAL",TRIM(Classification!$G889))</f>
        <v>NOT CONFIDENTIAL</v>
      </c>
      <c r="P889" s="7" t="str">
        <f t="shared" si="111"/>
        <v>Y</v>
      </c>
      <c r="Q889" s="7" t="s">
        <v>826</v>
      </c>
      <c r="R889" s="9">
        <v>2958465</v>
      </c>
      <c r="S889" s="7" t="s">
        <v>827</v>
      </c>
      <c r="T889" s="7" t="s">
        <v>828</v>
      </c>
      <c r="U889" s="7" t="str">
        <f t="shared" si="113"/>
        <v>CLK_DETM_DETIS_LIDS_V</v>
      </c>
      <c r="V889" s="7" t="s">
        <v>829</v>
      </c>
    </row>
    <row r="890" spans="1:22">
      <c r="A890" s="7" t="str">
        <f>TRIM(ETLMetadata!$B890)</f>
        <v>CLK</v>
      </c>
      <c r="B890" s="7" t="str">
        <f>TRIM(ETLMetadata!$C890)</f>
        <v>DETM_DETIS_LIDS</v>
      </c>
      <c r="C890" s="7" t="str">
        <f>TRIM(ETLMetadata!$F890)</f>
        <v>LIDS_AMR_2</v>
      </c>
      <c r="D890" s="7" t="str">
        <f>TRIM(ETLMetadata!$H890)</f>
        <v>StringType()</v>
      </c>
      <c r="E890" s="7" t="str">
        <f t="shared" si="112"/>
        <v>CLK_DETM_DETIS_LIDS</v>
      </c>
      <c r="F890" s="7" t="str">
        <f t="shared" si="106"/>
        <v>LIDS_AMR_2</v>
      </c>
      <c r="G890" s="7" t="s">
        <v>825</v>
      </c>
      <c r="H890" s="7" t="str">
        <f t="shared" si="107"/>
        <v>CLK_DETM_DETIS_LIDS</v>
      </c>
      <c r="I890" s="7" t="str">
        <f t="shared" si="108"/>
        <v>LIDS_AMR_2</v>
      </c>
      <c r="J890" s="7" t="str">
        <f t="shared" si="109"/>
        <v>VARCHAR</v>
      </c>
      <c r="K890" s="7" t="str">
        <f>TRIM(ETLMetadata!$G890)</f>
        <v>CHAR(1)</v>
      </c>
      <c r="L890" s="7" t="str">
        <f>TRIM(ETLMetadata!$I890)</f>
        <v/>
      </c>
      <c r="M890" s="7" t="str">
        <f t="shared" si="110"/>
        <v>NULLIF(TRIM(LIDS_AMR_2),'')</v>
      </c>
      <c r="N890" s="7" t="str">
        <f>TRIM(ETLMetadata!$J890)</f>
        <v/>
      </c>
      <c r="O890" s="8" t="str">
        <f>IF(TRIM(Classification!$G890)="","NOT CONFIDENTIAL",TRIM(Classification!$G890))</f>
        <v>NOT CONFIDENTIAL</v>
      </c>
      <c r="P890" s="7" t="str">
        <f t="shared" si="111"/>
        <v>Y</v>
      </c>
      <c r="Q890" s="7" t="s">
        <v>826</v>
      </c>
      <c r="R890" s="9">
        <v>2958465</v>
      </c>
      <c r="S890" s="7" t="s">
        <v>827</v>
      </c>
      <c r="T890" s="7" t="s">
        <v>828</v>
      </c>
      <c r="U890" s="7" t="str">
        <f t="shared" si="113"/>
        <v>CLK_DETM_DETIS_LIDS_V</v>
      </c>
      <c r="V890" s="7" t="s">
        <v>829</v>
      </c>
    </row>
    <row r="891" spans="1:22">
      <c r="A891" s="7" t="str">
        <f>TRIM(ETLMetadata!$B891)</f>
        <v>CLK</v>
      </c>
      <c r="B891" s="7" t="str">
        <f>TRIM(ETLMetadata!$C891)</f>
        <v>DETM_DETIS_LIDS</v>
      </c>
      <c r="C891" s="7" t="str">
        <f>TRIM(ETLMetadata!$F891)</f>
        <v>LIDS_AMR_3</v>
      </c>
      <c r="D891" s="7" t="str">
        <f>TRIM(ETLMetadata!$H891)</f>
        <v>StringType()</v>
      </c>
      <c r="E891" s="7" t="str">
        <f t="shared" si="112"/>
        <v>CLK_DETM_DETIS_LIDS</v>
      </c>
      <c r="F891" s="7" t="str">
        <f t="shared" si="106"/>
        <v>LIDS_AMR_3</v>
      </c>
      <c r="G891" s="7" t="s">
        <v>825</v>
      </c>
      <c r="H891" s="7" t="str">
        <f t="shared" si="107"/>
        <v>CLK_DETM_DETIS_LIDS</v>
      </c>
      <c r="I891" s="7" t="str">
        <f t="shared" si="108"/>
        <v>LIDS_AMR_3</v>
      </c>
      <c r="J891" s="7" t="str">
        <f t="shared" si="109"/>
        <v>VARCHAR</v>
      </c>
      <c r="K891" s="7" t="str">
        <f>TRIM(ETLMetadata!$G891)</f>
        <v>CHAR(4)</v>
      </c>
      <c r="L891" s="7" t="str">
        <f>TRIM(ETLMetadata!$I891)</f>
        <v/>
      </c>
      <c r="M891" s="7" t="str">
        <f t="shared" si="110"/>
        <v>NULLIF(TRIM(LIDS_AMR_3),'')</v>
      </c>
      <c r="N891" s="7" t="str">
        <f>TRIM(ETLMetadata!$J891)</f>
        <v/>
      </c>
      <c r="O891" s="8" t="str">
        <f>IF(TRIM(Classification!$G891)="","NOT CONFIDENTIAL",TRIM(Classification!$G891))</f>
        <v>NOT CONFIDENTIAL</v>
      </c>
      <c r="P891" s="7" t="str">
        <f t="shared" si="111"/>
        <v>Y</v>
      </c>
      <c r="Q891" s="7" t="s">
        <v>826</v>
      </c>
      <c r="R891" s="9">
        <v>2958465</v>
      </c>
      <c r="S891" s="7" t="s">
        <v>827</v>
      </c>
      <c r="T891" s="7" t="s">
        <v>828</v>
      </c>
      <c r="U891" s="7" t="str">
        <f t="shared" si="113"/>
        <v>CLK_DETM_DETIS_LIDS_V</v>
      </c>
      <c r="V891" s="7" t="s">
        <v>829</v>
      </c>
    </row>
    <row r="892" spans="1:22">
      <c r="A892" s="7" t="str">
        <f>TRIM(ETLMetadata!$B892)</f>
        <v>CLK</v>
      </c>
      <c r="B892" s="7" t="str">
        <f>TRIM(ETLMetadata!$C892)</f>
        <v>DETM_DETIS_LIDS</v>
      </c>
      <c r="C892" s="7" t="str">
        <f>TRIM(ETLMetadata!$F892)</f>
        <v>LIDS_BEN_TYPE_CODE</v>
      </c>
      <c r="D892" s="7" t="str">
        <f>TRIM(ETLMetadata!$H892)</f>
        <v>StringType()</v>
      </c>
      <c r="E892" s="7" t="str">
        <f t="shared" si="112"/>
        <v>CLK_DETM_DETIS_LIDS</v>
      </c>
      <c r="F892" s="7" t="str">
        <f t="shared" si="106"/>
        <v>LIDS_BEN_TYPE_CODE</v>
      </c>
      <c r="G892" s="7" t="s">
        <v>825</v>
      </c>
      <c r="H892" s="7" t="str">
        <f t="shared" si="107"/>
        <v>CLK_DETM_DETIS_LIDS</v>
      </c>
      <c r="I892" s="7" t="str">
        <f t="shared" si="108"/>
        <v>LIDS_BEN_TYPE_CODE</v>
      </c>
      <c r="J892" s="7" t="str">
        <f t="shared" si="109"/>
        <v>VARCHAR</v>
      </c>
      <c r="K892" s="7" t="str">
        <f>TRIM(ETLMetadata!$G892)</f>
        <v>CHAR(3)</v>
      </c>
      <c r="L892" s="7" t="str">
        <f>TRIM(ETLMetadata!$I892)</f>
        <v/>
      </c>
      <c r="M892" s="7" t="str">
        <f t="shared" si="110"/>
        <v>NULLIF(TRIM(LIDS_BEN_TYPE_CODE),'')</v>
      </c>
      <c r="N892" s="7" t="str">
        <f>TRIM(ETLMetadata!$J892)</f>
        <v/>
      </c>
      <c r="O892" s="8" t="str">
        <f>IF(TRIM(Classification!$G892)="","NOT CONFIDENTIAL",TRIM(Classification!$G892))</f>
        <v>NOT CONFIDENTIAL</v>
      </c>
      <c r="P892" s="7" t="str">
        <f t="shared" si="111"/>
        <v>Y</v>
      </c>
      <c r="Q892" s="7" t="s">
        <v>826</v>
      </c>
      <c r="R892" s="9">
        <v>2958465</v>
      </c>
      <c r="S892" s="7" t="s">
        <v>827</v>
      </c>
      <c r="T892" s="7" t="s">
        <v>828</v>
      </c>
      <c r="U892" s="7" t="str">
        <f t="shared" si="113"/>
        <v>CLK_DETM_DETIS_LIDS_V</v>
      </c>
      <c r="V892" s="7" t="s">
        <v>829</v>
      </c>
    </row>
    <row r="893" spans="1:22">
      <c r="A893" s="7" t="str">
        <f>TRIM(ETLMetadata!$B893)</f>
        <v>CLK</v>
      </c>
      <c r="B893" s="7" t="str">
        <f>TRIM(ETLMetadata!$C893)</f>
        <v>DETM_DETIS_LIDS</v>
      </c>
      <c r="C893" s="7" t="str">
        <f>TRIM(ETLMetadata!$F893)</f>
        <v>LIDS_RSN_CODE</v>
      </c>
      <c r="D893" s="7" t="str">
        <f>TRIM(ETLMetadata!$H893)</f>
        <v>StringType()</v>
      </c>
      <c r="E893" s="7" t="str">
        <f t="shared" si="112"/>
        <v>CLK_DETM_DETIS_LIDS</v>
      </c>
      <c r="F893" s="7" t="str">
        <f t="shared" si="106"/>
        <v>LIDS_RSN_CODE</v>
      </c>
      <c r="G893" s="7" t="s">
        <v>825</v>
      </c>
      <c r="H893" s="7" t="str">
        <f t="shared" si="107"/>
        <v>CLK_DETM_DETIS_LIDS</v>
      </c>
      <c r="I893" s="7" t="str">
        <f t="shared" si="108"/>
        <v>LIDS_RSN_CODE</v>
      </c>
      <c r="J893" s="7" t="str">
        <f t="shared" si="109"/>
        <v>VARCHAR</v>
      </c>
      <c r="K893" s="7" t="str">
        <f>TRIM(ETLMetadata!$G893)</f>
        <v>CHAR(3)</v>
      </c>
      <c r="L893" s="7" t="str">
        <f>TRIM(ETLMetadata!$I893)</f>
        <v/>
      </c>
      <c r="M893" s="7" t="str">
        <f t="shared" si="110"/>
        <v>NULLIF(TRIM(LIDS_RSN_CODE),'')</v>
      </c>
      <c r="N893" s="7" t="str">
        <f>TRIM(ETLMetadata!$J893)</f>
        <v/>
      </c>
      <c r="O893" s="8" t="str">
        <f>IF(TRIM(Classification!$G893)="","NOT CONFIDENTIAL",TRIM(Classification!$G893))</f>
        <v>NOT CONFIDENTIAL</v>
      </c>
      <c r="P893" s="7" t="str">
        <f t="shared" si="111"/>
        <v>Y</v>
      </c>
      <c r="Q893" s="7" t="s">
        <v>826</v>
      </c>
      <c r="R893" s="9">
        <v>2958465</v>
      </c>
      <c r="S893" s="7" t="s">
        <v>827</v>
      </c>
      <c r="T893" s="7" t="s">
        <v>828</v>
      </c>
      <c r="U893" s="7" t="str">
        <f t="shared" si="113"/>
        <v>CLK_DETM_DETIS_LIDS_V</v>
      </c>
      <c r="V893" s="7" t="s">
        <v>829</v>
      </c>
    </row>
    <row r="894" spans="1:22">
      <c r="A894" s="7" t="str">
        <f>TRIM(ETLMetadata!$B894)</f>
        <v>CLK</v>
      </c>
      <c r="B894" s="7" t="str">
        <f>TRIM(ETLMetadata!$C894)</f>
        <v>DETM_DETIS_LIDS</v>
      </c>
      <c r="C894" s="7" t="str">
        <f>TRIM(ETLMetadata!$F894)</f>
        <v>ERROR_COUNT</v>
      </c>
      <c r="D894" s="7" t="str">
        <f>TRIM(ETLMetadata!$H894)</f>
        <v>StringType()</v>
      </c>
      <c r="E894" s="7" t="str">
        <f t="shared" si="112"/>
        <v>CLK_DETM_DETIS_LIDS</v>
      </c>
      <c r="F894" s="7" t="str">
        <f t="shared" si="106"/>
        <v>ERROR_COUNT</v>
      </c>
      <c r="G894" s="7" t="s">
        <v>825</v>
      </c>
      <c r="H894" s="7" t="str">
        <f t="shared" si="107"/>
        <v>CLK_DETM_DETIS_LIDS</v>
      </c>
      <c r="I894" s="7" t="str">
        <f t="shared" si="108"/>
        <v>ERROR_COUNT</v>
      </c>
      <c r="J894" s="7" t="str">
        <f t="shared" si="109"/>
        <v>SMALLINT</v>
      </c>
      <c r="K894" s="7" t="str">
        <f>TRIM(ETLMetadata!$G894)</f>
        <v>SMALLINT</v>
      </c>
      <c r="L894" s="7" t="str">
        <f>TRIM(ETLMetadata!$I894)</f>
        <v/>
      </c>
      <c r="M894" s="7" t="str">
        <f t="shared" si="110"/>
        <v>CAST(NULLIF(TRIM(ERROR_COUNT),'') AS SMALLINT)</v>
      </c>
      <c r="N894" s="7" t="str">
        <f>TRIM(ETLMetadata!$J894)</f>
        <v/>
      </c>
      <c r="O894" s="8" t="str">
        <f>IF(TRIM(Classification!$G894)="","NOT CONFIDENTIAL",TRIM(Classification!$G894))</f>
        <v>NOT CONFIDENTIAL</v>
      </c>
      <c r="P894" s="7" t="str">
        <f t="shared" si="111"/>
        <v>Y</v>
      </c>
      <c r="Q894" s="7" t="s">
        <v>826</v>
      </c>
      <c r="R894" s="9">
        <v>2958465</v>
      </c>
      <c r="S894" s="7" t="s">
        <v>827</v>
      </c>
      <c r="T894" s="7" t="s">
        <v>828</v>
      </c>
      <c r="U894" s="7" t="str">
        <f t="shared" si="113"/>
        <v>CLK_DETM_DETIS_LIDS_V</v>
      </c>
      <c r="V894" s="7" t="s">
        <v>829</v>
      </c>
    </row>
    <row r="895" spans="1:22">
      <c r="A895" s="7" t="str">
        <f>TRIM(ETLMetadata!$B895)</f>
        <v>CLK</v>
      </c>
      <c r="B895" s="7" t="str">
        <f>TRIM(ETLMetadata!$C895)</f>
        <v>DETM_DETIS_LIDS</v>
      </c>
      <c r="C895" s="7" t="str">
        <f>TRIM(ETLMetadata!$F895)</f>
        <v>AMR1_RISL_DTS</v>
      </c>
      <c r="D895" s="7" t="str">
        <f>TRIM(ETLMetadata!$H895)</f>
        <v>StringType()</v>
      </c>
      <c r="E895" s="7" t="str">
        <f t="shared" si="112"/>
        <v>CLK_DETM_DETIS_LIDS</v>
      </c>
      <c r="F895" s="7" t="str">
        <f t="shared" si="106"/>
        <v>AMR1_RISL_DTS</v>
      </c>
      <c r="G895" s="7" t="s">
        <v>825</v>
      </c>
      <c r="H895" s="7" t="str">
        <f t="shared" si="107"/>
        <v>CLK_DETM_DETIS_LIDS</v>
      </c>
      <c r="I895" s="7" t="str">
        <f t="shared" si="108"/>
        <v>AMR1_RISL_DTS</v>
      </c>
      <c r="J895" s="7" t="str">
        <f t="shared" si="109"/>
        <v>TIMESTAMP</v>
      </c>
      <c r="K895" s="7" t="str">
        <f>TRIM(ETLMetadata!$G895)</f>
        <v>TIMESTAMP(6)</v>
      </c>
      <c r="L895" s="7" t="str">
        <f>TRIM(ETLMetadata!$I895)</f>
        <v>YYYY-MM-DDBHH:MI:SS.S(6)</v>
      </c>
      <c r="M895" s="7" t="str">
        <f t="shared" si="110"/>
        <v>TO_TIMESTAMP_NTZ(NULLIF(TRIM(AMR1_RISL_DTS),''),'YYYY-MM-DD HH24:MI:SS.FF6')</v>
      </c>
      <c r="N895" s="7" t="str">
        <f>TRIM(ETLMetadata!$J895)</f>
        <v/>
      </c>
      <c r="O895" s="8" t="str">
        <f>IF(TRIM(Classification!$G895)="","NOT CONFIDENTIAL",TRIM(Classification!$G895))</f>
        <v>NOT CONFIDENTIAL</v>
      </c>
      <c r="P895" s="7" t="str">
        <f t="shared" si="111"/>
        <v>Y</v>
      </c>
      <c r="Q895" s="7" t="s">
        <v>826</v>
      </c>
      <c r="R895" s="9">
        <v>2958465</v>
      </c>
      <c r="S895" s="7" t="s">
        <v>827</v>
      </c>
      <c r="T895" s="7" t="s">
        <v>828</v>
      </c>
      <c r="U895" s="7" t="str">
        <f t="shared" si="113"/>
        <v>CLK_DETM_DETIS_LIDS_V</v>
      </c>
      <c r="V895" s="7" t="s">
        <v>829</v>
      </c>
    </row>
    <row r="896" spans="1:22">
      <c r="A896" s="7" t="str">
        <f>TRIM(ETLMetadata!$B896)</f>
        <v>CLK</v>
      </c>
      <c r="B896" s="7" t="str">
        <f>TRIM(ETLMetadata!$C896)</f>
        <v>DETM_DETIS_LIDS</v>
      </c>
      <c r="C896" s="7" t="str">
        <f>TRIM(ETLMetadata!$F896)</f>
        <v>AMR3_RISL_DTS</v>
      </c>
      <c r="D896" s="7" t="str">
        <f>TRIM(ETLMetadata!$H896)</f>
        <v>StringType()</v>
      </c>
      <c r="E896" s="7" t="str">
        <f t="shared" si="112"/>
        <v>CLK_DETM_DETIS_LIDS</v>
      </c>
      <c r="F896" s="7" t="str">
        <f t="shared" si="106"/>
        <v>AMR3_RISL_DTS</v>
      </c>
      <c r="G896" s="7" t="s">
        <v>825</v>
      </c>
      <c r="H896" s="7" t="str">
        <f t="shared" si="107"/>
        <v>CLK_DETM_DETIS_LIDS</v>
      </c>
      <c r="I896" s="7" t="str">
        <f t="shared" si="108"/>
        <v>AMR3_RISL_DTS</v>
      </c>
      <c r="J896" s="7" t="str">
        <f t="shared" si="109"/>
        <v>TIMESTAMP</v>
      </c>
      <c r="K896" s="7" t="str">
        <f>TRIM(ETLMetadata!$G896)</f>
        <v>TIMESTAMP(6)</v>
      </c>
      <c r="L896" s="7" t="str">
        <f>TRIM(ETLMetadata!$I896)</f>
        <v>YYYY-MM-DDBHH:MI:SS.S(6)</v>
      </c>
      <c r="M896" s="7" t="str">
        <f t="shared" si="110"/>
        <v>TO_TIMESTAMP_NTZ(NULLIF(TRIM(AMR3_RISL_DTS),''),'YYYY-MM-DD HH24:MI:SS.FF6')</v>
      </c>
      <c r="N896" s="7" t="str">
        <f>TRIM(ETLMetadata!$J896)</f>
        <v/>
      </c>
      <c r="O896" s="8" t="str">
        <f>IF(TRIM(Classification!$G896)="","NOT CONFIDENTIAL",TRIM(Classification!$G896))</f>
        <v>NOT CONFIDENTIAL</v>
      </c>
      <c r="P896" s="7" t="str">
        <f t="shared" si="111"/>
        <v>Y</v>
      </c>
      <c r="Q896" s="7" t="s">
        <v>826</v>
      </c>
      <c r="R896" s="9">
        <v>2958465</v>
      </c>
      <c r="S896" s="7" t="s">
        <v>827</v>
      </c>
      <c r="T896" s="7" t="s">
        <v>828</v>
      </c>
      <c r="U896" s="7" t="str">
        <f t="shared" si="113"/>
        <v>CLK_DETM_DETIS_LIDS_V</v>
      </c>
      <c r="V896" s="7" t="s">
        <v>829</v>
      </c>
    </row>
    <row r="897" spans="1:22">
      <c r="A897" s="7" t="str">
        <f>TRIM(ETLMetadata!$B897)</f>
        <v>CLK</v>
      </c>
      <c r="B897" s="7" t="str">
        <f>TRIM(ETLMetadata!$C897)</f>
        <v>DETM_DETIS_LIDS</v>
      </c>
      <c r="C897" s="7" t="str">
        <f>TRIM(ETLMetadata!$F897)</f>
        <v>PARTY_ROLE_ID</v>
      </c>
      <c r="D897" s="7" t="str">
        <f>TRIM(ETLMetadata!$H897)</f>
        <v>StringType()</v>
      </c>
      <c r="E897" s="7" t="str">
        <f t="shared" si="112"/>
        <v>CLK_DETM_DETIS_LIDS</v>
      </c>
      <c r="F897" s="7" t="str">
        <f t="shared" si="106"/>
        <v>PARTY_ROLE_ID</v>
      </c>
      <c r="G897" s="7" t="s">
        <v>825</v>
      </c>
      <c r="H897" s="7" t="str">
        <f t="shared" si="107"/>
        <v>CLK_DETM_DETIS_LIDS</v>
      </c>
      <c r="I897" s="7" t="str">
        <f t="shared" si="108"/>
        <v>PARTY_ROLE_ID</v>
      </c>
      <c r="J897" s="7" t="str">
        <f t="shared" si="109"/>
        <v>INTEGER</v>
      </c>
      <c r="K897" s="7" t="str">
        <f>TRIM(ETLMetadata!$G897)</f>
        <v>INTEGER</v>
      </c>
      <c r="L897" s="7" t="str">
        <f>TRIM(ETLMetadata!$I897)</f>
        <v/>
      </c>
      <c r="M897" s="7" t="str">
        <f t="shared" si="110"/>
        <v>CAST(NULLIF(TRIM(PARTY_ROLE_ID),'') AS INTEGER)</v>
      </c>
      <c r="N897" s="7" t="str">
        <f>TRIM(ETLMetadata!$J897)</f>
        <v/>
      </c>
      <c r="O897" s="8" t="str">
        <f>IF(TRIM(Classification!$G897)="","NOT CONFIDENTIAL",TRIM(Classification!$G897))</f>
        <v>NOT CONFIDENTIAL</v>
      </c>
      <c r="P897" s="7" t="str">
        <f t="shared" si="111"/>
        <v>Y</v>
      </c>
      <c r="Q897" s="7" t="s">
        <v>826</v>
      </c>
      <c r="R897" s="9">
        <v>2958465</v>
      </c>
      <c r="S897" s="7" t="s">
        <v>827</v>
      </c>
      <c r="T897" s="7" t="s">
        <v>828</v>
      </c>
      <c r="U897" s="7" t="str">
        <f t="shared" si="113"/>
        <v>CLK_DETM_DETIS_LIDS_V</v>
      </c>
      <c r="V897" s="7" t="s">
        <v>829</v>
      </c>
    </row>
    <row r="898" spans="1:22">
      <c r="A898" s="7" t="str">
        <f>TRIM(ETLMetadata!$B898)</f>
        <v>CLK</v>
      </c>
      <c r="B898" s="7" t="str">
        <f>TRIM(ETLMetadata!$C898)</f>
        <v>DETM_DETIS_LIDS</v>
      </c>
      <c r="C898" s="7" t="str">
        <f>TRIM(ETLMetadata!$F898)</f>
        <v>EPISODE_ID</v>
      </c>
      <c r="D898" s="7" t="str">
        <f>TRIM(ETLMetadata!$H898)</f>
        <v>StringType()</v>
      </c>
      <c r="E898" s="7" t="str">
        <f t="shared" si="112"/>
        <v>CLK_DETM_DETIS_LIDS</v>
      </c>
      <c r="F898" s="7" t="str">
        <f t="shared" si="106"/>
        <v>EPISODE_ID</v>
      </c>
      <c r="G898" s="7" t="s">
        <v>825</v>
      </c>
      <c r="H898" s="7" t="str">
        <f t="shared" si="107"/>
        <v>CLK_DETM_DETIS_LIDS</v>
      </c>
      <c r="I898" s="7" t="str">
        <f t="shared" si="108"/>
        <v>EPISODE_ID</v>
      </c>
      <c r="J898" s="7" t="str">
        <f t="shared" si="109"/>
        <v>INTEGER</v>
      </c>
      <c r="K898" s="7" t="str">
        <f>TRIM(ETLMetadata!$G898)</f>
        <v>INTEGER</v>
      </c>
      <c r="L898" s="7" t="str">
        <f>TRIM(ETLMetadata!$I898)</f>
        <v/>
      </c>
      <c r="M898" s="7" t="str">
        <f t="shared" si="110"/>
        <v>CAST(NULLIF(TRIM(EPISODE_ID),'') AS INTEGER)</v>
      </c>
      <c r="N898" s="7" t="str">
        <f>TRIM(ETLMetadata!$J898)</f>
        <v/>
      </c>
      <c r="O898" s="8" t="str">
        <f>IF(TRIM(Classification!$G898)="","NOT CONFIDENTIAL",TRIM(Classification!$G898))</f>
        <v>NOT CONFIDENTIAL</v>
      </c>
      <c r="P898" s="7" t="str">
        <f t="shared" si="111"/>
        <v>Y</v>
      </c>
      <c r="Q898" s="7" t="s">
        <v>826</v>
      </c>
      <c r="R898" s="9">
        <v>2958465</v>
      </c>
      <c r="S898" s="7" t="s">
        <v>827</v>
      </c>
      <c r="T898" s="7" t="s">
        <v>828</v>
      </c>
      <c r="U898" s="7" t="str">
        <f t="shared" si="113"/>
        <v>CLK_DETM_DETIS_LIDS_V</v>
      </c>
      <c r="V898" s="7" t="s">
        <v>829</v>
      </c>
    </row>
    <row r="899" spans="1:22">
      <c r="A899" s="7" t="str">
        <f>TRIM(ETLMetadata!$B899)</f>
        <v>CLK</v>
      </c>
      <c r="B899" s="7" t="str">
        <f>TRIM(ETLMetadata!$C899)</f>
        <v>DETM_DETIS_LIDS</v>
      </c>
      <c r="C899" s="7" t="str">
        <f>TRIM(ETLMetadata!$F899)</f>
        <v>PAYMENT_TYPE_ID</v>
      </c>
      <c r="D899" s="7" t="str">
        <f>TRIM(ETLMetadata!$H899)</f>
        <v>StringType()</v>
      </c>
      <c r="E899" s="7" t="str">
        <f t="shared" si="112"/>
        <v>CLK_DETM_DETIS_LIDS</v>
      </c>
      <c r="F899" s="7" t="str">
        <f t="shared" ref="F899:F962" si="114">IF($C899="Start_Date","STRT_DT",
 IF($C899="End_Date","END_DT",
 IF($C899="Record_Deleted_Flag","RCRD_DEL_IND",
 IF($C899="IsDeleted","RCRD_DEL_IND",
 $C899
))))</f>
        <v>PAYMENT_TYPE_ID</v>
      </c>
      <c r="G899" s="7" t="s">
        <v>825</v>
      </c>
      <c r="H899" s="7" t="str">
        <f t="shared" ref="H899:H962" si="115">CONCATENATE($A899,"_",$B899)</f>
        <v>CLK_DETM_DETIS_LIDS</v>
      </c>
      <c r="I899" s="7" t="str">
        <f t="shared" ref="I899:I962" si="116">IF($C899="Start_Date","STRT_DT",
 IF($C899="End_Date","END_DT",
 IF($C899="Record_Deleted_Flag","RCRD_DEL_IND",
 IF($C899="IsDeleted","RCRD_DEL_IND",
 $C899
))))</f>
        <v>PAYMENT_TYPE_ID</v>
      </c>
      <c r="J899" s="7" t="str">
        <f t="shared" ref="J899:J962" si="117">IF(LEFT(TRIM($K899),7)="VARCHAR","VARCHAR",
 IF(LEFT(TRIM($K899),4)="CHAR","VARCHAR",
 IF(TRIM($K899)="TIMESTAMP(6)","TIMESTAMP",
 IF(TRIM($K899)="DATE","DATE",
 IF(TRIM($K899)="BYTEINT","SMALLINT",
 IF(TRIM($K899)="SMALLINT","SMALLINT",
 IF(TRIM($K899)="INTEGER","INTEGER",
 IF(TRIM($K899)="BIGINT","INTEGER",
 IF(LEFT(TRIM($K899),7)="DECIMAL",TRIM($K899),
 IF(TRIM($K899)="BOOLEAN","BOOLEAN",
 IF(TRIM($K899)="DOUBLE","DOUBLE",
 IF(TRIM($K899)="FLOAT","FLOAT",
 IF(TRIM($K899)="REAL","REAL",
 IF(LEFT(TRIM($K899),6)="STRUCT","VARIANT",
 IF(LEFT(TRIM($K899),5)="ARRAY","VARIANT",
 IF(LEFT(TRIM($K899),3)="MAP","VARIANT",
 IF(LEFT(TRIM($K899),3)="ROW","VARIANT",
 "NONE"
)))))))))))))))))</f>
        <v>INTEGER</v>
      </c>
      <c r="K899" s="7" t="str">
        <f>TRIM(ETLMetadata!$G899)</f>
        <v>INTEGER</v>
      </c>
      <c r="L899" s="7" t="str">
        <f>TRIM(ETLMetadata!$I899)</f>
        <v/>
      </c>
      <c r="M899" s="7" t="str">
        <f t="shared" ref="M899:M962" si="118">IF(LEFT($K899,7)="VARCHAR","NULLIF(TRIM("&amp;$I899&amp;"),'')",
 IF(LEFT($K899,4)="CHAR","NULLIF(TRIM("&amp;$I899&amp;"),'')",
 IF(LEFT($K899,7)="DECIMAL","CAST(NULLIF(TRIM("&amp;$I899&amp;"),'') AS "&amp;$K899&amp;")",
 IF($K899="TIMESTAMP(6)","TO_TIMESTAMP_NTZ(NULLIF(TRIM("&amp;$I899&amp;"),''),'YYYY-MM-DD HH24:MI:SS.FF6')",
 IF($K899="DATE","TO_DATE(NULLIF(TRIM("&amp;$I899&amp;"),'') , 'YYYY-MM-DD')",
 IF($K899="BIGINT","CAST(NULLIF(TRIM("&amp;I899&amp;"),'') AS INTEGER)",
 IF($K899="BYTEINT","CAST(NULLIF(TRIM("&amp;I899&amp;"),'') AS SMALLINT)",
 IF($K899="SMALLINT","CAST(NULLIF(TRIM("&amp;I899&amp;"),'') AS SMALLINT)",
 IF($K899="INTEGER","CAST(NULLIF(TRIM("&amp;I899&amp;"),'') AS INTEGER)",
 IF($K899="BOOLEAN","CAST(NULLIF(TRIM("&amp;I899&amp;"),'') AS BOOLEAN)",
 IF($K899="DOUBLE","CAST(NULLIF(TRIM("&amp;I899&amp;"),'') AS DOUBLE)",
 IF($K899="FLOAT","CAST(NULLIF(TRIM("&amp;I899&amp;"),'') AS FLOAT)",
 IF($K899="REAL","CAST(NULLIF(TRIM("&amp;I899&amp;"),'') AS REAL)",
 IF(OR($K899="STRUCT",$K899="ARRAY",$K899="MAP",$K899="ROW"),"CAST(NULLIF(TRIM("&amp;I899&amp;"),'') AS VARIANT)",
 "NONE"
))))))))))))))</f>
        <v>CAST(NULLIF(TRIM(PAYMENT_TYPE_ID),'') AS INTEGER)</v>
      </c>
      <c r="N899" s="7" t="str">
        <f>TRIM(ETLMetadata!$J899)</f>
        <v/>
      </c>
      <c r="O899" s="8" t="str">
        <f>IF(TRIM(Classification!$G899)="","NOT CONFIDENTIAL",TRIM(Classification!$G899))</f>
        <v>NOT CONFIDENTIAL</v>
      </c>
      <c r="P899" s="7" t="str">
        <f t="shared" ref="P899:P962" si="119">IF($C899="Start_Date","N",
 IF($C899="End_Date","N",
 IF($C899="Record_Deleted_Flag","N",
 IF($C899="IsDeleted","N",
 "Y"
))))</f>
        <v>Y</v>
      </c>
      <c r="Q899" s="7" t="s">
        <v>826</v>
      </c>
      <c r="R899" s="9">
        <v>2958465</v>
      </c>
      <c r="S899" s="7" t="s">
        <v>827</v>
      </c>
      <c r="T899" s="7" t="s">
        <v>828</v>
      </c>
      <c r="U899" s="7" t="str">
        <f t="shared" si="113"/>
        <v>CLK_DETM_DETIS_LIDS_V</v>
      </c>
      <c r="V899" s="7" t="s">
        <v>829</v>
      </c>
    </row>
    <row r="900" spans="1:22">
      <c r="A900" s="7" t="str">
        <f>TRIM(ETLMetadata!$B900)</f>
        <v>CLK</v>
      </c>
      <c r="B900" s="7" t="str">
        <f>TRIM(ETLMetadata!$C900)</f>
        <v>DETM_DETIS_LIDS</v>
      </c>
      <c r="C900" s="7" t="str">
        <f>TRIM(ETLMetadata!$F900)</f>
        <v>Start_Date</v>
      </c>
      <c r="D900" s="7" t="str">
        <f>TRIM(ETLMetadata!$H900)</f>
        <v>StringType()</v>
      </c>
      <c r="E900" s="7" t="str">
        <f t="shared" si="112"/>
        <v>CLK_DETM_DETIS_LIDS</v>
      </c>
      <c r="F900" s="7" t="str">
        <f t="shared" si="114"/>
        <v>STRT_DT</v>
      </c>
      <c r="G900" s="7" t="s">
        <v>825</v>
      </c>
      <c r="H900" s="7" t="str">
        <f t="shared" si="115"/>
        <v>CLK_DETM_DETIS_LIDS</v>
      </c>
      <c r="I900" s="7" t="str">
        <f t="shared" si="116"/>
        <v>STRT_DT</v>
      </c>
      <c r="J900" s="7" t="str">
        <f t="shared" si="117"/>
        <v>DATE</v>
      </c>
      <c r="K900" s="7" t="str">
        <f>TRIM(ETLMetadata!$G900)</f>
        <v>DATE</v>
      </c>
      <c r="L900" s="7" t="str">
        <f>TRIM(ETLMetadata!$I900)</f>
        <v>YYYY-MM-DD</v>
      </c>
      <c r="M900" s="7" t="str">
        <f t="shared" si="118"/>
        <v>TO_DATE(NULLIF(TRIM(STRT_DT),'') , 'YYYY-MM-DD')</v>
      </c>
      <c r="N900" s="7" t="str">
        <f>TRIM(ETLMetadata!$J900)</f>
        <v/>
      </c>
      <c r="O900" s="8" t="str">
        <f>IF(TRIM(Classification!$G900)="","NOT CONFIDENTIAL",TRIM(Classification!$G900))</f>
        <v>NOT CONFIDENTIAL</v>
      </c>
      <c r="P900" s="7" t="str">
        <f t="shared" si="119"/>
        <v>N</v>
      </c>
      <c r="Q900" s="7" t="s">
        <v>826</v>
      </c>
      <c r="R900" s="9">
        <v>2958465</v>
      </c>
      <c r="S900" s="7" t="s">
        <v>827</v>
      </c>
      <c r="T900" s="7" t="s">
        <v>828</v>
      </c>
      <c r="U900" s="7" t="str">
        <f t="shared" si="113"/>
        <v>CLK_DETM_DETIS_LIDS_V</v>
      </c>
      <c r="V900" s="7" t="s">
        <v>829</v>
      </c>
    </row>
    <row r="901" spans="1:22">
      <c r="A901" s="7" t="str">
        <f>TRIM(ETLMetadata!$B901)</f>
        <v>CLK</v>
      </c>
      <c r="B901" s="7" t="str">
        <f>TRIM(ETLMetadata!$C901)</f>
        <v>DETM_DETIS_LIDS</v>
      </c>
      <c r="C901" s="7" t="str">
        <f>TRIM(ETLMetadata!$F901)</f>
        <v>End_Date</v>
      </c>
      <c r="D901" s="7" t="str">
        <f>TRIM(ETLMetadata!$H901)</f>
        <v>StringType()</v>
      </c>
      <c r="E901" s="7" t="str">
        <f t="shared" si="112"/>
        <v>CLK_DETM_DETIS_LIDS</v>
      </c>
      <c r="F901" s="7" t="str">
        <f t="shared" si="114"/>
        <v>END_DT</v>
      </c>
      <c r="G901" s="7" t="s">
        <v>825</v>
      </c>
      <c r="H901" s="7" t="str">
        <f t="shared" si="115"/>
        <v>CLK_DETM_DETIS_LIDS</v>
      </c>
      <c r="I901" s="7" t="str">
        <f t="shared" si="116"/>
        <v>END_DT</v>
      </c>
      <c r="J901" s="7" t="str">
        <f t="shared" si="117"/>
        <v>DATE</v>
      </c>
      <c r="K901" s="7" t="str">
        <f>TRIM(ETLMetadata!$G901)</f>
        <v>DATE</v>
      </c>
      <c r="L901" s="7" t="str">
        <f>TRIM(ETLMetadata!$I901)</f>
        <v>YYYY-MM-DD</v>
      </c>
      <c r="M901" s="7" t="str">
        <f t="shared" si="118"/>
        <v>TO_DATE(NULLIF(TRIM(END_DT),'') , 'YYYY-MM-DD')</v>
      </c>
      <c r="N901" s="7" t="str">
        <f>TRIM(ETLMetadata!$J901)</f>
        <v/>
      </c>
      <c r="O901" s="8" t="str">
        <f>IF(TRIM(Classification!$G901)="","NOT CONFIDENTIAL",TRIM(Classification!$G901))</f>
        <v>NOT CONFIDENTIAL</v>
      </c>
      <c r="P901" s="7" t="str">
        <f t="shared" si="119"/>
        <v>N</v>
      </c>
      <c r="Q901" s="7" t="s">
        <v>826</v>
      </c>
      <c r="R901" s="9">
        <v>2958465</v>
      </c>
      <c r="S901" s="7" t="s">
        <v>827</v>
      </c>
      <c r="T901" s="7" t="s">
        <v>828</v>
      </c>
      <c r="U901" s="7" t="str">
        <f t="shared" si="113"/>
        <v>CLK_DETM_DETIS_LIDS_V</v>
      </c>
      <c r="V901" s="7" t="s">
        <v>829</v>
      </c>
    </row>
    <row r="902" spans="1:22">
      <c r="A902" s="7" t="str">
        <f>TRIM(ETLMetadata!$B902)</f>
        <v>CLK</v>
      </c>
      <c r="B902" s="7" t="str">
        <f>TRIM(ETLMetadata!$C902)</f>
        <v>DETM_DETIS_LIDS</v>
      </c>
      <c r="C902" s="7" t="str">
        <f>TRIM(ETLMetadata!$F902)</f>
        <v>Record_Deleted_Flag</v>
      </c>
      <c r="D902" s="7" t="str">
        <f>TRIM(ETLMetadata!$H902)</f>
        <v>StringType()</v>
      </c>
      <c r="E902" s="7" t="str">
        <f t="shared" si="112"/>
        <v>CLK_DETM_DETIS_LIDS</v>
      </c>
      <c r="F902" s="7" t="str">
        <f t="shared" si="114"/>
        <v>RCRD_DEL_IND</v>
      </c>
      <c r="G902" s="7" t="s">
        <v>825</v>
      </c>
      <c r="H902" s="7" t="str">
        <f t="shared" si="115"/>
        <v>CLK_DETM_DETIS_LIDS</v>
      </c>
      <c r="I902" s="7" t="str">
        <f t="shared" si="116"/>
        <v>RCRD_DEL_IND</v>
      </c>
      <c r="J902" s="7" t="str">
        <f t="shared" si="117"/>
        <v>SMALLINT</v>
      </c>
      <c r="K902" s="7" t="str">
        <f>TRIM(ETLMetadata!$G902)</f>
        <v>BYTEINT</v>
      </c>
      <c r="L902" s="7" t="str">
        <f>TRIM(ETLMetadata!$I902)</f>
        <v/>
      </c>
      <c r="M902" s="7" t="str">
        <f t="shared" si="118"/>
        <v>CAST(NULLIF(TRIM(RCRD_DEL_IND),'') AS SMALLINT)</v>
      </c>
      <c r="N902" s="7" t="str">
        <f>TRIM(ETLMetadata!$J902)</f>
        <v/>
      </c>
      <c r="O902" s="8" t="str">
        <f>IF(TRIM(Classification!$G902)="","NOT CONFIDENTIAL",TRIM(Classification!$G902))</f>
        <v>NOT CONFIDENTIAL</v>
      </c>
      <c r="P902" s="7" t="str">
        <f t="shared" si="119"/>
        <v>N</v>
      </c>
      <c r="Q902" s="7" t="s">
        <v>826</v>
      </c>
      <c r="R902" s="9">
        <v>2958465</v>
      </c>
      <c r="S902" s="7" t="s">
        <v>827</v>
      </c>
      <c r="T902" s="7" t="s">
        <v>828</v>
      </c>
      <c r="U902" s="7" t="str">
        <f t="shared" si="113"/>
        <v>CLK_DETM_DETIS_LIDS_V</v>
      </c>
      <c r="V902" s="7" t="s">
        <v>829</v>
      </c>
    </row>
    <row r="903" spans="1:22">
      <c r="A903" s="7" t="str">
        <f>TRIM(ETLMetadata!$B903)</f>
        <v>CLK</v>
      </c>
      <c r="B903" s="7" t="str">
        <f>TRIM(ETLMetadata!$C903)</f>
        <v>DETM_DETIS_LSDS</v>
      </c>
      <c r="C903" s="7" t="str">
        <f>TRIM(ETLMetadata!$F903)</f>
        <v>EXTRACT_DATE</v>
      </c>
      <c r="D903" s="7" t="str">
        <f>TRIM(ETLMetadata!$H903)</f>
        <v>StringType()</v>
      </c>
      <c r="E903" s="7" t="str">
        <f t="shared" si="112"/>
        <v>CLK_DETM_DETIS_LSDS</v>
      </c>
      <c r="F903" s="7" t="str">
        <f t="shared" si="114"/>
        <v>EXTRACT_DATE</v>
      </c>
      <c r="G903" s="7" t="s">
        <v>825</v>
      </c>
      <c r="H903" s="7" t="str">
        <f t="shared" si="115"/>
        <v>CLK_DETM_DETIS_LSDS</v>
      </c>
      <c r="I903" s="7" t="str">
        <f t="shared" si="116"/>
        <v>EXTRACT_DATE</v>
      </c>
      <c r="J903" s="7" t="str">
        <f t="shared" si="117"/>
        <v>DATE</v>
      </c>
      <c r="K903" s="7" t="str">
        <f>TRIM(ETLMetadata!$G903)</f>
        <v>DATE</v>
      </c>
      <c r="L903" s="7" t="str">
        <f>TRIM(ETLMetadata!$I903)</f>
        <v>YYYY-MM-DD</v>
      </c>
      <c r="M903" s="7" t="str">
        <f t="shared" si="118"/>
        <v>TO_DATE(NULLIF(TRIM(EXTRACT_DATE),'') , 'YYYY-MM-DD')</v>
      </c>
      <c r="N903" s="7" t="str">
        <f>TRIM(ETLMetadata!$J903)</f>
        <v/>
      </c>
      <c r="O903" s="8" t="str">
        <f>IF(TRIM(Classification!$G903)="","NOT CONFIDENTIAL",TRIM(Classification!$G903))</f>
        <v>NOT CONFIDENTIAL</v>
      </c>
      <c r="P903" s="7" t="str">
        <f t="shared" si="119"/>
        <v>Y</v>
      </c>
      <c r="Q903" s="7" t="s">
        <v>826</v>
      </c>
      <c r="R903" s="9">
        <v>2958465</v>
      </c>
      <c r="S903" s="7" t="s">
        <v>827</v>
      </c>
      <c r="T903" s="7" t="s">
        <v>828</v>
      </c>
      <c r="U903" s="7" t="str">
        <f t="shared" si="113"/>
        <v>CLK_DETM_DETIS_LSDS_V</v>
      </c>
      <c r="V903" s="7" t="s">
        <v>829</v>
      </c>
    </row>
    <row r="904" spans="1:22">
      <c r="A904" s="7" t="str">
        <f>TRIM(ETLMetadata!$B904)</f>
        <v>CLK</v>
      </c>
      <c r="B904" s="7" t="str">
        <f>TRIM(ETLMetadata!$C904)</f>
        <v>DETM_DETIS_LSDS</v>
      </c>
      <c r="C904" s="7" t="str">
        <f>TRIM(ETLMetadata!$F904)</f>
        <v>LOGICAL_DELETE_DATE</v>
      </c>
      <c r="D904" s="7" t="str">
        <f>TRIM(ETLMetadata!$H904)</f>
        <v>StringType()</v>
      </c>
      <c r="E904" s="7" t="str">
        <f t="shared" si="112"/>
        <v>CLK_DETM_DETIS_LSDS</v>
      </c>
      <c r="F904" s="7" t="str">
        <f t="shared" si="114"/>
        <v>LOGICAL_DELETE_DATE</v>
      </c>
      <c r="G904" s="7" t="s">
        <v>825</v>
      </c>
      <c r="H904" s="7" t="str">
        <f t="shared" si="115"/>
        <v>CLK_DETM_DETIS_LSDS</v>
      </c>
      <c r="I904" s="7" t="str">
        <f t="shared" si="116"/>
        <v>LOGICAL_DELETE_DATE</v>
      </c>
      <c r="J904" s="7" t="str">
        <f t="shared" si="117"/>
        <v>DATE</v>
      </c>
      <c r="K904" s="7" t="str">
        <f>TRIM(ETLMetadata!$G904)</f>
        <v>DATE</v>
      </c>
      <c r="L904" s="7" t="str">
        <f>TRIM(ETLMetadata!$I904)</f>
        <v>YYYY-MM-DD</v>
      </c>
      <c r="M904" s="7" t="str">
        <f t="shared" si="118"/>
        <v>TO_DATE(NULLIF(TRIM(LOGICAL_DELETE_DATE),'') , 'YYYY-MM-DD')</v>
      </c>
      <c r="N904" s="7" t="str">
        <f>TRIM(ETLMetadata!$J904)</f>
        <v/>
      </c>
      <c r="O904" s="8" t="str">
        <f>IF(TRIM(Classification!$G904)="","NOT CONFIDENTIAL",TRIM(Classification!$G904))</f>
        <v>NOT CONFIDENTIAL</v>
      </c>
      <c r="P904" s="7" t="str">
        <f t="shared" si="119"/>
        <v>Y</v>
      </c>
      <c r="Q904" s="7" t="s">
        <v>826</v>
      </c>
      <c r="R904" s="9">
        <v>2958465</v>
      </c>
      <c r="S904" s="7" t="s">
        <v>827</v>
      </c>
      <c r="T904" s="7" t="s">
        <v>828</v>
      </c>
      <c r="U904" s="7" t="str">
        <f t="shared" si="113"/>
        <v>CLK_DETM_DETIS_LSDS_V</v>
      </c>
      <c r="V904" s="7" t="s">
        <v>829</v>
      </c>
    </row>
    <row r="905" spans="1:22">
      <c r="A905" s="7" t="str">
        <f>TRIM(ETLMetadata!$B905)</f>
        <v>CLK</v>
      </c>
      <c r="B905" s="7" t="str">
        <f>TRIM(ETLMetadata!$C905)</f>
        <v>DETM_DETIS_LSDS</v>
      </c>
      <c r="C905" s="7" t="str">
        <f>TRIM(ETLMetadata!$F905)</f>
        <v>ENVIRONMENT_ID</v>
      </c>
      <c r="D905" s="7" t="str">
        <f>TRIM(ETLMetadata!$H905)</f>
        <v>StringType()</v>
      </c>
      <c r="E905" s="7" t="str">
        <f t="shared" si="112"/>
        <v>CLK_DETM_DETIS_LSDS</v>
      </c>
      <c r="F905" s="7" t="str">
        <f t="shared" si="114"/>
        <v>ENVIRONMENT_ID</v>
      </c>
      <c r="G905" s="7" t="s">
        <v>825</v>
      </c>
      <c r="H905" s="7" t="str">
        <f t="shared" si="115"/>
        <v>CLK_DETM_DETIS_LSDS</v>
      </c>
      <c r="I905" s="7" t="str">
        <f t="shared" si="116"/>
        <v>ENVIRONMENT_ID</v>
      </c>
      <c r="J905" s="7" t="str">
        <f t="shared" si="117"/>
        <v>VARCHAR</v>
      </c>
      <c r="K905" s="7" t="str">
        <f>TRIM(ETLMetadata!$G905)</f>
        <v>CHAR(1)</v>
      </c>
      <c r="L905" s="7" t="str">
        <f>TRIM(ETLMetadata!$I905)</f>
        <v/>
      </c>
      <c r="M905" s="7" t="str">
        <f t="shared" si="118"/>
        <v>NULLIF(TRIM(ENVIRONMENT_ID),'')</v>
      </c>
      <c r="N905" s="7" t="str">
        <f>TRIM(ETLMetadata!$J905)</f>
        <v>Y</v>
      </c>
      <c r="O905" s="8" t="str">
        <f>IF(TRIM(Classification!$G905)="","NOT CONFIDENTIAL",TRIM(Classification!$G905))</f>
        <v>NOT CONFIDENTIAL</v>
      </c>
      <c r="P905" s="7" t="str">
        <f t="shared" si="119"/>
        <v>Y</v>
      </c>
      <c r="Q905" s="7" t="s">
        <v>826</v>
      </c>
      <c r="R905" s="9">
        <v>2958465</v>
      </c>
      <c r="S905" s="7" t="s">
        <v>827</v>
      </c>
      <c r="T905" s="7" t="s">
        <v>828</v>
      </c>
      <c r="U905" s="7" t="str">
        <f t="shared" si="113"/>
        <v>CLK_DETM_DETIS_LSDS_V</v>
      </c>
      <c r="V905" s="7" t="s">
        <v>829</v>
      </c>
    </row>
    <row r="906" spans="1:22">
      <c r="A906" s="7" t="str">
        <f>TRIM(ETLMetadata!$B906)</f>
        <v>CLK</v>
      </c>
      <c r="B906" s="7" t="str">
        <f>TRIM(ETLMetadata!$C906)</f>
        <v>DETM_DETIS_LSDS</v>
      </c>
      <c r="C906" s="7" t="str">
        <f>TRIM(ETLMetadata!$F906)</f>
        <v>PERSON_ID</v>
      </c>
      <c r="D906" s="7" t="str">
        <f>TRIM(ETLMetadata!$H906)</f>
        <v>StringType()</v>
      </c>
      <c r="E906" s="7" t="str">
        <f t="shared" si="112"/>
        <v>CLK_DETM_DETIS_LSDS</v>
      </c>
      <c r="F906" s="7" t="str">
        <f t="shared" si="114"/>
        <v>PERSON_ID</v>
      </c>
      <c r="G906" s="7" t="s">
        <v>825</v>
      </c>
      <c r="H906" s="7" t="str">
        <f t="shared" si="115"/>
        <v>CLK_DETM_DETIS_LSDS</v>
      </c>
      <c r="I906" s="7" t="str">
        <f t="shared" si="116"/>
        <v>PERSON_ID</v>
      </c>
      <c r="J906" s="7" t="str">
        <f t="shared" si="117"/>
        <v>INTEGER</v>
      </c>
      <c r="K906" s="7" t="str">
        <f>TRIM(ETLMetadata!$G906)</f>
        <v>INTEGER</v>
      </c>
      <c r="L906" s="7" t="str">
        <f>TRIM(ETLMetadata!$I906)</f>
        <v/>
      </c>
      <c r="M906" s="7" t="str">
        <f t="shared" si="118"/>
        <v>CAST(NULLIF(TRIM(PERSON_ID),'') AS INTEGER)</v>
      </c>
      <c r="N906" s="7" t="str">
        <f>TRIM(ETLMetadata!$J906)</f>
        <v>Y</v>
      </c>
      <c r="O906" s="8" t="str">
        <f>IF(TRIM(Classification!$G906)="","NOT CONFIDENTIAL",TRIM(Classification!$G906))</f>
        <v>PERSONAL_IDENTITYINFOINDIRECT</v>
      </c>
      <c r="P906" s="7" t="str">
        <f t="shared" si="119"/>
        <v>Y</v>
      </c>
      <c r="Q906" s="7" t="s">
        <v>826</v>
      </c>
      <c r="R906" s="9">
        <v>2958465</v>
      </c>
      <c r="S906" s="7" t="s">
        <v>827</v>
      </c>
      <c r="T906" s="7" t="s">
        <v>828</v>
      </c>
      <c r="U906" s="7" t="str">
        <f t="shared" si="113"/>
        <v>CLK_DETM_DETIS_LSDS_V</v>
      </c>
      <c r="V906" s="7" t="s">
        <v>829</v>
      </c>
    </row>
    <row r="907" spans="1:22">
      <c r="A907" s="7" t="str">
        <f>TRIM(ETLMetadata!$B907)</f>
        <v>CLK</v>
      </c>
      <c r="B907" s="7" t="str">
        <f>TRIM(ETLMetadata!$C907)</f>
        <v>DETM_DETIS_LSDS</v>
      </c>
      <c r="C907" s="7" t="str">
        <f>TRIM(ETLMetadata!$F907)</f>
        <v>LSDS_DOE</v>
      </c>
      <c r="D907" s="7" t="str">
        <f>TRIM(ETLMetadata!$H907)</f>
        <v>StringType()</v>
      </c>
      <c r="E907" s="7" t="str">
        <f t="shared" si="112"/>
        <v>CLK_DETM_DETIS_LSDS</v>
      </c>
      <c r="F907" s="7" t="str">
        <f t="shared" si="114"/>
        <v>LSDS_DOE</v>
      </c>
      <c r="G907" s="7" t="s">
        <v>825</v>
      </c>
      <c r="H907" s="7" t="str">
        <f t="shared" si="115"/>
        <v>CLK_DETM_DETIS_LSDS</v>
      </c>
      <c r="I907" s="7" t="str">
        <f t="shared" si="116"/>
        <v>LSDS_DOE</v>
      </c>
      <c r="J907" s="7" t="str">
        <f t="shared" si="117"/>
        <v>DATE</v>
      </c>
      <c r="K907" s="17" t="s">
        <v>80</v>
      </c>
      <c r="L907" s="7" t="str">
        <f>TRIM(ETLMetadata!$I907)</f>
        <v>YYYY-MM-DD</v>
      </c>
      <c r="M907" s="7" t="str">
        <f t="shared" si="118"/>
        <v>TO_DATE(NULLIF(TRIM(LSDS_DOE),'') , 'YYYY-MM-DD')</v>
      </c>
      <c r="N907" s="7" t="str">
        <f>TRIM(ETLMetadata!$J907)</f>
        <v/>
      </c>
      <c r="O907" s="8" t="str">
        <f>IF(TRIM(Classification!$G907)="","NOT CONFIDENTIAL",TRIM(Classification!$G907))</f>
        <v>NOT CONFIDENTIAL</v>
      </c>
      <c r="P907" s="7" t="str">
        <f t="shared" si="119"/>
        <v>Y</v>
      </c>
      <c r="Q907" s="7" t="s">
        <v>826</v>
      </c>
      <c r="R907" s="9">
        <v>2958465</v>
      </c>
      <c r="S907" s="7" t="s">
        <v>827</v>
      </c>
      <c r="T907" s="7" t="s">
        <v>828</v>
      </c>
      <c r="U907" s="7" t="str">
        <f t="shared" si="113"/>
        <v>CLK_DETM_DETIS_LSDS_V</v>
      </c>
      <c r="V907" s="7" t="s">
        <v>829</v>
      </c>
    </row>
    <row r="908" spans="1:22">
      <c r="A908" s="7" t="str">
        <f>TRIM(ETLMetadata!$B908)</f>
        <v>CLK</v>
      </c>
      <c r="B908" s="7" t="str">
        <f>TRIM(ETLMetadata!$C908)</f>
        <v>DETM_DETIS_LSDS</v>
      </c>
      <c r="C908" s="7" t="str">
        <f>TRIM(ETLMetadata!$F908)</f>
        <v>LSDS_DOE_ORIG</v>
      </c>
      <c r="D908" s="7" t="str">
        <f>TRIM(ETLMetadata!$H908)</f>
        <v>StringType()</v>
      </c>
      <c r="E908" s="7" t="str">
        <f t="shared" si="112"/>
        <v>CLK_DETM_DETIS_LSDS</v>
      </c>
      <c r="F908" s="7" t="str">
        <f t="shared" si="114"/>
        <v>LSDS_DOE_ORIG</v>
      </c>
      <c r="G908" s="7" t="s">
        <v>825</v>
      </c>
      <c r="H908" s="7" t="str">
        <f t="shared" si="115"/>
        <v>CLK_DETM_DETIS_LSDS</v>
      </c>
      <c r="I908" s="7" t="str">
        <f t="shared" si="116"/>
        <v>LSDS_DOE_ORIG</v>
      </c>
      <c r="J908" s="7" t="str">
        <f t="shared" si="117"/>
        <v>INTEGER</v>
      </c>
      <c r="K908" s="17" t="s">
        <v>90</v>
      </c>
      <c r="L908" s="7" t="str">
        <f>TRIM(ETLMetadata!$I908)</f>
        <v/>
      </c>
      <c r="M908" s="7" t="str">
        <f t="shared" si="118"/>
        <v>CAST(NULLIF(TRIM(LSDS_DOE_ORIG),'') AS INTEGER)</v>
      </c>
      <c r="N908" s="7" t="str">
        <f>TRIM(ETLMetadata!$J908)</f>
        <v/>
      </c>
      <c r="O908" s="8" t="str">
        <f>IF(TRIM(Classification!$G908)="","NOT CONFIDENTIAL",TRIM(Classification!$G908))</f>
        <v>NOT CONFIDENTIAL</v>
      </c>
      <c r="P908" s="7" t="str">
        <f t="shared" si="119"/>
        <v>Y</v>
      </c>
      <c r="Q908" s="7" t="s">
        <v>826</v>
      </c>
      <c r="R908" s="9">
        <v>2958465</v>
      </c>
      <c r="S908" s="7" t="s">
        <v>827</v>
      </c>
      <c r="T908" s="7" t="s">
        <v>828</v>
      </c>
      <c r="U908" s="7" t="str">
        <f t="shared" si="113"/>
        <v>CLK_DETM_DETIS_LSDS_V</v>
      </c>
      <c r="V908" s="7" t="s">
        <v>829</v>
      </c>
    </row>
    <row r="909" spans="1:22">
      <c r="A909" s="7" t="str">
        <f>TRIM(ETLMetadata!$B909)</f>
        <v>CLK</v>
      </c>
      <c r="B909" s="7" t="str">
        <f>TRIM(ETLMetadata!$C909)</f>
        <v>DETM_DETIS_LSDS</v>
      </c>
      <c r="C909" s="7" t="str">
        <f>TRIM(ETLMetadata!$F909)</f>
        <v>PROCESSING_SEQUENCE</v>
      </c>
      <c r="D909" s="7" t="str">
        <f>TRIM(ETLMetadata!$H909)</f>
        <v>StringType()</v>
      </c>
      <c r="E909" s="7" t="str">
        <f t="shared" si="112"/>
        <v>CLK_DETM_DETIS_LSDS</v>
      </c>
      <c r="F909" s="7" t="str">
        <f t="shared" si="114"/>
        <v>PROCESSING_SEQUENCE</v>
      </c>
      <c r="G909" s="7" t="s">
        <v>825</v>
      </c>
      <c r="H909" s="7" t="str">
        <f t="shared" si="115"/>
        <v>CLK_DETM_DETIS_LSDS</v>
      </c>
      <c r="I909" s="7" t="str">
        <f t="shared" si="116"/>
        <v>PROCESSING_SEQUENCE</v>
      </c>
      <c r="J909" s="7" t="str">
        <f t="shared" si="117"/>
        <v>SMALLINT</v>
      </c>
      <c r="K909" s="7" t="str">
        <f>TRIM(ETLMetadata!$G909)</f>
        <v>SMALLINT</v>
      </c>
      <c r="L909" s="7" t="str">
        <f>TRIM(ETLMetadata!$I909)</f>
        <v/>
      </c>
      <c r="M909" s="7" t="str">
        <f t="shared" si="118"/>
        <v>CAST(NULLIF(TRIM(PROCESSING_SEQUENCE),'') AS SMALLINT)</v>
      </c>
      <c r="N909" s="7" t="str">
        <f>TRIM(ETLMetadata!$J909)</f>
        <v>Y</v>
      </c>
      <c r="O909" s="8" t="str">
        <f>IF(TRIM(Classification!$G909)="","NOT CONFIDENTIAL",TRIM(Classification!$G909))</f>
        <v>NOT CONFIDENTIAL</v>
      </c>
      <c r="P909" s="7" t="str">
        <f t="shared" si="119"/>
        <v>Y</v>
      </c>
      <c r="Q909" s="7" t="s">
        <v>826</v>
      </c>
      <c r="R909" s="9">
        <v>2958465</v>
      </c>
      <c r="S909" s="7" t="s">
        <v>827</v>
      </c>
      <c r="T909" s="7" t="s">
        <v>828</v>
      </c>
      <c r="U909" s="7" t="str">
        <f t="shared" si="113"/>
        <v>CLK_DETM_DETIS_LSDS_V</v>
      </c>
      <c r="V909" s="7" t="s">
        <v>829</v>
      </c>
    </row>
    <row r="910" spans="1:22">
      <c r="A910" s="7" t="str">
        <f>TRIM(ETLMetadata!$B910)</f>
        <v>CLK</v>
      </c>
      <c r="B910" s="7" t="str">
        <f>TRIM(ETLMetadata!$C910)</f>
        <v>DETM_DETIS_LSDS</v>
      </c>
      <c r="C910" s="7" t="str">
        <f>TRIM(ETLMetadata!$F910)</f>
        <v>LSDS_AMR_1</v>
      </c>
      <c r="D910" s="7" t="str">
        <f>TRIM(ETLMetadata!$H910)</f>
        <v>StringType()</v>
      </c>
      <c r="E910" s="7" t="str">
        <f t="shared" si="112"/>
        <v>CLK_DETM_DETIS_LSDS</v>
      </c>
      <c r="F910" s="7" t="str">
        <f t="shared" si="114"/>
        <v>LSDS_AMR_1</v>
      </c>
      <c r="G910" s="7" t="s">
        <v>825</v>
      </c>
      <c r="H910" s="7" t="str">
        <f t="shared" si="115"/>
        <v>CLK_DETM_DETIS_LSDS</v>
      </c>
      <c r="I910" s="7" t="str">
        <f t="shared" si="116"/>
        <v>LSDS_AMR_1</v>
      </c>
      <c r="J910" s="7" t="str">
        <f t="shared" si="117"/>
        <v>VARCHAR</v>
      </c>
      <c r="K910" s="7" t="str">
        <f>TRIM(ETLMetadata!$G910)</f>
        <v>CHAR(4)</v>
      </c>
      <c r="L910" s="7" t="str">
        <f>TRIM(ETLMetadata!$I910)</f>
        <v/>
      </c>
      <c r="M910" s="7" t="str">
        <f t="shared" si="118"/>
        <v>NULLIF(TRIM(LSDS_AMR_1),'')</v>
      </c>
      <c r="N910" s="7" t="str">
        <f>TRIM(ETLMetadata!$J910)</f>
        <v/>
      </c>
      <c r="O910" s="8" t="str">
        <f>IF(TRIM(Classification!$G910)="","NOT CONFIDENTIAL",TRIM(Classification!$G910))</f>
        <v>NOT CONFIDENTIAL</v>
      </c>
      <c r="P910" s="7" t="str">
        <f t="shared" si="119"/>
        <v>Y</v>
      </c>
      <c r="Q910" s="7" t="s">
        <v>826</v>
      </c>
      <c r="R910" s="9">
        <v>2958465</v>
      </c>
      <c r="S910" s="7" t="s">
        <v>827</v>
      </c>
      <c r="T910" s="7" t="s">
        <v>828</v>
      </c>
      <c r="U910" s="7" t="str">
        <f t="shared" si="113"/>
        <v>CLK_DETM_DETIS_LSDS_V</v>
      </c>
      <c r="V910" s="7" t="s">
        <v>829</v>
      </c>
    </row>
    <row r="911" spans="1:22">
      <c r="A911" s="7" t="str">
        <f>TRIM(ETLMetadata!$B911)</f>
        <v>CLK</v>
      </c>
      <c r="B911" s="7" t="str">
        <f>TRIM(ETLMetadata!$C911)</f>
        <v>DETM_DETIS_LSDS</v>
      </c>
      <c r="C911" s="7" t="str">
        <f>TRIM(ETLMetadata!$F911)</f>
        <v>LSDS_AMR_2</v>
      </c>
      <c r="D911" s="7" t="str">
        <f>TRIM(ETLMetadata!$H911)</f>
        <v>StringType()</v>
      </c>
      <c r="E911" s="7" t="str">
        <f t="shared" si="112"/>
        <v>CLK_DETM_DETIS_LSDS</v>
      </c>
      <c r="F911" s="7" t="str">
        <f t="shared" si="114"/>
        <v>LSDS_AMR_2</v>
      </c>
      <c r="G911" s="7" t="s">
        <v>825</v>
      </c>
      <c r="H911" s="7" t="str">
        <f t="shared" si="115"/>
        <v>CLK_DETM_DETIS_LSDS</v>
      </c>
      <c r="I911" s="7" t="str">
        <f t="shared" si="116"/>
        <v>LSDS_AMR_2</v>
      </c>
      <c r="J911" s="7" t="str">
        <f t="shared" si="117"/>
        <v>VARCHAR</v>
      </c>
      <c r="K911" s="7" t="str">
        <f>TRIM(ETLMetadata!$G911)</f>
        <v>CHAR(1)</v>
      </c>
      <c r="L911" s="7" t="str">
        <f>TRIM(ETLMetadata!$I911)</f>
        <v/>
      </c>
      <c r="M911" s="7" t="str">
        <f t="shared" si="118"/>
        <v>NULLIF(TRIM(LSDS_AMR_2),'')</v>
      </c>
      <c r="N911" s="7" t="str">
        <f>TRIM(ETLMetadata!$J911)</f>
        <v/>
      </c>
      <c r="O911" s="8" t="str">
        <f>IF(TRIM(Classification!$G911)="","NOT CONFIDENTIAL",TRIM(Classification!$G911))</f>
        <v>NOT CONFIDENTIAL</v>
      </c>
      <c r="P911" s="7" t="str">
        <f t="shared" si="119"/>
        <v>Y</v>
      </c>
      <c r="Q911" s="7" t="s">
        <v>826</v>
      </c>
      <c r="R911" s="9">
        <v>2958465</v>
      </c>
      <c r="S911" s="7" t="s">
        <v>827</v>
      </c>
      <c r="T911" s="7" t="s">
        <v>828</v>
      </c>
      <c r="U911" s="7" t="str">
        <f t="shared" si="113"/>
        <v>CLK_DETM_DETIS_LSDS_V</v>
      </c>
      <c r="V911" s="7" t="s">
        <v>829</v>
      </c>
    </row>
    <row r="912" spans="1:22">
      <c r="A912" s="7" t="str">
        <f>TRIM(ETLMetadata!$B912)</f>
        <v>CLK</v>
      </c>
      <c r="B912" s="7" t="str">
        <f>TRIM(ETLMetadata!$C912)</f>
        <v>DETM_DETIS_LSDS</v>
      </c>
      <c r="C912" s="7" t="str">
        <f>TRIM(ETLMetadata!$F912)</f>
        <v>LSDS_AMR_3</v>
      </c>
      <c r="D912" s="7" t="str">
        <f>TRIM(ETLMetadata!$H912)</f>
        <v>StringType()</v>
      </c>
      <c r="E912" s="7" t="str">
        <f t="shared" si="112"/>
        <v>CLK_DETM_DETIS_LSDS</v>
      </c>
      <c r="F912" s="7" t="str">
        <f t="shared" si="114"/>
        <v>LSDS_AMR_3</v>
      </c>
      <c r="G912" s="7" t="s">
        <v>825</v>
      </c>
      <c r="H912" s="7" t="str">
        <f t="shared" si="115"/>
        <v>CLK_DETM_DETIS_LSDS</v>
      </c>
      <c r="I912" s="7" t="str">
        <f t="shared" si="116"/>
        <v>LSDS_AMR_3</v>
      </c>
      <c r="J912" s="7" t="str">
        <f t="shared" si="117"/>
        <v>VARCHAR</v>
      </c>
      <c r="K912" s="7" t="str">
        <f>TRIM(ETLMetadata!$G912)</f>
        <v>CHAR(4)</v>
      </c>
      <c r="L912" s="7" t="str">
        <f>TRIM(ETLMetadata!$I912)</f>
        <v/>
      </c>
      <c r="M912" s="7" t="str">
        <f t="shared" si="118"/>
        <v>NULLIF(TRIM(LSDS_AMR_3),'')</v>
      </c>
      <c r="N912" s="7" t="str">
        <f>TRIM(ETLMetadata!$J912)</f>
        <v/>
      </c>
      <c r="O912" s="8" t="str">
        <f>IF(TRIM(Classification!$G912)="","NOT CONFIDENTIAL",TRIM(Classification!$G912))</f>
        <v>NOT CONFIDENTIAL</v>
      </c>
      <c r="P912" s="7" t="str">
        <f t="shared" si="119"/>
        <v>Y</v>
      </c>
      <c r="Q912" s="7" t="s">
        <v>826</v>
      </c>
      <c r="R912" s="9">
        <v>2958465</v>
      </c>
      <c r="S912" s="7" t="s">
        <v>827</v>
      </c>
      <c r="T912" s="7" t="s">
        <v>828</v>
      </c>
      <c r="U912" s="7" t="str">
        <f t="shared" si="113"/>
        <v>CLK_DETM_DETIS_LSDS_V</v>
      </c>
      <c r="V912" s="7" t="s">
        <v>829</v>
      </c>
    </row>
    <row r="913" spans="1:22">
      <c r="A913" s="7" t="str">
        <f>TRIM(ETLMetadata!$B913)</f>
        <v>CLK</v>
      </c>
      <c r="B913" s="7" t="str">
        <f>TRIM(ETLMetadata!$C913)</f>
        <v>DETM_DETIS_LSDS</v>
      </c>
      <c r="C913" s="7" t="str">
        <f>TRIM(ETLMetadata!$F913)</f>
        <v>LSDS_BEN_TYPE_CODE</v>
      </c>
      <c r="D913" s="7" t="str">
        <f>TRIM(ETLMetadata!$H913)</f>
        <v>StringType()</v>
      </c>
      <c r="E913" s="7" t="str">
        <f t="shared" si="112"/>
        <v>CLK_DETM_DETIS_LSDS</v>
      </c>
      <c r="F913" s="7" t="str">
        <f t="shared" si="114"/>
        <v>LSDS_BEN_TYPE_CODE</v>
      </c>
      <c r="G913" s="7" t="s">
        <v>825</v>
      </c>
      <c r="H913" s="7" t="str">
        <f t="shared" si="115"/>
        <v>CLK_DETM_DETIS_LSDS</v>
      </c>
      <c r="I913" s="7" t="str">
        <f t="shared" si="116"/>
        <v>LSDS_BEN_TYPE_CODE</v>
      </c>
      <c r="J913" s="7" t="str">
        <f t="shared" si="117"/>
        <v>VARCHAR</v>
      </c>
      <c r="K913" s="7" t="str">
        <f>TRIM(ETLMetadata!$G913)</f>
        <v>CHAR(3)</v>
      </c>
      <c r="L913" s="7" t="str">
        <f>TRIM(ETLMetadata!$I913)</f>
        <v/>
      </c>
      <c r="M913" s="7" t="str">
        <f t="shared" si="118"/>
        <v>NULLIF(TRIM(LSDS_BEN_TYPE_CODE),'')</v>
      </c>
      <c r="N913" s="7" t="str">
        <f>TRIM(ETLMetadata!$J913)</f>
        <v/>
      </c>
      <c r="O913" s="8" t="str">
        <f>IF(TRIM(Classification!$G913)="","NOT CONFIDENTIAL",TRIM(Classification!$G913))</f>
        <v>NOT CONFIDENTIAL</v>
      </c>
      <c r="P913" s="7" t="str">
        <f t="shared" si="119"/>
        <v>Y</v>
      </c>
      <c r="Q913" s="7" t="s">
        <v>826</v>
      </c>
      <c r="R913" s="9">
        <v>2958465</v>
      </c>
      <c r="S913" s="7" t="s">
        <v>827</v>
      </c>
      <c r="T913" s="7" t="s">
        <v>828</v>
      </c>
      <c r="U913" s="7" t="str">
        <f t="shared" si="113"/>
        <v>CLK_DETM_DETIS_LSDS_V</v>
      </c>
      <c r="V913" s="7" t="s">
        <v>829</v>
      </c>
    </row>
    <row r="914" spans="1:22">
      <c r="A914" s="7" t="str">
        <f>TRIM(ETLMetadata!$B914)</f>
        <v>CLK</v>
      </c>
      <c r="B914" s="7" t="str">
        <f>TRIM(ETLMetadata!$C914)</f>
        <v>DETM_DETIS_LSDS</v>
      </c>
      <c r="C914" s="7" t="str">
        <f>TRIM(ETLMetadata!$F914)</f>
        <v>LSDS_STS_CODE</v>
      </c>
      <c r="D914" s="7" t="str">
        <f>TRIM(ETLMetadata!$H914)</f>
        <v>StringType()</v>
      </c>
      <c r="E914" s="7" t="str">
        <f t="shared" si="112"/>
        <v>CLK_DETM_DETIS_LSDS</v>
      </c>
      <c r="F914" s="7" t="str">
        <f t="shared" si="114"/>
        <v>LSDS_STS_CODE</v>
      </c>
      <c r="G914" s="7" t="s">
        <v>825</v>
      </c>
      <c r="H914" s="7" t="str">
        <f t="shared" si="115"/>
        <v>CLK_DETM_DETIS_LSDS</v>
      </c>
      <c r="I914" s="7" t="str">
        <f t="shared" si="116"/>
        <v>LSDS_STS_CODE</v>
      </c>
      <c r="J914" s="7" t="str">
        <f t="shared" si="117"/>
        <v>VARCHAR</v>
      </c>
      <c r="K914" s="7" t="str">
        <f>TRIM(ETLMetadata!$G914)</f>
        <v>CHAR(3)</v>
      </c>
      <c r="L914" s="7" t="str">
        <f>TRIM(ETLMetadata!$I914)</f>
        <v/>
      </c>
      <c r="M914" s="7" t="str">
        <f t="shared" si="118"/>
        <v>NULLIF(TRIM(LSDS_STS_CODE),'')</v>
      </c>
      <c r="N914" s="7" t="str">
        <f>TRIM(ETLMetadata!$J914)</f>
        <v/>
      </c>
      <c r="O914" s="8" t="str">
        <f>IF(TRIM(Classification!$G914)="","NOT CONFIDENTIAL",TRIM(Classification!$G914))</f>
        <v>NOT CONFIDENTIAL</v>
      </c>
      <c r="P914" s="7" t="str">
        <f t="shared" si="119"/>
        <v>Y</v>
      </c>
      <c r="Q914" s="7" t="s">
        <v>826</v>
      </c>
      <c r="R914" s="9">
        <v>2958465</v>
      </c>
      <c r="S914" s="7" t="s">
        <v>827</v>
      </c>
      <c r="T914" s="7" t="s">
        <v>828</v>
      </c>
      <c r="U914" s="7" t="str">
        <f t="shared" si="113"/>
        <v>CLK_DETM_DETIS_LSDS_V</v>
      </c>
      <c r="V914" s="7" t="s">
        <v>829</v>
      </c>
    </row>
    <row r="915" spans="1:22">
      <c r="A915" s="7" t="str">
        <f>TRIM(ETLMetadata!$B915)</f>
        <v>CLK</v>
      </c>
      <c r="B915" s="7" t="str">
        <f>TRIM(ETLMetadata!$C915)</f>
        <v>DETM_DETIS_LSDS</v>
      </c>
      <c r="C915" s="7" t="str">
        <f>TRIM(ETLMetadata!$F915)</f>
        <v>LSDS_RSN_CODE</v>
      </c>
      <c r="D915" s="7" t="str">
        <f>TRIM(ETLMetadata!$H915)</f>
        <v>StringType()</v>
      </c>
      <c r="E915" s="7" t="str">
        <f t="shared" si="112"/>
        <v>CLK_DETM_DETIS_LSDS</v>
      </c>
      <c r="F915" s="7" t="str">
        <f t="shared" si="114"/>
        <v>LSDS_RSN_CODE</v>
      </c>
      <c r="G915" s="7" t="s">
        <v>825</v>
      </c>
      <c r="H915" s="7" t="str">
        <f t="shared" si="115"/>
        <v>CLK_DETM_DETIS_LSDS</v>
      </c>
      <c r="I915" s="7" t="str">
        <f t="shared" si="116"/>
        <v>LSDS_RSN_CODE</v>
      </c>
      <c r="J915" s="7" t="str">
        <f t="shared" si="117"/>
        <v>VARCHAR</v>
      </c>
      <c r="K915" s="7" t="str">
        <f>TRIM(ETLMetadata!$G915)</f>
        <v>CHAR(3)</v>
      </c>
      <c r="L915" s="7" t="str">
        <f>TRIM(ETLMetadata!$I915)</f>
        <v/>
      </c>
      <c r="M915" s="7" t="str">
        <f t="shared" si="118"/>
        <v>NULLIF(TRIM(LSDS_RSN_CODE),'')</v>
      </c>
      <c r="N915" s="7" t="str">
        <f>TRIM(ETLMetadata!$J915)</f>
        <v/>
      </c>
      <c r="O915" s="8" t="str">
        <f>IF(TRIM(Classification!$G915)="","NOT CONFIDENTIAL",TRIM(Classification!$G915))</f>
        <v>NOT CONFIDENTIAL</v>
      </c>
      <c r="P915" s="7" t="str">
        <f t="shared" si="119"/>
        <v>Y</v>
      </c>
      <c r="Q915" s="7" t="s">
        <v>826</v>
      </c>
      <c r="R915" s="9">
        <v>2958465</v>
      </c>
      <c r="S915" s="7" t="s">
        <v>827</v>
      </c>
      <c r="T915" s="7" t="s">
        <v>828</v>
      </c>
      <c r="U915" s="7" t="str">
        <f t="shared" si="113"/>
        <v>CLK_DETM_DETIS_LSDS_V</v>
      </c>
      <c r="V915" s="7" t="s">
        <v>829</v>
      </c>
    </row>
    <row r="916" spans="1:22">
      <c r="A916" s="7" t="str">
        <f>TRIM(ETLMetadata!$B916)</f>
        <v>CLK</v>
      </c>
      <c r="B916" s="7" t="str">
        <f>TRIM(ETLMetadata!$C916)</f>
        <v>DETM_DETIS_LSDS</v>
      </c>
      <c r="C916" s="7" t="str">
        <f>TRIM(ETLMetadata!$F916)</f>
        <v>PARTY_ROLE_ID</v>
      </c>
      <c r="D916" s="7" t="str">
        <f>TRIM(ETLMetadata!$H916)</f>
        <v>StringType()</v>
      </c>
      <c r="E916" s="7" t="str">
        <f t="shared" si="112"/>
        <v>CLK_DETM_DETIS_LSDS</v>
      </c>
      <c r="F916" s="7" t="str">
        <f t="shared" si="114"/>
        <v>PARTY_ROLE_ID</v>
      </c>
      <c r="G916" s="7" t="s">
        <v>825</v>
      </c>
      <c r="H916" s="7" t="str">
        <f t="shared" si="115"/>
        <v>CLK_DETM_DETIS_LSDS</v>
      </c>
      <c r="I916" s="7" t="str">
        <f t="shared" si="116"/>
        <v>PARTY_ROLE_ID</v>
      </c>
      <c r="J916" s="7" t="str">
        <f t="shared" si="117"/>
        <v>INTEGER</v>
      </c>
      <c r="K916" s="7" t="str">
        <f>TRIM(ETLMetadata!$G916)</f>
        <v>INTEGER</v>
      </c>
      <c r="L916" s="7" t="str">
        <f>TRIM(ETLMetadata!$I916)</f>
        <v/>
      </c>
      <c r="M916" s="7" t="str">
        <f t="shared" si="118"/>
        <v>CAST(NULLIF(TRIM(PARTY_ROLE_ID),'') AS INTEGER)</v>
      </c>
      <c r="N916" s="7" t="str">
        <f>TRIM(ETLMetadata!$J916)</f>
        <v/>
      </c>
      <c r="O916" s="8" t="str">
        <f>IF(TRIM(Classification!$G916)="","NOT CONFIDENTIAL",TRIM(Classification!$G916))</f>
        <v>NOT CONFIDENTIAL</v>
      </c>
      <c r="P916" s="7" t="str">
        <f t="shared" si="119"/>
        <v>Y</v>
      </c>
      <c r="Q916" s="7" t="s">
        <v>826</v>
      </c>
      <c r="R916" s="9">
        <v>2958465</v>
      </c>
      <c r="S916" s="7" t="s">
        <v>827</v>
      </c>
      <c r="T916" s="7" t="s">
        <v>828</v>
      </c>
      <c r="U916" s="7" t="str">
        <f t="shared" si="113"/>
        <v>CLK_DETM_DETIS_LSDS_V</v>
      </c>
      <c r="V916" s="7" t="s">
        <v>829</v>
      </c>
    </row>
    <row r="917" spans="1:22">
      <c r="A917" s="7" t="str">
        <f>TRIM(ETLMetadata!$B917)</f>
        <v>CLK</v>
      </c>
      <c r="B917" s="7" t="str">
        <f>TRIM(ETLMetadata!$C917)</f>
        <v>DETM_DETIS_LSDS</v>
      </c>
      <c r="C917" s="7" t="str">
        <f>TRIM(ETLMetadata!$F917)</f>
        <v>PAYMENT_TYPE_ID</v>
      </c>
      <c r="D917" s="7" t="str">
        <f>TRIM(ETLMetadata!$H917)</f>
        <v>StringType()</v>
      </c>
      <c r="E917" s="7" t="str">
        <f t="shared" si="112"/>
        <v>CLK_DETM_DETIS_LSDS</v>
      </c>
      <c r="F917" s="7" t="str">
        <f t="shared" si="114"/>
        <v>PAYMENT_TYPE_ID</v>
      </c>
      <c r="G917" s="7" t="s">
        <v>825</v>
      </c>
      <c r="H917" s="7" t="str">
        <f t="shared" si="115"/>
        <v>CLK_DETM_DETIS_LSDS</v>
      </c>
      <c r="I917" s="7" t="str">
        <f t="shared" si="116"/>
        <v>PAYMENT_TYPE_ID</v>
      </c>
      <c r="J917" s="7" t="str">
        <f t="shared" si="117"/>
        <v>INTEGER</v>
      </c>
      <c r="K917" s="7" t="str">
        <f>TRIM(ETLMetadata!$G917)</f>
        <v>INTEGER</v>
      </c>
      <c r="L917" s="7" t="str">
        <f>TRIM(ETLMetadata!$I917)</f>
        <v/>
      </c>
      <c r="M917" s="7" t="str">
        <f t="shared" si="118"/>
        <v>CAST(NULLIF(TRIM(PAYMENT_TYPE_ID),'') AS INTEGER)</v>
      </c>
      <c r="N917" s="7" t="str">
        <f>TRIM(ETLMetadata!$J917)</f>
        <v/>
      </c>
      <c r="O917" s="8" t="str">
        <f>IF(TRIM(Classification!$G917)="","NOT CONFIDENTIAL",TRIM(Classification!$G917))</f>
        <v>NOT CONFIDENTIAL</v>
      </c>
      <c r="P917" s="7" t="str">
        <f t="shared" si="119"/>
        <v>Y</v>
      </c>
      <c r="Q917" s="7" t="s">
        <v>826</v>
      </c>
      <c r="R917" s="9">
        <v>2958465</v>
      </c>
      <c r="S917" s="7" t="s">
        <v>827</v>
      </c>
      <c r="T917" s="7" t="s">
        <v>828</v>
      </c>
      <c r="U917" s="7" t="str">
        <f t="shared" si="113"/>
        <v>CLK_DETM_DETIS_LSDS_V</v>
      </c>
      <c r="V917" s="7" t="s">
        <v>829</v>
      </c>
    </row>
    <row r="918" spans="1:22">
      <c r="A918" s="7" t="str">
        <f>TRIM(ETLMetadata!$B918)</f>
        <v>CLK</v>
      </c>
      <c r="B918" s="7" t="str">
        <f>TRIM(ETLMetadata!$C918)</f>
        <v>DETM_DETIS_LSDS</v>
      </c>
      <c r="C918" s="7" t="str">
        <f>TRIM(ETLMetadata!$F918)</f>
        <v>AMR1_RISL_DTS</v>
      </c>
      <c r="D918" s="7" t="str">
        <f>TRIM(ETLMetadata!$H918)</f>
        <v>StringType()</v>
      </c>
      <c r="E918" s="7" t="str">
        <f t="shared" si="112"/>
        <v>CLK_DETM_DETIS_LSDS</v>
      </c>
      <c r="F918" s="7" t="str">
        <f t="shared" si="114"/>
        <v>AMR1_RISL_DTS</v>
      </c>
      <c r="G918" s="7" t="s">
        <v>825</v>
      </c>
      <c r="H918" s="7" t="str">
        <f t="shared" si="115"/>
        <v>CLK_DETM_DETIS_LSDS</v>
      </c>
      <c r="I918" s="7" t="str">
        <f t="shared" si="116"/>
        <v>AMR1_RISL_DTS</v>
      </c>
      <c r="J918" s="7" t="str">
        <f t="shared" si="117"/>
        <v>TIMESTAMP</v>
      </c>
      <c r="K918" s="7" t="str">
        <f>TRIM(ETLMetadata!$G918)</f>
        <v>TIMESTAMP(6)</v>
      </c>
      <c r="L918" s="7" t="str">
        <f>TRIM(ETLMetadata!$I918)</f>
        <v>YYYY-MM-DDBHH:MI:SS.S(6)</v>
      </c>
      <c r="M918" s="7" t="str">
        <f t="shared" si="118"/>
        <v>TO_TIMESTAMP_NTZ(NULLIF(TRIM(AMR1_RISL_DTS),''),'YYYY-MM-DD HH24:MI:SS.FF6')</v>
      </c>
      <c r="N918" s="7" t="str">
        <f>TRIM(ETLMetadata!$J918)</f>
        <v/>
      </c>
      <c r="O918" s="8" t="str">
        <f>IF(TRIM(Classification!$G918)="","NOT CONFIDENTIAL",TRIM(Classification!$G918))</f>
        <v>NOT CONFIDENTIAL</v>
      </c>
      <c r="P918" s="7" t="str">
        <f t="shared" si="119"/>
        <v>Y</v>
      </c>
      <c r="Q918" s="7" t="s">
        <v>826</v>
      </c>
      <c r="R918" s="9">
        <v>2958465</v>
      </c>
      <c r="S918" s="7" t="s">
        <v>827</v>
      </c>
      <c r="T918" s="7" t="s">
        <v>828</v>
      </c>
      <c r="U918" s="7" t="str">
        <f t="shared" si="113"/>
        <v>CLK_DETM_DETIS_LSDS_V</v>
      </c>
      <c r="V918" s="7" t="s">
        <v>829</v>
      </c>
    </row>
    <row r="919" spans="1:22">
      <c r="A919" s="7" t="str">
        <f>TRIM(ETLMetadata!$B919)</f>
        <v>CLK</v>
      </c>
      <c r="B919" s="7" t="str">
        <f>TRIM(ETLMetadata!$C919)</f>
        <v>DETM_DETIS_LSDS</v>
      </c>
      <c r="C919" s="7" t="str">
        <f>TRIM(ETLMetadata!$F919)</f>
        <v>AMR3_RISL_DTS</v>
      </c>
      <c r="D919" s="7" t="str">
        <f>TRIM(ETLMetadata!$H919)</f>
        <v>StringType()</v>
      </c>
      <c r="E919" s="7" t="str">
        <f t="shared" si="112"/>
        <v>CLK_DETM_DETIS_LSDS</v>
      </c>
      <c r="F919" s="7" t="str">
        <f t="shared" si="114"/>
        <v>AMR3_RISL_DTS</v>
      </c>
      <c r="G919" s="7" t="s">
        <v>825</v>
      </c>
      <c r="H919" s="7" t="str">
        <f t="shared" si="115"/>
        <v>CLK_DETM_DETIS_LSDS</v>
      </c>
      <c r="I919" s="7" t="str">
        <f t="shared" si="116"/>
        <v>AMR3_RISL_DTS</v>
      </c>
      <c r="J919" s="7" t="str">
        <f t="shared" si="117"/>
        <v>TIMESTAMP</v>
      </c>
      <c r="K919" s="7" t="str">
        <f>TRIM(ETLMetadata!$G919)</f>
        <v>TIMESTAMP(6)</v>
      </c>
      <c r="L919" s="7" t="str">
        <f>TRIM(ETLMetadata!$I919)</f>
        <v>YYYY-MM-DDBHH:MI:SS.S(6)</v>
      </c>
      <c r="M919" s="7" t="str">
        <f t="shared" si="118"/>
        <v>TO_TIMESTAMP_NTZ(NULLIF(TRIM(AMR3_RISL_DTS),''),'YYYY-MM-DD HH24:MI:SS.FF6')</v>
      </c>
      <c r="N919" s="7" t="str">
        <f>TRIM(ETLMetadata!$J919)</f>
        <v/>
      </c>
      <c r="O919" s="8" t="str">
        <f>IF(TRIM(Classification!$G919)="","NOT CONFIDENTIAL",TRIM(Classification!$G919))</f>
        <v>NOT CONFIDENTIAL</v>
      </c>
      <c r="P919" s="7" t="str">
        <f t="shared" si="119"/>
        <v>Y</v>
      </c>
      <c r="Q919" s="7" t="s">
        <v>826</v>
      </c>
      <c r="R919" s="9">
        <v>2958465</v>
      </c>
      <c r="S919" s="7" t="s">
        <v>827</v>
      </c>
      <c r="T919" s="7" t="s">
        <v>828</v>
      </c>
      <c r="U919" s="7" t="str">
        <f t="shared" si="113"/>
        <v>CLK_DETM_DETIS_LSDS_V</v>
      </c>
      <c r="V919" s="7" t="s">
        <v>829</v>
      </c>
    </row>
    <row r="920" spans="1:22">
      <c r="A920" s="7" t="str">
        <f>TRIM(ETLMetadata!$B920)</f>
        <v>CLK</v>
      </c>
      <c r="B920" s="7" t="str">
        <f>TRIM(ETLMetadata!$C920)</f>
        <v>DETM_DETIS_LSDS</v>
      </c>
      <c r="C920" s="7" t="str">
        <f>TRIM(ETLMetadata!$F920)</f>
        <v>ERROR_COUNT</v>
      </c>
      <c r="D920" s="7" t="str">
        <f>TRIM(ETLMetadata!$H920)</f>
        <v>StringType()</v>
      </c>
      <c r="E920" s="7" t="str">
        <f t="shared" si="112"/>
        <v>CLK_DETM_DETIS_LSDS</v>
      </c>
      <c r="F920" s="7" t="str">
        <f t="shared" si="114"/>
        <v>ERROR_COUNT</v>
      </c>
      <c r="G920" s="7" t="s">
        <v>825</v>
      </c>
      <c r="H920" s="7" t="str">
        <f t="shared" si="115"/>
        <v>CLK_DETM_DETIS_LSDS</v>
      </c>
      <c r="I920" s="7" t="str">
        <f t="shared" si="116"/>
        <v>ERROR_COUNT</v>
      </c>
      <c r="J920" s="7" t="str">
        <f t="shared" si="117"/>
        <v>SMALLINT</v>
      </c>
      <c r="K920" s="7" t="str">
        <f>TRIM(ETLMetadata!$G920)</f>
        <v>SMALLINT</v>
      </c>
      <c r="L920" s="7" t="str">
        <f>TRIM(ETLMetadata!$I920)</f>
        <v/>
      </c>
      <c r="M920" s="7" t="str">
        <f t="shared" si="118"/>
        <v>CAST(NULLIF(TRIM(ERROR_COUNT),'') AS SMALLINT)</v>
      </c>
      <c r="N920" s="7" t="str">
        <f>TRIM(ETLMetadata!$J920)</f>
        <v/>
      </c>
      <c r="O920" s="8" t="str">
        <f>IF(TRIM(Classification!$G920)="","NOT CONFIDENTIAL",TRIM(Classification!$G920))</f>
        <v>NOT CONFIDENTIAL</v>
      </c>
      <c r="P920" s="7" t="str">
        <f t="shared" si="119"/>
        <v>Y</v>
      </c>
      <c r="Q920" s="7" t="s">
        <v>826</v>
      </c>
      <c r="R920" s="9">
        <v>2958465</v>
      </c>
      <c r="S920" s="7" t="s">
        <v>827</v>
      </c>
      <c r="T920" s="7" t="s">
        <v>828</v>
      </c>
      <c r="U920" s="7" t="str">
        <f t="shared" si="113"/>
        <v>CLK_DETM_DETIS_LSDS_V</v>
      </c>
      <c r="V920" s="7" t="s">
        <v>829</v>
      </c>
    </row>
    <row r="921" spans="1:22">
      <c r="A921" s="7" t="str">
        <f>TRIM(ETLMetadata!$B921)</f>
        <v>CLK</v>
      </c>
      <c r="B921" s="7" t="str">
        <f>TRIM(ETLMetadata!$C921)</f>
        <v>DETM_DETIS_LSDS</v>
      </c>
      <c r="C921" s="7" t="str">
        <f>TRIM(ETLMetadata!$F921)</f>
        <v>Start_Date</v>
      </c>
      <c r="D921" s="7" t="str">
        <f>TRIM(ETLMetadata!$H921)</f>
        <v>StringType()</v>
      </c>
      <c r="E921" s="7" t="str">
        <f t="shared" si="112"/>
        <v>CLK_DETM_DETIS_LSDS</v>
      </c>
      <c r="F921" s="7" t="str">
        <f t="shared" si="114"/>
        <v>STRT_DT</v>
      </c>
      <c r="G921" s="7" t="s">
        <v>825</v>
      </c>
      <c r="H921" s="7" t="str">
        <f t="shared" si="115"/>
        <v>CLK_DETM_DETIS_LSDS</v>
      </c>
      <c r="I921" s="7" t="str">
        <f t="shared" si="116"/>
        <v>STRT_DT</v>
      </c>
      <c r="J921" s="7" t="str">
        <f t="shared" si="117"/>
        <v>DATE</v>
      </c>
      <c r="K921" s="7" t="str">
        <f>TRIM(ETLMetadata!$G921)</f>
        <v>DATE</v>
      </c>
      <c r="L921" s="7" t="str">
        <f>TRIM(ETLMetadata!$I921)</f>
        <v>YYYY-MM-DD</v>
      </c>
      <c r="M921" s="7" t="str">
        <f t="shared" si="118"/>
        <v>TO_DATE(NULLIF(TRIM(STRT_DT),'') , 'YYYY-MM-DD')</v>
      </c>
      <c r="N921" s="7" t="str">
        <f>TRIM(ETLMetadata!$J921)</f>
        <v/>
      </c>
      <c r="O921" s="8" t="str">
        <f>IF(TRIM(Classification!$G921)="","NOT CONFIDENTIAL",TRIM(Classification!$G921))</f>
        <v>NOT CONFIDENTIAL</v>
      </c>
      <c r="P921" s="7" t="str">
        <f t="shared" si="119"/>
        <v>N</v>
      </c>
      <c r="Q921" s="7" t="s">
        <v>826</v>
      </c>
      <c r="R921" s="9">
        <v>2958465</v>
      </c>
      <c r="S921" s="7" t="s">
        <v>827</v>
      </c>
      <c r="T921" s="7" t="s">
        <v>828</v>
      </c>
      <c r="U921" s="7" t="str">
        <f t="shared" si="113"/>
        <v>CLK_DETM_DETIS_LSDS_V</v>
      </c>
      <c r="V921" s="7" t="s">
        <v>829</v>
      </c>
    </row>
    <row r="922" spans="1:22">
      <c r="A922" s="7" t="str">
        <f>TRIM(ETLMetadata!$B922)</f>
        <v>CLK</v>
      </c>
      <c r="B922" s="7" t="str">
        <f>TRIM(ETLMetadata!$C922)</f>
        <v>DETM_DETIS_LSDS</v>
      </c>
      <c r="C922" s="7" t="str">
        <f>TRIM(ETLMetadata!$F922)</f>
        <v>End_Date</v>
      </c>
      <c r="D922" s="7" t="str">
        <f>TRIM(ETLMetadata!$H922)</f>
        <v>StringType()</v>
      </c>
      <c r="E922" s="7" t="str">
        <f t="shared" si="112"/>
        <v>CLK_DETM_DETIS_LSDS</v>
      </c>
      <c r="F922" s="7" t="str">
        <f t="shared" si="114"/>
        <v>END_DT</v>
      </c>
      <c r="G922" s="7" t="s">
        <v>825</v>
      </c>
      <c r="H922" s="7" t="str">
        <f t="shared" si="115"/>
        <v>CLK_DETM_DETIS_LSDS</v>
      </c>
      <c r="I922" s="7" t="str">
        <f t="shared" si="116"/>
        <v>END_DT</v>
      </c>
      <c r="J922" s="7" t="str">
        <f t="shared" si="117"/>
        <v>DATE</v>
      </c>
      <c r="K922" s="7" t="str">
        <f>TRIM(ETLMetadata!$G922)</f>
        <v>DATE</v>
      </c>
      <c r="L922" s="7" t="str">
        <f>TRIM(ETLMetadata!$I922)</f>
        <v>YYYY-MM-DD</v>
      </c>
      <c r="M922" s="7" t="str">
        <f t="shared" si="118"/>
        <v>TO_DATE(NULLIF(TRIM(END_DT),'') , 'YYYY-MM-DD')</v>
      </c>
      <c r="N922" s="7" t="str">
        <f>TRIM(ETLMetadata!$J922)</f>
        <v/>
      </c>
      <c r="O922" s="8" t="str">
        <f>IF(TRIM(Classification!$G922)="","NOT CONFIDENTIAL",TRIM(Classification!$G922))</f>
        <v>NOT CONFIDENTIAL</v>
      </c>
      <c r="P922" s="7" t="str">
        <f t="shared" si="119"/>
        <v>N</v>
      </c>
      <c r="Q922" s="7" t="s">
        <v>826</v>
      </c>
      <c r="R922" s="9">
        <v>2958465</v>
      </c>
      <c r="S922" s="7" t="s">
        <v>827</v>
      </c>
      <c r="T922" s="7" t="s">
        <v>828</v>
      </c>
      <c r="U922" s="7" t="str">
        <f t="shared" si="113"/>
        <v>CLK_DETM_DETIS_LSDS_V</v>
      </c>
      <c r="V922" s="7" t="s">
        <v>829</v>
      </c>
    </row>
    <row r="923" spans="1:22">
      <c r="A923" s="7" t="str">
        <f>TRIM(ETLMetadata!$B923)</f>
        <v>CLK</v>
      </c>
      <c r="B923" s="7" t="str">
        <f>TRIM(ETLMetadata!$C923)</f>
        <v>DETM_DETIS_LSDS</v>
      </c>
      <c r="C923" s="7" t="str">
        <f>TRIM(ETLMetadata!$F923)</f>
        <v>Record_Deleted_Flag</v>
      </c>
      <c r="D923" s="7" t="str">
        <f>TRIM(ETLMetadata!$H923)</f>
        <v>StringType()</v>
      </c>
      <c r="E923" s="7" t="str">
        <f t="shared" si="112"/>
        <v>CLK_DETM_DETIS_LSDS</v>
      </c>
      <c r="F923" s="7" t="str">
        <f t="shared" si="114"/>
        <v>RCRD_DEL_IND</v>
      </c>
      <c r="G923" s="7" t="s">
        <v>825</v>
      </c>
      <c r="H923" s="7" t="str">
        <f t="shared" si="115"/>
        <v>CLK_DETM_DETIS_LSDS</v>
      </c>
      <c r="I923" s="7" t="str">
        <f t="shared" si="116"/>
        <v>RCRD_DEL_IND</v>
      </c>
      <c r="J923" s="7" t="str">
        <f t="shared" si="117"/>
        <v>SMALLINT</v>
      </c>
      <c r="K923" s="7" t="str">
        <f>TRIM(ETLMetadata!$G923)</f>
        <v>BYTEINT</v>
      </c>
      <c r="L923" s="7" t="str">
        <f>TRIM(ETLMetadata!$I923)</f>
        <v/>
      </c>
      <c r="M923" s="7" t="str">
        <f t="shared" si="118"/>
        <v>CAST(NULLIF(TRIM(RCRD_DEL_IND),'') AS SMALLINT)</v>
      </c>
      <c r="N923" s="7" t="str">
        <f>TRIM(ETLMetadata!$J923)</f>
        <v/>
      </c>
      <c r="O923" s="8" t="str">
        <f>IF(TRIM(Classification!$G923)="","NOT CONFIDENTIAL",TRIM(Classification!$G923))</f>
        <v>NOT CONFIDENTIAL</v>
      </c>
      <c r="P923" s="7" t="str">
        <f t="shared" si="119"/>
        <v>N</v>
      </c>
      <c r="Q923" s="7" t="s">
        <v>826</v>
      </c>
      <c r="R923" s="9">
        <v>2958465</v>
      </c>
      <c r="S923" s="7" t="s">
        <v>827</v>
      </c>
      <c r="T923" s="7" t="s">
        <v>828</v>
      </c>
      <c r="U923" s="7" t="str">
        <f t="shared" si="113"/>
        <v>CLK_DETM_DETIS_LSDS_V</v>
      </c>
      <c r="V923" s="7" t="s">
        <v>829</v>
      </c>
    </row>
    <row r="924" spans="1:22">
      <c r="A924" s="7" t="str">
        <f>TRIM(ETLMetadata!$B924)</f>
        <v>CLK</v>
      </c>
      <c r="B924" s="7" t="str">
        <f>TRIM(ETLMetadata!$C924)</f>
        <v>DETM_DETIS_M9DS</v>
      </c>
      <c r="C924" s="7" t="str">
        <f>TRIM(ETLMetadata!$F924)</f>
        <v>EXTRACT_DATE</v>
      </c>
      <c r="D924" s="7" t="str">
        <f>TRIM(ETLMetadata!$H924)</f>
        <v>StringType()</v>
      </c>
      <c r="E924" s="7" t="str">
        <f t="shared" si="112"/>
        <v>CLK_DETM_DETIS_M9DS</v>
      </c>
      <c r="F924" s="7" t="str">
        <f t="shared" si="114"/>
        <v>EXTRACT_DATE</v>
      </c>
      <c r="G924" s="7" t="s">
        <v>825</v>
      </c>
      <c r="H924" s="7" t="str">
        <f t="shared" si="115"/>
        <v>CLK_DETM_DETIS_M9DS</v>
      </c>
      <c r="I924" s="7" t="str">
        <f t="shared" si="116"/>
        <v>EXTRACT_DATE</v>
      </c>
      <c r="J924" s="7" t="str">
        <f t="shared" si="117"/>
        <v>DATE</v>
      </c>
      <c r="K924" s="7" t="str">
        <f>TRIM(ETLMetadata!$G924)</f>
        <v>DATE</v>
      </c>
      <c r="L924" s="7" t="str">
        <f>TRIM(ETLMetadata!$I924)</f>
        <v>YYYY-MM-DD</v>
      </c>
      <c r="M924" s="7" t="str">
        <f t="shared" si="118"/>
        <v>TO_DATE(NULLIF(TRIM(EXTRACT_DATE),'') , 'YYYY-MM-DD')</v>
      </c>
      <c r="N924" s="7" t="str">
        <f>TRIM(ETLMetadata!$J924)</f>
        <v/>
      </c>
      <c r="O924" s="8" t="str">
        <f>IF(TRIM(Classification!$G924)="","NOT CONFIDENTIAL",TRIM(Classification!$G924))</f>
        <v>NOT CONFIDENTIAL</v>
      </c>
      <c r="P924" s="7" t="str">
        <f t="shared" si="119"/>
        <v>Y</v>
      </c>
      <c r="Q924" s="7" t="s">
        <v>826</v>
      </c>
      <c r="R924" s="9">
        <v>2958465</v>
      </c>
      <c r="S924" s="7" t="s">
        <v>827</v>
      </c>
      <c r="T924" s="7" t="s">
        <v>828</v>
      </c>
      <c r="U924" s="7" t="str">
        <f t="shared" si="113"/>
        <v>CLK_DETM_DETIS_M9DS_V</v>
      </c>
      <c r="V924" s="7" t="s">
        <v>829</v>
      </c>
    </row>
    <row r="925" spans="1:22">
      <c r="A925" s="7" t="str">
        <f>TRIM(ETLMetadata!$B925)</f>
        <v>CLK</v>
      </c>
      <c r="B925" s="7" t="str">
        <f>TRIM(ETLMetadata!$C925)</f>
        <v>DETM_DETIS_M9DS</v>
      </c>
      <c r="C925" s="7" t="str">
        <f>TRIM(ETLMetadata!$F925)</f>
        <v>LOGICAL_DELETE_DATE</v>
      </c>
      <c r="D925" s="7" t="str">
        <f>TRIM(ETLMetadata!$H925)</f>
        <v>StringType()</v>
      </c>
      <c r="E925" s="7" t="str">
        <f t="shared" si="112"/>
        <v>CLK_DETM_DETIS_M9DS</v>
      </c>
      <c r="F925" s="7" t="str">
        <f t="shared" si="114"/>
        <v>LOGICAL_DELETE_DATE</v>
      </c>
      <c r="G925" s="7" t="s">
        <v>825</v>
      </c>
      <c r="H925" s="7" t="str">
        <f t="shared" si="115"/>
        <v>CLK_DETM_DETIS_M9DS</v>
      </c>
      <c r="I925" s="7" t="str">
        <f t="shared" si="116"/>
        <v>LOGICAL_DELETE_DATE</v>
      </c>
      <c r="J925" s="7" t="str">
        <f t="shared" si="117"/>
        <v>DATE</v>
      </c>
      <c r="K925" s="7" t="str">
        <f>TRIM(ETLMetadata!$G925)</f>
        <v>DATE</v>
      </c>
      <c r="L925" s="7" t="str">
        <f>TRIM(ETLMetadata!$I925)</f>
        <v>YYYY-MM-DD</v>
      </c>
      <c r="M925" s="7" t="str">
        <f t="shared" si="118"/>
        <v>TO_DATE(NULLIF(TRIM(LOGICAL_DELETE_DATE),'') , 'YYYY-MM-DD')</v>
      </c>
      <c r="N925" s="7" t="str">
        <f>TRIM(ETLMetadata!$J925)</f>
        <v/>
      </c>
      <c r="O925" s="8" t="str">
        <f>IF(TRIM(Classification!$G925)="","NOT CONFIDENTIAL",TRIM(Classification!$G925))</f>
        <v>NOT CONFIDENTIAL</v>
      </c>
      <c r="P925" s="7" t="str">
        <f t="shared" si="119"/>
        <v>Y</v>
      </c>
      <c r="Q925" s="7" t="s">
        <v>826</v>
      </c>
      <c r="R925" s="9">
        <v>2958465</v>
      </c>
      <c r="S925" s="7" t="s">
        <v>827</v>
      </c>
      <c r="T925" s="7" t="s">
        <v>828</v>
      </c>
      <c r="U925" s="7" t="str">
        <f t="shared" si="113"/>
        <v>CLK_DETM_DETIS_M9DS_V</v>
      </c>
      <c r="V925" s="7" t="s">
        <v>829</v>
      </c>
    </row>
    <row r="926" spans="1:22">
      <c r="A926" s="7" t="str">
        <f>TRIM(ETLMetadata!$B926)</f>
        <v>CLK</v>
      </c>
      <c r="B926" s="7" t="str">
        <f>TRIM(ETLMetadata!$C926)</f>
        <v>DETM_DETIS_M9DS</v>
      </c>
      <c r="C926" s="7" t="str">
        <f>TRIM(ETLMetadata!$F926)</f>
        <v>ENVIRONMENT_ID</v>
      </c>
      <c r="D926" s="7" t="str">
        <f>TRIM(ETLMetadata!$H926)</f>
        <v>StringType()</v>
      </c>
      <c r="E926" s="7" t="str">
        <f t="shared" si="112"/>
        <v>CLK_DETM_DETIS_M9DS</v>
      </c>
      <c r="F926" s="7" t="str">
        <f t="shared" si="114"/>
        <v>ENVIRONMENT_ID</v>
      </c>
      <c r="G926" s="7" t="s">
        <v>825</v>
      </c>
      <c r="H926" s="7" t="str">
        <f t="shared" si="115"/>
        <v>CLK_DETM_DETIS_M9DS</v>
      </c>
      <c r="I926" s="7" t="str">
        <f t="shared" si="116"/>
        <v>ENVIRONMENT_ID</v>
      </c>
      <c r="J926" s="7" t="str">
        <f t="shared" si="117"/>
        <v>VARCHAR</v>
      </c>
      <c r="K926" s="7" t="str">
        <f>TRIM(ETLMetadata!$G926)</f>
        <v>CHAR(1)</v>
      </c>
      <c r="L926" s="7" t="str">
        <f>TRIM(ETLMetadata!$I926)</f>
        <v/>
      </c>
      <c r="M926" s="7" t="str">
        <f t="shared" si="118"/>
        <v>NULLIF(TRIM(ENVIRONMENT_ID),'')</v>
      </c>
      <c r="N926" s="7" t="str">
        <f>TRIM(ETLMetadata!$J926)</f>
        <v>Y</v>
      </c>
      <c r="O926" s="8" t="str">
        <f>IF(TRIM(Classification!$G926)="","NOT CONFIDENTIAL",TRIM(Classification!$G926))</f>
        <v>NOT CONFIDENTIAL</v>
      </c>
      <c r="P926" s="7" t="str">
        <f t="shared" si="119"/>
        <v>Y</v>
      </c>
      <c r="Q926" s="7" t="s">
        <v>826</v>
      </c>
      <c r="R926" s="9">
        <v>2958465</v>
      </c>
      <c r="S926" s="7" t="s">
        <v>827</v>
      </c>
      <c r="T926" s="7" t="s">
        <v>828</v>
      </c>
      <c r="U926" s="7" t="str">
        <f t="shared" si="113"/>
        <v>CLK_DETM_DETIS_M9DS_V</v>
      </c>
      <c r="V926" s="7" t="s">
        <v>829</v>
      </c>
    </row>
    <row r="927" spans="1:22">
      <c r="A927" s="7" t="str">
        <f>TRIM(ETLMetadata!$B927)</f>
        <v>CLK</v>
      </c>
      <c r="B927" s="7" t="str">
        <f>TRIM(ETLMetadata!$C927)</f>
        <v>DETM_DETIS_M9DS</v>
      </c>
      <c r="C927" s="7" t="str">
        <f>TRIM(ETLMetadata!$F927)</f>
        <v>PERSON_ID</v>
      </c>
      <c r="D927" s="7" t="str">
        <f>TRIM(ETLMetadata!$H927)</f>
        <v>StringType()</v>
      </c>
      <c r="E927" s="7" t="str">
        <f t="shared" ref="E927:E990" si="120">CONCATENATE($A927,"_",B927)</f>
        <v>CLK_DETM_DETIS_M9DS</v>
      </c>
      <c r="F927" s="7" t="str">
        <f t="shared" si="114"/>
        <v>PERSON_ID</v>
      </c>
      <c r="G927" s="7" t="s">
        <v>825</v>
      </c>
      <c r="H927" s="7" t="str">
        <f t="shared" si="115"/>
        <v>CLK_DETM_DETIS_M9DS</v>
      </c>
      <c r="I927" s="7" t="str">
        <f t="shared" si="116"/>
        <v>PERSON_ID</v>
      </c>
      <c r="J927" s="7" t="str">
        <f t="shared" si="117"/>
        <v>INTEGER</v>
      </c>
      <c r="K927" s="7" t="str">
        <f>TRIM(ETLMetadata!$G927)</f>
        <v>INTEGER</v>
      </c>
      <c r="L927" s="7" t="str">
        <f>TRIM(ETLMetadata!$I927)</f>
        <v/>
      </c>
      <c r="M927" s="7" t="str">
        <f t="shared" si="118"/>
        <v>CAST(NULLIF(TRIM(PERSON_ID),'') AS INTEGER)</v>
      </c>
      <c r="N927" s="7" t="str">
        <f>TRIM(ETLMetadata!$J927)</f>
        <v>Y</v>
      </c>
      <c r="O927" s="8" t="str">
        <f>IF(TRIM(Classification!$G927)="","NOT CONFIDENTIAL",TRIM(Classification!$G927))</f>
        <v>PERSONAL_IDENTITYINFOINDIRECT</v>
      </c>
      <c r="P927" s="7" t="str">
        <f t="shared" si="119"/>
        <v>Y</v>
      </c>
      <c r="Q927" s="7" t="s">
        <v>826</v>
      </c>
      <c r="R927" s="9">
        <v>2958465</v>
      </c>
      <c r="S927" s="7" t="s">
        <v>827</v>
      </c>
      <c r="T927" s="7" t="s">
        <v>828</v>
      </c>
      <c r="U927" s="7" t="str">
        <f t="shared" ref="U927:U990" si="121">CONCATENATE(A927,"_",B927,"_V")</f>
        <v>CLK_DETM_DETIS_M9DS_V</v>
      </c>
      <c r="V927" s="7" t="s">
        <v>829</v>
      </c>
    </row>
    <row r="928" spans="1:22">
      <c r="A928" s="7" t="str">
        <f>TRIM(ETLMetadata!$B928)</f>
        <v>CLK</v>
      </c>
      <c r="B928" s="7" t="str">
        <f>TRIM(ETLMetadata!$C928)</f>
        <v>DETM_DETIS_M9DS</v>
      </c>
      <c r="C928" s="7" t="str">
        <f>TRIM(ETLMetadata!$F928)</f>
        <v>M9DS_DOE</v>
      </c>
      <c r="D928" s="7" t="str">
        <f>TRIM(ETLMetadata!$H928)</f>
        <v>StringType()</v>
      </c>
      <c r="E928" s="7" t="str">
        <f t="shared" si="120"/>
        <v>CLK_DETM_DETIS_M9DS</v>
      </c>
      <c r="F928" s="7" t="str">
        <f t="shared" si="114"/>
        <v>M9DS_DOE</v>
      </c>
      <c r="G928" s="7" t="s">
        <v>825</v>
      </c>
      <c r="H928" s="7" t="str">
        <f t="shared" si="115"/>
        <v>CLK_DETM_DETIS_M9DS</v>
      </c>
      <c r="I928" s="7" t="str">
        <f t="shared" si="116"/>
        <v>M9DS_DOE</v>
      </c>
      <c r="J928" s="7" t="str">
        <f t="shared" si="117"/>
        <v>DATE</v>
      </c>
      <c r="K928" s="17" t="s">
        <v>80</v>
      </c>
      <c r="L928" s="7" t="str">
        <f>TRIM(ETLMetadata!$I928)</f>
        <v>YYYY-MM-DD</v>
      </c>
      <c r="M928" s="7" t="str">
        <f t="shared" si="118"/>
        <v>TO_DATE(NULLIF(TRIM(M9DS_DOE),'') , 'YYYY-MM-DD')</v>
      </c>
      <c r="N928" s="7" t="str">
        <f>TRIM(ETLMetadata!$J928)</f>
        <v/>
      </c>
      <c r="O928" s="8" t="str">
        <f>IF(TRIM(Classification!$G928)="","NOT CONFIDENTIAL",TRIM(Classification!$G928))</f>
        <v>NOT CONFIDENTIAL</v>
      </c>
      <c r="P928" s="7" t="str">
        <f t="shared" si="119"/>
        <v>Y</v>
      </c>
      <c r="Q928" s="7" t="s">
        <v>826</v>
      </c>
      <c r="R928" s="9">
        <v>2958465</v>
      </c>
      <c r="S928" s="7" t="s">
        <v>827</v>
      </c>
      <c r="T928" s="7" t="s">
        <v>828</v>
      </c>
      <c r="U928" s="7" t="str">
        <f t="shared" si="121"/>
        <v>CLK_DETM_DETIS_M9DS_V</v>
      </c>
      <c r="V928" s="7" t="s">
        <v>829</v>
      </c>
    </row>
    <row r="929" spans="1:22">
      <c r="A929" s="7" t="str">
        <f>TRIM(ETLMetadata!$B929)</f>
        <v>CLK</v>
      </c>
      <c r="B929" s="7" t="str">
        <f>TRIM(ETLMetadata!$C929)</f>
        <v>DETM_DETIS_M9DS</v>
      </c>
      <c r="C929" s="7" t="str">
        <f>TRIM(ETLMetadata!$F929)</f>
        <v>M9DS_DOE_ORIG</v>
      </c>
      <c r="D929" s="7" t="str">
        <f>TRIM(ETLMetadata!$H929)</f>
        <v>StringType()</v>
      </c>
      <c r="E929" s="7" t="str">
        <f t="shared" si="120"/>
        <v>CLK_DETM_DETIS_M9DS</v>
      </c>
      <c r="F929" s="7" t="str">
        <f t="shared" si="114"/>
        <v>M9DS_DOE_ORIG</v>
      </c>
      <c r="G929" s="7" t="s">
        <v>825</v>
      </c>
      <c r="H929" s="7" t="str">
        <f t="shared" si="115"/>
        <v>CLK_DETM_DETIS_M9DS</v>
      </c>
      <c r="I929" s="7" t="str">
        <f t="shared" si="116"/>
        <v>M9DS_DOE_ORIG</v>
      </c>
      <c r="J929" s="7" t="str">
        <f t="shared" si="117"/>
        <v>INTEGER</v>
      </c>
      <c r="K929" s="17" t="s">
        <v>90</v>
      </c>
      <c r="L929" s="7" t="str">
        <f>TRIM(ETLMetadata!$I929)</f>
        <v/>
      </c>
      <c r="M929" s="7" t="str">
        <f t="shared" si="118"/>
        <v>CAST(NULLIF(TRIM(M9DS_DOE_ORIG),'') AS INTEGER)</v>
      </c>
      <c r="N929" s="7" t="str">
        <f>TRIM(ETLMetadata!$J929)</f>
        <v/>
      </c>
      <c r="O929" s="8" t="str">
        <f>IF(TRIM(Classification!$G929)="","NOT CONFIDENTIAL",TRIM(Classification!$G929))</f>
        <v>NOT CONFIDENTIAL</v>
      </c>
      <c r="P929" s="7" t="str">
        <f t="shared" si="119"/>
        <v>Y</v>
      </c>
      <c r="Q929" s="7" t="s">
        <v>826</v>
      </c>
      <c r="R929" s="9">
        <v>2958465</v>
      </c>
      <c r="S929" s="7" t="s">
        <v>827</v>
      </c>
      <c r="T929" s="7" t="s">
        <v>828</v>
      </c>
      <c r="U929" s="7" t="str">
        <f t="shared" si="121"/>
        <v>CLK_DETM_DETIS_M9DS_V</v>
      </c>
      <c r="V929" s="7" t="s">
        <v>829</v>
      </c>
    </row>
    <row r="930" spans="1:22">
      <c r="A930" s="7" t="str">
        <f>TRIM(ETLMetadata!$B930)</f>
        <v>CLK</v>
      </c>
      <c r="B930" s="7" t="str">
        <f>TRIM(ETLMetadata!$C930)</f>
        <v>DETM_DETIS_M9DS</v>
      </c>
      <c r="C930" s="7" t="str">
        <f>TRIM(ETLMetadata!$F930)</f>
        <v>PROCESSING_SEQUENCE</v>
      </c>
      <c r="D930" s="7" t="str">
        <f>TRIM(ETLMetadata!$H930)</f>
        <v>StringType()</v>
      </c>
      <c r="E930" s="7" t="str">
        <f t="shared" si="120"/>
        <v>CLK_DETM_DETIS_M9DS</v>
      </c>
      <c r="F930" s="7" t="str">
        <f t="shared" si="114"/>
        <v>PROCESSING_SEQUENCE</v>
      </c>
      <c r="G930" s="7" t="s">
        <v>825</v>
      </c>
      <c r="H930" s="7" t="str">
        <f t="shared" si="115"/>
        <v>CLK_DETM_DETIS_M9DS</v>
      </c>
      <c r="I930" s="7" t="str">
        <f t="shared" si="116"/>
        <v>PROCESSING_SEQUENCE</v>
      </c>
      <c r="J930" s="7" t="str">
        <f t="shared" si="117"/>
        <v>SMALLINT</v>
      </c>
      <c r="K930" s="7" t="str">
        <f>TRIM(ETLMetadata!$G930)</f>
        <v>SMALLINT</v>
      </c>
      <c r="L930" s="7" t="str">
        <f>TRIM(ETLMetadata!$I930)</f>
        <v/>
      </c>
      <c r="M930" s="7" t="str">
        <f t="shared" si="118"/>
        <v>CAST(NULLIF(TRIM(PROCESSING_SEQUENCE),'') AS SMALLINT)</v>
      </c>
      <c r="N930" s="7" t="str">
        <f>TRIM(ETLMetadata!$J930)</f>
        <v>Y</v>
      </c>
      <c r="O930" s="8" t="str">
        <f>IF(TRIM(Classification!$G930)="","NOT CONFIDENTIAL",TRIM(Classification!$G930))</f>
        <v>NOT CONFIDENTIAL</v>
      </c>
      <c r="P930" s="7" t="str">
        <f t="shared" si="119"/>
        <v>Y</v>
      </c>
      <c r="Q930" s="7" t="s">
        <v>826</v>
      </c>
      <c r="R930" s="9">
        <v>2958465</v>
      </c>
      <c r="S930" s="7" t="s">
        <v>827</v>
      </c>
      <c r="T930" s="7" t="s">
        <v>828</v>
      </c>
      <c r="U930" s="7" t="str">
        <f t="shared" si="121"/>
        <v>CLK_DETM_DETIS_M9DS_V</v>
      </c>
      <c r="V930" s="7" t="s">
        <v>829</v>
      </c>
    </row>
    <row r="931" spans="1:22">
      <c r="A931" s="7" t="str">
        <f>TRIM(ETLMetadata!$B931)</f>
        <v>CLK</v>
      </c>
      <c r="B931" s="7" t="str">
        <f>TRIM(ETLMetadata!$C931)</f>
        <v>DETM_DETIS_M9DS</v>
      </c>
      <c r="C931" s="7" t="str">
        <f>TRIM(ETLMetadata!$F931)</f>
        <v>M9DS_AMR_1</v>
      </c>
      <c r="D931" s="7" t="str">
        <f>TRIM(ETLMetadata!$H931)</f>
        <v>StringType()</v>
      </c>
      <c r="E931" s="7" t="str">
        <f t="shared" si="120"/>
        <v>CLK_DETM_DETIS_M9DS</v>
      </c>
      <c r="F931" s="7" t="str">
        <f t="shared" si="114"/>
        <v>M9DS_AMR_1</v>
      </c>
      <c r="G931" s="7" t="s">
        <v>825</v>
      </c>
      <c r="H931" s="7" t="str">
        <f t="shared" si="115"/>
        <v>CLK_DETM_DETIS_M9DS</v>
      </c>
      <c r="I931" s="7" t="str">
        <f t="shared" si="116"/>
        <v>M9DS_AMR_1</v>
      </c>
      <c r="J931" s="7" t="str">
        <f t="shared" si="117"/>
        <v>VARCHAR</v>
      </c>
      <c r="K931" s="7" t="str">
        <f>TRIM(ETLMetadata!$G931)</f>
        <v>CHAR(4)</v>
      </c>
      <c r="L931" s="7" t="str">
        <f>TRIM(ETLMetadata!$I931)</f>
        <v/>
      </c>
      <c r="M931" s="7" t="str">
        <f t="shared" si="118"/>
        <v>NULLIF(TRIM(M9DS_AMR_1),'')</v>
      </c>
      <c r="N931" s="7" t="str">
        <f>TRIM(ETLMetadata!$J931)</f>
        <v/>
      </c>
      <c r="O931" s="8" t="str">
        <f>IF(TRIM(Classification!$G931)="","NOT CONFIDENTIAL",TRIM(Classification!$G931))</f>
        <v>NOT CONFIDENTIAL</v>
      </c>
      <c r="P931" s="7" t="str">
        <f t="shared" si="119"/>
        <v>Y</v>
      </c>
      <c r="Q931" s="7" t="s">
        <v>826</v>
      </c>
      <c r="R931" s="9">
        <v>2958465</v>
      </c>
      <c r="S931" s="7" t="s">
        <v>827</v>
      </c>
      <c r="T931" s="7" t="s">
        <v>828</v>
      </c>
      <c r="U931" s="7" t="str">
        <f t="shared" si="121"/>
        <v>CLK_DETM_DETIS_M9DS_V</v>
      </c>
      <c r="V931" s="7" t="s">
        <v>829</v>
      </c>
    </row>
    <row r="932" spans="1:22">
      <c r="A932" s="7" t="str">
        <f>TRIM(ETLMetadata!$B932)</f>
        <v>CLK</v>
      </c>
      <c r="B932" s="7" t="str">
        <f>TRIM(ETLMetadata!$C932)</f>
        <v>DETM_DETIS_M9DS</v>
      </c>
      <c r="C932" s="7" t="str">
        <f>TRIM(ETLMetadata!$F932)</f>
        <v>M9DS_AMR_2</v>
      </c>
      <c r="D932" s="7" t="str">
        <f>TRIM(ETLMetadata!$H932)</f>
        <v>StringType()</v>
      </c>
      <c r="E932" s="7" t="str">
        <f t="shared" si="120"/>
        <v>CLK_DETM_DETIS_M9DS</v>
      </c>
      <c r="F932" s="7" t="str">
        <f t="shared" si="114"/>
        <v>M9DS_AMR_2</v>
      </c>
      <c r="G932" s="7" t="s">
        <v>825</v>
      </c>
      <c r="H932" s="7" t="str">
        <f t="shared" si="115"/>
        <v>CLK_DETM_DETIS_M9DS</v>
      </c>
      <c r="I932" s="7" t="str">
        <f t="shared" si="116"/>
        <v>M9DS_AMR_2</v>
      </c>
      <c r="J932" s="7" t="str">
        <f t="shared" si="117"/>
        <v>VARCHAR</v>
      </c>
      <c r="K932" s="7" t="str">
        <f>TRIM(ETLMetadata!$G932)</f>
        <v>CHAR(1)</v>
      </c>
      <c r="L932" s="7" t="str">
        <f>TRIM(ETLMetadata!$I932)</f>
        <v/>
      </c>
      <c r="M932" s="7" t="str">
        <f t="shared" si="118"/>
        <v>NULLIF(TRIM(M9DS_AMR_2),'')</v>
      </c>
      <c r="N932" s="7" t="str">
        <f>TRIM(ETLMetadata!$J932)</f>
        <v/>
      </c>
      <c r="O932" s="8" t="str">
        <f>IF(TRIM(Classification!$G932)="","NOT CONFIDENTIAL",TRIM(Classification!$G932))</f>
        <v>NOT CONFIDENTIAL</v>
      </c>
      <c r="P932" s="7" t="str">
        <f t="shared" si="119"/>
        <v>Y</v>
      </c>
      <c r="Q932" s="7" t="s">
        <v>826</v>
      </c>
      <c r="R932" s="9">
        <v>2958465</v>
      </c>
      <c r="S932" s="7" t="s">
        <v>827</v>
      </c>
      <c r="T932" s="7" t="s">
        <v>828</v>
      </c>
      <c r="U932" s="7" t="str">
        <f t="shared" si="121"/>
        <v>CLK_DETM_DETIS_M9DS_V</v>
      </c>
      <c r="V932" s="7" t="s">
        <v>829</v>
      </c>
    </row>
    <row r="933" spans="1:22">
      <c r="A933" s="7" t="str">
        <f>TRIM(ETLMetadata!$B933)</f>
        <v>CLK</v>
      </c>
      <c r="B933" s="7" t="str">
        <f>TRIM(ETLMetadata!$C933)</f>
        <v>DETM_DETIS_M9DS</v>
      </c>
      <c r="C933" s="7" t="str">
        <f>TRIM(ETLMetadata!$F933)</f>
        <v>M9DS_AMR_3</v>
      </c>
      <c r="D933" s="7" t="str">
        <f>TRIM(ETLMetadata!$H933)</f>
        <v>StringType()</v>
      </c>
      <c r="E933" s="7" t="str">
        <f t="shared" si="120"/>
        <v>CLK_DETM_DETIS_M9DS</v>
      </c>
      <c r="F933" s="7" t="str">
        <f t="shared" si="114"/>
        <v>M9DS_AMR_3</v>
      </c>
      <c r="G933" s="7" t="s">
        <v>825</v>
      </c>
      <c r="H933" s="7" t="str">
        <f t="shared" si="115"/>
        <v>CLK_DETM_DETIS_M9DS</v>
      </c>
      <c r="I933" s="7" t="str">
        <f t="shared" si="116"/>
        <v>M9DS_AMR_3</v>
      </c>
      <c r="J933" s="7" t="str">
        <f t="shared" si="117"/>
        <v>VARCHAR</v>
      </c>
      <c r="K933" s="7" t="str">
        <f>TRIM(ETLMetadata!$G933)</f>
        <v>CHAR(4)</v>
      </c>
      <c r="L933" s="7" t="str">
        <f>TRIM(ETLMetadata!$I933)</f>
        <v/>
      </c>
      <c r="M933" s="7" t="str">
        <f t="shared" si="118"/>
        <v>NULLIF(TRIM(M9DS_AMR_3),'')</v>
      </c>
      <c r="N933" s="7" t="str">
        <f>TRIM(ETLMetadata!$J933)</f>
        <v/>
      </c>
      <c r="O933" s="8" t="str">
        <f>IF(TRIM(Classification!$G933)="","NOT CONFIDENTIAL",TRIM(Classification!$G933))</f>
        <v>NOT CONFIDENTIAL</v>
      </c>
      <c r="P933" s="7" t="str">
        <f t="shared" si="119"/>
        <v>Y</v>
      </c>
      <c r="Q933" s="7" t="s">
        <v>826</v>
      </c>
      <c r="R933" s="9">
        <v>2958465</v>
      </c>
      <c r="S933" s="7" t="s">
        <v>827</v>
      </c>
      <c r="T933" s="7" t="s">
        <v>828</v>
      </c>
      <c r="U933" s="7" t="str">
        <f t="shared" si="121"/>
        <v>CLK_DETM_DETIS_M9DS_V</v>
      </c>
      <c r="V933" s="7" t="s">
        <v>829</v>
      </c>
    </row>
    <row r="934" spans="1:22">
      <c r="A934" s="7" t="str">
        <f>TRIM(ETLMetadata!$B934)</f>
        <v>CLK</v>
      </c>
      <c r="B934" s="7" t="str">
        <f>TRIM(ETLMetadata!$C934)</f>
        <v>DETM_DETIS_M9DS</v>
      </c>
      <c r="C934" s="7" t="str">
        <f>TRIM(ETLMetadata!$F934)</f>
        <v>M9DS_BEN_TYPE_CODE</v>
      </c>
      <c r="D934" s="7" t="str">
        <f>TRIM(ETLMetadata!$H934)</f>
        <v>StringType()</v>
      </c>
      <c r="E934" s="7" t="str">
        <f t="shared" si="120"/>
        <v>CLK_DETM_DETIS_M9DS</v>
      </c>
      <c r="F934" s="7" t="str">
        <f t="shared" si="114"/>
        <v>M9DS_BEN_TYPE_CODE</v>
      </c>
      <c r="G934" s="7" t="s">
        <v>825</v>
      </c>
      <c r="H934" s="7" t="str">
        <f t="shared" si="115"/>
        <v>CLK_DETM_DETIS_M9DS</v>
      </c>
      <c r="I934" s="7" t="str">
        <f t="shared" si="116"/>
        <v>M9DS_BEN_TYPE_CODE</v>
      </c>
      <c r="J934" s="7" t="str">
        <f t="shared" si="117"/>
        <v>VARCHAR</v>
      </c>
      <c r="K934" s="7" t="str">
        <f>TRIM(ETLMetadata!$G934)</f>
        <v>CHAR(3)</v>
      </c>
      <c r="L934" s="7" t="str">
        <f>TRIM(ETLMetadata!$I934)</f>
        <v/>
      </c>
      <c r="M934" s="7" t="str">
        <f t="shared" si="118"/>
        <v>NULLIF(TRIM(M9DS_BEN_TYPE_CODE),'')</v>
      </c>
      <c r="N934" s="7" t="str">
        <f>TRIM(ETLMetadata!$J934)</f>
        <v/>
      </c>
      <c r="O934" s="8" t="str">
        <f>IF(TRIM(Classification!$G934)="","NOT CONFIDENTIAL",TRIM(Classification!$G934))</f>
        <v>NOT CONFIDENTIAL</v>
      </c>
      <c r="P934" s="7" t="str">
        <f t="shared" si="119"/>
        <v>Y</v>
      </c>
      <c r="Q934" s="7" t="s">
        <v>826</v>
      </c>
      <c r="R934" s="9">
        <v>2958465</v>
      </c>
      <c r="S934" s="7" t="s">
        <v>827</v>
      </c>
      <c r="T934" s="7" t="s">
        <v>828</v>
      </c>
      <c r="U934" s="7" t="str">
        <f t="shared" si="121"/>
        <v>CLK_DETM_DETIS_M9DS_V</v>
      </c>
      <c r="V934" s="7" t="s">
        <v>829</v>
      </c>
    </row>
    <row r="935" spans="1:22">
      <c r="A935" s="7" t="str">
        <f>TRIM(ETLMetadata!$B935)</f>
        <v>CLK</v>
      </c>
      <c r="B935" s="7" t="str">
        <f>TRIM(ETLMetadata!$C935)</f>
        <v>DETM_DETIS_M9DS</v>
      </c>
      <c r="C935" s="7" t="str">
        <f>TRIM(ETLMetadata!$F935)</f>
        <v>M9DS_STS_CODE</v>
      </c>
      <c r="D935" s="7" t="str">
        <f>TRIM(ETLMetadata!$H935)</f>
        <v>StringType()</v>
      </c>
      <c r="E935" s="7" t="str">
        <f t="shared" si="120"/>
        <v>CLK_DETM_DETIS_M9DS</v>
      </c>
      <c r="F935" s="7" t="str">
        <f t="shared" si="114"/>
        <v>M9DS_STS_CODE</v>
      </c>
      <c r="G935" s="7" t="s">
        <v>825</v>
      </c>
      <c r="H935" s="7" t="str">
        <f t="shared" si="115"/>
        <v>CLK_DETM_DETIS_M9DS</v>
      </c>
      <c r="I935" s="7" t="str">
        <f t="shared" si="116"/>
        <v>M9DS_STS_CODE</v>
      </c>
      <c r="J935" s="7" t="str">
        <f t="shared" si="117"/>
        <v>VARCHAR</v>
      </c>
      <c r="K935" s="7" t="str">
        <f>TRIM(ETLMetadata!$G935)</f>
        <v>CHAR(3)</v>
      </c>
      <c r="L935" s="7" t="str">
        <f>TRIM(ETLMetadata!$I935)</f>
        <v/>
      </c>
      <c r="M935" s="7" t="str">
        <f t="shared" si="118"/>
        <v>NULLIF(TRIM(M9DS_STS_CODE),'')</v>
      </c>
      <c r="N935" s="7" t="str">
        <f>TRIM(ETLMetadata!$J935)</f>
        <v/>
      </c>
      <c r="O935" s="8" t="str">
        <f>IF(TRIM(Classification!$G935)="","NOT CONFIDENTIAL",TRIM(Classification!$G935))</f>
        <v>NOT CONFIDENTIAL</v>
      </c>
      <c r="P935" s="7" t="str">
        <f t="shared" si="119"/>
        <v>Y</v>
      </c>
      <c r="Q935" s="7" t="s">
        <v>826</v>
      </c>
      <c r="R935" s="9">
        <v>2958465</v>
      </c>
      <c r="S935" s="7" t="s">
        <v>827</v>
      </c>
      <c r="T935" s="7" t="s">
        <v>828</v>
      </c>
      <c r="U935" s="7" t="str">
        <f t="shared" si="121"/>
        <v>CLK_DETM_DETIS_M9DS_V</v>
      </c>
      <c r="V935" s="7" t="s">
        <v>829</v>
      </c>
    </row>
    <row r="936" spans="1:22">
      <c r="A936" s="7" t="str">
        <f>TRIM(ETLMetadata!$B936)</f>
        <v>CLK</v>
      </c>
      <c r="B936" s="7" t="str">
        <f>TRIM(ETLMetadata!$C936)</f>
        <v>DETM_DETIS_M9DS</v>
      </c>
      <c r="C936" s="7" t="str">
        <f>TRIM(ETLMetadata!$F936)</f>
        <v>M9DS_RSN_CODE</v>
      </c>
      <c r="D936" s="7" t="str">
        <f>TRIM(ETLMetadata!$H936)</f>
        <v>StringType()</v>
      </c>
      <c r="E936" s="7" t="str">
        <f t="shared" si="120"/>
        <v>CLK_DETM_DETIS_M9DS</v>
      </c>
      <c r="F936" s="7" t="str">
        <f t="shared" si="114"/>
        <v>M9DS_RSN_CODE</v>
      </c>
      <c r="G936" s="7" t="s">
        <v>825</v>
      </c>
      <c r="H936" s="7" t="str">
        <f t="shared" si="115"/>
        <v>CLK_DETM_DETIS_M9DS</v>
      </c>
      <c r="I936" s="7" t="str">
        <f t="shared" si="116"/>
        <v>M9DS_RSN_CODE</v>
      </c>
      <c r="J936" s="7" t="str">
        <f t="shared" si="117"/>
        <v>VARCHAR</v>
      </c>
      <c r="K936" s="7" t="str">
        <f>TRIM(ETLMetadata!$G936)</f>
        <v>CHAR(3)</v>
      </c>
      <c r="L936" s="7" t="str">
        <f>TRIM(ETLMetadata!$I936)</f>
        <v/>
      </c>
      <c r="M936" s="7" t="str">
        <f t="shared" si="118"/>
        <v>NULLIF(TRIM(M9DS_RSN_CODE),'')</v>
      </c>
      <c r="N936" s="7" t="str">
        <f>TRIM(ETLMetadata!$J936)</f>
        <v/>
      </c>
      <c r="O936" s="8" t="str">
        <f>IF(TRIM(Classification!$G936)="","NOT CONFIDENTIAL",TRIM(Classification!$G936))</f>
        <v>NOT CONFIDENTIAL</v>
      </c>
      <c r="P936" s="7" t="str">
        <f t="shared" si="119"/>
        <v>Y</v>
      </c>
      <c r="Q936" s="7" t="s">
        <v>826</v>
      </c>
      <c r="R936" s="9">
        <v>2958465</v>
      </c>
      <c r="S936" s="7" t="s">
        <v>827</v>
      </c>
      <c r="T936" s="7" t="s">
        <v>828</v>
      </c>
      <c r="U936" s="7" t="str">
        <f t="shared" si="121"/>
        <v>CLK_DETM_DETIS_M9DS_V</v>
      </c>
      <c r="V936" s="7" t="s">
        <v>829</v>
      </c>
    </row>
    <row r="937" spans="1:22">
      <c r="A937" s="7" t="str">
        <f>TRIM(ETLMetadata!$B937)</f>
        <v>CLK</v>
      </c>
      <c r="B937" s="7" t="str">
        <f>TRIM(ETLMetadata!$C937)</f>
        <v>DETM_DETIS_M9DS</v>
      </c>
      <c r="C937" s="7" t="str">
        <f>TRIM(ETLMetadata!$F937)</f>
        <v>M9DS_UNIQ_ID</v>
      </c>
      <c r="D937" s="7" t="str">
        <f>TRIM(ETLMetadata!$H937)</f>
        <v>StringType()</v>
      </c>
      <c r="E937" s="7" t="str">
        <f t="shared" si="120"/>
        <v>CLK_DETM_DETIS_M9DS</v>
      </c>
      <c r="F937" s="7" t="str">
        <f t="shared" si="114"/>
        <v>M9DS_UNIQ_ID</v>
      </c>
      <c r="G937" s="7" t="s">
        <v>825</v>
      </c>
      <c r="H937" s="7" t="str">
        <f t="shared" si="115"/>
        <v>CLK_DETM_DETIS_M9DS</v>
      </c>
      <c r="I937" s="7" t="str">
        <f t="shared" si="116"/>
        <v>M9DS_UNIQ_ID</v>
      </c>
      <c r="J937" s="7" t="str">
        <f t="shared" si="117"/>
        <v>VARCHAR</v>
      </c>
      <c r="K937" s="7" t="str">
        <f>TRIM(ETLMetadata!$G937)</f>
        <v>VARCHAR(8)</v>
      </c>
      <c r="L937" s="7" t="str">
        <f>TRIM(ETLMetadata!$I937)</f>
        <v/>
      </c>
      <c r="M937" s="7" t="str">
        <f t="shared" si="118"/>
        <v>NULLIF(TRIM(M9DS_UNIQ_ID),'')</v>
      </c>
      <c r="N937" s="7" t="str">
        <f>TRIM(ETLMetadata!$J937)</f>
        <v/>
      </c>
      <c r="O937" s="8" t="str">
        <f>IF(TRIM(Classification!$G937)="","NOT CONFIDENTIAL",TRIM(Classification!$G937))</f>
        <v>NOT CONFIDENTIAL</v>
      </c>
      <c r="P937" s="7" t="str">
        <f t="shared" si="119"/>
        <v>Y</v>
      </c>
      <c r="Q937" s="7" t="s">
        <v>826</v>
      </c>
      <c r="R937" s="9">
        <v>2958465</v>
      </c>
      <c r="S937" s="7" t="s">
        <v>827</v>
      </c>
      <c r="T937" s="7" t="s">
        <v>828</v>
      </c>
      <c r="U937" s="7" t="str">
        <f t="shared" si="121"/>
        <v>CLK_DETM_DETIS_M9DS_V</v>
      </c>
      <c r="V937" s="7" t="s">
        <v>829</v>
      </c>
    </row>
    <row r="938" spans="1:22">
      <c r="A938" s="7" t="str">
        <f>TRIM(ETLMetadata!$B938)</f>
        <v>CLK</v>
      </c>
      <c r="B938" s="7" t="str">
        <f>TRIM(ETLMetadata!$C938)</f>
        <v>DETM_DETIS_M9DS</v>
      </c>
      <c r="C938" s="7" t="str">
        <f>TRIM(ETLMetadata!$F938)</f>
        <v>AMR1_RISL_DTS</v>
      </c>
      <c r="D938" s="7" t="str">
        <f>TRIM(ETLMetadata!$H938)</f>
        <v>StringType()</v>
      </c>
      <c r="E938" s="7" t="str">
        <f t="shared" si="120"/>
        <v>CLK_DETM_DETIS_M9DS</v>
      </c>
      <c r="F938" s="7" t="str">
        <f t="shared" si="114"/>
        <v>AMR1_RISL_DTS</v>
      </c>
      <c r="G938" s="7" t="s">
        <v>825</v>
      </c>
      <c r="H938" s="7" t="str">
        <f t="shared" si="115"/>
        <v>CLK_DETM_DETIS_M9DS</v>
      </c>
      <c r="I938" s="7" t="str">
        <f t="shared" si="116"/>
        <v>AMR1_RISL_DTS</v>
      </c>
      <c r="J938" s="7" t="str">
        <f t="shared" si="117"/>
        <v>TIMESTAMP</v>
      </c>
      <c r="K938" s="7" t="str">
        <f>TRIM(ETLMetadata!$G938)</f>
        <v>TIMESTAMP(6)</v>
      </c>
      <c r="L938" s="7" t="str">
        <f>TRIM(ETLMetadata!$I938)</f>
        <v>YYYY-MM-DDBHH:MI:SS.S(6)</v>
      </c>
      <c r="M938" s="7" t="str">
        <f t="shared" si="118"/>
        <v>TO_TIMESTAMP_NTZ(NULLIF(TRIM(AMR1_RISL_DTS),''),'YYYY-MM-DD HH24:MI:SS.FF6')</v>
      </c>
      <c r="N938" s="7" t="str">
        <f>TRIM(ETLMetadata!$J938)</f>
        <v/>
      </c>
      <c r="O938" s="8" t="str">
        <f>IF(TRIM(Classification!$G938)="","NOT CONFIDENTIAL",TRIM(Classification!$G938))</f>
        <v>NOT CONFIDENTIAL</v>
      </c>
      <c r="P938" s="7" t="str">
        <f t="shared" si="119"/>
        <v>Y</v>
      </c>
      <c r="Q938" s="7" t="s">
        <v>826</v>
      </c>
      <c r="R938" s="9">
        <v>2958465</v>
      </c>
      <c r="S938" s="7" t="s">
        <v>827</v>
      </c>
      <c r="T938" s="7" t="s">
        <v>828</v>
      </c>
      <c r="U938" s="7" t="str">
        <f t="shared" si="121"/>
        <v>CLK_DETM_DETIS_M9DS_V</v>
      </c>
      <c r="V938" s="7" t="s">
        <v>829</v>
      </c>
    </row>
    <row r="939" spans="1:22">
      <c r="A939" s="7" t="str">
        <f>TRIM(ETLMetadata!$B939)</f>
        <v>CLK</v>
      </c>
      <c r="B939" s="7" t="str">
        <f>TRIM(ETLMetadata!$C939)</f>
        <v>DETM_DETIS_M9DS</v>
      </c>
      <c r="C939" s="7" t="str">
        <f>TRIM(ETLMetadata!$F939)</f>
        <v>AMR3_RISL_DTS</v>
      </c>
      <c r="D939" s="7" t="str">
        <f>TRIM(ETLMetadata!$H939)</f>
        <v>StringType()</v>
      </c>
      <c r="E939" s="7" t="str">
        <f t="shared" si="120"/>
        <v>CLK_DETM_DETIS_M9DS</v>
      </c>
      <c r="F939" s="7" t="str">
        <f t="shared" si="114"/>
        <v>AMR3_RISL_DTS</v>
      </c>
      <c r="G939" s="7" t="s">
        <v>825</v>
      </c>
      <c r="H939" s="7" t="str">
        <f t="shared" si="115"/>
        <v>CLK_DETM_DETIS_M9DS</v>
      </c>
      <c r="I939" s="7" t="str">
        <f t="shared" si="116"/>
        <v>AMR3_RISL_DTS</v>
      </c>
      <c r="J939" s="7" t="str">
        <f t="shared" si="117"/>
        <v>TIMESTAMP</v>
      </c>
      <c r="K939" s="7" t="str">
        <f>TRIM(ETLMetadata!$G939)</f>
        <v>TIMESTAMP(6)</v>
      </c>
      <c r="L939" s="7" t="str">
        <f>TRIM(ETLMetadata!$I939)</f>
        <v>YYYY-MM-DDBHH:MI:SS.S(6)</v>
      </c>
      <c r="M939" s="7" t="str">
        <f t="shared" si="118"/>
        <v>TO_TIMESTAMP_NTZ(NULLIF(TRIM(AMR3_RISL_DTS),''),'YYYY-MM-DD HH24:MI:SS.FF6')</v>
      </c>
      <c r="N939" s="7" t="str">
        <f>TRIM(ETLMetadata!$J939)</f>
        <v/>
      </c>
      <c r="O939" s="8" t="str">
        <f>IF(TRIM(Classification!$G939)="","NOT CONFIDENTIAL",TRIM(Classification!$G939))</f>
        <v>NOT CONFIDENTIAL</v>
      </c>
      <c r="P939" s="7" t="str">
        <f t="shared" si="119"/>
        <v>Y</v>
      </c>
      <c r="Q939" s="7" t="s">
        <v>826</v>
      </c>
      <c r="R939" s="9">
        <v>2958465</v>
      </c>
      <c r="S939" s="7" t="s">
        <v>827</v>
      </c>
      <c r="T939" s="7" t="s">
        <v>828</v>
      </c>
      <c r="U939" s="7" t="str">
        <f t="shared" si="121"/>
        <v>CLK_DETM_DETIS_M9DS_V</v>
      </c>
      <c r="V939" s="7" t="s">
        <v>829</v>
      </c>
    </row>
    <row r="940" spans="1:22">
      <c r="A940" s="7" t="str">
        <f>TRIM(ETLMetadata!$B940)</f>
        <v>CLK</v>
      </c>
      <c r="B940" s="7" t="str">
        <f>TRIM(ETLMetadata!$C940)</f>
        <v>DETM_DETIS_M9DS</v>
      </c>
      <c r="C940" s="7" t="str">
        <f>TRIM(ETLMetadata!$F940)</f>
        <v>EPISODE_ID</v>
      </c>
      <c r="D940" s="7" t="str">
        <f>TRIM(ETLMetadata!$H940)</f>
        <v>StringType()</v>
      </c>
      <c r="E940" s="7" t="str">
        <f t="shared" si="120"/>
        <v>CLK_DETM_DETIS_M9DS</v>
      </c>
      <c r="F940" s="7" t="str">
        <f t="shared" si="114"/>
        <v>EPISODE_ID</v>
      </c>
      <c r="G940" s="7" t="s">
        <v>825</v>
      </c>
      <c r="H940" s="7" t="str">
        <f t="shared" si="115"/>
        <v>CLK_DETM_DETIS_M9DS</v>
      </c>
      <c r="I940" s="7" t="str">
        <f t="shared" si="116"/>
        <v>EPISODE_ID</v>
      </c>
      <c r="J940" s="7" t="str">
        <f t="shared" si="117"/>
        <v>INTEGER</v>
      </c>
      <c r="K940" s="7" t="str">
        <f>TRIM(ETLMetadata!$G940)</f>
        <v>INTEGER</v>
      </c>
      <c r="L940" s="7" t="str">
        <f>TRIM(ETLMetadata!$I940)</f>
        <v/>
      </c>
      <c r="M940" s="7" t="str">
        <f t="shared" si="118"/>
        <v>CAST(NULLIF(TRIM(EPISODE_ID),'') AS INTEGER)</v>
      </c>
      <c r="N940" s="7" t="str">
        <f>TRIM(ETLMetadata!$J940)</f>
        <v/>
      </c>
      <c r="O940" s="8" t="str">
        <f>IF(TRIM(Classification!$G940)="","NOT CONFIDENTIAL",TRIM(Classification!$G940))</f>
        <v>NOT CONFIDENTIAL</v>
      </c>
      <c r="P940" s="7" t="str">
        <f t="shared" si="119"/>
        <v>Y</v>
      </c>
      <c r="Q940" s="7" t="s">
        <v>826</v>
      </c>
      <c r="R940" s="9">
        <v>2958465</v>
      </c>
      <c r="S940" s="7" t="s">
        <v>827</v>
      </c>
      <c r="T940" s="7" t="s">
        <v>828</v>
      </c>
      <c r="U940" s="7" t="str">
        <f t="shared" si="121"/>
        <v>CLK_DETM_DETIS_M9DS_V</v>
      </c>
      <c r="V940" s="7" t="s">
        <v>829</v>
      </c>
    </row>
    <row r="941" spans="1:22">
      <c r="A941" s="7" t="str">
        <f>TRIM(ETLMetadata!$B941)</f>
        <v>CLK</v>
      </c>
      <c r="B941" s="7" t="str">
        <f>TRIM(ETLMetadata!$C941)</f>
        <v>DETM_DETIS_M9DS</v>
      </c>
      <c r="C941" s="7" t="str">
        <f>TRIM(ETLMetadata!$F941)</f>
        <v>PARTY_ROLE_ID</v>
      </c>
      <c r="D941" s="7" t="str">
        <f>TRIM(ETLMetadata!$H941)</f>
        <v>StringType()</v>
      </c>
      <c r="E941" s="7" t="str">
        <f t="shared" si="120"/>
        <v>CLK_DETM_DETIS_M9DS</v>
      </c>
      <c r="F941" s="7" t="str">
        <f t="shared" si="114"/>
        <v>PARTY_ROLE_ID</v>
      </c>
      <c r="G941" s="7" t="s">
        <v>825</v>
      </c>
      <c r="H941" s="7" t="str">
        <f t="shared" si="115"/>
        <v>CLK_DETM_DETIS_M9DS</v>
      </c>
      <c r="I941" s="7" t="str">
        <f t="shared" si="116"/>
        <v>PARTY_ROLE_ID</v>
      </c>
      <c r="J941" s="7" t="str">
        <f t="shared" si="117"/>
        <v>INTEGER</v>
      </c>
      <c r="K941" s="7" t="str">
        <f>TRIM(ETLMetadata!$G941)</f>
        <v>INTEGER</v>
      </c>
      <c r="L941" s="7" t="str">
        <f>TRIM(ETLMetadata!$I941)</f>
        <v/>
      </c>
      <c r="M941" s="7" t="str">
        <f t="shared" si="118"/>
        <v>CAST(NULLIF(TRIM(PARTY_ROLE_ID),'') AS INTEGER)</v>
      </c>
      <c r="N941" s="7" t="str">
        <f>TRIM(ETLMetadata!$J941)</f>
        <v/>
      </c>
      <c r="O941" s="8" t="str">
        <f>IF(TRIM(Classification!$G941)="","NOT CONFIDENTIAL",TRIM(Classification!$G941))</f>
        <v>NOT CONFIDENTIAL</v>
      </c>
      <c r="P941" s="7" t="str">
        <f t="shared" si="119"/>
        <v>Y</v>
      </c>
      <c r="Q941" s="7" t="s">
        <v>826</v>
      </c>
      <c r="R941" s="9">
        <v>2958465</v>
      </c>
      <c r="S941" s="7" t="s">
        <v>827</v>
      </c>
      <c r="T941" s="7" t="s">
        <v>828</v>
      </c>
      <c r="U941" s="7" t="str">
        <f t="shared" si="121"/>
        <v>CLK_DETM_DETIS_M9DS_V</v>
      </c>
      <c r="V941" s="7" t="s">
        <v>829</v>
      </c>
    </row>
    <row r="942" spans="1:22">
      <c r="A942" s="7" t="str">
        <f>TRIM(ETLMetadata!$B942)</f>
        <v>CLK</v>
      </c>
      <c r="B942" s="7" t="str">
        <f>TRIM(ETLMetadata!$C942)</f>
        <v>DETM_DETIS_M9DS</v>
      </c>
      <c r="C942" s="7" t="str">
        <f>TRIM(ETLMetadata!$F942)</f>
        <v>PAYMENT_TYPE_ID</v>
      </c>
      <c r="D942" s="7" t="str">
        <f>TRIM(ETLMetadata!$H942)</f>
        <v>StringType()</v>
      </c>
      <c r="E942" s="7" t="str">
        <f t="shared" si="120"/>
        <v>CLK_DETM_DETIS_M9DS</v>
      </c>
      <c r="F942" s="7" t="str">
        <f t="shared" si="114"/>
        <v>PAYMENT_TYPE_ID</v>
      </c>
      <c r="G942" s="7" t="s">
        <v>825</v>
      </c>
      <c r="H942" s="7" t="str">
        <f t="shared" si="115"/>
        <v>CLK_DETM_DETIS_M9DS</v>
      </c>
      <c r="I942" s="7" t="str">
        <f t="shared" si="116"/>
        <v>PAYMENT_TYPE_ID</v>
      </c>
      <c r="J942" s="7" t="str">
        <f t="shared" si="117"/>
        <v>INTEGER</v>
      </c>
      <c r="K942" s="7" t="str">
        <f>TRIM(ETLMetadata!$G942)</f>
        <v>INTEGER</v>
      </c>
      <c r="L942" s="7" t="str">
        <f>TRIM(ETLMetadata!$I942)</f>
        <v/>
      </c>
      <c r="M942" s="7" t="str">
        <f t="shared" si="118"/>
        <v>CAST(NULLIF(TRIM(PAYMENT_TYPE_ID),'') AS INTEGER)</v>
      </c>
      <c r="N942" s="7" t="str">
        <f>TRIM(ETLMetadata!$J942)</f>
        <v/>
      </c>
      <c r="O942" s="8" t="str">
        <f>IF(TRIM(Classification!$G942)="","NOT CONFIDENTIAL",TRIM(Classification!$G942))</f>
        <v>NOT CONFIDENTIAL</v>
      </c>
      <c r="P942" s="7" t="str">
        <f t="shared" si="119"/>
        <v>Y</v>
      </c>
      <c r="Q942" s="7" t="s">
        <v>826</v>
      </c>
      <c r="R942" s="9">
        <v>2958465</v>
      </c>
      <c r="S942" s="7" t="s">
        <v>827</v>
      </c>
      <c r="T942" s="7" t="s">
        <v>828</v>
      </c>
      <c r="U942" s="7" t="str">
        <f t="shared" si="121"/>
        <v>CLK_DETM_DETIS_M9DS_V</v>
      </c>
      <c r="V942" s="7" t="s">
        <v>829</v>
      </c>
    </row>
    <row r="943" spans="1:22">
      <c r="A943" s="7" t="str">
        <f>TRIM(ETLMetadata!$B943)</f>
        <v>CLK</v>
      </c>
      <c r="B943" s="7" t="str">
        <f>TRIM(ETLMetadata!$C943)</f>
        <v>DETM_DETIS_M9DS</v>
      </c>
      <c r="C943" s="7" t="str">
        <f>TRIM(ETLMetadata!$F943)</f>
        <v>ERROR_COUNT</v>
      </c>
      <c r="D943" s="7" t="str">
        <f>TRIM(ETLMetadata!$H943)</f>
        <v>StringType()</v>
      </c>
      <c r="E943" s="7" t="str">
        <f t="shared" si="120"/>
        <v>CLK_DETM_DETIS_M9DS</v>
      </c>
      <c r="F943" s="7" t="str">
        <f t="shared" si="114"/>
        <v>ERROR_COUNT</v>
      </c>
      <c r="G943" s="7" t="s">
        <v>825</v>
      </c>
      <c r="H943" s="7" t="str">
        <f t="shared" si="115"/>
        <v>CLK_DETM_DETIS_M9DS</v>
      </c>
      <c r="I943" s="7" t="str">
        <f t="shared" si="116"/>
        <v>ERROR_COUNT</v>
      </c>
      <c r="J943" s="7" t="str">
        <f t="shared" si="117"/>
        <v>SMALLINT</v>
      </c>
      <c r="K943" s="7" t="str">
        <f>TRIM(ETLMetadata!$G943)</f>
        <v>SMALLINT</v>
      </c>
      <c r="L943" s="7" t="str">
        <f>TRIM(ETLMetadata!$I943)</f>
        <v/>
      </c>
      <c r="M943" s="7" t="str">
        <f t="shared" si="118"/>
        <v>CAST(NULLIF(TRIM(ERROR_COUNT),'') AS SMALLINT)</v>
      </c>
      <c r="N943" s="7" t="str">
        <f>TRIM(ETLMetadata!$J943)</f>
        <v/>
      </c>
      <c r="O943" s="8" t="str">
        <f>IF(TRIM(Classification!$G943)="","NOT CONFIDENTIAL",TRIM(Classification!$G943))</f>
        <v>NOT CONFIDENTIAL</v>
      </c>
      <c r="P943" s="7" t="str">
        <f t="shared" si="119"/>
        <v>Y</v>
      </c>
      <c r="Q943" s="7" t="s">
        <v>826</v>
      </c>
      <c r="R943" s="9">
        <v>2958465</v>
      </c>
      <c r="S943" s="7" t="s">
        <v>827</v>
      </c>
      <c r="T943" s="7" t="s">
        <v>828</v>
      </c>
      <c r="U943" s="7" t="str">
        <f t="shared" si="121"/>
        <v>CLK_DETM_DETIS_M9DS_V</v>
      </c>
      <c r="V943" s="7" t="s">
        <v>829</v>
      </c>
    </row>
    <row r="944" spans="1:22">
      <c r="A944" s="7" t="str">
        <f>TRIM(ETLMetadata!$B944)</f>
        <v>CLK</v>
      </c>
      <c r="B944" s="7" t="str">
        <f>TRIM(ETLMetadata!$C944)</f>
        <v>DETM_DETIS_M9DS</v>
      </c>
      <c r="C944" s="7" t="str">
        <f>TRIM(ETLMetadata!$F944)</f>
        <v>Start_Date</v>
      </c>
      <c r="D944" s="7" t="str">
        <f>TRIM(ETLMetadata!$H944)</f>
        <v>StringType()</v>
      </c>
      <c r="E944" s="7" t="str">
        <f t="shared" si="120"/>
        <v>CLK_DETM_DETIS_M9DS</v>
      </c>
      <c r="F944" s="7" t="str">
        <f t="shared" si="114"/>
        <v>STRT_DT</v>
      </c>
      <c r="G944" s="7" t="s">
        <v>825</v>
      </c>
      <c r="H944" s="7" t="str">
        <f t="shared" si="115"/>
        <v>CLK_DETM_DETIS_M9DS</v>
      </c>
      <c r="I944" s="7" t="str">
        <f t="shared" si="116"/>
        <v>STRT_DT</v>
      </c>
      <c r="J944" s="7" t="str">
        <f t="shared" si="117"/>
        <v>DATE</v>
      </c>
      <c r="K944" s="7" t="str">
        <f>TRIM(ETLMetadata!$G944)</f>
        <v>DATE</v>
      </c>
      <c r="L944" s="7" t="str">
        <f>TRIM(ETLMetadata!$I944)</f>
        <v>YYYY-MM-DD</v>
      </c>
      <c r="M944" s="7" t="str">
        <f t="shared" si="118"/>
        <v>TO_DATE(NULLIF(TRIM(STRT_DT),'') , 'YYYY-MM-DD')</v>
      </c>
      <c r="N944" s="7" t="str">
        <f>TRIM(ETLMetadata!$J944)</f>
        <v/>
      </c>
      <c r="O944" s="8" t="str">
        <f>IF(TRIM(Classification!$G944)="","NOT CONFIDENTIAL",TRIM(Classification!$G944))</f>
        <v>NOT CONFIDENTIAL</v>
      </c>
      <c r="P944" s="7" t="str">
        <f t="shared" si="119"/>
        <v>N</v>
      </c>
      <c r="Q944" s="7" t="s">
        <v>826</v>
      </c>
      <c r="R944" s="9">
        <v>2958465</v>
      </c>
      <c r="S944" s="7" t="s">
        <v>827</v>
      </c>
      <c r="T944" s="7" t="s">
        <v>828</v>
      </c>
      <c r="U944" s="7" t="str">
        <f t="shared" si="121"/>
        <v>CLK_DETM_DETIS_M9DS_V</v>
      </c>
      <c r="V944" s="7" t="s">
        <v>829</v>
      </c>
    </row>
    <row r="945" spans="1:22">
      <c r="A945" s="7" t="str">
        <f>TRIM(ETLMetadata!$B945)</f>
        <v>CLK</v>
      </c>
      <c r="B945" s="7" t="str">
        <f>TRIM(ETLMetadata!$C945)</f>
        <v>DETM_DETIS_M9DS</v>
      </c>
      <c r="C945" s="7" t="str">
        <f>TRIM(ETLMetadata!$F945)</f>
        <v>End_Date</v>
      </c>
      <c r="D945" s="7" t="str">
        <f>TRIM(ETLMetadata!$H945)</f>
        <v>StringType()</v>
      </c>
      <c r="E945" s="7" t="str">
        <f t="shared" si="120"/>
        <v>CLK_DETM_DETIS_M9DS</v>
      </c>
      <c r="F945" s="7" t="str">
        <f t="shared" si="114"/>
        <v>END_DT</v>
      </c>
      <c r="G945" s="7" t="s">
        <v>825</v>
      </c>
      <c r="H945" s="7" t="str">
        <f t="shared" si="115"/>
        <v>CLK_DETM_DETIS_M9DS</v>
      </c>
      <c r="I945" s="7" t="str">
        <f t="shared" si="116"/>
        <v>END_DT</v>
      </c>
      <c r="J945" s="7" t="str">
        <f t="shared" si="117"/>
        <v>DATE</v>
      </c>
      <c r="K945" s="7" t="str">
        <f>TRIM(ETLMetadata!$G945)</f>
        <v>DATE</v>
      </c>
      <c r="L945" s="7" t="str">
        <f>TRIM(ETLMetadata!$I945)</f>
        <v>YYYY-MM-DD</v>
      </c>
      <c r="M945" s="7" t="str">
        <f t="shared" si="118"/>
        <v>TO_DATE(NULLIF(TRIM(END_DT),'') , 'YYYY-MM-DD')</v>
      </c>
      <c r="N945" s="7" t="str">
        <f>TRIM(ETLMetadata!$J945)</f>
        <v/>
      </c>
      <c r="O945" s="8" t="str">
        <f>IF(TRIM(Classification!$G945)="","NOT CONFIDENTIAL",TRIM(Classification!$G945))</f>
        <v>NOT CONFIDENTIAL</v>
      </c>
      <c r="P945" s="7" t="str">
        <f t="shared" si="119"/>
        <v>N</v>
      </c>
      <c r="Q945" s="7" t="s">
        <v>826</v>
      </c>
      <c r="R945" s="9">
        <v>2958465</v>
      </c>
      <c r="S945" s="7" t="s">
        <v>827</v>
      </c>
      <c r="T945" s="7" t="s">
        <v>828</v>
      </c>
      <c r="U945" s="7" t="str">
        <f t="shared" si="121"/>
        <v>CLK_DETM_DETIS_M9DS_V</v>
      </c>
      <c r="V945" s="7" t="s">
        <v>829</v>
      </c>
    </row>
    <row r="946" spans="1:22">
      <c r="A946" s="7" t="str">
        <f>TRIM(ETLMetadata!$B946)</f>
        <v>CLK</v>
      </c>
      <c r="B946" s="7" t="str">
        <f>TRIM(ETLMetadata!$C946)</f>
        <v>DETM_DETIS_M9DS</v>
      </c>
      <c r="C946" s="7" t="str">
        <f>TRIM(ETLMetadata!$F946)</f>
        <v>Record_Deleted_Flag</v>
      </c>
      <c r="D946" s="7" t="str">
        <f>TRIM(ETLMetadata!$H946)</f>
        <v>StringType()</v>
      </c>
      <c r="E946" s="7" t="str">
        <f t="shared" si="120"/>
        <v>CLK_DETM_DETIS_M9DS</v>
      </c>
      <c r="F946" s="7" t="str">
        <f t="shared" si="114"/>
        <v>RCRD_DEL_IND</v>
      </c>
      <c r="G946" s="7" t="s">
        <v>825</v>
      </c>
      <c r="H946" s="7" t="str">
        <f t="shared" si="115"/>
        <v>CLK_DETM_DETIS_M9DS</v>
      </c>
      <c r="I946" s="7" t="str">
        <f t="shared" si="116"/>
        <v>RCRD_DEL_IND</v>
      </c>
      <c r="J946" s="7" t="str">
        <f t="shared" si="117"/>
        <v>SMALLINT</v>
      </c>
      <c r="K946" s="7" t="str">
        <f>TRIM(ETLMetadata!$G946)</f>
        <v>BYTEINT</v>
      </c>
      <c r="L946" s="7" t="str">
        <f>TRIM(ETLMetadata!$I946)</f>
        <v/>
      </c>
      <c r="M946" s="7" t="str">
        <f t="shared" si="118"/>
        <v>CAST(NULLIF(TRIM(RCRD_DEL_IND),'') AS SMALLINT)</v>
      </c>
      <c r="N946" s="7" t="str">
        <f>TRIM(ETLMetadata!$J946)</f>
        <v/>
      </c>
      <c r="O946" s="8" t="str">
        <f>IF(TRIM(Classification!$G946)="","NOT CONFIDENTIAL",TRIM(Classification!$G946))</f>
        <v>NOT CONFIDENTIAL</v>
      </c>
      <c r="P946" s="7" t="str">
        <f t="shared" si="119"/>
        <v>N</v>
      </c>
      <c r="Q946" s="7" t="s">
        <v>826</v>
      </c>
      <c r="R946" s="9">
        <v>2958465</v>
      </c>
      <c r="S946" s="7" t="s">
        <v>827</v>
      </c>
      <c r="T946" s="7" t="s">
        <v>828</v>
      </c>
      <c r="U946" s="7" t="str">
        <f t="shared" si="121"/>
        <v>CLK_DETM_DETIS_M9DS_V</v>
      </c>
      <c r="V946" s="7" t="s">
        <v>829</v>
      </c>
    </row>
    <row r="947" spans="1:22">
      <c r="A947" s="7" t="str">
        <f>TRIM(ETLMetadata!$B947)</f>
        <v>CLK</v>
      </c>
      <c r="B947" s="7" t="str">
        <f>TRIM(ETLMetadata!$C947)</f>
        <v>DETM_DETIS_MODS</v>
      </c>
      <c r="C947" s="7" t="str">
        <f>TRIM(ETLMetadata!$F947)</f>
        <v>EXTRACT_DATE</v>
      </c>
      <c r="D947" s="7" t="str">
        <f>TRIM(ETLMetadata!$H947)</f>
        <v>StringType()</v>
      </c>
      <c r="E947" s="7" t="str">
        <f t="shared" si="120"/>
        <v>CLK_DETM_DETIS_MODS</v>
      </c>
      <c r="F947" s="7" t="str">
        <f t="shared" si="114"/>
        <v>EXTRACT_DATE</v>
      </c>
      <c r="G947" s="7" t="s">
        <v>825</v>
      </c>
      <c r="H947" s="7" t="str">
        <f t="shared" si="115"/>
        <v>CLK_DETM_DETIS_MODS</v>
      </c>
      <c r="I947" s="7" t="str">
        <f t="shared" si="116"/>
        <v>EXTRACT_DATE</v>
      </c>
      <c r="J947" s="7" t="str">
        <f t="shared" si="117"/>
        <v>DATE</v>
      </c>
      <c r="K947" s="7" t="str">
        <f>TRIM(ETLMetadata!$G947)</f>
        <v>DATE</v>
      </c>
      <c r="L947" s="7" t="str">
        <f>TRIM(ETLMetadata!$I947)</f>
        <v>YYYY-MM-DD</v>
      </c>
      <c r="M947" s="7" t="str">
        <f t="shared" si="118"/>
        <v>TO_DATE(NULLIF(TRIM(EXTRACT_DATE),'') , 'YYYY-MM-DD')</v>
      </c>
      <c r="N947" s="7" t="str">
        <f>TRIM(ETLMetadata!$J947)</f>
        <v/>
      </c>
      <c r="O947" s="8" t="str">
        <f>IF(TRIM(Classification!$G947)="","NOT CONFIDENTIAL",TRIM(Classification!$G947))</f>
        <v>NOT CONFIDENTIAL</v>
      </c>
      <c r="P947" s="7" t="str">
        <f t="shared" si="119"/>
        <v>Y</v>
      </c>
      <c r="Q947" s="7" t="s">
        <v>826</v>
      </c>
      <c r="R947" s="9">
        <v>2958465</v>
      </c>
      <c r="S947" s="7" t="s">
        <v>827</v>
      </c>
      <c r="T947" s="7" t="s">
        <v>828</v>
      </c>
      <c r="U947" s="7" t="str">
        <f t="shared" si="121"/>
        <v>CLK_DETM_DETIS_MODS_V</v>
      </c>
      <c r="V947" s="7" t="s">
        <v>829</v>
      </c>
    </row>
    <row r="948" spans="1:22">
      <c r="A948" s="7" t="str">
        <f>TRIM(ETLMetadata!$B948)</f>
        <v>CLK</v>
      </c>
      <c r="B948" s="7" t="str">
        <f>TRIM(ETLMetadata!$C948)</f>
        <v>DETM_DETIS_MODS</v>
      </c>
      <c r="C948" s="7" t="str">
        <f>TRIM(ETLMetadata!$F948)</f>
        <v>LOGICAL_DELETE_DATE</v>
      </c>
      <c r="D948" s="7" t="str">
        <f>TRIM(ETLMetadata!$H948)</f>
        <v>StringType()</v>
      </c>
      <c r="E948" s="7" t="str">
        <f t="shared" si="120"/>
        <v>CLK_DETM_DETIS_MODS</v>
      </c>
      <c r="F948" s="7" t="str">
        <f t="shared" si="114"/>
        <v>LOGICAL_DELETE_DATE</v>
      </c>
      <c r="G948" s="7" t="s">
        <v>825</v>
      </c>
      <c r="H948" s="7" t="str">
        <f t="shared" si="115"/>
        <v>CLK_DETM_DETIS_MODS</v>
      </c>
      <c r="I948" s="7" t="str">
        <f t="shared" si="116"/>
        <v>LOGICAL_DELETE_DATE</v>
      </c>
      <c r="J948" s="7" t="str">
        <f t="shared" si="117"/>
        <v>DATE</v>
      </c>
      <c r="K948" s="7" t="str">
        <f>TRIM(ETLMetadata!$G948)</f>
        <v>DATE</v>
      </c>
      <c r="L948" s="7" t="str">
        <f>TRIM(ETLMetadata!$I948)</f>
        <v>YYYY-MM-DD</v>
      </c>
      <c r="M948" s="7" t="str">
        <f t="shared" si="118"/>
        <v>TO_DATE(NULLIF(TRIM(LOGICAL_DELETE_DATE),'') , 'YYYY-MM-DD')</v>
      </c>
      <c r="N948" s="7" t="str">
        <f>TRIM(ETLMetadata!$J948)</f>
        <v/>
      </c>
      <c r="O948" s="8" t="str">
        <f>IF(TRIM(Classification!$G948)="","NOT CONFIDENTIAL",TRIM(Classification!$G948))</f>
        <v>NOT CONFIDENTIAL</v>
      </c>
      <c r="P948" s="7" t="str">
        <f t="shared" si="119"/>
        <v>Y</v>
      </c>
      <c r="Q948" s="7" t="s">
        <v>826</v>
      </c>
      <c r="R948" s="9">
        <v>2958465</v>
      </c>
      <c r="S948" s="7" t="s">
        <v>827</v>
      </c>
      <c r="T948" s="7" t="s">
        <v>828</v>
      </c>
      <c r="U948" s="7" t="str">
        <f t="shared" si="121"/>
        <v>CLK_DETM_DETIS_MODS_V</v>
      </c>
      <c r="V948" s="7" t="s">
        <v>829</v>
      </c>
    </row>
    <row r="949" spans="1:22">
      <c r="A949" s="7" t="str">
        <f>TRIM(ETLMetadata!$B949)</f>
        <v>CLK</v>
      </c>
      <c r="B949" s="7" t="str">
        <f>TRIM(ETLMetadata!$C949)</f>
        <v>DETM_DETIS_MODS</v>
      </c>
      <c r="C949" s="7" t="str">
        <f>TRIM(ETLMetadata!$F949)</f>
        <v>ENVIRONMENT_ID</v>
      </c>
      <c r="D949" s="7" t="str">
        <f>TRIM(ETLMetadata!$H949)</f>
        <v>StringType()</v>
      </c>
      <c r="E949" s="7" t="str">
        <f t="shared" si="120"/>
        <v>CLK_DETM_DETIS_MODS</v>
      </c>
      <c r="F949" s="7" t="str">
        <f t="shared" si="114"/>
        <v>ENVIRONMENT_ID</v>
      </c>
      <c r="G949" s="7" t="s">
        <v>825</v>
      </c>
      <c r="H949" s="7" t="str">
        <f t="shared" si="115"/>
        <v>CLK_DETM_DETIS_MODS</v>
      </c>
      <c r="I949" s="7" t="str">
        <f t="shared" si="116"/>
        <v>ENVIRONMENT_ID</v>
      </c>
      <c r="J949" s="7" t="str">
        <f t="shared" si="117"/>
        <v>VARCHAR</v>
      </c>
      <c r="K949" s="7" t="str">
        <f>TRIM(ETLMetadata!$G949)</f>
        <v>CHAR(1)</v>
      </c>
      <c r="L949" s="7" t="str">
        <f>TRIM(ETLMetadata!$I949)</f>
        <v/>
      </c>
      <c r="M949" s="7" t="str">
        <f t="shared" si="118"/>
        <v>NULLIF(TRIM(ENVIRONMENT_ID),'')</v>
      </c>
      <c r="N949" s="7" t="str">
        <f>TRIM(ETLMetadata!$J949)</f>
        <v>Y</v>
      </c>
      <c r="O949" s="8" t="str">
        <f>IF(TRIM(Classification!$G949)="","NOT CONFIDENTIAL",TRIM(Classification!$G949))</f>
        <v>NOT CONFIDENTIAL</v>
      </c>
      <c r="P949" s="7" t="str">
        <f t="shared" si="119"/>
        <v>Y</v>
      </c>
      <c r="Q949" s="7" t="s">
        <v>826</v>
      </c>
      <c r="R949" s="9">
        <v>2958465</v>
      </c>
      <c r="S949" s="7" t="s">
        <v>827</v>
      </c>
      <c r="T949" s="7" t="s">
        <v>828</v>
      </c>
      <c r="U949" s="7" t="str">
        <f t="shared" si="121"/>
        <v>CLK_DETM_DETIS_MODS_V</v>
      </c>
      <c r="V949" s="7" t="s">
        <v>829</v>
      </c>
    </row>
    <row r="950" spans="1:22">
      <c r="A950" s="7" t="str">
        <f>TRIM(ETLMetadata!$B950)</f>
        <v>CLK</v>
      </c>
      <c r="B950" s="7" t="str">
        <f>TRIM(ETLMetadata!$C950)</f>
        <v>DETM_DETIS_MODS</v>
      </c>
      <c r="C950" s="7" t="str">
        <f>TRIM(ETLMetadata!$F950)</f>
        <v>PERSON_ID</v>
      </c>
      <c r="D950" s="7" t="str">
        <f>TRIM(ETLMetadata!$H950)</f>
        <v>StringType()</v>
      </c>
      <c r="E950" s="7" t="str">
        <f t="shared" si="120"/>
        <v>CLK_DETM_DETIS_MODS</v>
      </c>
      <c r="F950" s="7" t="str">
        <f t="shared" si="114"/>
        <v>PERSON_ID</v>
      </c>
      <c r="G950" s="7" t="s">
        <v>825</v>
      </c>
      <c r="H950" s="7" t="str">
        <f t="shared" si="115"/>
        <v>CLK_DETM_DETIS_MODS</v>
      </c>
      <c r="I950" s="7" t="str">
        <f t="shared" si="116"/>
        <v>PERSON_ID</v>
      </c>
      <c r="J950" s="7" t="str">
        <f t="shared" si="117"/>
        <v>INTEGER</v>
      </c>
      <c r="K950" s="7" t="str">
        <f>TRIM(ETLMetadata!$G950)</f>
        <v>INTEGER</v>
      </c>
      <c r="L950" s="7" t="str">
        <f>TRIM(ETLMetadata!$I950)</f>
        <v/>
      </c>
      <c r="M950" s="7" t="str">
        <f t="shared" si="118"/>
        <v>CAST(NULLIF(TRIM(PERSON_ID),'') AS INTEGER)</v>
      </c>
      <c r="N950" s="7" t="str">
        <f>TRIM(ETLMetadata!$J950)</f>
        <v>Y</v>
      </c>
      <c r="O950" s="8" t="str">
        <f>IF(TRIM(Classification!$G950)="","NOT CONFIDENTIAL",TRIM(Classification!$G950))</f>
        <v>PERSONAL_IDENTITYINFOINDIRECT</v>
      </c>
      <c r="P950" s="7" t="str">
        <f t="shared" si="119"/>
        <v>Y</v>
      </c>
      <c r="Q950" s="7" t="s">
        <v>826</v>
      </c>
      <c r="R950" s="9">
        <v>2958465</v>
      </c>
      <c r="S950" s="7" t="s">
        <v>827</v>
      </c>
      <c r="T950" s="7" t="s">
        <v>828</v>
      </c>
      <c r="U950" s="7" t="str">
        <f t="shared" si="121"/>
        <v>CLK_DETM_DETIS_MODS_V</v>
      </c>
      <c r="V950" s="7" t="s">
        <v>829</v>
      </c>
    </row>
    <row r="951" spans="1:22">
      <c r="A951" s="7" t="str">
        <f>TRIM(ETLMetadata!$B951)</f>
        <v>CLK</v>
      </c>
      <c r="B951" s="7" t="str">
        <f>TRIM(ETLMetadata!$C951)</f>
        <v>DETM_DETIS_MODS</v>
      </c>
      <c r="C951" s="7" t="str">
        <f>TRIM(ETLMetadata!$F951)</f>
        <v>MODS_DOE</v>
      </c>
      <c r="D951" s="7" t="str">
        <f>TRIM(ETLMetadata!$H951)</f>
        <v>StringType()</v>
      </c>
      <c r="E951" s="7" t="str">
        <f t="shared" si="120"/>
        <v>CLK_DETM_DETIS_MODS</v>
      </c>
      <c r="F951" s="7" t="str">
        <f t="shared" si="114"/>
        <v>MODS_DOE</v>
      </c>
      <c r="G951" s="7" t="s">
        <v>825</v>
      </c>
      <c r="H951" s="7" t="str">
        <f t="shared" si="115"/>
        <v>CLK_DETM_DETIS_MODS</v>
      </c>
      <c r="I951" s="7" t="str">
        <f t="shared" si="116"/>
        <v>MODS_DOE</v>
      </c>
      <c r="J951" s="7" t="str">
        <f t="shared" si="117"/>
        <v>DATE</v>
      </c>
      <c r="K951" s="17" t="s">
        <v>80</v>
      </c>
      <c r="L951" s="7" t="str">
        <f>TRIM(ETLMetadata!$I951)</f>
        <v>YYYY-MM-DD</v>
      </c>
      <c r="M951" s="7" t="str">
        <f t="shared" si="118"/>
        <v>TO_DATE(NULLIF(TRIM(MODS_DOE),'') , 'YYYY-MM-DD')</v>
      </c>
      <c r="N951" s="7" t="str">
        <f>TRIM(ETLMetadata!$J951)</f>
        <v/>
      </c>
      <c r="O951" s="8" t="str">
        <f>IF(TRIM(Classification!$G951)="","NOT CONFIDENTIAL",TRIM(Classification!$G951))</f>
        <v>NOT CONFIDENTIAL</v>
      </c>
      <c r="P951" s="7" t="str">
        <f t="shared" si="119"/>
        <v>Y</v>
      </c>
      <c r="Q951" s="7" t="s">
        <v>826</v>
      </c>
      <c r="R951" s="9">
        <v>2958465</v>
      </c>
      <c r="S951" s="7" t="s">
        <v>827</v>
      </c>
      <c r="T951" s="7" t="s">
        <v>828</v>
      </c>
      <c r="U951" s="7" t="str">
        <f t="shared" si="121"/>
        <v>CLK_DETM_DETIS_MODS_V</v>
      </c>
      <c r="V951" s="7" t="s">
        <v>829</v>
      </c>
    </row>
    <row r="952" spans="1:22">
      <c r="A952" s="7" t="str">
        <f>TRIM(ETLMetadata!$B952)</f>
        <v>CLK</v>
      </c>
      <c r="B952" s="7" t="str">
        <f>TRIM(ETLMetadata!$C952)</f>
        <v>DETM_DETIS_MODS</v>
      </c>
      <c r="C952" s="7" t="str">
        <f>TRIM(ETLMetadata!$F952)</f>
        <v>MODS_DOE_ORIG</v>
      </c>
      <c r="D952" s="7" t="str">
        <f>TRIM(ETLMetadata!$H952)</f>
        <v>StringType()</v>
      </c>
      <c r="E952" s="7" t="str">
        <f t="shared" si="120"/>
        <v>CLK_DETM_DETIS_MODS</v>
      </c>
      <c r="F952" s="7" t="str">
        <f t="shared" si="114"/>
        <v>MODS_DOE_ORIG</v>
      </c>
      <c r="G952" s="7" t="s">
        <v>825</v>
      </c>
      <c r="H952" s="7" t="str">
        <f t="shared" si="115"/>
        <v>CLK_DETM_DETIS_MODS</v>
      </c>
      <c r="I952" s="7" t="str">
        <f t="shared" si="116"/>
        <v>MODS_DOE_ORIG</v>
      </c>
      <c r="J952" s="7" t="str">
        <f t="shared" si="117"/>
        <v>INTEGER</v>
      </c>
      <c r="K952" s="17" t="s">
        <v>90</v>
      </c>
      <c r="L952" s="7" t="str">
        <f>TRIM(ETLMetadata!$I952)</f>
        <v/>
      </c>
      <c r="M952" s="7" t="str">
        <f t="shared" si="118"/>
        <v>CAST(NULLIF(TRIM(MODS_DOE_ORIG),'') AS INTEGER)</v>
      </c>
      <c r="N952" s="7" t="str">
        <f>TRIM(ETLMetadata!$J952)</f>
        <v/>
      </c>
      <c r="O952" s="8" t="str">
        <f>IF(TRIM(Classification!$G952)="","NOT CONFIDENTIAL",TRIM(Classification!$G952))</f>
        <v>NOT CONFIDENTIAL</v>
      </c>
      <c r="P952" s="7" t="str">
        <f t="shared" si="119"/>
        <v>Y</v>
      </c>
      <c r="Q952" s="7" t="s">
        <v>826</v>
      </c>
      <c r="R952" s="9">
        <v>2958465</v>
      </c>
      <c r="S952" s="7" t="s">
        <v>827</v>
      </c>
      <c r="T952" s="7" t="s">
        <v>828</v>
      </c>
      <c r="U952" s="7" t="str">
        <f t="shared" si="121"/>
        <v>CLK_DETM_DETIS_MODS_V</v>
      </c>
      <c r="V952" s="7" t="s">
        <v>829</v>
      </c>
    </row>
    <row r="953" spans="1:22">
      <c r="A953" s="7" t="str">
        <f>TRIM(ETLMetadata!$B953)</f>
        <v>CLK</v>
      </c>
      <c r="B953" s="7" t="str">
        <f>TRIM(ETLMetadata!$C953)</f>
        <v>DETM_DETIS_MODS</v>
      </c>
      <c r="C953" s="7" t="str">
        <f>TRIM(ETLMetadata!$F953)</f>
        <v>PROCESSING_SEQUENCE</v>
      </c>
      <c r="D953" s="7" t="str">
        <f>TRIM(ETLMetadata!$H953)</f>
        <v>StringType()</v>
      </c>
      <c r="E953" s="7" t="str">
        <f t="shared" si="120"/>
        <v>CLK_DETM_DETIS_MODS</v>
      </c>
      <c r="F953" s="7" t="str">
        <f t="shared" si="114"/>
        <v>PROCESSING_SEQUENCE</v>
      </c>
      <c r="G953" s="7" t="s">
        <v>825</v>
      </c>
      <c r="H953" s="7" t="str">
        <f t="shared" si="115"/>
        <v>CLK_DETM_DETIS_MODS</v>
      </c>
      <c r="I953" s="7" t="str">
        <f t="shared" si="116"/>
        <v>PROCESSING_SEQUENCE</v>
      </c>
      <c r="J953" s="7" t="str">
        <f t="shared" si="117"/>
        <v>SMALLINT</v>
      </c>
      <c r="K953" s="7" t="str">
        <f>TRIM(ETLMetadata!$G953)</f>
        <v>SMALLINT</v>
      </c>
      <c r="L953" s="7" t="str">
        <f>TRIM(ETLMetadata!$I953)</f>
        <v/>
      </c>
      <c r="M953" s="7" t="str">
        <f t="shared" si="118"/>
        <v>CAST(NULLIF(TRIM(PROCESSING_SEQUENCE),'') AS SMALLINT)</v>
      </c>
      <c r="N953" s="7" t="str">
        <f>TRIM(ETLMetadata!$J953)</f>
        <v>Y</v>
      </c>
      <c r="O953" s="8" t="str">
        <f>IF(TRIM(Classification!$G953)="","NOT CONFIDENTIAL",TRIM(Classification!$G953))</f>
        <v>NOT CONFIDENTIAL</v>
      </c>
      <c r="P953" s="7" t="str">
        <f t="shared" si="119"/>
        <v>Y</v>
      </c>
      <c r="Q953" s="7" t="s">
        <v>826</v>
      </c>
      <c r="R953" s="9">
        <v>2958465</v>
      </c>
      <c r="S953" s="7" t="s">
        <v>827</v>
      </c>
      <c r="T953" s="7" t="s">
        <v>828</v>
      </c>
      <c r="U953" s="7" t="str">
        <f t="shared" si="121"/>
        <v>CLK_DETM_DETIS_MODS_V</v>
      </c>
      <c r="V953" s="7" t="s">
        <v>829</v>
      </c>
    </row>
    <row r="954" spans="1:22">
      <c r="A954" s="7" t="str">
        <f>TRIM(ETLMetadata!$B954)</f>
        <v>CLK</v>
      </c>
      <c r="B954" s="7" t="str">
        <f>TRIM(ETLMetadata!$C954)</f>
        <v>DETM_DETIS_MODS</v>
      </c>
      <c r="C954" s="7" t="str">
        <f>TRIM(ETLMetadata!$F954)</f>
        <v>MODS_AMR_1</v>
      </c>
      <c r="D954" s="7" t="str">
        <f>TRIM(ETLMetadata!$H954)</f>
        <v>StringType()</v>
      </c>
      <c r="E954" s="7" t="str">
        <f t="shared" si="120"/>
        <v>CLK_DETM_DETIS_MODS</v>
      </c>
      <c r="F954" s="7" t="str">
        <f t="shared" si="114"/>
        <v>MODS_AMR_1</v>
      </c>
      <c r="G954" s="7" t="s">
        <v>825</v>
      </c>
      <c r="H954" s="7" t="str">
        <f t="shared" si="115"/>
        <v>CLK_DETM_DETIS_MODS</v>
      </c>
      <c r="I954" s="7" t="str">
        <f t="shared" si="116"/>
        <v>MODS_AMR_1</v>
      </c>
      <c r="J954" s="7" t="str">
        <f t="shared" si="117"/>
        <v>VARCHAR</v>
      </c>
      <c r="K954" s="7" t="str">
        <f>TRIM(ETLMetadata!$G954)</f>
        <v>CHAR(4)</v>
      </c>
      <c r="L954" s="7" t="str">
        <f>TRIM(ETLMetadata!$I954)</f>
        <v/>
      </c>
      <c r="M954" s="7" t="str">
        <f t="shared" si="118"/>
        <v>NULLIF(TRIM(MODS_AMR_1),'')</v>
      </c>
      <c r="N954" s="7" t="str">
        <f>TRIM(ETLMetadata!$J954)</f>
        <v/>
      </c>
      <c r="O954" s="8" t="str">
        <f>IF(TRIM(Classification!$G954)="","NOT CONFIDENTIAL",TRIM(Classification!$G954))</f>
        <v>NOT CONFIDENTIAL</v>
      </c>
      <c r="P954" s="7" t="str">
        <f t="shared" si="119"/>
        <v>Y</v>
      </c>
      <c r="Q954" s="7" t="s">
        <v>826</v>
      </c>
      <c r="R954" s="9">
        <v>2958465</v>
      </c>
      <c r="S954" s="7" t="s">
        <v>827</v>
      </c>
      <c r="T954" s="7" t="s">
        <v>828</v>
      </c>
      <c r="U954" s="7" t="str">
        <f t="shared" si="121"/>
        <v>CLK_DETM_DETIS_MODS_V</v>
      </c>
      <c r="V954" s="7" t="s">
        <v>829</v>
      </c>
    </row>
    <row r="955" spans="1:22">
      <c r="A955" s="7" t="str">
        <f>TRIM(ETLMetadata!$B955)</f>
        <v>CLK</v>
      </c>
      <c r="B955" s="7" t="str">
        <f>TRIM(ETLMetadata!$C955)</f>
        <v>DETM_DETIS_MODS</v>
      </c>
      <c r="C955" s="7" t="str">
        <f>TRIM(ETLMetadata!$F955)</f>
        <v>MODS_AMR_2</v>
      </c>
      <c r="D955" s="7" t="str">
        <f>TRIM(ETLMetadata!$H955)</f>
        <v>StringType()</v>
      </c>
      <c r="E955" s="7" t="str">
        <f t="shared" si="120"/>
        <v>CLK_DETM_DETIS_MODS</v>
      </c>
      <c r="F955" s="7" t="str">
        <f t="shared" si="114"/>
        <v>MODS_AMR_2</v>
      </c>
      <c r="G955" s="7" t="s">
        <v>825</v>
      </c>
      <c r="H955" s="7" t="str">
        <f t="shared" si="115"/>
        <v>CLK_DETM_DETIS_MODS</v>
      </c>
      <c r="I955" s="7" t="str">
        <f t="shared" si="116"/>
        <v>MODS_AMR_2</v>
      </c>
      <c r="J955" s="7" t="str">
        <f t="shared" si="117"/>
        <v>VARCHAR</v>
      </c>
      <c r="K955" s="7" t="str">
        <f>TRIM(ETLMetadata!$G955)</f>
        <v>CHAR(1)</v>
      </c>
      <c r="L955" s="7" t="str">
        <f>TRIM(ETLMetadata!$I955)</f>
        <v/>
      </c>
      <c r="M955" s="7" t="str">
        <f t="shared" si="118"/>
        <v>NULLIF(TRIM(MODS_AMR_2),'')</v>
      </c>
      <c r="N955" s="7" t="str">
        <f>TRIM(ETLMetadata!$J955)</f>
        <v/>
      </c>
      <c r="O955" s="8" t="str">
        <f>IF(TRIM(Classification!$G955)="","NOT CONFIDENTIAL",TRIM(Classification!$G955))</f>
        <v>NOT CONFIDENTIAL</v>
      </c>
      <c r="P955" s="7" t="str">
        <f t="shared" si="119"/>
        <v>Y</v>
      </c>
      <c r="Q955" s="7" t="s">
        <v>826</v>
      </c>
      <c r="R955" s="9">
        <v>2958465</v>
      </c>
      <c r="S955" s="7" t="s">
        <v>827</v>
      </c>
      <c r="T955" s="7" t="s">
        <v>828</v>
      </c>
      <c r="U955" s="7" t="str">
        <f t="shared" si="121"/>
        <v>CLK_DETM_DETIS_MODS_V</v>
      </c>
      <c r="V955" s="7" t="s">
        <v>829</v>
      </c>
    </row>
    <row r="956" spans="1:22">
      <c r="A956" s="7" t="str">
        <f>TRIM(ETLMetadata!$B956)</f>
        <v>CLK</v>
      </c>
      <c r="B956" s="7" t="str">
        <f>TRIM(ETLMetadata!$C956)</f>
        <v>DETM_DETIS_MODS</v>
      </c>
      <c r="C956" s="7" t="str">
        <f>TRIM(ETLMetadata!$F956)</f>
        <v>MODS_AMR_3</v>
      </c>
      <c r="D956" s="7" t="str">
        <f>TRIM(ETLMetadata!$H956)</f>
        <v>StringType()</v>
      </c>
      <c r="E956" s="7" t="str">
        <f t="shared" si="120"/>
        <v>CLK_DETM_DETIS_MODS</v>
      </c>
      <c r="F956" s="7" t="str">
        <f t="shared" si="114"/>
        <v>MODS_AMR_3</v>
      </c>
      <c r="G956" s="7" t="s">
        <v>825</v>
      </c>
      <c r="H956" s="7" t="str">
        <f t="shared" si="115"/>
        <v>CLK_DETM_DETIS_MODS</v>
      </c>
      <c r="I956" s="7" t="str">
        <f t="shared" si="116"/>
        <v>MODS_AMR_3</v>
      </c>
      <c r="J956" s="7" t="str">
        <f t="shared" si="117"/>
        <v>VARCHAR</v>
      </c>
      <c r="K956" s="7" t="str">
        <f>TRIM(ETLMetadata!$G956)</f>
        <v>CHAR(4)</v>
      </c>
      <c r="L956" s="7" t="str">
        <f>TRIM(ETLMetadata!$I956)</f>
        <v/>
      </c>
      <c r="M956" s="7" t="str">
        <f t="shared" si="118"/>
        <v>NULLIF(TRIM(MODS_AMR_3),'')</v>
      </c>
      <c r="N956" s="7" t="str">
        <f>TRIM(ETLMetadata!$J956)</f>
        <v/>
      </c>
      <c r="O956" s="8" t="str">
        <f>IF(TRIM(Classification!$G956)="","NOT CONFIDENTIAL",TRIM(Classification!$G956))</f>
        <v>NOT CONFIDENTIAL</v>
      </c>
      <c r="P956" s="7" t="str">
        <f t="shared" si="119"/>
        <v>Y</v>
      </c>
      <c r="Q956" s="7" t="s">
        <v>826</v>
      </c>
      <c r="R956" s="9">
        <v>2958465</v>
      </c>
      <c r="S956" s="7" t="s">
        <v>827</v>
      </c>
      <c r="T956" s="7" t="s">
        <v>828</v>
      </c>
      <c r="U956" s="7" t="str">
        <f t="shared" si="121"/>
        <v>CLK_DETM_DETIS_MODS_V</v>
      </c>
      <c r="V956" s="7" t="s">
        <v>829</v>
      </c>
    </row>
    <row r="957" spans="1:22">
      <c r="A957" s="7" t="str">
        <f>TRIM(ETLMetadata!$B957)</f>
        <v>CLK</v>
      </c>
      <c r="B957" s="7" t="str">
        <f>TRIM(ETLMetadata!$C957)</f>
        <v>DETM_DETIS_MODS</v>
      </c>
      <c r="C957" s="7" t="str">
        <f>TRIM(ETLMetadata!$F957)</f>
        <v>MODS_BEN_TYPE_CODE</v>
      </c>
      <c r="D957" s="7" t="str">
        <f>TRIM(ETLMetadata!$H957)</f>
        <v>StringType()</v>
      </c>
      <c r="E957" s="7" t="str">
        <f t="shared" si="120"/>
        <v>CLK_DETM_DETIS_MODS</v>
      </c>
      <c r="F957" s="7" t="str">
        <f t="shared" si="114"/>
        <v>MODS_BEN_TYPE_CODE</v>
      </c>
      <c r="G957" s="7" t="s">
        <v>825</v>
      </c>
      <c r="H957" s="7" t="str">
        <f t="shared" si="115"/>
        <v>CLK_DETM_DETIS_MODS</v>
      </c>
      <c r="I957" s="7" t="str">
        <f t="shared" si="116"/>
        <v>MODS_BEN_TYPE_CODE</v>
      </c>
      <c r="J957" s="7" t="str">
        <f t="shared" si="117"/>
        <v>VARCHAR</v>
      </c>
      <c r="K957" s="7" t="str">
        <f>TRIM(ETLMetadata!$G957)</f>
        <v>CHAR(3)</v>
      </c>
      <c r="L957" s="7" t="str">
        <f>TRIM(ETLMetadata!$I957)</f>
        <v/>
      </c>
      <c r="M957" s="7" t="str">
        <f t="shared" si="118"/>
        <v>NULLIF(TRIM(MODS_BEN_TYPE_CODE),'')</v>
      </c>
      <c r="N957" s="7" t="str">
        <f>TRIM(ETLMetadata!$J957)</f>
        <v/>
      </c>
      <c r="O957" s="8" t="str">
        <f>IF(TRIM(Classification!$G957)="","NOT CONFIDENTIAL",TRIM(Classification!$G957))</f>
        <v>NOT CONFIDENTIAL</v>
      </c>
      <c r="P957" s="7" t="str">
        <f t="shared" si="119"/>
        <v>Y</v>
      </c>
      <c r="Q957" s="7" t="s">
        <v>826</v>
      </c>
      <c r="R957" s="9">
        <v>2958465</v>
      </c>
      <c r="S957" s="7" t="s">
        <v>827</v>
      </c>
      <c r="T957" s="7" t="s">
        <v>828</v>
      </c>
      <c r="U957" s="7" t="str">
        <f t="shared" si="121"/>
        <v>CLK_DETM_DETIS_MODS_V</v>
      </c>
      <c r="V957" s="7" t="s">
        <v>829</v>
      </c>
    </row>
    <row r="958" spans="1:22">
      <c r="A958" s="7" t="str">
        <f>TRIM(ETLMetadata!$B958)</f>
        <v>CLK</v>
      </c>
      <c r="B958" s="7" t="str">
        <f>TRIM(ETLMetadata!$C958)</f>
        <v>DETM_DETIS_MODS</v>
      </c>
      <c r="C958" s="7" t="str">
        <f>TRIM(ETLMetadata!$F958)</f>
        <v>MODS_RSN_CODE</v>
      </c>
      <c r="D958" s="7" t="str">
        <f>TRIM(ETLMetadata!$H958)</f>
        <v>StringType()</v>
      </c>
      <c r="E958" s="7" t="str">
        <f t="shared" si="120"/>
        <v>CLK_DETM_DETIS_MODS</v>
      </c>
      <c r="F958" s="7" t="str">
        <f t="shared" si="114"/>
        <v>MODS_RSN_CODE</v>
      </c>
      <c r="G958" s="7" t="s">
        <v>825</v>
      </c>
      <c r="H958" s="7" t="str">
        <f t="shared" si="115"/>
        <v>CLK_DETM_DETIS_MODS</v>
      </c>
      <c r="I958" s="7" t="str">
        <f t="shared" si="116"/>
        <v>MODS_RSN_CODE</v>
      </c>
      <c r="J958" s="7" t="str">
        <f t="shared" si="117"/>
        <v>VARCHAR</v>
      </c>
      <c r="K958" s="7" t="str">
        <f>TRIM(ETLMetadata!$G958)</f>
        <v>CHAR(3)</v>
      </c>
      <c r="L958" s="7" t="str">
        <f>TRIM(ETLMetadata!$I958)</f>
        <v/>
      </c>
      <c r="M958" s="7" t="str">
        <f t="shared" si="118"/>
        <v>NULLIF(TRIM(MODS_RSN_CODE),'')</v>
      </c>
      <c r="N958" s="7" t="str">
        <f>TRIM(ETLMetadata!$J958)</f>
        <v/>
      </c>
      <c r="O958" s="8" t="str">
        <f>IF(TRIM(Classification!$G958)="","NOT CONFIDENTIAL",TRIM(Classification!$G958))</f>
        <v>NOT CONFIDENTIAL</v>
      </c>
      <c r="P958" s="7" t="str">
        <f t="shared" si="119"/>
        <v>Y</v>
      </c>
      <c r="Q958" s="7" t="s">
        <v>826</v>
      </c>
      <c r="R958" s="9">
        <v>2958465</v>
      </c>
      <c r="S958" s="7" t="s">
        <v>827</v>
      </c>
      <c r="T958" s="7" t="s">
        <v>828</v>
      </c>
      <c r="U958" s="7" t="str">
        <f t="shared" si="121"/>
        <v>CLK_DETM_DETIS_MODS_V</v>
      </c>
      <c r="V958" s="7" t="s">
        <v>829</v>
      </c>
    </row>
    <row r="959" spans="1:22">
      <c r="A959" s="7" t="str">
        <f>TRIM(ETLMetadata!$B959)</f>
        <v>CLK</v>
      </c>
      <c r="B959" s="7" t="str">
        <f>TRIM(ETLMetadata!$C959)</f>
        <v>DETM_DETIS_MODS</v>
      </c>
      <c r="C959" s="7" t="str">
        <f>TRIM(ETLMetadata!$F959)</f>
        <v>MODS_STS_CODE</v>
      </c>
      <c r="D959" s="7" t="str">
        <f>TRIM(ETLMetadata!$H959)</f>
        <v>StringType()</v>
      </c>
      <c r="E959" s="7" t="str">
        <f t="shared" si="120"/>
        <v>CLK_DETM_DETIS_MODS</v>
      </c>
      <c r="F959" s="7" t="str">
        <f t="shared" si="114"/>
        <v>MODS_STS_CODE</v>
      </c>
      <c r="G959" s="7" t="s">
        <v>825</v>
      </c>
      <c r="H959" s="7" t="str">
        <f t="shared" si="115"/>
        <v>CLK_DETM_DETIS_MODS</v>
      </c>
      <c r="I959" s="7" t="str">
        <f t="shared" si="116"/>
        <v>MODS_STS_CODE</v>
      </c>
      <c r="J959" s="7" t="str">
        <f t="shared" si="117"/>
        <v>VARCHAR</v>
      </c>
      <c r="K959" s="7" t="str">
        <f>TRIM(ETLMetadata!$G959)</f>
        <v>CHAR(3)</v>
      </c>
      <c r="L959" s="7" t="str">
        <f>TRIM(ETLMetadata!$I959)</f>
        <v/>
      </c>
      <c r="M959" s="7" t="str">
        <f t="shared" si="118"/>
        <v>NULLIF(TRIM(MODS_STS_CODE),'')</v>
      </c>
      <c r="N959" s="7" t="str">
        <f>TRIM(ETLMetadata!$J959)</f>
        <v/>
      </c>
      <c r="O959" s="8" t="str">
        <f>IF(TRIM(Classification!$G959)="","NOT CONFIDENTIAL",TRIM(Classification!$G959))</f>
        <v>NOT CONFIDENTIAL</v>
      </c>
      <c r="P959" s="7" t="str">
        <f t="shared" si="119"/>
        <v>Y</v>
      </c>
      <c r="Q959" s="7" t="s">
        <v>826</v>
      </c>
      <c r="R959" s="9">
        <v>2958465</v>
      </c>
      <c r="S959" s="7" t="s">
        <v>827</v>
      </c>
      <c r="T959" s="7" t="s">
        <v>828</v>
      </c>
      <c r="U959" s="7" t="str">
        <f t="shared" si="121"/>
        <v>CLK_DETM_DETIS_MODS_V</v>
      </c>
      <c r="V959" s="7" t="s">
        <v>829</v>
      </c>
    </row>
    <row r="960" spans="1:22">
      <c r="A960" s="7" t="str">
        <f>TRIM(ETLMetadata!$B960)</f>
        <v>CLK</v>
      </c>
      <c r="B960" s="7" t="str">
        <f>TRIM(ETLMetadata!$C960)</f>
        <v>DETM_DETIS_MODS</v>
      </c>
      <c r="C960" s="7" t="str">
        <f>TRIM(ETLMetadata!$F960)</f>
        <v>ERROR_COUNT</v>
      </c>
      <c r="D960" s="7" t="str">
        <f>TRIM(ETLMetadata!$H960)</f>
        <v>StringType()</v>
      </c>
      <c r="E960" s="7" t="str">
        <f t="shared" si="120"/>
        <v>CLK_DETM_DETIS_MODS</v>
      </c>
      <c r="F960" s="7" t="str">
        <f t="shared" si="114"/>
        <v>ERROR_COUNT</v>
      </c>
      <c r="G960" s="7" t="s">
        <v>825</v>
      </c>
      <c r="H960" s="7" t="str">
        <f t="shared" si="115"/>
        <v>CLK_DETM_DETIS_MODS</v>
      </c>
      <c r="I960" s="7" t="str">
        <f t="shared" si="116"/>
        <v>ERROR_COUNT</v>
      </c>
      <c r="J960" s="7" t="str">
        <f t="shared" si="117"/>
        <v>SMALLINT</v>
      </c>
      <c r="K960" s="7" t="str">
        <f>TRIM(ETLMetadata!$G960)</f>
        <v>SMALLINT</v>
      </c>
      <c r="L960" s="7" t="str">
        <f>TRIM(ETLMetadata!$I960)</f>
        <v/>
      </c>
      <c r="M960" s="7" t="str">
        <f t="shared" si="118"/>
        <v>CAST(NULLIF(TRIM(ERROR_COUNT),'') AS SMALLINT)</v>
      </c>
      <c r="N960" s="7" t="str">
        <f>TRIM(ETLMetadata!$J960)</f>
        <v/>
      </c>
      <c r="O960" s="8" t="str">
        <f>IF(TRIM(Classification!$G960)="","NOT CONFIDENTIAL",TRIM(Classification!$G960))</f>
        <v>NOT CONFIDENTIAL</v>
      </c>
      <c r="P960" s="7" t="str">
        <f t="shared" si="119"/>
        <v>Y</v>
      </c>
      <c r="Q960" s="7" t="s">
        <v>826</v>
      </c>
      <c r="R960" s="9">
        <v>2958465</v>
      </c>
      <c r="S960" s="7" t="s">
        <v>827</v>
      </c>
      <c r="T960" s="7" t="s">
        <v>828</v>
      </c>
      <c r="U960" s="7" t="str">
        <f t="shared" si="121"/>
        <v>CLK_DETM_DETIS_MODS_V</v>
      </c>
      <c r="V960" s="7" t="s">
        <v>829</v>
      </c>
    </row>
    <row r="961" spans="1:22">
      <c r="A961" s="7" t="str">
        <f>TRIM(ETLMetadata!$B961)</f>
        <v>CLK</v>
      </c>
      <c r="B961" s="7" t="str">
        <f>TRIM(ETLMetadata!$C961)</f>
        <v>DETM_DETIS_MODS</v>
      </c>
      <c r="C961" s="7" t="str">
        <f>TRIM(ETLMetadata!$F961)</f>
        <v>AMR1_RISL_DTS</v>
      </c>
      <c r="D961" s="7" t="str">
        <f>TRIM(ETLMetadata!$H961)</f>
        <v>StringType()</v>
      </c>
      <c r="E961" s="7" t="str">
        <f t="shared" si="120"/>
        <v>CLK_DETM_DETIS_MODS</v>
      </c>
      <c r="F961" s="7" t="str">
        <f t="shared" si="114"/>
        <v>AMR1_RISL_DTS</v>
      </c>
      <c r="G961" s="7" t="s">
        <v>825</v>
      </c>
      <c r="H961" s="7" t="str">
        <f t="shared" si="115"/>
        <v>CLK_DETM_DETIS_MODS</v>
      </c>
      <c r="I961" s="7" t="str">
        <f t="shared" si="116"/>
        <v>AMR1_RISL_DTS</v>
      </c>
      <c r="J961" s="7" t="str">
        <f t="shared" si="117"/>
        <v>TIMESTAMP</v>
      </c>
      <c r="K961" s="7" t="str">
        <f>TRIM(ETLMetadata!$G961)</f>
        <v>TIMESTAMP(6)</v>
      </c>
      <c r="L961" s="7" t="str">
        <f>TRIM(ETLMetadata!$I961)</f>
        <v>YYYY-MM-DDBHH:MI:SS.S(6)</v>
      </c>
      <c r="M961" s="7" t="str">
        <f t="shared" si="118"/>
        <v>TO_TIMESTAMP_NTZ(NULLIF(TRIM(AMR1_RISL_DTS),''),'YYYY-MM-DD HH24:MI:SS.FF6')</v>
      </c>
      <c r="N961" s="7" t="str">
        <f>TRIM(ETLMetadata!$J961)</f>
        <v/>
      </c>
      <c r="O961" s="8" t="str">
        <f>IF(TRIM(Classification!$G961)="","NOT CONFIDENTIAL",TRIM(Classification!$G961))</f>
        <v>NOT CONFIDENTIAL</v>
      </c>
      <c r="P961" s="7" t="str">
        <f t="shared" si="119"/>
        <v>Y</v>
      </c>
      <c r="Q961" s="7" t="s">
        <v>826</v>
      </c>
      <c r="R961" s="9">
        <v>2958465</v>
      </c>
      <c r="S961" s="7" t="s">
        <v>827</v>
      </c>
      <c r="T961" s="7" t="s">
        <v>828</v>
      </c>
      <c r="U961" s="7" t="str">
        <f t="shared" si="121"/>
        <v>CLK_DETM_DETIS_MODS_V</v>
      </c>
      <c r="V961" s="7" t="s">
        <v>829</v>
      </c>
    </row>
    <row r="962" spans="1:22">
      <c r="A962" s="7" t="str">
        <f>TRIM(ETLMetadata!$B962)</f>
        <v>CLK</v>
      </c>
      <c r="B962" s="7" t="str">
        <f>TRIM(ETLMetadata!$C962)</f>
        <v>DETM_DETIS_MODS</v>
      </c>
      <c r="C962" s="7" t="str">
        <f>TRIM(ETLMetadata!$F962)</f>
        <v>AMR3_RISL_DTS</v>
      </c>
      <c r="D962" s="7" t="str">
        <f>TRIM(ETLMetadata!$H962)</f>
        <v>StringType()</v>
      </c>
      <c r="E962" s="7" t="str">
        <f t="shared" si="120"/>
        <v>CLK_DETM_DETIS_MODS</v>
      </c>
      <c r="F962" s="7" t="str">
        <f t="shared" si="114"/>
        <v>AMR3_RISL_DTS</v>
      </c>
      <c r="G962" s="7" t="s">
        <v>825</v>
      </c>
      <c r="H962" s="7" t="str">
        <f t="shared" si="115"/>
        <v>CLK_DETM_DETIS_MODS</v>
      </c>
      <c r="I962" s="7" t="str">
        <f t="shared" si="116"/>
        <v>AMR3_RISL_DTS</v>
      </c>
      <c r="J962" s="7" t="str">
        <f t="shared" si="117"/>
        <v>TIMESTAMP</v>
      </c>
      <c r="K962" s="7" t="str">
        <f>TRIM(ETLMetadata!$G962)</f>
        <v>TIMESTAMP(6)</v>
      </c>
      <c r="L962" s="7" t="str">
        <f>TRIM(ETLMetadata!$I962)</f>
        <v>YYYY-MM-DDBHH:MI:SS.S(6)</v>
      </c>
      <c r="M962" s="7" t="str">
        <f t="shared" si="118"/>
        <v>TO_TIMESTAMP_NTZ(NULLIF(TRIM(AMR3_RISL_DTS),''),'YYYY-MM-DD HH24:MI:SS.FF6')</v>
      </c>
      <c r="N962" s="7" t="str">
        <f>TRIM(ETLMetadata!$J962)</f>
        <v/>
      </c>
      <c r="O962" s="8" t="str">
        <f>IF(TRIM(Classification!$G962)="","NOT CONFIDENTIAL",TRIM(Classification!$G962))</f>
        <v>NOT CONFIDENTIAL</v>
      </c>
      <c r="P962" s="7" t="str">
        <f t="shared" si="119"/>
        <v>Y</v>
      </c>
      <c r="Q962" s="7" t="s">
        <v>826</v>
      </c>
      <c r="R962" s="9">
        <v>2958465</v>
      </c>
      <c r="S962" s="7" t="s">
        <v>827</v>
      </c>
      <c r="T962" s="7" t="s">
        <v>828</v>
      </c>
      <c r="U962" s="7" t="str">
        <f t="shared" si="121"/>
        <v>CLK_DETM_DETIS_MODS_V</v>
      </c>
      <c r="V962" s="7" t="s">
        <v>829</v>
      </c>
    </row>
    <row r="963" spans="1:22">
      <c r="A963" s="7" t="str">
        <f>TRIM(ETLMetadata!$B963)</f>
        <v>CLK</v>
      </c>
      <c r="B963" s="7" t="str">
        <f>TRIM(ETLMetadata!$C963)</f>
        <v>DETM_DETIS_MODS</v>
      </c>
      <c r="C963" s="7" t="str">
        <f>TRIM(ETLMetadata!$F963)</f>
        <v>PARTY_ROLE_ID</v>
      </c>
      <c r="D963" s="7" t="str">
        <f>TRIM(ETLMetadata!$H963)</f>
        <v>StringType()</v>
      </c>
      <c r="E963" s="7" t="str">
        <f t="shared" si="120"/>
        <v>CLK_DETM_DETIS_MODS</v>
      </c>
      <c r="F963" s="7" t="str">
        <f t="shared" ref="F963:F1026" si="122">IF($C963="Start_Date","STRT_DT",
 IF($C963="End_Date","END_DT",
 IF($C963="Record_Deleted_Flag","RCRD_DEL_IND",
 IF($C963="IsDeleted","RCRD_DEL_IND",
 $C963
))))</f>
        <v>PARTY_ROLE_ID</v>
      </c>
      <c r="G963" s="7" t="s">
        <v>825</v>
      </c>
      <c r="H963" s="7" t="str">
        <f t="shared" ref="H963:H1026" si="123">CONCATENATE($A963,"_",$B963)</f>
        <v>CLK_DETM_DETIS_MODS</v>
      </c>
      <c r="I963" s="7" t="str">
        <f t="shared" ref="I963:I1026" si="124">IF($C963="Start_Date","STRT_DT",
 IF($C963="End_Date","END_DT",
 IF($C963="Record_Deleted_Flag","RCRD_DEL_IND",
 IF($C963="IsDeleted","RCRD_DEL_IND",
 $C963
))))</f>
        <v>PARTY_ROLE_ID</v>
      </c>
      <c r="J963" s="7" t="str">
        <f t="shared" ref="J963:J1026" si="125">IF(LEFT(TRIM($K963),7)="VARCHAR","VARCHAR",
 IF(LEFT(TRIM($K963),4)="CHAR","VARCHAR",
 IF(TRIM($K963)="TIMESTAMP(6)","TIMESTAMP",
 IF(TRIM($K963)="DATE","DATE",
 IF(TRIM($K963)="BYTEINT","SMALLINT",
 IF(TRIM($K963)="SMALLINT","SMALLINT",
 IF(TRIM($K963)="INTEGER","INTEGER",
 IF(TRIM($K963)="BIGINT","INTEGER",
 IF(LEFT(TRIM($K963),7)="DECIMAL",TRIM($K963),
 IF(TRIM($K963)="BOOLEAN","BOOLEAN",
 IF(TRIM($K963)="DOUBLE","DOUBLE",
 IF(TRIM($K963)="FLOAT","FLOAT",
 IF(TRIM($K963)="REAL","REAL",
 IF(LEFT(TRIM($K963),6)="STRUCT","VARIANT",
 IF(LEFT(TRIM($K963),5)="ARRAY","VARIANT",
 IF(LEFT(TRIM($K963),3)="MAP","VARIANT",
 IF(LEFT(TRIM($K963),3)="ROW","VARIANT",
 "NONE"
)))))))))))))))))</f>
        <v>INTEGER</v>
      </c>
      <c r="K963" s="7" t="str">
        <f>TRIM(ETLMetadata!$G963)</f>
        <v>INTEGER</v>
      </c>
      <c r="L963" s="7" t="str">
        <f>TRIM(ETLMetadata!$I963)</f>
        <v/>
      </c>
      <c r="M963" s="7" t="str">
        <f t="shared" ref="M963:M1026" si="126">IF(LEFT($K963,7)="VARCHAR","NULLIF(TRIM("&amp;$I963&amp;"),'')",
 IF(LEFT($K963,4)="CHAR","NULLIF(TRIM("&amp;$I963&amp;"),'')",
 IF(LEFT($K963,7)="DECIMAL","CAST(NULLIF(TRIM("&amp;$I963&amp;"),'') AS "&amp;$K963&amp;")",
 IF($K963="TIMESTAMP(6)","TO_TIMESTAMP_NTZ(NULLIF(TRIM("&amp;$I963&amp;"),''),'YYYY-MM-DD HH24:MI:SS.FF6')",
 IF($K963="DATE","TO_DATE(NULLIF(TRIM("&amp;$I963&amp;"),'') , 'YYYY-MM-DD')",
 IF($K963="BIGINT","CAST(NULLIF(TRIM("&amp;I963&amp;"),'') AS INTEGER)",
 IF($K963="BYTEINT","CAST(NULLIF(TRIM("&amp;I963&amp;"),'') AS SMALLINT)",
 IF($K963="SMALLINT","CAST(NULLIF(TRIM("&amp;I963&amp;"),'') AS SMALLINT)",
 IF($K963="INTEGER","CAST(NULLIF(TRIM("&amp;I963&amp;"),'') AS INTEGER)",
 IF($K963="BOOLEAN","CAST(NULLIF(TRIM("&amp;I963&amp;"),'') AS BOOLEAN)",
 IF($K963="DOUBLE","CAST(NULLIF(TRIM("&amp;I963&amp;"),'') AS DOUBLE)",
 IF($K963="FLOAT","CAST(NULLIF(TRIM("&amp;I963&amp;"),'') AS FLOAT)",
 IF($K963="REAL","CAST(NULLIF(TRIM("&amp;I963&amp;"),'') AS REAL)",
 IF(OR($K963="STRUCT",$K963="ARRAY",$K963="MAP",$K963="ROW"),"CAST(NULLIF(TRIM("&amp;I963&amp;"),'') AS VARIANT)",
 "NONE"
))))))))))))))</f>
        <v>CAST(NULLIF(TRIM(PARTY_ROLE_ID),'') AS INTEGER)</v>
      </c>
      <c r="N963" s="7" t="str">
        <f>TRIM(ETLMetadata!$J963)</f>
        <v/>
      </c>
      <c r="O963" s="8" t="str">
        <f>IF(TRIM(Classification!$G963)="","NOT CONFIDENTIAL",TRIM(Classification!$G963))</f>
        <v>NOT CONFIDENTIAL</v>
      </c>
      <c r="P963" s="7" t="str">
        <f t="shared" ref="P963:P1026" si="127">IF($C963="Start_Date","N",
 IF($C963="End_Date","N",
 IF($C963="Record_Deleted_Flag","N",
 IF($C963="IsDeleted","N",
 "Y"
))))</f>
        <v>Y</v>
      </c>
      <c r="Q963" s="7" t="s">
        <v>826</v>
      </c>
      <c r="R963" s="9">
        <v>2958465</v>
      </c>
      <c r="S963" s="7" t="s">
        <v>827</v>
      </c>
      <c r="T963" s="7" t="s">
        <v>828</v>
      </c>
      <c r="U963" s="7" t="str">
        <f t="shared" si="121"/>
        <v>CLK_DETM_DETIS_MODS_V</v>
      </c>
      <c r="V963" s="7" t="s">
        <v>829</v>
      </c>
    </row>
    <row r="964" spans="1:22">
      <c r="A964" s="7" t="str">
        <f>TRIM(ETLMetadata!$B964)</f>
        <v>CLK</v>
      </c>
      <c r="B964" s="7" t="str">
        <f>TRIM(ETLMetadata!$C964)</f>
        <v>DETM_DETIS_MODS</v>
      </c>
      <c r="C964" s="7" t="str">
        <f>TRIM(ETLMetadata!$F964)</f>
        <v>EPISODE_ID</v>
      </c>
      <c r="D964" s="7" t="str">
        <f>TRIM(ETLMetadata!$H964)</f>
        <v>StringType()</v>
      </c>
      <c r="E964" s="7" t="str">
        <f t="shared" si="120"/>
        <v>CLK_DETM_DETIS_MODS</v>
      </c>
      <c r="F964" s="7" t="str">
        <f t="shared" si="122"/>
        <v>EPISODE_ID</v>
      </c>
      <c r="G964" s="7" t="s">
        <v>825</v>
      </c>
      <c r="H964" s="7" t="str">
        <f t="shared" si="123"/>
        <v>CLK_DETM_DETIS_MODS</v>
      </c>
      <c r="I964" s="7" t="str">
        <f t="shared" si="124"/>
        <v>EPISODE_ID</v>
      </c>
      <c r="J964" s="7" t="str">
        <f t="shared" si="125"/>
        <v>INTEGER</v>
      </c>
      <c r="K964" s="7" t="str">
        <f>TRIM(ETLMetadata!$G964)</f>
        <v>INTEGER</v>
      </c>
      <c r="L964" s="7" t="str">
        <f>TRIM(ETLMetadata!$I964)</f>
        <v/>
      </c>
      <c r="M964" s="7" t="str">
        <f t="shared" si="126"/>
        <v>CAST(NULLIF(TRIM(EPISODE_ID),'') AS INTEGER)</v>
      </c>
      <c r="N964" s="7" t="str">
        <f>TRIM(ETLMetadata!$J964)</f>
        <v/>
      </c>
      <c r="O964" s="8" t="str">
        <f>IF(TRIM(Classification!$G964)="","NOT CONFIDENTIAL",TRIM(Classification!$G964))</f>
        <v>NOT CONFIDENTIAL</v>
      </c>
      <c r="P964" s="7" t="str">
        <f t="shared" si="127"/>
        <v>Y</v>
      </c>
      <c r="Q964" s="7" t="s">
        <v>826</v>
      </c>
      <c r="R964" s="9">
        <v>2958465</v>
      </c>
      <c r="S964" s="7" t="s">
        <v>827</v>
      </c>
      <c r="T964" s="7" t="s">
        <v>828</v>
      </c>
      <c r="U964" s="7" t="str">
        <f t="shared" si="121"/>
        <v>CLK_DETM_DETIS_MODS_V</v>
      </c>
      <c r="V964" s="7" t="s">
        <v>829</v>
      </c>
    </row>
    <row r="965" spans="1:22">
      <c r="A965" s="7" t="str">
        <f>TRIM(ETLMetadata!$B965)</f>
        <v>CLK</v>
      </c>
      <c r="B965" s="7" t="str">
        <f>TRIM(ETLMetadata!$C965)</f>
        <v>DETM_DETIS_MODS</v>
      </c>
      <c r="C965" s="7" t="str">
        <f>TRIM(ETLMetadata!$F965)</f>
        <v>PAYMENT_TYPE_ID</v>
      </c>
      <c r="D965" s="7" t="str">
        <f>TRIM(ETLMetadata!$H965)</f>
        <v>StringType()</v>
      </c>
      <c r="E965" s="7" t="str">
        <f t="shared" si="120"/>
        <v>CLK_DETM_DETIS_MODS</v>
      </c>
      <c r="F965" s="7" t="str">
        <f t="shared" si="122"/>
        <v>PAYMENT_TYPE_ID</v>
      </c>
      <c r="G965" s="7" t="s">
        <v>825</v>
      </c>
      <c r="H965" s="7" t="str">
        <f t="shared" si="123"/>
        <v>CLK_DETM_DETIS_MODS</v>
      </c>
      <c r="I965" s="7" t="str">
        <f t="shared" si="124"/>
        <v>PAYMENT_TYPE_ID</v>
      </c>
      <c r="J965" s="7" t="str">
        <f t="shared" si="125"/>
        <v>INTEGER</v>
      </c>
      <c r="K965" s="7" t="str">
        <f>TRIM(ETLMetadata!$G965)</f>
        <v>INTEGER</v>
      </c>
      <c r="L965" s="7" t="str">
        <f>TRIM(ETLMetadata!$I965)</f>
        <v/>
      </c>
      <c r="M965" s="7" t="str">
        <f t="shared" si="126"/>
        <v>CAST(NULLIF(TRIM(PAYMENT_TYPE_ID),'') AS INTEGER)</v>
      </c>
      <c r="N965" s="7" t="str">
        <f>TRIM(ETLMetadata!$J965)</f>
        <v/>
      </c>
      <c r="O965" s="8" t="str">
        <f>IF(TRIM(Classification!$G965)="","NOT CONFIDENTIAL",TRIM(Classification!$G965))</f>
        <v>NOT CONFIDENTIAL</v>
      </c>
      <c r="P965" s="7" t="str">
        <f t="shared" si="127"/>
        <v>Y</v>
      </c>
      <c r="Q965" s="7" t="s">
        <v>826</v>
      </c>
      <c r="R965" s="9">
        <v>2958465</v>
      </c>
      <c r="S965" s="7" t="s">
        <v>827</v>
      </c>
      <c r="T965" s="7" t="s">
        <v>828</v>
      </c>
      <c r="U965" s="7" t="str">
        <f t="shared" si="121"/>
        <v>CLK_DETM_DETIS_MODS_V</v>
      </c>
      <c r="V965" s="7" t="s">
        <v>829</v>
      </c>
    </row>
    <row r="966" spans="1:22">
      <c r="A966" s="7" t="str">
        <f>TRIM(ETLMetadata!$B966)</f>
        <v>CLK</v>
      </c>
      <c r="B966" s="7" t="str">
        <f>TRIM(ETLMetadata!$C966)</f>
        <v>DETM_DETIS_MODS</v>
      </c>
      <c r="C966" s="7" t="str">
        <f>TRIM(ETLMetadata!$F966)</f>
        <v>Start_Date</v>
      </c>
      <c r="D966" s="7" t="str">
        <f>TRIM(ETLMetadata!$H966)</f>
        <v>StringType()</v>
      </c>
      <c r="E966" s="7" t="str">
        <f t="shared" si="120"/>
        <v>CLK_DETM_DETIS_MODS</v>
      </c>
      <c r="F966" s="7" t="str">
        <f t="shared" si="122"/>
        <v>STRT_DT</v>
      </c>
      <c r="G966" s="7" t="s">
        <v>825</v>
      </c>
      <c r="H966" s="7" t="str">
        <f t="shared" si="123"/>
        <v>CLK_DETM_DETIS_MODS</v>
      </c>
      <c r="I966" s="7" t="str">
        <f t="shared" si="124"/>
        <v>STRT_DT</v>
      </c>
      <c r="J966" s="7" t="str">
        <f t="shared" si="125"/>
        <v>DATE</v>
      </c>
      <c r="K966" s="7" t="str">
        <f>TRIM(ETLMetadata!$G966)</f>
        <v>DATE</v>
      </c>
      <c r="L966" s="7" t="str">
        <f>TRIM(ETLMetadata!$I966)</f>
        <v>YYYY-MM-DD</v>
      </c>
      <c r="M966" s="7" t="str">
        <f t="shared" si="126"/>
        <v>TO_DATE(NULLIF(TRIM(STRT_DT),'') , 'YYYY-MM-DD')</v>
      </c>
      <c r="N966" s="7" t="str">
        <f>TRIM(ETLMetadata!$J966)</f>
        <v/>
      </c>
      <c r="O966" s="8" t="str">
        <f>IF(TRIM(Classification!$G966)="","NOT CONFIDENTIAL",TRIM(Classification!$G966))</f>
        <v>NOT CONFIDENTIAL</v>
      </c>
      <c r="P966" s="7" t="str">
        <f t="shared" si="127"/>
        <v>N</v>
      </c>
      <c r="Q966" s="7" t="s">
        <v>826</v>
      </c>
      <c r="R966" s="9">
        <v>2958465</v>
      </c>
      <c r="S966" s="7" t="s">
        <v>827</v>
      </c>
      <c r="T966" s="7" t="s">
        <v>828</v>
      </c>
      <c r="U966" s="7" t="str">
        <f t="shared" si="121"/>
        <v>CLK_DETM_DETIS_MODS_V</v>
      </c>
      <c r="V966" s="7" t="s">
        <v>829</v>
      </c>
    </row>
    <row r="967" spans="1:22">
      <c r="A967" s="7" t="str">
        <f>TRIM(ETLMetadata!$B967)</f>
        <v>CLK</v>
      </c>
      <c r="B967" s="7" t="str">
        <f>TRIM(ETLMetadata!$C967)</f>
        <v>DETM_DETIS_MODS</v>
      </c>
      <c r="C967" s="7" t="str">
        <f>TRIM(ETLMetadata!$F967)</f>
        <v>End_Date</v>
      </c>
      <c r="D967" s="7" t="str">
        <f>TRIM(ETLMetadata!$H967)</f>
        <v>StringType()</v>
      </c>
      <c r="E967" s="7" t="str">
        <f t="shared" si="120"/>
        <v>CLK_DETM_DETIS_MODS</v>
      </c>
      <c r="F967" s="7" t="str">
        <f t="shared" si="122"/>
        <v>END_DT</v>
      </c>
      <c r="G967" s="7" t="s">
        <v>825</v>
      </c>
      <c r="H967" s="7" t="str">
        <f t="shared" si="123"/>
        <v>CLK_DETM_DETIS_MODS</v>
      </c>
      <c r="I967" s="7" t="str">
        <f t="shared" si="124"/>
        <v>END_DT</v>
      </c>
      <c r="J967" s="7" t="str">
        <f t="shared" si="125"/>
        <v>DATE</v>
      </c>
      <c r="K967" s="7" t="str">
        <f>TRIM(ETLMetadata!$G967)</f>
        <v>DATE</v>
      </c>
      <c r="L967" s="7" t="str">
        <f>TRIM(ETLMetadata!$I967)</f>
        <v>YYYY-MM-DD</v>
      </c>
      <c r="M967" s="7" t="str">
        <f t="shared" si="126"/>
        <v>TO_DATE(NULLIF(TRIM(END_DT),'') , 'YYYY-MM-DD')</v>
      </c>
      <c r="N967" s="7" t="str">
        <f>TRIM(ETLMetadata!$J967)</f>
        <v/>
      </c>
      <c r="O967" s="8" t="str">
        <f>IF(TRIM(Classification!$G967)="","NOT CONFIDENTIAL",TRIM(Classification!$G967))</f>
        <v>NOT CONFIDENTIAL</v>
      </c>
      <c r="P967" s="7" t="str">
        <f t="shared" si="127"/>
        <v>N</v>
      </c>
      <c r="Q967" s="7" t="s">
        <v>826</v>
      </c>
      <c r="R967" s="9">
        <v>2958465</v>
      </c>
      <c r="S967" s="7" t="s">
        <v>827</v>
      </c>
      <c r="T967" s="7" t="s">
        <v>828</v>
      </c>
      <c r="U967" s="7" t="str">
        <f t="shared" si="121"/>
        <v>CLK_DETM_DETIS_MODS_V</v>
      </c>
      <c r="V967" s="7" t="s">
        <v>829</v>
      </c>
    </row>
    <row r="968" spans="1:22">
      <c r="A968" s="7" t="str">
        <f>TRIM(ETLMetadata!$B968)</f>
        <v>CLK</v>
      </c>
      <c r="B968" s="7" t="str">
        <f>TRIM(ETLMetadata!$C968)</f>
        <v>DETM_DETIS_MODS</v>
      </c>
      <c r="C968" s="7" t="str">
        <f>TRIM(ETLMetadata!$F968)</f>
        <v>Record_Deleted_Flag</v>
      </c>
      <c r="D968" s="7" t="str">
        <f>TRIM(ETLMetadata!$H968)</f>
        <v>StringType()</v>
      </c>
      <c r="E968" s="7" t="str">
        <f t="shared" si="120"/>
        <v>CLK_DETM_DETIS_MODS</v>
      </c>
      <c r="F968" s="7" t="str">
        <f t="shared" si="122"/>
        <v>RCRD_DEL_IND</v>
      </c>
      <c r="G968" s="7" t="s">
        <v>825</v>
      </c>
      <c r="H968" s="7" t="str">
        <f t="shared" si="123"/>
        <v>CLK_DETM_DETIS_MODS</v>
      </c>
      <c r="I968" s="7" t="str">
        <f t="shared" si="124"/>
        <v>RCRD_DEL_IND</v>
      </c>
      <c r="J968" s="7" t="str">
        <f t="shared" si="125"/>
        <v>SMALLINT</v>
      </c>
      <c r="K968" s="7" t="str">
        <f>TRIM(ETLMetadata!$G968)</f>
        <v>BYTEINT</v>
      </c>
      <c r="L968" s="7" t="str">
        <f>TRIM(ETLMetadata!$I968)</f>
        <v/>
      </c>
      <c r="M968" s="7" t="str">
        <f t="shared" si="126"/>
        <v>CAST(NULLIF(TRIM(RCRD_DEL_IND),'') AS SMALLINT)</v>
      </c>
      <c r="N968" s="7" t="str">
        <f>TRIM(ETLMetadata!$J968)</f>
        <v/>
      </c>
      <c r="O968" s="8" t="str">
        <f>IF(TRIM(Classification!$G968)="","NOT CONFIDENTIAL",TRIM(Classification!$G968))</f>
        <v>NOT CONFIDENTIAL</v>
      </c>
      <c r="P968" s="7" t="str">
        <f t="shared" si="127"/>
        <v>N</v>
      </c>
      <c r="Q968" s="7" t="s">
        <v>826</v>
      </c>
      <c r="R968" s="9">
        <v>2958465</v>
      </c>
      <c r="S968" s="7" t="s">
        <v>827</v>
      </c>
      <c r="T968" s="7" t="s">
        <v>828</v>
      </c>
      <c r="U968" s="7" t="str">
        <f t="shared" si="121"/>
        <v>CLK_DETM_DETIS_MODS_V</v>
      </c>
      <c r="V968" s="7" t="s">
        <v>829</v>
      </c>
    </row>
    <row r="969" spans="1:22">
      <c r="A969" s="7" t="str">
        <f>TRIM(ETLMetadata!$B969)</f>
        <v>CLK</v>
      </c>
      <c r="B969" s="7" t="str">
        <f>TRIM(ETLMetadata!$C969)</f>
        <v>DETM_DETIS_MPDS</v>
      </c>
      <c r="C969" s="7" t="str">
        <f>TRIM(ETLMetadata!$F969)</f>
        <v>EXTRACT_DATE</v>
      </c>
      <c r="D969" s="7" t="str">
        <f>TRIM(ETLMetadata!$H969)</f>
        <v>StringType()</v>
      </c>
      <c r="E969" s="7" t="str">
        <f t="shared" si="120"/>
        <v>CLK_DETM_DETIS_MPDS</v>
      </c>
      <c r="F969" s="7" t="str">
        <f t="shared" si="122"/>
        <v>EXTRACT_DATE</v>
      </c>
      <c r="G969" s="7" t="s">
        <v>825</v>
      </c>
      <c r="H969" s="7" t="str">
        <f t="shared" si="123"/>
        <v>CLK_DETM_DETIS_MPDS</v>
      </c>
      <c r="I969" s="7" t="str">
        <f t="shared" si="124"/>
        <v>EXTRACT_DATE</v>
      </c>
      <c r="J969" s="7" t="str">
        <f t="shared" si="125"/>
        <v>DATE</v>
      </c>
      <c r="K969" s="7" t="str">
        <f>TRIM(ETLMetadata!$G969)</f>
        <v>DATE</v>
      </c>
      <c r="L969" s="7" t="str">
        <f>TRIM(ETLMetadata!$I969)</f>
        <v>YYYY-MM-DD</v>
      </c>
      <c r="M969" s="7" t="str">
        <f t="shared" si="126"/>
        <v>TO_DATE(NULLIF(TRIM(EXTRACT_DATE),'') , 'YYYY-MM-DD')</v>
      </c>
      <c r="N969" s="7" t="str">
        <f>TRIM(ETLMetadata!$J969)</f>
        <v/>
      </c>
      <c r="O969" s="8" t="str">
        <f>IF(TRIM(Classification!$G969)="","NOT CONFIDENTIAL",TRIM(Classification!$G969))</f>
        <v>NOT CONFIDENTIAL</v>
      </c>
      <c r="P969" s="7" t="str">
        <f t="shared" si="127"/>
        <v>Y</v>
      </c>
      <c r="Q969" s="7" t="s">
        <v>826</v>
      </c>
      <c r="R969" s="9">
        <v>2958465</v>
      </c>
      <c r="S969" s="7" t="s">
        <v>827</v>
      </c>
      <c r="T969" s="7" t="s">
        <v>828</v>
      </c>
      <c r="U969" s="7" t="str">
        <f t="shared" si="121"/>
        <v>CLK_DETM_DETIS_MPDS_V</v>
      </c>
      <c r="V969" s="7" t="s">
        <v>829</v>
      </c>
    </row>
    <row r="970" spans="1:22">
      <c r="A970" s="7" t="str">
        <f>TRIM(ETLMetadata!$B970)</f>
        <v>CLK</v>
      </c>
      <c r="B970" s="7" t="str">
        <f>TRIM(ETLMetadata!$C970)</f>
        <v>DETM_DETIS_MPDS</v>
      </c>
      <c r="C970" s="7" t="str">
        <f>TRIM(ETLMetadata!$F970)</f>
        <v>LOGICAL_DELETE_DATE</v>
      </c>
      <c r="D970" s="7" t="str">
        <f>TRIM(ETLMetadata!$H970)</f>
        <v>StringType()</v>
      </c>
      <c r="E970" s="7" t="str">
        <f t="shared" si="120"/>
        <v>CLK_DETM_DETIS_MPDS</v>
      </c>
      <c r="F970" s="7" t="str">
        <f t="shared" si="122"/>
        <v>LOGICAL_DELETE_DATE</v>
      </c>
      <c r="G970" s="7" t="s">
        <v>825</v>
      </c>
      <c r="H970" s="7" t="str">
        <f t="shared" si="123"/>
        <v>CLK_DETM_DETIS_MPDS</v>
      </c>
      <c r="I970" s="7" t="str">
        <f t="shared" si="124"/>
        <v>LOGICAL_DELETE_DATE</v>
      </c>
      <c r="J970" s="7" t="str">
        <f t="shared" si="125"/>
        <v>DATE</v>
      </c>
      <c r="K970" s="7" t="str">
        <f>TRIM(ETLMetadata!$G970)</f>
        <v>DATE</v>
      </c>
      <c r="L970" s="7" t="str">
        <f>TRIM(ETLMetadata!$I970)</f>
        <v>YYYY-MM-DD</v>
      </c>
      <c r="M970" s="7" t="str">
        <f t="shared" si="126"/>
        <v>TO_DATE(NULLIF(TRIM(LOGICAL_DELETE_DATE),'') , 'YYYY-MM-DD')</v>
      </c>
      <c r="N970" s="7" t="str">
        <f>TRIM(ETLMetadata!$J970)</f>
        <v/>
      </c>
      <c r="O970" s="8" t="str">
        <f>IF(TRIM(Classification!$G970)="","NOT CONFIDENTIAL",TRIM(Classification!$G970))</f>
        <v>NOT CONFIDENTIAL</v>
      </c>
      <c r="P970" s="7" t="str">
        <f t="shared" si="127"/>
        <v>Y</v>
      </c>
      <c r="Q970" s="7" t="s">
        <v>826</v>
      </c>
      <c r="R970" s="9">
        <v>2958465</v>
      </c>
      <c r="S970" s="7" t="s">
        <v>827</v>
      </c>
      <c r="T970" s="7" t="s">
        <v>828</v>
      </c>
      <c r="U970" s="7" t="str">
        <f t="shared" si="121"/>
        <v>CLK_DETM_DETIS_MPDS_V</v>
      </c>
      <c r="V970" s="7" t="s">
        <v>829</v>
      </c>
    </row>
    <row r="971" spans="1:22">
      <c r="A971" s="7" t="str">
        <f>TRIM(ETLMetadata!$B971)</f>
        <v>CLK</v>
      </c>
      <c r="B971" s="7" t="str">
        <f>TRIM(ETLMetadata!$C971)</f>
        <v>DETM_DETIS_MPDS</v>
      </c>
      <c r="C971" s="7" t="str">
        <f>TRIM(ETLMetadata!$F971)</f>
        <v>ENVIRONMENT_ID</v>
      </c>
      <c r="D971" s="7" t="str">
        <f>TRIM(ETLMetadata!$H971)</f>
        <v>StringType()</v>
      </c>
      <c r="E971" s="7" t="str">
        <f t="shared" si="120"/>
        <v>CLK_DETM_DETIS_MPDS</v>
      </c>
      <c r="F971" s="7" t="str">
        <f t="shared" si="122"/>
        <v>ENVIRONMENT_ID</v>
      </c>
      <c r="G971" s="7" t="s">
        <v>825</v>
      </c>
      <c r="H971" s="7" t="str">
        <f t="shared" si="123"/>
        <v>CLK_DETM_DETIS_MPDS</v>
      </c>
      <c r="I971" s="7" t="str">
        <f t="shared" si="124"/>
        <v>ENVIRONMENT_ID</v>
      </c>
      <c r="J971" s="7" t="str">
        <f t="shared" si="125"/>
        <v>VARCHAR</v>
      </c>
      <c r="K971" s="7" t="str">
        <f>TRIM(ETLMetadata!$G971)</f>
        <v>CHAR(1)</v>
      </c>
      <c r="L971" s="7" t="str">
        <f>TRIM(ETLMetadata!$I971)</f>
        <v/>
      </c>
      <c r="M971" s="7" t="str">
        <f t="shared" si="126"/>
        <v>NULLIF(TRIM(ENVIRONMENT_ID),'')</v>
      </c>
      <c r="N971" s="7" t="str">
        <f>TRIM(ETLMetadata!$J971)</f>
        <v>Y</v>
      </c>
      <c r="O971" s="8" t="str">
        <f>IF(TRIM(Classification!$G971)="","NOT CONFIDENTIAL",TRIM(Classification!$G971))</f>
        <v>NOT CONFIDENTIAL</v>
      </c>
      <c r="P971" s="7" t="str">
        <f t="shared" si="127"/>
        <v>Y</v>
      </c>
      <c r="Q971" s="7" t="s">
        <v>826</v>
      </c>
      <c r="R971" s="9">
        <v>2958465</v>
      </c>
      <c r="S971" s="7" t="s">
        <v>827</v>
      </c>
      <c r="T971" s="7" t="s">
        <v>828</v>
      </c>
      <c r="U971" s="7" t="str">
        <f t="shared" si="121"/>
        <v>CLK_DETM_DETIS_MPDS_V</v>
      </c>
      <c r="V971" s="7" t="s">
        <v>829</v>
      </c>
    </row>
    <row r="972" spans="1:22">
      <c r="A972" s="7" t="str">
        <f>TRIM(ETLMetadata!$B972)</f>
        <v>CLK</v>
      </c>
      <c r="B972" s="7" t="str">
        <f>TRIM(ETLMetadata!$C972)</f>
        <v>DETM_DETIS_MPDS</v>
      </c>
      <c r="C972" s="7" t="str">
        <f>TRIM(ETLMetadata!$F972)</f>
        <v>PERSON_ID</v>
      </c>
      <c r="D972" s="7" t="str">
        <f>TRIM(ETLMetadata!$H972)</f>
        <v>StringType()</v>
      </c>
      <c r="E972" s="7" t="str">
        <f t="shared" si="120"/>
        <v>CLK_DETM_DETIS_MPDS</v>
      </c>
      <c r="F972" s="7" t="str">
        <f t="shared" si="122"/>
        <v>PERSON_ID</v>
      </c>
      <c r="G972" s="7" t="s">
        <v>825</v>
      </c>
      <c r="H972" s="7" t="str">
        <f t="shared" si="123"/>
        <v>CLK_DETM_DETIS_MPDS</v>
      </c>
      <c r="I972" s="7" t="str">
        <f t="shared" si="124"/>
        <v>PERSON_ID</v>
      </c>
      <c r="J972" s="7" t="str">
        <f t="shared" si="125"/>
        <v>INTEGER</v>
      </c>
      <c r="K972" s="7" t="str">
        <f>TRIM(ETLMetadata!$G972)</f>
        <v>INTEGER</v>
      </c>
      <c r="L972" s="7" t="str">
        <f>TRIM(ETLMetadata!$I972)</f>
        <v/>
      </c>
      <c r="M972" s="7" t="str">
        <f t="shared" si="126"/>
        <v>CAST(NULLIF(TRIM(PERSON_ID),'') AS INTEGER)</v>
      </c>
      <c r="N972" s="7" t="str">
        <f>TRIM(ETLMetadata!$J972)</f>
        <v>Y</v>
      </c>
      <c r="O972" s="8" t="str">
        <f>IF(TRIM(Classification!$G972)="","NOT CONFIDENTIAL",TRIM(Classification!$G972))</f>
        <v>PERSONAL_IDENTITYINFOINDIRECT</v>
      </c>
      <c r="P972" s="7" t="str">
        <f t="shared" si="127"/>
        <v>Y</v>
      </c>
      <c r="Q972" s="7" t="s">
        <v>826</v>
      </c>
      <c r="R972" s="9">
        <v>2958465</v>
      </c>
      <c r="S972" s="7" t="s">
        <v>827</v>
      </c>
      <c r="T972" s="7" t="s">
        <v>828</v>
      </c>
      <c r="U972" s="7" t="str">
        <f t="shared" si="121"/>
        <v>CLK_DETM_DETIS_MPDS_V</v>
      </c>
      <c r="V972" s="7" t="s">
        <v>829</v>
      </c>
    </row>
    <row r="973" spans="1:22">
      <c r="A973" s="7" t="str">
        <f>TRIM(ETLMetadata!$B973)</f>
        <v>CLK</v>
      </c>
      <c r="B973" s="7" t="str">
        <f>TRIM(ETLMetadata!$C973)</f>
        <v>DETM_DETIS_MPDS</v>
      </c>
      <c r="C973" s="7" t="str">
        <f>TRIM(ETLMetadata!$F973)</f>
        <v>MPDS_DOE</v>
      </c>
      <c r="D973" s="7" t="str">
        <f>TRIM(ETLMetadata!$H973)</f>
        <v>StringType()</v>
      </c>
      <c r="E973" s="7" t="str">
        <f t="shared" si="120"/>
        <v>CLK_DETM_DETIS_MPDS</v>
      </c>
      <c r="F973" s="7" t="str">
        <f t="shared" si="122"/>
        <v>MPDS_DOE</v>
      </c>
      <c r="G973" s="7" t="s">
        <v>825</v>
      </c>
      <c r="H973" s="7" t="str">
        <f t="shared" si="123"/>
        <v>CLK_DETM_DETIS_MPDS</v>
      </c>
      <c r="I973" s="7" t="str">
        <f t="shared" si="124"/>
        <v>MPDS_DOE</v>
      </c>
      <c r="J973" s="7" t="str">
        <f t="shared" si="125"/>
        <v>DATE</v>
      </c>
      <c r="K973" s="17" t="s">
        <v>80</v>
      </c>
      <c r="L973" s="7" t="str">
        <f>TRIM(ETLMetadata!$I973)</f>
        <v>YYYY-MM-DD</v>
      </c>
      <c r="M973" s="7" t="str">
        <f t="shared" si="126"/>
        <v>TO_DATE(NULLIF(TRIM(MPDS_DOE),'') , 'YYYY-MM-DD')</v>
      </c>
      <c r="N973" s="7" t="str">
        <f>TRIM(ETLMetadata!$J973)</f>
        <v/>
      </c>
      <c r="O973" s="8" t="str">
        <f>IF(TRIM(Classification!$G973)="","NOT CONFIDENTIAL",TRIM(Classification!$G973))</f>
        <v>NOT CONFIDENTIAL</v>
      </c>
      <c r="P973" s="7" t="str">
        <f t="shared" si="127"/>
        <v>Y</v>
      </c>
      <c r="Q973" s="7" t="s">
        <v>826</v>
      </c>
      <c r="R973" s="9">
        <v>2958465</v>
      </c>
      <c r="S973" s="7" t="s">
        <v>827</v>
      </c>
      <c r="T973" s="7" t="s">
        <v>828</v>
      </c>
      <c r="U973" s="7" t="str">
        <f t="shared" si="121"/>
        <v>CLK_DETM_DETIS_MPDS_V</v>
      </c>
      <c r="V973" s="7" t="s">
        <v>829</v>
      </c>
    </row>
    <row r="974" spans="1:22">
      <c r="A974" s="7" t="str">
        <f>TRIM(ETLMetadata!$B974)</f>
        <v>CLK</v>
      </c>
      <c r="B974" s="7" t="str">
        <f>TRIM(ETLMetadata!$C974)</f>
        <v>DETM_DETIS_MPDS</v>
      </c>
      <c r="C974" s="7" t="str">
        <f>TRIM(ETLMetadata!$F974)</f>
        <v>MPDS_DOE_ORIG</v>
      </c>
      <c r="D974" s="7" t="str">
        <f>TRIM(ETLMetadata!$H974)</f>
        <v>StringType()</v>
      </c>
      <c r="E974" s="7" t="str">
        <f t="shared" si="120"/>
        <v>CLK_DETM_DETIS_MPDS</v>
      </c>
      <c r="F974" s="7" t="str">
        <f t="shared" si="122"/>
        <v>MPDS_DOE_ORIG</v>
      </c>
      <c r="G974" s="7" t="s">
        <v>825</v>
      </c>
      <c r="H974" s="7" t="str">
        <f t="shared" si="123"/>
        <v>CLK_DETM_DETIS_MPDS</v>
      </c>
      <c r="I974" s="7" t="str">
        <f t="shared" si="124"/>
        <v>MPDS_DOE_ORIG</v>
      </c>
      <c r="J974" s="7" t="str">
        <f t="shared" si="125"/>
        <v>INTEGER</v>
      </c>
      <c r="K974" s="17" t="s">
        <v>90</v>
      </c>
      <c r="L974" s="7" t="str">
        <f>TRIM(ETLMetadata!$I974)</f>
        <v/>
      </c>
      <c r="M974" s="7" t="str">
        <f t="shared" si="126"/>
        <v>CAST(NULLIF(TRIM(MPDS_DOE_ORIG),'') AS INTEGER)</v>
      </c>
      <c r="N974" s="7" t="str">
        <f>TRIM(ETLMetadata!$J974)</f>
        <v/>
      </c>
      <c r="O974" s="8" t="str">
        <f>IF(TRIM(Classification!$G974)="","NOT CONFIDENTIAL",TRIM(Classification!$G974))</f>
        <v>NOT CONFIDENTIAL</v>
      </c>
      <c r="P974" s="7" t="str">
        <f t="shared" si="127"/>
        <v>Y</v>
      </c>
      <c r="Q974" s="7" t="s">
        <v>826</v>
      </c>
      <c r="R974" s="9">
        <v>2958465</v>
      </c>
      <c r="S974" s="7" t="s">
        <v>827</v>
      </c>
      <c r="T974" s="7" t="s">
        <v>828</v>
      </c>
      <c r="U974" s="7" t="str">
        <f t="shared" si="121"/>
        <v>CLK_DETM_DETIS_MPDS_V</v>
      </c>
      <c r="V974" s="7" t="s">
        <v>829</v>
      </c>
    </row>
    <row r="975" spans="1:22">
      <c r="A975" s="7" t="str">
        <f>TRIM(ETLMetadata!$B975)</f>
        <v>CLK</v>
      </c>
      <c r="B975" s="7" t="str">
        <f>TRIM(ETLMetadata!$C975)</f>
        <v>DETM_DETIS_MPDS</v>
      </c>
      <c r="C975" s="7" t="str">
        <f>TRIM(ETLMetadata!$F975)</f>
        <v>PROCESSING_SEQUENCE</v>
      </c>
      <c r="D975" s="7" t="str">
        <f>TRIM(ETLMetadata!$H975)</f>
        <v>StringType()</v>
      </c>
      <c r="E975" s="7" t="str">
        <f t="shared" si="120"/>
        <v>CLK_DETM_DETIS_MPDS</v>
      </c>
      <c r="F975" s="7" t="str">
        <f t="shared" si="122"/>
        <v>PROCESSING_SEQUENCE</v>
      </c>
      <c r="G975" s="7" t="s">
        <v>825</v>
      </c>
      <c r="H975" s="7" t="str">
        <f t="shared" si="123"/>
        <v>CLK_DETM_DETIS_MPDS</v>
      </c>
      <c r="I975" s="7" t="str">
        <f t="shared" si="124"/>
        <v>PROCESSING_SEQUENCE</v>
      </c>
      <c r="J975" s="7" t="str">
        <f t="shared" si="125"/>
        <v>SMALLINT</v>
      </c>
      <c r="K975" s="7" t="str">
        <f>TRIM(ETLMetadata!$G975)</f>
        <v>SMALLINT</v>
      </c>
      <c r="L975" s="7" t="str">
        <f>TRIM(ETLMetadata!$I975)</f>
        <v/>
      </c>
      <c r="M975" s="7" t="str">
        <f t="shared" si="126"/>
        <v>CAST(NULLIF(TRIM(PROCESSING_SEQUENCE),'') AS SMALLINT)</v>
      </c>
      <c r="N975" s="7" t="str">
        <f>TRIM(ETLMetadata!$J975)</f>
        <v>Y</v>
      </c>
      <c r="O975" s="8" t="str">
        <f>IF(TRIM(Classification!$G975)="","NOT CONFIDENTIAL",TRIM(Classification!$G975))</f>
        <v>NOT CONFIDENTIAL</v>
      </c>
      <c r="P975" s="7" t="str">
        <f t="shared" si="127"/>
        <v>Y</v>
      </c>
      <c r="Q975" s="7" t="s">
        <v>826</v>
      </c>
      <c r="R975" s="9">
        <v>2958465</v>
      </c>
      <c r="S975" s="7" t="s">
        <v>827</v>
      </c>
      <c r="T975" s="7" t="s">
        <v>828</v>
      </c>
      <c r="U975" s="7" t="str">
        <f t="shared" si="121"/>
        <v>CLK_DETM_DETIS_MPDS_V</v>
      </c>
      <c r="V975" s="7" t="s">
        <v>829</v>
      </c>
    </row>
    <row r="976" spans="1:22">
      <c r="A976" s="7" t="str">
        <f>TRIM(ETLMetadata!$B976)</f>
        <v>CLK</v>
      </c>
      <c r="B976" s="7" t="str">
        <f>TRIM(ETLMetadata!$C976)</f>
        <v>DETM_DETIS_MPDS</v>
      </c>
      <c r="C976" s="7" t="str">
        <f>TRIM(ETLMetadata!$F976)</f>
        <v>MPDS_AMR_1</v>
      </c>
      <c r="D976" s="7" t="str">
        <f>TRIM(ETLMetadata!$H976)</f>
        <v>StringType()</v>
      </c>
      <c r="E976" s="7" t="str">
        <f t="shared" si="120"/>
        <v>CLK_DETM_DETIS_MPDS</v>
      </c>
      <c r="F976" s="7" t="str">
        <f t="shared" si="122"/>
        <v>MPDS_AMR_1</v>
      </c>
      <c r="G976" s="7" t="s">
        <v>825</v>
      </c>
      <c r="H976" s="7" t="str">
        <f t="shared" si="123"/>
        <v>CLK_DETM_DETIS_MPDS</v>
      </c>
      <c r="I976" s="7" t="str">
        <f t="shared" si="124"/>
        <v>MPDS_AMR_1</v>
      </c>
      <c r="J976" s="7" t="str">
        <f t="shared" si="125"/>
        <v>VARCHAR</v>
      </c>
      <c r="K976" s="7" t="str">
        <f>TRIM(ETLMetadata!$G976)</f>
        <v>CHAR(4)</v>
      </c>
      <c r="L976" s="7" t="str">
        <f>TRIM(ETLMetadata!$I976)</f>
        <v/>
      </c>
      <c r="M976" s="7" t="str">
        <f t="shared" si="126"/>
        <v>NULLIF(TRIM(MPDS_AMR_1),'')</v>
      </c>
      <c r="N976" s="7" t="str">
        <f>TRIM(ETLMetadata!$J976)</f>
        <v/>
      </c>
      <c r="O976" s="8" t="str">
        <f>IF(TRIM(Classification!$G976)="","NOT CONFIDENTIAL",TRIM(Classification!$G976))</f>
        <v>NOT CONFIDENTIAL</v>
      </c>
      <c r="P976" s="7" t="str">
        <f t="shared" si="127"/>
        <v>Y</v>
      </c>
      <c r="Q976" s="7" t="s">
        <v>826</v>
      </c>
      <c r="R976" s="9">
        <v>2958465</v>
      </c>
      <c r="S976" s="7" t="s">
        <v>827</v>
      </c>
      <c r="T976" s="7" t="s">
        <v>828</v>
      </c>
      <c r="U976" s="7" t="str">
        <f t="shared" si="121"/>
        <v>CLK_DETM_DETIS_MPDS_V</v>
      </c>
      <c r="V976" s="7" t="s">
        <v>829</v>
      </c>
    </row>
    <row r="977" spans="1:22">
      <c r="A977" s="7" t="str">
        <f>TRIM(ETLMetadata!$B977)</f>
        <v>CLK</v>
      </c>
      <c r="B977" s="7" t="str">
        <f>TRIM(ETLMetadata!$C977)</f>
        <v>DETM_DETIS_MPDS</v>
      </c>
      <c r="C977" s="7" t="str">
        <f>TRIM(ETLMetadata!$F977)</f>
        <v>MPDS_AMR_2</v>
      </c>
      <c r="D977" s="7" t="str">
        <f>TRIM(ETLMetadata!$H977)</f>
        <v>StringType()</v>
      </c>
      <c r="E977" s="7" t="str">
        <f t="shared" si="120"/>
        <v>CLK_DETM_DETIS_MPDS</v>
      </c>
      <c r="F977" s="7" t="str">
        <f t="shared" si="122"/>
        <v>MPDS_AMR_2</v>
      </c>
      <c r="G977" s="7" t="s">
        <v>825</v>
      </c>
      <c r="H977" s="7" t="str">
        <f t="shared" si="123"/>
        <v>CLK_DETM_DETIS_MPDS</v>
      </c>
      <c r="I977" s="7" t="str">
        <f t="shared" si="124"/>
        <v>MPDS_AMR_2</v>
      </c>
      <c r="J977" s="7" t="str">
        <f t="shared" si="125"/>
        <v>VARCHAR</v>
      </c>
      <c r="K977" s="7" t="str">
        <f>TRIM(ETLMetadata!$G977)</f>
        <v>CHAR(1)</v>
      </c>
      <c r="L977" s="7" t="str">
        <f>TRIM(ETLMetadata!$I977)</f>
        <v/>
      </c>
      <c r="M977" s="7" t="str">
        <f t="shared" si="126"/>
        <v>NULLIF(TRIM(MPDS_AMR_2),'')</v>
      </c>
      <c r="N977" s="7" t="str">
        <f>TRIM(ETLMetadata!$J977)</f>
        <v/>
      </c>
      <c r="O977" s="8" t="str">
        <f>IF(TRIM(Classification!$G977)="","NOT CONFIDENTIAL",TRIM(Classification!$G977))</f>
        <v>NOT CONFIDENTIAL</v>
      </c>
      <c r="P977" s="7" t="str">
        <f t="shared" si="127"/>
        <v>Y</v>
      </c>
      <c r="Q977" s="7" t="s">
        <v>826</v>
      </c>
      <c r="R977" s="9">
        <v>2958465</v>
      </c>
      <c r="S977" s="7" t="s">
        <v>827</v>
      </c>
      <c r="T977" s="7" t="s">
        <v>828</v>
      </c>
      <c r="U977" s="7" t="str">
        <f t="shared" si="121"/>
        <v>CLK_DETM_DETIS_MPDS_V</v>
      </c>
      <c r="V977" s="7" t="s">
        <v>829</v>
      </c>
    </row>
    <row r="978" spans="1:22">
      <c r="A978" s="7" t="str">
        <f>TRIM(ETLMetadata!$B978)</f>
        <v>CLK</v>
      </c>
      <c r="B978" s="7" t="str">
        <f>TRIM(ETLMetadata!$C978)</f>
        <v>DETM_DETIS_MPDS</v>
      </c>
      <c r="C978" s="7" t="str">
        <f>TRIM(ETLMetadata!$F978)</f>
        <v>MPDS_AMR_3</v>
      </c>
      <c r="D978" s="7" t="str">
        <f>TRIM(ETLMetadata!$H978)</f>
        <v>StringType()</v>
      </c>
      <c r="E978" s="7" t="str">
        <f t="shared" si="120"/>
        <v>CLK_DETM_DETIS_MPDS</v>
      </c>
      <c r="F978" s="7" t="str">
        <f t="shared" si="122"/>
        <v>MPDS_AMR_3</v>
      </c>
      <c r="G978" s="7" t="s">
        <v>825</v>
      </c>
      <c r="H978" s="7" t="str">
        <f t="shared" si="123"/>
        <v>CLK_DETM_DETIS_MPDS</v>
      </c>
      <c r="I978" s="7" t="str">
        <f t="shared" si="124"/>
        <v>MPDS_AMR_3</v>
      </c>
      <c r="J978" s="7" t="str">
        <f t="shared" si="125"/>
        <v>VARCHAR</v>
      </c>
      <c r="K978" s="7" t="str">
        <f>TRIM(ETLMetadata!$G978)</f>
        <v>CHAR(4)</v>
      </c>
      <c r="L978" s="7" t="str">
        <f>TRIM(ETLMetadata!$I978)</f>
        <v/>
      </c>
      <c r="M978" s="7" t="str">
        <f t="shared" si="126"/>
        <v>NULLIF(TRIM(MPDS_AMR_3),'')</v>
      </c>
      <c r="N978" s="7" t="str">
        <f>TRIM(ETLMetadata!$J978)</f>
        <v/>
      </c>
      <c r="O978" s="8" t="str">
        <f>IF(TRIM(Classification!$G978)="","NOT CONFIDENTIAL",TRIM(Classification!$G978))</f>
        <v>NOT CONFIDENTIAL</v>
      </c>
      <c r="P978" s="7" t="str">
        <f t="shared" si="127"/>
        <v>Y</v>
      </c>
      <c r="Q978" s="7" t="s">
        <v>826</v>
      </c>
      <c r="R978" s="9">
        <v>2958465</v>
      </c>
      <c r="S978" s="7" t="s">
        <v>827</v>
      </c>
      <c r="T978" s="7" t="s">
        <v>828</v>
      </c>
      <c r="U978" s="7" t="str">
        <f t="shared" si="121"/>
        <v>CLK_DETM_DETIS_MPDS_V</v>
      </c>
      <c r="V978" s="7" t="s">
        <v>829</v>
      </c>
    </row>
    <row r="979" spans="1:22">
      <c r="A979" s="7" t="str">
        <f>TRIM(ETLMetadata!$B979)</f>
        <v>CLK</v>
      </c>
      <c r="B979" s="7" t="str">
        <f>TRIM(ETLMetadata!$C979)</f>
        <v>DETM_DETIS_MPDS</v>
      </c>
      <c r="C979" s="7" t="str">
        <f>TRIM(ETLMetadata!$F979)</f>
        <v>MPDS_BEN_TYPE_CODE</v>
      </c>
      <c r="D979" s="7" t="str">
        <f>TRIM(ETLMetadata!$H979)</f>
        <v>StringType()</v>
      </c>
      <c r="E979" s="7" t="str">
        <f t="shared" si="120"/>
        <v>CLK_DETM_DETIS_MPDS</v>
      </c>
      <c r="F979" s="7" t="str">
        <f t="shared" si="122"/>
        <v>MPDS_BEN_TYPE_CODE</v>
      </c>
      <c r="G979" s="7" t="s">
        <v>825</v>
      </c>
      <c r="H979" s="7" t="str">
        <f t="shared" si="123"/>
        <v>CLK_DETM_DETIS_MPDS</v>
      </c>
      <c r="I979" s="7" t="str">
        <f t="shared" si="124"/>
        <v>MPDS_BEN_TYPE_CODE</v>
      </c>
      <c r="J979" s="7" t="str">
        <f t="shared" si="125"/>
        <v>VARCHAR</v>
      </c>
      <c r="K979" s="7" t="str">
        <f>TRIM(ETLMetadata!$G979)</f>
        <v>CHAR(3)</v>
      </c>
      <c r="L979" s="7" t="str">
        <f>TRIM(ETLMetadata!$I979)</f>
        <v/>
      </c>
      <c r="M979" s="7" t="str">
        <f t="shared" si="126"/>
        <v>NULLIF(TRIM(MPDS_BEN_TYPE_CODE),'')</v>
      </c>
      <c r="N979" s="7" t="str">
        <f>TRIM(ETLMetadata!$J979)</f>
        <v/>
      </c>
      <c r="O979" s="8" t="str">
        <f>IF(TRIM(Classification!$G979)="","NOT CONFIDENTIAL",TRIM(Classification!$G979))</f>
        <v>NOT CONFIDENTIAL</v>
      </c>
      <c r="P979" s="7" t="str">
        <f t="shared" si="127"/>
        <v>Y</v>
      </c>
      <c r="Q979" s="7" t="s">
        <v>826</v>
      </c>
      <c r="R979" s="9">
        <v>2958465</v>
      </c>
      <c r="S979" s="7" t="s">
        <v>827</v>
      </c>
      <c r="T979" s="7" t="s">
        <v>828</v>
      </c>
      <c r="U979" s="7" t="str">
        <f t="shared" si="121"/>
        <v>CLK_DETM_DETIS_MPDS_V</v>
      </c>
      <c r="V979" s="7" t="s">
        <v>829</v>
      </c>
    </row>
    <row r="980" spans="1:22">
      <c r="A980" s="7" t="str">
        <f>TRIM(ETLMetadata!$B980)</f>
        <v>CLK</v>
      </c>
      <c r="B980" s="7" t="str">
        <f>TRIM(ETLMetadata!$C980)</f>
        <v>DETM_DETIS_MPDS</v>
      </c>
      <c r="C980" s="7" t="str">
        <f>TRIM(ETLMetadata!$F980)</f>
        <v>MPDS_STS_CODE</v>
      </c>
      <c r="D980" s="7" t="str">
        <f>TRIM(ETLMetadata!$H980)</f>
        <v>StringType()</v>
      </c>
      <c r="E980" s="7" t="str">
        <f t="shared" si="120"/>
        <v>CLK_DETM_DETIS_MPDS</v>
      </c>
      <c r="F980" s="7" t="str">
        <f t="shared" si="122"/>
        <v>MPDS_STS_CODE</v>
      </c>
      <c r="G980" s="7" t="s">
        <v>825</v>
      </c>
      <c r="H980" s="7" t="str">
        <f t="shared" si="123"/>
        <v>CLK_DETM_DETIS_MPDS</v>
      </c>
      <c r="I980" s="7" t="str">
        <f t="shared" si="124"/>
        <v>MPDS_STS_CODE</v>
      </c>
      <c r="J980" s="7" t="str">
        <f t="shared" si="125"/>
        <v>VARCHAR</v>
      </c>
      <c r="K980" s="7" t="str">
        <f>TRIM(ETLMetadata!$G980)</f>
        <v>CHAR(3)</v>
      </c>
      <c r="L980" s="7" t="str">
        <f>TRIM(ETLMetadata!$I980)</f>
        <v/>
      </c>
      <c r="M980" s="7" t="str">
        <f t="shared" si="126"/>
        <v>NULLIF(TRIM(MPDS_STS_CODE),'')</v>
      </c>
      <c r="N980" s="7" t="str">
        <f>TRIM(ETLMetadata!$J980)</f>
        <v/>
      </c>
      <c r="O980" s="8" t="str">
        <f>IF(TRIM(Classification!$G980)="","NOT CONFIDENTIAL",TRIM(Classification!$G980))</f>
        <v>NOT CONFIDENTIAL</v>
      </c>
      <c r="P980" s="7" t="str">
        <f t="shared" si="127"/>
        <v>Y</v>
      </c>
      <c r="Q980" s="7" t="s">
        <v>826</v>
      </c>
      <c r="R980" s="9">
        <v>2958465</v>
      </c>
      <c r="S980" s="7" t="s">
        <v>827</v>
      </c>
      <c r="T980" s="7" t="s">
        <v>828</v>
      </c>
      <c r="U980" s="7" t="str">
        <f t="shared" si="121"/>
        <v>CLK_DETM_DETIS_MPDS_V</v>
      </c>
      <c r="V980" s="7" t="s">
        <v>829</v>
      </c>
    </row>
    <row r="981" spans="1:22">
      <c r="A981" s="7" t="str">
        <f>TRIM(ETLMetadata!$B981)</f>
        <v>CLK</v>
      </c>
      <c r="B981" s="7" t="str">
        <f>TRIM(ETLMetadata!$C981)</f>
        <v>DETM_DETIS_MPDS</v>
      </c>
      <c r="C981" s="7" t="str">
        <f>TRIM(ETLMetadata!$F981)</f>
        <v>MPDS_RSN_CODE</v>
      </c>
      <c r="D981" s="7" t="str">
        <f>TRIM(ETLMetadata!$H981)</f>
        <v>StringType()</v>
      </c>
      <c r="E981" s="7" t="str">
        <f t="shared" si="120"/>
        <v>CLK_DETM_DETIS_MPDS</v>
      </c>
      <c r="F981" s="7" t="str">
        <f t="shared" si="122"/>
        <v>MPDS_RSN_CODE</v>
      </c>
      <c r="G981" s="7" t="s">
        <v>825</v>
      </c>
      <c r="H981" s="7" t="str">
        <f t="shared" si="123"/>
        <v>CLK_DETM_DETIS_MPDS</v>
      </c>
      <c r="I981" s="7" t="str">
        <f t="shared" si="124"/>
        <v>MPDS_RSN_CODE</v>
      </c>
      <c r="J981" s="7" t="str">
        <f t="shared" si="125"/>
        <v>VARCHAR</v>
      </c>
      <c r="K981" s="7" t="str">
        <f>TRIM(ETLMetadata!$G981)</f>
        <v>CHAR(3)</v>
      </c>
      <c r="L981" s="7" t="str">
        <f>TRIM(ETLMetadata!$I981)</f>
        <v/>
      </c>
      <c r="M981" s="7" t="str">
        <f t="shared" si="126"/>
        <v>NULLIF(TRIM(MPDS_RSN_CODE),'')</v>
      </c>
      <c r="N981" s="7" t="str">
        <f>TRIM(ETLMetadata!$J981)</f>
        <v/>
      </c>
      <c r="O981" s="8" t="str">
        <f>IF(TRIM(Classification!$G981)="","NOT CONFIDENTIAL",TRIM(Classification!$G981))</f>
        <v>NOT CONFIDENTIAL</v>
      </c>
      <c r="P981" s="7" t="str">
        <f t="shared" si="127"/>
        <v>Y</v>
      </c>
      <c r="Q981" s="7" t="s">
        <v>826</v>
      </c>
      <c r="R981" s="9">
        <v>2958465</v>
      </c>
      <c r="S981" s="7" t="s">
        <v>827</v>
      </c>
      <c r="T981" s="7" t="s">
        <v>828</v>
      </c>
      <c r="U981" s="7" t="str">
        <f t="shared" si="121"/>
        <v>CLK_DETM_DETIS_MPDS_V</v>
      </c>
      <c r="V981" s="7" t="s">
        <v>829</v>
      </c>
    </row>
    <row r="982" spans="1:22">
      <c r="A982" s="7" t="str">
        <f>TRIM(ETLMetadata!$B982)</f>
        <v>CLK</v>
      </c>
      <c r="B982" s="7" t="str">
        <f>TRIM(ETLMetadata!$C982)</f>
        <v>DETM_DETIS_MPDS</v>
      </c>
      <c r="C982" s="7" t="str">
        <f>TRIM(ETLMetadata!$F982)</f>
        <v>MPDS_UNIQ_ID</v>
      </c>
      <c r="D982" s="7" t="str">
        <f>TRIM(ETLMetadata!$H982)</f>
        <v>StringType()</v>
      </c>
      <c r="E982" s="7" t="str">
        <f t="shared" si="120"/>
        <v>CLK_DETM_DETIS_MPDS</v>
      </c>
      <c r="F982" s="7" t="str">
        <f t="shared" si="122"/>
        <v>MPDS_UNIQ_ID</v>
      </c>
      <c r="G982" s="7" t="s">
        <v>825</v>
      </c>
      <c r="H982" s="7" t="str">
        <f t="shared" si="123"/>
        <v>CLK_DETM_DETIS_MPDS</v>
      </c>
      <c r="I982" s="7" t="str">
        <f t="shared" si="124"/>
        <v>MPDS_UNIQ_ID</v>
      </c>
      <c r="J982" s="7" t="str">
        <f t="shared" si="125"/>
        <v>VARCHAR</v>
      </c>
      <c r="K982" s="7" t="str">
        <f>TRIM(ETLMetadata!$G982)</f>
        <v>VARCHAR(8)</v>
      </c>
      <c r="L982" s="7" t="str">
        <f>TRIM(ETLMetadata!$I982)</f>
        <v/>
      </c>
      <c r="M982" s="7" t="str">
        <f t="shared" si="126"/>
        <v>NULLIF(TRIM(MPDS_UNIQ_ID),'')</v>
      </c>
      <c r="N982" s="7" t="str">
        <f>TRIM(ETLMetadata!$J982)</f>
        <v/>
      </c>
      <c r="O982" s="8" t="str">
        <f>IF(TRIM(Classification!$G982)="","NOT CONFIDENTIAL",TRIM(Classification!$G982))</f>
        <v>NOT CONFIDENTIAL</v>
      </c>
      <c r="P982" s="7" t="str">
        <f t="shared" si="127"/>
        <v>Y</v>
      </c>
      <c r="Q982" s="7" t="s">
        <v>826</v>
      </c>
      <c r="R982" s="9">
        <v>2958465</v>
      </c>
      <c r="S982" s="7" t="s">
        <v>827</v>
      </c>
      <c r="T982" s="7" t="s">
        <v>828</v>
      </c>
      <c r="U982" s="7" t="str">
        <f t="shared" si="121"/>
        <v>CLK_DETM_DETIS_MPDS_V</v>
      </c>
      <c r="V982" s="7" t="s">
        <v>829</v>
      </c>
    </row>
    <row r="983" spans="1:22">
      <c r="A983" s="7" t="str">
        <f>TRIM(ETLMetadata!$B983)</f>
        <v>CLK</v>
      </c>
      <c r="B983" s="7" t="str">
        <f>TRIM(ETLMetadata!$C983)</f>
        <v>DETM_DETIS_MPDS</v>
      </c>
      <c r="C983" s="7" t="str">
        <f>TRIM(ETLMetadata!$F983)</f>
        <v>AMR1_RISL_DTS</v>
      </c>
      <c r="D983" s="7" t="str">
        <f>TRIM(ETLMetadata!$H983)</f>
        <v>StringType()</v>
      </c>
      <c r="E983" s="7" t="str">
        <f t="shared" si="120"/>
        <v>CLK_DETM_DETIS_MPDS</v>
      </c>
      <c r="F983" s="7" t="str">
        <f t="shared" si="122"/>
        <v>AMR1_RISL_DTS</v>
      </c>
      <c r="G983" s="7" t="s">
        <v>825</v>
      </c>
      <c r="H983" s="7" t="str">
        <f t="shared" si="123"/>
        <v>CLK_DETM_DETIS_MPDS</v>
      </c>
      <c r="I983" s="7" t="str">
        <f t="shared" si="124"/>
        <v>AMR1_RISL_DTS</v>
      </c>
      <c r="J983" s="7" t="str">
        <f t="shared" si="125"/>
        <v>TIMESTAMP</v>
      </c>
      <c r="K983" s="7" t="str">
        <f>TRIM(ETLMetadata!$G983)</f>
        <v>TIMESTAMP(6)</v>
      </c>
      <c r="L983" s="7" t="str">
        <f>TRIM(ETLMetadata!$I983)</f>
        <v>YYYY-MM-DDBHH:MI:SS.S(6)</v>
      </c>
      <c r="M983" s="7" t="str">
        <f t="shared" si="126"/>
        <v>TO_TIMESTAMP_NTZ(NULLIF(TRIM(AMR1_RISL_DTS),''),'YYYY-MM-DD HH24:MI:SS.FF6')</v>
      </c>
      <c r="N983" s="7" t="str">
        <f>TRIM(ETLMetadata!$J983)</f>
        <v/>
      </c>
      <c r="O983" s="8" t="str">
        <f>IF(TRIM(Classification!$G983)="","NOT CONFIDENTIAL",TRIM(Classification!$G983))</f>
        <v>NOT CONFIDENTIAL</v>
      </c>
      <c r="P983" s="7" t="str">
        <f t="shared" si="127"/>
        <v>Y</v>
      </c>
      <c r="Q983" s="7" t="s">
        <v>826</v>
      </c>
      <c r="R983" s="9">
        <v>2958465</v>
      </c>
      <c r="S983" s="7" t="s">
        <v>827</v>
      </c>
      <c r="T983" s="7" t="s">
        <v>828</v>
      </c>
      <c r="U983" s="7" t="str">
        <f t="shared" si="121"/>
        <v>CLK_DETM_DETIS_MPDS_V</v>
      </c>
      <c r="V983" s="7" t="s">
        <v>829</v>
      </c>
    </row>
    <row r="984" spans="1:22">
      <c r="A984" s="7" t="str">
        <f>TRIM(ETLMetadata!$B984)</f>
        <v>CLK</v>
      </c>
      <c r="B984" s="7" t="str">
        <f>TRIM(ETLMetadata!$C984)</f>
        <v>DETM_DETIS_MPDS</v>
      </c>
      <c r="C984" s="7" t="str">
        <f>TRIM(ETLMetadata!$F984)</f>
        <v>AMR3_RISL_DTS</v>
      </c>
      <c r="D984" s="7" t="str">
        <f>TRIM(ETLMetadata!$H984)</f>
        <v>StringType()</v>
      </c>
      <c r="E984" s="7" t="str">
        <f t="shared" si="120"/>
        <v>CLK_DETM_DETIS_MPDS</v>
      </c>
      <c r="F984" s="7" t="str">
        <f t="shared" si="122"/>
        <v>AMR3_RISL_DTS</v>
      </c>
      <c r="G984" s="7" t="s">
        <v>825</v>
      </c>
      <c r="H984" s="7" t="str">
        <f t="shared" si="123"/>
        <v>CLK_DETM_DETIS_MPDS</v>
      </c>
      <c r="I984" s="7" t="str">
        <f t="shared" si="124"/>
        <v>AMR3_RISL_DTS</v>
      </c>
      <c r="J984" s="7" t="str">
        <f t="shared" si="125"/>
        <v>TIMESTAMP</v>
      </c>
      <c r="K984" s="7" t="str">
        <f>TRIM(ETLMetadata!$G984)</f>
        <v>TIMESTAMP(6)</v>
      </c>
      <c r="L984" s="7" t="str">
        <f>TRIM(ETLMetadata!$I984)</f>
        <v>YYYY-MM-DDBHH:MI:SS.S(6)</v>
      </c>
      <c r="M984" s="7" t="str">
        <f t="shared" si="126"/>
        <v>TO_TIMESTAMP_NTZ(NULLIF(TRIM(AMR3_RISL_DTS),''),'YYYY-MM-DD HH24:MI:SS.FF6')</v>
      </c>
      <c r="N984" s="7" t="str">
        <f>TRIM(ETLMetadata!$J984)</f>
        <v/>
      </c>
      <c r="O984" s="8" t="str">
        <f>IF(TRIM(Classification!$G984)="","NOT CONFIDENTIAL",TRIM(Classification!$G984))</f>
        <v>NOT CONFIDENTIAL</v>
      </c>
      <c r="P984" s="7" t="str">
        <f t="shared" si="127"/>
        <v>Y</v>
      </c>
      <c r="Q984" s="7" t="s">
        <v>826</v>
      </c>
      <c r="R984" s="9">
        <v>2958465</v>
      </c>
      <c r="S984" s="7" t="s">
        <v>827</v>
      </c>
      <c r="T984" s="7" t="s">
        <v>828</v>
      </c>
      <c r="U984" s="7" t="str">
        <f t="shared" si="121"/>
        <v>CLK_DETM_DETIS_MPDS_V</v>
      </c>
      <c r="V984" s="7" t="s">
        <v>829</v>
      </c>
    </row>
    <row r="985" spans="1:22">
      <c r="A985" s="7" t="str">
        <f>TRIM(ETLMetadata!$B985)</f>
        <v>CLK</v>
      </c>
      <c r="B985" s="7" t="str">
        <f>TRIM(ETLMetadata!$C985)</f>
        <v>DETM_DETIS_MPDS</v>
      </c>
      <c r="C985" s="7" t="str">
        <f>TRIM(ETLMetadata!$F985)</f>
        <v>EPISODE_ID</v>
      </c>
      <c r="D985" s="7" t="str">
        <f>TRIM(ETLMetadata!$H985)</f>
        <v>StringType()</v>
      </c>
      <c r="E985" s="7" t="str">
        <f t="shared" si="120"/>
        <v>CLK_DETM_DETIS_MPDS</v>
      </c>
      <c r="F985" s="7" t="str">
        <f t="shared" si="122"/>
        <v>EPISODE_ID</v>
      </c>
      <c r="G985" s="7" t="s">
        <v>825</v>
      </c>
      <c r="H985" s="7" t="str">
        <f t="shared" si="123"/>
        <v>CLK_DETM_DETIS_MPDS</v>
      </c>
      <c r="I985" s="7" t="str">
        <f t="shared" si="124"/>
        <v>EPISODE_ID</v>
      </c>
      <c r="J985" s="7" t="str">
        <f t="shared" si="125"/>
        <v>INTEGER</v>
      </c>
      <c r="K985" s="7" t="str">
        <f>TRIM(ETLMetadata!$G985)</f>
        <v>INTEGER</v>
      </c>
      <c r="L985" s="7" t="str">
        <f>TRIM(ETLMetadata!$I985)</f>
        <v/>
      </c>
      <c r="M985" s="7" t="str">
        <f t="shared" si="126"/>
        <v>CAST(NULLIF(TRIM(EPISODE_ID),'') AS INTEGER)</v>
      </c>
      <c r="N985" s="7" t="str">
        <f>TRIM(ETLMetadata!$J985)</f>
        <v/>
      </c>
      <c r="O985" s="8" t="str">
        <f>IF(TRIM(Classification!$G985)="","NOT CONFIDENTIAL",TRIM(Classification!$G985))</f>
        <v>NOT CONFIDENTIAL</v>
      </c>
      <c r="P985" s="7" t="str">
        <f t="shared" si="127"/>
        <v>Y</v>
      </c>
      <c r="Q985" s="7" t="s">
        <v>826</v>
      </c>
      <c r="R985" s="9">
        <v>2958465</v>
      </c>
      <c r="S985" s="7" t="s">
        <v>827</v>
      </c>
      <c r="T985" s="7" t="s">
        <v>828</v>
      </c>
      <c r="U985" s="7" t="str">
        <f t="shared" si="121"/>
        <v>CLK_DETM_DETIS_MPDS_V</v>
      </c>
      <c r="V985" s="7" t="s">
        <v>829</v>
      </c>
    </row>
    <row r="986" spans="1:22">
      <c r="A986" s="7" t="str">
        <f>TRIM(ETLMetadata!$B986)</f>
        <v>CLK</v>
      </c>
      <c r="B986" s="7" t="str">
        <f>TRIM(ETLMetadata!$C986)</f>
        <v>DETM_DETIS_MPDS</v>
      </c>
      <c r="C986" s="7" t="str">
        <f>TRIM(ETLMetadata!$F986)</f>
        <v>PARTY_ROLE_ID</v>
      </c>
      <c r="D986" s="7" t="str">
        <f>TRIM(ETLMetadata!$H986)</f>
        <v>StringType()</v>
      </c>
      <c r="E986" s="7" t="str">
        <f t="shared" si="120"/>
        <v>CLK_DETM_DETIS_MPDS</v>
      </c>
      <c r="F986" s="7" t="str">
        <f t="shared" si="122"/>
        <v>PARTY_ROLE_ID</v>
      </c>
      <c r="G986" s="7" t="s">
        <v>825</v>
      </c>
      <c r="H986" s="7" t="str">
        <f t="shared" si="123"/>
        <v>CLK_DETM_DETIS_MPDS</v>
      </c>
      <c r="I986" s="7" t="str">
        <f t="shared" si="124"/>
        <v>PARTY_ROLE_ID</v>
      </c>
      <c r="J986" s="7" t="str">
        <f t="shared" si="125"/>
        <v>INTEGER</v>
      </c>
      <c r="K986" s="7" t="str">
        <f>TRIM(ETLMetadata!$G986)</f>
        <v>INTEGER</v>
      </c>
      <c r="L986" s="7" t="str">
        <f>TRIM(ETLMetadata!$I986)</f>
        <v/>
      </c>
      <c r="M986" s="7" t="str">
        <f t="shared" si="126"/>
        <v>CAST(NULLIF(TRIM(PARTY_ROLE_ID),'') AS INTEGER)</v>
      </c>
      <c r="N986" s="7" t="str">
        <f>TRIM(ETLMetadata!$J986)</f>
        <v/>
      </c>
      <c r="O986" s="8" t="str">
        <f>IF(TRIM(Classification!$G986)="","NOT CONFIDENTIAL",TRIM(Classification!$G986))</f>
        <v>NOT CONFIDENTIAL</v>
      </c>
      <c r="P986" s="7" t="str">
        <f t="shared" si="127"/>
        <v>Y</v>
      </c>
      <c r="Q986" s="7" t="s">
        <v>826</v>
      </c>
      <c r="R986" s="9">
        <v>2958465</v>
      </c>
      <c r="S986" s="7" t="s">
        <v>827</v>
      </c>
      <c r="T986" s="7" t="s">
        <v>828</v>
      </c>
      <c r="U986" s="7" t="str">
        <f t="shared" si="121"/>
        <v>CLK_DETM_DETIS_MPDS_V</v>
      </c>
      <c r="V986" s="7" t="s">
        <v>829</v>
      </c>
    </row>
    <row r="987" spans="1:22">
      <c r="A987" s="7" t="str">
        <f>TRIM(ETLMetadata!$B987)</f>
        <v>CLK</v>
      </c>
      <c r="B987" s="7" t="str">
        <f>TRIM(ETLMetadata!$C987)</f>
        <v>DETM_DETIS_MPDS</v>
      </c>
      <c r="C987" s="7" t="str">
        <f>TRIM(ETLMetadata!$F987)</f>
        <v>PAYMENT_TYPE_ID</v>
      </c>
      <c r="D987" s="7" t="str">
        <f>TRIM(ETLMetadata!$H987)</f>
        <v>StringType()</v>
      </c>
      <c r="E987" s="7" t="str">
        <f t="shared" si="120"/>
        <v>CLK_DETM_DETIS_MPDS</v>
      </c>
      <c r="F987" s="7" t="str">
        <f t="shared" si="122"/>
        <v>PAYMENT_TYPE_ID</v>
      </c>
      <c r="G987" s="7" t="s">
        <v>825</v>
      </c>
      <c r="H987" s="7" t="str">
        <f t="shared" si="123"/>
        <v>CLK_DETM_DETIS_MPDS</v>
      </c>
      <c r="I987" s="7" t="str">
        <f t="shared" si="124"/>
        <v>PAYMENT_TYPE_ID</v>
      </c>
      <c r="J987" s="7" t="str">
        <f t="shared" si="125"/>
        <v>INTEGER</v>
      </c>
      <c r="K987" s="7" t="str">
        <f>TRIM(ETLMetadata!$G987)</f>
        <v>INTEGER</v>
      </c>
      <c r="L987" s="7" t="str">
        <f>TRIM(ETLMetadata!$I987)</f>
        <v/>
      </c>
      <c r="M987" s="7" t="str">
        <f t="shared" si="126"/>
        <v>CAST(NULLIF(TRIM(PAYMENT_TYPE_ID),'') AS INTEGER)</v>
      </c>
      <c r="N987" s="7" t="str">
        <f>TRIM(ETLMetadata!$J987)</f>
        <v/>
      </c>
      <c r="O987" s="8" t="str">
        <f>IF(TRIM(Classification!$G987)="","NOT CONFIDENTIAL",TRIM(Classification!$G987))</f>
        <v>NOT CONFIDENTIAL</v>
      </c>
      <c r="P987" s="7" t="str">
        <f t="shared" si="127"/>
        <v>Y</v>
      </c>
      <c r="Q987" s="7" t="s">
        <v>826</v>
      </c>
      <c r="R987" s="9">
        <v>2958465</v>
      </c>
      <c r="S987" s="7" t="s">
        <v>827</v>
      </c>
      <c r="T987" s="7" t="s">
        <v>828</v>
      </c>
      <c r="U987" s="7" t="str">
        <f t="shared" si="121"/>
        <v>CLK_DETM_DETIS_MPDS_V</v>
      </c>
      <c r="V987" s="7" t="s">
        <v>829</v>
      </c>
    </row>
    <row r="988" spans="1:22">
      <c r="A988" s="7" t="str">
        <f>TRIM(ETLMetadata!$B988)</f>
        <v>CLK</v>
      </c>
      <c r="B988" s="7" t="str">
        <f>TRIM(ETLMetadata!$C988)</f>
        <v>DETM_DETIS_MPDS</v>
      </c>
      <c r="C988" s="7" t="str">
        <f>TRIM(ETLMetadata!$F988)</f>
        <v>ERROR_COUNT</v>
      </c>
      <c r="D988" s="7" t="str">
        <f>TRIM(ETLMetadata!$H988)</f>
        <v>StringType()</v>
      </c>
      <c r="E988" s="7" t="str">
        <f t="shared" si="120"/>
        <v>CLK_DETM_DETIS_MPDS</v>
      </c>
      <c r="F988" s="7" t="str">
        <f t="shared" si="122"/>
        <v>ERROR_COUNT</v>
      </c>
      <c r="G988" s="7" t="s">
        <v>825</v>
      </c>
      <c r="H988" s="7" t="str">
        <f t="shared" si="123"/>
        <v>CLK_DETM_DETIS_MPDS</v>
      </c>
      <c r="I988" s="7" t="str">
        <f t="shared" si="124"/>
        <v>ERROR_COUNT</v>
      </c>
      <c r="J988" s="7" t="str">
        <f t="shared" si="125"/>
        <v>SMALLINT</v>
      </c>
      <c r="K988" s="7" t="str">
        <f>TRIM(ETLMetadata!$G988)</f>
        <v>SMALLINT</v>
      </c>
      <c r="L988" s="7" t="str">
        <f>TRIM(ETLMetadata!$I988)</f>
        <v/>
      </c>
      <c r="M988" s="7" t="str">
        <f t="shared" si="126"/>
        <v>CAST(NULLIF(TRIM(ERROR_COUNT),'') AS SMALLINT)</v>
      </c>
      <c r="N988" s="7" t="str">
        <f>TRIM(ETLMetadata!$J988)</f>
        <v/>
      </c>
      <c r="O988" s="8" t="str">
        <f>IF(TRIM(Classification!$G988)="","NOT CONFIDENTIAL",TRIM(Classification!$G988))</f>
        <v>NOT CONFIDENTIAL</v>
      </c>
      <c r="P988" s="7" t="str">
        <f t="shared" si="127"/>
        <v>Y</v>
      </c>
      <c r="Q988" s="7" t="s">
        <v>826</v>
      </c>
      <c r="R988" s="9">
        <v>2958465</v>
      </c>
      <c r="S988" s="7" t="s">
        <v>827</v>
      </c>
      <c r="T988" s="7" t="s">
        <v>828</v>
      </c>
      <c r="U988" s="7" t="str">
        <f t="shared" si="121"/>
        <v>CLK_DETM_DETIS_MPDS_V</v>
      </c>
      <c r="V988" s="7" t="s">
        <v>829</v>
      </c>
    </row>
    <row r="989" spans="1:22">
      <c r="A989" s="7" t="str">
        <f>TRIM(ETLMetadata!$B989)</f>
        <v>CLK</v>
      </c>
      <c r="B989" s="7" t="str">
        <f>TRIM(ETLMetadata!$C989)</f>
        <v>DETM_DETIS_MPDS</v>
      </c>
      <c r="C989" s="7" t="str">
        <f>TRIM(ETLMetadata!$F989)</f>
        <v>Start_Date</v>
      </c>
      <c r="D989" s="7" t="str">
        <f>TRIM(ETLMetadata!$H989)</f>
        <v>StringType()</v>
      </c>
      <c r="E989" s="7" t="str">
        <f t="shared" si="120"/>
        <v>CLK_DETM_DETIS_MPDS</v>
      </c>
      <c r="F989" s="7" t="str">
        <f t="shared" si="122"/>
        <v>STRT_DT</v>
      </c>
      <c r="G989" s="7" t="s">
        <v>825</v>
      </c>
      <c r="H989" s="7" t="str">
        <f t="shared" si="123"/>
        <v>CLK_DETM_DETIS_MPDS</v>
      </c>
      <c r="I989" s="7" t="str">
        <f t="shared" si="124"/>
        <v>STRT_DT</v>
      </c>
      <c r="J989" s="7" t="str">
        <f t="shared" si="125"/>
        <v>DATE</v>
      </c>
      <c r="K989" s="7" t="str">
        <f>TRIM(ETLMetadata!$G989)</f>
        <v>DATE</v>
      </c>
      <c r="L989" s="7" t="str">
        <f>TRIM(ETLMetadata!$I989)</f>
        <v>YYYY-MM-DD</v>
      </c>
      <c r="M989" s="7" t="str">
        <f t="shared" si="126"/>
        <v>TO_DATE(NULLIF(TRIM(STRT_DT),'') , 'YYYY-MM-DD')</v>
      </c>
      <c r="N989" s="7" t="str">
        <f>TRIM(ETLMetadata!$J989)</f>
        <v/>
      </c>
      <c r="O989" s="8" t="str">
        <f>IF(TRIM(Classification!$G989)="","NOT CONFIDENTIAL",TRIM(Classification!$G989))</f>
        <v>NOT CONFIDENTIAL</v>
      </c>
      <c r="P989" s="7" t="str">
        <f t="shared" si="127"/>
        <v>N</v>
      </c>
      <c r="Q989" s="7" t="s">
        <v>826</v>
      </c>
      <c r="R989" s="9">
        <v>2958465</v>
      </c>
      <c r="S989" s="7" t="s">
        <v>827</v>
      </c>
      <c r="T989" s="7" t="s">
        <v>828</v>
      </c>
      <c r="U989" s="7" t="str">
        <f t="shared" si="121"/>
        <v>CLK_DETM_DETIS_MPDS_V</v>
      </c>
      <c r="V989" s="7" t="s">
        <v>829</v>
      </c>
    </row>
    <row r="990" spans="1:22">
      <c r="A990" s="7" t="str">
        <f>TRIM(ETLMetadata!$B990)</f>
        <v>CLK</v>
      </c>
      <c r="B990" s="7" t="str">
        <f>TRIM(ETLMetadata!$C990)</f>
        <v>DETM_DETIS_MPDS</v>
      </c>
      <c r="C990" s="7" t="str">
        <f>TRIM(ETLMetadata!$F990)</f>
        <v>End_Date</v>
      </c>
      <c r="D990" s="7" t="str">
        <f>TRIM(ETLMetadata!$H990)</f>
        <v>StringType()</v>
      </c>
      <c r="E990" s="7" t="str">
        <f t="shared" si="120"/>
        <v>CLK_DETM_DETIS_MPDS</v>
      </c>
      <c r="F990" s="7" t="str">
        <f t="shared" si="122"/>
        <v>END_DT</v>
      </c>
      <c r="G990" s="7" t="s">
        <v>825</v>
      </c>
      <c r="H990" s="7" t="str">
        <f t="shared" si="123"/>
        <v>CLK_DETM_DETIS_MPDS</v>
      </c>
      <c r="I990" s="7" t="str">
        <f t="shared" si="124"/>
        <v>END_DT</v>
      </c>
      <c r="J990" s="7" t="str">
        <f t="shared" si="125"/>
        <v>DATE</v>
      </c>
      <c r="K990" s="7" t="str">
        <f>TRIM(ETLMetadata!$G990)</f>
        <v>DATE</v>
      </c>
      <c r="L990" s="7" t="str">
        <f>TRIM(ETLMetadata!$I990)</f>
        <v>YYYY-MM-DD</v>
      </c>
      <c r="M990" s="7" t="str">
        <f t="shared" si="126"/>
        <v>TO_DATE(NULLIF(TRIM(END_DT),'') , 'YYYY-MM-DD')</v>
      </c>
      <c r="N990" s="7" t="str">
        <f>TRIM(ETLMetadata!$J990)</f>
        <v/>
      </c>
      <c r="O990" s="8" t="str">
        <f>IF(TRIM(Classification!$G990)="","NOT CONFIDENTIAL",TRIM(Classification!$G990))</f>
        <v>NOT CONFIDENTIAL</v>
      </c>
      <c r="P990" s="7" t="str">
        <f t="shared" si="127"/>
        <v>N</v>
      </c>
      <c r="Q990" s="7" t="s">
        <v>826</v>
      </c>
      <c r="R990" s="9">
        <v>2958465</v>
      </c>
      <c r="S990" s="7" t="s">
        <v>827</v>
      </c>
      <c r="T990" s="7" t="s">
        <v>828</v>
      </c>
      <c r="U990" s="7" t="str">
        <f t="shared" si="121"/>
        <v>CLK_DETM_DETIS_MPDS_V</v>
      </c>
      <c r="V990" s="7" t="s">
        <v>829</v>
      </c>
    </row>
    <row r="991" spans="1:22">
      <c r="A991" s="7" t="str">
        <f>TRIM(ETLMetadata!$B991)</f>
        <v>CLK</v>
      </c>
      <c r="B991" s="7" t="str">
        <f>TRIM(ETLMetadata!$C991)</f>
        <v>DETM_DETIS_MPDS</v>
      </c>
      <c r="C991" s="7" t="str">
        <f>TRIM(ETLMetadata!$F991)</f>
        <v>Record_Deleted_Flag</v>
      </c>
      <c r="D991" s="7" t="str">
        <f>TRIM(ETLMetadata!$H991)</f>
        <v>StringType()</v>
      </c>
      <c r="E991" s="7" t="str">
        <f t="shared" ref="E991:E1054" si="128">CONCATENATE($A991,"_",B991)</f>
        <v>CLK_DETM_DETIS_MPDS</v>
      </c>
      <c r="F991" s="7" t="str">
        <f t="shared" si="122"/>
        <v>RCRD_DEL_IND</v>
      </c>
      <c r="G991" s="7" t="s">
        <v>825</v>
      </c>
      <c r="H991" s="7" t="str">
        <f t="shared" si="123"/>
        <v>CLK_DETM_DETIS_MPDS</v>
      </c>
      <c r="I991" s="7" t="str">
        <f t="shared" si="124"/>
        <v>RCRD_DEL_IND</v>
      </c>
      <c r="J991" s="7" t="str">
        <f t="shared" si="125"/>
        <v>SMALLINT</v>
      </c>
      <c r="K991" s="7" t="str">
        <f>TRIM(ETLMetadata!$G991)</f>
        <v>BYTEINT</v>
      </c>
      <c r="L991" s="7" t="str">
        <f>TRIM(ETLMetadata!$I991)</f>
        <v/>
      </c>
      <c r="M991" s="7" t="str">
        <f t="shared" si="126"/>
        <v>CAST(NULLIF(TRIM(RCRD_DEL_IND),'') AS SMALLINT)</v>
      </c>
      <c r="N991" s="7" t="str">
        <f>TRIM(ETLMetadata!$J991)</f>
        <v/>
      </c>
      <c r="O991" s="8" t="str">
        <f>IF(TRIM(Classification!$G991)="","NOT CONFIDENTIAL",TRIM(Classification!$G991))</f>
        <v>NOT CONFIDENTIAL</v>
      </c>
      <c r="P991" s="7" t="str">
        <f t="shared" si="127"/>
        <v>N</v>
      </c>
      <c r="Q991" s="7" t="s">
        <v>826</v>
      </c>
      <c r="R991" s="9">
        <v>2958465</v>
      </c>
      <c r="S991" s="7" t="s">
        <v>827</v>
      </c>
      <c r="T991" s="7" t="s">
        <v>828</v>
      </c>
      <c r="U991" s="7" t="str">
        <f t="shared" ref="U991:U1054" si="129">CONCATENATE(A991,"_",B991,"_V")</f>
        <v>CLK_DETM_DETIS_MPDS_V</v>
      </c>
      <c r="V991" s="7" t="s">
        <v>829</v>
      </c>
    </row>
    <row r="992" spans="1:22">
      <c r="A992" s="7" t="str">
        <f>TRIM(ETLMetadata!$B992)</f>
        <v>CLK</v>
      </c>
      <c r="B992" s="7" t="str">
        <f>TRIM(ETLMetadata!$C992)</f>
        <v>DETM_DETIS_MYDS</v>
      </c>
      <c r="C992" s="7" t="str">
        <f>TRIM(ETLMetadata!$F992)</f>
        <v>EXTRACT_DATE</v>
      </c>
      <c r="D992" s="7" t="str">
        <f>TRIM(ETLMetadata!$H992)</f>
        <v>StringType()</v>
      </c>
      <c r="E992" s="7" t="str">
        <f t="shared" si="128"/>
        <v>CLK_DETM_DETIS_MYDS</v>
      </c>
      <c r="F992" s="7" t="str">
        <f t="shared" si="122"/>
        <v>EXTRACT_DATE</v>
      </c>
      <c r="G992" s="7" t="s">
        <v>825</v>
      </c>
      <c r="H992" s="7" t="str">
        <f t="shared" si="123"/>
        <v>CLK_DETM_DETIS_MYDS</v>
      </c>
      <c r="I992" s="7" t="str">
        <f t="shared" si="124"/>
        <v>EXTRACT_DATE</v>
      </c>
      <c r="J992" s="7" t="str">
        <f t="shared" si="125"/>
        <v>DATE</v>
      </c>
      <c r="K992" s="7" t="str">
        <f>TRIM(ETLMetadata!$G992)</f>
        <v>DATE</v>
      </c>
      <c r="L992" s="7" t="str">
        <f>TRIM(ETLMetadata!$I992)</f>
        <v>YYYY-MM-DD</v>
      </c>
      <c r="M992" s="7" t="str">
        <f t="shared" si="126"/>
        <v>TO_DATE(NULLIF(TRIM(EXTRACT_DATE),'') , 'YYYY-MM-DD')</v>
      </c>
      <c r="N992" s="7" t="str">
        <f>TRIM(ETLMetadata!$J992)</f>
        <v/>
      </c>
      <c r="O992" s="8" t="str">
        <f>IF(TRIM(Classification!$G992)="","NOT CONFIDENTIAL",TRIM(Classification!$G992))</f>
        <v>NOT CONFIDENTIAL</v>
      </c>
      <c r="P992" s="7" t="str">
        <f t="shared" si="127"/>
        <v>Y</v>
      </c>
      <c r="Q992" s="7" t="s">
        <v>826</v>
      </c>
      <c r="R992" s="9">
        <v>2958465</v>
      </c>
      <c r="S992" s="7" t="s">
        <v>827</v>
      </c>
      <c r="T992" s="7" t="s">
        <v>828</v>
      </c>
      <c r="U992" s="7" t="str">
        <f t="shared" si="129"/>
        <v>CLK_DETM_DETIS_MYDS_V</v>
      </c>
      <c r="V992" s="7" t="s">
        <v>829</v>
      </c>
    </row>
    <row r="993" spans="1:22">
      <c r="A993" s="7" t="str">
        <f>TRIM(ETLMetadata!$B993)</f>
        <v>CLK</v>
      </c>
      <c r="B993" s="7" t="str">
        <f>TRIM(ETLMetadata!$C993)</f>
        <v>DETM_DETIS_MYDS</v>
      </c>
      <c r="C993" s="7" t="str">
        <f>TRIM(ETLMetadata!$F993)</f>
        <v>LOGICAL_DELETE_DATE</v>
      </c>
      <c r="D993" s="7" t="str">
        <f>TRIM(ETLMetadata!$H993)</f>
        <v>StringType()</v>
      </c>
      <c r="E993" s="7" t="str">
        <f t="shared" si="128"/>
        <v>CLK_DETM_DETIS_MYDS</v>
      </c>
      <c r="F993" s="7" t="str">
        <f t="shared" si="122"/>
        <v>LOGICAL_DELETE_DATE</v>
      </c>
      <c r="G993" s="7" t="s">
        <v>825</v>
      </c>
      <c r="H993" s="7" t="str">
        <f t="shared" si="123"/>
        <v>CLK_DETM_DETIS_MYDS</v>
      </c>
      <c r="I993" s="7" t="str">
        <f t="shared" si="124"/>
        <v>LOGICAL_DELETE_DATE</v>
      </c>
      <c r="J993" s="7" t="str">
        <f t="shared" si="125"/>
        <v>DATE</v>
      </c>
      <c r="K993" s="7" t="str">
        <f>TRIM(ETLMetadata!$G993)</f>
        <v>DATE</v>
      </c>
      <c r="L993" s="7" t="str">
        <f>TRIM(ETLMetadata!$I993)</f>
        <v>YYYY-MM-DD</v>
      </c>
      <c r="M993" s="7" t="str">
        <f t="shared" si="126"/>
        <v>TO_DATE(NULLIF(TRIM(LOGICAL_DELETE_DATE),'') , 'YYYY-MM-DD')</v>
      </c>
      <c r="N993" s="7" t="str">
        <f>TRIM(ETLMetadata!$J993)</f>
        <v/>
      </c>
      <c r="O993" s="8" t="str">
        <f>IF(TRIM(Classification!$G993)="","NOT CONFIDENTIAL",TRIM(Classification!$G993))</f>
        <v>NOT CONFIDENTIAL</v>
      </c>
      <c r="P993" s="7" t="str">
        <f t="shared" si="127"/>
        <v>Y</v>
      </c>
      <c r="Q993" s="7" t="s">
        <v>826</v>
      </c>
      <c r="R993" s="9">
        <v>2958465</v>
      </c>
      <c r="S993" s="7" t="s">
        <v>827</v>
      </c>
      <c r="T993" s="7" t="s">
        <v>828</v>
      </c>
      <c r="U993" s="7" t="str">
        <f t="shared" si="129"/>
        <v>CLK_DETM_DETIS_MYDS_V</v>
      </c>
      <c r="V993" s="7" t="s">
        <v>829</v>
      </c>
    </row>
    <row r="994" spans="1:22">
      <c r="A994" s="7" t="str">
        <f>TRIM(ETLMetadata!$B994)</f>
        <v>CLK</v>
      </c>
      <c r="B994" s="7" t="str">
        <f>TRIM(ETLMetadata!$C994)</f>
        <v>DETM_DETIS_MYDS</v>
      </c>
      <c r="C994" s="7" t="str">
        <f>TRIM(ETLMetadata!$F994)</f>
        <v>ENVIRONMENT_ID</v>
      </c>
      <c r="D994" s="7" t="str">
        <f>TRIM(ETLMetadata!$H994)</f>
        <v>StringType()</v>
      </c>
      <c r="E994" s="7" t="str">
        <f t="shared" si="128"/>
        <v>CLK_DETM_DETIS_MYDS</v>
      </c>
      <c r="F994" s="7" t="str">
        <f t="shared" si="122"/>
        <v>ENVIRONMENT_ID</v>
      </c>
      <c r="G994" s="7" t="s">
        <v>825</v>
      </c>
      <c r="H994" s="7" t="str">
        <f t="shared" si="123"/>
        <v>CLK_DETM_DETIS_MYDS</v>
      </c>
      <c r="I994" s="7" t="str">
        <f t="shared" si="124"/>
        <v>ENVIRONMENT_ID</v>
      </c>
      <c r="J994" s="7" t="str">
        <f t="shared" si="125"/>
        <v>VARCHAR</v>
      </c>
      <c r="K994" s="7" t="str">
        <f>TRIM(ETLMetadata!$G994)</f>
        <v>CHAR(1)</v>
      </c>
      <c r="L994" s="7" t="str">
        <f>TRIM(ETLMetadata!$I994)</f>
        <v/>
      </c>
      <c r="M994" s="7" t="str">
        <f t="shared" si="126"/>
        <v>NULLIF(TRIM(ENVIRONMENT_ID),'')</v>
      </c>
      <c r="N994" s="7" t="str">
        <f>TRIM(ETLMetadata!$J994)</f>
        <v>Y</v>
      </c>
      <c r="O994" s="8" t="str">
        <f>IF(TRIM(Classification!$G994)="","NOT CONFIDENTIAL",TRIM(Classification!$G994))</f>
        <v>NOT CONFIDENTIAL</v>
      </c>
      <c r="P994" s="7" t="str">
        <f t="shared" si="127"/>
        <v>Y</v>
      </c>
      <c r="Q994" s="7" t="s">
        <v>826</v>
      </c>
      <c r="R994" s="9">
        <v>2958465</v>
      </c>
      <c r="S994" s="7" t="s">
        <v>827</v>
      </c>
      <c r="T994" s="7" t="s">
        <v>828</v>
      </c>
      <c r="U994" s="7" t="str">
        <f t="shared" si="129"/>
        <v>CLK_DETM_DETIS_MYDS_V</v>
      </c>
      <c r="V994" s="7" t="s">
        <v>829</v>
      </c>
    </row>
    <row r="995" spans="1:22">
      <c r="A995" s="7" t="str">
        <f>TRIM(ETLMetadata!$B995)</f>
        <v>CLK</v>
      </c>
      <c r="B995" s="7" t="str">
        <f>TRIM(ETLMetadata!$C995)</f>
        <v>DETM_DETIS_MYDS</v>
      </c>
      <c r="C995" s="7" t="str">
        <f>TRIM(ETLMetadata!$F995)</f>
        <v>PERSON_ID</v>
      </c>
      <c r="D995" s="7" t="str">
        <f>TRIM(ETLMetadata!$H995)</f>
        <v>StringType()</v>
      </c>
      <c r="E995" s="7" t="str">
        <f t="shared" si="128"/>
        <v>CLK_DETM_DETIS_MYDS</v>
      </c>
      <c r="F995" s="7" t="str">
        <f t="shared" si="122"/>
        <v>PERSON_ID</v>
      </c>
      <c r="G995" s="7" t="s">
        <v>825</v>
      </c>
      <c r="H995" s="7" t="str">
        <f t="shared" si="123"/>
        <v>CLK_DETM_DETIS_MYDS</v>
      </c>
      <c r="I995" s="7" t="str">
        <f t="shared" si="124"/>
        <v>PERSON_ID</v>
      </c>
      <c r="J995" s="7" t="str">
        <f t="shared" si="125"/>
        <v>INTEGER</v>
      </c>
      <c r="K995" s="7" t="str">
        <f>TRIM(ETLMetadata!$G995)</f>
        <v>INTEGER</v>
      </c>
      <c r="L995" s="7" t="str">
        <f>TRIM(ETLMetadata!$I995)</f>
        <v/>
      </c>
      <c r="M995" s="7" t="str">
        <f t="shared" si="126"/>
        <v>CAST(NULLIF(TRIM(PERSON_ID),'') AS INTEGER)</v>
      </c>
      <c r="N995" s="7" t="str">
        <f>TRIM(ETLMetadata!$J995)</f>
        <v>Y</v>
      </c>
      <c r="O995" s="8" t="str">
        <f>IF(TRIM(Classification!$G995)="","NOT CONFIDENTIAL",TRIM(Classification!$G995))</f>
        <v>PERSONAL_IDENTITYINFOINDIRECT</v>
      </c>
      <c r="P995" s="7" t="str">
        <f t="shared" si="127"/>
        <v>Y</v>
      </c>
      <c r="Q995" s="7" t="s">
        <v>826</v>
      </c>
      <c r="R995" s="9">
        <v>2958465</v>
      </c>
      <c r="S995" s="7" t="s">
        <v>827</v>
      </c>
      <c r="T995" s="7" t="s">
        <v>828</v>
      </c>
      <c r="U995" s="7" t="str">
        <f t="shared" si="129"/>
        <v>CLK_DETM_DETIS_MYDS_V</v>
      </c>
      <c r="V995" s="7" t="s">
        <v>829</v>
      </c>
    </row>
    <row r="996" spans="1:22">
      <c r="A996" s="7" t="str">
        <f>TRIM(ETLMetadata!$B996)</f>
        <v>CLK</v>
      </c>
      <c r="B996" s="7" t="str">
        <f>TRIM(ETLMetadata!$C996)</f>
        <v>DETM_DETIS_MYDS</v>
      </c>
      <c r="C996" s="7" t="str">
        <f>TRIM(ETLMetadata!$F996)</f>
        <v>MYDS_DOE</v>
      </c>
      <c r="D996" s="7" t="str">
        <f>TRIM(ETLMetadata!$H996)</f>
        <v>StringType()</v>
      </c>
      <c r="E996" s="7" t="str">
        <f t="shared" si="128"/>
        <v>CLK_DETM_DETIS_MYDS</v>
      </c>
      <c r="F996" s="7" t="str">
        <f t="shared" si="122"/>
        <v>MYDS_DOE</v>
      </c>
      <c r="G996" s="7" t="s">
        <v>825</v>
      </c>
      <c r="H996" s="7" t="str">
        <f t="shared" si="123"/>
        <v>CLK_DETM_DETIS_MYDS</v>
      </c>
      <c r="I996" s="7" t="str">
        <f t="shared" si="124"/>
        <v>MYDS_DOE</v>
      </c>
      <c r="J996" s="7" t="str">
        <f t="shared" si="125"/>
        <v>DATE</v>
      </c>
      <c r="K996" s="17" t="s">
        <v>80</v>
      </c>
      <c r="L996" s="7" t="str">
        <f>TRIM(ETLMetadata!$I996)</f>
        <v>YYYY-MM-DD</v>
      </c>
      <c r="M996" s="7" t="str">
        <f t="shared" si="126"/>
        <v>TO_DATE(NULLIF(TRIM(MYDS_DOE),'') , 'YYYY-MM-DD')</v>
      </c>
      <c r="N996" s="7" t="str">
        <f>TRIM(ETLMetadata!$J996)</f>
        <v/>
      </c>
      <c r="O996" s="8" t="str">
        <f>IF(TRIM(Classification!$G996)="","NOT CONFIDENTIAL",TRIM(Classification!$G996))</f>
        <v>NOT CONFIDENTIAL</v>
      </c>
      <c r="P996" s="7" t="str">
        <f t="shared" si="127"/>
        <v>Y</v>
      </c>
      <c r="Q996" s="7" t="s">
        <v>826</v>
      </c>
      <c r="R996" s="9">
        <v>2958465</v>
      </c>
      <c r="S996" s="7" t="s">
        <v>827</v>
      </c>
      <c r="T996" s="7" t="s">
        <v>828</v>
      </c>
      <c r="U996" s="7" t="str">
        <f t="shared" si="129"/>
        <v>CLK_DETM_DETIS_MYDS_V</v>
      </c>
      <c r="V996" s="7" t="s">
        <v>829</v>
      </c>
    </row>
    <row r="997" spans="1:22">
      <c r="A997" s="7" t="str">
        <f>TRIM(ETLMetadata!$B997)</f>
        <v>CLK</v>
      </c>
      <c r="B997" s="7" t="str">
        <f>TRIM(ETLMetadata!$C997)</f>
        <v>DETM_DETIS_MYDS</v>
      </c>
      <c r="C997" s="7" t="str">
        <f>TRIM(ETLMetadata!$F997)</f>
        <v>MYDS_DOE_ORIG</v>
      </c>
      <c r="D997" s="7" t="str">
        <f>TRIM(ETLMetadata!$H997)</f>
        <v>StringType()</v>
      </c>
      <c r="E997" s="7" t="str">
        <f t="shared" si="128"/>
        <v>CLK_DETM_DETIS_MYDS</v>
      </c>
      <c r="F997" s="7" t="str">
        <f t="shared" si="122"/>
        <v>MYDS_DOE_ORIG</v>
      </c>
      <c r="G997" s="7" t="s">
        <v>825</v>
      </c>
      <c r="H997" s="7" t="str">
        <f t="shared" si="123"/>
        <v>CLK_DETM_DETIS_MYDS</v>
      </c>
      <c r="I997" s="7" t="str">
        <f t="shared" si="124"/>
        <v>MYDS_DOE_ORIG</v>
      </c>
      <c r="J997" s="7" t="str">
        <f t="shared" si="125"/>
        <v>INTEGER</v>
      </c>
      <c r="K997" s="17" t="s">
        <v>90</v>
      </c>
      <c r="L997" s="7" t="str">
        <f>TRIM(ETLMetadata!$I997)</f>
        <v/>
      </c>
      <c r="M997" s="7" t="str">
        <f t="shared" si="126"/>
        <v>CAST(NULLIF(TRIM(MYDS_DOE_ORIG),'') AS INTEGER)</v>
      </c>
      <c r="N997" s="7" t="str">
        <f>TRIM(ETLMetadata!$J997)</f>
        <v/>
      </c>
      <c r="O997" s="8" t="str">
        <f>IF(TRIM(Classification!$G997)="","NOT CONFIDENTIAL",TRIM(Classification!$G997))</f>
        <v>NOT CONFIDENTIAL</v>
      </c>
      <c r="P997" s="7" t="str">
        <f t="shared" si="127"/>
        <v>Y</v>
      </c>
      <c r="Q997" s="7" t="s">
        <v>826</v>
      </c>
      <c r="R997" s="9">
        <v>2958465</v>
      </c>
      <c r="S997" s="7" t="s">
        <v>827</v>
      </c>
      <c r="T997" s="7" t="s">
        <v>828</v>
      </c>
      <c r="U997" s="7" t="str">
        <f t="shared" si="129"/>
        <v>CLK_DETM_DETIS_MYDS_V</v>
      </c>
      <c r="V997" s="7" t="s">
        <v>829</v>
      </c>
    </row>
    <row r="998" spans="1:22">
      <c r="A998" s="7" t="str">
        <f>TRIM(ETLMetadata!$B998)</f>
        <v>CLK</v>
      </c>
      <c r="B998" s="7" t="str">
        <f>TRIM(ETLMetadata!$C998)</f>
        <v>DETM_DETIS_MYDS</v>
      </c>
      <c r="C998" s="7" t="str">
        <f>TRIM(ETLMetadata!$F998)</f>
        <v>PROCESSING_SEQUENCE</v>
      </c>
      <c r="D998" s="7" t="str">
        <f>TRIM(ETLMetadata!$H998)</f>
        <v>StringType()</v>
      </c>
      <c r="E998" s="7" t="str">
        <f t="shared" si="128"/>
        <v>CLK_DETM_DETIS_MYDS</v>
      </c>
      <c r="F998" s="7" t="str">
        <f t="shared" si="122"/>
        <v>PROCESSING_SEQUENCE</v>
      </c>
      <c r="G998" s="7" t="s">
        <v>825</v>
      </c>
      <c r="H998" s="7" t="str">
        <f t="shared" si="123"/>
        <v>CLK_DETM_DETIS_MYDS</v>
      </c>
      <c r="I998" s="7" t="str">
        <f t="shared" si="124"/>
        <v>PROCESSING_SEQUENCE</v>
      </c>
      <c r="J998" s="7" t="str">
        <f t="shared" si="125"/>
        <v>SMALLINT</v>
      </c>
      <c r="K998" s="7" t="str">
        <f>TRIM(ETLMetadata!$G998)</f>
        <v>SMALLINT</v>
      </c>
      <c r="L998" s="7" t="str">
        <f>TRIM(ETLMetadata!$I998)</f>
        <v/>
      </c>
      <c r="M998" s="7" t="str">
        <f t="shared" si="126"/>
        <v>CAST(NULLIF(TRIM(PROCESSING_SEQUENCE),'') AS SMALLINT)</v>
      </c>
      <c r="N998" s="7" t="str">
        <f>TRIM(ETLMetadata!$J998)</f>
        <v>Y</v>
      </c>
      <c r="O998" s="8" t="str">
        <f>IF(TRIM(Classification!$G998)="","NOT CONFIDENTIAL",TRIM(Classification!$G998))</f>
        <v>NOT CONFIDENTIAL</v>
      </c>
      <c r="P998" s="7" t="str">
        <f t="shared" si="127"/>
        <v>Y</v>
      </c>
      <c r="Q998" s="7" t="s">
        <v>826</v>
      </c>
      <c r="R998" s="9">
        <v>2958465</v>
      </c>
      <c r="S998" s="7" t="s">
        <v>827</v>
      </c>
      <c r="T998" s="7" t="s">
        <v>828</v>
      </c>
      <c r="U998" s="7" t="str">
        <f t="shared" si="129"/>
        <v>CLK_DETM_DETIS_MYDS_V</v>
      </c>
      <c r="V998" s="7" t="s">
        <v>829</v>
      </c>
    </row>
    <row r="999" spans="1:22">
      <c r="A999" s="7" t="str">
        <f>TRIM(ETLMetadata!$B999)</f>
        <v>CLK</v>
      </c>
      <c r="B999" s="7" t="str">
        <f>TRIM(ETLMetadata!$C999)</f>
        <v>DETM_DETIS_MYDS</v>
      </c>
      <c r="C999" s="7" t="str">
        <f>TRIM(ETLMetadata!$F999)</f>
        <v>MYDS_AMR_1</v>
      </c>
      <c r="D999" s="7" t="str">
        <f>TRIM(ETLMetadata!$H999)</f>
        <v>StringType()</v>
      </c>
      <c r="E999" s="7" t="str">
        <f t="shared" si="128"/>
        <v>CLK_DETM_DETIS_MYDS</v>
      </c>
      <c r="F999" s="7" t="str">
        <f t="shared" si="122"/>
        <v>MYDS_AMR_1</v>
      </c>
      <c r="G999" s="7" t="s">
        <v>825</v>
      </c>
      <c r="H999" s="7" t="str">
        <f t="shared" si="123"/>
        <v>CLK_DETM_DETIS_MYDS</v>
      </c>
      <c r="I999" s="7" t="str">
        <f t="shared" si="124"/>
        <v>MYDS_AMR_1</v>
      </c>
      <c r="J999" s="7" t="str">
        <f t="shared" si="125"/>
        <v>VARCHAR</v>
      </c>
      <c r="K999" s="7" t="str">
        <f>TRIM(ETLMetadata!$G999)</f>
        <v>CHAR(4)</v>
      </c>
      <c r="L999" s="7" t="str">
        <f>TRIM(ETLMetadata!$I999)</f>
        <v/>
      </c>
      <c r="M999" s="7" t="str">
        <f t="shared" si="126"/>
        <v>NULLIF(TRIM(MYDS_AMR_1),'')</v>
      </c>
      <c r="N999" s="7" t="str">
        <f>TRIM(ETLMetadata!$J999)</f>
        <v/>
      </c>
      <c r="O999" s="8" t="str">
        <f>IF(TRIM(Classification!$G999)="","NOT CONFIDENTIAL",TRIM(Classification!$G999))</f>
        <v>NOT CONFIDENTIAL</v>
      </c>
      <c r="P999" s="7" t="str">
        <f t="shared" si="127"/>
        <v>Y</v>
      </c>
      <c r="Q999" s="7" t="s">
        <v>826</v>
      </c>
      <c r="R999" s="9">
        <v>2958465</v>
      </c>
      <c r="S999" s="7" t="s">
        <v>827</v>
      </c>
      <c r="T999" s="7" t="s">
        <v>828</v>
      </c>
      <c r="U999" s="7" t="str">
        <f t="shared" si="129"/>
        <v>CLK_DETM_DETIS_MYDS_V</v>
      </c>
      <c r="V999" s="7" t="s">
        <v>829</v>
      </c>
    </row>
    <row r="1000" spans="1:22">
      <c r="A1000" s="7" t="str">
        <f>TRIM(ETLMetadata!$B1000)</f>
        <v>CLK</v>
      </c>
      <c r="B1000" s="7" t="str">
        <f>TRIM(ETLMetadata!$C1000)</f>
        <v>DETM_DETIS_MYDS</v>
      </c>
      <c r="C1000" s="7" t="str">
        <f>TRIM(ETLMetadata!$F1000)</f>
        <v>MYDS_AMR_2</v>
      </c>
      <c r="D1000" s="7" t="str">
        <f>TRIM(ETLMetadata!$H1000)</f>
        <v>StringType()</v>
      </c>
      <c r="E1000" s="7" t="str">
        <f t="shared" si="128"/>
        <v>CLK_DETM_DETIS_MYDS</v>
      </c>
      <c r="F1000" s="7" t="str">
        <f t="shared" si="122"/>
        <v>MYDS_AMR_2</v>
      </c>
      <c r="G1000" s="7" t="s">
        <v>825</v>
      </c>
      <c r="H1000" s="7" t="str">
        <f t="shared" si="123"/>
        <v>CLK_DETM_DETIS_MYDS</v>
      </c>
      <c r="I1000" s="7" t="str">
        <f t="shared" si="124"/>
        <v>MYDS_AMR_2</v>
      </c>
      <c r="J1000" s="7" t="str">
        <f t="shared" si="125"/>
        <v>VARCHAR</v>
      </c>
      <c r="K1000" s="7" t="str">
        <f>TRIM(ETLMetadata!$G1000)</f>
        <v>CHAR(1)</v>
      </c>
      <c r="L1000" s="7" t="str">
        <f>TRIM(ETLMetadata!$I1000)</f>
        <v/>
      </c>
      <c r="M1000" s="7" t="str">
        <f t="shared" si="126"/>
        <v>NULLIF(TRIM(MYDS_AMR_2),'')</v>
      </c>
      <c r="N1000" s="7" t="str">
        <f>TRIM(ETLMetadata!$J1000)</f>
        <v/>
      </c>
      <c r="O1000" s="8" t="str">
        <f>IF(TRIM(Classification!$G1000)="","NOT CONFIDENTIAL",TRIM(Classification!$G1000))</f>
        <v>NOT CONFIDENTIAL</v>
      </c>
      <c r="P1000" s="7" t="str">
        <f t="shared" si="127"/>
        <v>Y</v>
      </c>
      <c r="Q1000" s="7" t="s">
        <v>826</v>
      </c>
      <c r="R1000" s="9">
        <v>2958465</v>
      </c>
      <c r="S1000" s="7" t="s">
        <v>827</v>
      </c>
      <c r="T1000" s="7" t="s">
        <v>828</v>
      </c>
      <c r="U1000" s="7" t="str">
        <f t="shared" si="129"/>
        <v>CLK_DETM_DETIS_MYDS_V</v>
      </c>
      <c r="V1000" s="7" t="s">
        <v>829</v>
      </c>
    </row>
    <row r="1001" spans="1:22">
      <c r="A1001" s="7" t="str">
        <f>TRIM(ETLMetadata!$B1001)</f>
        <v>CLK</v>
      </c>
      <c r="B1001" s="7" t="str">
        <f>TRIM(ETLMetadata!$C1001)</f>
        <v>DETM_DETIS_MYDS</v>
      </c>
      <c r="C1001" s="7" t="str">
        <f>TRIM(ETLMetadata!$F1001)</f>
        <v>MYDS_AMR_3</v>
      </c>
      <c r="D1001" s="7" t="str">
        <f>TRIM(ETLMetadata!$H1001)</f>
        <v>StringType()</v>
      </c>
      <c r="E1001" s="7" t="str">
        <f t="shared" si="128"/>
        <v>CLK_DETM_DETIS_MYDS</v>
      </c>
      <c r="F1001" s="7" t="str">
        <f t="shared" si="122"/>
        <v>MYDS_AMR_3</v>
      </c>
      <c r="G1001" s="7" t="s">
        <v>825</v>
      </c>
      <c r="H1001" s="7" t="str">
        <f t="shared" si="123"/>
        <v>CLK_DETM_DETIS_MYDS</v>
      </c>
      <c r="I1001" s="7" t="str">
        <f t="shared" si="124"/>
        <v>MYDS_AMR_3</v>
      </c>
      <c r="J1001" s="7" t="str">
        <f t="shared" si="125"/>
        <v>VARCHAR</v>
      </c>
      <c r="K1001" s="7" t="str">
        <f>TRIM(ETLMetadata!$G1001)</f>
        <v>CHAR(4)</v>
      </c>
      <c r="L1001" s="7" t="str">
        <f>TRIM(ETLMetadata!$I1001)</f>
        <v/>
      </c>
      <c r="M1001" s="7" t="str">
        <f t="shared" si="126"/>
        <v>NULLIF(TRIM(MYDS_AMR_3),'')</v>
      </c>
      <c r="N1001" s="7" t="str">
        <f>TRIM(ETLMetadata!$J1001)</f>
        <v/>
      </c>
      <c r="O1001" s="8" t="str">
        <f>IF(TRIM(Classification!$G1001)="","NOT CONFIDENTIAL",TRIM(Classification!$G1001))</f>
        <v>NOT CONFIDENTIAL</v>
      </c>
      <c r="P1001" s="7" t="str">
        <f t="shared" si="127"/>
        <v>Y</v>
      </c>
      <c r="Q1001" s="7" t="s">
        <v>826</v>
      </c>
      <c r="R1001" s="9">
        <v>2958465</v>
      </c>
      <c r="S1001" s="7" t="s">
        <v>827</v>
      </c>
      <c r="T1001" s="7" t="s">
        <v>828</v>
      </c>
      <c r="U1001" s="7" t="str">
        <f t="shared" si="129"/>
        <v>CLK_DETM_DETIS_MYDS_V</v>
      </c>
      <c r="V1001" s="7" t="s">
        <v>829</v>
      </c>
    </row>
    <row r="1002" spans="1:22">
      <c r="A1002" s="7" t="str">
        <f>TRIM(ETLMetadata!$B1002)</f>
        <v>CLK</v>
      </c>
      <c r="B1002" s="7" t="str">
        <f>TRIM(ETLMetadata!$C1002)</f>
        <v>DETM_DETIS_MYDS</v>
      </c>
      <c r="C1002" s="7" t="str">
        <f>TRIM(ETLMetadata!$F1002)</f>
        <v>MYDS_BEN_TYPE_CODE</v>
      </c>
      <c r="D1002" s="7" t="str">
        <f>TRIM(ETLMetadata!$H1002)</f>
        <v>StringType()</v>
      </c>
      <c r="E1002" s="7" t="str">
        <f t="shared" si="128"/>
        <v>CLK_DETM_DETIS_MYDS</v>
      </c>
      <c r="F1002" s="7" t="str">
        <f t="shared" si="122"/>
        <v>MYDS_BEN_TYPE_CODE</v>
      </c>
      <c r="G1002" s="7" t="s">
        <v>825</v>
      </c>
      <c r="H1002" s="7" t="str">
        <f t="shared" si="123"/>
        <v>CLK_DETM_DETIS_MYDS</v>
      </c>
      <c r="I1002" s="7" t="str">
        <f t="shared" si="124"/>
        <v>MYDS_BEN_TYPE_CODE</v>
      </c>
      <c r="J1002" s="7" t="str">
        <f t="shared" si="125"/>
        <v>VARCHAR</v>
      </c>
      <c r="K1002" s="7" t="str">
        <f>TRIM(ETLMetadata!$G1002)</f>
        <v>CHAR(3)</v>
      </c>
      <c r="L1002" s="7" t="str">
        <f>TRIM(ETLMetadata!$I1002)</f>
        <v/>
      </c>
      <c r="M1002" s="7" t="str">
        <f t="shared" si="126"/>
        <v>NULLIF(TRIM(MYDS_BEN_TYPE_CODE),'')</v>
      </c>
      <c r="N1002" s="7" t="str">
        <f>TRIM(ETLMetadata!$J1002)</f>
        <v/>
      </c>
      <c r="O1002" s="8" t="str">
        <f>IF(TRIM(Classification!$G1002)="","NOT CONFIDENTIAL",TRIM(Classification!$G1002))</f>
        <v>NOT CONFIDENTIAL</v>
      </c>
      <c r="P1002" s="7" t="str">
        <f t="shared" si="127"/>
        <v>Y</v>
      </c>
      <c r="Q1002" s="7" t="s">
        <v>826</v>
      </c>
      <c r="R1002" s="9">
        <v>2958465</v>
      </c>
      <c r="S1002" s="7" t="s">
        <v>827</v>
      </c>
      <c r="T1002" s="7" t="s">
        <v>828</v>
      </c>
      <c r="U1002" s="7" t="str">
        <f t="shared" si="129"/>
        <v>CLK_DETM_DETIS_MYDS_V</v>
      </c>
      <c r="V1002" s="7" t="s">
        <v>829</v>
      </c>
    </row>
    <row r="1003" spans="1:22">
      <c r="A1003" s="7" t="str">
        <f>TRIM(ETLMetadata!$B1003)</f>
        <v>CLK</v>
      </c>
      <c r="B1003" s="7" t="str">
        <f>TRIM(ETLMetadata!$C1003)</f>
        <v>DETM_DETIS_MYDS</v>
      </c>
      <c r="C1003" s="7" t="str">
        <f>TRIM(ETLMetadata!$F1003)</f>
        <v>MYDS_STS_CODE</v>
      </c>
      <c r="D1003" s="7" t="str">
        <f>TRIM(ETLMetadata!$H1003)</f>
        <v>StringType()</v>
      </c>
      <c r="E1003" s="7" t="str">
        <f t="shared" si="128"/>
        <v>CLK_DETM_DETIS_MYDS</v>
      </c>
      <c r="F1003" s="7" t="str">
        <f t="shared" si="122"/>
        <v>MYDS_STS_CODE</v>
      </c>
      <c r="G1003" s="7" t="s">
        <v>825</v>
      </c>
      <c r="H1003" s="7" t="str">
        <f t="shared" si="123"/>
        <v>CLK_DETM_DETIS_MYDS</v>
      </c>
      <c r="I1003" s="7" t="str">
        <f t="shared" si="124"/>
        <v>MYDS_STS_CODE</v>
      </c>
      <c r="J1003" s="7" t="str">
        <f t="shared" si="125"/>
        <v>VARCHAR</v>
      </c>
      <c r="K1003" s="7" t="str">
        <f>TRIM(ETLMetadata!$G1003)</f>
        <v>CHAR(3)</v>
      </c>
      <c r="L1003" s="7" t="str">
        <f>TRIM(ETLMetadata!$I1003)</f>
        <v/>
      </c>
      <c r="M1003" s="7" t="str">
        <f t="shared" si="126"/>
        <v>NULLIF(TRIM(MYDS_STS_CODE),'')</v>
      </c>
      <c r="N1003" s="7" t="str">
        <f>TRIM(ETLMetadata!$J1003)</f>
        <v/>
      </c>
      <c r="O1003" s="8" t="str">
        <f>IF(TRIM(Classification!$G1003)="","NOT CONFIDENTIAL",TRIM(Classification!$G1003))</f>
        <v>NOT CONFIDENTIAL</v>
      </c>
      <c r="P1003" s="7" t="str">
        <f t="shared" si="127"/>
        <v>Y</v>
      </c>
      <c r="Q1003" s="7" t="s">
        <v>826</v>
      </c>
      <c r="R1003" s="9">
        <v>2958465</v>
      </c>
      <c r="S1003" s="7" t="s">
        <v>827</v>
      </c>
      <c r="T1003" s="7" t="s">
        <v>828</v>
      </c>
      <c r="U1003" s="7" t="str">
        <f t="shared" si="129"/>
        <v>CLK_DETM_DETIS_MYDS_V</v>
      </c>
      <c r="V1003" s="7" t="s">
        <v>829</v>
      </c>
    </row>
    <row r="1004" spans="1:22">
      <c r="A1004" s="7" t="str">
        <f>TRIM(ETLMetadata!$B1004)</f>
        <v>CLK</v>
      </c>
      <c r="B1004" s="7" t="str">
        <f>TRIM(ETLMetadata!$C1004)</f>
        <v>DETM_DETIS_MYDS</v>
      </c>
      <c r="C1004" s="7" t="str">
        <f>TRIM(ETLMetadata!$F1004)</f>
        <v>MYDS_RSN_CODE</v>
      </c>
      <c r="D1004" s="7" t="str">
        <f>TRIM(ETLMetadata!$H1004)</f>
        <v>StringType()</v>
      </c>
      <c r="E1004" s="7" t="str">
        <f t="shared" si="128"/>
        <v>CLK_DETM_DETIS_MYDS</v>
      </c>
      <c r="F1004" s="7" t="str">
        <f t="shared" si="122"/>
        <v>MYDS_RSN_CODE</v>
      </c>
      <c r="G1004" s="7" t="s">
        <v>825</v>
      </c>
      <c r="H1004" s="7" t="str">
        <f t="shared" si="123"/>
        <v>CLK_DETM_DETIS_MYDS</v>
      </c>
      <c r="I1004" s="7" t="str">
        <f t="shared" si="124"/>
        <v>MYDS_RSN_CODE</v>
      </c>
      <c r="J1004" s="7" t="str">
        <f t="shared" si="125"/>
        <v>VARCHAR</v>
      </c>
      <c r="K1004" s="7" t="str">
        <f>TRIM(ETLMetadata!$G1004)</f>
        <v>CHAR(3)</v>
      </c>
      <c r="L1004" s="7" t="str">
        <f>TRIM(ETLMetadata!$I1004)</f>
        <v/>
      </c>
      <c r="M1004" s="7" t="str">
        <f t="shared" si="126"/>
        <v>NULLIF(TRIM(MYDS_RSN_CODE),'')</v>
      </c>
      <c r="N1004" s="7" t="str">
        <f>TRIM(ETLMetadata!$J1004)</f>
        <v/>
      </c>
      <c r="O1004" s="8" t="str">
        <f>IF(TRIM(Classification!$G1004)="","NOT CONFIDENTIAL",TRIM(Classification!$G1004))</f>
        <v>NOT CONFIDENTIAL</v>
      </c>
      <c r="P1004" s="7" t="str">
        <f t="shared" si="127"/>
        <v>Y</v>
      </c>
      <c r="Q1004" s="7" t="s">
        <v>826</v>
      </c>
      <c r="R1004" s="9">
        <v>2958465</v>
      </c>
      <c r="S1004" s="7" t="s">
        <v>827</v>
      </c>
      <c r="T1004" s="7" t="s">
        <v>828</v>
      </c>
      <c r="U1004" s="7" t="str">
        <f t="shared" si="129"/>
        <v>CLK_DETM_DETIS_MYDS_V</v>
      </c>
      <c r="V1004" s="7" t="s">
        <v>829</v>
      </c>
    </row>
    <row r="1005" spans="1:22">
      <c r="A1005" s="7" t="str">
        <f>TRIM(ETLMetadata!$B1005)</f>
        <v>CLK</v>
      </c>
      <c r="B1005" s="7" t="str">
        <f>TRIM(ETLMetadata!$C1005)</f>
        <v>DETM_DETIS_MYDS</v>
      </c>
      <c r="C1005" s="7" t="str">
        <f>TRIM(ETLMetadata!$F1005)</f>
        <v>MYDS_UNIQ_ID</v>
      </c>
      <c r="D1005" s="7" t="str">
        <f>TRIM(ETLMetadata!$H1005)</f>
        <v>StringType()</v>
      </c>
      <c r="E1005" s="7" t="str">
        <f t="shared" si="128"/>
        <v>CLK_DETM_DETIS_MYDS</v>
      </c>
      <c r="F1005" s="7" t="str">
        <f t="shared" si="122"/>
        <v>MYDS_UNIQ_ID</v>
      </c>
      <c r="G1005" s="7" t="s">
        <v>825</v>
      </c>
      <c r="H1005" s="7" t="str">
        <f t="shared" si="123"/>
        <v>CLK_DETM_DETIS_MYDS</v>
      </c>
      <c r="I1005" s="7" t="str">
        <f t="shared" si="124"/>
        <v>MYDS_UNIQ_ID</v>
      </c>
      <c r="J1005" s="7" t="str">
        <f t="shared" si="125"/>
        <v>VARCHAR</v>
      </c>
      <c r="K1005" s="7" t="str">
        <f>TRIM(ETLMetadata!$G1005)</f>
        <v>VARCHAR(8)</v>
      </c>
      <c r="L1005" s="7" t="str">
        <f>TRIM(ETLMetadata!$I1005)</f>
        <v/>
      </c>
      <c r="M1005" s="7" t="str">
        <f t="shared" si="126"/>
        <v>NULLIF(TRIM(MYDS_UNIQ_ID),'')</v>
      </c>
      <c r="N1005" s="7" t="str">
        <f>TRIM(ETLMetadata!$J1005)</f>
        <v/>
      </c>
      <c r="O1005" s="8" t="str">
        <f>IF(TRIM(Classification!$G1005)="","NOT CONFIDENTIAL",TRIM(Classification!$G1005))</f>
        <v>NOT CONFIDENTIAL</v>
      </c>
      <c r="P1005" s="7" t="str">
        <f t="shared" si="127"/>
        <v>Y</v>
      </c>
      <c r="Q1005" s="7" t="s">
        <v>826</v>
      </c>
      <c r="R1005" s="9">
        <v>2958465</v>
      </c>
      <c r="S1005" s="7" t="s">
        <v>827</v>
      </c>
      <c r="T1005" s="7" t="s">
        <v>828</v>
      </c>
      <c r="U1005" s="7" t="str">
        <f t="shared" si="129"/>
        <v>CLK_DETM_DETIS_MYDS_V</v>
      </c>
      <c r="V1005" s="7" t="s">
        <v>829</v>
      </c>
    </row>
    <row r="1006" spans="1:22">
      <c r="A1006" s="7" t="str">
        <f>TRIM(ETLMetadata!$B1006)</f>
        <v>CLK</v>
      </c>
      <c r="B1006" s="7" t="str">
        <f>TRIM(ETLMetadata!$C1006)</f>
        <v>DETM_DETIS_MYDS</v>
      </c>
      <c r="C1006" s="7" t="str">
        <f>TRIM(ETLMetadata!$F1006)</f>
        <v>AMR1_RISL_DTS</v>
      </c>
      <c r="D1006" s="7" t="str">
        <f>TRIM(ETLMetadata!$H1006)</f>
        <v>StringType()</v>
      </c>
      <c r="E1006" s="7" t="str">
        <f t="shared" si="128"/>
        <v>CLK_DETM_DETIS_MYDS</v>
      </c>
      <c r="F1006" s="7" t="str">
        <f t="shared" si="122"/>
        <v>AMR1_RISL_DTS</v>
      </c>
      <c r="G1006" s="7" t="s">
        <v>825</v>
      </c>
      <c r="H1006" s="7" t="str">
        <f t="shared" si="123"/>
        <v>CLK_DETM_DETIS_MYDS</v>
      </c>
      <c r="I1006" s="7" t="str">
        <f t="shared" si="124"/>
        <v>AMR1_RISL_DTS</v>
      </c>
      <c r="J1006" s="7" t="str">
        <f t="shared" si="125"/>
        <v>TIMESTAMP</v>
      </c>
      <c r="K1006" s="7" t="str">
        <f>TRIM(ETLMetadata!$G1006)</f>
        <v>TIMESTAMP(6)</v>
      </c>
      <c r="L1006" s="7" t="str">
        <f>TRIM(ETLMetadata!$I1006)</f>
        <v>YYYY-MM-DDBHH:MI:SS.S(6)</v>
      </c>
      <c r="M1006" s="7" t="str">
        <f t="shared" si="126"/>
        <v>TO_TIMESTAMP_NTZ(NULLIF(TRIM(AMR1_RISL_DTS),''),'YYYY-MM-DD HH24:MI:SS.FF6')</v>
      </c>
      <c r="N1006" s="7" t="str">
        <f>TRIM(ETLMetadata!$J1006)</f>
        <v/>
      </c>
      <c r="O1006" s="8" t="str">
        <f>IF(TRIM(Classification!$G1006)="","NOT CONFIDENTIAL",TRIM(Classification!$G1006))</f>
        <v>NOT CONFIDENTIAL</v>
      </c>
      <c r="P1006" s="7" t="str">
        <f t="shared" si="127"/>
        <v>Y</v>
      </c>
      <c r="Q1006" s="7" t="s">
        <v>826</v>
      </c>
      <c r="R1006" s="9">
        <v>2958465</v>
      </c>
      <c r="S1006" s="7" t="s">
        <v>827</v>
      </c>
      <c r="T1006" s="7" t="s">
        <v>828</v>
      </c>
      <c r="U1006" s="7" t="str">
        <f t="shared" si="129"/>
        <v>CLK_DETM_DETIS_MYDS_V</v>
      </c>
      <c r="V1006" s="7" t="s">
        <v>829</v>
      </c>
    </row>
    <row r="1007" spans="1:22">
      <c r="A1007" s="7" t="str">
        <f>TRIM(ETLMetadata!$B1007)</f>
        <v>CLK</v>
      </c>
      <c r="B1007" s="7" t="str">
        <f>TRIM(ETLMetadata!$C1007)</f>
        <v>DETM_DETIS_MYDS</v>
      </c>
      <c r="C1007" s="7" t="str">
        <f>TRIM(ETLMetadata!$F1007)</f>
        <v>AMR3_RISL_DTS</v>
      </c>
      <c r="D1007" s="7" t="str">
        <f>TRIM(ETLMetadata!$H1007)</f>
        <v>StringType()</v>
      </c>
      <c r="E1007" s="7" t="str">
        <f t="shared" si="128"/>
        <v>CLK_DETM_DETIS_MYDS</v>
      </c>
      <c r="F1007" s="7" t="str">
        <f t="shared" si="122"/>
        <v>AMR3_RISL_DTS</v>
      </c>
      <c r="G1007" s="7" t="s">
        <v>825</v>
      </c>
      <c r="H1007" s="7" t="str">
        <f t="shared" si="123"/>
        <v>CLK_DETM_DETIS_MYDS</v>
      </c>
      <c r="I1007" s="7" t="str">
        <f t="shared" si="124"/>
        <v>AMR3_RISL_DTS</v>
      </c>
      <c r="J1007" s="7" t="str">
        <f t="shared" si="125"/>
        <v>TIMESTAMP</v>
      </c>
      <c r="K1007" s="7" t="str">
        <f>TRIM(ETLMetadata!$G1007)</f>
        <v>TIMESTAMP(6)</v>
      </c>
      <c r="L1007" s="7" t="str">
        <f>TRIM(ETLMetadata!$I1007)</f>
        <v>YYYY-MM-DDBHH:MI:SS.S(6)</v>
      </c>
      <c r="M1007" s="7" t="str">
        <f t="shared" si="126"/>
        <v>TO_TIMESTAMP_NTZ(NULLIF(TRIM(AMR3_RISL_DTS),''),'YYYY-MM-DD HH24:MI:SS.FF6')</v>
      </c>
      <c r="N1007" s="7" t="str">
        <f>TRIM(ETLMetadata!$J1007)</f>
        <v/>
      </c>
      <c r="O1007" s="8" t="str">
        <f>IF(TRIM(Classification!$G1007)="","NOT CONFIDENTIAL",TRIM(Classification!$G1007))</f>
        <v>NOT CONFIDENTIAL</v>
      </c>
      <c r="P1007" s="7" t="str">
        <f t="shared" si="127"/>
        <v>Y</v>
      </c>
      <c r="Q1007" s="7" t="s">
        <v>826</v>
      </c>
      <c r="R1007" s="9">
        <v>2958465</v>
      </c>
      <c r="S1007" s="7" t="s">
        <v>827</v>
      </c>
      <c r="T1007" s="7" t="s">
        <v>828</v>
      </c>
      <c r="U1007" s="7" t="str">
        <f t="shared" si="129"/>
        <v>CLK_DETM_DETIS_MYDS_V</v>
      </c>
      <c r="V1007" s="7" t="s">
        <v>829</v>
      </c>
    </row>
    <row r="1008" spans="1:22">
      <c r="A1008" s="7" t="str">
        <f>TRIM(ETLMetadata!$B1008)</f>
        <v>CLK</v>
      </c>
      <c r="B1008" s="7" t="str">
        <f>TRIM(ETLMetadata!$C1008)</f>
        <v>DETM_DETIS_MYDS</v>
      </c>
      <c r="C1008" s="7" t="str">
        <f>TRIM(ETLMetadata!$F1008)</f>
        <v>EPISODE_ID</v>
      </c>
      <c r="D1008" s="7" t="str">
        <f>TRIM(ETLMetadata!$H1008)</f>
        <v>StringType()</v>
      </c>
      <c r="E1008" s="7" t="str">
        <f t="shared" si="128"/>
        <v>CLK_DETM_DETIS_MYDS</v>
      </c>
      <c r="F1008" s="7" t="str">
        <f t="shared" si="122"/>
        <v>EPISODE_ID</v>
      </c>
      <c r="G1008" s="7" t="s">
        <v>825</v>
      </c>
      <c r="H1008" s="7" t="str">
        <f t="shared" si="123"/>
        <v>CLK_DETM_DETIS_MYDS</v>
      </c>
      <c r="I1008" s="7" t="str">
        <f t="shared" si="124"/>
        <v>EPISODE_ID</v>
      </c>
      <c r="J1008" s="7" t="str">
        <f t="shared" si="125"/>
        <v>INTEGER</v>
      </c>
      <c r="K1008" s="7" t="str">
        <f>TRIM(ETLMetadata!$G1008)</f>
        <v>INTEGER</v>
      </c>
      <c r="L1008" s="7" t="str">
        <f>TRIM(ETLMetadata!$I1008)</f>
        <v/>
      </c>
      <c r="M1008" s="7" t="str">
        <f t="shared" si="126"/>
        <v>CAST(NULLIF(TRIM(EPISODE_ID),'') AS INTEGER)</v>
      </c>
      <c r="N1008" s="7" t="str">
        <f>TRIM(ETLMetadata!$J1008)</f>
        <v/>
      </c>
      <c r="O1008" s="8" t="str">
        <f>IF(TRIM(Classification!$G1008)="","NOT CONFIDENTIAL",TRIM(Classification!$G1008))</f>
        <v>NOT CONFIDENTIAL</v>
      </c>
      <c r="P1008" s="7" t="str">
        <f t="shared" si="127"/>
        <v>Y</v>
      </c>
      <c r="Q1008" s="7" t="s">
        <v>826</v>
      </c>
      <c r="R1008" s="9">
        <v>2958465</v>
      </c>
      <c r="S1008" s="7" t="s">
        <v>827</v>
      </c>
      <c r="T1008" s="7" t="s">
        <v>828</v>
      </c>
      <c r="U1008" s="7" t="str">
        <f t="shared" si="129"/>
        <v>CLK_DETM_DETIS_MYDS_V</v>
      </c>
      <c r="V1008" s="7" t="s">
        <v>829</v>
      </c>
    </row>
    <row r="1009" spans="1:22">
      <c r="A1009" s="7" t="str">
        <f>TRIM(ETLMetadata!$B1009)</f>
        <v>CLK</v>
      </c>
      <c r="B1009" s="7" t="str">
        <f>TRIM(ETLMetadata!$C1009)</f>
        <v>DETM_DETIS_MYDS</v>
      </c>
      <c r="C1009" s="7" t="str">
        <f>TRIM(ETLMetadata!$F1009)</f>
        <v>PARTY_ROLE_ID</v>
      </c>
      <c r="D1009" s="7" t="str">
        <f>TRIM(ETLMetadata!$H1009)</f>
        <v>StringType()</v>
      </c>
      <c r="E1009" s="7" t="str">
        <f t="shared" si="128"/>
        <v>CLK_DETM_DETIS_MYDS</v>
      </c>
      <c r="F1009" s="7" t="str">
        <f t="shared" si="122"/>
        <v>PARTY_ROLE_ID</v>
      </c>
      <c r="G1009" s="7" t="s">
        <v>825</v>
      </c>
      <c r="H1009" s="7" t="str">
        <f t="shared" si="123"/>
        <v>CLK_DETM_DETIS_MYDS</v>
      </c>
      <c r="I1009" s="7" t="str">
        <f t="shared" si="124"/>
        <v>PARTY_ROLE_ID</v>
      </c>
      <c r="J1009" s="7" t="str">
        <f t="shared" si="125"/>
        <v>INTEGER</v>
      </c>
      <c r="K1009" s="7" t="str">
        <f>TRIM(ETLMetadata!$G1009)</f>
        <v>INTEGER</v>
      </c>
      <c r="L1009" s="7" t="str">
        <f>TRIM(ETLMetadata!$I1009)</f>
        <v/>
      </c>
      <c r="M1009" s="7" t="str">
        <f t="shared" si="126"/>
        <v>CAST(NULLIF(TRIM(PARTY_ROLE_ID),'') AS INTEGER)</v>
      </c>
      <c r="N1009" s="7" t="str">
        <f>TRIM(ETLMetadata!$J1009)</f>
        <v/>
      </c>
      <c r="O1009" s="8" t="str">
        <f>IF(TRIM(Classification!$G1009)="","NOT CONFIDENTIAL",TRIM(Classification!$G1009))</f>
        <v>NOT CONFIDENTIAL</v>
      </c>
      <c r="P1009" s="7" t="str">
        <f t="shared" si="127"/>
        <v>Y</v>
      </c>
      <c r="Q1009" s="7" t="s">
        <v>826</v>
      </c>
      <c r="R1009" s="9">
        <v>2958465</v>
      </c>
      <c r="S1009" s="7" t="s">
        <v>827</v>
      </c>
      <c r="T1009" s="7" t="s">
        <v>828</v>
      </c>
      <c r="U1009" s="7" t="str">
        <f t="shared" si="129"/>
        <v>CLK_DETM_DETIS_MYDS_V</v>
      </c>
      <c r="V1009" s="7" t="s">
        <v>829</v>
      </c>
    </row>
    <row r="1010" spans="1:22">
      <c r="A1010" s="7" t="str">
        <f>TRIM(ETLMetadata!$B1010)</f>
        <v>CLK</v>
      </c>
      <c r="B1010" s="7" t="str">
        <f>TRIM(ETLMetadata!$C1010)</f>
        <v>DETM_DETIS_MYDS</v>
      </c>
      <c r="C1010" s="7" t="str">
        <f>TRIM(ETLMetadata!$F1010)</f>
        <v>PAYMENT_TYPE_ID</v>
      </c>
      <c r="D1010" s="7" t="str">
        <f>TRIM(ETLMetadata!$H1010)</f>
        <v>StringType()</v>
      </c>
      <c r="E1010" s="7" t="str">
        <f t="shared" si="128"/>
        <v>CLK_DETM_DETIS_MYDS</v>
      </c>
      <c r="F1010" s="7" t="str">
        <f t="shared" si="122"/>
        <v>PAYMENT_TYPE_ID</v>
      </c>
      <c r="G1010" s="7" t="s">
        <v>825</v>
      </c>
      <c r="H1010" s="7" t="str">
        <f t="shared" si="123"/>
        <v>CLK_DETM_DETIS_MYDS</v>
      </c>
      <c r="I1010" s="7" t="str">
        <f t="shared" si="124"/>
        <v>PAYMENT_TYPE_ID</v>
      </c>
      <c r="J1010" s="7" t="str">
        <f t="shared" si="125"/>
        <v>INTEGER</v>
      </c>
      <c r="K1010" s="7" t="str">
        <f>TRIM(ETLMetadata!$G1010)</f>
        <v>INTEGER</v>
      </c>
      <c r="L1010" s="7" t="str">
        <f>TRIM(ETLMetadata!$I1010)</f>
        <v/>
      </c>
      <c r="M1010" s="7" t="str">
        <f t="shared" si="126"/>
        <v>CAST(NULLIF(TRIM(PAYMENT_TYPE_ID),'') AS INTEGER)</v>
      </c>
      <c r="N1010" s="7" t="str">
        <f>TRIM(ETLMetadata!$J1010)</f>
        <v/>
      </c>
      <c r="O1010" s="8" t="str">
        <f>IF(TRIM(Classification!$G1010)="","NOT CONFIDENTIAL",TRIM(Classification!$G1010))</f>
        <v>NOT CONFIDENTIAL</v>
      </c>
      <c r="P1010" s="7" t="str">
        <f t="shared" si="127"/>
        <v>Y</v>
      </c>
      <c r="Q1010" s="7" t="s">
        <v>826</v>
      </c>
      <c r="R1010" s="9">
        <v>2958465</v>
      </c>
      <c r="S1010" s="7" t="s">
        <v>827</v>
      </c>
      <c r="T1010" s="7" t="s">
        <v>828</v>
      </c>
      <c r="U1010" s="7" t="str">
        <f t="shared" si="129"/>
        <v>CLK_DETM_DETIS_MYDS_V</v>
      </c>
      <c r="V1010" s="7" t="s">
        <v>829</v>
      </c>
    </row>
    <row r="1011" spans="1:22">
      <c r="A1011" s="7" t="str">
        <f>TRIM(ETLMetadata!$B1011)</f>
        <v>CLK</v>
      </c>
      <c r="B1011" s="7" t="str">
        <f>TRIM(ETLMetadata!$C1011)</f>
        <v>DETM_DETIS_MYDS</v>
      </c>
      <c r="C1011" s="7" t="str">
        <f>TRIM(ETLMetadata!$F1011)</f>
        <v>ERROR_COUNT</v>
      </c>
      <c r="D1011" s="7" t="str">
        <f>TRIM(ETLMetadata!$H1011)</f>
        <v>StringType()</v>
      </c>
      <c r="E1011" s="7" t="str">
        <f t="shared" si="128"/>
        <v>CLK_DETM_DETIS_MYDS</v>
      </c>
      <c r="F1011" s="7" t="str">
        <f t="shared" si="122"/>
        <v>ERROR_COUNT</v>
      </c>
      <c r="G1011" s="7" t="s">
        <v>825</v>
      </c>
      <c r="H1011" s="7" t="str">
        <f t="shared" si="123"/>
        <v>CLK_DETM_DETIS_MYDS</v>
      </c>
      <c r="I1011" s="7" t="str">
        <f t="shared" si="124"/>
        <v>ERROR_COUNT</v>
      </c>
      <c r="J1011" s="7" t="str">
        <f t="shared" si="125"/>
        <v>SMALLINT</v>
      </c>
      <c r="K1011" s="7" t="str">
        <f>TRIM(ETLMetadata!$G1011)</f>
        <v>SMALLINT</v>
      </c>
      <c r="L1011" s="7" t="str">
        <f>TRIM(ETLMetadata!$I1011)</f>
        <v/>
      </c>
      <c r="M1011" s="7" t="str">
        <f t="shared" si="126"/>
        <v>CAST(NULLIF(TRIM(ERROR_COUNT),'') AS SMALLINT)</v>
      </c>
      <c r="N1011" s="7" t="str">
        <f>TRIM(ETLMetadata!$J1011)</f>
        <v/>
      </c>
      <c r="O1011" s="8" t="str">
        <f>IF(TRIM(Classification!$G1011)="","NOT CONFIDENTIAL",TRIM(Classification!$G1011))</f>
        <v>NOT CONFIDENTIAL</v>
      </c>
      <c r="P1011" s="7" t="str">
        <f t="shared" si="127"/>
        <v>Y</v>
      </c>
      <c r="Q1011" s="7" t="s">
        <v>826</v>
      </c>
      <c r="R1011" s="9">
        <v>2958465</v>
      </c>
      <c r="S1011" s="7" t="s">
        <v>827</v>
      </c>
      <c r="T1011" s="7" t="s">
        <v>828</v>
      </c>
      <c r="U1011" s="7" t="str">
        <f t="shared" si="129"/>
        <v>CLK_DETM_DETIS_MYDS_V</v>
      </c>
      <c r="V1011" s="7" t="s">
        <v>829</v>
      </c>
    </row>
    <row r="1012" spans="1:22">
      <c r="A1012" s="7" t="str">
        <f>TRIM(ETLMetadata!$B1012)</f>
        <v>CLK</v>
      </c>
      <c r="B1012" s="7" t="str">
        <f>TRIM(ETLMetadata!$C1012)</f>
        <v>DETM_DETIS_MYDS</v>
      </c>
      <c r="C1012" s="7" t="str">
        <f>TRIM(ETLMetadata!$F1012)</f>
        <v>Start_Date</v>
      </c>
      <c r="D1012" s="7" t="str">
        <f>TRIM(ETLMetadata!$H1012)</f>
        <v>StringType()</v>
      </c>
      <c r="E1012" s="7" t="str">
        <f t="shared" si="128"/>
        <v>CLK_DETM_DETIS_MYDS</v>
      </c>
      <c r="F1012" s="7" t="str">
        <f t="shared" si="122"/>
        <v>STRT_DT</v>
      </c>
      <c r="G1012" s="7" t="s">
        <v>825</v>
      </c>
      <c r="H1012" s="7" t="str">
        <f t="shared" si="123"/>
        <v>CLK_DETM_DETIS_MYDS</v>
      </c>
      <c r="I1012" s="7" t="str">
        <f t="shared" si="124"/>
        <v>STRT_DT</v>
      </c>
      <c r="J1012" s="7" t="str">
        <f t="shared" si="125"/>
        <v>DATE</v>
      </c>
      <c r="K1012" s="7" t="str">
        <f>TRIM(ETLMetadata!$G1012)</f>
        <v>DATE</v>
      </c>
      <c r="L1012" s="7" t="str">
        <f>TRIM(ETLMetadata!$I1012)</f>
        <v>YYYY-MM-DD</v>
      </c>
      <c r="M1012" s="7" t="str">
        <f t="shared" si="126"/>
        <v>TO_DATE(NULLIF(TRIM(STRT_DT),'') , 'YYYY-MM-DD')</v>
      </c>
      <c r="N1012" s="7" t="str">
        <f>TRIM(ETLMetadata!$J1012)</f>
        <v/>
      </c>
      <c r="O1012" s="8" t="str">
        <f>IF(TRIM(Classification!$G1012)="","NOT CONFIDENTIAL",TRIM(Classification!$G1012))</f>
        <v>NOT CONFIDENTIAL</v>
      </c>
      <c r="P1012" s="7" t="str">
        <f t="shared" si="127"/>
        <v>N</v>
      </c>
      <c r="Q1012" s="7" t="s">
        <v>826</v>
      </c>
      <c r="R1012" s="9">
        <v>2958465</v>
      </c>
      <c r="S1012" s="7" t="s">
        <v>827</v>
      </c>
      <c r="T1012" s="7" t="s">
        <v>828</v>
      </c>
      <c r="U1012" s="7" t="str">
        <f t="shared" si="129"/>
        <v>CLK_DETM_DETIS_MYDS_V</v>
      </c>
      <c r="V1012" s="7" t="s">
        <v>829</v>
      </c>
    </row>
    <row r="1013" spans="1:22">
      <c r="A1013" s="7" t="str">
        <f>TRIM(ETLMetadata!$B1013)</f>
        <v>CLK</v>
      </c>
      <c r="B1013" s="7" t="str">
        <f>TRIM(ETLMetadata!$C1013)</f>
        <v>DETM_DETIS_MYDS</v>
      </c>
      <c r="C1013" s="7" t="str">
        <f>TRIM(ETLMetadata!$F1013)</f>
        <v>End_Date</v>
      </c>
      <c r="D1013" s="7" t="str">
        <f>TRIM(ETLMetadata!$H1013)</f>
        <v>StringType()</v>
      </c>
      <c r="E1013" s="7" t="str">
        <f t="shared" si="128"/>
        <v>CLK_DETM_DETIS_MYDS</v>
      </c>
      <c r="F1013" s="7" t="str">
        <f t="shared" si="122"/>
        <v>END_DT</v>
      </c>
      <c r="G1013" s="7" t="s">
        <v>825</v>
      </c>
      <c r="H1013" s="7" t="str">
        <f t="shared" si="123"/>
        <v>CLK_DETM_DETIS_MYDS</v>
      </c>
      <c r="I1013" s="7" t="str">
        <f t="shared" si="124"/>
        <v>END_DT</v>
      </c>
      <c r="J1013" s="7" t="str">
        <f t="shared" si="125"/>
        <v>DATE</v>
      </c>
      <c r="K1013" s="7" t="str">
        <f>TRIM(ETLMetadata!$G1013)</f>
        <v>DATE</v>
      </c>
      <c r="L1013" s="7" t="str">
        <f>TRIM(ETLMetadata!$I1013)</f>
        <v>YYYY-MM-DD</v>
      </c>
      <c r="M1013" s="7" t="str">
        <f t="shared" si="126"/>
        <v>TO_DATE(NULLIF(TRIM(END_DT),'') , 'YYYY-MM-DD')</v>
      </c>
      <c r="N1013" s="7" t="str">
        <f>TRIM(ETLMetadata!$J1013)</f>
        <v/>
      </c>
      <c r="O1013" s="8" t="str">
        <f>IF(TRIM(Classification!$G1013)="","NOT CONFIDENTIAL",TRIM(Classification!$G1013))</f>
        <v>NOT CONFIDENTIAL</v>
      </c>
      <c r="P1013" s="7" t="str">
        <f t="shared" si="127"/>
        <v>N</v>
      </c>
      <c r="Q1013" s="7" t="s">
        <v>826</v>
      </c>
      <c r="R1013" s="9">
        <v>2958465</v>
      </c>
      <c r="S1013" s="7" t="s">
        <v>827</v>
      </c>
      <c r="T1013" s="7" t="s">
        <v>828</v>
      </c>
      <c r="U1013" s="7" t="str">
        <f t="shared" si="129"/>
        <v>CLK_DETM_DETIS_MYDS_V</v>
      </c>
      <c r="V1013" s="7" t="s">
        <v>829</v>
      </c>
    </row>
    <row r="1014" spans="1:22">
      <c r="A1014" s="7" t="str">
        <f>TRIM(ETLMetadata!$B1014)</f>
        <v>CLK</v>
      </c>
      <c r="B1014" s="7" t="str">
        <f>TRIM(ETLMetadata!$C1014)</f>
        <v>DETM_DETIS_MYDS</v>
      </c>
      <c r="C1014" s="7" t="str">
        <f>TRIM(ETLMetadata!$F1014)</f>
        <v>Record_Deleted_Flag</v>
      </c>
      <c r="D1014" s="7" t="str">
        <f>TRIM(ETLMetadata!$H1014)</f>
        <v>StringType()</v>
      </c>
      <c r="E1014" s="7" t="str">
        <f t="shared" si="128"/>
        <v>CLK_DETM_DETIS_MYDS</v>
      </c>
      <c r="F1014" s="7" t="str">
        <f t="shared" si="122"/>
        <v>RCRD_DEL_IND</v>
      </c>
      <c r="G1014" s="7" t="s">
        <v>825</v>
      </c>
      <c r="H1014" s="7" t="str">
        <f t="shared" si="123"/>
        <v>CLK_DETM_DETIS_MYDS</v>
      </c>
      <c r="I1014" s="7" t="str">
        <f t="shared" si="124"/>
        <v>RCRD_DEL_IND</v>
      </c>
      <c r="J1014" s="7" t="str">
        <f t="shared" si="125"/>
        <v>SMALLINT</v>
      </c>
      <c r="K1014" s="7" t="str">
        <f>TRIM(ETLMetadata!$G1014)</f>
        <v>BYTEINT</v>
      </c>
      <c r="L1014" s="7" t="str">
        <f>TRIM(ETLMetadata!$I1014)</f>
        <v/>
      </c>
      <c r="M1014" s="7" t="str">
        <f t="shared" si="126"/>
        <v>CAST(NULLIF(TRIM(RCRD_DEL_IND),'') AS SMALLINT)</v>
      </c>
      <c r="N1014" s="7" t="str">
        <f>TRIM(ETLMetadata!$J1014)</f>
        <v/>
      </c>
      <c r="O1014" s="8" t="str">
        <f>IF(TRIM(Classification!$G1014)="","NOT CONFIDENTIAL",TRIM(Classification!$G1014))</f>
        <v>NOT CONFIDENTIAL</v>
      </c>
      <c r="P1014" s="7" t="str">
        <f t="shared" si="127"/>
        <v>N</v>
      </c>
      <c r="Q1014" s="7" t="s">
        <v>826</v>
      </c>
      <c r="R1014" s="9">
        <v>2958465</v>
      </c>
      <c r="S1014" s="7" t="s">
        <v>827</v>
      </c>
      <c r="T1014" s="7" t="s">
        <v>828</v>
      </c>
      <c r="U1014" s="7" t="str">
        <f t="shared" si="129"/>
        <v>CLK_DETM_DETIS_MYDS_V</v>
      </c>
      <c r="V1014" s="7" t="s">
        <v>829</v>
      </c>
    </row>
    <row r="1015" spans="1:22">
      <c r="A1015" s="7" t="str">
        <f>TRIM(ETLMetadata!$B1015)</f>
        <v>CLK</v>
      </c>
      <c r="B1015" s="7" t="str">
        <f>TRIM(ETLMetadata!$C1015)</f>
        <v>DETM_DETIS_N9DS</v>
      </c>
      <c r="C1015" s="7" t="str">
        <f>TRIM(ETLMetadata!$F1015)</f>
        <v>EXTRACT_DATE</v>
      </c>
      <c r="D1015" s="7" t="str">
        <f>TRIM(ETLMetadata!$H1015)</f>
        <v>StringType()</v>
      </c>
      <c r="E1015" s="7" t="str">
        <f t="shared" si="128"/>
        <v>CLK_DETM_DETIS_N9DS</v>
      </c>
      <c r="F1015" s="7" t="str">
        <f t="shared" si="122"/>
        <v>EXTRACT_DATE</v>
      </c>
      <c r="G1015" s="7" t="s">
        <v>825</v>
      </c>
      <c r="H1015" s="7" t="str">
        <f t="shared" si="123"/>
        <v>CLK_DETM_DETIS_N9DS</v>
      </c>
      <c r="I1015" s="7" t="str">
        <f t="shared" si="124"/>
        <v>EXTRACT_DATE</v>
      </c>
      <c r="J1015" s="7" t="str">
        <f t="shared" si="125"/>
        <v>DATE</v>
      </c>
      <c r="K1015" s="7" t="str">
        <f>TRIM(ETLMetadata!$G1015)</f>
        <v>DATE</v>
      </c>
      <c r="L1015" s="7" t="str">
        <f>TRIM(ETLMetadata!$I1015)</f>
        <v>YYYY-MM-DD</v>
      </c>
      <c r="M1015" s="7" t="str">
        <f t="shared" si="126"/>
        <v>TO_DATE(NULLIF(TRIM(EXTRACT_DATE),'') , 'YYYY-MM-DD')</v>
      </c>
      <c r="N1015" s="7" t="str">
        <f>TRIM(ETLMetadata!$J1015)</f>
        <v/>
      </c>
      <c r="O1015" s="8" t="str">
        <f>IF(TRIM(Classification!$G1015)="","NOT CONFIDENTIAL",TRIM(Classification!$G1015))</f>
        <v>NOT CONFIDENTIAL</v>
      </c>
      <c r="P1015" s="7" t="str">
        <f t="shared" si="127"/>
        <v>Y</v>
      </c>
      <c r="Q1015" s="7" t="s">
        <v>826</v>
      </c>
      <c r="R1015" s="9">
        <v>2958465</v>
      </c>
      <c r="S1015" s="7" t="s">
        <v>827</v>
      </c>
      <c r="T1015" s="7" t="s">
        <v>828</v>
      </c>
      <c r="U1015" s="7" t="str">
        <f t="shared" si="129"/>
        <v>CLK_DETM_DETIS_N9DS_V</v>
      </c>
      <c r="V1015" s="7" t="s">
        <v>829</v>
      </c>
    </row>
    <row r="1016" spans="1:22">
      <c r="A1016" s="7" t="str">
        <f>TRIM(ETLMetadata!$B1016)</f>
        <v>CLK</v>
      </c>
      <c r="B1016" s="7" t="str">
        <f>TRIM(ETLMetadata!$C1016)</f>
        <v>DETM_DETIS_N9DS</v>
      </c>
      <c r="C1016" s="7" t="str">
        <f>TRIM(ETLMetadata!$F1016)</f>
        <v>LOGICAL_DELETE_DATE</v>
      </c>
      <c r="D1016" s="7" t="str">
        <f>TRIM(ETLMetadata!$H1016)</f>
        <v>StringType()</v>
      </c>
      <c r="E1016" s="7" t="str">
        <f t="shared" si="128"/>
        <v>CLK_DETM_DETIS_N9DS</v>
      </c>
      <c r="F1016" s="7" t="str">
        <f t="shared" si="122"/>
        <v>LOGICAL_DELETE_DATE</v>
      </c>
      <c r="G1016" s="7" t="s">
        <v>825</v>
      </c>
      <c r="H1016" s="7" t="str">
        <f t="shared" si="123"/>
        <v>CLK_DETM_DETIS_N9DS</v>
      </c>
      <c r="I1016" s="7" t="str">
        <f t="shared" si="124"/>
        <v>LOGICAL_DELETE_DATE</v>
      </c>
      <c r="J1016" s="7" t="str">
        <f t="shared" si="125"/>
        <v>DATE</v>
      </c>
      <c r="K1016" s="7" t="str">
        <f>TRIM(ETLMetadata!$G1016)</f>
        <v>DATE</v>
      </c>
      <c r="L1016" s="7" t="str">
        <f>TRIM(ETLMetadata!$I1016)</f>
        <v>YYYY-MM-DD</v>
      </c>
      <c r="M1016" s="7" t="str">
        <f t="shared" si="126"/>
        <v>TO_DATE(NULLIF(TRIM(LOGICAL_DELETE_DATE),'') , 'YYYY-MM-DD')</v>
      </c>
      <c r="N1016" s="7" t="str">
        <f>TRIM(ETLMetadata!$J1016)</f>
        <v/>
      </c>
      <c r="O1016" s="8" t="str">
        <f>IF(TRIM(Classification!$G1016)="","NOT CONFIDENTIAL",TRIM(Classification!$G1016))</f>
        <v>NOT CONFIDENTIAL</v>
      </c>
      <c r="P1016" s="7" t="str">
        <f t="shared" si="127"/>
        <v>Y</v>
      </c>
      <c r="Q1016" s="7" t="s">
        <v>826</v>
      </c>
      <c r="R1016" s="9">
        <v>2958465</v>
      </c>
      <c r="S1016" s="7" t="s">
        <v>827</v>
      </c>
      <c r="T1016" s="7" t="s">
        <v>828</v>
      </c>
      <c r="U1016" s="7" t="str">
        <f t="shared" si="129"/>
        <v>CLK_DETM_DETIS_N9DS_V</v>
      </c>
      <c r="V1016" s="7" t="s">
        <v>829</v>
      </c>
    </row>
    <row r="1017" spans="1:22">
      <c r="A1017" s="7" t="str">
        <f>TRIM(ETLMetadata!$B1017)</f>
        <v>CLK</v>
      </c>
      <c r="B1017" s="7" t="str">
        <f>TRIM(ETLMetadata!$C1017)</f>
        <v>DETM_DETIS_N9DS</v>
      </c>
      <c r="C1017" s="7" t="str">
        <f>TRIM(ETLMetadata!$F1017)</f>
        <v>ENVIRONMENT_ID</v>
      </c>
      <c r="D1017" s="7" t="str">
        <f>TRIM(ETLMetadata!$H1017)</f>
        <v>StringType()</v>
      </c>
      <c r="E1017" s="7" t="str">
        <f t="shared" si="128"/>
        <v>CLK_DETM_DETIS_N9DS</v>
      </c>
      <c r="F1017" s="7" t="str">
        <f t="shared" si="122"/>
        <v>ENVIRONMENT_ID</v>
      </c>
      <c r="G1017" s="7" t="s">
        <v>825</v>
      </c>
      <c r="H1017" s="7" t="str">
        <f t="shared" si="123"/>
        <v>CLK_DETM_DETIS_N9DS</v>
      </c>
      <c r="I1017" s="7" t="str">
        <f t="shared" si="124"/>
        <v>ENVIRONMENT_ID</v>
      </c>
      <c r="J1017" s="7" t="str">
        <f t="shared" si="125"/>
        <v>VARCHAR</v>
      </c>
      <c r="K1017" s="7" t="str">
        <f>TRIM(ETLMetadata!$G1017)</f>
        <v>CHAR(1)</v>
      </c>
      <c r="L1017" s="7" t="str">
        <f>TRIM(ETLMetadata!$I1017)</f>
        <v/>
      </c>
      <c r="M1017" s="7" t="str">
        <f t="shared" si="126"/>
        <v>NULLIF(TRIM(ENVIRONMENT_ID),'')</v>
      </c>
      <c r="N1017" s="7" t="str">
        <f>TRIM(ETLMetadata!$J1017)</f>
        <v>Y</v>
      </c>
      <c r="O1017" s="8" t="str">
        <f>IF(TRIM(Classification!$G1017)="","NOT CONFIDENTIAL",TRIM(Classification!$G1017))</f>
        <v>NOT CONFIDENTIAL</v>
      </c>
      <c r="P1017" s="7" t="str">
        <f t="shared" si="127"/>
        <v>Y</v>
      </c>
      <c r="Q1017" s="7" t="s">
        <v>826</v>
      </c>
      <c r="R1017" s="9">
        <v>2958465</v>
      </c>
      <c r="S1017" s="7" t="s">
        <v>827</v>
      </c>
      <c r="T1017" s="7" t="s">
        <v>828</v>
      </c>
      <c r="U1017" s="7" t="str">
        <f t="shared" si="129"/>
        <v>CLK_DETM_DETIS_N9DS_V</v>
      </c>
      <c r="V1017" s="7" t="s">
        <v>829</v>
      </c>
    </row>
    <row r="1018" spans="1:22">
      <c r="A1018" s="7" t="str">
        <f>TRIM(ETLMetadata!$B1018)</f>
        <v>CLK</v>
      </c>
      <c r="B1018" s="7" t="str">
        <f>TRIM(ETLMetadata!$C1018)</f>
        <v>DETM_DETIS_N9DS</v>
      </c>
      <c r="C1018" s="7" t="str">
        <f>TRIM(ETLMetadata!$F1018)</f>
        <v>PERSON_ID</v>
      </c>
      <c r="D1018" s="7" t="str">
        <f>TRIM(ETLMetadata!$H1018)</f>
        <v>StringType()</v>
      </c>
      <c r="E1018" s="7" t="str">
        <f t="shared" si="128"/>
        <v>CLK_DETM_DETIS_N9DS</v>
      </c>
      <c r="F1018" s="7" t="str">
        <f t="shared" si="122"/>
        <v>PERSON_ID</v>
      </c>
      <c r="G1018" s="7" t="s">
        <v>825</v>
      </c>
      <c r="H1018" s="7" t="str">
        <f t="shared" si="123"/>
        <v>CLK_DETM_DETIS_N9DS</v>
      </c>
      <c r="I1018" s="7" t="str">
        <f t="shared" si="124"/>
        <v>PERSON_ID</v>
      </c>
      <c r="J1018" s="7" t="str">
        <f t="shared" si="125"/>
        <v>INTEGER</v>
      </c>
      <c r="K1018" s="7" t="str">
        <f>TRIM(ETLMetadata!$G1018)</f>
        <v>INTEGER</v>
      </c>
      <c r="L1018" s="7" t="str">
        <f>TRIM(ETLMetadata!$I1018)</f>
        <v/>
      </c>
      <c r="M1018" s="7" t="str">
        <f t="shared" si="126"/>
        <v>CAST(NULLIF(TRIM(PERSON_ID),'') AS INTEGER)</v>
      </c>
      <c r="N1018" s="7" t="str">
        <f>TRIM(ETLMetadata!$J1018)</f>
        <v>Y</v>
      </c>
      <c r="O1018" s="8" t="str">
        <f>IF(TRIM(Classification!$G1018)="","NOT CONFIDENTIAL",TRIM(Classification!$G1018))</f>
        <v>PERSONAL_IDENTITYINFOINDIRECT</v>
      </c>
      <c r="P1018" s="7" t="str">
        <f t="shared" si="127"/>
        <v>Y</v>
      </c>
      <c r="Q1018" s="7" t="s">
        <v>826</v>
      </c>
      <c r="R1018" s="9">
        <v>2958465</v>
      </c>
      <c r="S1018" s="7" t="s">
        <v>827</v>
      </c>
      <c r="T1018" s="7" t="s">
        <v>828</v>
      </c>
      <c r="U1018" s="7" t="str">
        <f t="shared" si="129"/>
        <v>CLK_DETM_DETIS_N9DS_V</v>
      </c>
      <c r="V1018" s="7" t="s">
        <v>829</v>
      </c>
    </row>
    <row r="1019" spans="1:22">
      <c r="A1019" s="7" t="str">
        <f>TRIM(ETLMetadata!$B1019)</f>
        <v>CLK</v>
      </c>
      <c r="B1019" s="7" t="str">
        <f>TRIM(ETLMetadata!$C1019)</f>
        <v>DETM_DETIS_N9DS</v>
      </c>
      <c r="C1019" s="7" t="str">
        <f>TRIM(ETLMetadata!$F1019)</f>
        <v>N9DS_DOE</v>
      </c>
      <c r="D1019" s="7" t="str">
        <f>TRIM(ETLMetadata!$H1019)</f>
        <v>StringType()</v>
      </c>
      <c r="E1019" s="7" t="str">
        <f t="shared" si="128"/>
        <v>CLK_DETM_DETIS_N9DS</v>
      </c>
      <c r="F1019" s="7" t="str">
        <f t="shared" si="122"/>
        <v>N9DS_DOE</v>
      </c>
      <c r="G1019" s="7" t="s">
        <v>825</v>
      </c>
      <c r="H1019" s="7" t="str">
        <f t="shared" si="123"/>
        <v>CLK_DETM_DETIS_N9DS</v>
      </c>
      <c r="I1019" s="7" t="str">
        <f t="shared" si="124"/>
        <v>N9DS_DOE</v>
      </c>
      <c r="J1019" s="7" t="str">
        <f t="shared" si="125"/>
        <v>DATE</v>
      </c>
      <c r="K1019" s="17" t="s">
        <v>80</v>
      </c>
      <c r="L1019" s="7" t="str">
        <f>TRIM(ETLMetadata!$I1019)</f>
        <v>YYYY-MM-DD</v>
      </c>
      <c r="M1019" s="7" t="str">
        <f t="shared" si="126"/>
        <v>TO_DATE(NULLIF(TRIM(N9DS_DOE),'') , 'YYYY-MM-DD')</v>
      </c>
      <c r="N1019" s="7" t="str">
        <f>TRIM(ETLMetadata!$J1019)</f>
        <v/>
      </c>
      <c r="O1019" s="8" t="str">
        <f>IF(TRIM(Classification!$G1019)="","NOT CONFIDENTIAL",TRIM(Classification!$G1019))</f>
        <v>NOT CONFIDENTIAL</v>
      </c>
      <c r="P1019" s="7" t="str">
        <f t="shared" si="127"/>
        <v>Y</v>
      </c>
      <c r="Q1019" s="7" t="s">
        <v>826</v>
      </c>
      <c r="R1019" s="9">
        <v>2958465</v>
      </c>
      <c r="S1019" s="7" t="s">
        <v>827</v>
      </c>
      <c r="T1019" s="7" t="s">
        <v>828</v>
      </c>
      <c r="U1019" s="7" t="str">
        <f t="shared" si="129"/>
        <v>CLK_DETM_DETIS_N9DS_V</v>
      </c>
      <c r="V1019" s="7" t="s">
        <v>829</v>
      </c>
    </row>
    <row r="1020" spans="1:22">
      <c r="A1020" s="7" t="str">
        <f>TRIM(ETLMetadata!$B1020)</f>
        <v>CLK</v>
      </c>
      <c r="B1020" s="7" t="str">
        <f>TRIM(ETLMetadata!$C1020)</f>
        <v>DETM_DETIS_N9DS</v>
      </c>
      <c r="C1020" s="7" t="str">
        <f>TRIM(ETLMetadata!$F1020)</f>
        <v>N9DS_DOE_ORIG</v>
      </c>
      <c r="D1020" s="7" t="str">
        <f>TRIM(ETLMetadata!$H1020)</f>
        <v>StringType()</v>
      </c>
      <c r="E1020" s="7" t="str">
        <f t="shared" si="128"/>
        <v>CLK_DETM_DETIS_N9DS</v>
      </c>
      <c r="F1020" s="7" t="str">
        <f t="shared" si="122"/>
        <v>N9DS_DOE_ORIG</v>
      </c>
      <c r="G1020" s="7" t="s">
        <v>825</v>
      </c>
      <c r="H1020" s="7" t="str">
        <f t="shared" si="123"/>
        <v>CLK_DETM_DETIS_N9DS</v>
      </c>
      <c r="I1020" s="7" t="str">
        <f t="shared" si="124"/>
        <v>N9DS_DOE_ORIG</v>
      </c>
      <c r="J1020" s="7" t="str">
        <f t="shared" si="125"/>
        <v>INTEGER</v>
      </c>
      <c r="K1020" s="17" t="s">
        <v>90</v>
      </c>
      <c r="L1020" s="7" t="str">
        <f>TRIM(ETLMetadata!$I1020)</f>
        <v/>
      </c>
      <c r="M1020" s="7" t="str">
        <f t="shared" si="126"/>
        <v>CAST(NULLIF(TRIM(N9DS_DOE_ORIG),'') AS INTEGER)</v>
      </c>
      <c r="N1020" s="7" t="str">
        <f>TRIM(ETLMetadata!$J1020)</f>
        <v/>
      </c>
      <c r="O1020" s="8" t="str">
        <f>IF(TRIM(Classification!$G1020)="","NOT CONFIDENTIAL",TRIM(Classification!$G1020))</f>
        <v>NOT CONFIDENTIAL</v>
      </c>
      <c r="P1020" s="7" t="str">
        <f t="shared" si="127"/>
        <v>Y</v>
      </c>
      <c r="Q1020" s="7" t="s">
        <v>826</v>
      </c>
      <c r="R1020" s="9">
        <v>2958465</v>
      </c>
      <c r="S1020" s="7" t="s">
        <v>827</v>
      </c>
      <c r="T1020" s="7" t="s">
        <v>828</v>
      </c>
      <c r="U1020" s="7" t="str">
        <f t="shared" si="129"/>
        <v>CLK_DETM_DETIS_N9DS_V</v>
      </c>
      <c r="V1020" s="7" t="s">
        <v>829</v>
      </c>
    </row>
    <row r="1021" spans="1:22">
      <c r="A1021" s="7" t="str">
        <f>TRIM(ETLMetadata!$B1021)</f>
        <v>CLK</v>
      </c>
      <c r="B1021" s="7" t="str">
        <f>TRIM(ETLMetadata!$C1021)</f>
        <v>DETM_DETIS_N9DS</v>
      </c>
      <c r="C1021" s="7" t="str">
        <f>TRIM(ETLMetadata!$F1021)</f>
        <v>PROCESSING_SEQUENCE</v>
      </c>
      <c r="D1021" s="7" t="str">
        <f>TRIM(ETLMetadata!$H1021)</f>
        <v>StringType()</v>
      </c>
      <c r="E1021" s="7" t="str">
        <f t="shared" si="128"/>
        <v>CLK_DETM_DETIS_N9DS</v>
      </c>
      <c r="F1021" s="7" t="str">
        <f t="shared" si="122"/>
        <v>PROCESSING_SEQUENCE</v>
      </c>
      <c r="G1021" s="7" t="s">
        <v>825</v>
      </c>
      <c r="H1021" s="7" t="str">
        <f t="shared" si="123"/>
        <v>CLK_DETM_DETIS_N9DS</v>
      </c>
      <c r="I1021" s="7" t="str">
        <f t="shared" si="124"/>
        <v>PROCESSING_SEQUENCE</v>
      </c>
      <c r="J1021" s="7" t="str">
        <f t="shared" si="125"/>
        <v>SMALLINT</v>
      </c>
      <c r="K1021" s="7" t="str">
        <f>TRIM(ETLMetadata!$G1021)</f>
        <v>SMALLINT</v>
      </c>
      <c r="L1021" s="7" t="str">
        <f>TRIM(ETLMetadata!$I1021)</f>
        <v/>
      </c>
      <c r="M1021" s="7" t="str">
        <f t="shared" si="126"/>
        <v>CAST(NULLIF(TRIM(PROCESSING_SEQUENCE),'') AS SMALLINT)</v>
      </c>
      <c r="N1021" s="7" t="str">
        <f>TRIM(ETLMetadata!$J1021)</f>
        <v>Y</v>
      </c>
      <c r="O1021" s="8" t="str">
        <f>IF(TRIM(Classification!$G1021)="","NOT CONFIDENTIAL",TRIM(Classification!$G1021))</f>
        <v>NOT CONFIDENTIAL</v>
      </c>
      <c r="P1021" s="7" t="str">
        <f t="shared" si="127"/>
        <v>Y</v>
      </c>
      <c r="Q1021" s="7" t="s">
        <v>826</v>
      </c>
      <c r="R1021" s="9">
        <v>2958465</v>
      </c>
      <c r="S1021" s="7" t="s">
        <v>827</v>
      </c>
      <c r="T1021" s="7" t="s">
        <v>828</v>
      </c>
      <c r="U1021" s="7" t="str">
        <f t="shared" si="129"/>
        <v>CLK_DETM_DETIS_N9DS_V</v>
      </c>
      <c r="V1021" s="7" t="s">
        <v>829</v>
      </c>
    </row>
    <row r="1022" spans="1:22">
      <c r="A1022" s="7" t="str">
        <f>TRIM(ETLMetadata!$B1022)</f>
        <v>CLK</v>
      </c>
      <c r="B1022" s="7" t="str">
        <f>TRIM(ETLMetadata!$C1022)</f>
        <v>DETM_DETIS_N9DS</v>
      </c>
      <c r="C1022" s="7" t="str">
        <f>TRIM(ETLMetadata!$F1022)</f>
        <v>N9DS_AMR_1</v>
      </c>
      <c r="D1022" s="7" t="str">
        <f>TRIM(ETLMetadata!$H1022)</f>
        <v>StringType()</v>
      </c>
      <c r="E1022" s="7" t="str">
        <f t="shared" si="128"/>
        <v>CLK_DETM_DETIS_N9DS</v>
      </c>
      <c r="F1022" s="7" t="str">
        <f t="shared" si="122"/>
        <v>N9DS_AMR_1</v>
      </c>
      <c r="G1022" s="7" t="s">
        <v>825</v>
      </c>
      <c r="H1022" s="7" t="str">
        <f t="shared" si="123"/>
        <v>CLK_DETM_DETIS_N9DS</v>
      </c>
      <c r="I1022" s="7" t="str">
        <f t="shared" si="124"/>
        <v>N9DS_AMR_1</v>
      </c>
      <c r="J1022" s="7" t="str">
        <f t="shared" si="125"/>
        <v>VARCHAR</v>
      </c>
      <c r="K1022" s="7" t="str">
        <f>TRIM(ETLMetadata!$G1022)</f>
        <v>CHAR(4)</v>
      </c>
      <c r="L1022" s="7" t="str">
        <f>TRIM(ETLMetadata!$I1022)</f>
        <v/>
      </c>
      <c r="M1022" s="7" t="str">
        <f t="shared" si="126"/>
        <v>NULLIF(TRIM(N9DS_AMR_1),'')</v>
      </c>
      <c r="N1022" s="7" t="str">
        <f>TRIM(ETLMetadata!$J1022)</f>
        <v/>
      </c>
      <c r="O1022" s="8" t="str">
        <f>IF(TRIM(Classification!$G1022)="","NOT CONFIDENTIAL",TRIM(Classification!$G1022))</f>
        <v>NOT CONFIDENTIAL</v>
      </c>
      <c r="P1022" s="7" t="str">
        <f t="shared" si="127"/>
        <v>Y</v>
      </c>
      <c r="Q1022" s="7" t="s">
        <v>826</v>
      </c>
      <c r="R1022" s="9">
        <v>2958465</v>
      </c>
      <c r="S1022" s="7" t="s">
        <v>827</v>
      </c>
      <c r="T1022" s="7" t="s">
        <v>828</v>
      </c>
      <c r="U1022" s="7" t="str">
        <f t="shared" si="129"/>
        <v>CLK_DETM_DETIS_N9DS_V</v>
      </c>
      <c r="V1022" s="7" t="s">
        <v>829</v>
      </c>
    </row>
    <row r="1023" spans="1:22">
      <c r="A1023" s="7" t="str">
        <f>TRIM(ETLMetadata!$B1023)</f>
        <v>CLK</v>
      </c>
      <c r="B1023" s="7" t="str">
        <f>TRIM(ETLMetadata!$C1023)</f>
        <v>DETM_DETIS_N9DS</v>
      </c>
      <c r="C1023" s="7" t="str">
        <f>TRIM(ETLMetadata!$F1023)</f>
        <v>N9DS_AMR_2</v>
      </c>
      <c r="D1023" s="7" t="str">
        <f>TRIM(ETLMetadata!$H1023)</f>
        <v>StringType()</v>
      </c>
      <c r="E1023" s="7" t="str">
        <f t="shared" si="128"/>
        <v>CLK_DETM_DETIS_N9DS</v>
      </c>
      <c r="F1023" s="7" t="str">
        <f t="shared" si="122"/>
        <v>N9DS_AMR_2</v>
      </c>
      <c r="G1023" s="7" t="s">
        <v>825</v>
      </c>
      <c r="H1023" s="7" t="str">
        <f t="shared" si="123"/>
        <v>CLK_DETM_DETIS_N9DS</v>
      </c>
      <c r="I1023" s="7" t="str">
        <f t="shared" si="124"/>
        <v>N9DS_AMR_2</v>
      </c>
      <c r="J1023" s="7" t="str">
        <f t="shared" si="125"/>
        <v>VARCHAR</v>
      </c>
      <c r="K1023" s="7" t="str">
        <f>TRIM(ETLMetadata!$G1023)</f>
        <v>CHAR(1)</v>
      </c>
      <c r="L1023" s="7" t="str">
        <f>TRIM(ETLMetadata!$I1023)</f>
        <v/>
      </c>
      <c r="M1023" s="7" t="str">
        <f t="shared" si="126"/>
        <v>NULLIF(TRIM(N9DS_AMR_2),'')</v>
      </c>
      <c r="N1023" s="7" t="str">
        <f>TRIM(ETLMetadata!$J1023)</f>
        <v/>
      </c>
      <c r="O1023" s="8" t="str">
        <f>IF(TRIM(Classification!$G1023)="","NOT CONFIDENTIAL",TRIM(Classification!$G1023))</f>
        <v>NOT CONFIDENTIAL</v>
      </c>
      <c r="P1023" s="7" t="str">
        <f t="shared" si="127"/>
        <v>Y</v>
      </c>
      <c r="Q1023" s="7" t="s">
        <v>826</v>
      </c>
      <c r="R1023" s="9">
        <v>2958465</v>
      </c>
      <c r="S1023" s="7" t="s">
        <v>827</v>
      </c>
      <c r="T1023" s="7" t="s">
        <v>828</v>
      </c>
      <c r="U1023" s="7" t="str">
        <f t="shared" si="129"/>
        <v>CLK_DETM_DETIS_N9DS_V</v>
      </c>
      <c r="V1023" s="7" t="s">
        <v>829</v>
      </c>
    </row>
    <row r="1024" spans="1:22">
      <c r="A1024" s="7" t="str">
        <f>TRIM(ETLMetadata!$B1024)</f>
        <v>CLK</v>
      </c>
      <c r="B1024" s="7" t="str">
        <f>TRIM(ETLMetadata!$C1024)</f>
        <v>DETM_DETIS_N9DS</v>
      </c>
      <c r="C1024" s="7" t="str">
        <f>TRIM(ETLMetadata!$F1024)</f>
        <v>N9DS_AMR_3</v>
      </c>
      <c r="D1024" s="7" t="str">
        <f>TRIM(ETLMetadata!$H1024)</f>
        <v>StringType()</v>
      </c>
      <c r="E1024" s="7" t="str">
        <f t="shared" si="128"/>
        <v>CLK_DETM_DETIS_N9DS</v>
      </c>
      <c r="F1024" s="7" t="str">
        <f t="shared" si="122"/>
        <v>N9DS_AMR_3</v>
      </c>
      <c r="G1024" s="7" t="s">
        <v>825</v>
      </c>
      <c r="H1024" s="7" t="str">
        <f t="shared" si="123"/>
        <v>CLK_DETM_DETIS_N9DS</v>
      </c>
      <c r="I1024" s="7" t="str">
        <f t="shared" si="124"/>
        <v>N9DS_AMR_3</v>
      </c>
      <c r="J1024" s="7" t="str">
        <f t="shared" si="125"/>
        <v>VARCHAR</v>
      </c>
      <c r="K1024" s="7" t="str">
        <f>TRIM(ETLMetadata!$G1024)</f>
        <v>CHAR(4)</v>
      </c>
      <c r="L1024" s="7" t="str">
        <f>TRIM(ETLMetadata!$I1024)</f>
        <v/>
      </c>
      <c r="M1024" s="7" t="str">
        <f t="shared" si="126"/>
        <v>NULLIF(TRIM(N9DS_AMR_3),'')</v>
      </c>
      <c r="N1024" s="7" t="str">
        <f>TRIM(ETLMetadata!$J1024)</f>
        <v/>
      </c>
      <c r="O1024" s="8" t="str">
        <f>IF(TRIM(Classification!$G1024)="","NOT CONFIDENTIAL",TRIM(Classification!$G1024))</f>
        <v>NOT CONFIDENTIAL</v>
      </c>
      <c r="P1024" s="7" t="str">
        <f t="shared" si="127"/>
        <v>Y</v>
      </c>
      <c r="Q1024" s="7" t="s">
        <v>826</v>
      </c>
      <c r="R1024" s="9">
        <v>2958465</v>
      </c>
      <c r="S1024" s="7" t="s">
        <v>827</v>
      </c>
      <c r="T1024" s="7" t="s">
        <v>828</v>
      </c>
      <c r="U1024" s="7" t="str">
        <f t="shared" si="129"/>
        <v>CLK_DETM_DETIS_N9DS_V</v>
      </c>
      <c r="V1024" s="7" t="s">
        <v>829</v>
      </c>
    </row>
    <row r="1025" spans="1:22">
      <c r="A1025" s="7" t="str">
        <f>TRIM(ETLMetadata!$B1025)</f>
        <v>CLK</v>
      </c>
      <c r="B1025" s="7" t="str">
        <f>TRIM(ETLMetadata!$C1025)</f>
        <v>DETM_DETIS_N9DS</v>
      </c>
      <c r="C1025" s="7" t="str">
        <f>TRIM(ETLMetadata!$F1025)</f>
        <v>N9DS_BEN_TYPE_CODE</v>
      </c>
      <c r="D1025" s="7" t="str">
        <f>TRIM(ETLMetadata!$H1025)</f>
        <v>StringType()</v>
      </c>
      <c r="E1025" s="7" t="str">
        <f t="shared" si="128"/>
        <v>CLK_DETM_DETIS_N9DS</v>
      </c>
      <c r="F1025" s="7" t="str">
        <f t="shared" si="122"/>
        <v>N9DS_BEN_TYPE_CODE</v>
      </c>
      <c r="G1025" s="7" t="s">
        <v>825</v>
      </c>
      <c r="H1025" s="7" t="str">
        <f t="shared" si="123"/>
        <v>CLK_DETM_DETIS_N9DS</v>
      </c>
      <c r="I1025" s="7" t="str">
        <f t="shared" si="124"/>
        <v>N9DS_BEN_TYPE_CODE</v>
      </c>
      <c r="J1025" s="7" t="str">
        <f t="shared" si="125"/>
        <v>VARCHAR</v>
      </c>
      <c r="K1025" s="7" t="str">
        <f>TRIM(ETLMetadata!$G1025)</f>
        <v>CHAR(3)</v>
      </c>
      <c r="L1025" s="7" t="str">
        <f>TRIM(ETLMetadata!$I1025)</f>
        <v/>
      </c>
      <c r="M1025" s="7" t="str">
        <f t="shared" si="126"/>
        <v>NULLIF(TRIM(N9DS_BEN_TYPE_CODE),'')</v>
      </c>
      <c r="N1025" s="7" t="str">
        <f>TRIM(ETLMetadata!$J1025)</f>
        <v/>
      </c>
      <c r="O1025" s="8" t="str">
        <f>IF(TRIM(Classification!$G1025)="","NOT CONFIDENTIAL",TRIM(Classification!$G1025))</f>
        <v>NOT CONFIDENTIAL</v>
      </c>
      <c r="P1025" s="7" t="str">
        <f t="shared" si="127"/>
        <v>Y</v>
      </c>
      <c r="Q1025" s="7" t="s">
        <v>826</v>
      </c>
      <c r="R1025" s="9">
        <v>2958465</v>
      </c>
      <c r="S1025" s="7" t="s">
        <v>827</v>
      </c>
      <c r="T1025" s="7" t="s">
        <v>828</v>
      </c>
      <c r="U1025" s="7" t="str">
        <f t="shared" si="129"/>
        <v>CLK_DETM_DETIS_N9DS_V</v>
      </c>
      <c r="V1025" s="7" t="s">
        <v>829</v>
      </c>
    </row>
    <row r="1026" spans="1:22">
      <c r="A1026" s="7" t="str">
        <f>TRIM(ETLMetadata!$B1026)</f>
        <v>CLK</v>
      </c>
      <c r="B1026" s="7" t="str">
        <f>TRIM(ETLMetadata!$C1026)</f>
        <v>DETM_DETIS_N9DS</v>
      </c>
      <c r="C1026" s="7" t="str">
        <f>TRIM(ETLMetadata!$F1026)</f>
        <v>N9DS_STS_CODE</v>
      </c>
      <c r="D1026" s="7" t="str">
        <f>TRIM(ETLMetadata!$H1026)</f>
        <v>StringType()</v>
      </c>
      <c r="E1026" s="7" t="str">
        <f t="shared" si="128"/>
        <v>CLK_DETM_DETIS_N9DS</v>
      </c>
      <c r="F1026" s="7" t="str">
        <f t="shared" si="122"/>
        <v>N9DS_STS_CODE</v>
      </c>
      <c r="G1026" s="7" t="s">
        <v>825</v>
      </c>
      <c r="H1026" s="7" t="str">
        <f t="shared" si="123"/>
        <v>CLK_DETM_DETIS_N9DS</v>
      </c>
      <c r="I1026" s="7" t="str">
        <f t="shared" si="124"/>
        <v>N9DS_STS_CODE</v>
      </c>
      <c r="J1026" s="7" t="str">
        <f t="shared" si="125"/>
        <v>VARCHAR</v>
      </c>
      <c r="K1026" s="7" t="str">
        <f>TRIM(ETLMetadata!$G1026)</f>
        <v>CHAR(3)</v>
      </c>
      <c r="L1026" s="7" t="str">
        <f>TRIM(ETLMetadata!$I1026)</f>
        <v/>
      </c>
      <c r="M1026" s="7" t="str">
        <f t="shared" si="126"/>
        <v>NULLIF(TRIM(N9DS_STS_CODE),'')</v>
      </c>
      <c r="N1026" s="7" t="str">
        <f>TRIM(ETLMetadata!$J1026)</f>
        <v/>
      </c>
      <c r="O1026" s="8" t="str">
        <f>IF(TRIM(Classification!$G1026)="","NOT CONFIDENTIAL",TRIM(Classification!$G1026))</f>
        <v>NOT CONFIDENTIAL</v>
      </c>
      <c r="P1026" s="7" t="str">
        <f t="shared" si="127"/>
        <v>Y</v>
      </c>
      <c r="Q1026" s="7" t="s">
        <v>826</v>
      </c>
      <c r="R1026" s="9">
        <v>2958465</v>
      </c>
      <c r="S1026" s="7" t="s">
        <v>827</v>
      </c>
      <c r="T1026" s="7" t="s">
        <v>828</v>
      </c>
      <c r="U1026" s="7" t="str">
        <f t="shared" si="129"/>
        <v>CLK_DETM_DETIS_N9DS_V</v>
      </c>
      <c r="V1026" s="7" t="s">
        <v>829</v>
      </c>
    </row>
    <row r="1027" spans="1:22">
      <c r="A1027" s="7" t="str">
        <f>TRIM(ETLMetadata!$B1027)</f>
        <v>CLK</v>
      </c>
      <c r="B1027" s="7" t="str">
        <f>TRIM(ETLMetadata!$C1027)</f>
        <v>DETM_DETIS_N9DS</v>
      </c>
      <c r="C1027" s="7" t="str">
        <f>TRIM(ETLMetadata!$F1027)</f>
        <v>N9DS_RSN_CODE</v>
      </c>
      <c r="D1027" s="7" t="str">
        <f>TRIM(ETLMetadata!$H1027)</f>
        <v>StringType()</v>
      </c>
      <c r="E1027" s="7" t="str">
        <f t="shared" si="128"/>
        <v>CLK_DETM_DETIS_N9DS</v>
      </c>
      <c r="F1027" s="7" t="str">
        <f t="shared" ref="F1027:F1090" si="130">IF($C1027="Start_Date","STRT_DT",
 IF($C1027="End_Date","END_DT",
 IF($C1027="Record_Deleted_Flag","RCRD_DEL_IND",
 IF($C1027="IsDeleted","RCRD_DEL_IND",
 $C1027
))))</f>
        <v>N9DS_RSN_CODE</v>
      </c>
      <c r="G1027" s="7" t="s">
        <v>825</v>
      </c>
      <c r="H1027" s="7" t="str">
        <f t="shared" ref="H1027:H1090" si="131">CONCATENATE($A1027,"_",$B1027)</f>
        <v>CLK_DETM_DETIS_N9DS</v>
      </c>
      <c r="I1027" s="7" t="str">
        <f t="shared" ref="I1027:I1090" si="132">IF($C1027="Start_Date","STRT_DT",
 IF($C1027="End_Date","END_DT",
 IF($C1027="Record_Deleted_Flag","RCRD_DEL_IND",
 IF($C1027="IsDeleted","RCRD_DEL_IND",
 $C1027
))))</f>
        <v>N9DS_RSN_CODE</v>
      </c>
      <c r="J1027" s="7" t="str">
        <f t="shared" ref="J1027:J1090" si="133">IF(LEFT(TRIM($K1027),7)="VARCHAR","VARCHAR",
 IF(LEFT(TRIM($K1027),4)="CHAR","VARCHAR",
 IF(TRIM($K1027)="TIMESTAMP(6)","TIMESTAMP",
 IF(TRIM($K1027)="DATE","DATE",
 IF(TRIM($K1027)="BYTEINT","SMALLINT",
 IF(TRIM($K1027)="SMALLINT","SMALLINT",
 IF(TRIM($K1027)="INTEGER","INTEGER",
 IF(TRIM($K1027)="BIGINT","INTEGER",
 IF(LEFT(TRIM($K1027),7)="DECIMAL",TRIM($K1027),
 IF(TRIM($K1027)="BOOLEAN","BOOLEAN",
 IF(TRIM($K1027)="DOUBLE","DOUBLE",
 IF(TRIM($K1027)="FLOAT","FLOAT",
 IF(TRIM($K1027)="REAL","REAL",
 IF(LEFT(TRIM($K1027),6)="STRUCT","VARIANT",
 IF(LEFT(TRIM($K1027),5)="ARRAY","VARIANT",
 IF(LEFT(TRIM($K1027),3)="MAP","VARIANT",
 IF(LEFT(TRIM($K1027),3)="ROW","VARIANT",
 "NONE"
)))))))))))))))))</f>
        <v>VARCHAR</v>
      </c>
      <c r="K1027" s="7" t="str">
        <f>TRIM(ETLMetadata!$G1027)</f>
        <v>CHAR(3)</v>
      </c>
      <c r="L1027" s="7" t="str">
        <f>TRIM(ETLMetadata!$I1027)</f>
        <v/>
      </c>
      <c r="M1027" s="7" t="str">
        <f t="shared" ref="M1027:M1090" si="134">IF(LEFT($K1027,7)="VARCHAR","NULLIF(TRIM("&amp;$I1027&amp;"),'')",
 IF(LEFT($K1027,4)="CHAR","NULLIF(TRIM("&amp;$I1027&amp;"),'')",
 IF(LEFT($K1027,7)="DECIMAL","CAST(NULLIF(TRIM("&amp;$I1027&amp;"),'') AS "&amp;$K1027&amp;")",
 IF($K1027="TIMESTAMP(6)","TO_TIMESTAMP_NTZ(NULLIF(TRIM("&amp;$I1027&amp;"),''),'YYYY-MM-DD HH24:MI:SS.FF6')",
 IF($K1027="DATE","TO_DATE(NULLIF(TRIM("&amp;$I1027&amp;"),'') , 'YYYY-MM-DD')",
 IF($K1027="BIGINT","CAST(NULLIF(TRIM("&amp;I1027&amp;"),'') AS INTEGER)",
 IF($K1027="BYTEINT","CAST(NULLIF(TRIM("&amp;I1027&amp;"),'') AS SMALLINT)",
 IF($K1027="SMALLINT","CAST(NULLIF(TRIM("&amp;I1027&amp;"),'') AS SMALLINT)",
 IF($K1027="INTEGER","CAST(NULLIF(TRIM("&amp;I1027&amp;"),'') AS INTEGER)",
 IF($K1027="BOOLEAN","CAST(NULLIF(TRIM("&amp;I1027&amp;"),'') AS BOOLEAN)",
 IF($K1027="DOUBLE","CAST(NULLIF(TRIM("&amp;I1027&amp;"),'') AS DOUBLE)",
 IF($K1027="FLOAT","CAST(NULLIF(TRIM("&amp;I1027&amp;"),'') AS FLOAT)",
 IF($K1027="REAL","CAST(NULLIF(TRIM("&amp;I1027&amp;"),'') AS REAL)",
 IF(OR($K1027="STRUCT",$K1027="ARRAY",$K1027="MAP",$K1027="ROW"),"CAST(NULLIF(TRIM("&amp;I1027&amp;"),'') AS VARIANT)",
 "NONE"
))))))))))))))</f>
        <v>NULLIF(TRIM(N9DS_RSN_CODE),'')</v>
      </c>
      <c r="N1027" s="7" t="str">
        <f>TRIM(ETLMetadata!$J1027)</f>
        <v/>
      </c>
      <c r="O1027" s="8" t="str">
        <f>IF(TRIM(Classification!$G1027)="","NOT CONFIDENTIAL",TRIM(Classification!$G1027))</f>
        <v>NOT CONFIDENTIAL</v>
      </c>
      <c r="P1027" s="7" t="str">
        <f t="shared" ref="P1027:P1090" si="135">IF($C1027="Start_Date","N",
 IF($C1027="End_Date","N",
 IF($C1027="Record_Deleted_Flag","N",
 IF($C1027="IsDeleted","N",
 "Y"
))))</f>
        <v>Y</v>
      </c>
      <c r="Q1027" s="7" t="s">
        <v>826</v>
      </c>
      <c r="R1027" s="9">
        <v>2958465</v>
      </c>
      <c r="S1027" s="7" t="s">
        <v>827</v>
      </c>
      <c r="T1027" s="7" t="s">
        <v>828</v>
      </c>
      <c r="U1027" s="7" t="str">
        <f t="shared" si="129"/>
        <v>CLK_DETM_DETIS_N9DS_V</v>
      </c>
      <c r="V1027" s="7" t="s">
        <v>829</v>
      </c>
    </row>
    <row r="1028" spans="1:22">
      <c r="A1028" s="7" t="str">
        <f>TRIM(ETLMetadata!$B1028)</f>
        <v>CLK</v>
      </c>
      <c r="B1028" s="7" t="str">
        <f>TRIM(ETLMetadata!$C1028)</f>
        <v>DETM_DETIS_N9DS</v>
      </c>
      <c r="C1028" s="7" t="str">
        <f>TRIM(ETLMetadata!$F1028)</f>
        <v>N9DS_UNIQ_ID</v>
      </c>
      <c r="D1028" s="7" t="str">
        <f>TRIM(ETLMetadata!$H1028)</f>
        <v>StringType()</v>
      </c>
      <c r="E1028" s="7" t="str">
        <f t="shared" si="128"/>
        <v>CLK_DETM_DETIS_N9DS</v>
      </c>
      <c r="F1028" s="7" t="str">
        <f t="shared" si="130"/>
        <v>N9DS_UNIQ_ID</v>
      </c>
      <c r="G1028" s="7" t="s">
        <v>825</v>
      </c>
      <c r="H1028" s="7" t="str">
        <f t="shared" si="131"/>
        <v>CLK_DETM_DETIS_N9DS</v>
      </c>
      <c r="I1028" s="7" t="str">
        <f t="shared" si="132"/>
        <v>N9DS_UNIQ_ID</v>
      </c>
      <c r="J1028" s="7" t="str">
        <f t="shared" si="133"/>
        <v>VARCHAR</v>
      </c>
      <c r="K1028" s="7" t="str">
        <f>TRIM(ETLMetadata!$G1028)</f>
        <v>VARCHAR(8)</v>
      </c>
      <c r="L1028" s="7" t="str">
        <f>TRIM(ETLMetadata!$I1028)</f>
        <v/>
      </c>
      <c r="M1028" s="7" t="str">
        <f t="shared" si="134"/>
        <v>NULLIF(TRIM(N9DS_UNIQ_ID),'')</v>
      </c>
      <c r="N1028" s="7" t="str">
        <f>TRIM(ETLMetadata!$J1028)</f>
        <v/>
      </c>
      <c r="O1028" s="8" t="str">
        <f>IF(TRIM(Classification!$G1028)="","NOT CONFIDENTIAL",TRIM(Classification!$G1028))</f>
        <v>NOT CONFIDENTIAL</v>
      </c>
      <c r="P1028" s="7" t="str">
        <f t="shared" si="135"/>
        <v>Y</v>
      </c>
      <c r="Q1028" s="7" t="s">
        <v>826</v>
      </c>
      <c r="R1028" s="9">
        <v>2958465</v>
      </c>
      <c r="S1028" s="7" t="s">
        <v>827</v>
      </c>
      <c r="T1028" s="7" t="s">
        <v>828</v>
      </c>
      <c r="U1028" s="7" t="str">
        <f t="shared" si="129"/>
        <v>CLK_DETM_DETIS_N9DS_V</v>
      </c>
      <c r="V1028" s="7" t="s">
        <v>829</v>
      </c>
    </row>
    <row r="1029" spans="1:22">
      <c r="A1029" s="7" t="str">
        <f>TRIM(ETLMetadata!$B1029)</f>
        <v>CLK</v>
      </c>
      <c r="B1029" s="7" t="str">
        <f>TRIM(ETLMetadata!$C1029)</f>
        <v>DETM_DETIS_N9DS</v>
      </c>
      <c r="C1029" s="7" t="str">
        <f>TRIM(ETLMetadata!$F1029)</f>
        <v>AMR1_RISL_DTS</v>
      </c>
      <c r="D1029" s="7" t="str">
        <f>TRIM(ETLMetadata!$H1029)</f>
        <v>StringType()</v>
      </c>
      <c r="E1029" s="7" t="str">
        <f t="shared" si="128"/>
        <v>CLK_DETM_DETIS_N9DS</v>
      </c>
      <c r="F1029" s="7" t="str">
        <f t="shared" si="130"/>
        <v>AMR1_RISL_DTS</v>
      </c>
      <c r="G1029" s="7" t="s">
        <v>825</v>
      </c>
      <c r="H1029" s="7" t="str">
        <f t="shared" si="131"/>
        <v>CLK_DETM_DETIS_N9DS</v>
      </c>
      <c r="I1029" s="7" t="str">
        <f t="shared" si="132"/>
        <v>AMR1_RISL_DTS</v>
      </c>
      <c r="J1029" s="7" t="str">
        <f t="shared" si="133"/>
        <v>TIMESTAMP</v>
      </c>
      <c r="K1029" s="7" t="str">
        <f>TRIM(ETLMetadata!$G1029)</f>
        <v>TIMESTAMP(6)</v>
      </c>
      <c r="L1029" s="7" t="str">
        <f>TRIM(ETLMetadata!$I1029)</f>
        <v>YYYY-MM-DDBHH:MI:SS.S(6)</v>
      </c>
      <c r="M1029" s="7" t="str">
        <f t="shared" si="134"/>
        <v>TO_TIMESTAMP_NTZ(NULLIF(TRIM(AMR1_RISL_DTS),''),'YYYY-MM-DD HH24:MI:SS.FF6')</v>
      </c>
      <c r="N1029" s="7" t="str">
        <f>TRIM(ETLMetadata!$J1029)</f>
        <v/>
      </c>
      <c r="O1029" s="8" t="str">
        <f>IF(TRIM(Classification!$G1029)="","NOT CONFIDENTIAL",TRIM(Classification!$G1029))</f>
        <v>NOT CONFIDENTIAL</v>
      </c>
      <c r="P1029" s="7" t="str">
        <f t="shared" si="135"/>
        <v>Y</v>
      </c>
      <c r="Q1029" s="7" t="s">
        <v>826</v>
      </c>
      <c r="R1029" s="9">
        <v>2958465</v>
      </c>
      <c r="S1029" s="7" t="s">
        <v>827</v>
      </c>
      <c r="T1029" s="7" t="s">
        <v>828</v>
      </c>
      <c r="U1029" s="7" t="str">
        <f t="shared" si="129"/>
        <v>CLK_DETM_DETIS_N9DS_V</v>
      </c>
      <c r="V1029" s="7" t="s">
        <v>829</v>
      </c>
    </row>
    <row r="1030" spans="1:22">
      <c r="A1030" s="7" t="str">
        <f>TRIM(ETLMetadata!$B1030)</f>
        <v>CLK</v>
      </c>
      <c r="B1030" s="7" t="str">
        <f>TRIM(ETLMetadata!$C1030)</f>
        <v>DETM_DETIS_N9DS</v>
      </c>
      <c r="C1030" s="7" t="str">
        <f>TRIM(ETLMetadata!$F1030)</f>
        <v>AMR3_RISL_DTS</v>
      </c>
      <c r="D1030" s="7" t="str">
        <f>TRIM(ETLMetadata!$H1030)</f>
        <v>StringType()</v>
      </c>
      <c r="E1030" s="7" t="str">
        <f t="shared" si="128"/>
        <v>CLK_DETM_DETIS_N9DS</v>
      </c>
      <c r="F1030" s="7" t="str">
        <f t="shared" si="130"/>
        <v>AMR3_RISL_DTS</v>
      </c>
      <c r="G1030" s="7" t="s">
        <v>825</v>
      </c>
      <c r="H1030" s="7" t="str">
        <f t="shared" si="131"/>
        <v>CLK_DETM_DETIS_N9DS</v>
      </c>
      <c r="I1030" s="7" t="str">
        <f t="shared" si="132"/>
        <v>AMR3_RISL_DTS</v>
      </c>
      <c r="J1030" s="7" t="str">
        <f t="shared" si="133"/>
        <v>TIMESTAMP</v>
      </c>
      <c r="K1030" s="7" t="str">
        <f>TRIM(ETLMetadata!$G1030)</f>
        <v>TIMESTAMP(6)</v>
      </c>
      <c r="L1030" s="7" t="str">
        <f>TRIM(ETLMetadata!$I1030)</f>
        <v>YYYY-MM-DDBHH:MI:SS.S(6)</v>
      </c>
      <c r="M1030" s="7" t="str">
        <f t="shared" si="134"/>
        <v>TO_TIMESTAMP_NTZ(NULLIF(TRIM(AMR3_RISL_DTS),''),'YYYY-MM-DD HH24:MI:SS.FF6')</v>
      </c>
      <c r="N1030" s="7" t="str">
        <f>TRIM(ETLMetadata!$J1030)</f>
        <v/>
      </c>
      <c r="O1030" s="8" t="str">
        <f>IF(TRIM(Classification!$G1030)="","NOT CONFIDENTIAL",TRIM(Classification!$G1030))</f>
        <v>NOT CONFIDENTIAL</v>
      </c>
      <c r="P1030" s="7" t="str">
        <f t="shared" si="135"/>
        <v>Y</v>
      </c>
      <c r="Q1030" s="7" t="s">
        <v>826</v>
      </c>
      <c r="R1030" s="9">
        <v>2958465</v>
      </c>
      <c r="S1030" s="7" t="s">
        <v>827</v>
      </c>
      <c r="T1030" s="7" t="s">
        <v>828</v>
      </c>
      <c r="U1030" s="7" t="str">
        <f t="shared" si="129"/>
        <v>CLK_DETM_DETIS_N9DS_V</v>
      </c>
      <c r="V1030" s="7" t="s">
        <v>829</v>
      </c>
    </row>
    <row r="1031" spans="1:22">
      <c r="A1031" s="7" t="str">
        <f>TRIM(ETLMetadata!$B1031)</f>
        <v>CLK</v>
      </c>
      <c r="B1031" s="7" t="str">
        <f>TRIM(ETLMetadata!$C1031)</f>
        <v>DETM_DETIS_N9DS</v>
      </c>
      <c r="C1031" s="7" t="str">
        <f>TRIM(ETLMetadata!$F1031)</f>
        <v>EPISODE_ID</v>
      </c>
      <c r="D1031" s="7" t="str">
        <f>TRIM(ETLMetadata!$H1031)</f>
        <v>StringType()</v>
      </c>
      <c r="E1031" s="7" t="str">
        <f t="shared" si="128"/>
        <v>CLK_DETM_DETIS_N9DS</v>
      </c>
      <c r="F1031" s="7" t="str">
        <f t="shared" si="130"/>
        <v>EPISODE_ID</v>
      </c>
      <c r="G1031" s="7" t="s">
        <v>825</v>
      </c>
      <c r="H1031" s="7" t="str">
        <f t="shared" si="131"/>
        <v>CLK_DETM_DETIS_N9DS</v>
      </c>
      <c r="I1031" s="7" t="str">
        <f t="shared" si="132"/>
        <v>EPISODE_ID</v>
      </c>
      <c r="J1031" s="7" t="str">
        <f t="shared" si="133"/>
        <v>INTEGER</v>
      </c>
      <c r="K1031" s="7" t="str">
        <f>TRIM(ETLMetadata!$G1031)</f>
        <v>INTEGER</v>
      </c>
      <c r="L1031" s="7" t="str">
        <f>TRIM(ETLMetadata!$I1031)</f>
        <v/>
      </c>
      <c r="M1031" s="7" t="str">
        <f t="shared" si="134"/>
        <v>CAST(NULLIF(TRIM(EPISODE_ID),'') AS INTEGER)</v>
      </c>
      <c r="N1031" s="7" t="str">
        <f>TRIM(ETLMetadata!$J1031)</f>
        <v/>
      </c>
      <c r="O1031" s="8" t="str">
        <f>IF(TRIM(Classification!$G1031)="","NOT CONFIDENTIAL",TRIM(Classification!$G1031))</f>
        <v>NOT CONFIDENTIAL</v>
      </c>
      <c r="P1031" s="7" t="str">
        <f t="shared" si="135"/>
        <v>Y</v>
      </c>
      <c r="Q1031" s="7" t="s">
        <v>826</v>
      </c>
      <c r="R1031" s="9">
        <v>2958465</v>
      </c>
      <c r="S1031" s="7" t="s">
        <v>827</v>
      </c>
      <c r="T1031" s="7" t="s">
        <v>828</v>
      </c>
      <c r="U1031" s="7" t="str">
        <f t="shared" si="129"/>
        <v>CLK_DETM_DETIS_N9DS_V</v>
      </c>
      <c r="V1031" s="7" t="s">
        <v>829</v>
      </c>
    </row>
    <row r="1032" spans="1:22">
      <c r="A1032" s="7" t="str">
        <f>TRIM(ETLMetadata!$B1032)</f>
        <v>CLK</v>
      </c>
      <c r="B1032" s="7" t="str">
        <f>TRIM(ETLMetadata!$C1032)</f>
        <v>DETM_DETIS_N9DS</v>
      </c>
      <c r="C1032" s="7" t="str">
        <f>TRIM(ETLMetadata!$F1032)</f>
        <v>PARTY_ROLE_ID</v>
      </c>
      <c r="D1032" s="7" t="str">
        <f>TRIM(ETLMetadata!$H1032)</f>
        <v>StringType()</v>
      </c>
      <c r="E1032" s="7" t="str">
        <f t="shared" si="128"/>
        <v>CLK_DETM_DETIS_N9DS</v>
      </c>
      <c r="F1032" s="7" t="str">
        <f t="shared" si="130"/>
        <v>PARTY_ROLE_ID</v>
      </c>
      <c r="G1032" s="7" t="s">
        <v>825</v>
      </c>
      <c r="H1032" s="7" t="str">
        <f t="shared" si="131"/>
        <v>CLK_DETM_DETIS_N9DS</v>
      </c>
      <c r="I1032" s="7" t="str">
        <f t="shared" si="132"/>
        <v>PARTY_ROLE_ID</v>
      </c>
      <c r="J1032" s="7" t="str">
        <f t="shared" si="133"/>
        <v>INTEGER</v>
      </c>
      <c r="K1032" s="7" t="str">
        <f>TRIM(ETLMetadata!$G1032)</f>
        <v>INTEGER</v>
      </c>
      <c r="L1032" s="7" t="str">
        <f>TRIM(ETLMetadata!$I1032)</f>
        <v/>
      </c>
      <c r="M1032" s="7" t="str">
        <f t="shared" si="134"/>
        <v>CAST(NULLIF(TRIM(PARTY_ROLE_ID),'') AS INTEGER)</v>
      </c>
      <c r="N1032" s="7" t="str">
        <f>TRIM(ETLMetadata!$J1032)</f>
        <v/>
      </c>
      <c r="O1032" s="8" t="str">
        <f>IF(TRIM(Classification!$G1032)="","NOT CONFIDENTIAL",TRIM(Classification!$G1032))</f>
        <v>NOT CONFIDENTIAL</v>
      </c>
      <c r="P1032" s="7" t="str">
        <f t="shared" si="135"/>
        <v>Y</v>
      </c>
      <c r="Q1032" s="7" t="s">
        <v>826</v>
      </c>
      <c r="R1032" s="9">
        <v>2958465</v>
      </c>
      <c r="S1032" s="7" t="s">
        <v>827</v>
      </c>
      <c r="T1032" s="7" t="s">
        <v>828</v>
      </c>
      <c r="U1032" s="7" t="str">
        <f t="shared" si="129"/>
        <v>CLK_DETM_DETIS_N9DS_V</v>
      </c>
      <c r="V1032" s="7" t="s">
        <v>829</v>
      </c>
    </row>
    <row r="1033" spans="1:22">
      <c r="A1033" s="7" t="str">
        <f>TRIM(ETLMetadata!$B1033)</f>
        <v>CLK</v>
      </c>
      <c r="B1033" s="7" t="str">
        <f>TRIM(ETLMetadata!$C1033)</f>
        <v>DETM_DETIS_N9DS</v>
      </c>
      <c r="C1033" s="7" t="str">
        <f>TRIM(ETLMetadata!$F1033)</f>
        <v>PAYMENT_TYPE_ID</v>
      </c>
      <c r="D1033" s="7" t="str">
        <f>TRIM(ETLMetadata!$H1033)</f>
        <v>StringType()</v>
      </c>
      <c r="E1033" s="7" t="str">
        <f t="shared" si="128"/>
        <v>CLK_DETM_DETIS_N9DS</v>
      </c>
      <c r="F1033" s="7" t="str">
        <f t="shared" si="130"/>
        <v>PAYMENT_TYPE_ID</v>
      </c>
      <c r="G1033" s="7" t="s">
        <v>825</v>
      </c>
      <c r="H1033" s="7" t="str">
        <f t="shared" si="131"/>
        <v>CLK_DETM_DETIS_N9DS</v>
      </c>
      <c r="I1033" s="7" t="str">
        <f t="shared" si="132"/>
        <v>PAYMENT_TYPE_ID</v>
      </c>
      <c r="J1033" s="7" t="str">
        <f t="shared" si="133"/>
        <v>INTEGER</v>
      </c>
      <c r="K1033" s="7" t="str">
        <f>TRIM(ETLMetadata!$G1033)</f>
        <v>INTEGER</v>
      </c>
      <c r="L1033" s="7" t="str">
        <f>TRIM(ETLMetadata!$I1033)</f>
        <v/>
      </c>
      <c r="M1033" s="7" t="str">
        <f t="shared" si="134"/>
        <v>CAST(NULLIF(TRIM(PAYMENT_TYPE_ID),'') AS INTEGER)</v>
      </c>
      <c r="N1033" s="7" t="str">
        <f>TRIM(ETLMetadata!$J1033)</f>
        <v/>
      </c>
      <c r="O1033" s="8" t="str">
        <f>IF(TRIM(Classification!$G1033)="","NOT CONFIDENTIAL",TRIM(Classification!$G1033))</f>
        <v>NOT CONFIDENTIAL</v>
      </c>
      <c r="P1033" s="7" t="str">
        <f t="shared" si="135"/>
        <v>Y</v>
      </c>
      <c r="Q1033" s="7" t="s">
        <v>826</v>
      </c>
      <c r="R1033" s="9">
        <v>2958465</v>
      </c>
      <c r="S1033" s="7" t="s">
        <v>827</v>
      </c>
      <c r="T1033" s="7" t="s">
        <v>828</v>
      </c>
      <c r="U1033" s="7" t="str">
        <f t="shared" si="129"/>
        <v>CLK_DETM_DETIS_N9DS_V</v>
      </c>
      <c r="V1033" s="7" t="s">
        <v>829</v>
      </c>
    </row>
    <row r="1034" spans="1:22">
      <c r="A1034" s="7" t="str">
        <f>TRIM(ETLMetadata!$B1034)</f>
        <v>CLK</v>
      </c>
      <c r="B1034" s="7" t="str">
        <f>TRIM(ETLMetadata!$C1034)</f>
        <v>DETM_DETIS_N9DS</v>
      </c>
      <c r="C1034" s="7" t="str">
        <f>TRIM(ETLMetadata!$F1034)</f>
        <v>ERROR_COUNT</v>
      </c>
      <c r="D1034" s="7" t="str">
        <f>TRIM(ETLMetadata!$H1034)</f>
        <v>StringType()</v>
      </c>
      <c r="E1034" s="7" t="str">
        <f t="shared" si="128"/>
        <v>CLK_DETM_DETIS_N9DS</v>
      </c>
      <c r="F1034" s="7" t="str">
        <f t="shared" si="130"/>
        <v>ERROR_COUNT</v>
      </c>
      <c r="G1034" s="7" t="s">
        <v>825</v>
      </c>
      <c r="H1034" s="7" t="str">
        <f t="shared" si="131"/>
        <v>CLK_DETM_DETIS_N9DS</v>
      </c>
      <c r="I1034" s="7" t="str">
        <f t="shared" si="132"/>
        <v>ERROR_COUNT</v>
      </c>
      <c r="J1034" s="7" t="str">
        <f t="shared" si="133"/>
        <v>SMALLINT</v>
      </c>
      <c r="K1034" s="7" t="str">
        <f>TRIM(ETLMetadata!$G1034)</f>
        <v>SMALLINT</v>
      </c>
      <c r="L1034" s="7" t="str">
        <f>TRIM(ETLMetadata!$I1034)</f>
        <v/>
      </c>
      <c r="M1034" s="7" t="str">
        <f t="shared" si="134"/>
        <v>CAST(NULLIF(TRIM(ERROR_COUNT),'') AS SMALLINT)</v>
      </c>
      <c r="N1034" s="7" t="str">
        <f>TRIM(ETLMetadata!$J1034)</f>
        <v/>
      </c>
      <c r="O1034" s="8" t="str">
        <f>IF(TRIM(Classification!$G1034)="","NOT CONFIDENTIAL",TRIM(Classification!$G1034))</f>
        <v>NOT CONFIDENTIAL</v>
      </c>
      <c r="P1034" s="7" t="str">
        <f t="shared" si="135"/>
        <v>Y</v>
      </c>
      <c r="Q1034" s="7" t="s">
        <v>826</v>
      </c>
      <c r="R1034" s="9">
        <v>2958465</v>
      </c>
      <c r="S1034" s="7" t="s">
        <v>827</v>
      </c>
      <c r="T1034" s="7" t="s">
        <v>828</v>
      </c>
      <c r="U1034" s="7" t="str">
        <f t="shared" si="129"/>
        <v>CLK_DETM_DETIS_N9DS_V</v>
      </c>
      <c r="V1034" s="7" t="s">
        <v>829</v>
      </c>
    </row>
    <row r="1035" spans="1:22">
      <c r="A1035" s="7" t="str">
        <f>TRIM(ETLMetadata!$B1035)</f>
        <v>CLK</v>
      </c>
      <c r="B1035" s="7" t="str">
        <f>TRIM(ETLMetadata!$C1035)</f>
        <v>DETM_DETIS_N9DS</v>
      </c>
      <c r="C1035" s="7" t="str">
        <f>TRIM(ETLMetadata!$F1035)</f>
        <v>Start_Date</v>
      </c>
      <c r="D1035" s="7" t="str">
        <f>TRIM(ETLMetadata!$H1035)</f>
        <v>StringType()</v>
      </c>
      <c r="E1035" s="7" t="str">
        <f t="shared" si="128"/>
        <v>CLK_DETM_DETIS_N9DS</v>
      </c>
      <c r="F1035" s="7" t="str">
        <f t="shared" si="130"/>
        <v>STRT_DT</v>
      </c>
      <c r="G1035" s="7" t="s">
        <v>825</v>
      </c>
      <c r="H1035" s="7" t="str">
        <f t="shared" si="131"/>
        <v>CLK_DETM_DETIS_N9DS</v>
      </c>
      <c r="I1035" s="7" t="str">
        <f t="shared" si="132"/>
        <v>STRT_DT</v>
      </c>
      <c r="J1035" s="7" t="str">
        <f t="shared" si="133"/>
        <v>DATE</v>
      </c>
      <c r="K1035" s="7" t="str">
        <f>TRIM(ETLMetadata!$G1035)</f>
        <v>DATE</v>
      </c>
      <c r="L1035" s="7" t="str">
        <f>TRIM(ETLMetadata!$I1035)</f>
        <v>YYYY-MM-DD</v>
      </c>
      <c r="M1035" s="7" t="str">
        <f t="shared" si="134"/>
        <v>TO_DATE(NULLIF(TRIM(STRT_DT),'') , 'YYYY-MM-DD')</v>
      </c>
      <c r="N1035" s="7" t="str">
        <f>TRIM(ETLMetadata!$J1035)</f>
        <v/>
      </c>
      <c r="O1035" s="8" t="str">
        <f>IF(TRIM(Classification!$G1035)="","NOT CONFIDENTIAL",TRIM(Classification!$G1035))</f>
        <v>NOT CONFIDENTIAL</v>
      </c>
      <c r="P1035" s="7" t="str">
        <f t="shared" si="135"/>
        <v>N</v>
      </c>
      <c r="Q1035" s="7" t="s">
        <v>826</v>
      </c>
      <c r="R1035" s="9">
        <v>2958465</v>
      </c>
      <c r="S1035" s="7" t="s">
        <v>827</v>
      </c>
      <c r="T1035" s="7" t="s">
        <v>828</v>
      </c>
      <c r="U1035" s="7" t="str">
        <f t="shared" si="129"/>
        <v>CLK_DETM_DETIS_N9DS_V</v>
      </c>
      <c r="V1035" s="7" t="s">
        <v>829</v>
      </c>
    </row>
    <row r="1036" spans="1:22">
      <c r="A1036" s="7" t="str">
        <f>TRIM(ETLMetadata!$B1036)</f>
        <v>CLK</v>
      </c>
      <c r="B1036" s="7" t="str">
        <f>TRIM(ETLMetadata!$C1036)</f>
        <v>DETM_DETIS_N9DS</v>
      </c>
      <c r="C1036" s="7" t="str">
        <f>TRIM(ETLMetadata!$F1036)</f>
        <v>End_Date</v>
      </c>
      <c r="D1036" s="7" t="str">
        <f>TRIM(ETLMetadata!$H1036)</f>
        <v>StringType()</v>
      </c>
      <c r="E1036" s="7" t="str">
        <f t="shared" si="128"/>
        <v>CLK_DETM_DETIS_N9DS</v>
      </c>
      <c r="F1036" s="7" t="str">
        <f t="shared" si="130"/>
        <v>END_DT</v>
      </c>
      <c r="G1036" s="7" t="s">
        <v>825</v>
      </c>
      <c r="H1036" s="7" t="str">
        <f t="shared" si="131"/>
        <v>CLK_DETM_DETIS_N9DS</v>
      </c>
      <c r="I1036" s="7" t="str">
        <f t="shared" si="132"/>
        <v>END_DT</v>
      </c>
      <c r="J1036" s="7" t="str">
        <f t="shared" si="133"/>
        <v>DATE</v>
      </c>
      <c r="K1036" s="7" t="str">
        <f>TRIM(ETLMetadata!$G1036)</f>
        <v>DATE</v>
      </c>
      <c r="L1036" s="7" t="str">
        <f>TRIM(ETLMetadata!$I1036)</f>
        <v>YYYY-MM-DD</v>
      </c>
      <c r="M1036" s="7" t="str">
        <f t="shared" si="134"/>
        <v>TO_DATE(NULLIF(TRIM(END_DT),'') , 'YYYY-MM-DD')</v>
      </c>
      <c r="N1036" s="7" t="str">
        <f>TRIM(ETLMetadata!$J1036)</f>
        <v/>
      </c>
      <c r="O1036" s="8" t="str">
        <f>IF(TRIM(Classification!$G1036)="","NOT CONFIDENTIAL",TRIM(Classification!$G1036))</f>
        <v>NOT CONFIDENTIAL</v>
      </c>
      <c r="P1036" s="7" t="str">
        <f t="shared" si="135"/>
        <v>N</v>
      </c>
      <c r="Q1036" s="7" t="s">
        <v>826</v>
      </c>
      <c r="R1036" s="9">
        <v>2958465</v>
      </c>
      <c r="S1036" s="7" t="s">
        <v>827</v>
      </c>
      <c r="T1036" s="7" t="s">
        <v>828</v>
      </c>
      <c r="U1036" s="7" t="str">
        <f t="shared" si="129"/>
        <v>CLK_DETM_DETIS_N9DS_V</v>
      </c>
      <c r="V1036" s="7" t="s">
        <v>829</v>
      </c>
    </row>
    <row r="1037" spans="1:22">
      <c r="A1037" s="7" t="str">
        <f>TRIM(ETLMetadata!$B1037)</f>
        <v>CLK</v>
      </c>
      <c r="B1037" s="7" t="str">
        <f>TRIM(ETLMetadata!$C1037)</f>
        <v>DETM_DETIS_N9DS</v>
      </c>
      <c r="C1037" s="7" t="str">
        <f>TRIM(ETLMetadata!$F1037)</f>
        <v>Record_Deleted_Flag</v>
      </c>
      <c r="D1037" s="7" t="str">
        <f>TRIM(ETLMetadata!$H1037)</f>
        <v>StringType()</v>
      </c>
      <c r="E1037" s="7" t="str">
        <f t="shared" si="128"/>
        <v>CLK_DETM_DETIS_N9DS</v>
      </c>
      <c r="F1037" s="7" t="str">
        <f t="shared" si="130"/>
        <v>RCRD_DEL_IND</v>
      </c>
      <c r="G1037" s="7" t="s">
        <v>825</v>
      </c>
      <c r="H1037" s="7" t="str">
        <f t="shared" si="131"/>
        <v>CLK_DETM_DETIS_N9DS</v>
      </c>
      <c r="I1037" s="7" t="str">
        <f t="shared" si="132"/>
        <v>RCRD_DEL_IND</v>
      </c>
      <c r="J1037" s="7" t="str">
        <f t="shared" si="133"/>
        <v>SMALLINT</v>
      </c>
      <c r="K1037" s="7" t="str">
        <f>TRIM(ETLMetadata!$G1037)</f>
        <v>BYTEINT</v>
      </c>
      <c r="L1037" s="7" t="str">
        <f>TRIM(ETLMetadata!$I1037)</f>
        <v/>
      </c>
      <c r="M1037" s="7" t="str">
        <f t="shared" si="134"/>
        <v>CAST(NULLIF(TRIM(RCRD_DEL_IND),'') AS SMALLINT)</v>
      </c>
      <c r="N1037" s="7" t="str">
        <f>TRIM(ETLMetadata!$J1037)</f>
        <v/>
      </c>
      <c r="O1037" s="8" t="str">
        <f>IF(TRIM(Classification!$G1037)="","NOT CONFIDENTIAL",TRIM(Classification!$G1037))</f>
        <v>NOT CONFIDENTIAL</v>
      </c>
      <c r="P1037" s="7" t="str">
        <f t="shared" si="135"/>
        <v>N</v>
      </c>
      <c r="Q1037" s="7" t="s">
        <v>826</v>
      </c>
      <c r="R1037" s="9">
        <v>2958465</v>
      </c>
      <c r="S1037" s="7" t="s">
        <v>827</v>
      </c>
      <c r="T1037" s="7" t="s">
        <v>828</v>
      </c>
      <c r="U1037" s="7" t="str">
        <f t="shared" si="129"/>
        <v>CLK_DETM_DETIS_N9DS_V</v>
      </c>
      <c r="V1037" s="7" t="s">
        <v>829</v>
      </c>
    </row>
    <row r="1038" spans="1:22">
      <c r="A1038" s="7" t="str">
        <f>TRIM(ETLMetadata!$B1038)</f>
        <v>CLK</v>
      </c>
      <c r="B1038" s="7" t="str">
        <f>TRIM(ETLMetadata!$C1038)</f>
        <v>DETM_DETIS_NRDS</v>
      </c>
      <c r="C1038" s="7" t="str">
        <f>TRIM(ETLMetadata!$F1038)</f>
        <v>EXTRACT_DATE</v>
      </c>
      <c r="D1038" s="7" t="str">
        <f>TRIM(ETLMetadata!$H1038)</f>
        <v>StringType()</v>
      </c>
      <c r="E1038" s="7" t="str">
        <f t="shared" si="128"/>
        <v>CLK_DETM_DETIS_NRDS</v>
      </c>
      <c r="F1038" s="7" t="str">
        <f t="shared" si="130"/>
        <v>EXTRACT_DATE</v>
      </c>
      <c r="G1038" s="7" t="s">
        <v>825</v>
      </c>
      <c r="H1038" s="7" t="str">
        <f t="shared" si="131"/>
        <v>CLK_DETM_DETIS_NRDS</v>
      </c>
      <c r="I1038" s="7" t="str">
        <f t="shared" si="132"/>
        <v>EXTRACT_DATE</v>
      </c>
      <c r="J1038" s="7" t="str">
        <f t="shared" si="133"/>
        <v>DATE</v>
      </c>
      <c r="K1038" s="7" t="str">
        <f>TRIM(ETLMetadata!$G1038)</f>
        <v>DATE</v>
      </c>
      <c r="L1038" s="7" t="str">
        <f>TRIM(ETLMetadata!$I1038)</f>
        <v>YYYY-MM-DD</v>
      </c>
      <c r="M1038" s="7" t="str">
        <f t="shared" si="134"/>
        <v>TO_DATE(NULLIF(TRIM(EXTRACT_DATE),'') , 'YYYY-MM-DD')</v>
      </c>
      <c r="N1038" s="7" t="str">
        <f>TRIM(ETLMetadata!$J1038)</f>
        <v/>
      </c>
      <c r="O1038" s="8" t="str">
        <f>IF(TRIM(Classification!$G1038)="","NOT CONFIDENTIAL",TRIM(Classification!$G1038))</f>
        <v>NOT CONFIDENTIAL</v>
      </c>
      <c r="P1038" s="7" t="str">
        <f t="shared" si="135"/>
        <v>Y</v>
      </c>
      <c r="Q1038" s="7" t="s">
        <v>826</v>
      </c>
      <c r="R1038" s="9">
        <v>2958465</v>
      </c>
      <c r="S1038" s="7" t="s">
        <v>827</v>
      </c>
      <c r="T1038" s="7" t="s">
        <v>828</v>
      </c>
      <c r="U1038" s="7" t="str">
        <f t="shared" si="129"/>
        <v>CLK_DETM_DETIS_NRDS_V</v>
      </c>
      <c r="V1038" s="7" t="s">
        <v>829</v>
      </c>
    </row>
    <row r="1039" spans="1:22">
      <c r="A1039" s="7" t="str">
        <f>TRIM(ETLMetadata!$B1039)</f>
        <v>CLK</v>
      </c>
      <c r="B1039" s="7" t="str">
        <f>TRIM(ETLMetadata!$C1039)</f>
        <v>DETM_DETIS_NRDS</v>
      </c>
      <c r="C1039" s="7" t="str">
        <f>TRIM(ETLMetadata!$F1039)</f>
        <v>LOGICAL_DELETE_DATE</v>
      </c>
      <c r="D1039" s="7" t="str">
        <f>TRIM(ETLMetadata!$H1039)</f>
        <v>StringType()</v>
      </c>
      <c r="E1039" s="7" t="str">
        <f t="shared" si="128"/>
        <v>CLK_DETM_DETIS_NRDS</v>
      </c>
      <c r="F1039" s="7" t="str">
        <f t="shared" si="130"/>
        <v>LOGICAL_DELETE_DATE</v>
      </c>
      <c r="G1039" s="7" t="s">
        <v>825</v>
      </c>
      <c r="H1039" s="7" t="str">
        <f t="shared" si="131"/>
        <v>CLK_DETM_DETIS_NRDS</v>
      </c>
      <c r="I1039" s="7" t="str">
        <f t="shared" si="132"/>
        <v>LOGICAL_DELETE_DATE</v>
      </c>
      <c r="J1039" s="7" t="str">
        <f t="shared" si="133"/>
        <v>DATE</v>
      </c>
      <c r="K1039" s="7" t="str">
        <f>TRIM(ETLMetadata!$G1039)</f>
        <v>DATE</v>
      </c>
      <c r="L1039" s="7" t="str">
        <f>TRIM(ETLMetadata!$I1039)</f>
        <v>YYYY-MM-DD</v>
      </c>
      <c r="M1039" s="7" t="str">
        <f t="shared" si="134"/>
        <v>TO_DATE(NULLIF(TRIM(LOGICAL_DELETE_DATE),'') , 'YYYY-MM-DD')</v>
      </c>
      <c r="N1039" s="7" t="str">
        <f>TRIM(ETLMetadata!$J1039)</f>
        <v/>
      </c>
      <c r="O1039" s="8" t="str">
        <f>IF(TRIM(Classification!$G1039)="","NOT CONFIDENTIAL",TRIM(Classification!$G1039))</f>
        <v>NOT CONFIDENTIAL</v>
      </c>
      <c r="P1039" s="7" t="str">
        <f t="shared" si="135"/>
        <v>Y</v>
      </c>
      <c r="Q1039" s="7" t="s">
        <v>826</v>
      </c>
      <c r="R1039" s="9">
        <v>2958465</v>
      </c>
      <c r="S1039" s="7" t="s">
        <v>827</v>
      </c>
      <c r="T1039" s="7" t="s">
        <v>828</v>
      </c>
      <c r="U1039" s="7" t="str">
        <f t="shared" si="129"/>
        <v>CLK_DETM_DETIS_NRDS_V</v>
      </c>
      <c r="V1039" s="7" t="s">
        <v>829</v>
      </c>
    </row>
    <row r="1040" spans="1:22">
      <c r="A1040" s="7" t="str">
        <f>TRIM(ETLMetadata!$B1040)</f>
        <v>CLK</v>
      </c>
      <c r="B1040" s="7" t="str">
        <f>TRIM(ETLMetadata!$C1040)</f>
        <v>DETM_DETIS_NRDS</v>
      </c>
      <c r="C1040" s="7" t="str">
        <f>TRIM(ETLMetadata!$F1040)</f>
        <v>ENVIRONMENT_ID</v>
      </c>
      <c r="D1040" s="7" t="str">
        <f>TRIM(ETLMetadata!$H1040)</f>
        <v>StringType()</v>
      </c>
      <c r="E1040" s="7" t="str">
        <f t="shared" si="128"/>
        <v>CLK_DETM_DETIS_NRDS</v>
      </c>
      <c r="F1040" s="7" t="str">
        <f t="shared" si="130"/>
        <v>ENVIRONMENT_ID</v>
      </c>
      <c r="G1040" s="7" t="s">
        <v>825</v>
      </c>
      <c r="H1040" s="7" t="str">
        <f t="shared" si="131"/>
        <v>CLK_DETM_DETIS_NRDS</v>
      </c>
      <c r="I1040" s="7" t="str">
        <f t="shared" si="132"/>
        <v>ENVIRONMENT_ID</v>
      </c>
      <c r="J1040" s="7" t="str">
        <f t="shared" si="133"/>
        <v>VARCHAR</v>
      </c>
      <c r="K1040" s="7" t="str">
        <f>TRIM(ETLMetadata!$G1040)</f>
        <v>CHAR(1)</v>
      </c>
      <c r="L1040" s="7" t="str">
        <f>TRIM(ETLMetadata!$I1040)</f>
        <v/>
      </c>
      <c r="M1040" s="7" t="str">
        <f t="shared" si="134"/>
        <v>NULLIF(TRIM(ENVIRONMENT_ID),'')</v>
      </c>
      <c r="N1040" s="7" t="str">
        <f>TRIM(ETLMetadata!$J1040)</f>
        <v>Y</v>
      </c>
      <c r="O1040" s="8" t="str">
        <f>IF(TRIM(Classification!$G1040)="","NOT CONFIDENTIAL",TRIM(Classification!$G1040))</f>
        <v>NOT CONFIDENTIAL</v>
      </c>
      <c r="P1040" s="7" t="str">
        <f t="shared" si="135"/>
        <v>Y</v>
      </c>
      <c r="Q1040" s="7" t="s">
        <v>826</v>
      </c>
      <c r="R1040" s="9">
        <v>2958465</v>
      </c>
      <c r="S1040" s="7" t="s">
        <v>827</v>
      </c>
      <c r="T1040" s="7" t="s">
        <v>828</v>
      </c>
      <c r="U1040" s="7" t="str">
        <f t="shared" si="129"/>
        <v>CLK_DETM_DETIS_NRDS_V</v>
      </c>
      <c r="V1040" s="7" t="s">
        <v>829</v>
      </c>
    </row>
    <row r="1041" spans="1:22">
      <c r="A1041" s="7" t="str">
        <f>TRIM(ETLMetadata!$B1041)</f>
        <v>CLK</v>
      </c>
      <c r="B1041" s="7" t="str">
        <f>TRIM(ETLMetadata!$C1041)</f>
        <v>DETM_DETIS_NRDS</v>
      </c>
      <c r="C1041" s="7" t="str">
        <f>TRIM(ETLMetadata!$F1041)</f>
        <v>PERSON_ID</v>
      </c>
      <c r="D1041" s="7" t="str">
        <f>TRIM(ETLMetadata!$H1041)</f>
        <v>StringType()</v>
      </c>
      <c r="E1041" s="7" t="str">
        <f t="shared" si="128"/>
        <v>CLK_DETM_DETIS_NRDS</v>
      </c>
      <c r="F1041" s="7" t="str">
        <f t="shared" si="130"/>
        <v>PERSON_ID</v>
      </c>
      <c r="G1041" s="7" t="s">
        <v>825</v>
      </c>
      <c r="H1041" s="7" t="str">
        <f t="shared" si="131"/>
        <v>CLK_DETM_DETIS_NRDS</v>
      </c>
      <c r="I1041" s="7" t="str">
        <f t="shared" si="132"/>
        <v>PERSON_ID</v>
      </c>
      <c r="J1041" s="7" t="str">
        <f t="shared" si="133"/>
        <v>INTEGER</v>
      </c>
      <c r="K1041" s="7" t="str">
        <f>TRIM(ETLMetadata!$G1041)</f>
        <v>INTEGER</v>
      </c>
      <c r="L1041" s="7" t="str">
        <f>TRIM(ETLMetadata!$I1041)</f>
        <v/>
      </c>
      <c r="M1041" s="7" t="str">
        <f t="shared" si="134"/>
        <v>CAST(NULLIF(TRIM(PERSON_ID),'') AS INTEGER)</v>
      </c>
      <c r="N1041" s="7" t="str">
        <f>TRIM(ETLMetadata!$J1041)</f>
        <v>Y</v>
      </c>
      <c r="O1041" s="8" t="str">
        <f>IF(TRIM(Classification!$G1041)="","NOT CONFIDENTIAL",TRIM(Classification!$G1041))</f>
        <v>PERSONAL_IDENTITYINFOINDIRECT</v>
      </c>
      <c r="P1041" s="7" t="str">
        <f t="shared" si="135"/>
        <v>Y</v>
      </c>
      <c r="Q1041" s="7" t="s">
        <v>826</v>
      </c>
      <c r="R1041" s="9">
        <v>2958465</v>
      </c>
      <c r="S1041" s="7" t="s">
        <v>827</v>
      </c>
      <c r="T1041" s="7" t="s">
        <v>828</v>
      </c>
      <c r="U1041" s="7" t="str">
        <f t="shared" si="129"/>
        <v>CLK_DETM_DETIS_NRDS_V</v>
      </c>
      <c r="V1041" s="7" t="s">
        <v>829</v>
      </c>
    </row>
    <row r="1042" spans="1:22">
      <c r="A1042" s="7" t="str">
        <f>TRIM(ETLMetadata!$B1042)</f>
        <v>CLK</v>
      </c>
      <c r="B1042" s="7" t="str">
        <f>TRIM(ETLMetadata!$C1042)</f>
        <v>DETM_DETIS_NRDS</v>
      </c>
      <c r="C1042" s="7" t="str">
        <f>TRIM(ETLMetadata!$F1042)</f>
        <v>NRDS_DOE</v>
      </c>
      <c r="D1042" s="7" t="str">
        <f>TRIM(ETLMetadata!$H1042)</f>
        <v>StringType()</v>
      </c>
      <c r="E1042" s="7" t="str">
        <f t="shared" si="128"/>
        <v>CLK_DETM_DETIS_NRDS</v>
      </c>
      <c r="F1042" s="7" t="str">
        <f t="shared" si="130"/>
        <v>NRDS_DOE</v>
      </c>
      <c r="G1042" s="7" t="s">
        <v>825</v>
      </c>
      <c r="H1042" s="7" t="str">
        <f t="shared" si="131"/>
        <v>CLK_DETM_DETIS_NRDS</v>
      </c>
      <c r="I1042" s="7" t="str">
        <f t="shared" si="132"/>
        <v>NRDS_DOE</v>
      </c>
      <c r="J1042" s="7" t="str">
        <f t="shared" si="133"/>
        <v>DATE</v>
      </c>
      <c r="K1042" s="17" t="s">
        <v>80</v>
      </c>
      <c r="L1042" s="7" t="str">
        <f>TRIM(ETLMetadata!$I1042)</f>
        <v>YYYY-MM-DD</v>
      </c>
      <c r="M1042" s="7" t="str">
        <f t="shared" si="134"/>
        <v>TO_DATE(NULLIF(TRIM(NRDS_DOE),'') , 'YYYY-MM-DD')</v>
      </c>
      <c r="N1042" s="7" t="str">
        <f>TRIM(ETLMetadata!$J1042)</f>
        <v/>
      </c>
      <c r="O1042" s="8" t="str">
        <f>IF(TRIM(Classification!$G1042)="","NOT CONFIDENTIAL",TRIM(Classification!$G1042))</f>
        <v>NOT CONFIDENTIAL</v>
      </c>
      <c r="P1042" s="7" t="str">
        <f t="shared" si="135"/>
        <v>Y</v>
      </c>
      <c r="Q1042" s="7" t="s">
        <v>826</v>
      </c>
      <c r="R1042" s="9">
        <v>2958465</v>
      </c>
      <c r="S1042" s="7" t="s">
        <v>827</v>
      </c>
      <c r="T1042" s="7" t="s">
        <v>828</v>
      </c>
      <c r="U1042" s="7" t="str">
        <f t="shared" si="129"/>
        <v>CLK_DETM_DETIS_NRDS_V</v>
      </c>
      <c r="V1042" s="7" t="s">
        <v>829</v>
      </c>
    </row>
    <row r="1043" spans="1:22">
      <c r="A1043" s="7" t="str">
        <f>TRIM(ETLMetadata!$B1043)</f>
        <v>CLK</v>
      </c>
      <c r="B1043" s="7" t="str">
        <f>TRIM(ETLMetadata!$C1043)</f>
        <v>DETM_DETIS_NRDS</v>
      </c>
      <c r="C1043" s="7" t="str">
        <f>TRIM(ETLMetadata!$F1043)</f>
        <v>NRDS_DOE_ORIG</v>
      </c>
      <c r="D1043" s="7" t="str">
        <f>TRIM(ETLMetadata!$H1043)</f>
        <v>StringType()</v>
      </c>
      <c r="E1043" s="7" t="str">
        <f t="shared" si="128"/>
        <v>CLK_DETM_DETIS_NRDS</v>
      </c>
      <c r="F1043" s="7" t="str">
        <f t="shared" si="130"/>
        <v>NRDS_DOE_ORIG</v>
      </c>
      <c r="G1043" s="7" t="s">
        <v>825</v>
      </c>
      <c r="H1043" s="7" t="str">
        <f t="shared" si="131"/>
        <v>CLK_DETM_DETIS_NRDS</v>
      </c>
      <c r="I1043" s="7" t="str">
        <f t="shared" si="132"/>
        <v>NRDS_DOE_ORIG</v>
      </c>
      <c r="J1043" s="7" t="str">
        <f t="shared" si="133"/>
        <v>INTEGER</v>
      </c>
      <c r="K1043" s="17" t="s">
        <v>90</v>
      </c>
      <c r="L1043" s="7" t="str">
        <f>TRIM(ETLMetadata!$I1043)</f>
        <v/>
      </c>
      <c r="M1043" s="7" t="str">
        <f t="shared" si="134"/>
        <v>CAST(NULLIF(TRIM(NRDS_DOE_ORIG),'') AS INTEGER)</v>
      </c>
      <c r="N1043" s="7" t="str">
        <f>TRIM(ETLMetadata!$J1043)</f>
        <v/>
      </c>
      <c r="O1043" s="8" t="str">
        <f>IF(TRIM(Classification!$G1043)="","NOT CONFIDENTIAL",TRIM(Classification!$G1043))</f>
        <v>NOT CONFIDENTIAL</v>
      </c>
      <c r="P1043" s="7" t="str">
        <f t="shared" si="135"/>
        <v>Y</v>
      </c>
      <c r="Q1043" s="7" t="s">
        <v>826</v>
      </c>
      <c r="R1043" s="9">
        <v>2958465</v>
      </c>
      <c r="S1043" s="7" t="s">
        <v>827</v>
      </c>
      <c r="T1043" s="7" t="s">
        <v>828</v>
      </c>
      <c r="U1043" s="7" t="str">
        <f t="shared" si="129"/>
        <v>CLK_DETM_DETIS_NRDS_V</v>
      </c>
      <c r="V1043" s="7" t="s">
        <v>829</v>
      </c>
    </row>
    <row r="1044" spans="1:22">
      <c r="A1044" s="7" t="str">
        <f>TRIM(ETLMetadata!$B1044)</f>
        <v>CLK</v>
      </c>
      <c r="B1044" s="7" t="str">
        <f>TRIM(ETLMetadata!$C1044)</f>
        <v>DETM_DETIS_NRDS</v>
      </c>
      <c r="C1044" s="7" t="str">
        <f>TRIM(ETLMetadata!$F1044)</f>
        <v>PROCESSING_SEQUENCE</v>
      </c>
      <c r="D1044" s="7" t="str">
        <f>TRIM(ETLMetadata!$H1044)</f>
        <v>StringType()</v>
      </c>
      <c r="E1044" s="7" t="str">
        <f t="shared" si="128"/>
        <v>CLK_DETM_DETIS_NRDS</v>
      </c>
      <c r="F1044" s="7" t="str">
        <f t="shared" si="130"/>
        <v>PROCESSING_SEQUENCE</v>
      </c>
      <c r="G1044" s="7" t="s">
        <v>825</v>
      </c>
      <c r="H1044" s="7" t="str">
        <f t="shared" si="131"/>
        <v>CLK_DETM_DETIS_NRDS</v>
      </c>
      <c r="I1044" s="7" t="str">
        <f t="shared" si="132"/>
        <v>PROCESSING_SEQUENCE</v>
      </c>
      <c r="J1044" s="7" t="str">
        <f t="shared" si="133"/>
        <v>SMALLINT</v>
      </c>
      <c r="K1044" s="7" t="str">
        <f>TRIM(ETLMetadata!$G1044)</f>
        <v>SMALLINT</v>
      </c>
      <c r="L1044" s="7" t="str">
        <f>TRIM(ETLMetadata!$I1044)</f>
        <v/>
      </c>
      <c r="M1044" s="7" t="str">
        <f t="shared" si="134"/>
        <v>CAST(NULLIF(TRIM(PROCESSING_SEQUENCE),'') AS SMALLINT)</v>
      </c>
      <c r="N1044" s="7" t="str">
        <f>TRIM(ETLMetadata!$J1044)</f>
        <v>Y</v>
      </c>
      <c r="O1044" s="8" t="str">
        <f>IF(TRIM(Classification!$G1044)="","NOT CONFIDENTIAL",TRIM(Classification!$G1044))</f>
        <v>NOT CONFIDENTIAL</v>
      </c>
      <c r="P1044" s="7" t="str">
        <f t="shared" si="135"/>
        <v>Y</v>
      </c>
      <c r="Q1044" s="7" t="s">
        <v>826</v>
      </c>
      <c r="R1044" s="9">
        <v>2958465</v>
      </c>
      <c r="S1044" s="7" t="s">
        <v>827</v>
      </c>
      <c r="T1044" s="7" t="s">
        <v>828</v>
      </c>
      <c r="U1044" s="7" t="str">
        <f t="shared" si="129"/>
        <v>CLK_DETM_DETIS_NRDS_V</v>
      </c>
      <c r="V1044" s="7" t="s">
        <v>829</v>
      </c>
    </row>
    <row r="1045" spans="1:22">
      <c r="A1045" s="7" t="str">
        <f>TRIM(ETLMetadata!$B1045)</f>
        <v>CLK</v>
      </c>
      <c r="B1045" s="7" t="str">
        <f>TRIM(ETLMetadata!$C1045)</f>
        <v>DETM_DETIS_NRDS</v>
      </c>
      <c r="C1045" s="7" t="str">
        <f>TRIM(ETLMetadata!$F1045)</f>
        <v>NRDS_AMR_1</v>
      </c>
      <c r="D1045" s="7" t="str">
        <f>TRIM(ETLMetadata!$H1045)</f>
        <v>StringType()</v>
      </c>
      <c r="E1045" s="7" t="str">
        <f t="shared" si="128"/>
        <v>CLK_DETM_DETIS_NRDS</v>
      </c>
      <c r="F1045" s="7" t="str">
        <f t="shared" si="130"/>
        <v>NRDS_AMR_1</v>
      </c>
      <c r="G1045" s="7" t="s">
        <v>825</v>
      </c>
      <c r="H1045" s="7" t="str">
        <f t="shared" si="131"/>
        <v>CLK_DETM_DETIS_NRDS</v>
      </c>
      <c r="I1045" s="7" t="str">
        <f t="shared" si="132"/>
        <v>NRDS_AMR_1</v>
      </c>
      <c r="J1045" s="7" t="str">
        <f t="shared" si="133"/>
        <v>VARCHAR</v>
      </c>
      <c r="K1045" s="7" t="str">
        <f>TRIM(ETLMetadata!$G1045)</f>
        <v>CHAR(4)</v>
      </c>
      <c r="L1045" s="7" t="str">
        <f>TRIM(ETLMetadata!$I1045)</f>
        <v/>
      </c>
      <c r="M1045" s="7" t="str">
        <f t="shared" si="134"/>
        <v>NULLIF(TRIM(NRDS_AMR_1),'')</v>
      </c>
      <c r="N1045" s="7" t="str">
        <f>TRIM(ETLMetadata!$J1045)</f>
        <v/>
      </c>
      <c r="O1045" s="8" t="str">
        <f>IF(TRIM(Classification!$G1045)="","NOT CONFIDENTIAL",TRIM(Classification!$G1045))</f>
        <v>NOT CONFIDENTIAL</v>
      </c>
      <c r="P1045" s="7" t="str">
        <f t="shared" si="135"/>
        <v>Y</v>
      </c>
      <c r="Q1045" s="7" t="s">
        <v>826</v>
      </c>
      <c r="R1045" s="9">
        <v>2958465</v>
      </c>
      <c r="S1045" s="7" t="s">
        <v>827</v>
      </c>
      <c r="T1045" s="7" t="s">
        <v>828</v>
      </c>
      <c r="U1045" s="7" t="str">
        <f t="shared" si="129"/>
        <v>CLK_DETM_DETIS_NRDS_V</v>
      </c>
      <c r="V1045" s="7" t="s">
        <v>829</v>
      </c>
    </row>
    <row r="1046" spans="1:22">
      <c r="A1046" s="7" t="str">
        <f>TRIM(ETLMetadata!$B1046)</f>
        <v>CLK</v>
      </c>
      <c r="B1046" s="7" t="str">
        <f>TRIM(ETLMetadata!$C1046)</f>
        <v>DETM_DETIS_NRDS</v>
      </c>
      <c r="C1046" s="7" t="str">
        <f>TRIM(ETLMetadata!$F1046)</f>
        <v>NRDS_AMR_2</v>
      </c>
      <c r="D1046" s="7" t="str">
        <f>TRIM(ETLMetadata!$H1046)</f>
        <v>StringType()</v>
      </c>
      <c r="E1046" s="7" t="str">
        <f t="shared" si="128"/>
        <v>CLK_DETM_DETIS_NRDS</v>
      </c>
      <c r="F1046" s="7" t="str">
        <f t="shared" si="130"/>
        <v>NRDS_AMR_2</v>
      </c>
      <c r="G1046" s="7" t="s">
        <v>825</v>
      </c>
      <c r="H1046" s="7" t="str">
        <f t="shared" si="131"/>
        <v>CLK_DETM_DETIS_NRDS</v>
      </c>
      <c r="I1046" s="7" t="str">
        <f t="shared" si="132"/>
        <v>NRDS_AMR_2</v>
      </c>
      <c r="J1046" s="7" t="str">
        <f t="shared" si="133"/>
        <v>VARCHAR</v>
      </c>
      <c r="K1046" s="7" t="str">
        <f>TRIM(ETLMetadata!$G1046)</f>
        <v>CHAR(1)</v>
      </c>
      <c r="L1046" s="7" t="str">
        <f>TRIM(ETLMetadata!$I1046)</f>
        <v/>
      </c>
      <c r="M1046" s="7" t="str">
        <f t="shared" si="134"/>
        <v>NULLIF(TRIM(NRDS_AMR_2),'')</v>
      </c>
      <c r="N1046" s="7" t="str">
        <f>TRIM(ETLMetadata!$J1046)</f>
        <v/>
      </c>
      <c r="O1046" s="8" t="str">
        <f>IF(TRIM(Classification!$G1046)="","NOT CONFIDENTIAL",TRIM(Classification!$G1046))</f>
        <v>NOT CONFIDENTIAL</v>
      </c>
      <c r="P1046" s="7" t="str">
        <f t="shared" si="135"/>
        <v>Y</v>
      </c>
      <c r="Q1046" s="7" t="s">
        <v>826</v>
      </c>
      <c r="R1046" s="9">
        <v>2958465</v>
      </c>
      <c r="S1046" s="7" t="s">
        <v>827</v>
      </c>
      <c r="T1046" s="7" t="s">
        <v>828</v>
      </c>
      <c r="U1046" s="7" t="str">
        <f t="shared" si="129"/>
        <v>CLK_DETM_DETIS_NRDS_V</v>
      </c>
      <c r="V1046" s="7" t="s">
        <v>829</v>
      </c>
    </row>
    <row r="1047" spans="1:22">
      <c r="A1047" s="7" t="str">
        <f>TRIM(ETLMetadata!$B1047)</f>
        <v>CLK</v>
      </c>
      <c r="B1047" s="7" t="str">
        <f>TRIM(ETLMetadata!$C1047)</f>
        <v>DETM_DETIS_NRDS</v>
      </c>
      <c r="C1047" s="7" t="str">
        <f>TRIM(ETLMetadata!$F1047)</f>
        <v>NRDS_AMR_3</v>
      </c>
      <c r="D1047" s="7" t="str">
        <f>TRIM(ETLMetadata!$H1047)</f>
        <v>StringType()</v>
      </c>
      <c r="E1047" s="7" t="str">
        <f t="shared" si="128"/>
        <v>CLK_DETM_DETIS_NRDS</v>
      </c>
      <c r="F1047" s="7" t="str">
        <f t="shared" si="130"/>
        <v>NRDS_AMR_3</v>
      </c>
      <c r="G1047" s="7" t="s">
        <v>825</v>
      </c>
      <c r="H1047" s="7" t="str">
        <f t="shared" si="131"/>
        <v>CLK_DETM_DETIS_NRDS</v>
      </c>
      <c r="I1047" s="7" t="str">
        <f t="shared" si="132"/>
        <v>NRDS_AMR_3</v>
      </c>
      <c r="J1047" s="7" t="str">
        <f t="shared" si="133"/>
        <v>VARCHAR</v>
      </c>
      <c r="K1047" s="7" t="str">
        <f>TRIM(ETLMetadata!$G1047)</f>
        <v>CHAR(4)</v>
      </c>
      <c r="L1047" s="7" t="str">
        <f>TRIM(ETLMetadata!$I1047)</f>
        <v/>
      </c>
      <c r="M1047" s="7" t="str">
        <f t="shared" si="134"/>
        <v>NULLIF(TRIM(NRDS_AMR_3),'')</v>
      </c>
      <c r="N1047" s="7" t="str">
        <f>TRIM(ETLMetadata!$J1047)</f>
        <v/>
      </c>
      <c r="O1047" s="8" t="str">
        <f>IF(TRIM(Classification!$G1047)="","NOT CONFIDENTIAL",TRIM(Classification!$G1047))</f>
        <v>NOT CONFIDENTIAL</v>
      </c>
      <c r="P1047" s="7" t="str">
        <f t="shared" si="135"/>
        <v>Y</v>
      </c>
      <c r="Q1047" s="7" t="s">
        <v>826</v>
      </c>
      <c r="R1047" s="9">
        <v>2958465</v>
      </c>
      <c r="S1047" s="7" t="s">
        <v>827</v>
      </c>
      <c r="T1047" s="7" t="s">
        <v>828</v>
      </c>
      <c r="U1047" s="7" t="str">
        <f t="shared" si="129"/>
        <v>CLK_DETM_DETIS_NRDS_V</v>
      </c>
      <c r="V1047" s="7" t="s">
        <v>829</v>
      </c>
    </row>
    <row r="1048" spans="1:22">
      <c r="A1048" s="7" t="str">
        <f>TRIM(ETLMetadata!$B1048)</f>
        <v>CLK</v>
      </c>
      <c r="B1048" s="7" t="str">
        <f>TRIM(ETLMetadata!$C1048)</f>
        <v>DETM_DETIS_NRDS</v>
      </c>
      <c r="C1048" s="7" t="str">
        <f>TRIM(ETLMetadata!$F1048)</f>
        <v>NRDS_BEN_TYPE_CODE</v>
      </c>
      <c r="D1048" s="7" t="str">
        <f>TRIM(ETLMetadata!$H1048)</f>
        <v>StringType()</v>
      </c>
      <c r="E1048" s="7" t="str">
        <f t="shared" si="128"/>
        <v>CLK_DETM_DETIS_NRDS</v>
      </c>
      <c r="F1048" s="7" t="str">
        <f t="shared" si="130"/>
        <v>NRDS_BEN_TYPE_CODE</v>
      </c>
      <c r="G1048" s="7" t="s">
        <v>825</v>
      </c>
      <c r="H1048" s="7" t="str">
        <f t="shared" si="131"/>
        <v>CLK_DETM_DETIS_NRDS</v>
      </c>
      <c r="I1048" s="7" t="str">
        <f t="shared" si="132"/>
        <v>NRDS_BEN_TYPE_CODE</v>
      </c>
      <c r="J1048" s="7" t="str">
        <f t="shared" si="133"/>
        <v>VARCHAR</v>
      </c>
      <c r="K1048" s="7" t="str">
        <f>TRIM(ETLMetadata!$G1048)</f>
        <v>CHAR(3)</v>
      </c>
      <c r="L1048" s="7" t="str">
        <f>TRIM(ETLMetadata!$I1048)</f>
        <v/>
      </c>
      <c r="M1048" s="7" t="str">
        <f t="shared" si="134"/>
        <v>NULLIF(TRIM(NRDS_BEN_TYPE_CODE),'')</v>
      </c>
      <c r="N1048" s="7" t="str">
        <f>TRIM(ETLMetadata!$J1048)</f>
        <v/>
      </c>
      <c r="O1048" s="8" t="str">
        <f>IF(TRIM(Classification!$G1048)="","NOT CONFIDENTIAL",TRIM(Classification!$G1048))</f>
        <v>NOT CONFIDENTIAL</v>
      </c>
      <c r="P1048" s="7" t="str">
        <f t="shared" si="135"/>
        <v>Y</v>
      </c>
      <c r="Q1048" s="7" t="s">
        <v>826</v>
      </c>
      <c r="R1048" s="9">
        <v>2958465</v>
      </c>
      <c r="S1048" s="7" t="s">
        <v>827</v>
      </c>
      <c r="T1048" s="7" t="s">
        <v>828</v>
      </c>
      <c r="U1048" s="7" t="str">
        <f t="shared" si="129"/>
        <v>CLK_DETM_DETIS_NRDS_V</v>
      </c>
      <c r="V1048" s="7" t="s">
        <v>829</v>
      </c>
    </row>
    <row r="1049" spans="1:22">
      <c r="A1049" s="7" t="str">
        <f>TRIM(ETLMetadata!$B1049)</f>
        <v>CLK</v>
      </c>
      <c r="B1049" s="7" t="str">
        <f>TRIM(ETLMetadata!$C1049)</f>
        <v>DETM_DETIS_NRDS</v>
      </c>
      <c r="C1049" s="7" t="str">
        <f>TRIM(ETLMetadata!$F1049)</f>
        <v>NRDS_STS_CODE</v>
      </c>
      <c r="D1049" s="7" t="str">
        <f>TRIM(ETLMetadata!$H1049)</f>
        <v>StringType()</v>
      </c>
      <c r="E1049" s="7" t="str">
        <f t="shared" si="128"/>
        <v>CLK_DETM_DETIS_NRDS</v>
      </c>
      <c r="F1049" s="7" t="str">
        <f t="shared" si="130"/>
        <v>NRDS_STS_CODE</v>
      </c>
      <c r="G1049" s="7" t="s">
        <v>825</v>
      </c>
      <c r="H1049" s="7" t="str">
        <f t="shared" si="131"/>
        <v>CLK_DETM_DETIS_NRDS</v>
      </c>
      <c r="I1049" s="7" t="str">
        <f t="shared" si="132"/>
        <v>NRDS_STS_CODE</v>
      </c>
      <c r="J1049" s="7" t="str">
        <f t="shared" si="133"/>
        <v>VARCHAR</v>
      </c>
      <c r="K1049" s="7" t="str">
        <f>TRIM(ETLMetadata!$G1049)</f>
        <v>CHAR(3)</v>
      </c>
      <c r="L1049" s="7" t="str">
        <f>TRIM(ETLMetadata!$I1049)</f>
        <v/>
      </c>
      <c r="M1049" s="7" t="str">
        <f t="shared" si="134"/>
        <v>NULLIF(TRIM(NRDS_STS_CODE),'')</v>
      </c>
      <c r="N1049" s="7" t="str">
        <f>TRIM(ETLMetadata!$J1049)</f>
        <v/>
      </c>
      <c r="O1049" s="8" t="str">
        <f>IF(TRIM(Classification!$G1049)="","NOT CONFIDENTIAL",TRIM(Classification!$G1049))</f>
        <v>NOT CONFIDENTIAL</v>
      </c>
      <c r="P1049" s="7" t="str">
        <f t="shared" si="135"/>
        <v>Y</v>
      </c>
      <c r="Q1049" s="7" t="s">
        <v>826</v>
      </c>
      <c r="R1049" s="9">
        <v>2958465</v>
      </c>
      <c r="S1049" s="7" t="s">
        <v>827</v>
      </c>
      <c r="T1049" s="7" t="s">
        <v>828</v>
      </c>
      <c r="U1049" s="7" t="str">
        <f t="shared" si="129"/>
        <v>CLK_DETM_DETIS_NRDS_V</v>
      </c>
      <c r="V1049" s="7" t="s">
        <v>829</v>
      </c>
    </row>
    <row r="1050" spans="1:22">
      <c r="A1050" s="7" t="str">
        <f>TRIM(ETLMetadata!$B1050)</f>
        <v>CLK</v>
      </c>
      <c r="B1050" s="7" t="str">
        <f>TRIM(ETLMetadata!$C1050)</f>
        <v>DETM_DETIS_NRDS</v>
      </c>
      <c r="C1050" s="7" t="str">
        <f>TRIM(ETLMetadata!$F1050)</f>
        <v>NRDS_RSN_CODE</v>
      </c>
      <c r="D1050" s="7" t="str">
        <f>TRIM(ETLMetadata!$H1050)</f>
        <v>StringType()</v>
      </c>
      <c r="E1050" s="7" t="str">
        <f t="shared" si="128"/>
        <v>CLK_DETM_DETIS_NRDS</v>
      </c>
      <c r="F1050" s="7" t="str">
        <f t="shared" si="130"/>
        <v>NRDS_RSN_CODE</v>
      </c>
      <c r="G1050" s="7" t="s">
        <v>825</v>
      </c>
      <c r="H1050" s="7" t="str">
        <f t="shared" si="131"/>
        <v>CLK_DETM_DETIS_NRDS</v>
      </c>
      <c r="I1050" s="7" t="str">
        <f t="shared" si="132"/>
        <v>NRDS_RSN_CODE</v>
      </c>
      <c r="J1050" s="7" t="str">
        <f t="shared" si="133"/>
        <v>VARCHAR</v>
      </c>
      <c r="K1050" s="7" t="str">
        <f>TRIM(ETLMetadata!$G1050)</f>
        <v>CHAR(3)</v>
      </c>
      <c r="L1050" s="7" t="str">
        <f>TRIM(ETLMetadata!$I1050)</f>
        <v/>
      </c>
      <c r="M1050" s="7" t="str">
        <f t="shared" si="134"/>
        <v>NULLIF(TRIM(NRDS_RSN_CODE),'')</v>
      </c>
      <c r="N1050" s="7" t="str">
        <f>TRIM(ETLMetadata!$J1050)</f>
        <v/>
      </c>
      <c r="O1050" s="8" t="str">
        <f>IF(TRIM(Classification!$G1050)="","NOT CONFIDENTIAL",TRIM(Classification!$G1050))</f>
        <v>NOT CONFIDENTIAL</v>
      </c>
      <c r="P1050" s="7" t="str">
        <f t="shared" si="135"/>
        <v>Y</v>
      </c>
      <c r="Q1050" s="7" t="s">
        <v>826</v>
      </c>
      <c r="R1050" s="9">
        <v>2958465</v>
      </c>
      <c r="S1050" s="7" t="s">
        <v>827</v>
      </c>
      <c r="T1050" s="7" t="s">
        <v>828</v>
      </c>
      <c r="U1050" s="7" t="str">
        <f t="shared" si="129"/>
        <v>CLK_DETM_DETIS_NRDS_V</v>
      </c>
      <c r="V1050" s="7" t="s">
        <v>829</v>
      </c>
    </row>
    <row r="1051" spans="1:22">
      <c r="A1051" s="7" t="str">
        <f>TRIM(ETLMetadata!$B1051)</f>
        <v>CLK</v>
      </c>
      <c r="B1051" s="7" t="str">
        <f>TRIM(ETLMetadata!$C1051)</f>
        <v>DETM_DETIS_NRDS</v>
      </c>
      <c r="C1051" s="7" t="str">
        <f>TRIM(ETLMetadata!$F1051)</f>
        <v>NRDS_UNIQ_ID</v>
      </c>
      <c r="D1051" s="7" t="str">
        <f>TRIM(ETLMetadata!$H1051)</f>
        <v>StringType()</v>
      </c>
      <c r="E1051" s="7" t="str">
        <f t="shared" si="128"/>
        <v>CLK_DETM_DETIS_NRDS</v>
      </c>
      <c r="F1051" s="7" t="str">
        <f t="shared" si="130"/>
        <v>NRDS_UNIQ_ID</v>
      </c>
      <c r="G1051" s="7" t="s">
        <v>825</v>
      </c>
      <c r="H1051" s="7" t="str">
        <f t="shared" si="131"/>
        <v>CLK_DETM_DETIS_NRDS</v>
      </c>
      <c r="I1051" s="7" t="str">
        <f t="shared" si="132"/>
        <v>NRDS_UNIQ_ID</v>
      </c>
      <c r="J1051" s="7" t="str">
        <f t="shared" si="133"/>
        <v>VARCHAR</v>
      </c>
      <c r="K1051" s="7" t="str">
        <f>TRIM(ETLMetadata!$G1051)</f>
        <v>VARCHAR(8)</v>
      </c>
      <c r="L1051" s="7" t="str">
        <f>TRIM(ETLMetadata!$I1051)</f>
        <v/>
      </c>
      <c r="M1051" s="7" t="str">
        <f t="shared" si="134"/>
        <v>NULLIF(TRIM(NRDS_UNIQ_ID),'')</v>
      </c>
      <c r="N1051" s="7" t="str">
        <f>TRIM(ETLMetadata!$J1051)</f>
        <v/>
      </c>
      <c r="O1051" s="8" t="str">
        <f>IF(TRIM(Classification!$G1051)="","NOT CONFIDENTIAL",TRIM(Classification!$G1051))</f>
        <v>NOT CONFIDENTIAL</v>
      </c>
      <c r="P1051" s="7" t="str">
        <f t="shared" si="135"/>
        <v>Y</v>
      </c>
      <c r="Q1051" s="7" t="s">
        <v>826</v>
      </c>
      <c r="R1051" s="9">
        <v>2958465</v>
      </c>
      <c r="S1051" s="7" t="s">
        <v>827</v>
      </c>
      <c r="T1051" s="7" t="s">
        <v>828</v>
      </c>
      <c r="U1051" s="7" t="str">
        <f t="shared" si="129"/>
        <v>CLK_DETM_DETIS_NRDS_V</v>
      </c>
      <c r="V1051" s="7" t="s">
        <v>829</v>
      </c>
    </row>
    <row r="1052" spans="1:22">
      <c r="A1052" s="7" t="str">
        <f>TRIM(ETLMetadata!$B1052)</f>
        <v>CLK</v>
      </c>
      <c r="B1052" s="7" t="str">
        <f>TRIM(ETLMetadata!$C1052)</f>
        <v>DETM_DETIS_NRDS</v>
      </c>
      <c r="C1052" s="7" t="str">
        <f>TRIM(ETLMetadata!$F1052)</f>
        <v>AMR1_RISL_DTS</v>
      </c>
      <c r="D1052" s="7" t="str">
        <f>TRIM(ETLMetadata!$H1052)</f>
        <v>StringType()</v>
      </c>
      <c r="E1052" s="7" t="str">
        <f t="shared" si="128"/>
        <v>CLK_DETM_DETIS_NRDS</v>
      </c>
      <c r="F1052" s="7" t="str">
        <f t="shared" si="130"/>
        <v>AMR1_RISL_DTS</v>
      </c>
      <c r="G1052" s="7" t="s">
        <v>825</v>
      </c>
      <c r="H1052" s="7" t="str">
        <f t="shared" si="131"/>
        <v>CLK_DETM_DETIS_NRDS</v>
      </c>
      <c r="I1052" s="7" t="str">
        <f t="shared" si="132"/>
        <v>AMR1_RISL_DTS</v>
      </c>
      <c r="J1052" s="7" t="str">
        <f t="shared" si="133"/>
        <v>TIMESTAMP</v>
      </c>
      <c r="K1052" s="7" t="str">
        <f>TRIM(ETLMetadata!$G1052)</f>
        <v>TIMESTAMP(6)</v>
      </c>
      <c r="L1052" s="7" t="str">
        <f>TRIM(ETLMetadata!$I1052)</f>
        <v>YYYY-MM-DDBHH:MI:SS.S(6)</v>
      </c>
      <c r="M1052" s="7" t="str">
        <f t="shared" si="134"/>
        <v>TO_TIMESTAMP_NTZ(NULLIF(TRIM(AMR1_RISL_DTS),''),'YYYY-MM-DD HH24:MI:SS.FF6')</v>
      </c>
      <c r="N1052" s="7" t="str">
        <f>TRIM(ETLMetadata!$J1052)</f>
        <v/>
      </c>
      <c r="O1052" s="8" t="str">
        <f>IF(TRIM(Classification!$G1052)="","NOT CONFIDENTIAL",TRIM(Classification!$G1052))</f>
        <v>NOT CONFIDENTIAL</v>
      </c>
      <c r="P1052" s="7" t="str">
        <f t="shared" si="135"/>
        <v>Y</v>
      </c>
      <c r="Q1052" s="7" t="s">
        <v>826</v>
      </c>
      <c r="R1052" s="9">
        <v>2958465</v>
      </c>
      <c r="S1052" s="7" t="s">
        <v>827</v>
      </c>
      <c r="T1052" s="7" t="s">
        <v>828</v>
      </c>
      <c r="U1052" s="7" t="str">
        <f t="shared" si="129"/>
        <v>CLK_DETM_DETIS_NRDS_V</v>
      </c>
      <c r="V1052" s="7" t="s">
        <v>829</v>
      </c>
    </row>
    <row r="1053" spans="1:22">
      <c r="A1053" s="7" t="str">
        <f>TRIM(ETLMetadata!$B1053)</f>
        <v>CLK</v>
      </c>
      <c r="B1053" s="7" t="str">
        <f>TRIM(ETLMetadata!$C1053)</f>
        <v>DETM_DETIS_NRDS</v>
      </c>
      <c r="C1053" s="7" t="str">
        <f>TRIM(ETLMetadata!$F1053)</f>
        <v>AMR3_RISL_DTS</v>
      </c>
      <c r="D1053" s="7" t="str">
        <f>TRIM(ETLMetadata!$H1053)</f>
        <v>StringType()</v>
      </c>
      <c r="E1053" s="7" t="str">
        <f t="shared" si="128"/>
        <v>CLK_DETM_DETIS_NRDS</v>
      </c>
      <c r="F1053" s="7" t="str">
        <f t="shared" si="130"/>
        <v>AMR3_RISL_DTS</v>
      </c>
      <c r="G1053" s="7" t="s">
        <v>825</v>
      </c>
      <c r="H1053" s="7" t="str">
        <f t="shared" si="131"/>
        <v>CLK_DETM_DETIS_NRDS</v>
      </c>
      <c r="I1053" s="7" t="str">
        <f t="shared" si="132"/>
        <v>AMR3_RISL_DTS</v>
      </c>
      <c r="J1053" s="7" t="str">
        <f t="shared" si="133"/>
        <v>TIMESTAMP</v>
      </c>
      <c r="K1053" s="7" t="str">
        <f>TRIM(ETLMetadata!$G1053)</f>
        <v>TIMESTAMP(6)</v>
      </c>
      <c r="L1053" s="7" t="str">
        <f>TRIM(ETLMetadata!$I1053)</f>
        <v>YYYY-MM-DDBHH:MI:SS.S(6)</v>
      </c>
      <c r="M1053" s="7" t="str">
        <f t="shared" si="134"/>
        <v>TO_TIMESTAMP_NTZ(NULLIF(TRIM(AMR3_RISL_DTS),''),'YYYY-MM-DD HH24:MI:SS.FF6')</v>
      </c>
      <c r="N1053" s="7" t="str">
        <f>TRIM(ETLMetadata!$J1053)</f>
        <v/>
      </c>
      <c r="O1053" s="8" t="str">
        <f>IF(TRIM(Classification!$G1053)="","NOT CONFIDENTIAL",TRIM(Classification!$G1053))</f>
        <v>NOT CONFIDENTIAL</v>
      </c>
      <c r="P1053" s="7" t="str">
        <f t="shared" si="135"/>
        <v>Y</v>
      </c>
      <c r="Q1053" s="7" t="s">
        <v>826</v>
      </c>
      <c r="R1053" s="9">
        <v>2958465</v>
      </c>
      <c r="S1053" s="7" t="s">
        <v>827</v>
      </c>
      <c r="T1053" s="7" t="s">
        <v>828</v>
      </c>
      <c r="U1053" s="7" t="str">
        <f t="shared" si="129"/>
        <v>CLK_DETM_DETIS_NRDS_V</v>
      </c>
      <c r="V1053" s="7" t="s">
        <v>829</v>
      </c>
    </row>
    <row r="1054" spans="1:22">
      <c r="A1054" s="7" t="str">
        <f>TRIM(ETLMetadata!$B1054)</f>
        <v>CLK</v>
      </c>
      <c r="B1054" s="7" t="str">
        <f>TRIM(ETLMetadata!$C1054)</f>
        <v>DETM_DETIS_NRDS</v>
      </c>
      <c r="C1054" s="7" t="str">
        <f>TRIM(ETLMetadata!$F1054)</f>
        <v>PARTY_ROLE_ID</v>
      </c>
      <c r="D1054" s="7" t="str">
        <f>TRIM(ETLMetadata!$H1054)</f>
        <v>StringType()</v>
      </c>
      <c r="E1054" s="7" t="str">
        <f t="shared" si="128"/>
        <v>CLK_DETM_DETIS_NRDS</v>
      </c>
      <c r="F1054" s="7" t="str">
        <f t="shared" si="130"/>
        <v>PARTY_ROLE_ID</v>
      </c>
      <c r="G1054" s="7" t="s">
        <v>825</v>
      </c>
      <c r="H1054" s="7" t="str">
        <f t="shared" si="131"/>
        <v>CLK_DETM_DETIS_NRDS</v>
      </c>
      <c r="I1054" s="7" t="str">
        <f t="shared" si="132"/>
        <v>PARTY_ROLE_ID</v>
      </c>
      <c r="J1054" s="7" t="str">
        <f t="shared" si="133"/>
        <v>INTEGER</v>
      </c>
      <c r="K1054" s="7" t="str">
        <f>TRIM(ETLMetadata!$G1054)</f>
        <v>INTEGER</v>
      </c>
      <c r="L1054" s="7" t="str">
        <f>TRIM(ETLMetadata!$I1054)</f>
        <v/>
      </c>
      <c r="M1054" s="7" t="str">
        <f t="shared" si="134"/>
        <v>CAST(NULLIF(TRIM(PARTY_ROLE_ID),'') AS INTEGER)</v>
      </c>
      <c r="N1054" s="7" t="str">
        <f>TRIM(ETLMetadata!$J1054)</f>
        <v/>
      </c>
      <c r="O1054" s="8" t="str">
        <f>IF(TRIM(Classification!$G1054)="","NOT CONFIDENTIAL",TRIM(Classification!$G1054))</f>
        <v>NOT CONFIDENTIAL</v>
      </c>
      <c r="P1054" s="7" t="str">
        <f t="shared" si="135"/>
        <v>Y</v>
      </c>
      <c r="Q1054" s="7" t="s">
        <v>826</v>
      </c>
      <c r="R1054" s="9">
        <v>2958465</v>
      </c>
      <c r="S1054" s="7" t="s">
        <v>827</v>
      </c>
      <c r="T1054" s="7" t="s">
        <v>828</v>
      </c>
      <c r="U1054" s="7" t="str">
        <f t="shared" si="129"/>
        <v>CLK_DETM_DETIS_NRDS_V</v>
      </c>
      <c r="V1054" s="7" t="s">
        <v>829</v>
      </c>
    </row>
    <row r="1055" spans="1:22">
      <c r="A1055" s="7" t="str">
        <f>TRIM(ETLMetadata!$B1055)</f>
        <v>CLK</v>
      </c>
      <c r="B1055" s="7" t="str">
        <f>TRIM(ETLMetadata!$C1055)</f>
        <v>DETM_DETIS_NRDS</v>
      </c>
      <c r="C1055" s="7" t="str">
        <f>TRIM(ETLMetadata!$F1055)</f>
        <v>PAYMENT_TYPE_ID</v>
      </c>
      <c r="D1055" s="7" t="str">
        <f>TRIM(ETLMetadata!$H1055)</f>
        <v>StringType()</v>
      </c>
      <c r="E1055" s="7" t="str">
        <f t="shared" ref="E1055:E1118" si="136">CONCATENATE($A1055,"_",B1055)</f>
        <v>CLK_DETM_DETIS_NRDS</v>
      </c>
      <c r="F1055" s="7" t="str">
        <f t="shared" si="130"/>
        <v>PAYMENT_TYPE_ID</v>
      </c>
      <c r="G1055" s="7" t="s">
        <v>825</v>
      </c>
      <c r="H1055" s="7" t="str">
        <f t="shared" si="131"/>
        <v>CLK_DETM_DETIS_NRDS</v>
      </c>
      <c r="I1055" s="7" t="str">
        <f t="shared" si="132"/>
        <v>PAYMENT_TYPE_ID</v>
      </c>
      <c r="J1055" s="7" t="str">
        <f t="shared" si="133"/>
        <v>INTEGER</v>
      </c>
      <c r="K1055" s="7" t="str">
        <f>TRIM(ETLMetadata!$G1055)</f>
        <v>INTEGER</v>
      </c>
      <c r="L1055" s="7" t="str">
        <f>TRIM(ETLMetadata!$I1055)</f>
        <v/>
      </c>
      <c r="M1055" s="7" t="str">
        <f t="shared" si="134"/>
        <v>CAST(NULLIF(TRIM(PAYMENT_TYPE_ID),'') AS INTEGER)</v>
      </c>
      <c r="N1055" s="7" t="str">
        <f>TRIM(ETLMetadata!$J1055)</f>
        <v/>
      </c>
      <c r="O1055" s="8" t="str">
        <f>IF(TRIM(Classification!$G1055)="","NOT CONFIDENTIAL",TRIM(Classification!$G1055))</f>
        <v>NOT CONFIDENTIAL</v>
      </c>
      <c r="P1055" s="7" t="str">
        <f t="shared" si="135"/>
        <v>Y</v>
      </c>
      <c r="Q1055" s="7" t="s">
        <v>826</v>
      </c>
      <c r="R1055" s="9">
        <v>2958465</v>
      </c>
      <c r="S1055" s="7" t="s">
        <v>827</v>
      </c>
      <c r="T1055" s="7" t="s">
        <v>828</v>
      </c>
      <c r="U1055" s="7" t="str">
        <f t="shared" ref="U1055:U1118" si="137">CONCATENATE(A1055,"_",B1055,"_V")</f>
        <v>CLK_DETM_DETIS_NRDS_V</v>
      </c>
      <c r="V1055" s="7" t="s">
        <v>829</v>
      </c>
    </row>
    <row r="1056" spans="1:22">
      <c r="A1056" s="7" t="str">
        <f>TRIM(ETLMetadata!$B1056)</f>
        <v>CLK</v>
      </c>
      <c r="B1056" s="7" t="str">
        <f>TRIM(ETLMetadata!$C1056)</f>
        <v>DETM_DETIS_NRDS</v>
      </c>
      <c r="C1056" s="7" t="str">
        <f>TRIM(ETLMetadata!$F1056)</f>
        <v>ERROR_COUNT</v>
      </c>
      <c r="D1056" s="7" t="str">
        <f>TRIM(ETLMetadata!$H1056)</f>
        <v>StringType()</v>
      </c>
      <c r="E1056" s="7" t="str">
        <f t="shared" si="136"/>
        <v>CLK_DETM_DETIS_NRDS</v>
      </c>
      <c r="F1056" s="7" t="str">
        <f t="shared" si="130"/>
        <v>ERROR_COUNT</v>
      </c>
      <c r="G1056" s="7" t="s">
        <v>825</v>
      </c>
      <c r="H1056" s="7" t="str">
        <f t="shared" si="131"/>
        <v>CLK_DETM_DETIS_NRDS</v>
      </c>
      <c r="I1056" s="7" t="str">
        <f t="shared" si="132"/>
        <v>ERROR_COUNT</v>
      </c>
      <c r="J1056" s="7" t="str">
        <f t="shared" si="133"/>
        <v>SMALLINT</v>
      </c>
      <c r="K1056" s="7" t="str">
        <f>TRIM(ETLMetadata!$G1056)</f>
        <v>SMALLINT</v>
      </c>
      <c r="L1056" s="7" t="str">
        <f>TRIM(ETLMetadata!$I1056)</f>
        <v/>
      </c>
      <c r="M1056" s="7" t="str">
        <f t="shared" si="134"/>
        <v>CAST(NULLIF(TRIM(ERROR_COUNT),'') AS SMALLINT)</v>
      </c>
      <c r="N1056" s="7" t="str">
        <f>TRIM(ETLMetadata!$J1056)</f>
        <v/>
      </c>
      <c r="O1056" s="8" t="str">
        <f>IF(TRIM(Classification!$G1056)="","NOT CONFIDENTIAL",TRIM(Classification!$G1056))</f>
        <v>NOT CONFIDENTIAL</v>
      </c>
      <c r="P1056" s="7" t="str">
        <f t="shared" si="135"/>
        <v>Y</v>
      </c>
      <c r="Q1056" s="7" t="s">
        <v>826</v>
      </c>
      <c r="R1056" s="9">
        <v>2958465</v>
      </c>
      <c r="S1056" s="7" t="s">
        <v>827</v>
      </c>
      <c r="T1056" s="7" t="s">
        <v>828</v>
      </c>
      <c r="U1056" s="7" t="str">
        <f t="shared" si="137"/>
        <v>CLK_DETM_DETIS_NRDS_V</v>
      </c>
      <c r="V1056" s="7" t="s">
        <v>829</v>
      </c>
    </row>
    <row r="1057" spans="1:22">
      <c r="A1057" s="7" t="str">
        <f>TRIM(ETLMetadata!$B1057)</f>
        <v>CLK</v>
      </c>
      <c r="B1057" s="7" t="str">
        <f>TRIM(ETLMetadata!$C1057)</f>
        <v>DETM_DETIS_NRDS</v>
      </c>
      <c r="C1057" s="7" t="str">
        <f>TRIM(ETLMetadata!$F1057)</f>
        <v>Start_Date</v>
      </c>
      <c r="D1057" s="7" t="str">
        <f>TRIM(ETLMetadata!$H1057)</f>
        <v>StringType()</v>
      </c>
      <c r="E1057" s="7" t="str">
        <f t="shared" si="136"/>
        <v>CLK_DETM_DETIS_NRDS</v>
      </c>
      <c r="F1057" s="7" t="str">
        <f t="shared" si="130"/>
        <v>STRT_DT</v>
      </c>
      <c r="G1057" s="7" t="s">
        <v>825</v>
      </c>
      <c r="H1057" s="7" t="str">
        <f t="shared" si="131"/>
        <v>CLK_DETM_DETIS_NRDS</v>
      </c>
      <c r="I1057" s="7" t="str">
        <f t="shared" si="132"/>
        <v>STRT_DT</v>
      </c>
      <c r="J1057" s="7" t="str">
        <f t="shared" si="133"/>
        <v>DATE</v>
      </c>
      <c r="K1057" s="7" t="str">
        <f>TRIM(ETLMetadata!$G1057)</f>
        <v>DATE</v>
      </c>
      <c r="L1057" s="7" t="str">
        <f>TRIM(ETLMetadata!$I1057)</f>
        <v>YYYY-MM-DD</v>
      </c>
      <c r="M1057" s="7" t="str">
        <f t="shared" si="134"/>
        <v>TO_DATE(NULLIF(TRIM(STRT_DT),'') , 'YYYY-MM-DD')</v>
      </c>
      <c r="N1057" s="7" t="str">
        <f>TRIM(ETLMetadata!$J1057)</f>
        <v/>
      </c>
      <c r="O1057" s="8" t="str">
        <f>IF(TRIM(Classification!$G1057)="","NOT CONFIDENTIAL",TRIM(Classification!$G1057))</f>
        <v>NOT CONFIDENTIAL</v>
      </c>
      <c r="P1057" s="7" t="str">
        <f t="shared" si="135"/>
        <v>N</v>
      </c>
      <c r="Q1057" s="7" t="s">
        <v>826</v>
      </c>
      <c r="R1057" s="9">
        <v>2958465</v>
      </c>
      <c r="S1057" s="7" t="s">
        <v>827</v>
      </c>
      <c r="T1057" s="7" t="s">
        <v>828</v>
      </c>
      <c r="U1057" s="7" t="str">
        <f t="shared" si="137"/>
        <v>CLK_DETM_DETIS_NRDS_V</v>
      </c>
      <c r="V1057" s="7" t="s">
        <v>829</v>
      </c>
    </row>
    <row r="1058" spans="1:22">
      <c r="A1058" s="7" t="str">
        <f>TRIM(ETLMetadata!$B1058)</f>
        <v>CLK</v>
      </c>
      <c r="B1058" s="7" t="str">
        <f>TRIM(ETLMetadata!$C1058)</f>
        <v>DETM_DETIS_NRDS</v>
      </c>
      <c r="C1058" s="7" t="str">
        <f>TRIM(ETLMetadata!$F1058)</f>
        <v>End_Date</v>
      </c>
      <c r="D1058" s="7" t="str">
        <f>TRIM(ETLMetadata!$H1058)</f>
        <v>StringType()</v>
      </c>
      <c r="E1058" s="7" t="str">
        <f t="shared" si="136"/>
        <v>CLK_DETM_DETIS_NRDS</v>
      </c>
      <c r="F1058" s="7" t="str">
        <f t="shared" si="130"/>
        <v>END_DT</v>
      </c>
      <c r="G1058" s="7" t="s">
        <v>825</v>
      </c>
      <c r="H1058" s="7" t="str">
        <f t="shared" si="131"/>
        <v>CLK_DETM_DETIS_NRDS</v>
      </c>
      <c r="I1058" s="7" t="str">
        <f t="shared" si="132"/>
        <v>END_DT</v>
      </c>
      <c r="J1058" s="7" t="str">
        <f t="shared" si="133"/>
        <v>DATE</v>
      </c>
      <c r="K1058" s="7" t="str">
        <f>TRIM(ETLMetadata!$G1058)</f>
        <v>DATE</v>
      </c>
      <c r="L1058" s="7" t="str">
        <f>TRIM(ETLMetadata!$I1058)</f>
        <v>YYYY-MM-DD</v>
      </c>
      <c r="M1058" s="7" t="str">
        <f t="shared" si="134"/>
        <v>TO_DATE(NULLIF(TRIM(END_DT),'') , 'YYYY-MM-DD')</v>
      </c>
      <c r="N1058" s="7" t="str">
        <f>TRIM(ETLMetadata!$J1058)</f>
        <v/>
      </c>
      <c r="O1058" s="8" t="str">
        <f>IF(TRIM(Classification!$G1058)="","NOT CONFIDENTIAL",TRIM(Classification!$G1058))</f>
        <v>NOT CONFIDENTIAL</v>
      </c>
      <c r="P1058" s="7" t="str">
        <f t="shared" si="135"/>
        <v>N</v>
      </c>
      <c r="Q1058" s="7" t="s">
        <v>826</v>
      </c>
      <c r="R1058" s="9">
        <v>2958465</v>
      </c>
      <c r="S1058" s="7" t="s">
        <v>827</v>
      </c>
      <c r="T1058" s="7" t="s">
        <v>828</v>
      </c>
      <c r="U1058" s="7" t="str">
        <f t="shared" si="137"/>
        <v>CLK_DETM_DETIS_NRDS_V</v>
      </c>
      <c r="V1058" s="7" t="s">
        <v>829</v>
      </c>
    </row>
    <row r="1059" spans="1:22">
      <c r="A1059" s="7" t="str">
        <f>TRIM(ETLMetadata!$B1059)</f>
        <v>CLK</v>
      </c>
      <c r="B1059" s="7" t="str">
        <f>TRIM(ETLMetadata!$C1059)</f>
        <v>DETM_DETIS_NRDS</v>
      </c>
      <c r="C1059" s="7" t="str">
        <f>TRIM(ETLMetadata!$F1059)</f>
        <v>Record_Deleted_Flag</v>
      </c>
      <c r="D1059" s="7" t="str">
        <f>TRIM(ETLMetadata!$H1059)</f>
        <v>StringType()</v>
      </c>
      <c r="E1059" s="7" t="str">
        <f t="shared" si="136"/>
        <v>CLK_DETM_DETIS_NRDS</v>
      </c>
      <c r="F1059" s="7" t="str">
        <f t="shared" si="130"/>
        <v>RCRD_DEL_IND</v>
      </c>
      <c r="G1059" s="7" t="s">
        <v>825</v>
      </c>
      <c r="H1059" s="7" t="str">
        <f t="shared" si="131"/>
        <v>CLK_DETM_DETIS_NRDS</v>
      </c>
      <c r="I1059" s="7" t="str">
        <f t="shared" si="132"/>
        <v>RCRD_DEL_IND</v>
      </c>
      <c r="J1059" s="7" t="str">
        <f t="shared" si="133"/>
        <v>SMALLINT</v>
      </c>
      <c r="K1059" s="7" t="str">
        <f>TRIM(ETLMetadata!$G1059)</f>
        <v>BYTEINT</v>
      </c>
      <c r="L1059" s="7" t="str">
        <f>TRIM(ETLMetadata!$I1059)</f>
        <v/>
      </c>
      <c r="M1059" s="7" t="str">
        <f t="shared" si="134"/>
        <v>CAST(NULLIF(TRIM(RCRD_DEL_IND),'') AS SMALLINT)</v>
      </c>
      <c r="N1059" s="7" t="str">
        <f>TRIM(ETLMetadata!$J1059)</f>
        <v/>
      </c>
      <c r="O1059" s="8" t="str">
        <f>IF(TRIM(Classification!$G1059)="","NOT CONFIDENTIAL",TRIM(Classification!$G1059))</f>
        <v>NOT CONFIDENTIAL</v>
      </c>
      <c r="P1059" s="7" t="str">
        <f t="shared" si="135"/>
        <v>N</v>
      </c>
      <c r="Q1059" s="7" t="s">
        <v>826</v>
      </c>
      <c r="R1059" s="9">
        <v>2958465</v>
      </c>
      <c r="S1059" s="7" t="s">
        <v>827</v>
      </c>
      <c r="T1059" s="7" t="s">
        <v>828</v>
      </c>
      <c r="U1059" s="7" t="str">
        <f t="shared" si="137"/>
        <v>CLK_DETM_DETIS_NRDS_V</v>
      </c>
      <c r="V1059" s="7" t="s">
        <v>829</v>
      </c>
    </row>
    <row r="1060" spans="1:22">
      <c r="A1060" s="7" t="str">
        <f>TRIM(ETLMetadata!$B1060)</f>
        <v>CLK</v>
      </c>
      <c r="B1060" s="7" t="str">
        <f>TRIM(ETLMetadata!$C1060)</f>
        <v>DETM_DETIS_NSDS</v>
      </c>
      <c r="C1060" s="7" t="str">
        <f>TRIM(ETLMetadata!$F1060)</f>
        <v>EXTRACT_DATE</v>
      </c>
      <c r="D1060" s="7" t="str">
        <f>TRIM(ETLMetadata!$H1060)</f>
        <v>StringType()</v>
      </c>
      <c r="E1060" s="7" t="str">
        <f t="shared" si="136"/>
        <v>CLK_DETM_DETIS_NSDS</v>
      </c>
      <c r="F1060" s="7" t="str">
        <f t="shared" si="130"/>
        <v>EXTRACT_DATE</v>
      </c>
      <c r="G1060" s="7" t="s">
        <v>825</v>
      </c>
      <c r="H1060" s="7" t="str">
        <f t="shared" si="131"/>
        <v>CLK_DETM_DETIS_NSDS</v>
      </c>
      <c r="I1060" s="7" t="str">
        <f t="shared" si="132"/>
        <v>EXTRACT_DATE</v>
      </c>
      <c r="J1060" s="7" t="str">
        <f t="shared" si="133"/>
        <v>DATE</v>
      </c>
      <c r="K1060" s="7" t="str">
        <f>TRIM(ETLMetadata!$G1060)</f>
        <v>DATE</v>
      </c>
      <c r="L1060" s="7" t="str">
        <f>TRIM(ETLMetadata!$I1060)</f>
        <v>YYYY-MM-DD</v>
      </c>
      <c r="M1060" s="7" t="str">
        <f t="shared" si="134"/>
        <v>TO_DATE(NULLIF(TRIM(EXTRACT_DATE),'') , 'YYYY-MM-DD')</v>
      </c>
      <c r="N1060" s="7" t="str">
        <f>TRIM(ETLMetadata!$J1060)</f>
        <v/>
      </c>
      <c r="O1060" s="8" t="str">
        <f>IF(TRIM(Classification!$G1060)="","NOT CONFIDENTIAL",TRIM(Classification!$G1060))</f>
        <v>NOT CONFIDENTIAL</v>
      </c>
      <c r="P1060" s="7" t="str">
        <f t="shared" si="135"/>
        <v>Y</v>
      </c>
      <c r="Q1060" s="7" t="s">
        <v>826</v>
      </c>
      <c r="R1060" s="9">
        <v>2958465</v>
      </c>
      <c r="S1060" s="7" t="s">
        <v>827</v>
      </c>
      <c r="T1060" s="7" t="s">
        <v>828</v>
      </c>
      <c r="U1060" s="7" t="str">
        <f t="shared" si="137"/>
        <v>CLK_DETM_DETIS_NSDS_V</v>
      </c>
      <c r="V1060" s="7" t="s">
        <v>829</v>
      </c>
    </row>
    <row r="1061" spans="1:22">
      <c r="A1061" s="7" t="str">
        <f>TRIM(ETLMetadata!$B1061)</f>
        <v>CLK</v>
      </c>
      <c r="B1061" s="7" t="str">
        <f>TRIM(ETLMetadata!$C1061)</f>
        <v>DETM_DETIS_NSDS</v>
      </c>
      <c r="C1061" s="7" t="str">
        <f>TRIM(ETLMetadata!$F1061)</f>
        <v>LOGICAL_DELETE_DATE</v>
      </c>
      <c r="D1061" s="7" t="str">
        <f>TRIM(ETLMetadata!$H1061)</f>
        <v>StringType()</v>
      </c>
      <c r="E1061" s="7" t="str">
        <f t="shared" si="136"/>
        <v>CLK_DETM_DETIS_NSDS</v>
      </c>
      <c r="F1061" s="7" t="str">
        <f t="shared" si="130"/>
        <v>LOGICAL_DELETE_DATE</v>
      </c>
      <c r="G1061" s="7" t="s">
        <v>825</v>
      </c>
      <c r="H1061" s="7" t="str">
        <f t="shared" si="131"/>
        <v>CLK_DETM_DETIS_NSDS</v>
      </c>
      <c r="I1061" s="7" t="str">
        <f t="shared" si="132"/>
        <v>LOGICAL_DELETE_DATE</v>
      </c>
      <c r="J1061" s="7" t="str">
        <f t="shared" si="133"/>
        <v>DATE</v>
      </c>
      <c r="K1061" s="7" t="str">
        <f>TRIM(ETLMetadata!$G1061)</f>
        <v>DATE</v>
      </c>
      <c r="L1061" s="7" t="str">
        <f>TRIM(ETLMetadata!$I1061)</f>
        <v>YYYY-MM-DD</v>
      </c>
      <c r="M1061" s="7" t="str">
        <f t="shared" si="134"/>
        <v>TO_DATE(NULLIF(TRIM(LOGICAL_DELETE_DATE),'') , 'YYYY-MM-DD')</v>
      </c>
      <c r="N1061" s="7" t="str">
        <f>TRIM(ETLMetadata!$J1061)</f>
        <v/>
      </c>
      <c r="O1061" s="8" t="str">
        <f>IF(TRIM(Classification!$G1061)="","NOT CONFIDENTIAL",TRIM(Classification!$G1061))</f>
        <v>NOT CONFIDENTIAL</v>
      </c>
      <c r="P1061" s="7" t="str">
        <f t="shared" si="135"/>
        <v>Y</v>
      </c>
      <c r="Q1061" s="7" t="s">
        <v>826</v>
      </c>
      <c r="R1061" s="9">
        <v>2958465</v>
      </c>
      <c r="S1061" s="7" t="s">
        <v>827</v>
      </c>
      <c r="T1061" s="7" t="s">
        <v>828</v>
      </c>
      <c r="U1061" s="7" t="str">
        <f t="shared" si="137"/>
        <v>CLK_DETM_DETIS_NSDS_V</v>
      </c>
      <c r="V1061" s="7" t="s">
        <v>829</v>
      </c>
    </row>
    <row r="1062" spans="1:22">
      <c r="A1062" s="7" t="str">
        <f>TRIM(ETLMetadata!$B1062)</f>
        <v>CLK</v>
      </c>
      <c r="B1062" s="7" t="str">
        <f>TRIM(ETLMetadata!$C1062)</f>
        <v>DETM_DETIS_NSDS</v>
      </c>
      <c r="C1062" s="7" t="str">
        <f>TRIM(ETLMetadata!$F1062)</f>
        <v>ENVIRONMENT_ID</v>
      </c>
      <c r="D1062" s="7" t="str">
        <f>TRIM(ETLMetadata!$H1062)</f>
        <v>StringType()</v>
      </c>
      <c r="E1062" s="7" t="str">
        <f t="shared" si="136"/>
        <v>CLK_DETM_DETIS_NSDS</v>
      </c>
      <c r="F1062" s="7" t="str">
        <f t="shared" si="130"/>
        <v>ENVIRONMENT_ID</v>
      </c>
      <c r="G1062" s="7" t="s">
        <v>825</v>
      </c>
      <c r="H1062" s="7" t="str">
        <f t="shared" si="131"/>
        <v>CLK_DETM_DETIS_NSDS</v>
      </c>
      <c r="I1062" s="7" t="str">
        <f t="shared" si="132"/>
        <v>ENVIRONMENT_ID</v>
      </c>
      <c r="J1062" s="7" t="str">
        <f t="shared" si="133"/>
        <v>VARCHAR</v>
      </c>
      <c r="K1062" s="7" t="str">
        <f>TRIM(ETLMetadata!$G1062)</f>
        <v>CHAR(1)</v>
      </c>
      <c r="L1062" s="7" t="str">
        <f>TRIM(ETLMetadata!$I1062)</f>
        <v/>
      </c>
      <c r="M1062" s="7" t="str">
        <f t="shared" si="134"/>
        <v>NULLIF(TRIM(ENVIRONMENT_ID),'')</v>
      </c>
      <c r="N1062" s="7" t="str">
        <f>TRIM(ETLMetadata!$J1062)</f>
        <v>Y</v>
      </c>
      <c r="O1062" s="8" t="str">
        <f>IF(TRIM(Classification!$G1062)="","NOT CONFIDENTIAL",TRIM(Classification!$G1062))</f>
        <v>NOT CONFIDENTIAL</v>
      </c>
      <c r="P1062" s="7" t="str">
        <f t="shared" si="135"/>
        <v>Y</v>
      </c>
      <c r="Q1062" s="7" t="s">
        <v>826</v>
      </c>
      <c r="R1062" s="9">
        <v>2958465</v>
      </c>
      <c r="S1062" s="7" t="s">
        <v>827</v>
      </c>
      <c r="T1062" s="7" t="s">
        <v>828</v>
      </c>
      <c r="U1062" s="7" t="str">
        <f t="shared" si="137"/>
        <v>CLK_DETM_DETIS_NSDS_V</v>
      </c>
      <c r="V1062" s="7" t="s">
        <v>829</v>
      </c>
    </row>
    <row r="1063" spans="1:22">
      <c r="A1063" s="7" t="str">
        <f>TRIM(ETLMetadata!$B1063)</f>
        <v>CLK</v>
      </c>
      <c r="B1063" s="7" t="str">
        <f>TRIM(ETLMetadata!$C1063)</f>
        <v>DETM_DETIS_NSDS</v>
      </c>
      <c r="C1063" s="7" t="str">
        <f>TRIM(ETLMetadata!$F1063)</f>
        <v>PERSON_ID</v>
      </c>
      <c r="D1063" s="7" t="str">
        <f>TRIM(ETLMetadata!$H1063)</f>
        <v>StringType()</v>
      </c>
      <c r="E1063" s="7" t="str">
        <f t="shared" si="136"/>
        <v>CLK_DETM_DETIS_NSDS</v>
      </c>
      <c r="F1063" s="7" t="str">
        <f t="shared" si="130"/>
        <v>PERSON_ID</v>
      </c>
      <c r="G1063" s="7" t="s">
        <v>825</v>
      </c>
      <c r="H1063" s="7" t="str">
        <f t="shared" si="131"/>
        <v>CLK_DETM_DETIS_NSDS</v>
      </c>
      <c r="I1063" s="7" t="str">
        <f t="shared" si="132"/>
        <v>PERSON_ID</v>
      </c>
      <c r="J1063" s="7" t="str">
        <f t="shared" si="133"/>
        <v>INTEGER</v>
      </c>
      <c r="K1063" s="7" t="str">
        <f>TRIM(ETLMetadata!$G1063)</f>
        <v>INTEGER</v>
      </c>
      <c r="L1063" s="7" t="str">
        <f>TRIM(ETLMetadata!$I1063)</f>
        <v/>
      </c>
      <c r="M1063" s="7" t="str">
        <f t="shared" si="134"/>
        <v>CAST(NULLIF(TRIM(PERSON_ID),'') AS INTEGER)</v>
      </c>
      <c r="N1063" s="7" t="str">
        <f>TRIM(ETLMetadata!$J1063)</f>
        <v>Y</v>
      </c>
      <c r="O1063" s="8" t="str">
        <f>IF(TRIM(Classification!$G1063)="","NOT CONFIDENTIAL",TRIM(Classification!$G1063))</f>
        <v>PERSONAL_IDENTITYINFOINDIRECT</v>
      </c>
      <c r="P1063" s="7" t="str">
        <f t="shared" si="135"/>
        <v>Y</v>
      </c>
      <c r="Q1063" s="7" t="s">
        <v>826</v>
      </c>
      <c r="R1063" s="9">
        <v>2958465</v>
      </c>
      <c r="S1063" s="7" t="s">
        <v>827</v>
      </c>
      <c r="T1063" s="7" t="s">
        <v>828</v>
      </c>
      <c r="U1063" s="7" t="str">
        <f t="shared" si="137"/>
        <v>CLK_DETM_DETIS_NSDS_V</v>
      </c>
      <c r="V1063" s="7" t="s">
        <v>829</v>
      </c>
    </row>
    <row r="1064" spans="1:22">
      <c r="A1064" s="7" t="str">
        <f>TRIM(ETLMetadata!$B1064)</f>
        <v>CLK</v>
      </c>
      <c r="B1064" s="7" t="str">
        <f>TRIM(ETLMetadata!$C1064)</f>
        <v>DETM_DETIS_NSDS</v>
      </c>
      <c r="C1064" s="7" t="str">
        <f>TRIM(ETLMetadata!$F1064)</f>
        <v>NSDS_DOE</v>
      </c>
      <c r="D1064" s="7" t="str">
        <f>TRIM(ETLMetadata!$H1064)</f>
        <v>StringType()</v>
      </c>
      <c r="E1064" s="7" t="str">
        <f t="shared" si="136"/>
        <v>CLK_DETM_DETIS_NSDS</v>
      </c>
      <c r="F1064" s="7" t="str">
        <f t="shared" si="130"/>
        <v>NSDS_DOE</v>
      </c>
      <c r="G1064" s="7" t="s">
        <v>825</v>
      </c>
      <c r="H1064" s="7" t="str">
        <f t="shared" si="131"/>
        <v>CLK_DETM_DETIS_NSDS</v>
      </c>
      <c r="I1064" s="7" t="str">
        <f t="shared" si="132"/>
        <v>NSDS_DOE</v>
      </c>
      <c r="J1064" s="7" t="str">
        <f t="shared" si="133"/>
        <v>DATE</v>
      </c>
      <c r="K1064" s="17" t="s">
        <v>80</v>
      </c>
      <c r="L1064" s="7" t="str">
        <f>TRIM(ETLMetadata!$I1064)</f>
        <v>YYYY-MM-DD</v>
      </c>
      <c r="M1064" s="7" t="str">
        <f t="shared" si="134"/>
        <v>TO_DATE(NULLIF(TRIM(NSDS_DOE),'') , 'YYYY-MM-DD')</v>
      </c>
      <c r="N1064" s="7" t="str">
        <f>TRIM(ETLMetadata!$J1064)</f>
        <v/>
      </c>
      <c r="O1064" s="8" t="str">
        <f>IF(TRIM(Classification!$G1064)="","NOT CONFIDENTIAL",TRIM(Classification!$G1064))</f>
        <v>NOT CONFIDENTIAL</v>
      </c>
      <c r="P1064" s="7" t="str">
        <f t="shared" si="135"/>
        <v>Y</v>
      </c>
      <c r="Q1064" s="7" t="s">
        <v>826</v>
      </c>
      <c r="R1064" s="9">
        <v>2958465</v>
      </c>
      <c r="S1064" s="7" t="s">
        <v>827</v>
      </c>
      <c r="T1064" s="7" t="s">
        <v>828</v>
      </c>
      <c r="U1064" s="7" t="str">
        <f t="shared" si="137"/>
        <v>CLK_DETM_DETIS_NSDS_V</v>
      </c>
      <c r="V1064" s="7" t="s">
        <v>829</v>
      </c>
    </row>
    <row r="1065" spans="1:22">
      <c r="A1065" s="7" t="str">
        <f>TRIM(ETLMetadata!$B1065)</f>
        <v>CLK</v>
      </c>
      <c r="B1065" s="7" t="str">
        <f>TRIM(ETLMetadata!$C1065)</f>
        <v>DETM_DETIS_NSDS</v>
      </c>
      <c r="C1065" s="7" t="str">
        <f>TRIM(ETLMetadata!$F1065)</f>
        <v>NSDS_DOE_ORIG</v>
      </c>
      <c r="D1065" s="7" t="str">
        <f>TRIM(ETLMetadata!$H1065)</f>
        <v>StringType()</v>
      </c>
      <c r="E1065" s="7" t="str">
        <f t="shared" si="136"/>
        <v>CLK_DETM_DETIS_NSDS</v>
      </c>
      <c r="F1065" s="7" t="str">
        <f t="shared" si="130"/>
        <v>NSDS_DOE_ORIG</v>
      </c>
      <c r="G1065" s="7" t="s">
        <v>825</v>
      </c>
      <c r="H1065" s="7" t="str">
        <f t="shared" si="131"/>
        <v>CLK_DETM_DETIS_NSDS</v>
      </c>
      <c r="I1065" s="7" t="str">
        <f t="shared" si="132"/>
        <v>NSDS_DOE_ORIG</v>
      </c>
      <c r="J1065" s="7" t="str">
        <f t="shared" si="133"/>
        <v>INTEGER</v>
      </c>
      <c r="K1065" s="17" t="s">
        <v>90</v>
      </c>
      <c r="L1065" s="7" t="str">
        <f>TRIM(ETLMetadata!$I1065)</f>
        <v/>
      </c>
      <c r="M1065" s="7" t="str">
        <f t="shared" si="134"/>
        <v>CAST(NULLIF(TRIM(NSDS_DOE_ORIG),'') AS INTEGER)</v>
      </c>
      <c r="N1065" s="7" t="str">
        <f>TRIM(ETLMetadata!$J1065)</f>
        <v/>
      </c>
      <c r="O1065" s="8" t="str">
        <f>IF(TRIM(Classification!$G1065)="","NOT CONFIDENTIAL",TRIM(Classification!$G1065))</f>
        <v>NOT CONFIDENTIAL</v>
      </c>
      <c r="P1065" s="7" t="str">
        <f t="shared" si="135"/>
        <v>Y</v>
      </c>
      <c r="Q1065" s="7" t="s">
        <v>826</v>
      </c>
      <c r="R1065" s="9">
        <v>2958465</v>
      </c>
      <c r="S1065" s="7" t="s">
        <v>827</v>
      </c>
      <c r="T1065" s="7" t="s">
        <v>828</v>
      </c>
      <c r="U1065" s="7" t="str">
        <f t="shared" si="137"/>
        <v>CLK_DETM_DETIS_NSDS_V</v>
      </c>
      <c r="V1065" s="7" t="s">
        <v>829</v>
      </c>
    </row>
    <row r="1066" spans="1:22">
      <c r="A1066" s="7" t="str">
        <f>TRIM(ETLMetadata!$B1066)</f>
        <v>CLK</v>
      </c>
      <c r="B1066" s="7" t="str">
        <f>TRIM(ETLMetadata!$C1066)</f>
        <v>DETM_DETIS_NSDS</v>
      </c>
      <c r="C1066" s="7" t="str">
        <f>TRIM(ETLMetadata!$F1066)</f>
        <v>NSDS_BEN_TYPE_CODE</v>
      </c>
      <c r="D1066" s="7" t="str">
        <f>TRIM(ETLMetadata!$H1066)</f>
        <v>StringType()</v>
      </c>
      <c r="E1066" s="7" t="str">
        <f t="shared" si="136"/>
        <v>CLK_DETM_DETIS_NSDS</v>
      </c>
      <c r="F1066" s="7" t="str">
        <f t="shared" si="130"/>
        <v>NSDS_BEN_TYPE_CODE</v>
      </c>
      <c r="G1066" s="7" t="s">
        <v>825</v>
      </c>
      <c r="H1066" s="7" t="str">
        <f t="shared" si="131"/>
        <v>CLK_DETM_DETIS_NSDS</v>
      </c>
      <c r="I1066" s="7" t="str">
        <f t="shared" si="132"/>
        <v>NSDS_BEN_TYPE_CODE</v>
      </c>
      <c r="J1066" s="7" t="str">
        <f t="shared" si="133"/>
        <v>VARCHAR</v>
      </c>
      <c r="K1066" s="7" t="str">
        <f>TRIM(ETLMetadata!$G1066)</f>
        <v>CHAR(3)</v>
      </c>
      <c r="L1066" s="7" t="str">
        <f>TRIM(ETLMetadata!$I1066)</f>
        <v/>
      </c>
      <c r="M1066" s="7" t="str">
        <f t="shared" si="134"/>
        <v>NULLIF(TRIM(NSDS_BEN_TYPE_CODE),'')</v>
      </c>
      <c r="N1066" s="7" t="str">
        <f>TRIM(ETLMetadata!$J1066)</f>
        <v/>
      </c>
      <c r="O1066" s="8" t="str">
        <f>IF(TRIM(Classification!$G1066)="","NOT CONFIDENTIAL",TRIM(Classification!$G1066))</f>
        <v>NOT CONFIDENTIAL</v>
      </c>
      <c r="P1066" s="7" t="str">
        <f t="shared" si="135"/>
        <v>Y</v>
      </c>
      <c r="Q1066" s="7" t="s">
        <v>826</v>
      </c>
      <c r="R1066" s="9">
        <v>2958465</v>
      </c>
      <c r="S1066" s="7" t="s">
        <v>827</v>
      </c>
      <c r="T1066" s="7" t="s">
        <v>828</v>
      </c>
      <c r="U1066" s="7" t="str">
        <f t="shared" si="137"/>
        <v>CLK_DETM_DETIS_NSDS_V</v>
      </c>
      <c r="V1066" s="7" t="s">
        <v>829</v>
      </c>
    </row>
    <row r="1067" spans="1:22">
      <c r="A1067" s="7" t="str">
        <f>TRIM(ETLMetadata!$B1067)</f>
        <v>CLK</v>
      </c>
      <c r="B1067" s="7" t="str">
        <f>TRIM(ETLMetadata!$C1067)</f>
        <v>DETM_DETIS_NSDS</v>
      </c>
      <c r="C1067" s="7" t="str">
        <f>TRIM(ETLMetadata!$F1067)</f>
        <v>PROCESSING_SEQUENCE</v>
      </c>
      <c r="D1067" s="7" t="str">
        <f>TRIM(ETLMetadata!$H1067)</f>
        <v>StringType()</v>
      </c>
      <c r="E1067" s="7" t="str">
        <f t="shared" si="136"/>
        <v>CLK_DETM_DETIS_NSDS</v>
      </c>
      <c r="F1067" s="7" t="str">
        <f t="shared" si="130"/>
        <v>PROCESSING_SEQUENCE</v>
      </c>
      <c r="G1067" s="7" t="s">
        <v>825</v>
      </c>
      <c r="H1067" s="7" t="str">
        <f t="shared" si="131"/>
        <v>CLK_DETM_DETIS_NSDS</v>
      </c>
      <c r="I1067" s="7" t="str">
        <f t="shared" si="132"/>
        <v>PROCESSING_SEQUENCE</v>
      </c>
      <c r="J1067" s="7" t="str">
        <f t="shared" si="133"/>
        <v>SMALLINT</v>
      </c>
      <c r="K1067" s="7" t="str">
        <f>TRIM(ETLMetadata!$G1067)</f>
        <v>SMALLINT</v>
      </c>
      <c r="L1067" s="7" t="str">
        <f>TRIM(ETLMetadata!$I1067)</f>
        <v/>
      </c>
      <c r="M1067" s="7" t="str">
        <f t="shared" si="134"/>
        <v>CAST(NULLIF(TRIM(PROCESSING_SEQUENCE),'') AS SMALLINT)</v>
      </c>
      <c r="N1067" s="7" t="str">
        <f>TRIM(ETLMetadata!$J1067)</f>
        <v>Y</v>
      </c>
      <c r="O1067" s="8" t="str">
        <f>IF(TRIM(Classification!$G1067)="","NOT CONFIDENTIAL",TRIM(Classification!$G1067))</f>
        <v>NOT CONFIDENTIAL</v>
      </c>
      <c r="P1067" s="7" t="str">
        <f t="shared" si="135"/>
        <v>Y</v>
      </c>
      <c r="Q1067" s="7" t="s">
        <v>826</v>
      </c>
      <c r="R1067" s="9">
        <v>2958465</v>
      </c>
      <c r="S1067" s="7" t="s">
        <v>827</v>
      </c>
      <c r="T1067" s="7" t="s">
        <v>828</v>
      </c>
      <c r="U1067" s="7" t="str">
        <f t="shared" si="137"/>
        <v>CLK_DETM_DETIS_NSDS_V</v>
      </c>
      <c r="V1067" s="7" t="s">
        <v>829</v>
      </c>
    </row>
    <row r="1068" spans="1:22">
      <c r="A1068" s="7" t="str">
        <f>TRIM(ETLMetadata!$B1068)</f>
        <v>CLK</v>
      </c>
      <c r="B1068" s="7" t="str">
        <f>TRIM(ETLMetadata!$C1068)</f>
        <v>DETM_DETIS_NSDS</v>
      </c>
      <c r="C1068" s="7" t="str">
        <f>TRIM(ETLMetadata!$F1068)</f>
        <v>NSDS_AMR_1</v>
      </c>
      <c r="D1068" s="7" t="str">
        <f>TRIM(ETLMetadata!$H1068)</f>
        <v>StringType()</v>
      </c>
      <c r="E1068" s="7" t="str">
        <f t="shared" si="136"/>
        <v>CLK_DETM_DETIS_NSDS</v>
      </c>
      <c r="F1068" s="7" t="str">
        <f t="shared" si="130"/>
        <v>NSDS_AMR_1</v>
      </c>
      <c r="G1068" s="7" t="s">
        <v>825</v>
      </c>
      <c r="H1068" s="7" t="str">
        <f t="shared" si="131"/>
        <v>CLK_DETM_DETIS_NSDS</v>
      </c>
      <c r="I1068" s="7" t="str">
        <f t="shared" si="132"/>
        <v>NSDS_AMR_1</v>
      </c>
      <c r="J1068" s="7" t="str">
        <f t="shared" si="133"/>
        <v>VARCHAR</v>
      </c>
      <c r="K1068" s="7" t="str">
        <f>TRIM(ETLMetadata!$G1068)</f>
        <v>CHAR(4)</v>
      </c>
      <c r="L1068" s="7" t="str">
        <f>TRIM(ETLMetadata!$I1068)</f>
        <v/>
      </c>
      <c r="M1068" s="7" t="str">
        <f t="shared" si="134"/>
        <v>NULLIF(TRIM(NSDS_AMR_1),'')</v>
      </c>
      <c r="N1068" s="7" t="str">
        <f>TRIM(ETLMetadata!$J1068)</f>
        <v/>
      </c>
      <c r="O1068" s="8" t="str">
        <f>IF(TRIM(Classification!$G1068)="","NOT CONFIDENTIAL",TRIM(Classification!$G1068))</f>
        <v>NOT CONFIDENTIAL</v>
      </c>
      <c r="P1068" s="7" t="str">
        <f t="shared" si="135"/>
        <v>Y</v>
      </c>
      <c r="Q1068" s="7" t="s">
        <v>826</v>
      </c>
      <c r="R1068" s="9">
        <v>2958465</v>
      </c>
      <c r="S1068" s="7" t="s">
        <v>827</v>
      </c>
      <c r="T1068" s="7" t="s">
        <v>828</v>
      </c>
      <c r="U1068" s="7" t="str">
        <f t="shared" si="137"/>
        <v>CLK_DETM_DETIS_NSDS_V</v>
      </c>
      <c r="V1068" s="7" t="s">
        <v>829</v>
      </c>
    </row>
    <row r="1069" spans="1:22">
      <c r="A1069" s="7" t="str">
        <f>TRIM(ETLMetadata!$B1069)</f>
        <v>CLK</v>
      </c>
      <c r="B1069" s="7" t="str">
        <f>TRIM(ETLMetadata!$C1069)</f>
        <v>DETM_DETIS_NSDS</v>
      </c>
      <c r="C1069" s="7" t="str">
        <f>TRIM(ETLMetadata!$F1069)</f>
        <v>NSDS_AMR_2</v>
      </c>
      <c r="D1069" s="7" t="str">
        <f>TRIM(ETLMetadata!$H1069)</f>
        <v>StringType()</v>
      </c>
      <c r="E1069" s="7" t="str">
        <f t="shared" si="136"/>
        <v>CLK_DETM_DETIS_NSDS</v>
      </c>
      <c r="F1069" s="7" t="str">
        <f t="shared" si="130"/>
        <v>NSDS_AMR_2</v>
      </c>
      <c r="G1069" s="7" t="s">
        <v>825</v>
      </c>
      <c r="H1069" s="7" t="str">
        <f t="shared" si="131"/>
        <v>CLK_DETM_DETIS_NSDS</v>
      </c>
      <c r="I1069" s="7" t="str">
        <f t="shared" si="132"/>
        <v>NSDS_AMR_2</v>
      </c>
      <c r="J1069" s="7" t="str">
        <f t="shared" si="133"/>
        <v>VARCHAR</v>
      </c>
      <c r="K1069" s="7" t="str">
        <f>TRIM(ETLMetadata!$G1069)</f>
        <v>CHAR(1)</v>
      </c>
      <c r="L1069" s="7" t="str">
        <f>TRIM(ETLMetadata!$I1069)</f>
        <v/>
      </c>
      <c r="M1069" s="7" t="str">
        <f t="shared" si="134"/>
        <v>NULLIF(TRIM(NSDS_AMR_2),'')</v>
      </c>
      <c r="N1069" s="7" t="str">
        <f>TRIM(ETLMetadata!$J1069)</f>
        <v/>
      </c>
      <c r="O1069" s="8" t="str">
        <f>IF(TRIM(Classification!$G1069)="","NOT CONFIDENTIAL",TRIM(Classification!$G1069))</f>
        <v>NOT CONFIDENTIAL</v>
      </c>
      <c r="P1069" s="7" t="str">
        <f t="shared" si="135"/>
        <v>Y</v>
      </c>
      <c r="Q1069" s="7" t="s">
        <v>826</v>
      </c>
      <c r="R1069" s="9">
        <v>2958465</v>
      </c>
      <c r="S1069" s="7" t="s">
        <v>827</v>
      </c>
      <c r="T1069" s="7" t="s">
        <v>828</v>
      </c>
      <c r="U1069" s="7" t="str">
        <f t="shared" si="137"/>
        <v>CLK_DETM_DETIS_NSDS_V</v>
      </c>
      <c r="V1069" s="7" t="s">
        <v>829</v>
      </c>
    </row>
    <row r="1070" spans="1:22">
      <c r="A1070" s="7" t="str">
        <f>TRIM(ETLMetadata!$B1070)</f>
        <v>CLK</v>
      </c>
      <c r="B1070" s="7" t="str">
        <f>TRIM(ETLMetadata!$C1070)</f>
        <v>DETM_DETIS_NSDS</v>
      </c>
      <c r="C1070" s="7" t="str">
        <f>TRIM(ETLMetadata!$F1070)</f>
        <v>NSDS_AMR_3</v>
      </c>
      <c r="D1070" s="7" t="str">
        <f>TRIM(ETLMetadata!$H1070)</f>
        <v>StringType()</v>
      </c>
      <c r="E1070" s="7" t="str">
        <f t="shared" si="136"/>
        <v>CLK_DETM_DETIS_NSDS</v>
      </c>
      <c r="F1070" s="7" t="str">
        <f t="shared" si="130"/>
        <v>NSDS_AMR_3</v>
      </c>
      <c r="G1070" s="7" t="s">
        <v>825</v>
      </c>
      <c r="H1070" s="7" t="str">
        <f t="shared" si="131"/>
        <v>CLK_DETM_DETIS_NSDS</v>
      </c>
      <c r="I1070" s="7" t="str">
        <f t="shared" si="132"/>
        <v>NSDS_AMR_3</v>
      </c>
      <c r="J1070" s="7" t="str">
        <f t="shared" si="133"/>
        <v>VARCHAR</v>
      </c>
      <c r="K1070" s="7" t="str">
        <f>TRIM(ETLMetadata!$G1070)</f>
        <v>CHAR(4)</v>
      </c>
      <c r="L1070" s="7" t="str">
        <f>TRIM(ETLMetadata!$I1070)</f>
        <v/>
      </c>
      <c r="M1070" s="7" t="str">
        <f t="shared" si="134"/>
        <v>NULLIF(TRIM(NSDS_AMR_3),'')</v>
      </c>
      <c r="N1070" s="7" t="str">
        <f>TRIM(ETLMetadata!$J1070)</f>
        <v/>
      </c>
      <c r="O1070" s="8" t="str">
        <f>IF(TRIM(Classification!$G1070)="","NOT CONFIDENTIAL",TRIM(Classification!$G1070))</f>
        <v>NOT CONFIDENTIAL</v>
      </c>
      <c r="P1070" s="7" t="str">
        <f t="shared" si="135"/>
        <v>Y</v>
      </c>
      <c r="Q1070" s="7" t="s">
        <v>826</v>
      </c>
      <c r="R1070" s="9">
        <v>2958465</v>
      </c>
      <c r="S1070" s="7" t="s">
        <v>827</v>
      </c>
      <c r="T1070" s="7" t="s">
        <v>828</v>
      </c>
      <c r="U1070" s="7" t="str">
        <f t="shared" si="137"/>
        <v>CLK_DETM_DETIS_NSDS_V</v>
      </c>
      <c r="V1070" s="7" t="s">
        <v>829</v>
      </c>
    </row>
    <row r="1071" spans="1:22">
      <c r="A1071" s="7" t="str">
        <f>TRIM(ETLMetadata!$B1071)</f>
        <v>CLK</v>
      </c>
      <c r="B1071" s="7" t="str">
        <f>TRIM(ETLMetadata!$C1071)</f>
        <v>DETM_DETIS_NSDS</v>
      </c>
      <c r="C1071" s="7" t="str">
        <f>TRIM(ETLMetadata!$F1071)</f>
        <v>NSDS_STS_CODE</v>
      </c>
      <c r="D1071" s="7" t="str">
        <f>TRIM(ETLMetadata!$H1071)</f>
        <v>StringType()</v>
      </c>
      <c r="E1071" s="7" t="str">
        <f t="shared" si="136"/>
        <v>CLK_DETM_DETIS_NSDS</v>
      </c>
      <c r="F1071" s="7" t="str">
        <f t="shared" si="130"/>
        <v>NSDS_STS_CODE</v>
      </c>
      <c r="G1071" s="7" t="s">
        <v>825</v>
      </c>
      <c r="H1071" s="7" t="str">
        <f t="shared" si="131"/>
        <v>CLK_DETM_DETIS_NSDS</v>
      </c>
      <c r="I1071" s="7" t="str">
        <f t="shared" si="132"/>
        <v>NSDS_STS_CODE</v>
      </c>
      <c r="J1071" s="7" t="str">
        <f t="shared" si="133"/>
        <v>VARCHAR</v>
      </c>
      <c r="K1071" s="7" t="str">
        <f>TRIM(ETLMetadata!$G1071)</f>
        <v>CHAR(3)</v>
      </c>
      <c r="L1071" s="7" t="str">
        <f>TRIM(ETLMetadata!$I1071)</f>
        <v/>
      </c>
      <c r="M1071" s="7" t="str">
        <f t="shared" si="134"/>
        <v>NULLIF(TRIM(NSDS_STS_CODE),'')</v>
      </c>
      <c r="N1071" s="7" t="str">
        <f>TRIM(ETLMetadata!$J1071)</f>
        <v/>
      </c>
      <c r="O1071" s="8" t="str">
        <f>IF(TRIM(Classification!$G1071)="","NOT CONFIDENTIAL",TRIM(Classification!$G1071))</f>
        <v>NOT CONFIDENTIAL</v>
      </c>
      <c r="P1071" s="7" t="str">
        <f t="shared" si="135"/>
        <v>Y</v>
      </c>
      <c r="Q1071" s="7" t="s">
        <v>826</v>
      </c>
      <c r="R1071" s="9">
        <v>2958465</v>
      </c>
      <c r="S1071" s="7" t="s">
        <v>827</v>
      </c>
      <c r="T1071" s="7" t="s">
        <v>828</v>
      </c>
      <c r="U1071" s="7" t="str">
        <f t="shared" si="137"/>
        <v>CLK_DETM_DETIS_NSDS_V</v>
      </c>
      <c r="V1071" s="7" t="s">
        <v>829</v>
      </c>
    </row>
    <row r="1072" spans="1:22">
      <c r="A1072" s="7" t="str">
        <f>TRIM(ETLMetadata!$B1072)</f>
        <v>CLK</v>
      </c>
      <c r="B1072" s="7" t="str">
        <f>TRIM(ETLMetadata!$C1072)</f>
        <v>DETM_DETIS_NSDS</v>
      </c>
      <c r="C1072" s="7" t="str">
        <f>TRIM(ETLMetadata!$F1072)</f>
        <v>NSDS_RSN_CODE</v>
      </c>
      <c r="D1072" s="7" t="str">
        <f>TRIM(ETLMetadata!$H1072)</f>
        <v>StringType()</v>
      </c>
      <c r="E1072" s="7" t="str">
        <f t="shared" si="136"/>
        <v>CLK_DETM_DETIS_NSDS</v>
      </c>
      <c r="F1072" s="7" t="str">
        <f t="shared" si="130"/>
        <v>NSDS_RSN_CODE</v>
      </c>
      <c r="G1072" s="7" t="s">
        <v>825</v>
      </c>
      <c r="H1072" s="7" t="str">
        <f t="shared" si="131"/>
        <v>CLK_DETM_DETIS_NSDS</v>
      </c>
      <c r="I1072" s="7" t="str">
        <f t="shared" si="132"/>
        <v>NSDS_RSN_CODE</v>
      </c>
      <c r="J1072" s="7" t="str">
        <f t="shared" si="133"/>
        <v>VARCHAR</v>
      </c>
      <c r="K1072" s="7" t="str">
        <f>TRIM(ETLMetadata!$G1072)</f>
        <v>CHAR(3)</v>
      </c>
      <c r="L1072" s="7" t="str">
        <f>TRIM(ETLMetadata!$I1072)</f>
        <v/>
      </c>
      <c r="M1072" s="7" t="str">
        <f t="shared" si="134"/>
        <v>NULLIF(TRIM(NSDS_RSN_CODE),'')</v>
      </c>
      <c r="N1072" s="7" t="str">
        <f>TRIM(ETLMetadata!$J1072)</f>
        <v/>
      </c>
      <c r="O1072" s="8" t="str">
        <f>IF(TRIM(Classification!$G1072)="","NOT CONFIDENTIAL",TRIM(Classification!$G1072))</f>
        <v>NOT CONFIDENTIAL</v>
      </c>
      <c r="P1072" s="7" t="str">
        <f t="shared" si="135"/>
        <v>Y</v>
      </c>
      <c r="Q1072" s="7" t="s">
        <v>826</v>
      </c>
      <c r="R1072" s="9">
        <v>2958465</v>
      </c>
      <c r="S1072" s="7" t="s">
        <v>827</v>
      </c>
      <c r="T1072" s="7" t="s">
        <v>828</v>
      </c>
      <c r="U1072" s="7" t="str">
        <f t="shared" si="137"/>
        <v>CLK_DETM_DETIS_NSDS_V</v>
      </c>
      <c r="V1072" s="7" t="s">
        <v>829</v>
      </c>
    </row>
    <row r="1073" spans="1:22">
      <c r="A1073" s="7" t="str">
        <f>TRIM(ETLMetadata!$B1073)</f>
        <v>CLK</v>
      </c>
      <c r="B1073" s="7" t="str">
        <f>TRIM(ETLMetadata!$C1073)</f>
        <v>DETM_DETIS_NSDS</v>
      </c>
      <c r="C1073" s="7" t="str">
        <f>TRIM(ETLMetadata!$F1073)</f>
        <v>NSDS_UNIQ_ID</v>
      </c>
      <c r="D1073" s="7" t="str">
        <f>TRIM(ETLMetadata!$H1073)</f>
        <v>StringType()</v>
      </c>
      <c r="E1073" s="7" t="str">
        <f t="shared" si="136"/>
        <v>CLK_DETM_DETIS_NSDS</v>
      </c>
      <c r="F1073" s="7" t="str">
        <f t="shared" si="130"/>
        <v>NSDS_UNIQ_ID</v>
      </c>
      <c r="G1073" s="7" t="s">
        <v>825</v>
      </c>
      <c r="H1073" s="7" t="str">
        <f t="shared" si="131"/>
        <v>CLK_DETM_DETIS_NSDS</v>
      </c>
      <c r="I1073" s="7" t="str">
        <f t="shared" si="132"/>
        <v>NSDS_UNIQ_ID</v>
      </c>
      <c r="J1073" s="7" t="str">
        <f t="shared" si="133"/>
        <v>VARCHAR</v>
      </c>
      <c r="K1073" s="7" t="str">
        <f>TRIM(ETLMetadata!$G1073)</f>
        <v>VARCHAR(8)</v>
      </c>
      <c r="L1073" s="7" t="str">
        <f>TRIM(ETLMetadata!$I1073)</f>
        <v/>
      </c>
      <c r="M1073" s="7" t="str">
        <f t="shared" si="134"/>
        <v>NULLIF(TRIM(NSDS_UNIQ_ID),'')</v>
      </c>
      <c r="N1073" s="7" t="str">
        <f>TRIM(ETLMetadata!$J1073)</f>
        <v/>
      </c>
      <c r="O1073" s="8" t="str">
        <f>IF(TRIM(Classification!$G1073)="","NOT CONFIDENTIAL",TRIM(Classification!$G1073))</f>
        <v>NOT CONFIDENTIAL</v>
      </c>
      <c r="P1073" s="7" t="str">
        <f t="shared" si="135"/>
        <v>Y</v>
      </c>
      <c r="Q1073" s="7" t="s">
        <v>826</v>
      </c>
      <c r="R1073" s="9">
        <v>2958465</v>
      </c>
      <c r="S1073" s="7" t="s">
        <v>827</v>
      </c>
      <c r="T1073" s="7" t="s">
        <v>828</v>
      </c>
      <c r="U1073" s="7" t="str">
        <f t="shared" si="137"/>
        <v>CLK_DETM_DETIS_NSDS_V</v>
      </c>
      <c r="V1073" s="7" t="s">
        <v>829</v>
      </c>
    </row>
    <row r="1074" spans="1:22">
      <c r="A1074" s="7" t="str">
        <f>TRIM(ETLMetadata!$B1074)</f>
        <v>CLK</v>
      </c>
      <c r="B1074" s="7" t="str">
        <f>TRIM(ETLMetadata!$C1074)</f>
        <v>DETM_DETIS_NSDS</v>
      </c>
      <c r="C1074" s="7" t="str">
        <f>TRIM(ETLMetadata!$F1074)</f>
        <v>AMR1_RISL_DTS</v>
      </c>
      <c r="D1074" s="7" t="str">
        <f>TRIM(ETLMetadata!$H1074)</f>
        <v>StringType()</v>
      </c>
      <c r="E1074" s="7" t="str">
        <f t="shared" si="136"/>
        <v>CLK_DETM_DETIS_NSDS</v>
      </c>
      <c r="F1074" s="7" t="str">
        <f t="shared" si="130"/>
        <v>AMR1_RISL_DTS</v>
      </c>
      <c r="G1074" s="7" t="s">
        <v>825</v>
      </c>
      <c r="H1074" s="7" t="str">
        <f t="shared" si="131"/>
        <v>CLK_DETM_DETIS_NSDS</v>
      </c>
      <c r="I1074" s="7" t="str">
        <f t="shared" si="132"/>
        <v>AMR1_RISL_DTS</v>
      </c>
      <c r="J1074" s="7" t="str">
        <f t="shared" si="133"/>
        <v>TIMESTAMP</v>
      </c>
      <c r="K1074" s="7" t="str">
        <f>TRIM(ETLMetadata!$G1074)</f>
        <v>TIMESTAMP(6)</v>
      </c>
      <c r="L1074" s="7" t="str">
        <f>TRIM(ETLMetadata!$I1074)</f>
        <v>YYYY-MM-DDBHH:MI:SS.S(6)</v>
      </c>
      <c r="M1074" s="7" t="str">
        <f t="shared" si="134"/>
        <v>TO_TIMESTAMP_NTZ(NULLIF(TRIM(AMR1_RISL_DTS),''),'YYYY-MM-DD HH24:MI:SS.FF6')</v>
      </c>
      <c r="N1074" s="7" t="str">
        <f>TRIM(ETLMetadata!$J1074)</f>
        <v/>
      </c>
      <c r="O1074" s="8" t="str">
        <f>IF(TRIM(Classification!$G1074)="","NOT CONFIDENTIAL",TRIM(Classification!$G1074))</f>
        <v>NOT CONFIDENTIAL</v>
      </c>
      <c r="P1074" s="7" t="str">
        <f t="shared" si="135"/>
        <v>Y</v>
      </c>
      <c r="Q1074" s="7" t="s">
        <v>826</v>
      </c>
      <c r="R1074" s="9">
        <v>2958465</v>
      </c>
      <c r="S1074" s="7" t="s">
        <v>827</v>
      </c>
      <c r="T1074" s="7" t="s">
        <v>828</v>
      </c>
      <c r="U1074" s="7" t="str">
        <f t="shared" si="137"/>
        <v>CLK_DETM_DETIS_NSDS_V</v>
      </c>
      <c r="V1074" s="7" t="s">
        <v>829</v>
      </c>
    </row>
    <row r="1075" spans="1:22">
      <c r="A1075" s="7" t="str">
        <f>TRIM(ETLMetadata!$B1075)</f>
        <v>CLK</v>
      </c>
      <c r="B1075" s="7" t="str">
        <f>TRIM(ETLMetadata!$C1075)</f>
        <v>DETM_DETIS_NSDS</v>
      </c>
      <c r="C1075" s="7" t="str">
        <f>TRIM(ETLMetadata!$F1075)</f>
        <v>AMR3_RISL_DTS</v>
      </c>
      <c r="D1075" s="7" t="str">
        <f>TRIM(ETLMetadata!$H1075)</f>
        <v>StringType()</v>
      </c>
      <c r="E1075" s="7" t="str">
        <f t="shared" si="136"/>
        <v>CLK_DETM_DETIS_NSDS</v>
      </c>
      <c r="F1075" s="7" t="str">
        <f t="shared" si="130"/>
        <v>AMR3_RISL_DTS</v>
      </c>
      <c r="G1075" s="7" t="s">
        <v>825</v>
      </c>
      <c r="H1075" s="7" t="str">
        <f t="shared" si="131"/>
        <v>CLK_DETM_DETIS_NSDS</v>
      </c>
      <c r="I1075" s="7" t="str">
        <f t="shared" si="132"/>
        <v>AMR3_RISL_DTS</v>
      </c>
      <c r="J1075" s="7" t="str">
        <f t="shared" si="133"/>
        <v>TIMESTAMP</v>
      </c>
      <c r="K1075" s="7" t="str">
        <f>TRIM(ETLMetadata!$G1075)</f>
        <v>TIMESTAMP(6)</v>
      </c>
      <c r="L1075" s="7" t="str">
        <f>TRIM(ETLMetadata!$I1075)</f>
        <v>YYYY-MM-DDBHH:MI:SS.S(6)</v>
      </c>
      <c r="M1075" s="7" t="str">
        <f t="shared" si="134"/>
        <v>TO_TIMESTAMP_NTZ(NULLIF(TRIM(AMR3_RISL_DTS),''),'YYYY-MM-DD HH24:MI:SS.FF6')</v>
      </c>
      <c r="N1075" s="7" t="str">
        <f>TRIM(ETLMetadata!$J1075)</f>
        <v/>
      </c>
      <c r="O1075" s="8" t="str">
        <f>IF(TRIM(Classification!$G1075)="","NOT CONFIDENTIAL",TRIM(Classification!$G1075))</f>
        <v>NOT CONFIDENTIAL</v>
      </c>
      <c r="P1075" s="7" t="str">
        <f t="shared" si="135"/>
        <v>Y</v>
      </c>
      <c r="Q1075" s="7" t="s">
        <v>826</v>
      </c>
      <c r="R1075" s="9">
        <v>2958465</v>
      </c>
      <c r="S1075" s="7" t="s">
        <v>827</v>
      </c>
      <c r="T1075" s="7" t="s">
        <v>828</v>
      </c>
      <c r="U1075" s="7" t="str">
        <f t="shared" si="137"/>
        <v>CLK_DETM_DETIS_NSDS_V</v>
      </c>
      <c r="V1075" s="7" t="s">
        <v>829</v>
      </c>
    </row>
    <row r="1076" spans="1:22">
      <c r="A1076" s="7" t="str">
        <f>TRIM(ETLMetadata!$B1076)</f>
        <v>CLK</v>
      </c>
      <c r="B1076" s="7" t="str">
        <f>TRIM(ETLMetadata!$C1076)</f>
        <v>DETM_DETIS_NSDS</v>
      </c>
      <c r="C1076" s="7" t="str">
        <f>TRIM(ETLMetadata!$F1076)</f>
        <v>EPISODE_ID</v>
      </c>
      <c r="D1076" s="7" t="str">
        <f>TRIM(ETLMetadata!$H1076)</f>
        <v>StringType()</v>
      </c>
      <c r="E1076" s="7" t="str">
        <f t="shared" si="136"/>
        <v>CLK_DETM_DETIS_NSDS</v>
      </c>
      <c r="F1076" s="7" t="str">
        <f t="shared" si="130"/>
        <v>EPISODE_ID</v>
      </c>
      <c r="G1076" s="7" t="s">
        <v>825</v>
      </c>
      <c r="H1076" s="7" t="str">
        <f t="shared" si="131"/>
        <v>CLK_DETM_DETIS_NSDS</v>
      </c>
      <c r="I1076" s="7" t="str">
        <f t="shared" si="132"/>
        <v>EPISODE_ID</v>
      </c>
      <c r="J1076" s="7" t="str">
        <f t="shared" si="133"/>
        <v>INTEGER</v>
      </c>
      <c r="K1076" s="7" t="str">
        <f>TRIM(ETLMetadata!$G1076)</f>
        <v>INTEGER</v>
      </c>
      <c r="L1076" s="7" t="str">
        <f>TRIM(ETLMetadata!$I1076)</f>
        <v/>
      </c>
      <c r="M1076" s="7" t="str">
        <f t="shared" si="134"/>
        <v>CAST(NULLIF(TRIM(EPISODE_ID),'') AS INTEGER)</v>
      </c>
      <c r="N1076" s="7" t="str">
        <f>TRIM(ETLMetadata!$J1076)</f>
        <v/>
      </c>
      <c r="O1076" s="8" t="str">
        <f>IF(TRIM(Classification!$G1076)="","NOT CONFIDENTIAL",TRIM(Classification!$G1076))</f>
        <v>NOT CONFIDENTIAL</v>
      </c>
      <c r="P1076" s="7" t="str">
        <f t="shared" si="135"/>
        <v>Y</v>
      </c>
      <c r="Q1076" s="7" t="s">
        <v>826</v>
      </c>
      <c r="R1076" s="9">
        <v>2958465</v>
      </c>
      <c r="S1076" s="7" t="s">
        <v>827</v>
      </c>
      <c r="T1076" s="7" t="s">
        <v>828</v>
      </c>
      <c r="U1076" s="7" t="str">
        <f t="shared" si="137"/>
        <v>CLK_DETM_DETIS_NSDS_V</v>
      </c>
      <c r="V1076" s="7" t="s">
        <v>829</v>
      </c>
    </row>
    <row r="1077" spans="1:22">
      <c r="A1077" s="7" t="str">
        <f>TRIM(ETLMetadata!$B1077)</f>
        <v>CLK</v>
      </c>
      <c r="B1077" s="7" t="str">
        <f>TRIM(ETLMetadata!$C1077)</f>
        <v>DETM_DETIS_NSDS</v>
      </c>
      <c r="C1077" s="7" t="str">
        <f>TRIM(ETLMetadata!$F1077)</f>
        <v>PARTY_ROLE_ID</v>
      </c>
      <c r="D1077" s="7" t="str">
        <f>TRIM(ETLMetadata!$H1077)</f>
        <v>StringType()</v>
      </c>
      <c r="E1077" s="7" t="str">
        <f t="shared" si="136"/>
        <v>CLK_DETM_DETIS_NSDS</v>
      </c>
      <c r="F1077" s="7" t="str">
        <f t="shared" si="130"/>
        <v>PARTY_ROLE_ID</v>
      </c>
      <c r="G1077" s="7" t="s">
        <v>825</v>
      </c>
      <c r="H1077" s="7" t="str">
        <f t="shared" si="131"/>
        <v>CLK_DETM_DETIS_NSDS</v>
      </c>
      <c r="I1077" s="7" t="str">
        <f t="shared" si="132"/>
        <v>PARTY_ROLE_ID</v>
      </c>
      <c r="J1077" s="7" t="str">
        <f t="shared" si="133"/>
        <v>INTEGER</v>
      </c>
      <c r="K1077" s="7" t="str">
        <f>TRIM(ETLMetadata!$G1077)</f>
        <v>INTEGER</v>
      </c>
      <c r="L1077" s="7" t="str">
        <f>TRIM(ETLMetadata!$I1077)</f>
        <v/>
      </c>
      <c r="M1077" s="7" t="str">
        <f t="shared" si="134"/>
        <v>CAST(NULLIF(TRIM(PARTY_ROLE_ID),'') AS INTEGER)</v>
      </c>
      <c r="N1077" s="7" t="str">
        <f>TRIM(ETLMetadata!$J1077)</f>
        <v/>
      </c>
      <c r="O1077" s="8" t="str">
        <f>IF(TRIM(Classification!$G1077)="","NOT CONFIDENTIAL",TRIM(Classification!$G1077))</f>
        <v>NOT CONFIDENTIAL</v>
      </c>
      <c r="P1077" s="7" t="str">
        <f t="shared" si="135"/>
        <v>Y</v>
      </c>
      <c r="Q1077" s="7" t="s">
        <v>826</v>
      </c>
      <c r="R1077" s="9">
        <v>2958465</v>
      </c>
      <c r="S1077" s="7" t="s">
        <v>827</v>
      </c>
      <c r="T1077" s="7" t="s">
        <v>828</v>
      </c>
      <c r="U1077" s="7" t="str">
        <f t="shared" si="137"/>
        <v>CLK_DETM_DETIS_NSDS_V</v>
      </c>
      <c r="V1077" s="7" t="s">
        <v>829</v>
      </c>
    </row>
    <row r="1078" spans="1:22">
      <c r="A1078" s="7" t="str">
        <f>TRIM(ETLMetadata!$B1078)</f>
        <v>CLK</v>
      </c>
      <c r="B1078" s="7" t="str">
        <f>TRIM(ETLMetadata!$C1078)</f>
        <v>DETM_DETIS_NSDS</v>
      </c>
      <c r="C1078" s="7" t="str">
        <f>TRIM(ETLMetadata!$F1078)</f>
        <v>PAYMENT_TYPE_ID</v>
      </c>
      <c r="D1078" s="7" t="str">
        <f>TRIM(ETLMetadata!$H1078)</f>
        <v>StringType()</v>
      </c>
      <c r="E1078" s="7" t="str">
        <f t="shared" si="136"/>
        <v>CLK_DETM_DETIS_NSDS</v>
      </c>
      <c r="F1078" s="7" t="str">
        <f t="shared" si="130"/>
        <v>PAYMENT_TYPE_ID</v>
      </c>
      <c r="G1078" s="7" t="s">
        <v>825</v>
      </c>
      <c r="H1078" s="7" t="str">
        <f t="shared" si="131"/>
        <v>CLK_DETM_DETIS_NSDS</v>
      </c>
      <c r="I1078" s="7" t="str">
        <f t="shared" si="132"/>
        <v>PAYMENT_TYPE_ID</v>
      </c>
      <c r="J1078" s="7" t="str">
        <f t="shared" si="133"/>
        <v>INTEGER</v>
      </c>
      <c r="K1078" s="7" t="str">
        <f>TRIM(ETLMetadata!$G1078)</f>
        <v>INTEGER</v>
      </c>
      <c r="L1078" s="7" t="str">
        <f>TRIM(ETLMetadata!$I1078)</f>
        <v/>
      </c>
      <c r="M1078" s="7" t="str">
        <f t="shared" si="134"/>
        <v>CAST(NULLIF(TRIM(PAYMENT_TYPE_ID),'') AS INTEGER)</v>
      </c>
      <c r="N1078" s="7" t="str">
        <f>TRIM(ETLMetadata!$J1078)</f>
        <v/>
      </c>
      <c r="O1078" s="8" t="str">
        <f>IF(TRIM(Classification!$G1078)="","NOT CONFIDENTIAL",TRIM(Classification!$G1078))</f>
        <v>NOT CONFIDENTIAL</v>
      </c>
      <c r="P1078" s="7" t="str">
        <f t="shared" si="135"/>
        <v>Y</v>
      </c>
      <c r="Q1078" s="7" t="s">
        <v>826</v>
      </c>
      <c r="R1078" s="9">
        <v>2958465</v>
      </c>
      <c r="S1078" s="7" t="s">
        <v>827</v>
      </c>
      <c r="T1078" s="7" t="s">
        <v>828</v>
      </c>
      <c r="U1078" s="7" t="str">
        <f t="shared" si="137"/>
        <v>CLK_DETM_DETIS_NSDS_V</v>
      </c>
      <c r="V1078" s="7" t="s">
        <v>829</v>
      </c>
    </row>
    <row r="1079" spans="1:22">
      <c r="A1079" s="7" t="str">
        <f>TRIM(ETLMetadata!$B1079)</f>
        <v>CLK</v>
      </c>
      <c r="B1079" s="7" t="str">
        <f>TRIM(ETLMetadata!$C1079)</f>
        <v>DETM_DETIS_NSDS</v>
      </c>
      <c r="C1079" s="7" t="str">
        <f>TRIM(ETLMetadata!$F1079)</f>
        <v>ERROR_COUNT</v>
      </c>
      <c r="D1079" s="7" t="str">
        <f>TRIM(ETLMetadata!$H1079)</f>
        <v>StringType()</v>
      </c>
      <c r="E1079" s="7" t="str">
        <f t="shared" si="136"/>
        <v>CLK_DETM_DETIS_NSDS</v>
      </c>
      <c r="F1079" s="7" t="str">
        <f t="shared" si="130"/>
        <v>ERROR_COUNT</v>
      </c>
      <c r="G1079" s="7" t="s">
        <v>825</v>
      </c>
      <c r="H1079" s="7" t="str">
        <f t="shared" si="131"/>
        <v>CLK_DETM_DETIS_NSDS</v>
      </c>
      <c r="I1079" s="7" t="str">
        <f t="shared" si="132"/>
        <v>ERROR_COUNT</v>
      </c>
      <c r="J1079" s="7" t="str">
        <f t="shared" si="133"/>
        <v>SMALLINT</v>
      </c>
      <c r="K1079" s="7" t="str">
        <f>TRIM(ETLMetadata!$G1079)</f>
        <v>SMALLINT</v>
      </c>
      <c r="L1079" s="7" t="str">
        <f>TRIM(ETLMetadata!$I1079)</f>
        <v/>
      </c>
      <c r="M1079" s="7" t="str">
        <f t="shared" si="134"/>
        <v>CAST(NULLIF(TRIM(ERROR_COUNT),'') AS SMALLINT)</v>
      </c>
      <c r="N1079" s="7" t="str">
        <f>TRIM(ETLMetadata!$J1079)</f>
        <v/>
      </c>
      <c r="O1079" s="8" t="str">
        <f>IF(TRIM(Classification!$G1079)="","NOT CONFIDENTIAL",TRIM(Classification!$G1079))</f>
        <v>NOT CONFIDENTIAL</v>
      </c>
      <c r="P1079" s="7" t="str">
        <f t="shared" si="135"/>
        <v>Y</v>
      </c>
      <c r="Q1079" s="7" t="s">
        <v>826</v>
      </c>
      <c r="R1079" s="9">
        <v>2958465</v>
      </c>
      <c r="S1079" s="7" t="s">
        <v>827</v>
      </c>
      <c r="T1079" s="7" t="s">
        <v>828</v>
      </c>
      <c r="U1079" s="7" t="str">
        <f t="shared" si="137"/>
        <v>CLK_DETM_DETIS_NSDS_V</v>
      </c>
      <c r="V1079" s="7" t="s">
        <v>829</v>
      </c>
    </row>
    <row r="1080" spans="1:22">
      <c r="A1080" s="7" t="str">
        <f>TRIM(ETLMetadata!$B1080)</f>
        <v>CLK</v>
      </c>
      <c r="B1080" s="7" t="str">
        <f>TRIM(ETLMetadata!$C1080)</f>
        <v>DETM_DETIS_NSDS</v>
      </c>
      <c r="C1080" s="7" t="str">
        <f>TRIM(ETLMetadata!$F1080)</f>
        <v>Start_Date</v>
      </c>
      <c r="D1080" s="7" t="str">
        <f>TRIM(ETLMetadata!$H1080)</f>
        <v>StringType()</v>
      </c>
      <c r="E1080" s="7" t="str">
        <f t="shared" si="136"/>
        <v>CLK_DETM_DETIS_NSDS</v>
      </c>
      <c r="F1080" s="7" t="str">
        <f t="shared" si="130"/>
        <v>STRT_DT</v>
      </c>
      <c r="G1080" s="7" t="s">
        <v>825</v>
      </c>
      <c r="H1080" s="7" t="str">
        <f t="shared" si="131"/>
        <v>CLK_DETM_DETIS_NSDS</v>
      </c>
      <c r="I1080" s="7" t="str">
        <f t="shared" si="132"/>
        <v>STRT_DT</v>
      </c>
      <c r="J1080" s="7" t="str">
        <f t="shared" si="133"/>
        <v>DATE</v>
      </c>
      <c r="K1080" s="7" t="str">
        <f>TRIM(ETLMetadata!$G1080)</f>
        <v>DATE</v>
      </c>
      <c r="L1080" s="7" t="str">
        <f>TRIM(ETLMetadata!$I1080)</f>
        <v>YYYY-MM-DD</v>
      </c>
      <c r="M1080" s="7" t="str">
        <f t="shared" si="134"/>
        <v>TO_DATE(NULLIF(TRIM(STRT_DT),'') , 'YYYY-MM-DD')</v>
      </c>
      <c r="N1080" s="7" t="str">
        <f>TRIM(ETLMetadata!$J1080)</f>
        <v/>
      </c>
      <c r="O1080" s="8" t="str">
        <f>IF(TRIM(Classification!$G1080)="","NOT CONFIDENTIAL",TRIM(Classification!$G1080))</f>
        <v>NOT CONFIDENTIAL</v>
      </c>
      <c r="P1080" s="7" t="str">
        <f t="shared" si="135"/>
        <v>N</v>
      </c>
      <c r="Q1080" s="7" t="s">
        <v>826</v>
      </c>
      <c r="R1080" s="9">
        <v>2958465</v>
      </c>
      <c r="S1080" s="7" t="s">
        <v>827</v>
      </c>
      <c r="T1080" s="7" t="s">
        <v>828</v>
      </c>
      <c r="U1080" s="7" t="str">
        <f t="shared" si="137"/>
        <v>CLK_DETM_DETIS_NSDS_V</v>
      </c>
      <c r="V1080" s="7" t="s">
        <v>829</v>
      </c>
    </row>
    <row r="1081" spans="1:22">
      <c r="A1081" s="7" t="str">
        <f>TRIM(ETLMetadata!$B1081)</f>
        <v>CLK</v>
      </c>
      <c r="B1081" s="7" t="str">
        <f>TRIM(ETLMetadata!$C1081)</f>
        <v>DETM_DETIS_NSDS</v>
      </c>
      <c r="C1081" s="7" t="str">
        <f>TRIM(ETLMetadata!$F1081)</f>
        <v>End_Date</v>
      </c>
      <c r="D1081" s="7" t="str">
        <f>TRIM(ETLMetadata!$H1081)</f>
        <v>StringType()</v>
      </c>
      <c r="E1081" s="7" t="str">
        <f t="shared" si="136"/>
        <v>CLK_DETM_DETIS_NSDS</v>
      </c>
      <c r="F1081" s="7" t="str">
        <f t="shared" si="130"/>
        <v>END_DT</v>
      </c>
      <c r="G1081" s="7" t="s">
        <v>825</v>
      </c>
      <c r="H1081" s="7" t="str">
        <f t="shared" si="131"/>
        <v>CLK_DETM_DETIS_NSDS</v>
      </c>
      <c r="I1081" s="7" t="str">
        <f t="shared" si="132"/>
        <v>END_DT</v>
      </c>
      <c r="J1081" s="7" t="str">
        <f t="shared" si="133"/>
        <v>DATE</v>
      </c>
      <c r="K1081" s="7" t="str">
        <f>TRIM(ETLMetadata!$G1081)</f>
        <v>DATE</v>
      </c>
      <c r="L1081" s="7" t="str">
        <f>TRIM(ETLMetadata!$I1081)</f>
        <v>YYYY-MM-DD</v>
      </c>
      <c r="M1081" s="7" t="str">
        <f t="shared" si="134"/>
        <v>TO_DATE(NULLIF(TRIM(END_DT),'') , 'YYYY-MM-DD')</v>
      </c>
      <c r="N1081" s="7" t="str">
        <f>TRIM(ETLMetadata!$J1081)</f>
        <v/>
      </c>
      <c r="O1081" s="8" t="str">
        <f>IF(TRIM(Classification!$G1081)="","NOT CONFIDENTIAL",TRIM(Classification!$G1081))</f>
        <v>NOT CONFIDENTIAL</v>
      </c>
      <c r="P1081" s="7" t="str">
        <f t="shared" si="135"/>
        <v>N</v>
      </c>
      <c r="Q1081" s="7" t="s">
        <v>826</v>
      </c>
      <c r="R1081" s="9">
        <v>2958465</v>
      </c>
      <c r="S1081" s="7" t="s">
        <v>827</v>
      </c>
      <c r="T1081" s="7" t="s">
        <v>828</v>
      </c>
      <c r="U1081" s="7" t="str">
        <f t="shared" si="137"/>
        <v>CLK_DETM_DETIS_NSDS_V</v>
      </c>
      <c r="V1081" s="7" t="s">
        <v>829</v>
      </c>
    </row>
    <row r="1082" spans="1:22">
      <c r="A1082" s="7" t="str">
        <f>TRIM(ETLMetadata!$B1082)</f>
        <v>CLK</v>
      </c>
      <c r="B1082" s="7" t="str">
        <f>TRIM(ETLMetadata!$C1082)</f>
        <v>DETM_DETIS_NSDS</v>
      </c>
      <c r="C1082" s="7" t="str">
        <f>TRIM(ETLMetadata!$F1082)</f>
        <v>Record_Deleted_Flag</v>
      </c>
      <c r="D1082" s="7" t="str">
        <f>TRIM(ETLMetadata!$H1082)</f>
        <v>StringType()</v>
      </c>
      <c r="E1082" s="7" t="str">
        <f t="shared" si="136"/>
        <v>CLK_DETM_DETIS_NSDS</v>
      </c>
      <c r="F1082" s="7" t="str">
        <f t="shared" si="130"/>
        <v>RCRD_DEL_IND</v>
      </c>
      <c r="G1082" s="7" t="s">
        <v>825</v>
      </c>
      <c r="H1082" s="7" t="str">
        <f t="shared" si="131"/>
        <v>CLK_DETM_DETIS_NSDS</v>
      </c>
      <c r="I1082" s="7" t="str">
        <f t="shared" si="132"/>
        <v>RCRD_DEL_IND</v>
      </c>
      <c r="J1082" s="7" t="str">
        <f t="shared" si="133"/>
        <v>SMALLINT</v>
      </c>
      <c r="K1082" s="7" t="str">
        <f>TRIM(ETLMetadata!$G1082)</f>
        <v>BYTEINT</v>
      </c>
      <c r="L1082" s="7" t="str">
        <f>TRIM(ETLMetadata!$I1082)</f>
        <v/>
      </c>
      <c r="M1082" s="7" t="str">
        <f t="shared" si="134"/>
        <v>CAST(NULLIF(TRIM(RCRD_DEL_IND),'') AS SMALLINT)</v>
      </c>
      <c r="N1082" s="7" t="str">
        <f>TRIM(ETLMetadata!$J1082)</f>
        <v/>
      </c>
      <c r="O1082" s="8" t="str">
        <f>IF(TRIM(Classification!$G1082)="","NOT CONFIDENTIAL",TRIM(Classification!$G1082))</f>
        <v>NOT CONFIDENTIAL</v>
      </c>
      <c r="P1082" s="7" t="str">
        <f t="shared" si="135"/>
        <v>N</v>
      </c>
      <c r="Q1082" s="7" t="s">
        <v>826</v>
      </c>
      <c r="R1082" s="9">
        <v>2958465</v>
      </c>
      <c r="S1082" s="7" t="s">
        <v>827</v>
      </c>
      <c r="T1082" s="7" t="s">
        <v>828</v>
      </c>
      <c r="U1082" s="7" t="str">
        <f t="shared" si="137"/>
        <v>CLK_DETM_DETIS_NSDS_V</v>
      </c>
      <c r="V1082" s="7" t="s">
        <v>829</v>
      </c>
    </row>
    <row r="1083" spans="1:22">
      <c r="A1083" s="7" t="str">
        <f>TRIM(ETLMetadata!$B1083)</f>
        <v>CLK</v>
      </c>
      <c r="B1083" s="7" t="str">
        <f>TRIM(ETLMetadata!$C1083)</f>
        <v>DETM_DETIS_P1DS</v>
      </c>
      <c r="C1083" s="7" t="str">
        <f>TRIM(ETLMetadata!$F1083)</f>
        <v>EXTRACT_DATE</v>
      </c>
      <c r="D1083" s="7" t="str">
        <f>TRIM(ETLMetadata!$H1083)</f>
        <v>StringType()</v>
      </c>
      <c r="E1083" s="7" t="str">
        <f t="shared" si="136"/>
        <v>CLK_DETM_DETIS_P1DS</v>
      </c>
      <c r="F1083" s="7" t="str">
        <f t="shared" si="130"/>
        <v>EXTRACT_DATE</v>
      </c>
      <c r="G1083" s="7" t="s">
        <v>825</v>
      </c>
      <c r="H1083" s="7" t="str">
        <f t="shared" si="131"/>
        <v>CLK_DETM_DETIS_P1DS</v>
      </c>
      <c r="I1083" s="7" t="str">
        <f t="shared" si="132"/>
        <v>EXTRACT_DATE</v>
      </c>
      <c r="J1083" s="7" t="str">
        <f t="shared" si="133"/>
        <v>DATE</v>
      </c>
      <c r="K1083" s="7" t="str">
        <f>TRIM(ETLMetadata!$G1083)</f>
        <v>DATE</v>
      </c>
      <c r="L1083" s="7" t="str">
        <f>TRIM(ETLMetadata!$I1083)</f>
        <v>YYYY-MM-DD</v>
      </c>
      <c r="M1083" s="7" t="str">
        <f t="shared" si="134"/>
        <v>TO_DATE(NULLIF(TRIM(EXTRACT_DATE),'') , 'YYYY-MM-DD')</v>
      </c>
      <c r="N1083" s="7" t="str">
        <f>TRIM(ETLMetadata!$J1083)</f>
        <v/>
      </c>
      <c r="O1083" s="8" t="str">
        <f>IF(TRIM(Classification!$G1083)="","NOT CONFIDENTIAL",TRIM(Classification!$G1083))</f>
        <v>NOT CONFIDENTIAL</v>
      </c>
      <c r="P1083" s="7" t="str">
        <f t="shared" si="135"/>
        <v>Y</v>
      </c>
      <c r="Q1083" s="7" t="s">
        <v>826</v>
      </c>
      <c r="R1083" s="9">
        <v>2958465</v>
      </c>
      <c r="S1083" s="7" t="s">
        <v>827</v>
      </c>
      <c r="T1083" s="7" t="s">
        <v>828</v>
      </c>
      <c r="U1083" s="7" t="str">
        <f t="shared" si="137"/>
        <v>CLK_DETM_DETIS_P1DS_V</v>
      </c>
      <c r="V1083" s="7" t="s">
        <v>829</v>
      </c>
    </row>
    <row r="1084" spans="1:22">
      <c r="A1084" s="7" t="str">
        <f>TRIM(ETLMetadata!$B1084)</f>
        <v>CLK</v>
      </c>
      <c r="B1084" s="7" t="str">
        <f>TRIM(ETLMetadata!$C1084)</f>
        <v>DETM_DETIS_P1DS</v>
      </c>
      <c r="C1084" s="7" t="str">
        <f>TRIM(ETLMetadata!$F1084)</f>
        <v>LOGICAL_DELETE_DATE</v>
      </c>
      <c r="D1084" s="7" t="str">
        <f>TRIM(ETLMetadata!$H1084)</f>
        <v>StringType()</v>
      </c>
      <c r="E1084" s="7" t="str">
        <f t="shared" si="136"/>
        <v>CLK_DETM_DETIS_P1DS</v>
      </c>
      <c r="F1084" s="7" t="str">
        <f t="shared" si="130"/>
        <v>LOGICAL_DELETE_DATE</v>
      </c>
      <c r="G1084" s="7" t="s">
        <v>825</v>
      </c>
      <c r="H1084" s="7" t="str">
        <f t="shared" si="131"/>
        <v>CLK_DETM_DETIS_P1DS</v>
      </c>
      <c r="I1084" s="7" t="str">
        <f t="shared" si="132"/>
        <v>LOGICAL_DELETE_DATE</v>
      </c>
      <c r="J1084" s="7" t="str">
        <f t="shared" si="133"/>
        <v>DATE</v>
      </c>
      <c r="K1084" s="7" t="str">
        <f>TRIM(ETLMetadata!$G1084)</f>
        <v>DATE</v>
      </c>
      <c r="L1084" s="7" t="str">
        <f>TRIM(ETLMetadata!$I1084)</f>
        <v>YYYY-MM-DD</v>
      </c>
      <c r="M1084" s="7" t="str">
        <f t="shared" si="134"/>
        <v>TO_DATE(NULLIF(TRIM(LOGICAL_DELETE_DATE),'') , 'YYYY-MM-DD')</v>
      </c>
      <c r="N1084" s="7" t="str">
        <f>TRIM(ETLMetadata!$J1084)</f>
        <v/>
      </c>
      <c r="O1084" s="8" t="str">
        <f>IF(TRIM(Classification!$G1084)="","NOT CONFIDENTIAL",TRIM(Classification!$G1084))</f>
        <v>NOT CONFIDENTIAL</v>
      </c>
      <c r="P1084" s="7" t="str">
        <f t="shared" si="135"/>
        <v>Y</v>
      </c>
      <c r="Q1084" s="7" t="s">
        <v>826</v>
      </c>
      <c r="R1084" s="9">
        <v>2958465</v>
      </c>
      <c r="S1084" s="7" t="s">
        <v>827</v>
      </c>
      <c r="T1084" s="7" t="s">
        <v>828</v>
      </c>
      <c r="U1084" s="7" t="str">
        <f t="shared" si="137"/>
        <v>CLK_DETM_DETIS_P1DS_V</v>
      </c>
      <c r="V1084" s="7" t="s">
        <v>829</v>
      </c>
    </row>
    <row r="1085" spans="1:22">
      <c r="A1085" s="7" t="str">
        <f>TRIM(ETLMetadata!$B1085)</f>
        <v>CLK</v>
      </c>
      <c r="B1085" s="7" t="str">
        <f>TRIM(ETLMetadata!$C1085)</f>
        <v>DETM_DETIS_P1DS</v>
      </c>
      <c r="C1085" s="7" t="str">
        <f>TRIM(ETLMetadata!$F1085)</f>
        <v>ENVIRONMENT_ID</v>
      </c>
      <c r="D1085" s="7" t="str">
        <f>TRIM(ETLMetadata!$H1085)</f>
        <v>StringType()</v>
      </c>
      <c r="E1085" s="7" t="str">
        <f t="shared" si="136"/>
        <v>CLK_DETM_DETIS_P1DS</v>
      </c>
      <c r="F1085" s="7" t="str">
        <f t="shared" si="130"/>
        <v>ENVIRONMENT_ID</v>
      </c>
      <c r="G1085" s="7" t="s">
        <v>825</v>
      </c>
      <c r="H1085" s="7" t="str">
        <f t="shared" si="131"/>
        <v>CLK_DETM_DETIS_P1DS</v>
      </c>
      <c r="I1085" s="7" t="str">
        <f t="shared" si="132"/>
        <v>ENVIRONMENT_ID</v>
      </c>
      <c r="J1085" s="7" t="str">
        <f t="shared" si="133"/>
        <v>VARCHAR</v>
      </c>
      <c r="K1085" s="7" t="str">
        <f>TRIM(ETLMetadata!$G1085)</f>
        <v>CHAR(1)</v>
      </c>
      <c r="L1085" s="7" t="str">
        <f>TRIM(ETLMetadata!$I1085)</f>
        <v/>
      </c>
      <c r="M1085" s="7" t="str">
        <f t="shared" si="134"/>
        <v>NULLIF(TRIM(ENVIRONMENT_ID),'')</v>
      </c>
      <c r="N1085" s="7" t="str">
        <f>TRIM(ETLMetadata!$J1085)</f>
        <v>Y</v>
      </c>
      <c r="O1085" s="8" t="str">
        <f>IF(TRIM(Classification!$G1085)="","NOT CONFIDENTIAL",TRIM(Classification!$G1085))</f>
        <v>NOT CONFIDENTIAL</v>
      </c>
      <c r="P1085" s="7" t="str">
        <f t="shared" si="135"/>
        <v>Y</v>
      </c>
      <c r="Q1085" s="7" t="s">
        <v>826</v>
      </c>
      <c r="R1085" s="9">
        <v>2958465</v>
      </c>
      <c r="S1085" s="7" t="s">
        <v>827</v>
      </c>
      <c r="T1085" s="7" t="s">
        <v>828</v>
      </c>
      <c r="U1085" s="7" t="str">
        <f t="shared" si="137"/>
        <v>CLK_DETM_DETIS_P1DS_V</v>
      </c>
      <c r="V1085" s="7" t="s">
        <v>829</v>
      </c>
    </row>
    <row r="1086" spans="1:22">
      <c r="A1086" s="7" t="str">
        <f>TRIM(ETLMetadata!$B1086)</f>
        <v>CLK</v>
      </c>
      <c r="B1086" s="7" t="str">
        <f>TRIM(ETLMetadata!$C1086)</f>
        <v>DETM_DETIS_P1DS</v>
      </c>
      <c r="C1086" s="7" t="str">
        <f>TRIM(ETLMetadata!$F1086)</f>
        <v>PERSON_ID</v>
      </c>
      <c r="D1086" s="7" t="str">
        <f>TRIM(ETLMetadata!$H1086)</f>
        <v>StringType()</v>
      </c>
      <c r="E1086" s="7" t="str">
        <f t="shared" si="136"/>
        <v>CLK_DETM_DETIS_P1DS</v>
      </c>
      <c r="F1086" s="7" t="str">
        <f t="shared" si="130"/>
        <v>PERSON_ID</v>
      </c>
      <c r="G1086" s="7" t="s">
        <v>825</v>
      </c>
      <c r="H1086" s="7" t="str">
        <f t="shared" si="131"/>
        <v>CLK_DETM_DETIS_P1DS</v>
      </c>
      <c r="I1086" s="7" t="str">
        <f t="shared" si="132"/>
        <v>PERSON_ID</v>
      </c>
      <c r="J1086" s="7" t="str">
        <f t="shared" si="133"/>
        <v>INTEGER</v>
      </c>
      <c r="K1086" s="7" t="str">
        <f>TRIM(ETLMetadata!$G1086)</f>
        <v>INTEGER</v>
      </c>
      <c r="L1086" s="7" t="str">
        <f>TRIM(ETLMetadata!$I1086)</f>
        <v/>
      </c>
      <c r="M1086" s="7" t="str">
        <f t="shared" si="134"/>
        <v>CAST(NULLIF(TRIM(PERSON_ID),'') AS INTEGER)</v>
      </c>
      <c r="N1086" s="7" t="str">
        <f>TRIM(ETLMetadata!$J1086)</f>
        <v>Y</v>
      </c>
      <c r="O1086" s="8" t="str">
        <f>IF(TRIM(Classification!$G1086)="","NOT CONFIDENTIAL",TRIM(Classification!$G1086))</f>
        <v>PERSONAL_IDENTITYINFOINDIRECT</v>
      </c>
      <c r="P1086" s="7" t="str">
        <f t="shared" si="135"/>
        <v>Y</v>
      </c>
      <c r="Q1086" s="7" t="s">
        <v>826</v>
      </c>
      <c r="R1086" s="9">
        <v>2958465</v>
      </c>
      <c r="S1086" s="7" t="s">
        <v>827</v>
      </c>
      <c r="T1086" s="7" t="s">
        <v>828</v>
      </c>
      <c r="U1086" s="7" t="str">
        <f t="shared" si="137"/>
        <v>CLK_DETM_DETIS_P1DS_V</v>
      </c>
      <c r="V1086" s="7" t="s">
        <v>829</v>
      </c>
    </row>
    <row r="1087" spans="1:22">
      <c r="A1087" s="7" t="str">
        <f>TRIM(ETLMetadata!$B1087)</f>
        <v>CLK</v>
      </c>
      <c r="B1087" s="7" t="str">
        <f>TRIM(ETLMetadata!$C1087)</f>
        <v>DETM_DETIS_P1DS</v>
      </c>
      <c r="C1087" s="7" t="str">
        <f>TRIM(ETLMetadata!$F1087)</f>
        <v>P1DS_DOE</v>
      </c>
      <c r="D1087" s="7" t="str">
        <f>TRIM(ETLMetadata!$H1087)</f>
        <v>StringType()</v>
      </c>
      <c r="E1087" s="7" t="str">
        <f t="shared" si="136"/>
        <v>CLK_DETM_DETIS_P1DS</v>
      </c>
      <c r="F1087" s="7" t="str">
        <f t="shared" si="130"/>
        <v>P1DS_DOE</v>
      </c>
      <c r="G1087" s="7" t="s">
        <v>825</v>
      </c>
      <c r="H1087" s="7" t="str">
        <f t="shared" si="131"/>
        <v>CLK_DETM_DETIS_P1DS</v>
      </c>
      <c r="I1087" s="7" t="str">
        <f t="shared" si="132"/>
        <v>P1DS_DOE</v>
      </c>
      <c r="J1087" s="7" t="str">
        <f t="shared" si="133"/>
        <v>DATE</v>
      </c>
      <c r="K1087" s="17" t="s">
        <v>80</v>
      </c>
      <c r="L1087" s="7" t="str">
        <f>TRIM(ETLMetadata!$I1087)</f>
        <v>YYYY-MM-DD</v>
      </c>
      <c r="M1087" s="7" t="str">
        <f t="shared" si="134"/>
        <v>TO_DATE(NULLIF(TRIM(P1DS_DOE),'') , 'YYYY-MM-DD')</v>
      </c>
      <c r="N1087" s="7" t="str">
        <f>TRIM(ETLMetadata!$J1087)</f>
        <v/>
      </c>
      <c r="O1087" s="8" t="str">
        <f>IF(TRIM(Classification!$G1087)="","NOT CONFIDENTIAL",TRIM(Classification!$G1087))</f>
        <v>NOT CONFIDENTIAL</v>
      </c>
      <c r="P1087" s="7" t="str">
        <f t="shared" si="135"/>
        <v>Y</v>
      </c>
      <c r="Q1087" s="7" t="s">
        <v>826</v>
      </c>
      <c r="R1087" s="9">
        <v>2958465</v>
      </c>
      <c r="S1087" s="7" t="s">
        <v>827</v>
      </c>
      <c r="T1087" s="7" t="s">
        <v>828</v>
      </c>
      <c r="U1087" s="7" t="str">
        <f t="shared" si="137"/>
        <v>CLK_DETM_DETIS_P1DS_V</v>
      </c>
      <c r="V1087" s="7" t="s">
        <v>829</v>
      </c>
    </row>
    <row r="1088" spans="1:22">
      <c r="A1088" s="7" t="str">
        <f>TRIM(ETLMetadata!$B1088)</f>
        <v>CLK</v>
      </c>
      <c r="B1088" s="7" t="str">
        <f>TRIM(ETLMetadata!$C1088)</f>
        <v>DETM_DETIS_P1DS</v>
      </c>
      <c r="C1088" s="7" t="str">
        <f>TRIM(ETLMetadata!$F1088)</f>
        <v>P1DS_DOE_ORIG</v>
      </c>
      <c r="D1088" s="7" t="str">
        <f>TRIM(ETLMetadata!$H1088)</f>
        <v>StringType()</v>
      </c>
      <c r="E1088" s="7" t="str">
        <f t="shared" si="136"/>
        <v>CLK_DETM_DETIS_P1DS</v>
      </c>
      <c r="F1088" s="7" t="str">
        <f t="shared" si="130"/>
        <v>P1DS_DOE_ORIG</v>
      </c>
      <c r="G1088" s="7" t="s">
        <v>825</v>
      </c>
      <c r="H1088" s="7" t="str">
        <f t="shared" si="131"/>
        <v>CLK_DETM_DETIS_P1DS</v>
      </c>
      <c r="I1088" s="7" t="str">
        <f t="shared" si="132"/>
        <v>P1DS_DOE_ORIG</v>
      </c>
      <c r="J1088" s="7" t="str">
        <f t="shared" si="133"/>
        <v>INTEGER</v>
      </c>
      <c r="K1088" s="17" t="s">
        <v>90</v>
      </c>
      <c r="L1088" s="7" t="str">
        <f>TRIM(ETLMetadata!$I1088)</f>
        <v/>
      </c>
      <c r="M1088" s="7" t="str">
        <f t="shared" si="134"/>
        <v>CAST(NULLIF(TRIM(P1DS_DOE_ORIG),'') AS INTEGER)</v>
      </c>
      <c r="N1088" s="7" t="str">
        <f>TRIM(ETLMetadata!$J1088)</f>
        <v/>
      </c>
      <c r="O1088" s="8" t="str">
        <f>IF(TRIM(Classification!$G1088)="","NOT CONFIDENTIAL",TRIM(Classification!$G1088))</f>
        <v>NOT CONFIDENTIAL</v>
      </c>
      <c r="P1088" s="7" t="str">
        <f t="shared" si="135"/>
        <v>Y</v>
      </c>
      <c r="Q1088" s="7" t="s">
        <v>826</v>
      </c>
      <c r="R1088" s="9">
        <v>2958465</v>
      </c>
      <c r="S1088" s="7" t="s">
        <v>827</v>
      </c>
      <c r="T1088" s="7" t="s">
        <v>828</v>
      </c>
      <c r="U1088" s="7" t="str">
        <f t="shared" si="137"/>
        <v>CLK_DETM_DETIS_P1DS_V</v>
      </c>
      <c r="V1088" s="7" t="s">
        <v>829</v>
      </c>
    </row>
    <row r="1089" spans="1:22">
      <c r="A1089" s="7" t="str">
        <f>TRIM(ETLMetadata!$B1089)</f>
        <v>CLK</v>
      </c>
      <c r="B1089" s="7" t="str">
        <f>TRIM(ETLMetadata!$C1089)</f>
        <v>DETM_DETIS_P1DS</v>
      </c>
      <c r="C1089" s="7" t="str">
        <f>TRIM(ETLMetadata!$F1089)</f>
        <v>PROCESSING_SEQUENCE</v>
      </c>
      <c r="D1089" s="7" t="str">
        <f>TRIM(ETLMetadata!$H1089)</f>
        <v>StringType()</v>
      </c>
      <c r="E1089" s="7" t="str">
        <f t="shared" si="136"/>
        <v>CLK_DETM_DETIS_P1DS</v>
      </c>
      <c r="F1089" s="7" t="str">
        <f t="shared" si="130"/>
        <v>PROCESSING_SEQUENCE</v>
      </c>
      <c r="G1089" s="7" t="s">
        <v>825</v>
      </c>
      <c r="H1089" s="7" t="str">
        <f t="shared" si="131"/>
        <v>CLK_DETM_DETIS_P1DS</v>
      </c>
      <c r="I1089" s="7" t="str">
        <f t="shared" si="132"/>
        <v>PROCESSING_SEQUENCE</v>
      </c>
      <c r="J1089" s="7" t="str">
        <f t="shared" si="133"/>
        <v>SMALLINT</v>
      </c>
      <c r="K1089" s="7" t="str">
        <f>TRIM(ETLMetadata!$G1089)</f>
        <v>SMALLINT</v>
      </c>
      <c r="L1089" s="7" t="str">
        <f>TRIM(ETLMetadata!$I1089)</f>
        <v/>
      </c>
      <c r="M1089" s="7" t="str">
        <f t="shared" si="134"/>
        <v>CAST(NULLIF(TRIM(PROCESSING_SEQUENCE),'') AS SMALLINT)</v>
      </c>
      <c r="N1089" s="7" t="str">
        <f>TRIM(ETLMetadata!$J1089)</f>
        <v>Y</v>
      </c>
      <c r="O1089" s="8" t="str">
        <f>IF(TRIM(Classification!$G1089)="","NOT CONFIDENTIAL",TRIM(Classification!$G1089))</f>
        <v>NOT CONFIDENTIAL</v>
      </c>
      <c r="P1089" s="7" t="str">
        <f t="shared" si="135"/>
        <v>Y</v>
      </c>
      <c r="Q1089" s="7" t="s">
        <v>826</v>
      </c>
      <c r="R1089" s="9">
        <v>2958465</v>
      </c>
      <c r="S1089" s="7" t="s">
        <v>827</v>
      </c>
      <c r="T1089" s="7" t="s">
        <v>828</v>
      </c>
      <c r="U1089" s="7" t="str">
        <f t="shared" si="137"/>
        <v>CLK_DETM_DETIS_P1DS_V</v>
      </c>
      <c r="V1089" s="7" t="s">
        <v>829</v>
      </c>
    </row>
    <row r="1090" spans="1:22">
      <c r="A1090" s="7" t="str">
        <f>TRIM(ETLMetadata!$B1090)</f>
        <v>CLK</v>
      </c>
      <c r="B1090" s="7" t="str">
        <f>TRIM(ETLMetadata!$C1090)</f>
        <v>DETM_DETIS_P1DS</v>
      </c>
      <c r="C1090" s="7" t="str">
        <f>TRIM(ETLMetadata!$F1090)</f>
        <v>P1DS_AMR_1</v>
      </c>
      <c r="D1090" s="7" t="str">
        <f>TRIM(ETLMetadata!$H1090)</f>
        <v>StringType()</v>
      </c>
      <c r="E1090" s="7" t="str">
        <f t="shared" si="136"/>
        <v>CLK_DETM_DETIS_P1DS</v>
      </c>
      <c r="F1090" s="7" t="str">
        <f t="shared" si="130"/>
        <v>P1DS_AMR_1</v>
      </c>
      <c r="G1090" s="7" t="s">
        <v>825</v>
      </c>
      <c r="H1090" s="7" t="str">
        <f t="shared" si="131"/>
        <v>CLK_DETM_DETIS_P1DS</v>
      </c>
      <c r="I1090" s="7" t="str">
        <f t="shared" si="132"/>
        <v>P1DS_AMR_1</v>
      </c>
      <c r="J1090" s="7" t="str">
        <f t="shared" si="133"/>
        <v>VARCHAR</v>
      </c>
      <c r="K1090" s="7" t="str">
        <f>TRIM(ETLMetadata!$G1090)</f>
        <v>CHAR(4)</v>
      </c>
      <c r="L1090" s="7" t="str">
        <f>TRIM(ETLMetadata!$I1090)</f>
        <v/>
      </c>
      <c r="M1090" s="7" t="str">
        <f t="shared" si="134"/>
        <v>NULLIF(TRIM(P1DS_AMR_1),'')</v>
      </c>
      <c r="N1090" s="7" t="str">
        <f>TRIM(ETLMetadata!$J1090)</f>
        <v/>
      </c>
      <c r="O1090" s="8" t="str">
        <f>IF(TRIM(Classification!$G1090)="","NOT CONFIDENTIAL",TRIM(Classification!$G1090))</f>
        <v>NOT CONFIDENTIAL</v>
      </c>
      <c r="P1090" s="7" t="str">
        <f t="shared" si="135"/>
        <v>Y</v>
      </c>
      <c r="Q1090" s="7" t="s">
        <v>826</v>
      </c>
      <c r="R1090" s="9">
        <v>2958465</v>
      </c>
      <c r="S1090" s="7" t="s">
        <v>827</v>
      </c>
      <c r="T1090" s="7" t="s">
        <v>828</v>
      </c>
      <c r="U1090" s="7" t="str">
        <f t="shared" si="137"/>
        <v>CLK_DETM_DETIS_P1DS_V</v>
      </c>
      <c r="V1090" s="7" t="s">
        <v>829</v>
      </c>
    </row>
    <row r="1091" spans="1:22">
      <c r="A1091" s="7" t="str">
        <f>TRIM(ETLMetadata!$B1091)</f>
        <v>CLK</v>
      </c>
      <c r="B1091" s="7" t="str">
        <f>TRIM(ETLMetadata!$C1091)</f>
        <v>DETM_DETIS_P1DS</v>
      </c>
      <c r="C1091" s="7" t="str">
        <f>TRIM(ETLMetadata!$F1091)</f>
        <v>P1DS_AMR_2</v>
      </c>
      <c r="D1091" s="7" t="str">
        <f>TRIM(ETLMetadata!$H1091)</f>
        <v>StringType()</v>
      </c>
      <c r="E1091" s="7" t="str">
        <f t="shared" si="136"/>
        <v>CLK_DETM_DETIS_P1DS</v>
      </c>
      <c r="F1091" s="7" t="str">
        <f t="shared" ref="F1091:F1154" si="138">IF($C1091="Start_Date","STRT_DT",
 IF($C1091="End_Date","END_DT",
 IF($C1091="Record_Deleted_Flag","RCRD_DEL_IND",
 IF($C1091="IsDeleted","RCRD_DEL_IND",
 $C1091
))))</f>
        <v>P1DS_AMR_2</v>
      </c>
      <c r="G1091" s="7" t="s">
        <v>825</v>
      </c>
      <c r="H1091" s="7" t="str">
        <f t="shared" ref="H1091:H1154" si="139">CONCATENATE($A1091,"_",$B1091)</f>
        <v>CLK_DETM_DETIS_P1DS</v>
      </c>
      <c r="I1091" s="7" t="str">
        <f t="shared" ref="I1091:I1154" si="140">IF($C1091="Start_Date","STRT_DT",
 IF($C1091="End_Date","END_DT",
 IF($C1091="Record_Deleted_Flag","RCRD_DEL_IND",
 IF($C1091="IsDeleted","RCRD_DEL_IND",
 $C1091
))))</f>
        <v>P1DS_AMR_2</v>
      </c>
      <c r="J1091" s="7" t="str">
        <f t="shared" ref="J1091:J1154" si="141">IF(LEFT(TRIM($K1091),7)="VARCHAR","VARCHAR",
 IF(LEFT(TRIM($K1091),4)="CHAR","VARCHAR",
 IF(TRIM($K1091)="TIMESTAMP(6)","TIMESTAMP",
 IF(TRIM($K1091)="DATE","DATE",
 IF(TRIM($K1091)="BYTEINT","SMALLINT",
 IF(TRIM($K1091)="SMALLINT","SMALLINT",
 IF(TRIM($K1091)="INTEGER","INTEGER",
 IF(TRIM($K1091)="BIGINT","INTEGER",
 IF(LEFT(TRIM($K1091),7)="DECIMAL",TRIM($K1091),
 IF(TRIM($K1091)="BOOLEAN","BOOLEAN",
 IF(TRIM($K1091)="DOUBLE","DOUBLE",
 IF(TRIM($K1091)="FLOAT","FLOAT",
 IF(TRIM($K1091)="REAL","REAL",
 IF(LEFT(TRIM($K1091),6)="STRUCT","VARIANT",
 IF(LEFT(TRIM($K1091),5)="ARRAY","VARIANT",
 IF(LEFT(TRIM($K1091),3)="MAP","VARIANT",
 IF(LEFT(TRIM($K1091),3)="ROW","VARIANT",
 "NONE"
)))))))))))))))))</f>
        <v>VARCHAR</v>
      </c>
      <c r="K1091" s="7" t="str">
        <f>TRIM(ETLMetadata!$G1091)</f>
        <v>CHAR(1)</v>
      </c>
      <c r="L1091" s="7" t="str">
        <f>TRIM(ETLMetadata!$I1091)</f>
        <v/>
      </c>
      <c r="M1091" s="7" t="str">
        <f t="shared" ref="M1091:M1154" si="142">IF(LEFT($K1091,7)="VARCHAR","NULLIF(TRIM("&amp;$I1091&amp;"),'')",
 IF(LEFT($K1091,4)="CHAR","NULLIF(TRIM("&amp;$I1091&amp;"),'')",
 IF(LEFT($K1091,7)="DECIMAL","CAST(NULLIF(TRIM("&amp;$I1091&amp;"),'') AS "&amp;$K1091&amp;")",
 IF($K1091="TIMESTAMP(6)","TO_TIMESTAMP_NTZ(NULLIF(TRIM("&amp;$I1091&amp;"),''),'YYYY-MM-DD HH24:MI:SS.FF6')",
 IF($K1091="DATE","TO_DATE(NULLIF(TRIM("&amp;$I1091&amp;"),'') , 'YYYY-MM-DD')",
 IF($K1091="BIGINT","CAST(NULLIF(TRIM("&amp;I1091&amp;"),'') AS INTEGER)",
 IF($K1091="BYTEINT","CAST(NULLIF(TRIM("&amp;I1091&amp;"),'') AS SMALLINT)",
 IF($K1091="SMALLINT","CAST(NULLIF(TRIM("&amp;I1091&amp;"),'') AS SMALLINT)",
 IF($K1091="INTEGER","CAST(NULLIF(TRIM("&amp;I1091&amp;"),'') AS INTEGER)",
 IF($K1091="BOOLEAN","CAST(NULLIF(TRIM("&amp;I1091&amp;"),'') AS BOOLEAN)",
 IF($K1091="DOUBLE","CAST(NULLIF(TRIM("&amp;I1091&amp;"),'') AS DOUBLE)",
 IF($K1091="FLOAT","CAST(NULLIF(TRIM("&amp;I1091&amp;"),'') AS FLOAT)",
 IF($K1091="REAL","CAST(NULLIF(TRIM("&amp;I1091&amp;"),'') AS REAL)",
 IF(OR($K1091="STRUCT",$K1091="ARRAY",$K1091="MAP",$K1091="ROW"),"CAST(NULLIF(TRIM("&amp;I1091&amp;"),'') AS VARIANT)",
 "NONE"
))))))))))))))</f>
        <v>NULLIF(TRIM(P1DS_AMR_2),'')</v>
      </c>
      <c r="N1091" s="7" t="str">
        <f>TRIM(ETLMetadata!$J1091)</f>
        <v/>
      </c>
      <c r="O1091" s="8" t="str">
        <f>IF(TRIM(Classification!$G1091)="","NOT CONFIDENTIAL",TRIM(Classification!$G1091))</f>
        <v>NOT CONFIDENTIAL</v>
      </c>
      <c r="P1091" s="7" t="str">
        <f t="shared" ref="P1091:P1154" si="143">IF($C1091="Start_Date","N",
 IF($C1091="End_Date","N",
 IF($C1091="Record_Deleted_Flag","N",
 IF($C1091="IsDeleted","N",
 "Y"
))))</f>
        <v>Y</v>
      </c>
      <c r="Q1091" s="7" t="s">
        <v>826</v>
      </c>
      <c r="R1091" s="9">
        <v>2958465</v>
      </c>
      <c r="S1091" s="7" t="s">
        <v>827</v>
      </c>
      <c r="T1091" s="7" t="s">
        <v>828</v>
      </c>
      <c r="U1091" s="7" t="str">
        <f t="shared" si="137"/>
        <v>CLK_DETM_DETIS_P1DS_V</v>
      </c>
      <c r="V1091" s="7" t="s">
        <v>829</v>
      </c>
    </row>
    <row r="1092" spans="1:22">
      <c r="A1092" s="7" t="str">
        <f>TRIM(ETLMetadata!$B1092)</f>
        <v>CLK</v>
      </c>
      <c r="B1092" s="7" t="str">
        <f>TRIM(ETLMetadata!$C1092)</f>
        <v>DETM_DETIS_P1DS</v>
      </c>
      <c r="C1092" s="7" t="str">
        <f>TRIM(ETLMetadata!$F1092)</f>
        <v>P1DS_AMR_3</v>
      </c>
      <c r="D1092" s="7" t="str">
        <f>TRIM(ETLMetadata!$H1092)</f>
        <v>StringType()</v>
      </c>
      <c r="E1092" s="7" t="str">
        <f t="shared" si="136"/>
        <v>CLK_DETM_DETIS_P1DS</v>
      </c>
      <c r="F1092" s="7" t="str">
        <f t="shared" si="138"/>
        <v>P1DS_AMR_3</v>
      </c>
      <c r="G1092" s="7" t="s">
        <v>825</v>
      </c>
      <c r="H1092" s="7" t="str">
        <f t="shared" si="139"/>
        <v>CLK_DETM_DETIS_P1DS</v>
      </c>
      <c r="I1092" s="7" t="str">
        <f t="shared" si="140"/>
        <v>P1DS_AMR_3</v>
      </c>
      <c r="J1092" s="7" t="str">
        <f t="shared" si="141"/>
        <v>VARCHAR</v>
      </c>
      <c r="K1092" s="7" t="str">
        <f>TRIM(ETLMetadata!$G1092)</f>
        <v>CHAR(4)</v>
      </c>
      <c r="L1092" s="7" t="str">
        <f>TRIM(ETLMetadata!$I1092)</f>
        <v/>
      </c>
      <c r="M1092" s="7" t="str">
        <f t="shared" si="142"/>
        <v>NULLIF(TRIM(P1DS_AMR_3),'')</v>
      </c>
      <c r="N1092" s="7" t="str">
        <f>TRIM(ETLMetadata!$J1092)</f>
        <v/>
      </c>
      <c r="O1092" s="8" t="str">
        <f>IF(TRIM(Classification!$G1092)="","NOT CONFIDENTIAL",TRIM(Classification!$G1092))</f>
        <v>NOT CONFIDENTIAL</v>
      </c>
      <c r="P1092" s="7" t="str">
        <f t="shared" si="143"/>
        <v>Y</v>
      </c>
      <c r="Q1092" s="7" t="s">
        <v>826</v>
      </c>
      <c r="R1092" s="9">
        <v>2958465</v>
      </c>
      <c r="S1092" s="7" t="s">
        <v>827</v>
      </c>
      <c r="T1092" s="7" t="s">
        <v>828</v>
      </c>
      <c r="U1092" s="7" t="str">
        <f t="shared" si="137"/>
        <v>CLK_DETM_DETIS_P1DS_V</v>
      </c>
      <c r="V1092" s="7" t="s">
        <v>829</v>
      </c>
    </row>
    <row r="1093" spans="1:22">
      <c r="A1093" s="7" t="str">
        <f>TRIM(ETLMetadata!$B1093)</f>
        <v>CLK</v>
      </c>
      <c r="B1093" s="7" t="str">
        <f>TRIM(ETLMetadata!$C1093)</f>
        <v>DETM_DETIS_P1DS</v>
      </c>
      <c r="C1093" s="7" t="str">
        <f>TRIM(ETLMetadata!$F1093)</f>
        <v>P1DS_BEN_TYPE_CODE</v>
      </c>
      <c r="D1093" s="7" t="str">
        <f>TRIM(ETLMetadata!$H1093)</f>
        <v>StringType()</v>
      </c>
      <c r="E1093" s="7" t="str">
        <f t="shared" si="136"/>
        <v>CLK_DETM_DETIS_P1DS</v>
      </c>
      <c r="F1093" s="7" t="str">
        <f t="shared" si="138"/>
        <v>P1DS_BEN_TYPE_CODE</v>
      </c>
      <c r="G1093" s="7" t="s">
        <v>825</v>
      </c>
      <c r="H1093" s="7" t="str">
        <f t="shared" si="139"/>
        <v>CLK_DETM_DETIS_P1DS</v>
      </c>
      <c r="I1093" s="7" t="str">
        <f t="shared" si="140"/>
        <v>P1DS_BEN_TYPE_CODE</v>
      </c>
      <c r="J1093" s="7" t="str">
        <f t="shared" si="141"/>
        <v>VARCHAR</v>
      </c>
      <c r="K1093" s="7" t="str">
        <f>TRIM(ETLMetadata!$G1093)</f>
        <v>CHAR(3)</v>
      </c>
      <c r="L1093" s="7" t="str">
        <f>TRIM(ETLMetadata!$I1093)</f>
        <v/>
      </c>
      <c r="M1093" s="7" t="str">
        <f t="shared" si="142"/>
        <v>NULLIF(TRIM(P1DS_BEN_TYPE_CODE),'')</v>
      </c>
      <c r="N1093" s="7" t="str">
        <f>TRIM(ETLMetadata!$J1093)</f>
        <v/>
      </c>
      <c r="O1093" s="8" t="str">
        <f>IF(TRIM(Classification!$G1093)="","NOT CONFIDENTIAL",TRIM(Classification!$G1093))</f>
        <v>NOT CONFIDENTIAL</v>
      </c>
      <c r="P1093" s="7" t="str">
        <f t="shared" si="143"/>
        <v>Y</v>
      </c>
      <c r="Q1093" s="7" t="s">
        <v>826</v>
      </c>
      <c r="R1093" s="9">
        <v>2958465</v>
      </c>
      <c r="S1093" s="7" t="s">
        <v>827</v>
      </c>
      <c r="T1093" s="7" t="s">
        <v>828</v>
      </c>
      <c r="U1093" s="7" t="str">
        <f t="shared" si="137"/>
        <v>CLK_DETM_DETIS_P1DS_V</v>
      </c>
      <c r="V1093" s="7" t="s">
        <v>829</v>
      </c>
    </row>
    <row r="1094" spans="1:22">
      <c r="A1094" s="7" t="str">
        <f>TRIM(ETLMetadata!$B1094)</f>
        <v>CLK</v>
      </c>
      <c r="B1094" s="7" t="str">
        <f>TRIM(ETLMetadata!$C1094)</f>
        <v>DETM_DETIS_P1DS</v>
      </c>
      <c r="C1094" s="7" t="str">
        <f>TRIM(ETLMetadata!$F1094)</f>
        <v>P1DS_STS_CODE</v>
      </c>
      <c r="D1094" s="7" t="str">
        <f>TRIM(ETLMetadata!$H1094)</f>
        <v>StringType()</v>
      </c>
      <c r="E1094" s="7" t="str">
        <f t="shared" si="136"/>
        <v>CLK_DETM_DETIS_P1DS</v>
      </c>
      <c r="F1094" s="7" t="str">
        <f t="shared" si="138"/>
        <v>P1DS_STS_CODE</v>
      </c>
      <c r="G1094" s="7" t="s">
        <v>825</v>
      </c>
      <c r="H1094" s="7" t="str">
        <f t="shared" si="139"/>
        <v>CLK_DETM_DETIS_P1DS</v>
      </c>
      <c r="I1094" s="7" t="str">
        <f t="shared" si="140"/>
        <v>P1DS_STS_CODE</v>
      </c>
      <c r="J1094" s="7" t="str">
        <f t="shared" si="141"/>
        <v>VARCHAR</v>
      </c>
      <c r="K1094" s="7" t="str">
        <f>TRIM(ETLMetadata!$G1094)</f>
        <v>CHAR(3)</v>
      </c>
      <c r="L1094" s="7" t="str">
        <f>TRIM(ETLMetadata!$I1094)</f>
        <v/>
      </c>
      <c r="M1094" s="7" t="str">
        <f t="shared" si="142"/>
        <v>NULLIF(TRIM(P1DS_STS_CODE),'')</v>
      </c>
      <c r="N1094" s="7" t="str">
        <f>TRIM(ETLMetadata!$J1094)</f>
        <v/>
      </c>
      <c r="O1094" s="8" t="str">
        <f>IF(TRIM(Classification!$G1094)="","NOT CONFIDENTIAL",TRIM(Classification!$G1094))</f>
        <v>NOT CONFIDENTIAL</v>
      </c>
      <c r="P1094" s="7" t="str">
        <f t="shared" si="143"/>
        <v>Y</v>
      </c>
      <c r="Q1094" s="7" t="s">
        <v>826</v>
      </c>
      <c r="R1094" s="9">
        <v>2958465</v>
      </c>
      <c r="S1094" s="7" t="s">
        <v>827</v>
      </c>
      <c r="T1094" s="7" t="s">
        <v>828</v>
      </c>
      <c r="U1094" s="7" t="str">
        <f t="shared" si="137"/>
        <v>CLK_DETM_DETIS_P1DS_V</v>
      </c>
      <c r="V1094" s="7" t="s">
        <v>829</v>
      </c>
    </row>
    <row r="1095" spans="1:22">
      <c r="A1095" s="7" t="str">
        <f>TRIM(ETLMetadata!$B1095)</f>
        <v>CLK</v>
      </c>
      <c r="B1095" s="7" t="str">
        <f>TRIM(ETLMetadata!$C1095)</f>
        <v>DETM_DETIS_P1DS</v>
      </c>
      <c r="C1095" s="7" t="str">
        <f>TRIM(ETLMetadata!$F1095)</f>
        <v>P1DS_RSN_CODE</v>
      </c>
      <c r="D1095" s="7" t="str">
        <f>TRIM(ETLMetadata!$H1095)</f>
        <v>StringType()</v>
      </c>
      <c r="E1095" s="7" t="str">
        <f t="shared" si="136"/>
        <v>CLK_DETM_DETIS_P1DS</v>
      </c>
      <c r="F1095" s="7" t="str">
        <f t="shared" si="138"/>
        <v>P1DS_RSN_CODE</v>
      </c>
      <c r="G1095" s="7" t="s">
        <v>825</v>
      </c>
      <c r="H1095" s="7" t="str">
        <f t="shared" si="139"/>
        <v>CLK_DETM_DETIS_P1DS</v>
      </c>
      <c r="I1095" s="7" t="str">
        <f t="shared" si="140"/>
        <v>P1DS_RSN_CODE</v>
      </c>
      <c r="J1095" s="7" t="str">
        <f t="shared" si="141"/>
        <v>VARCHAR</v>
      </c>
      <c r="K1095" s="7" t="str">
        <f>TRIM(ETLMetadata!$G1095)</f>
        <v>CHAR(3)</v>
      </c>
      <c r="L1095" s="7" t="str">
        <f>TRIM(ETLMetadata!$I1095)</f>
        <v/>
      </c>
      <c r="M1095" s="7" t="str">
        <f t="shared" si="142"/>
        <v>NULLIF(TRIM(P1DS_RSN_CODE),'')</v>
      </c>
      <c r="N1095" s="7" t="str">
        <f>TRIM(ETLMetadata!$J1095)</f>
        <v/>
      </c>
      <c r="O1095" s="8" t="str">
        <f>IF(TRIM(Classification!$G1095)="","NOT CONFIDENTIAL",TRIM(Classification!$G1095))</f>
        <v>NOT CONFIDENTIAL</v>
      </c>
      <c r="P1095" s="7" t="str">
        <f t="shared" si="143"/>
        <v>Y</v>
      </c>
      <c r="Q1095" s="7" t="s">
        <v>826</v>
      </c>
      <c r="R1095" s="9">
        <v>2958465</v>
      </c>
      <c r="S1095" s="7" t="s">
        <v>827</v>
      </c>
      <c r="T1095" s="7" t="s">
        <v>828</v>
      </c>
      <c r="U1095" s="7" t="str">
        <f t="shared" si="137"/>
        <v>CLK_DETM_DETIS_P1DS_V</v>
      </c>
      <c r="V1095" s="7" t="s">
        <v>829</v>
      </c>
    </row>
    <row r="1096" spans="1:22">
      <c r="A1096" s="7" t="str">
        <f>TRIM(ETLMetadata!$B1096)</f>
        <v>CLK</v>
      </c>
      <c r="B1096" s="7" t="str">
        <f>TRIM(ETLMetadata!$C1096)</f>
        <v>DETM_DETIS_P1DS</v>
      </c>
      <c r="C1096" s="7" t="str">
        <f>TRIM(ETLMetadata!$F1096)</f>
        <v>P1DS_UNIQ_ID</v>
      </c>
      <c r="D1096" s="7" t="str">
        <f>TRIM(ETLMetadata!$H1096)</f>
        <v>StringType()</v>
      </c>
      <c r="E1096" s="7" t="str">
        <f t="shared" si="136"/>
        <v>CLK_DETM_DETIS_P1DS</v>
      </c>
      <c r="F1096" s="7" t="str">
        <f t="shared" si="138"/>
        <v>P1DS_UNIQ_ID</v>
      </c>
      <c r="G1096" s="7" t="s">
        <v>825</v>
      </c>
      <c r="H1096" s="7" t="str">
        <f t="shared" si="139"/>
        <v>CLK_DETM_DETIS_P1DS</v>
      </c>
      <c r="I1096" s="7" t="str">
        <f t="shared" si="140"/>
        <v>P1DS_UNIQ_ID</v>
      </c>
      <c r="J1096" s="7" t="str">
        <f t="shared" si="141"/>
        <v>VARCHAR</v>
      </c>
      <c r="K1096" s="7" t="str">
        <f>TRIM(ETLMetadata!$G1096)</f>
        <v>VARCHAR(8)</v>
      </c>
      <c r="L1096" s="7" t="str">
        <f>TRIM(ETLMetadata!$I1096)</f>
        <v/>
      </c>
      <c r="M1096" s="7" t="str">
        <f t="shared" si="142"/>
        <v>NULLIF(TRIM(P1DS_UNIQ_ID),'')</v>
      </c>
      <c r="N1096" s="7" t="str">
        <f>TRIM(ETLMetadata!$J1096)</f>
        <v/>
      </c>
      <c r="O1096" s="8" t="str">
        <f>IF(TRIM(Classification!$G1096)="","NOT CONFIDENTIAL",TRIM(Classification!$G1096))</f>
        <v>NOT CONFIDENTIAL</v>
      </c>
      <c r="P1096" s="7" t="str">
        <f t="shared" si="143"/>
        <v>Y</v>
      </c>
      <c r="Q1096" s="7" t="s">
        <v>826</v>
      </c>
      <c r="R1096" s="9">
        <v>2958465</v>
      </c>
      <c r="S1096" s="7" t="s">
        <v>827</v>
      </c>
      <c r="T1096" s="7" t="s">
        <v>828</v>
      </c>
      <c r="U1096" s="7" t="str">
        <f t="shared" si="137"/>
        <v>CLK_DETM_DETIS_P1DS_V</v>
      </c>
      <c r="V1096" s="7" t="s">
        <v>829</v>
      </c>
    </row>
    <row r="1097" spans="1:22">
      <c r="A1097" s="7" t="str">
        <f>TRIM(ETLMetadata!$B1097)</f>
        <v>CLK</v>
      </c>
      <c r="B1097" s="7" t="str">
        <f>TRIM(ETLMetadata!$C1097)</f>
        <v>DETM_DETIS_P1DS</v>
      </c>
      <c r="C1097" s="7" t="str">
        <f>TRIM(ETLMetadata!$F1097)</f>
        <v>AMR1_RISL_DTS</v>
      </c>
      <c r="D1097" s="7" t="str">
        <f>TRIM(ETLMetadata!$H1097)</f>
        <v>StringType()</v>
      </c>
      <c r="E1097" s="7" t="str">
        <f t="shared" si="136"/>
        <v>CLK_DETM_DETIS_P1DS</v>
      </c>
      <c r="F1097" s="7" t="str">
        <f t="shared" si="138"/>
        <v>AMR1_RISL_DTS</v>
      </c>
      <c r="G1097" s="7" t="s">
        <v>825</v>
      </c>
      <c r="H1097" s="7" t="str">
        <f t="shared" si="139"/>
        <v>CLK_DETM_DETIS_P1DS</v>
      </c>
      <c r="I1097" s="7" t="str">
        <f t="shared" si="140"/>
        <v>AMR1_RISL_DTS</v>
      </c>
      <c r="J1097" s="7" t="str">
        <f t="shared" si="141"/>
        <v>TIMESTAMP</v>
      </c>
      <c r="K1097" s="7" t="str">
        <f>TRIM(ETLMetadata!$G1097)</f>
        <v>TIMESTAMP(6)</v>
      </c>
      <c r="L1097" s="7" t="str">
        <f>TRIM(ETLMetadata!$I1097)</f>
        <v>YYYY-MM-DDBHH:MI:SS.S(6)</v>
      </c>
      <c r="M1097" s="7" t="str">
        <f t="shared" si="142"/>
        <v>TO_TIMESTAMP_NTZ(NULLIF(TRIM(AMR1_RISL_DTS),''),'YYYY-MM-DD HH24:MI:SS.FF6')</v>
      </c>
      <c r="N1097" s="7" t="str">
        <f>TRIM(ETLMetadata!$J1097)</f>
        <v/>
      </c>
      <c r="O1097" s="8" t="str">
        <f>IF(TRIM(Classification!$G1097)="","NOT CONFIDENTIAL",TRIM(Classification!$G1097))</f>
        <v>NOT CONFIDENTIAL</v>
      </c>
      <c r="P1097" s="7" t="str">
        <f t="shared" si="143"/>
        <v>Y</v>
      </c>
      <c r="Q1097" s="7" t="s">
        <v>826</v>
      </c>
      <c r="R1097" s="9">
        <v>2958465</v>
      </c>
      <c r="S1097" s="7" t="s">
        <v>827</v>
      </c>
      <c r="T1097" s="7" t="s">
        <v>828</v>
      </c>
      <c r="U1097" s="7" t="str">
        <f t="shared" si="137"/>
        <v>CLK_DETM_DETIS_P1DS_V</v>
      </c>
      <c r="V1097" s="7" t="s">
        <v>829</v>
      </c>
    </row>
    <row r="1098" spans="1:22">
      <c r="A1098" s="7" t="str">
        <f>TRIM(ETLMetadata!$B1098)</f>
        <v>CLK</v>
      </c>
      <c r="B1098" s="7" t="str">
        <f>TRIM(ETLMetadata!$C1098)</f>
        <v>DETM_DETIS_P1DS</v>
      </c>
      <c r="C1098" s="7" t="str">
        <f>TRIM(ETLMetadata!$F1098)</f>
        <v>AMR3_RISL_DTS</v>
      </c>
      <c r="D1098" s="7" t="str">
        <f>TRIM(ETLMetadata!$H1098)</f>
        <v>StringType()</v>
      </c>
      <c r="E1098" s="7" t="str">
        <f t="shared" si="136"/>
        <v>CLK_DETM_DETIS_P1DS</v>
      </c>
      <c r="F1098" s="7" t="str">
        <f t="shared" si="138"/>
        <v>AMR3_RISL_DTS</v>
      </c>
      <c r="G1098" s="7" t="s">
        <v>825</v>
      </c>
      <c r="H1098" s="7" t="str">
        <f t="shared" si="139"/>
        <v>CLK_DETM_DETIS_P1DS</v>
      </c>
      <c r="I1098" s="7" t="str">
        <f t="shared" si="140"/>
        <v>AMR3_RISL_DTS</v>
      </c>
      <c r="J1098" s="7" t="str">
        <f t="shared" si="141"/>
        <v>TIMESTAMP</v>
      </c>
      <c r="K1098" s="7" t="str">
        <f>TRIM(ETLMetadata!$G1098)</f>
        <v>TIMESTAMP(6)</v>
      </c>
      <c r="L1098" s="7" t="str">
        <f>TRIM(ETLMetadata!$I1098)</f>
        <v>YYYY-MM-DDBHH:MI:SS.S(6)</v>
      </c>
      <c r="M1098" s="7" t="str">
        <f t="shared" si="142"/>
        <v>TO_TIMESTAMP_NTZ(NULLIF(TRIM(AMR3_RISL_DTS),''),'YYYY-MM-DD HH24:MI:SS.FF6')</v>
      </c>
      <c r="N1098" s="7" t="str">
        <f>TRIM(ETLMetadata!$J1098)</f>
        <v/>
      </c>
      <c r="O1098" s="8" t="str">
        <f>IF(TRIM(Classification!$G1098)="","NOT CONFIDENTIAL",TRIM(Classification!$G1098))</f>
        <v>NOT CONFIDENTIAL</v>
      </c>
      <c r="P1098" s="7" t="str">
        <f t="shared" si="143"/>
        <v>Y</v>
      </c>
      <c r="Q1098" s="7" t="s">
        <v>826</v>
      </c>
      <c r="R1098" s="9">
        <v>2958465</v>
      </c>
      <c r="S1098" s="7" t="s">
        <v>827</v>
      </c>
      <c r="T1098" s="7" t="s">
        <v>828</v>
      </c>
      <c r="U1098" s="7" t="str">
        <f t="shared" si="137"/>
        <v>CLK_DETM_DETIS_P1DS_V</v>
      </c>
      <c r="V1098" s="7" t="s">
        <v>829</v>
      </c>
    </row>
    <row r="1099" spans="1:22">
      <c r="A1099" s="7" t="str">
        <f>TRIM(ETLMetadata!$B1099)</f>
        <v>CLK</v>
      </c>
      <c r="B1099" s="7" t="str">
        <f>TRIM(ETLMetadata!$C1099)</f>
        <v>DETM_DETIS_P1DS</v>
      </c>
      <c r="C1099" s="7" t="str">
        <f>TRIM(ETLMetadata!$F1099)</f>
        <v>PARTY_ROLE_ID</v>
      </c>
      <c r="D1099" s="7" t="str">
        <f>TRIM(ETLMetadata!$H1099)</f>
        <v>StringType()</v>
      </c>
      <c r="E1099" s="7" t="str">
        <f t="shared" si="136"/>
        <v>CLK_DETM_DETIS_P1DS</v>
      </c>
      <c r="F1099" s="7" t="str">
        <f t="shared" si="138"/>
        <v>PARTY_ROLE_ID</v>
      </c>
      <c r="G1099" s="7" t="s">
        <v>825</v>
      </c>
      <c r="H1099" s="7" t="str">
        <f t="shared" si="139"/>
        <v>CLK_DETM_DETIS_P1DS</v>
      </c>
      <c r="I1099" s="7" t="str">
        <f t="shared" si="140"/>
        <v>PARTY_ROLE_ID</v>
      </c>
      <c r="J1099" s="7" t="str">
        <f t="shared" si="141"/>
        <v>INTEGER</v>
      </c>
      <c r="K1099" s="7" t="str">
        <f>TRIM(ETLMetadata!$G1099)</f>
        <v>INTEGER</v>
      </c>
      <c r="L1099" s="7" t="str">
        <f>TRIM(ETLMetadata!$I1099)</f>
        <v/>
      </c>
      <c r="M1099" s="7" t="str">
        <f t="shared" si="142"/>
        <v>CAST(NULLIF(TRIM(PARTY_ROLE_ID),'') AS INTEGER)</v>
      </c>
      <c r="N1099" s="7" t="str">
        <f>TRIM(ETLMetadata!$J1099)</f>
        <v/>
      </c>
      <c r="O1099" s="8" t="str">
        <f>IF(TRIM(Classification!$G1099)="","NOT CONFIDENTIAL",TRIM(Classification!$G1099))</f>
        <v>NOT CONFIDENTIAL</v>
      </c>
      <c r="P1099" s="7" t="str">
        <f t="shared" si="143"/>
        <v>Y</v>
      </c>
      <c r="Q1099" s="7" t="s">
        <v>826</v>
      </c>
      <c r="R1099" s="9">
        <v>2958465</v>
      </c>
      <c r="S1099" s="7" t="s">
        <v>827</v>
      </c>
      <c r="T1099" s="7" t="s">
        <v>828</v>
      </c>
      <c r="U1099" s="7" t="str">
        <f t="shared" si="137"/>
        <v>CLK_DETM_DETIS_P1DS_V</v>
      </c>
      <c r="V1099" s="7" t="s">
        <v>829</v>
      </c>
    </row>
    <row r="1100" spans="1:22">
      <c r="A1100" s="7" t="str">
        <f>TRIM(ETLMetadata!$B1100)</f>
        <v>CLK</v>
      </c>
      <c r="B1100" s="7" t="str">
        <f>TRIM(ETLMetadata!$C1100)</f>
        <v>DETM_DETIS_P1DS</v>
      </c>
      <c r="C1100" s="7" t="str">
        <f>TRIM(ETLMetadata!$F1100)</f>
        <v>PAYMENT_TYPE_ID</v>
      </c>
      <c r="D1100" s="7" t="str">
        <f>TRIM(ETLMetadata!$H1100)</f>
        <v>StringType()</v>
      </c>
      <c r="E1100" s="7" t="str">
        <f t="shared" si="136"/>
        <v>CLK_DETM_DETIS_P1DS</v>
      </c>
      <c r="F1100" s="7" t="str">
        <f t="shared" si="138"/>
        <v>PAYMENT_TYPE_ID</v>
      </c>
      <c r="G1100" s="7" t="s">
        <v>825</v>
      </c>
      <c r="H1100" s="7" t="str">
        <f t="shared" si="139"/>
        <v>CLK_DETM_DETIS_P1DS</v>
      </c>
      <c r="I1100" s="7" t="str">
        <f t="shared" si="140"/>
        <v>PAYMENT_TYPE_ID</v>
      </c>
      <c r="J1100" s="7" t="str">
        <f t="shared" si="141"/>
        <v>INTEGER</v>
      </c>
      <c r="K1100" s="7" t="str">
        <f>TRIM(ETLMetadata!$G1100)</f>
        <v>INTEGER</v>
      </c>
      <c r="L1100" s="7" t="str">
        <f>TRIM(ETLMetadata!$I1100)</f>
        <v/>
      </c>
      <c r="M1100" s="7" t="str">
        <f t="shared" si="142"/>
        <v>CAST(NULLIF(TRIM(PAYMENT_TYPE_ID),'') AS INTEGER)</v>
      </c>
      <c r="N1100" s="7" t="str">
        <f>TRIM(ETLMetadata!$J1100)</f>
        <v/>
      </c>
      <c r="O1100" s="8" t="str">
        <f>IF(TRIM(Classification!$G1100)="","NOT CONFIDENTIAL",TRIM(Classification!$G1100))</f>
        <v>NOT CONFIDENTIAL</v>
      </c>
      <c r="P1100" s="7" t="str">
        <f t="shared" si="143"/>
        <v>Y</v>
      </c>
      <c r="Q1100" s="7" t="s">
        <v>826</v>
      </c>
      <c r="R1100" s="9">
        <v>2958465</v>
      </c>
      <c r="S1100" s="7" t="s">
        <v>827</v>
      </c>
      <c r="T1100" s="7" t="s">
        <v>828</v>
      </c>
      <c r="U1100" s="7" t="str">
        <f t="shared" si="137"/>
        <v>CLK_DETM_DETIS_P1DS_V</v>
      </c>
      <c r="V1100" s="7" t="s">
        <v>829</v>
      </c>
    </row>
    <row r="1101" spans="1:22">
      <c r="A1101" s="7" t="str">
        <f>TRIM(ETLMetadata!$B1101)</f>
        <v>CLK</v>
      </c>
      <c r="B1101" s="7" t="str">
        <f>TRIM(ETLMetadata!$C1101)</f>
        <v>DETM_DETIS_P1DS</v>
      </c>
      <c r="C1101" s="7" t="str">
        <f>TRIM(ETLMetadata!$F1101)</f>
        <v>ERROR_COUNT</v>
      </c>
      <c r="D1101" s="7" t="str">
        <f>TRIM(ETLMetadata!$H1101)</f>
        <v>StringType()</v>
      </c>
      <c r="E1101" s="7" t="str">
        <f t="shared" si="136"/>
        <v>CLK_DETM_DETIS_P1DS</v>
      </c>
      <c r="F1101" s="7" t="str">
        <f t="shared" si="138"/>
        <v>ERROR_COUNT</v>
      </c>
      <c r="G1101" s="7" t="s">
        <v>825</v>
      </c>
      <c r="H1101" s="7" t="str">
        <f t="shared" si="139"/>
        <v>CLK_DETM_DETIS_P1DS</v>
      </c>
      <c r="I1101" s="7" t="str">
        <f t="shared" si="140"/>
        <v>ERROR_COUNT</v>
      </c>
      <c r="J1101" s="7" t="str">
        <f t="shared" si="141"/>
        <v>SMALLINT</v>
      </c>
      <c r="K1101" s="7" t="str">
        <f>TRIM(ETLMetadata!$G1101)</f>
        <v>SMALLINT</v>
      </c>
      <c r="L1101" s="7" t="str">
        <f>TRIM(ETLMetadata!$I1101)</f>
        <v/>
      </c>
      <c r="M1101" s="7" t="str">
        <f t="shared" si="142"/>
        <v>CAST(NULLIF(TRIM(ERROR_COUNT),'') AS SMALLINT)</v>
      </c>
      <c r="N1101" s="7" t="str">
        <f>TRIM(ETLMetadata!$J1101)</f>
        <v/>
      </c>
      <c r="O1101" s="8" t="str">
        <f>IF(TRIM(Classification!$G1101)="","NOT CONFIDENTIAL",TRIM(Classification!$G1101))</f>
        <v>NOT CONFIDENTIAL</v>
      </c>
      <c r="P1101" s="7" t="str">
        <f t="shared" si="143"/>
        <v>Y</v>
      </c>
      <c r="Q1101" s="7" t="s">
        <v>826</v>
      </c>
      <c r="R1101" s="9">
        <v>2958465</v>
      </c>
      <c r="S1101" s="7" t="s">
        <v>827</v>
      </c>
      <c r="T1101" s="7" t="s">
        <v>828</v>
      </c>
      <c r="U1101" s="7" t="str">
        <f t="shared" si="137"/>
        <v>CLK_DETM_DETIS_P1DS_V</v>
      </c>
      <c r="V1101" s="7" t="s">
        <v>829</v>
      </c>
    </row>
    <row r="1102" spans="1:22">
      <c r="A1102" s="7" t="str">
        <f>TRIM(ETLMetadata!$B1102)</f>
        <v>CLK</v>
      </c>
      <c r="B1102" s="7" t="str">
        <f>TRIM(ETLMetadata!$C1102)</f>
        <v>DETM_DETIS_P1DS</v>
      </c>
      <c r="C1102" s="7" t="str">
        <f>TRIM(ETLMetadata!$F1102)</f>
        <v>Start_Date</v>
      </c>
      <c r="D1102" s="7" t="str">
        <f>TRIM(ETLMetadata!$H1102)</f>
        <v>StringType()</v>
      </c>
      <c r="E1102" s="7" t="str">
        <f t="shared" si="136"/>
        <v>CLK_DETM_DETIS_P1DS</v>
      </c>
      <c r="F1102" s="7" t="str">
        <f t="shared" si="138"/>
        <v>STRT_DT</v>
      </c>
      <c r="G1102" s="7" t="s">
        <v>825</v>
      </c>
      <c r="H1102" s="7" t="str">
        <f t="shared" si="139"/>
        <v>CLK_DETM_DETIS_P1DS</v>
      </c>
      <c r="I1102" s="7" t="str">
        <f t="shared" si="140"/>
        <v>STRT_DT</v>
      </c>
      <c r="J1102" s="7" t="str">
        <f t="shared" si="141"/>
        <v>DATE</v>
      </c>
      <c r="K1102" s="7" t="str">
        <f>TRIM(ETLMetadata!$G1102)</f>
        <v>DATE</v>
      </c>
      <c r="L1102" s="7" t="str">
        <f>TRIM(ETLMetadata!$I1102)</f>
        <v>YYYY-MM-DD</v>
      </c>
      <c r="M1102" s="7" t="str">
        <f t="shared" si="142"/>
        <v>TO_DATE(NULLIF(TRIM(STRT_DT),'') , 'YYYY-MM-DD')</v>
      </c>
      <c r="N1102" s="7" t="str">
        <f>TRIM(ETLMetadata!$J1102)</f>
        <v/>
      </c>
      <c r="O1102" s="8" t="str">
        <f>IF(TRIM(Classification!$G1102)="","NOT CONFIDENTIAL",TRIM(Classification!$G1102))</f>
        <v>NOT CONFIDENTIAL</v>
      </c>
      <c r="P1102" s="7" t="str">
        <f t="shared" si="143"/>
        <v>N</v>
      </c>
      <c r="Q1102" s="7" t="s">
        <v>826</v>
      </c>
      <c r="R1102" s="9">
        <v>2958465</v>
      </c>
      <c r="S1102" s="7" t="s">
        <v>827</v>
      </c>
      <c r="T1102" s="7" t="s">
        <v>828</v>
      </c>
      <c r="U1102" s="7" t="str">
        <f t="shared" si="137"/>
        <v>CLK_DETM_DETIS_P1DS_V</v>
      </c>
      <c r="V1102" s="7" t="s">
        <v>829</v>
      </c>
    </row>
    <row r="1103" spans="1:22">
      <c r="A1103" s="7" t="str">
        <f>TRIM(ETLMetadata!$B1103)</f>
        <v>CLK</v>
      </c>
      <c r="B1103" s="7" t="str">
        <f>TRIM(ETLMetadata!$C1103)</f>
        <v>DETM_DETIS_P1DS</v>
      </c>
      <c r="C1103" s="7" t="str">
        <f>TRIM(ETLMetadata!$F1103)</f>
        <v>End_Date</v>
      </c>
      <c r="D1103" s="7" t="str">
        <f>TRIM(ETLMetadata!$H1103)</f>
        <v>StringType()</v>
      </c>
      <c r="E1103" s="7" t="str">
        <f t="shared" si="136"/>
        <v>CLK_DETM_DETIS_P1DS</v>
      </c>
      <c r="F1103" s="7" t="str">
        <f t="shared" si="138"/>
        <v>END_DT</v>
      </c>
      <c r="G1103" s="7" t="s">
        <v>825</v>
      </c>
      <c r="H1103" s="7" t="str">
        <f t="shared" si="139"/>
        <v>CLK_DETM_DETIS_P1DS</v>
      </c>
      <c r="I1103" s="7" t="str">
        <f t="shared" si="140"/>
        <v>END_DT</v>
      </c>
      <c r="J1103" s="7" t="str">
        <f t="shared" si="141"/>
        <v>DATE</v>
      </c>
      <c r="K1103" s="7" t="str">
        <f>TRIM(ETLMetadata!$G1103)</f>
        <v>DATE</v>
      </c>
      <c r="L1103" s="7" t="str">
        <f>TRIM(ETLMetadata!$I1103)</f>
        <v>YYYY-MM-DD</v>
      </c>
      <c r="M1103" s="7" t="str">
        <f t="shared" si="142"/>
        <v>TO_DATE(NULLIF(TRIM(END_DT),'') , 'YYYY-MM-DD')</v>
      </c>
      <c r="N1103" s="7" t="str">
        <f>TRIM(ETLMetadata!$J1103)</f>
        <v/>
      </c>
      <c r="O1103" s="8" t="str">
        <f>IF(TRIM(Classification!$G1103)="","NOT CONFIDENTIAL",TRIM(Classification!$G1103))</f>
        <v>NOT CONFIDENTIAL</v>
      </c>
      <c r="P1103" s="7" t="str">
        <f t="shared" si="143"/>
        <v>N</v>
      </c>
      <c r="Q1103" s="7" t="s">
        <v>826</v>
      </c>
      <c r="R1103" s="9">
        <v>2958465</v>
      </c>
      <c r="S1103" s="7" t="s">
        <v>827</v>
      </c>
      <c r="T1103" s="7" t="s">
        <v>828</v>
      </c>
      <c r="U1103" s="7" t="str">
        <f t="shared" si="137"/>
        <v>CLK_DETM_DETIS_P1DS_V</v>
      </c>
      <c r="V1103" s="7" t="s">
        <v>829</v>
      </c>
    </row>
    <row r="1104" spans="1:22">
      <c r="A1104" s="7" t="str">
        <f>TRIM(ETLMetadata!$B1104)</f>
        <v>CLK</v>
      </c>
      <c r="B1104" s="7" t="str">
        <f>TRIM(ETLMetadata!$C1104)</f>
        <v>DETM_DETIS_P1DS</v>
      </c>
      <c r="C1104" s="7" t="str">
        <f>TRIM(ETLMetadata!$F1104)</f>
        <v>Record_Deleted_Flag</v>
      </c>
      <c r="D1104" s="7" t="str">
        <f>TRIM(ETLMetadata!$H1104)</f>
        <v>StringType()</v>
      </c>
      <c r="E1104" s="7" t="str">
        <f t="shared" si="136"/>
        <v>CLK_DETM_DETIS_P1DS</v>
      </c>
      <c r="F1104" s="7" t="str">
        <f t="shared" si="138"/>
        <v>RCRD_DEL_IND</v>
      </c>
      <c r="G1104" s="7" t="s">
        <v>825</v>
      </c>
      <c r="H1104" s="7" t="str">
        <f t="shared" si="139"/>
        <v>CLK_DETM_DETIS_P1DS</v>
      </c>
      <c r="I1104" s="7" t="str">
        <f t="shared" si="140"/>
        <v>RCRD_DEL_IND</v>
      </c>
      <c r="J1104" s="7" t="str">
        <f t="shared" si="141"/>
        <v>SMALLINT</v>
      </c>
      <c r="K1104" s="7" t="str">
        <f>TRIM(ETLMetadata!$G1104)</f>
        <v>BYTEINT</v>
      </c>
      <c r="L1104" s="7" t="str">
        <f>TRIM(ETLMetadata!$I1104)</f>
        <v/>
      </c>
      <c r="M1104" s="7" t="str">
        <f t="shared" si="142"/>
        <v>CAST(NULLIF(TRIM(RCRD_DEL_IND),'') AS SMALLINT)</v>
      </c>
      <c r="N1104" s="7" t="str">
        <f>TRIM(ETLMetadata!$J1104)</f>
        <v/>
      </c>
      <c r="O1104" s="8" t="str">
        <f>IF(TRIM(Classification!$G1104)="","NOT CONFIDENTIAL",TRIM(Classification!$G1104))</f>
        <v>NOT CONFIDENTIAL</v>
      </c>
      <c r="P1104" s="7" t="str">
        <f t="shared" si="143"/>
        <v>N</v>
      </c>
      <c r="Q1104" s="7" t="s">
        <v>826</v>
      </c>
      <c r="R1104" s="9">
        <v>2958465</v>
      </c>
      <c r="S1104" s="7" t="s">
        <v>827</v>
      </c>
      <c r="T1104" s="7" t="s">
        <v>828</v>
      </c>
      <c r="U1104" s="7" t="str">
        <f t="shared" si="137"/>
        <v>CLK_DETM_DETIS_P1DS_V</v>
      </c>
      <c r="V1104" s="7" t="s">
        <v>829</v>
      </c>
    </row>
    <row r="1105" spans="1:22">
      <c r="A1105" s="7" t="str">
        <f>TRIM(ETLMetadata!$B1105)</f>
        <v>CLK</v>
      </c>
      <c r="B1105" s="7" t="str">
        <f>TRIM(ETLMetadata!$C1105)</f>
        <v>DETM_DETIS_PGDS</v>
      </c>
      <c r="C1105" s="7" t="str">
        <f>TRIM(ETLMetadata!$F1105)</f>
        <v>EXTRACT_DATE</v>
      </c>
      <c r="D1105" s="7" t="str">
        <f>TRIM(ETLMetadata!$H1105)</f>
        <v>StringType()</v>
      </c>
      <c r="E1105" s="7" t="str">
        <f t="shared" si="136"/>
        <v>CLK_DETM_DETIS_PGDS</v>
      </c>
      <c r="F1105" s="7" t="str">
        <f t="shared" si="138"/>
        <v>EXTRACT_DATE</v>
      </c>
      <c r="G1105" s="7" t="s">
        <v>825</v>
      </c>
      <c r="H1105" s="7" t="str">
        <f t="shared" si="139"/>
        <v>CLK_DETM_DETIS_PGDS</v>
      </c>
      <c r="I1105" s="7" t="str">
        <f t="shared" si="140"/>
        <v>EXTRACT_DATE</v>
      </c>
      <c r="J1105" s="7" t="str">
        <f t="shared" si="141"/>
        <v>DATE</v>
      </c>
      <c r="K1105" s="7" t="str">
        <f>TRIM(ETLMetadata!$G1105)</f>
        <v>DATE</v>
      </c>
      <c r="L1105" s="7" t="str">
        <f>TRIM(ETLMetadata!$I1105)</f>
        <v>YYYY-MM-DD</v>
      </c>
      <c r="M1105" s="7" t="str">
        <f t="shared" si="142"/>
        <v>TO_DATE(NULLIF(TRIM(EXTRACT_DATE),'') , 'YYYY-MM-DD')</v>
      </c>
      <c r="N1105" s="7" t="str">
        <f>TRIM(ETLMetadata!$J1105)</f>
        <v/>
      </c>
      <c r="O1105" s="8" t="str">
        <f>IF(TRIM(Classification!$G1105)="","NOT CONFIDENTIAL",TRIM(Classification!$G1105))</f>
        <v>NOT CONFIDENTIAL</v>
      </c>
      <c r="P1105" s="7" t="str">
        <f t="shared" si="143"/>
        <v>Y</v>
      </c>
      <c r="Q1105" s="7" t="s">
        <v>826</v>
      </c>
      <c r="R1105" s="9">
        <v>2958465</v>
      </c>
      <c r="S1105" s="7" t="s">
        <v>827</v>
      </c>
      <c r="T1105" s="7" t="s">
        <v>828</v>
      </c>
      <c r="U1105" s="7" t="str">
        <f t="shared" si="137"/>
        <v>CLK_DETM_DETIS_PGDS_V</v>
      </c>
      <c r="V1105" s="7" t="s">
        <v>829</v>
      </c>
    </row>
    <row r="1106" spans="1:22">
      <c r="A1106" s="7" t="str">
        <f>TRIM(ETLMetadata!$B1106)</f>
        <v>CLK</v>
      </c>
      <c r="B1106" s="7" t="str">
        <f>TRIM(ETLMetadata!$C1106)</f>
        <v>DETM_DETIS_PGDS</v>
      </c>
      <c r="C1106" s="7" t="str">
        <f>TRIM(ETLMetadata!$F1106)</f>
        <v>LOGICAL_DELETE_DATE</v>
      </c>
      <c r="D1106" s="7" t="str">
        <f>TRIM(ETLMetadata!$H1106)</f>
        <v>StringType()</v>
      </c>
      <c r="E1106" s="7" t="str">
        <f t="shared" si="136"/>
        <v>CLK_DETM_DETIS_PGDS</v>
      </c>
      <c r="F1106" s="7" t="str">
        <f t="shared" si="138"/>
        <v>LOGICAL_DELETE_DATE</v>
      </c>
      <c r="G1106" s="7" t="s">
        <v>825</v>
      </c>
      <c r="H1106" s="7" t="str">
        <f t="shared" si="139"/>
        <v>CLK_DETM_DETIS_PGDS</v>
      </c>
      <c r="I1106" s="7" t="str">
        <f t="shared" si="140"/>
        <v>LOGICAL_DELETE_DATE</v>
      </c>
      <c r="J1106" s="7" t="str">
        <f t="shared" si="141"/>
        <v>DATE</v>
      </c>
      <c r="K1106" s="7" t="str">
        <f>TRIM(ETLMetadata!$G1106)</f>
        <v>DATE</v>
      </c>
      <c r="L1106" s="7" t="str">
        <f>TRIM(ETLMetadata!$I1106)</f>
        <v>YYYY-MM-DD</v>
      </c>
      <c r="M1106" s="7" t="str">
        <f t="shared" si="142"/>
        <v>TO_DATE(NULLIF(TRIM(LOGICAL_DELETE_DATE),'') , 'YYYY-MM-DD')</v>
      </c>
      <c r="N1106" s="7" t="str">
        <f>TRIM(ETLMetadata!$J1106)</f>
        <v/>
      </c>
      <c r="O1106" s="8" t="str">
        <f>IF(TRIM(Classification!$G1106)="","NOT CONFIDENTIAL",TRIM(Classification!$G1106))</f>
        <v>NOT CONFIDENTIAL</v>
      </c>
      <c r="P1106" s="7" t="str">
        <f t="shared" si="143"/>
        <v>Y</v>
      </c>
      <c r="Q1106" s="7" t="s">
        <v>826</v>
      </c>
      <c r="R1106" s="9">
        <v>2958465</v>
      </c>
      <c r="S1106" s="7" t="s">
        <v>827</v>
      </c>
      <c r="T1106" s="7" t="s">
        <v>828</v>
      </c>
      <c r="U1106" s="7" t="str">
        <f t="shared" si="137"/>
        <v>CLK_DETM_DETIS_PGDS_V</v>
      </c>
      <c r="V1106" s="7" t="s">
        <v>829</v>
      </c>
    </row>
    <row r="1107" spans="1:22">
      <c r="A1107" s="7" t="str">
        <f>TRIM(ETLMetadata!$B1107)</f>
        <v>CLK</v>
      </c>
      <c r="B1107" s="7" t="str">
        <f>TRIM(ETLMetadata!$C1107)</f>
        <v>DETM_DETIS_PGDS</v>
      </c>
      <c r="C1107" s="7" t="str">
        <f>TRIM(ETLMetadata!$F1107)</f>
        <v>ENVIRONMENT_ID</v>
      </c>
      <c r="D1107" s="7" t="str">
        <f>TRIM(ETLMetadata!$H1107)</f>
        <v>StringType()</v>
      </c>
      <c r="E1107" s="7" t="str">
        <f t="shared" si="136"/>
        <v>CLK_DETM_DETIS_PGDS</v>
      </c>
      <c r="F1107" s="7" t="str">
        <f t="shared" si="138"/>
        <v>ENVIRONMENT_ID</v>
      </c>
      <c r="G1107" s="7" t="s">
        <v>825</v>
      </c>
      <c r="H1107" s="7" t="str">
        <f t="shared" si="139"/>
        <v>CLK_DETM_DETIS_PGDS</v>
      </c>
      <c r="I1107" s="7" t="str">
        <f t="shared" si="140"/>
        <v>ENVIRONMENT_ID</v>
      </c>
      <c r="J1107" s="7" t="str">
        <f t="shared" si="141"/>
        <v>VARCHAR</v>
      </c>
      <c r="K1107" s="7" t="str">
        <f>TRIM(ETLMetadata!$G1107)</f>
        <v>CHAR(1)</v>
      </c>
      <c r="L1107" s="7" t="str">
        <f>TRIM(ETLMetadata!$I1107)</f>
        <v/>
      </c>
      <c r="M1107" s="7" t="str">
        <f t="shared" si="142"/>
        <v>NULLIF(TRIM(ENVIRONMENT_ID),'')</v>
      </c>
      <c r="N1107" s="7" t="str">
        <f>TRIM(ETLMetadata!$J1107)</f>
        <v>Y</v>
      </c>
      <c r="O1107" s="8" t="str">
        <f>IF(TRIM(Classification!$G1107)="","NOT CONFIDENTIAL",TRIM(Classification!$G1107))</f>
        <v>NOT CONFIDENTIAL</v>
      </c>
      <c r="P1107" s="7" t="str">
        <f t="shared" si="143"/>
        <v>Y</v>
      </c>
      <c r="Q1107" s="7" t="s">
        <v>826</v>
      </c>
      <c r="R1107" s="9">
        <v>2958465</v>
      </c>
      <c r="S1107" s="7" t="s">
        <v>827</v>
      </c>
      <c r="T1107" s="7" t="s">
        <v>828</v>
      </c>
      <c r="U1107" s="7" t="str">
        <f t="shared" si="137"/>
        <v>CLK_DETM_DETIS_PGDS_V</v>
      </c>
      <c r="V1107" s="7" t="s">
        <v>829</v>
      </c>
    </row>
    <row r="1108" spans="1:22">
      <c r="A1108" s="7" t="str">
        <f>TRIM(ETLMetadata!$B1108)</f>
        <v>CLK</v>
      </c>
      <c r="B1108" s="7" t="str">
        <f>TRIM(ETLMetadata!$C1108)</f>
        <v>DETM_DETIS_PGDS</v>
      </c>
      <c r="C1108" s="7" t="str">
        <f>TRIM(ETLMetadata!$F1108)</f>
        <v>PERSON_ID</v>
      </c>
      <c r="D1108" s="7" t="str">
        <f>TRIM(ETLMetadata!$H1108)</f>
        <v>StringType()</v>
      </c>
      <c r="E1108" s="7" t="str">
        <f t="shared" si="136"/>
        <v>CLK_DETM_DETIS_PGDS</v>
      </c>
      <c r="F1108" s="7" t="str">
        <f t="shared" si="138"/>
        <v>PERSON_ID</v>
      </c>
      <c r="G1108" s="7" t="s">
        <v>825</v>
      </c>
      <c r="H1108" s="7" t="str">
        <f t="shared" si="139"/>
        <v>CLK_DETM_DETIS_PGDS</v>
      </c>
      <c r="I1108" s="7" t="str">
        <f t="shared" si="140"/>
        <v>PERSON_ID</v>
      </c>
      <c r="J1108" s="7" t="str">
        <f t="shared" si="141"/>
        <v>INTEGER</v>
      </c>
      <c r="K1108" s="7" t="str">
        <f>TRIM(ETLMetadata!$G1108)</f>
        <v>INTEGER</v>
      </c>
      <c r="L1108" s="7" t="str">
        <f>TRIM(ETLMetadata!$I1108)</f>
        <v/>
      </c>
      <c r="M1108" s="7" t="str">
        <f t="shared" si="142"/>
        <v>CAST(NULLIF(TRIM(PERSON_ID),'') AS INTEGER)</v>
      </c>
      <c r="N1108" s="7" t="str">
        <f>TRIM(ETLMetadata!$J1108)</f>
        <v>Y</v>
      </c>
      <c r="O1108" s="8" t="str">
        <f>IF(TRIM(Classification!$G1108)="","NOT CONFIDENTIAL",TRIM(Classification!$G1108))</f>
        <v>PERSONAL_IDENTITYINFOINDIRECT</v>
      </c>
      <c r="P1108" s="7" t="str">
        <f t="shared" si="143"/>
        <v>Y</v>
      </c>
      <c r="Q1108" s="7" t="s">
        <v>826</v>
      </c>
      <c r="R1108" s="9">
        <v>2958465</v>
      </c>
      <c r="S1108" s="7" t="s">
        <v>827</v>
      </c>
      <c r="T1108" s="7" t="s">
        <v>828</v>
      </c>
      <c r="U1108" s="7" t="str">
        <f t="shared" si="137"/>
        <v>CLK_DETM_DETIS_PGDS_V</v>
      </c>
      <c r="V1108" s="7" t="s">
        <v>829</v>
      </c>
    </row>
    <row r="1109" spans="1:22">
      <c r="A1109" s="7" t="str">
        <f>TRIM(ETLMetadata!$B1109)</f>
        <v>CLK</v>
      </c>
      <c r="B1109" s="7" t="str">
        <f>TRIM(ETLMetadata!$C1109)</f>
        <v>DETM_DETIS_PGDS</v>
      </c>
      <c r="C1109" s="7" t="str">
        <f>TRIM(ETLMetadata!$F1109)</f>
        <v>PGDS_DOE</v>
      </c>
      <c r="D1109" s="7" t="str">
        <f>TRIM(ETLMetadata!$H1109)</f>
        <v>StringType()</v>
      </c>
      <c r="E1109" s="7" t="str">
        <f t="shared" si="136"/>
        <v>CLK_DETM_DETIS_PGDS</v>
      </c>
      <c r="F1109" s="7" t="str">
        <f t="shared" si="138"/>
        <v>PGDS_DOE</v>
      </c>
      <c r="G1109" s="7" t="s">
        <v>825</v>
      </c>
      <c r="H1109" s="7" t="str">
        <f t="shared" si="139"/>
        <v>CLK_DETM_DETIS_PGDS</v>
      </c>
      <c r="I1109" s="7" t="str">
        <f t="shared" si="140"/>
        <v>PGDS_DOE</v>
      </c>
      <c r="J1109" s="7" t="str">
        <f t="shared" si="141"/>
        <v>DATE</v>
      </c>
      <c r="K1109" s="17" t="s">
        <v>80</v>
      </c>
      <c r="L1109" s="7" t="str">
        <f>TRIM(ETLMetadata!$I1109)</f>
        <v>YYYY-MM-DD</v>
      </c>
      <c r="M1109" s="7" t="str">
        <f t="shared" si="142"/>
        <v>TO_DATE(NULLIF(TRIM(PGDS_DOE),'') , 'YYYY-MM-DD')</v>
      </c>
      <c r="N1109" s="7" t="str">
        <f>TRIM(ETLMetadata!$J1109)</f>
        <v/>
      </c>
      <c r="O1109" s="8" t="str">
        <f>IF(TRIM(Classification!$G1109)="","NOT CONFIDENTIAL",TRIM(Classification!$G1109))</f>
        <v>NOT CONFIDENTIAL</v>
      </c>
      <c r="P1109" s="7" t="str">
        <f t="shared" si="143"/>
        <v>Y</v>
      </c>
      <c r="Q1109" s="7" t="s">
        <v>826</v>
      </c>
      <c r="R1109" s="9">
        <v>2958465</v>
      </c>
      <c r="S1109" s="7" t="s">
        <v>827</v>
      </c>
      <c r="T1109" s="7" t="s">
        <v>828</v>
      </c>
      <c r="U1109" s="7" t="str">
        <f t="shared" si="137"/>
        <v>CLK_DETM_DETIS_PGDS_V</v>
      </c>
      <c r="V1109" s="7" t="s">
        <v>829</v>
      </c>
    </row>
    <row r="1110" spans="1:22">
      <c r="A1110" s="7" t="str">
        <f>TRIM(ETLMetadata!$B1110)</f>
        <v>CLK</v>
      </c>
      <c r="B1110" s="7" t="str">
        <f>TRIM(ETLMetadata!$C1110)</f>
        <v>DETM_DETIS_PGDS</v>
      </c>
      <c r="C1110" s="7" t="str">
        <f>TRIM(ETLMetadata!$F1110)</f>
        <v>PGDS_DOE_ORIG</v>
      </c>
      <c r="D1110" s="7" t="str">
        <f>TRIM(ETLMetadata!$H1110)</f>
        <v>StringType()</v>
      </c>
      <c r="E1110" s="7" t="str">
        <f t="shared" si="136"/>
        <v>CLK_DETM_DETIS_PGDS</v>
      </c>
      <c r="F1110" s="7" t="str">
        <f t="shared" si="138"/>
        <v>PGDS_DOE_ORIG</v>
      </c>
      <c r="G1110" s="7" t="s">
        <v>825</v>
      </c>
      <c r="H1110" s="7" t="str">
        <f t="shared" si="139"/>
        <v>CLK_DETM_DETIS_PGDS</v>
      </c>
      <c r="I1110" s="7" t="str">
        <f t="shared" si="140"/>
        <v>PGDS_DOE_ORIG</v>
      </c>
      <c r="J1110" s="7" t="str">
        <f t="shared" si="141"/>
        <v>INTEGER</v>
      </c>
      <c r="K1110" s="17" t="s">
        <v>90</v>
      </c>
      <c r="L1110" s="7" t="str">
        <f>TRIM(ETLMetadata!$I1110)</f>
        <v/>
      </c>
      <c r="M1110" s="7" t="str">
        <f t="shared" si="142"/>
        <v>CAST(NULLIF(TRIM(PGDS_DOE_ORIG),'') AS INTEGER)</v>
      </c>
      <c r="N1110" s="7" t="str">
        <f>TRIM(ETLMetadata!$J1110)</f>
        <v/>
      </c>
      <c r="O1110" s="8" t="str">
        <f>IF(TRIM(Classification!$G1110)="","NOT CONFIDENTIAL",TRIM(Classification!$G1110))</f>
        <v>NOT CONFIDENTIAL</v>
      </c>
      <c r="P1110" s="7" t="str">
        <f t="shared" si="143"/>
        <v>Y</v>
      </c>
      <c r="Q1110" s="7" t="s">
        <v>826</v>
      </c>
      <c r="R1110" s="9">
        <v>2958465</v>
      </c>
      <c r="S1110" s="7" t="s">
        <v>827</v>
      </c>
      <c r="T1110" s="7" t="s">
        <v>828</v>
      </c>
      <c r="U1110" s="7" t="str">
        <f t="shared" si="137"/>
        <v>CLK_DETM_DETIS_PGDS_V</v>
      </c>
      <c r="V1110" s="7" t="s">
        <v>829</v>
      </c>
    </row>
    <row r="1111" spans="1:22">
      <c r="A1111" s="7" t="str">
        <f>TRIM(ETLMetadata!$B1111)</f>
        <v>CLK</v>
      </c>
      <c r="B1111" s="7" t="str">
        <f>TRIM(ETLMetadata!$C1111)</f>
        <v>DETM_DETIS_PGDS</v>
      </c>
      <c r="C1111" s="7" t="str">
        <f>TRIM(ETLMetadata!$F1111)</f>
        <v>PROCESSING_SEQUENCE</v>
      </c>
      <c r="D1111" s="7" t="str">
        <f>TRIM(ETLMetadata!$H1111)</f>
        <v>StringType()</v>
      </c>
      <c r="E1111" s="7" t="str">
        <f t="shared" si="136"/>
        <v>CLK_DETM_DETIS_PGDS</v>
      </c>
      <c r="F1111" s="7" t="str">
        <f t="shared" si="138"/>
        <v>PROCESSING_SEQUENCE</v>
      </c>
      <c r="G1111" s="7" t="s">
        <v>825</v>
      </c>
      <c r="H1111" s="7" t="str">
        <f t="shared" si="139"/>
        <v>CLK_DETM_DETIS_PGDS</v>
      </c>
      <c r="I1111" s="7" t="str">
        <f t="shared" si="140"/>
        <v>PROCESSING_SEQUENCE</v>
      </c>
      <c r="J1111" s="7" t="str">
        <f t="shared" si="141"/>
        <v>SMALLINT</v>
      </c>
      <c r="K1111" s="7" t="str">
        <f>TRIM(ETLMetadata!$G1111)</f>
        <v>SMALLINT</v>
      </c>
      <c r="L1111" s="7" t="str">
        <f>TRIM(ETLMetadata!$I1111)</f>
        <v/>
      </c>
      <c r="M1111" s="7" t="str">
        <f t="shared" si="142"/>
        <v>CAST(NULLIF(TRIM(PROCESSING_SEQUENCE),'') AS SMALLINT)</v>
      </c>
      <c r="N1111" s="7" t="str">
        <f>TRIM(ETLMetadata!$J1111)</f>
        <v>Y</v>
      </c>
      <c r="O1111" s="8" t="str">
        <f>IF(TRIM(Classification!$G1111)="","NOT CONFIDENTIAL",TRIM(Classification!$G1111))</f>
        <v>NOT CONFIDENTIAL</v>
      </c>
      <c r="P1111" s="7" t="str">
        <f t="shared" si="143"/>
        <v>Y</v>
      </c>
      <c r="Q1111" s="7" t="s">
        <v>826</v>
      </c>
      <c r="R1111" s="9">
        <v>2958465</v>
      </c>
      <c r="S1111" s="7" t="s">
        <v>827</v>
      </c>
      <c r="T1111" s="7" t="s">
        <v>828</v>
      </c>
      <c r="U1111" s="7" t="str">
        <f t="shared" si="137"/>
        <v>CLK_DETM_DETIS_PGDS_V</v>
      </c>
      <c r="V1111" s="7" t="s">
        <v>829</v>
      </c>
    </row>
    <row r="1112" spans="1:22">
      <c r="A1112" s="7" t="str">
        <f>TRIM(ETLMetadata!$B1112)</f>
        <v>CLK</v>
      </c>
      <c r="B1112" s="7" t="str">
        <f>TRIM(ETLMetadata!$C1112)</f>
        <v>DETM_DETIS_PGDS</v>
      </c>
      <c r="C1112" s="7" t="str">
        <f>TRIM(ETLMetadata!$F1112)</f>
        <v>PGDS_AMR_1</v>
      </c>
      <c r="D1112" s="7" t="str">
        <f>TRIM(ETLMetadata!$H1112)</f>
        <v>StringType()</v>
      </c>
      <c r="E1112" s="7" t="str">
        <f t="shared" si="136"/>
        <v>CLK_DETM_DETIS_PGDS</v>
      </c>
      <c r="F1112" s="7" t="str">
        <f t="shared" si="138"/>
        <v>PGDS_AMR_1</v>
      </c>
      <c r="G1112" s="7" t="s">
        <v>825</v>
      </c>
      <c r="H1112" s="7" t="str">
        <f t="shared" si="139"/>
        <v>CLK_DETM_DETIS_PGDS</v>
      </c>
      <c r="I1112" s="7" t="str">
        <f t="shared" si="140"/>
        <v>PGDS_AMR_1</v>
      </c>
      <c r="J1112" s="7" t="str">
        <f t="shared" si="141"/>
        <v>VARCHAR</v>
      </c>
      <c r="K1112" s="7" t="str">
        <f>TRIM(ETLMetadata!$G1112)</f>
        <v>CHAR(4)</v>
      </c>
      <c r="L1112" s="7" t="str">
        <f>TRIM(ETLMetadata!$I1112)</f>
        <v/>
      </c>
      <c r="M1112" s="7" t="str">
        <f t="shared" si="142"/>
        <v>NULLIF(TRIM(PGDS_AMR_1),'')</v>
      </c>
      <c r="N1112" s="7" t="str">
        <f>TRIM(ETLMetadata!$J1112)</f>
        <v/>
      </c>
      <c r="O1112" s="8" t="str">
        <f>IF(TRIM(Classification!$G1112)="","NOT CONFIDENTIAL",TRIM(Classification!$G1112))</f>
        <v>NOT CONFIDENTIAL</v>
      </c>
      <c r="P1112" s="7" t="str">
        <f t="shared" si="143"/>
        <v>Y</v>
      </c>
      <c r="Q1112" s="7" t="s">
        <v>826</v>
      </c>
      <c r="R1112" s="9">
        <v>2958465</v>
      </c>
      <c r="S1112" s="7" t="s">
        <v>827</v>
      </c>
      <c r="T1112" s="7" t="s">
        <v>828</v>
      </c>
      <c r="U1112" s="7" t="str">
        <f t="shared" si="137"/>
        <v>CLK_DETM_DETIS_PGDS_V</v>
      </c>
      <c r="V1112" s="7" t="s">
        <v>829</v>
      </c>
    </row>
    <row r="1113" spans="1:22">
      <c r="A1113" s="7" t="str">
        <f>TRIM(ETLMetadata!$B1113)</f>
        <v>CLK</v>
      </c>
      <c r="B1113" s="7" t="str">
        <f>TRIM(ETLMetadata!$C1113)</f>
        <v>DETM_DETIS_PGDS</v>
      </c>
      <c r="C1113" s="7" t="str">
        <f>TRIM(ETLMetadata!$F1113)</f>
        <v>PGDS_AMR_2</v>
      </c>
      <c r="D1113" s="7" t="str">
        <f>TRIM(ETLMetadata!$H1113)</f>
        <v>StringType()</v>
      </c>
      <c r="E1113" s="7" t="str">
        <f t="shared" si="136"/>
        <v>CLK_DETM_DETIS_PGDS</v>
      </c>
      <c r="F1113" s="7" t="str">
        <f t="shared" si="138"/>
        <v>PGDS_AMR_2</v>
      </c>
      <c r="G1113" s="7" t="s">
        <v>825</v>
      </c>
      <c r="H1113" s="7" t="str">
        <f t="shared" si="139"/>
        <v>CLK_DETM_DETIS_PGDS</v>
      </c>
      <c r="I1113" s="7" t="str">
        <f t="shared" si="140"/>
        <v>PGDS_AMR_2</v>
      </c>
      <c r="J1113" s="7" t="str">
        <f t="shared" si="141"/>
        <v>VARCHAR</v>
      </c>
      <c r="K1113" s="7" t="str">
        <f>TRIM(ETLMetadata!$G1113)</f>
        <v>CHAR(1)</v>
      </c>
      <c r="L1113" s="7" t="str">
        <f>TRIM(ETLMetadata!$I1113)</f>
        <v/>
      </c>
      <c r="M1113" s="7" t="str">
        <f t="shared" si="142"/>
        <v>NULLIF(TRIM(PGDS_AMR_2),'')</v>
      </c>
      <c r="N1113" s="7" t="str">
        <f>TRIM(ETLMetadata!$J1113)</f>
        <v/>
      </c>
      <c r="O1113" s="8" t="str">
        <f>IF(TRIM(Classification!$G1113)="","NOT CONFIDENTIAL",TRIM(Classification!$G1113))</f>
        <v>NOT CONFIDENTIAL</v>
      </c>
      <c r="P1113" s="7" t="str">
        <f t="shared" si="143"/>
        <v>Y</v>
      </c>
      <c r="Q1113" s="7" t="s">
        <v>826</v>
      </c>
      <c r="R1113" s="9">
        <v>2958465</v>
      </c>
      <c r="S1113" s="7" t="s">
        <v>827</v>
      </c>
      <c r="T1113" s="7" t="s">
        <v>828</v>
      </c>
      <c r="U1113" s="7" t="str">
        <f t="shared" si="137"/>
        <v>CLK_DETM_DETIS_PGDS_V</v>
      </c>
      <c r="V1113" s="7" t="s">
        <v>829</v>
      </c>
    </row>
    <row r="1114" spans="1:22">
      <c r="A1114" s="7" t="str">
        <f>TRIM(ETLMetadata!$B1114)</f>
        <v>CLK</v>
      </c>
      <c r="B1114" s="7" t="str">
        <f>TRIM(ETLMetadata!$C1114)</f>
        <v>DETM_DETIS_PGDS</v>
      </c>
      <c r="C1114" s="7" t="str">
        <f>TRIM(ETLMetadata!$F1114)</f>
        <v>PGDS_AMR_3</v>
      </c>
      <c r="D1114" s="7" t="str">
        <f>TRIM(ETLMetadata!$H1114)</f>
        <v>StringType()</v>
      </c>
      <c r="E1114" s="7" t="str">
        <f t="shared" si="136"/>
        <v>CLK_DETM_DETIS_PGDS</v>
      </c>
      <c r="F1114" s="7" t="str">
        <f t="shared" si="138"/>
        <v>PGDS_AMR_3</v>
      </c>
      <c r="G1114" s="7" t="s">
        <v>825</v>
      </c>
      <c r="H1114" s="7" t="str">
        <f t="shared" si="139"/>
        <v>CLK_DETM_DETIS_PGDS</v>
      </c>
      <c r="I1114" s="7" t="str">
        <f t="shared" si="140"/>
        <v>PGDS_AMR_3</v>
      </c>
      <c r="J1114" s="7" t="str">
        <f t="shared" si="141"/>
        <v>VARCHAR</v>
      </c>
      <c r="K1114" s="7" t="str">
        <f>TRIM(ETLMetadata!$G1114)</f>
        <v>CHAR(4)</v>
      </c>
      <c r="L1114" s="7" t="str">
        <f>TRIM(ETLMetadata!$I1114)</f>
        <v/>
      </c>
      <c r="M1114" s="7" t="str">
        <f t="shared" si="142"/>
        <v>NULLIF(TRIM(PGDS_AMR_3),'')</v>
      </c>
      <c r="N1114" s="7" t="str">
        <f>TRIM(ETLMetadata!$J1114)</f>
        <v/>
      </c>
      <c r="O1114" s="8" t="str">
        <f>IF(TRIM(Classification!$G1114)="","NOT CONFIDENTIAL",TRIM(Classification!$G1114))</f>
        <v>NOT CONFIDENTIAL</v>
      </c>
      <c r="P1114" s="7" t="str">
        <f t="shared" si="143"/>
        <v>Y</v>
      </c>
      <c r="Q1114" s="7" t="s">
        <v>826</v>
      </c>
      <c r="R1114" s="9">
        <v>2958465</v>
      </c>
      <c r="S1114" s="7" t="s">
        <v>827</v>
      </c>
      <c r="T1114" s="7" t="s">
        <v>828</v>
      </c>
      <c r="U1114" s="7" t="str">
        <f t="shared" si="137"/>
        <v>CLK_DETM_DETIS_PGDS_V</v>
      </c>
      <c r="V1114" s="7" t="s">
        <v>829</v>
      </c>
    </row>
    <row r="1115" spans="1:22">
      <c r="A1115" s="7" t="str">
        <f>TRIM(ETLMetadata!$B1115)</f>
        <v>CLK</v>
      </c>
      <c r="B1115" s="7" t="str">
        <f>TRIM(ETLMetadata!$C1115)</f>
        <v>DETM_DETIS_PGDS</v>
      </c>
      <c r="C1115" s="7" t="str">
        <f>TRIM(ETLMetadata!$F1115)</f>
        <v>PGDS_BEN_TYPE_CODE</v>
      </c>
      <c r="D1115" s="7" t="str">
        <f>TRIM(ETLMetadata!$H1115)</f>
        <v>StringType()</v>
      </c>
      <c r="E1115" s="7" t="str">
        <f t="shared" si="136"/>
        <v>CLK_DETM_DETIS_PGDS</v>
      </c>
      <c r="F1115" s="7" t="str">
        <f t="shared" si="138"/>
        <v>PGDS_BEN_TYPE_CODE</v>
      </c>
      <c r="G1115" s="7" t="s">
        <v>825</v>
      </c>
      <c r="H1115" s="7" t="str">
        <f t="shared" si="139"/>
        <v>CLK_DETM_DETIS_PGDS</v>
      </c>
      <c r="I1115" s="7" t="str">
        <f t="shared" si="140"/>
        <v>PGDS_BEN_TYPE_CODE</v>
      </c>
      <c r="J1115" s="7" t="str">
        <f t="shared" si="141"/>
        <v>VARCHAR</v>
      </c>
      <c r="K1115" s="7" t="str">
        <f>TRIM(ETLMetadata!$G1115)</f>
        <v>CHAR(3)</v>
      </c>
      <c r="L1115" s="7" t="str">
        <f>TRIM(ETLMetadata!$I1115)</f>
        <v/>
      </c>
      <c r="M1115" s="7" t="str">
        <f t="shared" si="142"/>
        <v>NULLIF(TRIM(PGDS_BEN_TYPE_CODE),'')</v>
      </c>
      <c r="N1115" s="7" t="str">
        <f>TRIM(ETLMetadata!$J1115)</f>
        <v/>
      </c>
      <c r="O1115" s="8" t="str">
        <f>IF(TRIM(Classification!$G1115)="","NOT CONFIDENTIAL",TRIM(Classification!$G1115))</f>
        <v>NOT CONFIDENTIAL</v>
      </c>
      <c r="P1115" s="7" t="str">
        <f t="shared" si="143"/>
        <v>Y</v>
      </c>
      <c r="Q1115" s="7" t="s">
        <v>826</v>
      </c>
      <c r="R1115" s="9">
        <v>2958465</v>
      </c>
      <c r="S1115" s="7" t="s">
        <v>827</v>
      </c>
      <c r="T1115" s="7" t="s">
        <v>828</v>
      </c>
      <c r="U1115" s="7" t="str">
        <f t="shared" si="137"/>
        <v>CLK_DETM_DETIS_PGDS_V</v>
      </c>
      <c r="V1115" s="7" t="s">
        <v>829</v>
      </c>
    </row>
    <row r="1116" spans="1:22">
      <c r="A1116" s="7" t="str">
        <f>TRIM(ETLMetadata!$B1116)</f>
        <v>CLK</v>
      </c>
      <c r="B1116" s="7" t="str">
        <f>TRIM(ETLMetadata!$C1116)</f>
        <v>DETM_DETIS_PGDS</v>
      </c>
      <c r="C1116" s="7" t="str">
        <f>TRIM(ETLMetadata!$F1116)</f>
        <v>PGDS_STS_CODE</v>
      </c>
      <c r="D1116" s="7" t="str">
        <f>TRIM(ETLMetadata!$H1116)</f>
        <v>StringType()</v>
      </c>
      <c r="E1116" s="7" t="str">
        <f t="shared" si="136"/>
        <v>CLK_DETM_DETIS_PGDS</v>
      </c>
      <c r="F1116" s="7" t="str">
        <f t="shared" si="138"/>
        <v>PGDS_STS_CODE</v>
      </c>
      <c r="G1116" s="7" t="s">
        <v>825</v>
      </c>
      <c r="H1116" s="7" t="str">
        <f t="shared" si="139"/>
        <v>CLK_DETM_DETIS_PGDS</v>
      </c>
      <c r="I1116" s="7" t="str">
        <f t="shared" si="140"/>
        <v>PGDS_STS_CODE</v>
      </c>
      <c r="J1116" s="7" t="str">
        <f t="shared" si="141"/>
        <v>VARCHAR</v>
      </c>
      <c r="K1116" s="7" t="str">
        <f>TRIM(ETLMetadata!$G1116)</f>
        <v>CHAR(3)</v>
      </c>
      <c r="L1116" s="7" t="str">
        <f>TRIM(ETLMetadata!$I1116)</f>
        <v/>
      </c>
      <c r="M1116" s="7" t="str">
        <f t="shared" si="142"/>
        <v>NULLIF(TRIM(PGDS_STS_CODE),'')</v>
      </c>
      <c r="N1116" s="7" t="str">
        <f>TRIM(ETLMetadata!$J1116)</f>
        <v/>
      </c>
      <c r="O1116" s="8" t="str">
        <f>IF(TRIM(Classification!$G1116)="","NOT CONFIDENTIAL",TRIM(Classification!$G1116))</f>
        <v>NOT CONFIDENTIAL</v>
      </c>
      <c r="P1116" s="7" t="str">
        <f t="shared" si="143"/>
        <v>Y</v>
      </c>
      <c r="Q1116" s="7" t="s">
        <v>826</v>
      </c>
      <c r="R1116" s="9">
        <v>2958465</v>
      </c>
      <c r="S1116" s="7" t="s">
        <v>827</v>
      </c>
      <c r="T1116" s="7" t="s">
        <v>828</v>
      </c>
      <c r="U1116" s="7" t="str">
        <f t="shared" si="137"/>
        <v>CLK_DETM_DETIS_PGDS_V</v>
      </c>
      <c r="V1116" s="7" t="s">
        <v>829</v>
      </c>
    </row>
    <row r="1117" spans="1:22">
      <c r="A1117" s="7" t="str">
        <f>TRIM(ETLMetadata!$B1117)</f>
        <v>CLK</v>
      </c>
      <c r="B1117" s="7" t="str">
        <f>TRIM(ETLMetadata!$C1117)</f>
        <v>DETM_DETIS_PGDS</v>
      </c>
      <c r="C1117" s="7" t="str">
        <f>TRIM(ETLMetadata!$F1117)</f>
        <v>PGDS_RSN_CODE</v>
      </c>
      <c r="D1117" s="7" t="str">
        <f>TRIM(ETLMetadata!$H1117)</f>
        <v>StringType()</v>
      </c>
      <c r="E1117" s="7" t="str">
        <f t="shared" si="136"/>
        <v>CLK_DETM_DETIS_PGDS</v>
      </c>
      <c r="F1117" s="7" t="str">
        <f t="shared" si="138"/>
        <v>PGDS_RSN_CODE</v>
      </c>
      <c r="G1117" s="7" t="s">
        <v>825</v>
      </c>
      <c r="H1117" s="7" t="str">
        <f t="shared" si="139"/>
        <v>CLK_DETM_DETIS_PGDS</v>
      </c>
      <c r="I1117" s="7" t="str">
        <f t="shared" si="140"/>
        <v>PGDS_RSN_CODE</v>
      </c>
      <c r="J1117" s="7" t="str">
        <f t="shared" si="141"/>
        <v>VARCHAR</v>
      </c>
      <c r="K1117" s="7" t="str">
        <f>TRIM(ETLMetadata!$G1117)</f>
        <v>CHAR(3)</v>
      </c>
      <c r="L1117" s="7" t="str">
        <f>TRIM(ETLMetadata!$I1117)</f>
        <v/>
      </c>
      <c r="M1117" s="7" t="str">
        <f t="shared" si="142"/>
        <v>NULLIF(TRIM(PGDS_RSN_CODE),'')</v>
      </c>
      <c r="N1117" s="7" t="str">
        <f>TRIM(ETLMetadata!$J1117)</f>
        <v/>
      </c>
      <c r="O1117" s="8" t="str">
        <f>IF(TRIM(Classification!$G1117)="","NOT CONFIDENTIAL",TRIM(Classification!$G1117))</f>
        <v>NOT CONFIDENTIAL</v>
      </c>
      <c r="P1117" s="7" t="str">
        <f t="shared" si="143"/>
        <v>Y</v>
      </c>
      <c r="Q1117" s="7" t="s">
        <v>826</v>
      </c>
      <c r="R1117" s="9">
        <v>2958465</v>
      </c>
      <c r="S1117" s="7" t="s">
        <v>827</v>
      </c>
      <c r="T1117" s="7" t="s">
        <v>828</v>
      </c>
      <c r="U1117" s="7" t="str">
        <f t="shared" si="137"/>
        <v>CLK_DETM_DETIS_PGDS_V</v>
      </c>
      <c r="V1117" s="7" t="s">
        <v>829</v>
      </c>
    </row>
    <row r="1118" spans="1:22">
      <c r="A1118" s="7" t="str">
        <f>TRIM(ETLMetadata!$B1118)</f>
        <v>CLK</v>
      </c>
      <c r="B1118" s="7" t="str">
        <f>TRIM(ETLMetadata!$C1118)</f>
        <v>DETM_DETIS_PGDS</v>
      </c>
      <c r="C1118" s="7" t="str">
        <f>TRIM(ETLMetadata!$F1118)</f>
        <v>PGDS_UNIQ_ID</v>
      </c>
      <c r="D1118" s="7" t="str">
        <f>TRIM(ETLMetadata!$H1118)</f>
        <v>StringType()</v>
      </c>
      <c r="E1118" s="7" t="str">
        <f t="shared" si="136"/>
        <v>CLK_DETM_DETIS_PGDS</v>
      </c>
      <c r="F1118" s="7" t="str">
        <f t="shared" si="138"/>
        <v>PGDS_UNIQ_ID</v>
      </c>
      <c r="G1118" s="7" t="s">
        <v>825</v>
      </c>
      <c r="H1118" s="7" t="str">
        <f t="shared" si="139"/>
        <v>CLK_DETM_DETIS_PGDS</v>
      </c>
      <c r="I1118" s="7" t="str">
        <f t="shared" si="140"/>
        <v>PGDS_UNIQ_ID</v>
      </c>
      <c r="J1118" s="7" t="str">
        <f t="shared" si="141"/>
        <v>VARCHAR</v>
      </c>
      <c r="K1118" s="7" t="str">
        <f>TRIM(ETLMetadata!$G1118)</f>
        <v>VARCHAR(8)</v>
      </c>
      <c r="L1118" s="7" t="str">
        <f>TRIM(ETLMetadata!$I1118)</f>
        <v/>
      </c>
      <c r="M1118" s="7" t="str">
        <f t="shared" si="142"/>
        <v>NULLIF(TRIM(PGDS_UNIQ_ID),'')</v>
      </c>
      <c r="N1118" s="7" t="str">
        <f>TRIM(ETLMetadata!$J1118)</f>
        <v/>
      </c>
      <c r="O1118" s="8" t="str">
        <f>IF(TRIM(Classification!$G1118)="","NOT CONFIDENTIAL",TRIM(Classification!$G1118))</f>
        <v>NOT CONFIDENTIAL</v>
      </c>
      <c r="P1118" s="7" t="str">
        <f t="shared" si="143"/>
        <v>Y</v>
      </c>
      <c r="Q1118" s="7" t="s">
        <v>826</v>
      </c>
      <c r="R1118" s="9">
        <v>2958465</v>
      </c>
      <c r="S1118" s="7" t="s">
        <v>827</v>
      </c>
      <c r="T1118" s="7" t="s">
        <v>828</v>
      </c>
      <c r="U1118" s="7" t="str">
        <f t="shared" si="137"/>
        <v>CLK_DETM_DETIS_PGDS_V</v>
      </c>
      <c r="V1118" s="7" t="s">
        <v>829</v>
      </c>
    </row>
    <row r="1119" spans="1:22">
      <c r="A1119" s="7" t="str">
        <f>TRIM(ETLMetadata!$B1119)</f>
        <v>CLK</v>
      </c>
      <c r="B1119" s="7" t="str">
        <f>TRIM(ETLMetadata!$C1119)</f>
        <v>DETM_DETIS_PGDS</v>
      </c>
      <c r="C1119" s="7" t="str">
        <f>TRIM(ETLMetadata!$F1119)</f>
        <v>AMR1_RISL_DTS</v>
      </c>
      <c r="D1119" s="7" t="str">
        <f>TRIM(ETLMetadata!$H1119)</f>
        <v>StringType()</v>
      </c>
      <c r="E1119" s="7" t="str">
        <f t="shared" ref="E1119:E1182" si="144">CONCATENATE($A1119,"_",B1119)</f>
        <v>CLK_DETM_DETIS_PGDS</v>
      </c>
      <c r="F1119" s="7" t="str">
        <f t="shared" si="138"/>
        <v>AMR1_RISL_DTS</v>
      </c>
      <c r="G1119" s="7" t="s">
        <v>825</v>
      </c>
      <c r="H1119" s="7" t="str">
        <f t="shared" si="139"/>
        <v>CLK_DETM_DETIS_PGDS</v>
      </c>
      <c r="I1119" s="7" t="str">
        <f t="shared" si="140"/>
        <v>AMR1_RISL_DTS</v>
      </c>
      <c r="J1119" s="7" t="str">
        <f t="shared" si="141"/>
        <v>TIMESTAMP</v>
      </c>
      <c r="K1119" s="7" t="str">
        <f>TRIM(ETLMetadata!$G1119)</f>
        <v>TIMESTAMP(6)</v>
      </c>
      <c r="L1119" s="7" t="str">
        <f>TRIM(ETLMetadata!$I1119)</f>
        <v>YYYY-MM-DDBHH:MI:SS.S(6)</v>
      </c>
      <c r="M1119" s="7" t="str">
        <f t="shared" si="142"/>
        <v>TO_TIMESTAMP_NTZ(NULLIF(TRIM(AMR1_RISL_DTS),''),'YYYY-MM-DD HH24:MI:SS.FF6')</v>
      </c>
      <c r="N1119" s="7" t="str">
        <f>TRIM(ETLMetadata!$J1119)</f>
        <v/>
      </c>
      <c r="O1119" s="8" t="str">
        <f>IF(TRIM(Classification!$G1119)="","NOT CONFIDENTIAL",TRIM(Classification!$G1119))</f>
        <v>NOT CONFIDENTIAL</v>
      </c>
      <c r="P1119" s="7" t="str">
        <f t="shared" si="143"/>
        <v>Y</v>
      </c>
      <c r="Q1119" s="7" t="s">
        <v>826</v>
      </c>
      <c r="R1119" s="9">
        <v>2958465</v>
      </c>
      <c r="S1119" s="7" t="s">
        <v>827</v>
      </c>
      <c r="T1119" s="7" t="s">
        <v>828</v>
      </c>
      <c r="U1119" s="7" t="str">
        <f t="shared" ref="U1119:U1182" si="145">CONCATENATE(A1119,"_",B1119,"_V")</f>
        <v>CLK_DETM_DETIS_PGDS_V</v>
      </c>
      <c r="V1119" s="7" t="s">
        <v>829</v>
      </c>
    </row>
    <row r="1120" spans="1:22">
      <c r="A1120" s="7" t="str">
        <f>TRIM(ETLMetadata!$B1120)</f>
        <v>CLK</v>
      </c>
      <c r="B1120" s="7" t="str">
        <f>TRIM(ETLMetadata!$C1120)</f>
        <v>DETM_DETIS_PGDS</v>
      </c>
      <c r="C1120" s="7" t="str">
        <f>TRIM(ETLMetadata!$F1120)</f>
        <v>AMR3_RISL_DTS</v>
      </c>
      <c r="D1120" s="7" t="str">
        <f>TRIM(ETLMetadata!$H1120)</f>
        <v>StringType()</v>
      </c>
      <c r="E1120" s="7" t="str">
        <f t="shared" si="144"/>
        <v>CLK_DETM_DETIS_PGDS</v>
      </c>
      <c r="F1120" s="7" t="str">
        <f t="shared" si="138"/>
        <v>AMR3_RISL_DTS</v>
      </c>
      <c r="G1120" s="7" t="s">
        <v>825</v>
      </c>
      <c r="H1120" s="7" t="str">
        <f t="shared" si="139"/>
        <v>CLK_DETM_DETIS_PGDS</v>
      </c>
      <c r="I1120" s="7" t="str">
        <f t="shared" si="140"/>
        <v>AMR3_RISL_DTS</v>
      </c>
      <c r="J1120" s="7" t="str">
        <f t="shared" si="141"/>
        <v>TIMESTAMP</v>
      </c>
      <c r="K1120" s="7" t="str">
        <f>TRIM(ETLMetadata!$G1120)</f>
        <v>TIMESTAMP(6)</v>
      </c>
      <c r="L1120" s="7" t="str">
        <f>TRIM(ETLMetadata!$I1120)</f>
        <v>YYYY-MM-DDBHH:MI:SS.S(6)</v>
      </c>
      <c r="M1120" s="7" t="str">
        <f t="shared" si="142"/>
        <v>TO_TIMESTAMP_NTZ(NULLIF(TRIM(AMR3_RISL_DTS),''),'YYYY-MM-DD HH24:MI:SS.FF6')</v>
      </c>
      <c r="N1120" s="7" t="str">
        <f>TRIM(ETLMetadata!$J1120)</f>
        <v/>
      </c>
      <c r="O1120" s="8" t="str">
        <f>IF(TRIM(Classification!$G1120)="","NOT CONFIDENTIAL",TRIM(Classification!$G1120))</f>
        <v>NOT CONFIDENTIAL</v>
      </c>
      <c r="P1120" s="7" t="str">
        <f t="shared" si="143"/>
        <v>Y</v>
      </c>
      <c r="Q1120" s="7" t="s">
        <v>826</v>
      </c>
      <c r="R1120" s="9">
        <v>2958465</v>
      </c>
      <c r="S1120" s="7" t="s">
        <v>827</v>
      </c>
      <c r="T1120" s="7" t="s">
        <v>828</v>
      </c>
      <c r="U1120" s="7" t="str">
        <f t="shared" si="145"/>
        <v>CLK_DETM_DETIS_PGDS_V</v>
      </c>
      <c r="V1120" s="7" t="s">
        <v>829</v>
      </c>
    </row>
    <row r="1121" spans="1:22">
      <c r="A1121" s="7" t="str">
        <f>TRIM(ETLMetadata!$B1121)</f>
        <v>CLK</v>
      </c>
      <c r="B1121" s="7" t="str">
        <f>TRIM(ETLMetadata!$C1121)</f>
        <v>DETM_DETIS_PGDS</v>
      </c>
      <c r="C1121" s="7" t="str">
        <f>TRIM(ETLMetadata!$F1121)</f>
        <v>EPISODE_ID</v>
      </c>
      <c r="D1121" s="7" t="str">
        <f>TRIM(ETLMetadata!$H1121)</f>
        <v>StringType()</v>
      </c>
      <c r="E1121" s="7" t="str">
        <f t="shared" si="144"/>
        <v>CLK_DETM_DETIS_PGDS</v>
      </c>
      <c r="F1121" s="7" t="str">
        <f t="shared" si="138"/>
        <v>EPISODE_ID</v>
      </c>
      <c r="G1121" s="7" t="s">
        <v>825</v>
      </c>
      <c r="H1121" s="7" t="str">
        <f t="shared" si="139"/>
        <v>CLK_DETM_DETIS_PGDS</v>
      </c>
      <c r="I1121" s="7" t="str">
        <f t="shared" si="140"/>
        <v>EPISODE_ID</v>
      </c>
      <c r="J1121" s="7" t="str">
        <f t="shared" si="141"/>
        <v>INTEGER</v>
      </c>
      <c r="K1121" s="7" t="str">
        <f>TRIM(ETLMetadata!$G1121)</f>
        <v>INTEGER</v>
      </c>
      <c r="L1121" s="7" t="str">
        <f>TRIM(ETLMetadata!$I1121)</f>
        <v/>
      </c>
      <c r="M1121" s="7" t="str">
        <f t="shared" si="142"/>
        <v>CAST(NULLIF(TRIM(EPISODE_ID),'') AS INTEGER)</v>
      </c>
      <c r="N1121" s="7" t="str">
        <f>TRIM(ETLMetadata!$J1121)</f>
        <v/>
      </c>
      <c r="O1121" s="8" t="str">
        <f>IF(TRIM(Classification!$G1121)="","NOT CONFIDENTIAL",TRIM(Classification!$G1121))</f>
        <v>NOT CONFIDENTIAL</v>
      </c>
      <c r="P1121" s="7" t="str">
        <f t="shared" si="143"/>
        <v>Y</v>
      </c>
      <c r="Q1121" s="7" t="s">
        <v>826</v>
      </c>
      <c r="R1121" s="9">
        <v>2958465</v>
      </c>
      <c r="S1121" s="7" t="s">
        <v>827</v>
      </c>
      <c r="T1121" s="7" t="s">
        <v>828</v>
      </c>
      <c r="U1121" s="7" t="str">
        <f t="shared" si="145"/>
        <v>CLK_DETM_DETIS_PGDS_V</v>
      </c>
      <c r="V1121" s="7" t="s">
        <v>829</v>
      </c>
    </row>
    <row r="1122" spans="1:22">
      <c r="A1122" s="7" t="str">
        <f>TRIM(ETLMetadata!$B1122)</f>
        <v>CLK</v>
      </c>
      <c r="B1122" s="7" t="str">
        <f>TRIM(ETLMetadata!$C1122)</f>
        <v>DETM_DETIS_PGDS</v>
      </c>
      <c r="C1122" s="7" t="str">
        <f>TRIM(ETLMetadata!$F1122)</f>
        <v>PARTY_ROLE_ID</v>
      </c>
      <c r="D1122" s="7" t="str">
        <f>TRIM(ETLMetadata!$H1122)</f>
        <v>StringType()</v>
      </c>
      <c r="E1122" s="7" t="str">
        <f t="shared" si="144"/>
        <v>CLK_DETM_DETIS_PGDS</v>
      </c>
      <c r="F1122" s="7" t="str">
        <f t="shared" si="138"/>
        <v>PARTY_ROLE_ID</v>
      </c>
      <c r="G1122" s="7" t="s">
        <v>825</v>
      </c>
      <c r="H1122" s="7" t="str">
        <f t="shared" si="139"/>
        <v>CLK_DETM_DETIS_PGDS</v>
      </c>
      <c r="I1122" s="7" t="str">
        <f t="shared" si="140"/>
        <v>PARTY_ROLE_ID</v>
      </c>
      <c r="J1122" s="7" t="str">
        <f t="shared" si="141"/>
        <v>INTEGER</v>
      </c>
      <c r="K1122" s="7" t="str">
        <f>TRIM(ETLMetadata!$G1122)</f>
        <v>INTEGER</v>
      </c>
      <c r="L1122" s="7" t="str">
        <f>TRIM(ETLMetadata!$I1122)</f>
        <v/>
      </c>
      <c r="M1122" s="7" t="str">
        <f t="shared" si="142"/>
        <v>CAST(NULLIF(TRIM(PARTY_ROLE_ID),'') AS INTEGER)</v>
      </c>
      <c r="N1122" s="7" t="str">
        <f>TRIM(ETLMetadata!$J1122)</f>
        <v/>
      </c>
      <c r="O1122" s="8" t="str">
        <f>IF(TRIM(Classification!$G1122)="","NOT CONFIDENTIAL",TRIM(Classification!$G1122))</f>
        <v>NOT CONFIDENTIAL</v>
      </c>
      <c r="P1122" s="7" t="str">
        <f t="shared" si="143"/>
        <v>Y</v>
      </c>
      <c r="Q1122" s="7" t="s">
        <v>826</v>
      </c>
      <c r="R1122" s="9">
        <v>2958465</v>
      </c>
      <c r="S1122" s="7" t="s">
        <v>827</v>
      </c>
      <c r="T1122" s="7" t="s">
        <v>828</v>
      </c>
      <c r="U1122" s="7" t="str">
        <f t="shared" si="145"/>
        <v>CLK_DETM_DETIS_PGDS_V</v>
      </c>
      <c r="V1122" s="7" t="s">
        <v>829</v>
      </c>
    </row>
    <row r="1123" spans="1:22">
      <c r="A1123" s="7" t="str">
        <f>TRIM(ETLMetadata!$B1123)</f>
        <v>CLK</v>
      </c>
      <c r="B1123" s="7" t="str">
        <f>TRIM(ETLMetadata!$C1123)</f>
        <v>DETM_DETIS_PGDS</v>
      </c>
      <c r="C1123" s="7" t="str">
        <f>TRIM(ETLMetadata!$F1123)</f>
        <v>PAYMENT_TYPE_ID</v>
      </c>
      <c r="D1123" s="7" t="str">
        <f>TRIM(ETLMetadata!$H1123)</f>
        <v>StringType()</v>
      </c>
      <c r="E1123" s="7" t="str">
        <f t="shared" si="144"/>
        <v>CLK_DETM_DETIS_PGDS</v>
      </c>
      <c r="F1123" s="7" t="str">
        <f t="shared" si="138"/>
        <v>PAYMENT_TYPE_ID</v>
      </c>
      <c r="G1123" s="7" t="s">
        <v>825</v>
      </c>
      <c r="H1123" s="7" t="str">
        <f t="shared" si="139"/>
        <v>CLK_DETM_DETIS_PGDS</v>
      </c>
      <c r="I1123" s="7" t="str">
        <f t="shared" si="140"/>
        <v>PAYMENT_TYPE_ID</v>
      </c>
      <c r="J1123" s="7" t="str">
        <f t="shared" si="141"/>
        <v>INTEGER</v>
      </c>
      <c r="K1123" s="7" t="str">
        <f>TRIM(ETLMetadata!$G1123)</f>
        <v>INTEGER</v>
      </c>
      <c r="L1123" s="7" t="str">
        <f>TRIM(ETLMetadata!$I1123)</f>
        <v/>
      </c>
      <c r="M1123" s="7" t="str">
        <f t="shared" si="142"/>
        <v>CAST(NULLIF(TRIM(PAYMENT_TYPE_ID),'') AS INTEGER)</v>
      </c>
      <c r="N1123" s="7" t="str">
        <f>TRIM(ETLMetadata!$J1123)</f>
        <v/>
      </c>
      <c r="O1123" s="8" t="str">
        <f>IF(TRIM(Classification!$G1123)="","NOT CONFIDENTIAL",TRIM(Classification!$G1123))</f>
        <v>NOT CONFIDENTIAL</v>
      </c>
      <c r="P1123" s="7" t="str">
        <f t="shared" si="143"/>
        <v>Y</v>
      </c>
      <c r="Q1123" s="7" t="s">
        <v>826</v>
      </c>
      <c r="R1123" s="9">
        <v>2958465</v>
      </c>
      <c r="S1123" s="7" t="s">
        <v>827</v>
      </c>
      <c r="T1123" s="7" t="s">
        <v>828</v>
      </c>
      <c r="U1123" s="7" t="str">
        <f t="shared" si="145"/>
        <v>CLK_DETM_DETIS_PGDS_V</v>
      </c>
      <c r="V1123" s="7" t="s">
        <v>829</v>
      </c>
    </row>
    <row r="1124" spans="1:22">
      <c r="A1124" s="7" t="str">
        <f>TRIM(ETLMetadata!$B1124)</f>
        <v>CLK</v>
      </c>
      <c r="B1124" s="7" t="str">
        <f>TRIM(ETLMetadata!$C1124)</f>
        <v>DETM_DETIS_PGDS</v>
      </c>
      <c r="C1124" s="7" t="str">
        <f>TRIM(ETLMetadata!$F1124)</f>
        <v>ERROR_COUNT</v>
      </c>
      <c r="D1124" s="7" t="str">
        <f>TRIM(ETLMetadata!$H1124)</f>
        <v>StringType()</v>
      </c>
      <c r="E1124" s="7" t="str">
        <f t="shared" si="144"/>
        <v>CLK_DETM_DETIS_PGDS</v>
      </c>
      <c r="F1124" s="7" t="str">
        <f t="shared" si="138"/>
        <v>ERROR_COUNT</v>
      </c>
      <c r="G1124" s="7" t="s">
        <v>825</v>
      </c>
      <c r="H1124" s="7" t="str">
        <f t="shared" si="139"/>
        <v>CLK_DETM_DETIS_PGDS</v>
      </c>
      <c r="I1124" s="7" t="str">
        <f t="shared" si="140"/>
        <v>ERROR_COUNT</v>
      </c>
      <c r="J1124" s="7" t="str">
        <f t="shared" si="141"/>
        <v>SMALLINT</v>
      </c>
      <c r="K1124" s="7" t="str">
        <f>TRIM(ETLMetadata!$G1124)</f>
        <v>SMALLINT</v>
      </c>
      <c r="L1124" s="7" t="str">
        <f>TRIM(ETLMetadata!$I1124)</f>
        <v/>
      </c>
      <c r="M1124" s="7" t="str">
        <f t="shared" si="142"/>
        <v>CAST(NULLIF(TRIM(ERROR_COUNT),'') AS SMALLINT)</v>
      </c>
      <c r="N1124" s="7" t="str">
        <f>TRIM(ETLMetadata!$J1124)</f>
        <v/>
      </c>
      <c r="O1124" s="8" t="str">
        <f>IF(TRIM(Classification!$G1124)="","NOT CONFIDENTIAL",TRIM(Classification!$G1124))</f>
        <v>NOT CONFIDENTIAL</v>
      </c>
      <c r="P1124" s="7" t="str">
        <f t="shared" si="143"/>
        <v>Y</v>
      </c>
      <c r="Q1124" s="7" t="s">
        <v>826</v>
      </c>
      <c r="R1124" s="9">
        <v>2958465</v>
      </c>
      <c r="S1124" s="7" t="s">
        <v>827</v>
      </c>
      <c r="T1124" s="7" t="s">
        <v>828</v>
      </c>
      <c r="U1124" s="7" t="str">
        <f t="shared" si="145"/>
        <v>CLK_DETM_DETIS_PGDS_V</v>
      </c>
      <c r="V1124" s="7" t="s">
        <v>829</v>
      </c>
    </row>
    <row r="1125" spans="1:22">
      <c r="A1125" s="7" t="str">
        <f>TRIM(ETLMetadata!$B1125)</f>
        <v>CLK</v>
      </c>
      <c r="B1125" s="7" t="str">
        <f>TRIM(ETLMetadata!$C1125)</f>
        <v>DETM_DETIS_PGDS</v>
      </c>
      <c r="C1125" s="7" t="str">
        <f>TRIM(ETLMetadata!$F1125)</f>
        <v>Start_Date</v>
      </c>
      <c r="D1125" s="7" t="str">
        <f>TRIM(ETLMetadata!$H1125)</f>
        <v>StringType()</v>
      </c>
      <c r="E1125" s="7" t="str">
        <f t="shared" si="144"/>
        <v>CLK_DETM_DETIS_PGDS</v>
      </c>
      <c r="F1125" s="7" t="str">
        <f t="shared" si="138"/>
        <v>STRT_DT</v>
      </c>
      <c r="G1125" s="7" t="s">
        <v>825</v>
      </c>
      <c r="H1125" s="7" t="str">
        <f t="shared" si="139"/>
        <v>CLK_DETM_DETIS_PGDS</v>
      </c>
      <c r="I1125" s="7" t="str">
        <f t="shared" si="140"/>
        <v>STRT_DT</v>
      </c>
      <c r="J1125" s="7" t="str">
        <f t="shared" si="141"/>
        <v>DATE</v>
      </c>
      <c r="K1125" s="7" t="str">
        <f>TRIM(ETLMetadata!$G1125)</f>
        <v>DATE</v>
      </c>
      <c r="L1125" s="7" t="str">
        <f>TRIM(ETLMetadata!$I1125)</f>
        <v>YYYY-MM-DD</v>
      </c>
      <c r="M1125" s="7" t="str">
        <f t="shared" si="142"/>
        <v>TO_DATE(NULLIF(TRIM(STRT_DT),'') , 'YYYY-MM-DD')</v>
      </c>
      <c r="N1125" s="7" t="str">
        <f>TRIM(ETLMetadata!$J1125)</f>
        <v/>
      </c>
      <c r="O1125" s="8" t="str">
        <f>IF(TRIM(Classification!$G1125)="","NOT CONFIDENTIAL",TRIM(Classification!$G1125))</f>
        <v>NOT CONFIDENTIAL</v>
      </c>
      <c r="P1125" s="7" t="str">
        <f t="shared" si="143"/>
        <v>N</v>
      </c>
      <c r="Q1125" s="7" t="s">
        <v>826</v>
      </c>
      <c r="R1125" s="9">
        <v>2958465</v>
      </c>
      <c r="S1125" s="7" t="s">
        <v>827</v>
      </c>
      <c r="T1125" s="7" t="s">
        <v>828</v>
      </c>
      <c r="U1125" s="7" t="str">
        <f t="shared" si="145"/>
        <v>CLK_DETM_DETIS_PGDS_V</v>
      </c>
      <c r="V1125" s="7" t="s">
        <v>829</v>
      </c>
    </row>
    <row r="1126" spans="1:22">
      <c r="A1126" s="7" t="str">
        <f>TRIM(ETLMetadata!$B1126)</f>
        <v>CLK</v>
      </c>
      <c r="B1126" s="7" t="str">
        <f>TRIM(ETLMetadata!$C1126)</f>
        <v>DETM_DETIS_PGDS</v>
      </c>
      <c r="C1126" s="7" t="str">
        <f>TRIM(ETLMetadata!$F1126)</f>
        <v>End_Date</v>
      </c>
      <c r="D1126" s="7" t="str">
        <f>TRIM(ETLMetadata!$H1126)</f>
        <v>StringType()</v>
      </c>
      <c r="E1126" s="7" t="str">
        <f t="shared" si="144"/>
        <v>CLK_DETM_DETIS_PGDS</v>
      </c>
      <c r="F1126" s="7" t="str">
        <f t="shared" si="138"/>
        <v>END_DT</v>
      </c>
      <c r="G1126" s="7" t="s">
        <v>825</v>
      </c>
      <c r="H1126" s="7" t="str">
        <f t="shared" si="139"/>
        <v>CLK_DETM_DETIS_PGDS</v>
      </c>
      <c r="I1126" s="7" t="str">
        <f t="shared" si="140"/>
        <v>END_DT</v>
      </c>
      <c r="J1126" s="7" t="str">
        <f t="shared" si="141"/>
        <v>DATE</v>
      </c>
      <c r="K1126" s="7" t="str">
        <f>TRIM(ETLMetadata!$G1126)</f>
        <v>DATE</v>
      </c>
      <c r="L1126" s="7" t="str">
        <f>TRIM(ETLMetadata!$I1126)</f>
        <v>YYYY-MM-DD</v>
      </c>
      <c r="M1126" s="7" t="str">
        <f t="shared" si="142"/>
        <v>TO_DATE(NULLIF(TRIM(END_DT),'') , 'YYYY-MM-DD')</v>
      </c>
      <c r="N1126" s="7" t="str">
        <f>TRIM(ETLMetadata!$J1126)</f>
        <v/>
      </c>
      <c r="O1126" s="8" t="str">
        <f>IF(TRIM(Classification!$G1126)="","NOT CONFIDENTIAL",TRIM(Classification!$G1126))</f>
        <v>NOT CONFIDENTIAL</v>
      </c>
      <c r="P1126" s="7" t="str">
        <f t="shared" si="143"/>
        <v>N</v>
      </c>
      <c r="Q1126" s="7" t="s">
        <v>826</v>
      </c>
      <c r="R1126" s="9">
        <v>2958465</v>
      </c>
      <c r="S1126" s="7" t="s">
        <v>827</v>
      </c>
      <c r="T1126" s="7" t="s">
        <v>828</v>
      </c>
      <c r="U1126" s="7" t="str">
        <f t="shared" si="145"/>
        <v>CLK_DETM_DETIS_PGDS_V</v>
      </c>
      <c r="V1126" s="7" t="s">
        <v>829</v>
      </c>
    </row>
    <row r="1127" spans="1:22">
      <c r="A1127" s="7" t="str">
        <f>TRIM(ETLMetadata!$B1127)</f>
        <v>CLK</v>
      </c>
      <c r="B1127" s="7" t="str">
        <f>TRIM(ETLMetadata!$C1127)</f>
        <v>DETM_DETIS_PGDS</v>
      </c>
      <c r="C1127" s="7" t="str">
        <f>TRIM(ETLMetadata!$F1127)</f>
        <v>Record_Deleted_Flag</v>
      </c>
      <c r="D1127" s="7" t="str">
        <f>TRIM(ETLMetadata!$H1127)</f>
        <v>StringType()</v>
      </c>
      <c r="E1127" s="7" t="str">
        <f t="shared" si="144"/>
        <v>CLK_DETM_DETIS_PGDS</v>
      </c>
      <c r="F1127" s="7" t="str">
        <f t="shared" si="138"/>
        <v>RCRD_DEL_IND</v>
      </c>
      <c r="G1127" s="7" t="s">
        <v>825</v>
      </c>
      <c r="H1127" s="7" t="str">
        <f t="shared" si="139"/>
        <v>CLK_DETM_DETIS_PGDS</v>
      </c>
      <c r="I1127" s="7" t="str">
        <f t="shared" si="140"/>
        <v>RCRD_DEL_IND</v>
      </c>
      <c r="J1127" s="7" t="str">
        <f t="shared" si="141"/>
        <v>SMALLINT</v>
      </c>
      <c r="K1127" s="7" t="str">
        <f>TRIM(ETLMetadata!$G1127)</f>
        <v>BYTEINT</v>
      </c>
      <c r="L1127" s="7" t="str">
        <f>TRIM(ETLMetadata!$I1127)</f>
        <v/>
      </c>
      <c r="M1127" s="7" t="str">
        <f t="shared" si="142"/>
        <v>CAST(NULLIF(TRIM(RCRD_DEL_IND),'') AS SMALLINT)</v>
      </c>
      <c r="N1127" s="7" t="str">
        <f>TRIM(ETLMetadata!$J1127)</f>
        <v/>
      </c>
      <c r="O1127" s="8" t="str">
        <f>IF(TRIM(Classification!$G1127)="","NOT CONFIDENTIAL",TRIM(Classification!$G1127))</f>
        <v>NOT CONFIDENTIAL</v>
      </c>
      <c r="P1127" s="7" t="str">
        <f t="shared" si="143"/>
        <v>N</v>
      </c>
      <c r="Q1127" s="7" t="s">
        <v>826</v>
      </c>
      <c r="R1127" s="9">
        <v>2958465</v>
      </c>
      <c r="S1127" s="7" t="s">
        <v>827</v>
      </c>
      <c r="T1127" s="7" t="s">
        <v>828</v>
      </c>
      <c r="U1127" s="7" t="str">
        <f t="shared" si="145"/>
        <v>CLK_DETM_DETIS_PGDS_V</v>
      </c>
      <c r="V1127" s="7" t="s">
        <v>829</v>
      </c>
    </row>
    <row r="1128" spans="1:22">
      <c r="A1128" s="7" t="str">
        <f>TRIM(ETLMetadata!$B1128)</f>
        <v>CLK</v>
      </c>
      <c r="B1128" s="7" t="str">
        <f>TRIM(ETLMetadata!$C1128)</f>
        <v>DETM_DETIS_PJDS</v>
      </c>
      <c r="C1128" s="7" t="str">
        <f>TRIM(ETLMetadata!$F1128)</f>
        <v>EXTRACT_DATE</v>
      </c>
      <c r="D1128" s="7" t="str">
        <f>TRIM(ETLMetadata!$H1128)</f>
        <v>StringType()</v>
      </c>
      <c r="E1128" s="7" t="str">
        <f t="shared" si="144"/>
        <v>CLK_DETM_DETIS_PJDS</v>
      </c>
      <c r="F1128" s="7" t="str">
        <f t="shared" si="138"/>
        <v>EXTRACT_DATE</v>
      </c>
      <c r="G1128" s="7" t="s">
        <v>825</v>
      </c>
      <c r="H1128" s="7" t="str">
        <f t="shared" si="139"/>
        <v>CLK_DETM_DETIS_PJDS</v>
      </c>
      <c r="I1128" s="7" t="str">
        <f t="shared" si="140"/>
        <v>EXTRACT_DATE</v>
      </c>
      <c r="J1128" s="7" t="str">
        <f t="shared" si="141"/>
        <v>DATE</v>
      </c>
      <c r="K1128" s="7" t="str">
        <f>TRIM(ETLMetadata!$G1128)</f>
        <v>DATE</v>
      </c>
      <c r="L1128" s="7" t="str">
        <f>TRIM(ETLMetadata!$I1128)</f>
        <v>YYYY-MM-DD</v>
      </c>
      <c r="M1128" s="7" t="str">
        <f t="shared" si="142"/>
        <v>TO_DATE(NULLIF(TRIM(EXTRACT_DATE),'') , 'YYYY-MM-DD')</v>
      </c>
      <c r="N1128" s="7" t="str">
        <f>TRIM(ETLMetadata!$J1128)</f>
        <v/>
      </c>
      <c r="O1128" s="8" t="str">
        <f>IF(TRIM(Classification!$G1128)="","NOT CONFIDENTIAL",TRIM(Classification!$G1128))</f>
        <v>NOT CONFIDENTIAL</v>
      </c>
      <c r="P1128" s="7" t="str">
        <f t="shared" si="143"/>
        <v>Y</v>
      </c>
      <c r="Q1128" s="7" t="s">
        <v>826</v>
      </c>
      <c r="R1128" s="9">
        <v>2958465</v>
      </c>
      <c r="S1128" s="7" t="s">
        <v>827</v>
      </c>
      <c r="T1128" s="7" t="s">
        <v>828</v>
      </c>
      <c r="U1128" s="7" t="str">
        <f t="shared" si="145"/>
        <v>CLK_DETM_DETIS_PJDS_V</v>
      </c>
      <c r="V1128" s="7" t="s">
        <v>829</v>
      </c>
    </row>
    <row r="1129" spans="1:22">
      <c r="A1129" s="7" t="str">
        <f>TRIM(ETLMetadata!$B1129)</f>
        <v>CLK</v>
      </c>
      <c r="B1129" s="7" t="str">
        <f>TRIM(ETLMetadata!$C1129)</f>
        <v>DETM_DETIS_PJDS</v>
      </c>
      <c r="C1129" s="7" t="str">
        <f>TRIM(ETLMetadata!$F1129)</f>
        <v>LOGICAL_DELETE_DATE</v>
      </c>
      <c r="D1129" s="7" t="str">
        <f>TRIM(ETLMetadata!$H1129)</f>
        <v>StringType()</v>
      </c>
      <c r="E1129" s="7" t="str">
        <f t="shared" si="144"/>
        <v>CLK_DETM_DETIS_PJDS</v>
      </c>
      <c r="F1129" s="7" t="str">
        <f t="shared" si="138"/>
        <v>LOGICAL_DELETE_DATE</v>
      </c>
      <c r="G1129" s="7" t="s">
        <v>825</v>
      </c>
      <c r="H1129" s="7" t="str">
        <f t="shared" si="139"/>
        <v>CLK_DETM_DETIS_PJDS</v>
      </c>
      <c r="I1129" s="7" t="str">
        <f t="shared" si="140"/>
        <v>LOGICAL_DELETE_DATE</v>
      </c>
      <c r="J1129" s="7" t="str">
        <f t="shared" si="141"/>
        <v>DATE</v>
      </c>
      <c r="K1129" s="7" t="str">
        <f>TRIM(ETLMetadata!$G1129)</f>
        <v>DATE</v>
      </c>
      <c r="L1129" s="7" t="str">
        <f>TRIM(ETLMetadata!$I1129)</f>
        <v>YYYY-MM-DD</v>
      </c>
      <c r="M1129" s="7" t="str">
        <f t="shared" si="142"/>
        <v>TO_DATE(NULLIF(TRIM(LOGICAL_DELETE_DATE),'') , 'YYYY-MM-DD')</v>
      </c>
      <c r="N1129" s="7" t="str">
        <f>TRIM(ETLMetadata!$J1129)</f>
        <v/>
      </c>
      <c r="O1129" s="8" t="str">
        <f>IF(TRIM(Classification!$G1129)="","NOT CONFIDENTIAL",TRIM(Classification!$G1129))</f>
        <v>NOT CONFIDENTIAL</v>
      </c>
      <c r="P1129" s="7" t="str">
        <f t="shared" si="143"/>
        <v>Y</v>
      </c>
      <c r="Q1129" s="7" t="s">
        <v>826</v>
      </c>
      <c r="R1129" s="9">
        <v>2958465</v>
      </c>
      <c r="S1129" s="7" t="s">
        <v>827</v>
      </c>
      <c r="T1129" s="7" t="s">
        <v>828</v>
      </c>
      <c r="U1129" s="7" t="str">
        <f t="shared" si="145"/>
        <v>CLK_DETM_DETIS_PJDS_V</v>
      </c>
      <c r="V1129" s="7" t="s">
        <v>829</v>
      </c>
    </row>
    <row r="1130" spans="1:22">
      <c r="A1130" s="7" t="str">
        <f>TRIM(ETLMetadata!$B1130)</f>
        <v>CLK</v>
      </c>
      <c r="B1130" s="7" t="str">
        <f>TRIM(ETLMetadata!$C1130)</f>
        <v>DETM_DETIS_PJDS</v>
      </c>
      <c r="C1130" s="7" t="str">
        <f>TRIM(ETLMetadata!$F1130)</f>
        <v>ENVIRONMENT_ID</v>
      </c>
      <c r="D1130" s="7" t="str">
        <f>TRIM(ETLMetadata!$H1130)</f>
        <v>StringType()</v>
      </c>
      <c r="E1130" s="7" t="str">
        <f t="shared" si="144"/>
        <v>CLK_DETM_DETIS_PJDS</v>
      </c>
      <c r="F1130" s="7" t="str">
        <f t="shared" si="138"/>
        <v>ENVIRONMENT_ID</v>
      </c>
      <c r="G1130" s="7" t="s">
        <v>825</v>
      </c>
      <c r="H1130" s="7" t="str">
        <f t="shared" si="139"/>
        <v>CLK_DETM_DETIS_PJDS</v>
      </c>
      <c r="I1130" s="7" t="str">
        <f t="shared" si="140"/>
        <v>ENVIRONMENT_ID</v>
      </c>
      <c r="J1130" s="7" t="str">
        <f t="shared" si="141"/>
        <v>VARCHAR</v>
      </c>
      <c r="K1130" s="7" t="str">
        <f>TRIM(ETLMetadata!$G1130)</f>
        <v>CHAR(1)</v>
      </c>
      <c r="L1130" s="7" t="str">
        <f>TRIM(ETLMetadata!$I1130)</f>
        <v/>
      </c>
      <c r="M1130" s="7" t="str">
        <f t="shared" si="142"/>
        <v>NULLIF(TRIM(ENVIRONMENT_ID),'')</v>
      </c>
      <c r="N1130" s="7" t="str">
        <f>TRIM(ETLMetadata!$J1130)</f>
        <v>Y</v>
      </c>
      <c r="O1130" s="8" t="str">
        <f>IF(TRIM(Classification!$G1130)="","NOT CONFIDENTIAL",TRIM(Classification!$G1130))</f>
        <v>NOT CONFIDENTIAL</v>
      </c>
      <c r="P1130" s="7" t="str">
        <f t="shared" si="143"/>
        <v>Y</v>
      </c>
      <c r="Q1130" s="7" t="s">
        <v>826</v>
      </c>
      <c r="R1130" s="9">
        <v>2958465</v>
      </c>
      <c r="S1130" s="7" t="s">
        <v>827</v>
      </c>
      <c r="T1130" s="7" t="s">
        <v>828</v>
      </c>
      <c r="U1130" s="7" t="str">
        <f t="shared" si="145"/>
        <v>CLK_DETM_DETIS_PJDS_V</v>
      </c>
      <c r="V1130" s="7" t="s">
        <v>829</v>
      </c>
    </row>
    <row r="1131" spans="1:22">
      <c r="A1131" s="7" t="str">
        <f>TRIM(ETLMetadata!$B1131)</f>
        <v>CLK</v>
      </c>
      <c r="B1131" s="7" t="str">
        <f>TRIM(ETLMetadata!$C1131)</f>
        <v>DETM_DETIS_PJDS</v>
      </c>
      <c r="C1131" s="7" t="str">
        <f>TRIM(ETLMetadata!$F1131)</f>
        <v>PERSON_ID</v>
      </c>
      <c r="D1131" s="7" t="str">
        <f>TRIM(ETLMetadata!$H1131)</f>
        <v>StringType()</v>
      </c>
      <c r="E1131" s="7" t="str">
        <f t="shared" si="144"/>
        <v>CLK_DETM_DETIS_PJDS</v>
      </c>
      <c r="F1131" s="7" t="str">
        <f t="shared" si="138"/>
        <v>PERSON_ID</v>
      </c>
      <c r="G1131" s="7" t="s">
        <v>825</v>
      </c>
      <c r="H1131" s="7" t="str">
        <f t="shared" si="139"/>
        <v>CLK_DETM_DETIS_PJDS</v>
      </c>
      <c r="I1131" s="7" t="str">
        <f t="shared" si="140"/>
        <v>PERSON_ID</v>
      </c>
      <c r="J1131" s="7" t="str">
        <f t="shared" si="141"/>
        <v>INTEGER</v>
      </c>
      <c r="K1131" s="7" t="str">
        <f>TRIM(ETLMetadata!$G1131)</f>
        <v>INTEGER</v>
      </c>
      <c r="L1131" s="7" t="str">
        <f>TRIM(ETLMetadata!$I1131)</f>
        <v/>
      </c>
      <c r="M1131" s="7" t="str">
        <f t="shared" si="142"/>
        <v>CAST(NULLIF(TRIM(PERSON_ID),'') AS INTEGER)</v>
      </c>
      <c r="N1131" s="7" t="str">
        <f>TRIM(ETLMetadata!$J1131)</f>
        <v>Y</v>
      </c>
      <c r="O1131" s="8" t="str">
        <f>IF(TRIM(Classification!$G1131)="","NOT CONFIDENTIAL",TRIM(Classification!$G1131))</f>
        <v>PERSONAL_IDENTITYINFOINDIRECT</v>
      </c>
      <c r="P1131" s="7" t="str">
        <f t="shared" si="143"/>
        <v>Y</v>
      </c>
      <c r="Q1131" s="7" t="s">
        <v>826</v>
      </c>
      <c r="R1131" s="9">
        <v>2958465</v>
      </c>
      <c r="S1131" s="7" t="s">
        <v>827</v>
      </c>
      <c r="T1131" s="7" t="s">
        <v>828</v>
      </c>
      <c r="U1131" s="7" t="str">
        <f t="shared" si="145"/>
        <v>CLK_DETM_DETIS_PJDS_V</v>
      </c>
      <c r="V1131" s="7" t="s">
        <v>829</v>
      </c>
    </row>
    <row r="1132" spans="1:22">
      <c r="A1132" s="7" t="str">
        <f>TRIM(ETLMetadata!$B1132)</f>
        <v>CLK</v>
      </c>
      <c r="B1132" s="7" t="str">
        <f>TRIM(ETLMetadata!$C1132)</f>
        <v>DETM_DETIS_PJDS</v>
      </c>
      <c r="C1132" s="7" t="str">
        <f>TRIM(ETLMetadata!$F1132)</f>
        <v>PJDS_DOE</v>
      </c>
      <c r="D1132" s="7" t="str">
        <f>TRIM(ETLMetadata!$H1132)</f>
        <v>StringType()</v>
      </c>
      <c r="E1132" s="7" t="str">
        <f t="shared" si="144"/>
        <v>CLK_DETM_DETIS_PJDS</v>
      </c>
      <c r="F1132" s="7" t="str">
        <f t="shared" si="138"/>
        <v>PJDS_DOE</v>
      </c>
      <c r="G1132" s="7" t="s">
        <v>825</v>
      </c>
      <c r="H1132" s="7" t="str">
        <f t="shared" si="139"/>
        <v>CLK_DETM_DETIS_PJDS</v>
      </c>
      <c r="I1132" s="7" t="str">
        <f t="shared" si="140"/>
        <v>PJDS_DOE</v>
      </c>
      <c r="J1132" s="7" t="str">
        <f t="shared" si="141"/>
        <v>DATE</v>
      </c>
      <c r="K1132" s="17" t="s">
        <v>80</v>
      </c>
      <c r="L1132" s="7" t="str">
        <f>TRIM(ETLMetadata!$I1132)</f>
        <v>YYYY-MM-DD</v>
      </c>
      <c r="M1132" s="7" t="str">
        <f t="shared" si="142"/>
        <v>TO_DATE(NULLIF(TRIM(PJDS_DOE),'') , 'YYYY-MM-DD')</v>
      </c>
      <c r="N1132" s="7" t="str">
        <f>TRIM(ETLMetadata!$J1132)</f>
        <v/>
      </c>
      <c r="O1132" s="8" t="str">
        <f>IF(TRIM(Classification!$G1132)="","NOT CONFIDENTIAL",TRIM(Classification!$G1132))</f>
        <v>NOT CONFIDENTIAL</v>
      </c>
      <c r="P1132" s="7" t="str">
        <f t="shared" si="143"/>
        <v>Y</v>
      </c>
      <c r="Q1132" s="7" t="s">
        <v>826</v>
      </c>
      <c r="R1132" s="9">
        <v>2958465</v>
      </c>
      <c r="S1132" s="7" t="s">
        <v>827</v>
      </c>
      <c r="T1132" s="7" t="s">
        <v>828</v>
      </c>
      <c r="U1132" s="7" t="str">
        <f t="shared" si="145"/>
        <v>CLK_DETM_DETIS_PJDS_V</v>
      </c>
      <c r="V1132" s="7" t="s">
        <v>829</v>
      </c>
    </row>
    <row r="1133" spans="1:22">
      <c r="A1133" s="7" t="str">
        <f>TRIM(ETLMetadata!$B1133)</f>
        <v>CLK</v>
      </c>
      <c r="B1133" s="7" t="str">
        <f>TRIM(ETLMetadata!$C1133)</f>
        <v>DETM_DETIS_PJDS</v>
      </c>
      <c r="C1133" s="7" t="str">
        <f>TRIM(ETLMetadata!$F1133)</f>
        <v>PJDS_DOE_ORIG</v>
      </c>
      <c r="D1133" s="7" t="str">
        <f>TRIM(ETLMetadata!$H1133)</f>
        <v>StringType()</v>
      </c>
      <c r="E1133" s="7" t="str">
        <f t="shared" si="144"/>
        <v>CLK_DETM_DETIS_PJDS</v>
      </c>
      <c r="F1133" s="7" t="str">
        <f t="shared" si="138"/>
        <v>PJDS_DOE_ORIG</v>
      </c>
      <c r="G1133" s="7" t="s">
        <v>825</v>
      </c>
      <c r="H1133" s="7" t="str">
        <f t="shared" si="139"/>
        <v>CLK_DETM_DETIS_PJDS</v>
      </c>
      <c r="I1133" s="7" t="str">
        <f t="shared" si="140"/>
        <v>PJDS_DOE_ORIG</v>
      </c>
      <c r="J1133" s="7" t="str">
        <f t="shared" si="141"/>
        <v>INTEGER</v>
      </c>
      <c r="K1133" s="17" t="s">
        <v>90</v>
      </c>
      <c r="L1133" s="7" t="str">
        <f>TRIM(ETLMetadata!$I1133)</f>
        <v/>
      </c>
      <c r="M1133" s="7" t="str">
        <f t="shared" si="142"/>
        <v>CAST(NULLIF(TRIM(PJDS_DOE_ORIG),'') AS INTEGER)</v>
      </c>
      <c r="N1133" s="7" t="str">
        <f>TRIM(ETLMetadata!$J1133)</f>
        <v/>
      </c>
      <c r="O1133" s="8" t="str">
        <f>IF(TRIM(Classification!$G1133)="","NOT CONFIDENTIAL",TRIM(Classification!$G1133))</f>
        <v>NOT CONFIDENTIAL</v>
      </c>
      <c r="P1133" s="7" t="str">
        <f t="shared" si="143"/>
        <v>Y</v>
      </c>
      <c r="Q1133" s="7" t="s">
        <v>826</v>
      </c>
      <c r="R1133" s="9">
        <v>2958465</v>
      </c>
      <c r="S1133" s="7" t="s">
        <v>827</v>
      </c>
      <c r="T1133" s="7" t="s">
        <v>828</v>
      </c>
      <c r="U1133" s="7" t="str">
        <f t="shared" si="145"/>
        <v>CLK_DETM_DETIS_PJDS_V</v>
      </c>
      <c r="V1133" s="7" t="s">
        <v>829</v>
      </c>
    </row>
    <row r="1134" spans="1:22">
      <c r="A1134" s="7" t="str">
        <f>TRIM(ETLMetadata!$B1134)</f>
        <v>CLK</v>
      </c>
      <c r="B1134" s="7" t="str">
        <f>TRIM(ETLMetadata!$C1134)</f>
        <v>DETM_DETIS_PJDS</v>
      </c>
      <c r="C1134" s="7" t="str">
        <f>TRIM(ETLMetadata!$F1134)</f>
        <v>PROCESSING_SEQUENCE</v>
      </c>
      <c r="D1134" s="7" t="str">
        <f>TRIM(ETLMetadata!$H1134)</f>
        <v>StringType()</v>
      </c>
      <c r="E1134" s="7" t="str">
        <f t="shared" si="144"/>
        <v>CLK_DETM_DETIS_PJDS</v>
      </c>
      <c r="F1134" s="7" t="str">
        <f t="shared" si="138"/>
        <v>PROCESSING_SEQUENCE</v>
      </c>
      <c r="G1134" s="7" t="s">
        <v>825</v>
      </c>
      <c r="H1134" s="7" t="str">
        <f t="shared" si="139"/>
        <v>CLK_DETM_DETIS_PJDS</v>
      </c>
      <c r="I1134" s="7" t="str">
        <f t="shared" si="140"/>
        <v>PROCESSING_SEQUENCE</v>
      </c>
      <c r="J1134" s="7" t="str">
        <f t="shared" si="141"/>
        <v>SMALLINT</v>
      </c>
      <c r="K1134" s="7" t="str">
        <f>TRIM(ETLMetadata!$G1134)</f>
        <v>SMALLINT</v>
      </c>
      <c r="L1134" s="7" t="str">
        <f>TRIM(ETLMetadata!$I1134)</f>
        <v/>
      </c>
      <c r="M1134" s="7" t="str">
        <f t="shared" si="142"/>
        <v>CAST(NULLIF(TRIM(PROCESSING_SEQUENCE),'') AS SMALLINT)</v>
      </c>
      <c r="N1134" s="7" t="str">
        <f>TRIM(ETLMetadata!$J1134)</f>
        <v>Y</v>
      </c>
      <c r="O1134" s="8" t="str">
        <f>IF(TRIM(Classification!$G1134)="","NOT CONFIDENTIAL",TRIM(Classification!$G1134))</f>
        <v>NOT CONFIDENTIAL</v>
      </c>
      <c r="P1134" s="7" t="str">
        <f t="shared" si="143"/>
        <v>Y</v>
      </c>
      <c r="Q1134" s="7" t="s">
        <v>826</v>
      </c>
      <c r="R1134" s="9">
        <v>2958465</v>
      </c>
      <c r="S1134" s="7" t="s">
        <v>827</v>
      </c>
      <c r="T1134" s="7" t="s">
        <v>828</v>
      </c>
      <c r="U1134" s="7" t="str">
        <f t="shared" si="145"/>
        <v>CLK_DETM_DETIS_PJDS_V</v>
      </c>
      <c r="V1134" s="7" t="s">
        <v>829</v>
      </c>
    </row>
    <row r="1135" spans="1:22">
      <c r="A1135" s="7" t="str">
        <f>TRIM(ETLMetadata!$B1135)</f>
        <v>CLK</v>
      </c>
      <c r="B1135" s="7" t="str">
        <f>TRIM(ETLMetadata!$C1135)</f>
        <v>DETM_DETIS_PJDS</v>
      </c>
      <c r="C1135" s="7" t="str">
        <f>TRIM(ETLMetadata!$F1135)</f>
        <v>PJDS_AMR_1</v>
      </c>
      <c r="D1135" s="7" t="str">
        <f>TRIM(ETLMetadata!$H1135)</f>
        <v>StringType()</v>
      </c>
      <c r="E1135" s="7" t="str">
        <f t="shared" si="144"/>
        <v>CLK_DETM_DETIS_PJDS</v>
      </c>
      <c r="F1135" s="7" t="str">
        <f t="shared" si="138"/>
        <v>PJDS_AMR_1</v>
      </c>
      <c r="G1135" s="7" t="s">
        <v>825</v>
      </c>
      <c r="H1135" s="7" t="str">
        <f t="shared" si="139"/>
        <v>CLK_DETM_DETIS_PJDS</v>
      </c>
      <c r="I1135" s="7" t="str">
        <f t="shared" si="140"/>
        <v>PJDS_AMR_1</v>
      </c>
      <c r="J1135" s="7" t="str">
        <f t="shared" si="141"/>
        <v>VARCHAR</v>
      </c>
      <c r="K1135" s="7" t="str">
        <f>TRIM(ETLMetadata!$G1135)</f>
        <v>CHAR(4)</v>
      </c>
      <c r="L1135" s="7" t="str">
        <f>TRIM(ETLMetadata!$I1135)</f>
        <v/>
      </c>
      <c r="M1135" s="7" t="str">
        <f t="shared" si="142"/>
        <v>NULLIF(TRIM(PJDS_AMR_1),'')</v>
      </c>
      <c r="N1135" s="7" t="str">
        <f>TRIM(ETLMetadata!$J1135)</f>
        <v/>
      </c>
      <c r="O1135" s="8" t="str">
        <f>IF(TRIM(Classification!$G1135)="","NOT CONFIDENTIAL",TRIM(Classification!$G1135))</f>
        <v>NOT CONFIDENTIAL</v>
      </c>
      <c r="P1135" s="7" t="str">
        <f t="shared" si="143"/>
        <v>Y</v>
      </c>
      <c r="Q1135" s="7" t="s">
        <v>826</v>
      </c>
      <c r="R1135" s="9">
        <v>2958465</v>
      </c>
      <c r="S1135" s="7" t="s">
        <v>827</v>
      </c>
      <c r="T1135" s="7" t="s">
        <v>828</v>
      </c>
      <c r="U1135" s="7" t="str">
        <f t="shared" si="145"/>
        <v>CLK_DETM_DETIS_PJDS_V</v>
      </c>
      <c r="V1135" s="7" t="s">
        <v>829</v>
      </c>
    </row>
    <row r="1136" spans="1:22">
      <c r="A1136" s="7" t="str">
        <f>TRIM(ETLMetadata!$B1136)</f>
        <v>CLK</v>
      </c>
      <c r="B1136" s="7" t="str">
        <f>TRIM(ETLMetadata!$C1136)</f>
        <v>DETM_DETIS_PJDS</v>
      </c>
      <c r="C1136" s="7" t="str">
        <f>TRIM(ETLMetadata!$F1136)</f>
        <v>PJDS_AMR_2</v>
      </c>
      <c r="D1136" s="7" t="str">
        <f>TRIM(ETLMetadata!$H1136)</f>
        <v>StringType()</v>
      </c>
      <c r="E1136" s="7" t="str">
        <f t="shared" si="144"/>
        <v>CLK_DETM_DETIS_PJDS</v>
      </c>
      <c r="F1136" s="7" t="str">
        <f t="shared" si="138"/>
        <v>PJDS_AMR_2</v>
      </c>
      <c r="G1136" s="7" t="s">
        <v>825</v>
      </c>
      <c r="H1136" s="7" t="str">
        <f t="shared" si="139"/>
        <v>CLK_DETM_DETIS_PJDS</v>
      </c>
      <c r="I1136" s="7" t="str">
        <f t="shared" si="140"/>
        <v>PJDS_AMR_2</v>
      </c>
      <c r="J1136" s="7" t="str">
        <f t="shared" si="141"/>
        <v>VARCHAR</v>
      </c>
      <c r="K1136" s="7" t="str">
        <f>TRIM(ETLMetadata!$G1136)</f>
        <v>CHAR(1)</v>
      </c>
      <c r="L1136" s="7" t="str">
        <f>TRIM(ETLMetadata!$I1136)</f>
        <v/>
      </c>
      <c r="M1136" s="7" t="str">
        <f t="shared" si="142"/>
        <v>NULLIF(TRIM(PJDS_AMR_2),'')</v>
      </c>
      <c r="N1136" s="7" t="str">
        <f>TRIM(ETLMetadata!$J1136)</f>
        <v/>
      </c>
      <c r="O1136" s="8" t="str">
        <f>IF(TRIM(Classification!$G1136)="","NOT CONFIDENTIAL",TRIM(Classification!$G1136))</f>
        <v>NOT CONFIDENTIAL</v>
      </c>
      <c r="P1136" s="7" t="str">
        <f t="shared" si="143"/>
        <v>Y</v>
      </c>
      <c r="Q1136" s="7" t="s">
        <v>826</v>
      </c>
      <c r="R1136" s="9">
        <v>2958465</v>
      </c>
      <c r="S1136" s="7" t="s">
        <v>827</v>
      </c>
      <c r="T1136" s="7" t="s">
        <v>828</v>
      </c>
      <c r="U1136" s="7" t="str">
        <f t="shared" si="145"/>
        <v>CLK_DETM_DETIS_PJDS_V</v>
      </c>
      <c r="V1136" s="7" t="s">
        <v>829</v>
      </c>
    </row>
    <row r="1137" spans="1:22">
      <c r="A1137" s="7" t="str">
        <f>TRIM(ETLMetadata!$B1137)</f>
        <v>CLK</v>
      </c>
      <c r="B1137" s="7" t="str">
        <f>TRIM(ETLMetadata!$C1137)</f>
        <v>DETM_DETIS_PJDS</v>
      </c>
      <c r="C1137" s="7" t="str">
        <f>TRIM(ETLMetadata!$F1137)</f>
        <v>PJDS_AMR_3</v>
      </c>
      <c r="D1137" s="7" t="str">
        <f>TRIM(ETLMetadata!$H1137)</f>
        <v>StringType()</v>
      </c>
      <c r="E1137" s="7" t="str">
        <f t="shared" si="144"/>
        <v>CLK_DETM_DETIS_PJDS</v>
      </c>
      <c r="F1137" s="7" t="str">
        <f t="shared" si="138"/>
        <v>PJDS_AMR_3</v>
      </c>
      <c r="G1137" s="7" t="s">
        <v>825</v>
      </c>
      <c r="H1137" s="7" t="str">
        <f t="shared" si="139"/>
        <v>CLK_DETM_DETIS_PJDS</v>
      </c>
      <c r="I1137" s="7" t="str">
        <f t="shared" si="140"/>
        <v>PJDS_AMR_3</v>
      </c>
      <c r="J1137" s="7" t="str">
        <f t="shared" si="141"/>
        <v>VARCHAR</v>
      </c>
      <c r="K1137" s="7" t="str">
        <f>TRIM(ETLMetadata!$G1137)</f>
        <v>CHAR(4)</v>
      </c>
      <c r="L1137" s="7" t="str">
        <f>TRIM(ETLMetadata!$I1137)</f>
        <v/>
      </c>
      <c r="M1137" s="7" t="str">
        <f t="shared" si="142"/>
        <v>NULLIF(TRIM(PJDS_AMR_3),'')</v>
      </c>
      <c r="N1137" s="7" t="str">
        <f>TRIM(ETLMetadata!$J1137)</f>
        <v/>
      </c>
      <c r="O1137" s="8" t="str">
        <f>IF(TRIM(Classification!$G1137)="","NOT CONFIDENTIAL",TRIM(Classification!$G1137))</f>
        <v>NOT CONFIDENTIAL</v>
      </c>
      <c r="P1137" s="7" t="str">
        <f t="shared" si="143"/>
        <v>Y</v>
      </c>
      <c r="Q1137" s="7" t="s">
        <v>826</v>
      </c>
      <c r="R1137" s="9">
        <v>2958465</v>
      </c>
      <c r="S1137" s="7" t="s">
        <v>827</v>
      </c>
      <c r="T1137" s="7" t="s">
        <v>828</v>
      </c>
      <c r="U1137" s="7" t="str">
        <f t="shared" si="145"/>
        <v>CLK_DETM_DETIS_PJDS_V</v>
      </c>
      <c r="V1137" s="7" t="s">
        <v>829</v>
      </c>
    </row>
    <row r="1138" spans="1:22">
      <c r="A1138" s="7" t="str">
        <f>TRIM(ETLMetadata!$B1138)</f>
        <v>CLK</v>
      </c>
      <c r="B1138" s="7" t="str">
        <f>TRIM(ETLMetadata!$C1138)</f>
        <v>DETM_DETIS_PJDS</v>
      </c>
      <c r="C1138" s="7" t="str">
        <f>TRIM(ETLMetadata!$F1138)</f>
        <v>PJDS_BEN_TYPE_CODE</v>
      </c>
      <c r="D1138" s="7" t="str">
        <f>TRIM(ETLMetadata!$H1138)</f>
        <v>StringType()</v>
      </c>
      <c r="E1138" s="7" t="str">
        <f t="shared" si="144"/>
        <v>CLK_DETM_DETIS_PJDS</v>
      </c>
      <c r="F1138" s="7" t="str">
        <f t="shared" si="138"/>
        <v>PJDS_BEN_TYPE_CODE</v>
      </c>
      <c r="G1138" s="7" t="s">
        <v>825</v>
      </c>
      <c r="H1138" s="7" t="str">
        <f t="shared" si="139"/>
        <v>CLK_DETM_DETIS_PJDS</v>
      </c>
      <c r="I1138" s="7" t="str">
        <f t="shared" si="140"/>
        <v>PJDS_BEN_TYPE_CODE</v>
      </c>
      <c r="J1138" s="7" t="str">
        <f t="shared" si="141"/>
        <v>VARCHAR</v>
      </c>
      <c r="K1138" s="7" t="str">
        <f>TRIM(ETLMetadata!$G1138)</f>
        <v>CHAR(3)</v>
      </c>
      <c r="L1138" s="7" t="str">
        <f>TRIM(ETLMetadata!$I1138)</f>
        <v/>
      </c>
      <c r="M1138" s="7" t="str">
        <f t="shared" si="142"/>
        <v>NULLIF(TRIM(PJDS_BEN_TYPE_CODE),'')</v>
      </c>
      <c r="N1138" s="7" t="str">
        <f>TRIM(ETLMetadata!$J1138)</f>
        <v/>
      </c>
      <c r="O1138" s="8" t="str">
        <f>IF(TRIM(Classification!$G1138)="","NOT CONFIDENTIAL",TRIM(Classification!$G1138))</f>
        <v>NOT CONFIDENTIAL</v>
      </c>
      <c r="P1138" s="7" t="str">
        <f t="shared" si="143"/>
        <v>Y</v>
      </c>
      <c r="Q1138" s="7" t="s">
        <v>826</v>
      </c>
      <c r="R1138" s="9">
        <v>2958465</v>
      </c>
      <c r="S1138" s="7" t="s">
        <v>827</v>
      </c>
      <c r="T1138" s="7" t="s">
        <v>828</v>
      </c>
      <c r="U1138" s="7" t="str">
        <f t="shared" si="145"/>
        <v>CLK_DETM_DETIS_PJDS_V</v>
      </c>
      <c r="V1138" s="7" t="s">
        <v>829</v>
      </c>
    </row>
    <row r="1139" spans="1:22">
      <c r="A1139" s="7" t="str">
        <f>TRIM(ETLMetadata!$B1139)</f>
        <v>CLK</v>
      </c>
      <c r="B1139" s="7" t="str">
        <f>TRIM(ETLMetadata!$C1139)</f>
        <v>DETM_DETIS_PJDS</v>
      </c>
      <c r="C1139" s="7" t="str">
        <f>TRIM(ETLMetadata!$F1139)</f>
        <v>PJDS_RSN_CODE</v>
      </c>
      <c r="D1139" s="7" t="str">
        <f>TRIM(ETLMetadata!$H1139)</f>
        <v>StringType()</v>
      </c>
      <c r="E1139" s="7" t="str">
        <f t="shared" si="144"/>
        <v>CLK_DETM_DETIS_PJDS</v>
      </c>
      <c r="F1139" s="7" t="str">
        <f t="shared" si="138"/>
        <v>PJDS_RSN_CODE</v>
      </c>
      <c r="G1139" s="7" t="s">
        <v>825</v>
      </c>
      <c r="H1139" s="7" t="str">
        <f t="shared" si="139"/>
        <v>CLK_DETM_DETIS_PJDS</v>
      </c>
      <c r="I1139" s="7" t="str">
        <f t="shared" si="140"/>
        <v>PJDS_RSN_CODE</v>
      </c>
      <c r="J1139" s="7" t="str">
        <f t="shared" si="141"/>
        <v>VARCHAR</v>
      </c>
      <c r="K1139" s="7" t="str">
        <f>TRIM(ETLMetadata!$G1139)</f>
        <v>CHAR(3)</v>
      </c>
      <c r="L1139" s="7" t="str">
        <f>TRIM(ETLMetadata!$I1139)</f>
        <v/>
      </c>
      <c r="M1139" s="7" t="str">
        <f t="shared" si="142"/>
        <v>NULLIF(TRIM(PJDS_RSN_CODE),'')</v>
      </c>
      <c r="N1139" s="7" t="str">
        <f>TRIM(ETLMetadata!$J1139)</f>
        <v/>
      </c>
      <c r="O1139" s="8" t="str">
        <f>IF(TRIM(Classification!$G1139)="","NOT CONFIDENTIAL",TRIM(Classification!$G1139))</f>
        <v>NOT CONFIDENTIAL</v>
      </c>
      <c r="P1139" s="7" t="str">
        <f t="shared" si="143"/>
        <v>Y</v>
      </c>
      <c r="Q1139" s="7" t="s">
        <v>826</v>
      </c>
      <c r="R1139" s="9">
        <v>2958465</v>
      </c>
      <c r="S1139" s="7" t="s">
        <v>827</v>
      </c>
      <c r="T1139" s="7" t="s">
        <v>828</v>
      </c>
      <c r="U1139" s="7" t="str">
        <f t="shared" si="145"/>
        <v>CLK_DETM_DETIS_PJDS_V</v>
      </c>
      <c r="V1139" s="7" t="s">
        <v>829</v>
      </c>
    </row>
    <row r="1140" spans="1:22">
      <c r="A1140" s="7" t="str">
        <f>TRIM(ETLMetadata!$B1140)</f>
        <v>CLK</v>
      </c>
      <c r="B1140" s="7" t="str">
        <f>TRIM(ETLMetadata!$C1140)</f>
        <v>DETM_DETIS_PJDS</v>
      </c>
      <c r="C1140" s="7" t="str">
        <f>TRIM(ETLMetadata!$F1140)</f>
        <v>PJDS_STS_CODE</v>
      </c>
      <c r="D1140" s="7" t="str">
        <f>TRIM(ETLMetadata!$H1140)</f>
        <v>StringType()</v>
      </c>
      <c r="E1140" s="7" t="str">
        <f t="shared" si="144"/>
        <v>CLK_DETM_DETIS_PJDS</v>
      </c>
      <c r="F1140" s="7" t="str">
        <f t="shared" si="138"/>
        <v>PJDS_STS_CODE</v>
      </c>
      <c r="G1140" s="7" t="s">
        <v>825</v>
      </c>
      <c r="H1140" s="7" t="str">
        <f t="shared" si="139"/>
        <v>CLK_DETM_DETIS_PJDS</v>
      </c>
      <c r="I1140" s="7" t="str">
        <f t="shared" si="140"/>
        <v>PJDS_STS_CODE</v>
      </c>
      <c r="J1140" s="7" t="str">
        <f t="shared" si="141"/>
        <v>VARCHAR</v>
      </c>
      <c r="K1140" s="7" t="str">
        <f>TRIM(ETLMetadata!$G1140)</f>
        <v>CHAR(3)</v>
      </c>
      <c r="L1140" s="7" t="str">
        <f>TRIM(ETLMetadata!$I1140)</f>
        <v/>
      </c>
      <c r="M1140" s="7" t="str">
        <f t="shared" si="142"/>
        <v>NULLIF(TRIM(PJDS_STS_CODE),'')</v>
      </c>
      <c r="N1140" s="7" t="str">
        <f>TRIM(ETLMetadata!$J1140)</f>
        <v/>
      </c>
      <c r="O1140" s="8" t="str">
        <f>IF(TRIM(Classification!$G1140)="","NOT CONFIDENTIAL",TRIM(Classification!$G1140))</f>
        <v>NOT CONFIDENTIAL</v>
      </c>
      <c r="P1140" s="7" t="str">
        <f t="shared" si="143"/>
        <v>Y</v>
      </c>
      <c r="Q1140" s="7" t="s">
        <v>826</v>
      </c>
      <c r="R1140" s="9">
        <v>2958465</v>
      </c>
      <c r="S1140" s="7" t="s">
        <v>827</v>
      </c>
      <c r="T1140" s="7" t="s">
        <v>828</v>
      </c>
      <c r="U1140" s="7" t="str">
        <f t="shared" si="145"/>
        <v>CLK_DETM_DETIS_PJDS_V</v>
      </c>
      <c r="V1140" s="7" t="s">
        <v>829</v>
      </c>
    </row>
    <row r="1141" spans="1:22">
      <c r="A1141" s="7" t="str">
        <f>TRIM(ETLMetadata!$B1141)</f>
        <v>CLK</v>
      </c>
      <c r="B1141" s="7" t="str">
        <f>TRIM(ETLMetadata!$C1141)</f>
        <v>DETM_DETIS_PJDS</v>
      </c>
      <c r="C1141" s="7" t="str">
        <f>TRIM(ETLMetadata!$F1141)</f>
        <v>PJDS_UNIQ_ID</v>
      </c>
      <c r="D1141" s="7" t="str">
        <f>TRIM(ETLMetadata!$H1141)</f>
        <v>StringType()</v>
      </c>
      <c r="E1141" s="7" t="str">
        <f t="shared" si="144"/>
        <v>CLK_DETM_DETIS_PJDS</v>
      </c>
      <c r="F1141" s="7" t="str">
        <f t="shared" si="138"/>
        <v>PJDS_UNIQ_ID</v>
      </c>
      <c r="G1141" s="7" t="s">
        <v>825</v>
      </c>
      <c r="H1141" s="7" t="str">
        <f t="shared" si="139"/>
        <v>CLK_DETM_DETIS_PJDS</v>
      </c>
      <c r="I1141" s="7" t="str">
        <f t="shared" si="140"/>
        <v>PJDS_UNIQ_ID</v>
      </c>
      <c r="J1141" s="7" t="str">
        <f t="shared" si="141"/>
        <v>VARCHAR</v>
      </c>
      <c r="K1141" s="7" t="str">
        <f>TRIM(ETLMetadata!$G1141)</f>
        <v>VARCHAR(8)</v>
      </c>
      <c r="L1141" s="7" t="str">
        <f>TRIM(ETLMetadata!$I1141)</f>
        <v/>
      </c>
      <c r="M1141" s="7" t="str">
        <f t="shared" si="142"/>
        <v>NULLIF(TRIM(PJDS_UNIQ_ID),'')</v>
      </c>
      <c r="N1141" s="7" t="str">
        <f>TRIM(ETLMetadata!$J1141)</f>
        <v/>
      </c>
      <c r="O1141" s="8" t="str">
        <f>IF(TRIM(Classification!$G1141)="","NOT CONFIDENTIAL",TRIM(Classification!$G1141))</f>
        <v>NOT CONFIDENTIAL</v>
      </c>
      <c r="P1141" s="7" t="str">
        <f t="shared" si="143"/>
        <v>Y</v>
      </c>
      <c r="Q1141" s="7" t="s">
        <v>826</v>
      </c>
      <c r="R1141" s="9">
        <v>2958465</v>
      </c>
      <c r="S1141" s="7" t="s">
        <v>827</v>
      </c>
      <c r="T1141" s="7" t="s">
        <v>828</v>
      </c>
      <c r="U1141" s="7" t="str">
        <f t="shared" si="145"/>
        <v>CLK_DETM_DETIS_PJDS_V</v>
      </c>
      <c r="V1141" s="7" t="s">
        <v>829</v>
      </c>
    </row>
    <row r="1142" spans="1:22">
      <c r="A1142" s="7" t="str">
        <f>TRIM(ETLMetadata!$B1142)</f>
        <v>CLK</v>
      </c>
      <c r="B1142" s="7" t="str">
        <f>TRIM(ETLMetadata!$C1142)</f>
        <v>DETM_DETIS_PJDS</v>
      </c>
      <c r="C1142" s="7" t="str">
        <f>TRIM(ETLMetadata!$F1142)</f>
        <v>AMR1_RISL_DTS</v>
      </c>
      <c r="D1142" s="7" t="str">
        <f>TRIM(ETLMetadata!$H1142)</f>
        <v>StringType()</v>
      </c>
      <c r="E1142" s="7" t="str">
        <f t="shared" si="144"/>
        <v>CLK_DETM_DETIS_PJDS</v>
      </c>
      <c r="F1142" s="7" t="str">
        <f t="shared" si="138"/>
        <v>AMR1_RISL_DTS</v>
      </c>
      <c r="G1142" s="7" t="s">
        <v>825</v>
      </c>
      <c r="H1142" s="7" t="str">
        <f t="shared" si="139"/>
        <v>CLK_DETM_DETIS_PJDS</v>
      </c>
      <c r="I1142" s="7" t="str">
        <f t="shared" si="140"/>
        <v>AMR1_RISL_DTS</v>
      </c>
      <c r="J1142" s="7" t="str">
        <f t="shared" si="141"/>
        <v>TIMESTAMP</v>
      </c>
      <c r="K1142" s="7" t="str">
        <f>TRIM(ETLMetadata!$G1142)</f>
        <v>TIMESTAMP(6)</v>
      </c>
      <c r="L1142" s="7" t="str">
        <f>TRIM(ETLMetadata!$I1142)</f>
        <v>YYYY-MM-DDBHH:MI:SS.S(6)</v>
      </c>
      <c r="M1142" s="7" t="str">
        <f t="shared" si="142"/>
        <v>TO_TIMESTAMP_NTZ(NULLIF(TRIM(AMR1_RISL_DTS),''),'YYYY-MM-DD HH24:MI:SS.FF6')</v>
      </c>
      <c r="N1142" s="7" t="str">
        <f>TRIM(ETLMetadata!$J1142)</f>
        <v/>
      </c>
      <c r="O1142" s="8" t="str">
        <f>IF(TRIM(Classification!$G1142)="","NOT CONFIDENTIAL",TRIM(Classification!$G1142))</f>
        <v>NOT CONFIDENTIAL</v>
      </c>
      <c r="P1142" s="7" t="str">
        <f t="shared" si="143"/>
        <v>Y</v>
      </c>
      <c r="Q1142" s="7" t="s">
        <v>826</v>
      </c>
      <c r="R1142" s="9">
        <v>2958465</v>
      </c>
      <c r="S1142" s="7" t="s">
        <v>827</v>
      </c>
      <c r="T1142" s="7" t="s">
        <v>828</v>
      </c>
      <c r="U1142" s="7" t="str">
        <f t="shared" si="145"/>
        <v>CLK_DETM_DETIS_PJDS_V</v>
      </c>
      <c r="V1142" s="7" t="s">
        <v>829</v>
      </c>
    </row>
    <row r="1143" spans="1:22">
      <c r="A1143" s="7" t="str">
        <f>TRIM(ETLMetadata!$B1143)</f>
        <v>CLK</v>
      </c>
      <c r="B1143" s="7" t="str">
        <f>TRIM(ETLMetadata!$C1143)</f>
        <v>DETM_DETIS_PJDS</v>
      </c>
      <c r="C1143" s="7" t="str">
        <f>TRIM(ETLMetadata!$F1143)</f>
        <v>AMR3_RISL_DTS</v>
      </c>
      <c r="D1143" s="7" t="str">
        <f>TRIM(ETLMetadata!$H1143)</f>
        <v>StringType()</v>
      </c>
      <c r="E1143" s="7" t="str">
        <f t="shared" si="144"/>
        <v>CLK_DETM_DETIS_PJDS</v>
      </c>
      <c r="F1143" s="7" t="str">
        <f t="shared" si="138"/>
        <v>AMR3_RISL_DTS</v>
      </c>
      <c r="G1143" s="7" t="s">
        <v>825</v>
      </c>
      <c r="H1143" s="7" t="str">
        <f t="shared" si="139"/>
        <v>CLK_DETM_DETIS_PJDS</v>
      </c>
      <c r="I1143" s="7" t="str">
        <f t="shared" si="140"/>
        <v>AMR3_RISL_DTS</v>
      </c>
      <c r="J1143" s="7" t="str">
        <f t="shared" si="141"/>
        <v>TIMESTAMP</v>
      </c>
      <c r="K1143" s="7" t="str">
        <f>TRIM(ETLMetadata!$G1143)</f>
        <v>TIMESTAMP(6)</v>
      </c>
      <c r="L1143" s="7" t="str">
        <f>TRIM(ETLMetadata!$I1143)</f>
        <v>YYYY-MM-DDBHH:MI:SS.S(6)</v>
      </c>
      <c r="M1143" s="7" t="str">
        <f t="shared" si="142"/>
        <v>TO_TIMESTAMP_NTZ(NULLIF(TRIM(AMR3_RISL_DTS),''),'YYYY-MM-DD HH24:MI:SS.FF6')</v>
      </c>
      <c r="N1143" s="7" t="str">
        <f>TRIM(ETLMetadata!$J1143)</f>
        <v/>
      </c>
      <c r="O1143" s="8" t="str">
        <f>IF(TRIM(Classification!$G1143)="","NOT CONFIDENTIAL",TRIM(Classification!$G1143))</f>
        <v>NOT CONFIDENTIAL</v>
      </c>
      <c r="P1143" s="7" t="str">
        <f t="shared" si="143"/>
        <v>Y</v>
      </c>
      <c r="Q1143" s="7" t="s">
        <v>826</v>
      </c>
      <c r="R1143" s="9">
        <v>2958465</v>
      </c>
      <c r="S1143" s="7" t="s">
        <v>827</v>
      </c>
      <c r="T1143" s="7" t="s">
        <v>828</v>
      </c>
      <c r="U1143" s="7" t="str">
        <f t="shared" si="145"/>
        <v>CLK_DETM_DETIS_PJDS_V</v>
      </c>
      <c r="V1143" s="7" t="s">
        <v>829</v>
      </c>
    </row>
    <row r="1144" spans="1:22">
      <c r="A1144" s="7" t="str">
        <f>TRIM(ETLMetadata!$B1144)</f>
        <v>CLK</v>
      </c>
      <c r="B1144" s="7" t="str">
        <f>TRIM(ETLMetadata!$C1144)</f>
        <v>DETM_DETIS_PJDS</v>
      </c>
      <c r="C1144" s="7" t="str">
        <f>TRIM(ETLMetadata!$F1144)</f>
        <v>EPISODE_ID</v>
      </c>
      <c r="D1144" s="7" t="str">
        <f>TRIM(ETLMetadata!$H1144)</f>
        <v>StringType()</v>
      </c>
      <c r="E1144" s="7" t="str">
        <f t="shared" si="144"/>
        <v>CLK_DETM_DETIS_PJDS</v>
      </c>
      <c r="F1144" s="7" t="str">
        <f t="shared" si="138"/>
        <v>EPISODE_ID</v>
      </c>
      <c r="G1144" s="7" t="s">
        <v>825</v>
      </c>
      <c r="H1144" s="7" t="str">
        <f t="shared" si="139"/>
        <v>CLK_DETM_DETIS_PJDS</v>
      </c>
      <c r="I1144" s="7" t="str">
        <f t="shared" si="140"/>
        <v>EPISODE_ID</v>
      </c>
      <c r="J1144" s="7" t="str">
        <f t="shared" si="141"/>
        <v>INTEGER</v>
      </c>
      <c r="K1144" s="7" t="str">
        <f>TRIM(ETLMetadata!$G1144)</f>
        <v>INTEGER</v>
      </c>
      <c r="L1144" s="7" t="str">
        <f>TRIM(ETLMetadata!$I1144)</f>
        <v/>
      </c>
      <c r="M1144" s="7" t="str">
        <f t="shared" si="142"/>
        <v>CAST(NULLIF(TRIM(EPISODE_ID),'') AS INTEGER)</v>
      </c>
      <c r="N1144" s="7" t="str">
        <f>TRIM(ETLMetadata!$J1144)</f>
        <v/>
      </c>
      <c r="O1144" s="8" t="str">
        <f>IF(TRIM(Classification!$G1144)="","NOT CONFIDENTIAL",TRIM(Classification!$G1144))</f>
        <v>NOT CONFIDENTIAL</v>
      </c>
      <c r="P1144" s="7" t="str">
        <f t="shared" si="143"/>
        <v>Y</v>
      </c>
      <c r="Q1144" s="7" t="s">
        <v>826</v>
      </c>
      <c r="R1144" s="9">
        <v>2958465</v>
      </c>
      <c r="S1144" s="7" t="s">
        <v>827</v>
      </c>
      <c r="T1144" s="7" t="s">
        <v>828</v>
      </c>
      <c r="U1144" s="7" t="str">
        <f t="shared" si="145"/>
        <v>CLK_DETM_DETIS_PJDS_V</v>
      </c>
      <c r="V1144" s="7" t="s">
        <v>829</v>
      </c>
    </row>
    <row r="1145" spans="1:22">
      <c r="A1145" s="7" t="str">
        <f>TRIM(ETLMetadata!$B1145)</f>
        <v>CLK</v>
      </c>
      <c r="B1145" s="7" t="str">
        <f>TRIM(ETLMetadata!$C1145)</f>
        <v>DETM_DETIS_PJDS</v>
      </c>
      <c r="C1145" s="7" t="str">
        <f>TRIM(ETLMetadata!$F1145)</f>
        <v>PARTY_ROLE_ID</v>
      </c>
      <c r="D1145" s="7" t="str">
        <f>TRIM(ETLMetadata!$H1145)</f>
        <v>StringType()</v>
      </c>
      <c r="E1145" s="7" t="str">
        <f t="shared" si="144"/>
        <v>CLK_DETM_DETIS_PJDS</v>
      </c>
      <c r="F1145" s="7" t="str">
        <f t="shared" si="138"/>
        <v>PARTY_ROLE_ID</v>
      </c>
      <c r="G1145" s="7" t="s">
        <v>825</v>
      </c>
      <c r="H1145" s="7" t="str">
        <f t="shared" si="139"/>
        <v>CLK_DETM_DETIS_PJDS</v>
      </c>
      <c r="I1145" s="7" t="str">
        <f t="shared" si="140"/>
        <v>PARTY_ROLE_ID</v>
      </c>
      <c r="J1145" s="7" t="str">
        <f t="shared" si="141"/>
        <v>INTEGER</v>
      </c>
      <c r="K1145" s="7" t="str">
        <f>TRIM(ETLMetadata!$G1145)</f>
        <v>INTEGER</v>
      </c>
      <c r="L1145" s="7" t="str">
        <f>TRIM(ETLMetadata!$I1145)</f>
        <v/>
      </c>
      <c r="M1145" s="7" t="str">
        <f t="shared" si="142"/>
        <v>CAST(NULLIF(TRIM(PARTY_ROLE_ID),'') AS INTEGER)</v>
      </c>
      <c r="N1145" s="7" t="str">
        <f>TRIM(ETLMetadata!$J1145)</f>
        <v/>
      </c>
      <c r="O1145" s="8" t="str">
        <f>IF(TRIM(Classification!$G1145)="","NOT CONFIDENTIAL",TRIM(Classification!$G1145))</f>
        <v>NOT CONFIDENTIAL</v>
      </c>
      <c r="P1145" s="7" t="str">
        <f t="shared" si="143"/>
        <v>Y</v>
      </c>
      <c r="Q1145" s="7" t="s">
        <v>826</v>
      </c>
      <c r="R1145" s="9">
        <v>2958465</v>
      </c>
      <c r="S1145" s="7" t="s">
        <v>827</v>
      </c>
      <c r="T1145" s="7" t="s">
        <v>828</v>
      </c>
      <c r="U1145" s="7" t="str">
        <f t="shared" si="145"/>
        <v>CLK_DETM_DETIS_PJDS_V</v>
      </c>
      <c r="V1145" s="7" t="s">
        <v>829</v>
      </c>
    </row>
    <row r="1146" spans="1:22">
      <c r="A1146" s="7" t="str">
        <f>TRIM(ETLMetadata!$B1146)</f>
        <v>CLK</v>
      </c>
      <c r="B1146" s="7" t="str">
        <f>TRIM(ETLMetadata!$C1146)</f>
        <v>DETM_DETIS_PJDS</v>
      </c>
      <c r="C1146" s="7" t="str">
        <f>TRIM(ETLMetadata!$F1146)</f>
        <v>PAYMENT_TYPE_ID</v>
      </c>
      <c r="D1146" s="7" t="str">
        <f>TRIM(ETLMetadata!$H1146)</f>
        <v>StringType()</v>
      </c>
      <c r="E1146" s="7" t="str">
        <f t="shared" si="144"/>
        <v>CLK_DETM_DETIS_PJDS</v>
      </c>
      <c r="F1146" s="7" t="str">
        <f t="shared" si="138"/>
        <v>PAYMENT_TYPE_ID</v>
      </c>
      <c r="G1146" s="7" t="s">
        <v>825</v>
      </c>
      <c r="H1146" s="7" t="str">
        <f t="shared" si="139"/>
        <v>CLK_DETM_DETIS_PJDS</v>
      </c>
      <c r="I1146" s="7" t="str">
        <f t="shared" si="140"/>
        <v>PAYMENT_TYPE_ID</v>
      </c>
      <c r="J1146" s="7" t="str">
        <f t="shared" si="141"/>
        <v>INTEGER</v>
      </c>
      <c r="K1146" s="7" t="str">
        <f>TRIM(ETLMetadata!$G1146)</f>
        <v>INTEGER</v>
      </c>
      <c r="L1146" s="7" t="str">
        <f>TRIM(ETLMetadata!$I1146)</f>
        <v/>
      </c>
      <c r="M1146" s="7" t="str">
        <f t="shared" si="142"/>
        <v>CAST(NULLIF(TRIM(PAYMENT_TYPE_ID),'') AS INTEGER)</v>
      </c>
      <c r="N1146" s="7" t="str">
        <f>TRIM(ETLMetadata!$J1146)</f>
        <v/>
      </c>
      <c r="O1146" s="8" t="str">
        <f>IF(TRIM(Classification!$G1146)="","NOT CONFIDENTIAL",TRIM(Classification!$G1146))</f>
        <v>NOT CONFIDENTIAL</v>
      </c>
      <c r="P1146" s="7" t="str">
        <f t="shared" si="143"/>
        <v>Y</v>
      </c>
      <c r="Q1146" s="7" t="s">
        <v>826</v>
      </c>
      <c r="R1146" s="9">
        <v>2958465</v>
      </c>
      <c r="S1146" s="7" t="s">
        <v>827</v>
      </c>
      <c r="T1146" s="7" t="s">
        <v>828</v>
      </c>
      <c r="U1146" s="7" t="str">
        <f t="shared" si="145"/>
        <v>CLK_DETM_DETIS_PJDS_V</v>
      </c>
      <c r="V1146" s="7" t="s">
        <v>829</v>
      </c>
    </row>
    <row r="1147" spans="1:22">
      <c r="A1147" s="7" t="str">
        <f>TRIM(ETLMetadata!$B1147)</f>
        <v>CLK</v>
      </c>
      <c r="B1147" s="7" t="str">
        <f>TRIM(ETLMetadata!$C1147)</f>
        <v>DETM_DETIS_PJDS</v>
      </c>
      <c r="C1147" s="7" t="str">
        <f>TRIM(ETLMetadata!$F1147)</f>
        <v>ERROR_COUNT</v>
      </c>
      <c r="D1147" s="7" t="str">
        <f>TRIM(ETLMetadata!$H1147)</f>
        <v>StringType()</v>
      </c>
      <c r="E1147" s="7" t="str">
        <f t="shared" si="144"/>
        <v>CLK_DETM_DETIS_PJDS</v>
      </c>
      <c r="F1147" s="7" t="str">
        <f t="shared" si="138"/>
        <v>ERROR_COUNT</v>
      </c>
      <c r="G1147" s="7" t="s">
        <v>825</v>
      </c>
      <c r="H1147" s="7" t="str">
        <f t="shared" si="139"/>
        <v>CLK_DETM_DETIS_PJDS</v>
      </c>
      <c r="I1147" s="7" t="str">
        <f t="shared" si="140"/>
        <v>ERROR_COUNT</v>
      </c>
      <c r="J1147" s="7" t="str">
        <f t="shared" si="141"/>
        <v>SMALLINT</v>
      </c>
      <c r="K1147" s="7" t="str">
        <f>TRIM(ETLMetadata!$G1147)</f>
        <v>SMALLINT</v>
      </c>
      <c r="L1147" s="7" t="str">
        <f>TRIM(ETLMetadata!$I1147)</f>
        <v/>
      </c>
      <c r="M1147" s="7" t="str">
        <f t="shared" si="142"/>
        <v>CAST(NULLIF(TRIM(ERROR_COUNT),'') AS SMALLINT)</v>
      </c>
      <c r="N1147" s="7" t="str">
        <f>TRIM(ETLMetadata!$J1147)</f>
        <v/>
      </c>
      <c r="O1147" s="8" t="str">
        <f>IF(TRIM(Classification!$G1147)="","NOT CONFIDENTIAL",TRIM(Classification!$G1147))</f>
        <v>NOT CONFIDENTIAL</v>
      </c>
      <c r="P1147" s="7" t="str">
        <f t="shared" si="143"/>
        <v>Y</v>
      </c>
      <c r="Q1147" s="7" t="s">
        <v>826</v>
      </c>
      <c r="R1147" s="9">
        <v>2958465</v>
      </c>
      <c r="S1147" s="7" t="s">
        <v>827</v>
      </c>
      <c r="T1147" s="7" t="s">
        <v>828</v>
      </c>
      <c r="U1147" s="7" t="str">
        <f t="shared" si="145"/>
        <v>CLK_DETM_DETIS_PJDS_V</v>
      </c>
      <c r="V1147" s="7" t="s">
        <v>829</v>
      </c>
    </row>
    <row r="1148" spans="1:22">
      <c r="A1148" s="7" t="str">
        <f>TRIM(ETLMetadata!$B1148)</f>
        <v>CLK</v>
      </c>
      <c r="B1148" s="7" t="str">
        <f>TRIM(ETLMetadata!$C1148)</f>
        <v>DETM_DETIS_PJDS</v>
      </c>
      <c r="C1148" s="7" t="str">
        <f>TRIM(ETLMetadata!$F1148)</f>
        <v>Start_Date</v>
      </c>
      <c r="D1148" s="7" t="str">
        <f>TRIM(ETLMetadata!$H1148)</f>
        <v>StringType()</v>
      </c>
      <c r="E1148" s="7" t="str">
        <f t="shared" si="144"/>
        <v>CLK_DETM_DETIS_PJDS</v>
      </c>
      <c r="F1148" s="7" t="str">
        <f t="shared" si="138"/>
        <v>STRT_DT</v>
      </c>
      <c r="G1148" s="7" t="s">
        <v>825</v>
      </c>
      <c r="H1148" s="7" t="str">
        <f t="shared" si="139"/>
        <v>CLK_DETM_DETIS_PJDS</v>
      </c>
      <c r="I1148" s="7" t="str">
        <f t="shared" si="140"/>
        <v>STRT_DT</v>
      </c>
      <c r="J1148" s="7" t="str">
        <f t="shared" si="141"/>
        <v>DATE</v>
      </c>
      <c r="K1148" s="7" t="str">
        <f>TRIM(ETLMetadata!$G1148)</f>
        <v>DATE</v>
      </c>
      <c r="L1148" s="7" t="str">
        <f>TRIM(ETLMetadata!$I1148)</f>
        <v>YYYY-MM-DD</v>
      </c>
      <c r="M1148" s="7" t="str">
        <f t="shared" si="142"/>
        <v>TO_DATE(NULLIF(TRIM(STRT_DT),'') , 'YYYY-MM-DD')</v>
      </c>
      <c r="N1148" s="7" t="str">
        <f>TRIM(ETLMetadata!$J1148)</f>
        <v/>
      </c>
      <c r="O1148" s="8" t="str">
        <f>IF(TRIM(Classification!$G1148)="","NOT CONFIDENTIAL",TRIM(Classification!$G1148))</f>
        <v>NOT CONFIDENTIAL</v>
      </c>
      <c r="P1148" s="7" t="str">
        <f t="shared" si="143"/>
        <v>N</v>
      </c>
      <c r="Q1148" s="7" t="s">
        <v>826</v>
      </c>
      <c r="R1148" s="9">
        <v>2958465</v>
      </c>
      <c r="S1148" s="7" t="s">
        <v>827</v>
      </c>
      <c r="T1148" s="7" t="s">
        <v>828</v>
      </c>
      <c r="U1148" s="7" t="str">
        <f t="shared" si="145"/>
        <v>CLK_DETM_DETIS_PJDS_V</v>
      </c>
      <c r="V1148" s="7" t="s">
        <v>829</v>
      </c>
    </row>
    <row r="1149" spans="1:22">
      <c r="A1149" s="7" t="str">
        <f>TRIM(ETLMetadata!$B1149)</f>
        <v>CLK</v>
      </c>
      <c r="B1149" s="7" t="str">
        <f>TRIM(ETLMetadata!$C1149)</f>
        <v>DETM_DETIS_PJDS</v>
      </c>
      <c r="C1149" s="7" t="str">
        <f>TRIM(ETLMetadata!$F1149)</f>
        <v>End_Date</v>
      </c>
      <c r="D1149" s="7" t="str">
        <f>TRIM(ETLMetadata!$H1149)</f>
        <v>StringType()</v>
      </c>
      <c r="E1149" s="7" t="str">
        <f t="shared" si="144"/>
        <v>CLK_DETM_DETIS_PJDS</v>
      </c>
      <c r="F1149" s="7" t="str">
        <f t="shared" si="138"/>
        <v>END_DT</v>
      </c>
      <c r="G1149" s="7" t="s">
        <v>825</v>
      </c>
      <c r="H1149" s="7" t="str">
        <f t="shared" si="139"/>
        <v>CLK_DETM_DETIS_PJDS</v>
      </c>
      <c r="I1149" s="7" t="str">
        <f t="shared" si="140"/>
        <v>END_DT</v>
      </c>
      <c r="J1149" s="7" t="str">
        <f t="shared" si="141"/>
        <v>DATE</v>
      </c>
      <c r="K1149" s="7" t="str">
        <f>TRIM(ETLMetadata!$G1149)</f>
        <v>DATE</v>
      </c>
      <c r="L1149" s="7" t="str">
        <f>TRIM(ETLMetadata!$I1149)</f>
        <v>YYYY-MM-DD</v>
      </c>
      <c r="M1149" s="7" t="str">
        <f t="shared" si="142"/>
        <v>TO_DATE(NULLIF(TRIM(END_DT),'') , 'YYYY-MM-DD')</v>
      </c>
      <c r="N1149" s="7" t="str">
        <f>TRIM(ETLMetadata!$J1149)</f>
        <v/>
      </c>
      <c r="O1149" s="8" t="str">
        <f>IF(TRIM(Classification!$G1149)="","NOT CONFIDENTIAL",TRIM(Classification!$G1149))</f>
        <v>NOT CONFIDENTIAL</v>
      </c>
      <c r="P1149" s="7" t="str">
        <f t="shared" si="143"/>
        <v>N</v>
      </c>
      <c r="Q1149" s="7" t="s">
        <v>826</v>
      </c>
      <c r="R1149" s="9">
        <v>2958465</v>
      </c>
      <c r="S1149" s="7" t="s">
        <v>827</v>
      </c>
      <c r="T1149" s="7" t="s">
        <v>828</v>
      </c>
      <c r="U1149" s="7" t="str">
        <f t="shared" si="145"/>
        <v>CLK_DETM_DETIS_PJDS_V</v>
      </c>
      <c r="V1149" s="7" t="s">
        <v>829</v>
      </c>
    </row>
    <row r="1150" spans="1:22">
      <c r="A1150" s="7" t="str">
        <f>TRIM(ETLMetadata!$B1150)</f>
        <v>CLK</v>
      </c>
      <c r="B1150" s="7" t="str">
        <f>TRIM(ETLMetadata!$C1150)</f>
        <v>DETM_DETIS_PJDS</v>
      </c>
      <c r="C1150" s="7" t="str">
        <f>TRIM(ETLMetadata!$F1150)</f>
        <v>Record_Deleted_Flag</v>
      </c>
      <c r="D1150" s="7" t="str">
        <f>TRIM(ETLMetadata!$H1150)</f>
        <v>StringType()</v>
      </c>
      <c r="E1150" s="7" t="str">
        <f t="shared" si="144"/>
        <v>CLK_DETM_DETIS_PJDS</v>
      </c>
      <c r="F1150" s="7" t="str">
        <f t="shared" si="138"/>
        <v>RCRD_DEL_IND</v>
      </c>
      <c r="G1150" s="7" t="s">
        <v>825</v>
      </c>
      <c r="H1150" s="7" t="str">
        <f t="shared" si="139"/>
        <v>CLK_DETM_DETIS_PJDS</v>
      </c>
      <c r="I1150" s="7" t="str">
        <f t="shared" si="140"/>
        <v>RCRD_DEL_IND</v>
      </c>
      <c r="J1150" s="7" t="str">
        <f t="shared" si="141"/>
        <v>SMALLINT</v>
      </c>
      <c r="K1150" s="7" t="str">
        <f>TRIM(ETLMetadata!$G1150)</f>
        <v>BYTEINT</v>
      </c>
      <c r="L1150" s="7" t="str">
        <f>TRIM(ETLMetadata!$I1150)</f>
        <v/>
      </c>
      <c r="M1150" s="7" t="str">
        <f t="shared" si="142"/>
        <v>CAST(NULLIF(TRIM(RCRD_DEL_IND),'') AS SMALLINT)</v>
      </c>
      <c r="N1150" s="7" t="str">
        <f>TRIM(ETLMetadata!$J1150)</f>
        <v/>
      </c>
      <c r="O1150" s="8" t="str">
        <f>IF(TRIM(Classification!$G1150)="","NOT CONFIDENTIAL",TRIM(Classification!$G1150))</f>
        <v>NOT CONFIDENTIAL</v>
      </c>
      <c r="P1150" s="7" t="str">
        <f t="shared" si="143"/>
        <v>N</v>
      </c>
      <c r="Q1150" s="7" t="s">
        <v>826</v>
      </c>
      <c r="R1150" s="9">
        <v>2958465</v>
      </c>
      <c r="S1150" s="7" t="s">
        <v>827</v>
      </c>
      <c r="T1150" s="7" t="s">
        <v>828</v>
      </c>
      <c r="U1150" s="7" t="str">
        <f t="shared" si="145"/>
        <v>CLK_DETM_DETIS_PJDS_V</v>
      </c>
      <c r="V1150" s="7" t="s">
        <v>829</v>
      </c>
    </row>
    <row r="1151" spans="1:22">
      <c r="A1151" s="7" t="str">
        <f>TRIM(ETLMetadata!$B1151)</f>
        <v>CLK</v>
      </c>
      <c r="B1151" s="7" t="str">
        <f>TRIM(ETLMetadata!$C1151)</f>
        <v>DETM_DETIS_PNDS</v>
      </c>
      <c r="C1151" s="7" t="str">
        <f>TRIM(ETLMetadata!$F1151)</f>
        <v>EXTRACT_DATE</v>
      </c>
      <c r="D1151" s="7" t="str">
        <f>TRIM(ETLMetadata!$H1151)</f>
        <v>StringType()</v>
      </c>
      <c r="E1151" s="7" t="str">
        <f t="shared" si="144"/>
        <v>CLK_DETM_DETIS_PNDS</v>
      </c>
      <c r="F1151" s="7" t="str">
        <f t="shared" si="138"/>
        <v>EXTRACT_DATE</v>
      </c>
      <c r="G1151" s="7" t="s">
        <v>825</v>
      </c>
      <c r="H1151" s="7" t="str">
        <f t="shared" si="139"/>
        <v>CLK_DETM_DETIS_PNDS</v>
      </c>
      <c r="I1151" s="7" t="str">
        <f t="shared" si="140"/>
        <v>EXTRACT_DATE</v>
      </c>
      <c r="J1151" s="7" t="str">
        <f t="shared" si="141"/>
        <v>DATE</v>
      </c>
      <c r="K1151" s="7" t="str">
        <f>TRIM(ETLMetadata!$G1151)</f>
        <v>DATE</v>
      </c>
      <c r="L1151" s="7" t="str">
        <f>TRIM(ETLMetadata!$I1151)</f>
        <v>YYYY-MM-DD</v>
      </c>
      <c r="M1151" s="7" t="str">
        <f t="shared" si="142"/>
        <v>TO_DATE(NULLIF(TRIM(EXTRACT_DATE),'') , 'YYYY-MM-DD')</v>
      </c>
      <c r="N1151" s="7" t="str">
        <f>TRIM(ETLMetadata!$J1151)</f>
        <v/>
      </c>
      <c r="O1151" s="8" t="str">
        <f>IF(TRIM(Classification!$G1151)="","NOT CONFIDENTIAL",TRIM(Classification!$G1151))</f>
        <v>NOT CONFIDENTIAL</v>
      </c>
      <c r="P1151" s="7" t="str">
        <f t="shared" si="143"/>
        <v>Y</v>
      </c>
      <c r="Q1151" s="7" t="s">
        <v>826</v>
      </c>
      <c r="R1151" s="9">
        <v>2958465</v>
      </c>
      <c r="S1151" s="7" t="s">
        <v>827</v>
      </c>
      <c r="T1151" s="7" t="s">
        <v>828</v>
      </c>
      <c r="U1151" s="7" t="str">
        <f t="shared" si="145"/>
        <v>CLK_DETM_DETIS_PNDS_V</v>
      </c>
      <c r="V1151" s="7" t="s">
        <v>829</v>
      </c>
    </row>
    <row r="1152" spans="1:22">
      <c r="A1152" s="7" t="str">
        <f>TRIM(ETLMetadata!$B1152)</f>
        <v>CLK</v>
      </c>
      <c r="B1152" s="7" t="str">
        <f>TRIM(ETLMetadata!$C1152)</f>
        <v>DETM_DETIS_PNDS</v>
      </c>
      <c r="C1152" s="7" t="str">
        <f>TRIM(ETLMetadata!$F1152)</f>
        <v>LOGICAL_DELETE_DATE</v>
      </c>
      <c r="D1152" s="7" t="str">
        <f>TRIM(ETLMetadata!$H1152)</f>
        <v>StringType()</v>
      </c>
      <c r="E1152" s="7" t="str">
        <f t="shared" si="144"/>
        <v>CLK_DETM_DETIS_PNDS</v>
      </c>
      <c r="F1152" s="7" t="str">
        <f t="shared" si="138"/>
        <v>LOGICAL_DELETE_DATE</v>
      </c>
      <c r="G1152" s="7" t="s">
        <v>825</v>
      </c>
      <c r="H1152" s="7" t="str">
        <f t="shared" si="139"/>
        <v>CLK_DETM_DETIS_PNDS</v>
      </c>
      <c r="I1152" s="7" t="str">
        <f t="shared" si="140"/>
        <v>LOGICAL_DELETE_DATE</v>
      </c>
      <c r="J1152" s="7" t="str">
        <f t="shared" si="141"/>
        <v>DATE</v>
      </c>
      <c r="K1152" s="7" t="str">
        <f>TRIM(ETLMetadata!$G1152)</f>
        <v>DATE</v>
      </c>
      <c r="L1152" s="7" t="str">
        <f>TRIM(ETLMetadata!$I1152)</f>
        <v>YYYY-MM-DD</v>
      </c>
      <c r="M1152" s="7" t="str">
        <f t="shared" si="142"/>
        <v>TO_DATE(NULLIF(TRIM(LOGICAL_DELETE_DATE),'') , 'YYYY-MM-DD')</v>
      </c>
      <c r="N1152" s="7" t="str">
        <f>TRIM(ETLMetadata!$J1152)</f>
        <v/>
      </c>
      <c r="O1152" s="8" t="str">
        <f>IF(TRIM(Classification!$G1152)="","NOT CONFIDENTIAL",TRIM(Classification!$G1152))</f>
        <v>NOT CONFIDENTIAL</v>
      </c>
      <c r="P1152" s="7" t="str">
        <f t="shared" si="143"/>
        <v>Y</v>
      </c>
      <c r="Q1152" s="7" t="s">
        <v>826</v>
      </c>
      <c r="R1152" s="9">
        <v>2958465</v>
      </c>
      <c r="S1152" s="7" t="s">
        <v>827</v>
      </c>
      <c r="T1152" s="7" t="s">
        <v>828</v>
      </c>
      <c r="U1152" s="7" t="str">
        <f t="shared" si="145"/>
        <v>CLK_DETM_DETIS_PNDS_V</v>
      </c>
      <c r="V1152" s="7" t="s">
        <v>829</v>
      </c>
    </row>
    <row r="1153" spans="1:22">
      <c r="A1153" s="7" t="str">
        <f>TRIM(ETLMetadata!$B1153)</f>
        <v>CLK</v>
      </c>
      <c r="B1153" s="7" t="str">
        <f>TRIM(ETLMetadata!$C1153)</f>
        <v>DETM_DETIS_PNDS</v>
      </c>
      <c r="C1153" s="7" t="str">
        <f>TRIM(ETLMetadata!$F1153)</f>
        <v>ENVIRONMENT_ID</v>
      </c>
      <c r="D1153" s="7" t="str">
        <f>TRIM(ETLMetadata!$H1153)</f>
        <v>StringType()</v>
      </c>
      <c r="E1153" s="7" t="str">
        <f t="shared" si="144"/>
        <v>CLK_DETM_DETIS_PNDS</v>
      </c>
      <c r="F1153" s="7" t="str">
        <f t="shared" si="138"/>
        <v>ENVIRONMENT_ID</v>
      </c>
      <c r="G1153" s="7" t="s">
        <v>825</v>
      </c>
      <c r="H1153" s="7" t="str">
        <f t="shared" si="139"/>
        <v>CLK_DETM_DETIS_PNDS</v>
      </c>
      <c r="I1153" s="7" t="str">
        <f t="shared" si="140"/>
        <v>ENVIRONMENT_ID</v>
      </c>
      <c r="J1153" s="7" t="str">
        <f t="shared" si="141"/>
        <v>VARCHAR</v>
      </c>
      <c r="K1153" s="7" t="str">
        <f>TRIM(ETLMetadata!$G1153)</f>
        <v>CHAR(1)</v>
      </c>
      <c r="L1153" s="7" t="str">
        <f>TRIM(ETLMetadata!$I1153)</f>
        <v/>
      </c>
      <c r="M1153" s="7" t="str">
        <f t="shared" si="142"/>
        <v>NULLIF(TRIM(ENVIRONMENT_ID),'')</v>
      </c>
      <c r="N1153" s="7" t="str">
        <f>TRIM(ETLMetadata!$J1153)</f>
        <v>Y</v>
      </c>
      <c r="O1153" s="8" t="str">
        <f>IF(TRIM(Classification!$G1153)="","NOT CONFIDENTIAL",TRIM(Classification!$G1153))</f>
        <v>NOT CONFIDENTIAL</v>
      </c>
      <c r="P1153" s="7" t="str">
        <f t="shared" si="143"/>
        <v>Y</v>
      </c>
      <c r="Q1153" s="7" t="s">
        <v>826</v>
      </c>
      <c r="R1153" s="9">
        <v>2958465</v>
      </c>
      <c r="S1153" s="7" t="s">
        <v>827</v>
      </c>
      <c r="T1153" s="7" t="s">
        <v>828</v>
      </c>
      <c r="U1153" s="7" t="str">
        <f t="shared" si="145"/>
        <v>CLK_DETM_DETIS_PNDS_V</v>
      </c>
      <c r="V1153" s="7" t="s">
        <v>829</v>
      </c>
    </row>
    <row r="1154" spans="1:22">
      <c r="A1154" s="7" t="str">
        <f>TRIM(ETLMetadata!$B1154)</f>
        <v>CLK</v>
      </c>
      <c r="B1154" s="7" t="str">
        <f>TRIM(ETLMetadata!$C1154)</f>
        <v>DETM_DETIS_PNDS</v>
      </c>
      <c r="C1154" s="7" t="str">
        <f>TRIM(ETLMetadata!$F1154)</f>
        <v>PERSON_ID</v>
      </c>
      <c r="D1154" s="7" t="str">
        <f>TRIM(ETLMetadata!$H1154)</f>
        <v>StringType()</v>
      </c>
      <c r="E1154" s="7" t="str">
        <f t="shared" si="144"/>
        <v>CLK_DETM_DETIS_PNDS</v>
      </c>
      <c r="F1154" s="7" t="str">
        <f t="shared" si="138"/>
        <v>PERSON_ID</v>
      </c>
      <c r="G1154" s="7" t="s">
        <v>825</v>
      </c>
      <c r="H1154" s="7" t="str">
        <f t="shared" si="139"/>
        <v>CLK_DETM_DETIS_PNDS</v>
      </c>
      <c r="I1154" s="7" t="str">
        <f t="shared" si="140"/>
        <v>PERSON_ID</v>
      </c>
      <c r="J1154" s="7" t="str">
        <f t="shared" si="141"/>
        <v>INTEGER</v>
      </c>
      <c r="K1154" s="7" t="str">
        <f>TRIM(ETLMetadata!$G1154)</f>
        <v>INTEGER</v>
      </c>
      <c r="L1154" s="7" t="str">
        <f>TRIM(ETLMetadata!$I1154)</f>
        <v/>
      </c>
      <c r="M1154" s="7" t="str">
        <f t="shared" si="142"/>
        <v>CAST(NULLIF(TRIM(PERSON_ID),'') AS INTEGER)</v>
      </c>
      <c r="N1154" s="7" t="str">
        <f>TRIM(ETLMetadata!$J1154)</f>
        <v>Y</v>
      </c>
      <c r="O1154" s="8" t="str">
        <f>IF(TRIM(Classification!$G1154)="","NOT CONFIDENTIAL",TRIM(Classification!$G1154))</f>
        <v>PERSONAL_IDENTITYINFOINDIRECT</v>
      </c>
      <c r="P1154" s="7" t="str">
        <f t="shared" si="143"/>
        <v>Y</v>
      </c>
      <c r="Q1154" s="7" t="s">
        <v>826</v>
      </c>
      <c r="R1154" s="9">
        <v>2958465</v>
      </c>
      <c r="S1154" s="7" t="s">
        <v>827</v>
      </c>
      <c r="T1154" s="7" t="s">
        <v>828</v>
      </c>
      <c r="U1154" s="7" t="str">
        <f t="shared" si="145"/>
        <v>CLK_DETM_DETIS_PNDS_V</v>
      </c>
      <c r="V1154" s="7" t="s">
        <v>829</v>
      </c>
    </row>
    <row r="1155" spans="1:22">
      <c r="A1155" s="7" t="str">
        <f>TRIM(ETLMetadata!$B1155)</f>
        <v>CLK</v>
      </c>
      <c r="B1155" s="7" t="str">
        <f>TRIM(ETLMetadata!$C1155)</f>
        <v>DETM_DETIS_PNDS</v>
      </c>
      <c r="C1155" s="7" t="str">
        <f>TRIM(ETLMetadata!$F1155)</f>
        <v>PNDS_DOE</v>
      </c>
      <c r="D1155" s="7" t="str">
        <f>TRIM(ETLMetadata!$H1155)</f>
        <v>StringType()</v>
      </c>
      <c r="E1155" s="7" t="str">
        <f t="shared" si="144"/>
        <v>CLK_DETM_DETIS_PNDS</v>
      </c>
      <c r="F1155" s="7" t="str">
        <f t="shared" ref="F1155:F1218" si="146">IF($C1155="Start_Date","STRT_DT",
 IF($C1155="End_Date","END_DT",
 IF($C1155="Record_Deleted_Flag","RCRD_DEL_IND",
 IF($C1155="IsDeleted","RCRD_DEL_IND",
 $C1155
))))</f>
        <v>PNDS_DOE</v>
      </c>
      <c r="G1155" s="7" t="s">
        <v>825</v>
      </c>
      <c r="H1155" s="7" t="str">
        <f t="shared" ref="H1155:H1218" si="147">CONCATENATE($A1155,"_",$B1155)</f>
        <v>CLK_DETM_DETIS_PNDS</v>
      </c>
      <c r="I1155" s="7" t="str">
        <f t="shared" ref="I1155:I1218" si="148">IF($C1155="Start_Date","STRT_DT",
 IF($C1155="End_Date","END_DT",
 IF($C1155="Record_Deleted_Flag","RCRD_DEL_IND",
 IF($C1155="IsDeleted","RCRD_DEL_IND",
 $C1155
))))</f>
        <v>PNDS_DOE</v>
      </c>
      <c r="J1155" s="7" t="str">
        <f t="shared" ref="J1155:J1218" si="149">IF(LEFT(TRIM($K1155),7)="VARCHAR","VARCHAR",
 IF(LEFT(TRIM($K1155),4)="CHAR","VARCHAR",
 IF(TRIM($K1155)="TIMESTAMP(6)","TIMESTAMP",
 IF(TRIM($K1155)="DATE","DATE",
 IF(TRIM($K1155)="BYTEINT","SMALLINT",
 IF(TRIM($K1155)="SMALLINT","SMALLINT",
 IF(TRIM($K1155)="INTEGER","INTEGER",
 IF(TRIM($K1155)="BIGINT","INTEGER",
 IF(LEFT(TRIM($K1155),7)="DECIMAL",TRIM($K1155),
 IF(TRIM($K1155)="BOOLEAN","BOOLEAN",
 IF(TRIM($K1155)="DOUBLE","DOUBLE",
 IF(TRIM($K1155)="FLOAT","FLOAT",
 IF(TRIM($K1155)="REAL","REAL",
 IF(LEFT(TRIM($K1155),6)="STRUCT","VARIANT",
 IF(LEFT(TRIM($K1155),5)="ARRAY","VARIANT",
 IF(LEFT(TRIM($K1155),3)="MAP","VARIANT",
 IF(LEFT(TRIM($K1155),3)="ROW","VARIANT",
 "NONE"
)))))))))))))))))</f>
        <v>DATE</v>
      </c>
      <c r="K1155" s="17" t="s">
        <v>80</v>
      </c>
      <c r="L1155" s="7" t="str">
        <f>TRIM(ETLMetadata!$I1155)</f>
        <v>YYYY-MM-DD</v>
      </c>
      <c r="M1155" s="7" t="str">
        <f t="shared" ref="M1155:M1218" si="150">IF(LEFT($K1155,7)="VARCHAR","NULLIF(TRIM("&amp;$I1155&amp;"),'')",
 IF(LEFT($K1155,4)="CHAR","NULLIF(TRIM("&amp;$I1155&amp;"),'')",
 IF(LEFT($K1155,7)="DECIMAL","CAST(NULLIF(TRIM("&amp;$I1155&amp;"),'') AS "&amp;$K1155&amp;")",
 IF($K1155="TIMESTAMP(6)","TO_TIMESTAMP_NTZ(NULLIF(TRIM("&amp;$I1155&amp;"),''),'YYYY-MM-DD HH24:MI:SS.FF6')",
 IF($K1155="DATE","TO_DATE(NULLIF(TRIM("&amp;$I1155&amp;"),'') , 'YYYY-MM-DD')",
 IF($K1155="BIGINT","CAST(NULLIF(TRIM("&amp;I1155&amp;"),'') AS INTEGER)",
 IF($K1155="BYTEINT","CAST(NULLIF(TRIM("&amp;I1155&amp;"),'') AS SMALLINT)",
 IF($K1155="SMALLINT","CAST(NULLIF(TRIM("&amp;I1155&amp;"),'') AS SMALLINT)",
 IF($K1155="INTEGER","CAST(NULLIF(TRIM("&amp;I1155&amp;"),'') AS INTEGER)",
 IF($K1155="BOOLEAN","CAST(NULLIF(TRIM("&amp;I1155&amp;"),'') AS BOOLEAN)",
 IF($K1155="DOUBLE","CAST(NULLIF(TRIM("&amp;I1155&amp;"),'') AS DOUBLE)",
 IF($K1155="FLOAT","CAST(NULLIF(TRIM("&amp;I1155&amp;"),'') AS FLOAT)",
 IF($K1155="REAL","CAST(NULLIF(TRIM("&amp;I1155&amp;"),'') AS REAL)",
 IF(OR($K1155="STRUCT",$K1155="ARRAY",$K1155="MAP",$K1155="ROW"),"CAST(NULLIF(TRIM("&amp;I1155&amp;"),'') AS VARIANT)",
 "NONE"
))))))))))))))</f>
        <v>TO_DATE(NULLIF(TRIM(PNDS_DOE),'') , 'YYYY-MM-DD')</v>
      </c>
      <c r="N1155" s="7" t="str">
        <f>TRIM(ETLMetadata!$J1155)</f>
        <v/>
      </c>
      <c r="O1155" s="8" t="str">
        <f>IF(TRIM(Classification!$G1155)="","NOT CONFIDENTIAL",TRIM(Classification!$G1155))</f>
        <v>NOT CONFIDENTIAL</v>
      </c>
      <c r="P1155" s="7" t="str">
        <f t="shared" ref="P1155:P1218" si="151">IF($C1155="Start_Date","N",
 IF($C1155="End_Date","N",
 IF($C1155="Record_Deleted_Flag","N",
 IF($C1155="IsDeleted","N",
 "Y"
))))</f>
        <v>Y</v>
      </c>
      <c r="Q1155" s="7" t="s">
        <v>826</v>
      </c>
      <c r="R1155" s="9">
        <v>2958465</v>
      </c>
      <c r="S1155" s="7" t="s">
        <v>827</v>
      </c>
      <c r="T1155" s="7" t="s">
        <v>828</v>
      </c>
      <c r="U1155" s="7" t="str">
        <f t="shared" si="145"/>
        <v>CLK_DETM_DETIS_PNDS_V</v>
      </c>
      <c r="V1155" s="7" t="s">
        <v>829</v>
      </c>
    </row>
    <row r="1156" spans="1:22">
      <c r="A1156" s="7" t="str">
        <f>TRIM(ETLMetadata!$B1156)</f>
        <v>CLK</v>
      </c>
      <c r="B1156" s="7" t="str">
        <f>TRIM(ETLMetadata!$C1156)</f>
        <v>DETM_DETIS_PNDS</v>
      </c>
      <c r="C1156" s="7" t="str">
        <f>TRIM(ETLMetadata!$F1156)</f>
        <v>PNDS_DOE_ORIG</v>
      </c>
      <c r="D1156" s="7" t="str">
        <f>TRIM(ETLMetadata!$H1156)</f>
        <v>StringType()</v>
      </c>
      <c r="E1156" s="7" t="str">
        <f t="shared" si="144"/>
        <v>CLK_DETM_DETIS_PNDS</v>
      </c>
      <c r="F1156" s="7" t="str">
        <f t="shared" si="146"/>
        <v>PNDS_DOE_ORIG</v>
      </c>
      <c r="G1156" s="7" t="s">
        <v>825</v>
      </c>
      <c r="H1156" s="7" t="str">
        <f t="shared" si="147"/>
        <v>CLK_DETM_DETIS_PNDS</v>
      </c>
      <c r="I1156" s="7" t="str">
        <f t="shared" si="148"/>
        <v>PNDS_DOE_ORIG</v>
      </c>
      <c r="J1156" s="7" t="str">
        <f t="shared" si="149"/>
        <v>INTEGER</v>
      </c>
      <c r="K1156" s="17" t="s">
        <v>90</v>
      </c>
      <c r="L1156" s="7" t="str">
        <f>TRIM(ETLMetadata!$I1156)</f>
        <v/>
      </c>
      <c r="M1156" s="7" t="str">
        <f t="shared" si="150"/>
        <v>CAST(NULLIF(TRIM(PNDS_DOE_ORIG),'') AS INTEGER)</v>
      </c>
      <c r="N1156" s="7" t="str">
        <f>TRIM(ETLMetadata!$J1156)</f>
        <v/>
      </c>
      <c r="O1156" s="8" t="str">
        <f>IF(TRIM(Classification!$G1156)="","NOT CONFIDENTIAL",TRIM(Classification!$G1156))</f>
        <v>NOT CONFIDENTIAL</v>
      </c>
      <c r="P1156" s="7" t="str">
        <f t="shared" si="151"/>
        <v>Y</v>
      </c>
      <c r="Q1156" s="7" t="s">
        <v>826</v>
      </c>
      <c r="R1156" s="9">
        <v>2958465</v>
      </c>
      <c r="S1156" s="7" t="s">
        <v>827</v>
      </c>
      <c r="T1156" s="7" t="s">
        <v>828</v>
      </c>
      <c r="U1156" s="7" t="str">
        <f t="shared" si="145"/>
        <v>CLK_DETM_DETIS_PNDS_V</v>
      </c>
      <c r="V1156" s="7" t="s">
        <v>829</v>
      </c>
    </row>
    <row r="1157" spans="1:22">
      <c r="A1157" s="7" t="str">
        <f>TRIM(ETLMetadata!$B1157)</f>
        <v>CLK</v>
      </c>
      <c r="B1157" s="7" t="str">
        <f>TRIM(ETLMetadata!$C1157)</f>
        <v>DETM_DETIS_PNDS</v>
      </c>
      <c r="C1157" s="7" t="str">
        <f>TRIM(ETLMetadata!$F1157)</f>
        <v>PROCESSING_SEQUENCE</v>
      </c>
      <c r="D1157" s="7" t="str">
        <f>TRIM(ETLMetadata!$H1157)</f>
        <v>StringType()</v>
      </c>
      <c r="E1157" s="7" t="str">
        <f t="shared" si="144"/>
        <v>CLK_DETM_DETIS_PNDS</v>
      </c>
      <c r="F1157" s="7" t="str">
        <f t="shared" si="146"/>
        <v>PROCESSING_SEQUENCE</v>
      </c>
      <c r="G1157" s="7" t="s">
        <v>825</v>
      </c>
      <c r="H1157" s="7" t="str">
        <f t="shared" si="147"/>
        <v>CLK_DETM_DETIS_PNDS</v>
      </c>
      <c r="I1157" s="7" t="str">
        <f t="shared" si="148"/>
        <v>PROCESSING_SEQUENCE</v>
      </c>
      <c r="J1157" s="7" t="str">
        <f t="shared" si="149"/>
        <v>SMALLINT</v>
      </c>
      <c r="K1157" s="7" t="str">
        <f>TRIM(ETLMetadata!$G1157)</f>
        <v>SMALLINT</v>
      </c>
      <c r="L1157" s="7" t="str">
        <f>TRIM(ETLMetadata!$I1157)</f>
        <v/>
      </c>
      <c r="M1157" s="7" t="str">
        <f t="shared" si="150"/>
        <v>CAST(NULLIF(TRIM(PROCESSING_SEQUENCE),'') AS SMALLINT)</v>
      </c>
      <c r="N1157" s="7" t="str">
        <f>TRIM(ETLMetadata!$J1157)</f>
        <v>Y</v>
      </c>
      <c r="O1157" s="8" t="str">
        <f>IF(TRIM(Classification!$G1157)="","NOT CONFIDENTIAL",TRIM(Classification!$G1157))</f>
        <v>NOT CONFIDENTIAL</v>
      </c>
      <c r="P1157" s="7" t="str">
        <f t="shared" si="151"/>
        <v>Y</v>
      </c>
      <c r="Q1157" s="7" t="s">
        <v>826</v>
      </c>
      <c r="R1157" s="9">
        <v>2958465</v>
      </c>
      <c r="S1157" s="7" t="s">
        <v>827</v>
      </c>
      <c r="T1157" s="7" t="s">
        <v>828</v>
      </c>
      <c r="U1157" s="7" t="str">
        <f t="shared" si="145"/>
        <v>CLK_DETM_DETIS_PNDS_V</v>
      </c>
      <c r="V1157" s="7" t="s">
        <v>829</v>
      </c>
    </row>
    <row r="1158" spans="1:22">
      <c r="A1158" s="7" t="str">
        <f>TRIM(ETLMetadata!$B1158)</f>
        <v>CLK</v>
      </c>
      <c r="B1158" s="7" t="str">
        <f>TRIM(ETLMetadata!$C1158)</f>
        <v>DETM_DETIS_PNDS</v>
      </c>
      <c r="C1158" s="7" t="str">
        <f>TRIM(ETLMetadata!$F1158)</f>
        <v>PNDS_AMR_1</v>
      </c>
      <c r="D1158" s="7" t="str">
        <f>TRIM(ETLMetadata!$H1158)</f>
        <v>StringType()</v>
      </c>
      <c r="E1158" s="7" t="str">
        <f t="shared" si="144"/>
        <v>CLK_DETM_DETIS_PNDS</v>
      </c>
      <c r="F1158" s="7" t="str">
        <f t="shared" si="146"/>
        <v>PNDS_AMR_1</v>
      </c>
      <c r="G1158" s="7" t="s">
        <v>825</v>
      </c>
      <c r="H1158" s="7" t="str">
        <f t="shared" si="147"/>
        <v>CLK_DETM_DETIS_PNDS</v>
      </c>
      <c r="I1158" s="7" t="str">
        <f t="shared" si="148"/>
        <v>PNDS_AMR_1</v>
      </c>
      <c r="J1158" s="7" t="str">
        <f t="shared" si="149"/>
        <v>VARCHAR</v>
      </c>
      <c r="K1158" s="7" t="str">
        <f>TRIM(ETLMetadata!$G1158)</f>
        <v>CHAR(4)</v>
      </c>
      <c r="L1158" s="7" t="str">
        <f>TRIM(ETLMetadata!$I1158)</f>
        <v/>
      </c>
      <c r="M1158" s="7" t="str">
        <f t="shared" si="150"/>
        <v>NULLIF(TRIM(PNDS_AMR_1),'')</v>
      </c>
      <c r="N1158" s="7" t="str">
        <f>TRIM(ETLMetadata!$J1158)</f>
        <v/>
      </c>
      <c r="O1158" s="8" t="str">
        <f>IF(TRIM(Classification!$G1158)="","NOT CONFIDENTIAL",TRIM(Classification!$G1158))</f>
        <v>NOT CONFIDENTIAL</v>
      </c>
      <c r="P1158" s="7" t="str">
        <f t="shared" si="151"/>
        <v>Y</v>
      </c>
      <c r="Q1158" s="7" t="s">
        <v>826</v>
      </c>
      <c r="R1158" s="9">
        <v>2958465</v>
      </c>
      <c r="S1158" s="7" t="s">
        <v>827</v>
      </c>
      <c r="T1158" s="7" t="s">
        <v>828</v>
      </c>
      <c r="U1158" s="7" t="str">
        <f t="shared" si="145"/>
        <v>CLK_DETM_DETIS_PNDS_V</v>
      </c>
      <c r="V1158" s="7" t="s">
        <v>829</v>
      </c>
    </row>
    <row r="1159" spans="1:22">
      <c r="A1159" s="7" t="str">
        <f>TRIM(ETLMetadata!$B1159)</f>
        <v>CLK</v>
      </c>
      <c r="B1159" s="7" t="str">
        <f>TRIM(ETLMetadata!$C1159)</f>
        <v>DETM_DETIS_PNDS</v>
      </c>
      <c r="C1159" s="7" t="str">
        <f>TRIM(ETLMetadata!$F1159)</f>
        <v>PNDS_AMR_2</v>
      </c>
      <c r="D1159" s="7" t="str">
        <f>TRIM(ETLMetadata!$H1159)</f>
        <v>StringType()</v>
      </c>
      <c r="E1159" s="7" t="str">
        <f t="shared" si="144"/>
        <v>CLK_DETM_DETIS_PNDS</v>
      </c>
      <c r="F1159" s="7" t="str">
        <f t="shared" si="146"/>
        <v>PNDS_AMR_2</v>
      </c>
      <c r="G1159" s="7" t="s">
        <v>825</v>
      </c>
      <c r="H1159" s="7" t="str">
        <f t="shared" si="147"/>
        <v>CLK_DETM_DETIS_PNDS</v>
      </c>
      <c r="I1159" s="7" t="str">
        <f t="shared" si="148"/>
        <v>PNDS_AMR_2</v>
      </c>
      <c r="J1159" s="7" t="str">
        <f t="shared" si="149"/>
        <v>VARCHAR</v>
      </c>
      <c r="K1159" s="7" t="str">
        <f>TRIM(ETLMetadata!$G1159)</f>
        <v>CHAR(1)</v>
      </c>
      <c r="L1159" s="7" t="str">
        <f>TRIM(ETLMetadata!$I1159)</f>
        <v/>
      </c>
      <c r="M1159" s="7" t="str">
        <f t="shared" si="150"/>
        <v>NULLIF(TRIM(PNDS_AMR_2),'')</v>
      </c>
      <c r="N1159" s="7" t="str">
        <f>TRIM(ETLMetadata!$J1159)</f>
        <v/>
      </c>
      <c r="O1159" s="8" t="str">
        <f>IF(TRIM(Classification!$G1159)="","NOT CONFIDENTIAL",TRIM(Classification!$G1159))</f>
        <v>NOT CONFIDENTIAL</v>
      </c>
      <c r="P1159" s="7" t="str">
        <f t="shared" si="151"/>
        <v>Y</v>
      </c>
      <c r="Q1159" s="7" t="s">
        <v>826</v>
      </c>
      <c r="R1159" s="9">
        <v>2958465</v>
      </c>
      <c r="S1159" s="7" t="s">
        <v>827</v>
      </c>
      <c r="T1159" s="7" t="s">
        <v>828</v>
      </c>
      <c r="U1159" s="7" t="str">
        <f t="shared" si="145"/>
        <v>CLK_DETM_DETIS_PNDS_V</v>
      </c>
      <c r="V1159" s="7" t="s">
        <v>829</v>
      </c>
    </row>
    <row r="1160" spans="1:22">
      <c r="A1160" s="7" t="str">
        <f>TRIM(ETLMetadata!$B1160)</f>
        <v>CLK</v>
      </c>
      <c r="B1160" s="7" t="str">
        <f>TRIM(ETLMetadata!$C1160)</f>
        <v>DETM_DETIS_PNDS</v>
      </c>
      <c r="C1160" s="7" t="str">
        <f>TRIM(ETLMetadata!$F1160)</f>
        <v>PNDS_AMR_3</v>
      </c>
      <c r="D1160" s="7" t="str">
        <f>TRIM(ETLMetadata!$H1160)</f>
        <v>StringType()</v>
      </c>
      <c r="E1160" s="7" t="str">
        <f t="shared" si="144"/>
        <v>CLK_DETM_DETIS_PNDS</v>
      </c>
      <c r="F1160" s="7" t="str">
        <f t="shared" si="146"/>
        <v>PNDS_AMR_3</v>
      </c>
      <c r="G1160" s="7" t="s">
        <v>825</v>
      </c>
      <c r="H1160" s="7" t="str">
        <f t="shared" si="147"/>
        <v>CLK_DETM_DETIS_PNDS</v>
      </c>
      <c r="I1160" s="7" t="str">
        <f t="shared" si="148"/>
        <v>PNDS_AMR_3</v>
      </c>
      <c r="J1160" s="7" t="str">
        <f t="shared" si="149"/>
        <v>VARCHAR</v>
      </c>
      <c r="K1160" s="7" t="str">
        <f>TRIM(ETLMetadata!$G1160)</f>
        <v>CHAR(4)</v>
      </c>
      <c r="L1160" s="7" t="str">
        <f>TRIM(ETLMetadata!$I1160)</f>
        <v/>
      </c>
      <c r="M1160" s="7" t="str">
        <f t="shared" si="150"/>
        <v>NULLIF(TRIM(PNDS_AMR_3),'')</v>
      </c>
      <c r="N1160" s="7" t="str">
        <f>TRIM(ETLMetadata!$J1160)</f>
        <v/>
      </c>
      <c r="O1160" s="8" t="str">
        <f>IF(TRIM(Classification!$G1160)="","NOT CONFIDENTIAL",TRIM(Classification!$G1160))</f>
        <v>NOT CONFIDENTIAL</v>
      </c>
      <c r="P1160" s="7" t="str">
        <f t="shared" si="151"/>
        <v>Y</v>
      </c>
      <c r="Q1160" s="7" t="s">
        <v>826</v>
      </c>
      <c r="R1160" s="9">
        <v>2958465</v>
      </c>
      <c r="S1160" s="7" t="s">
        <v>827</v>
      </c>
      <c r="T1160" s="7" t="s">
        <v>828</v>
      </c>
      <c r="U1160" s="7" t="str">
        <f t="shared" si="145"/>
        <v>CLK_DETM_DETIS_PNDS_V</v>
      </c>
      <c r="V1160" s="7" t="s">
        <v>829</v>
      </c>
    </row>
    <row r="1161" spans="1:22">
      <c r="A1161" s="7" t="str">
        <f>TRIM(ETLMetadata!$B1161)</f>
        <v>CLK</v>
      </c>
      <c r="B1161" s="7" t="str">
        <f>TRIM(ETLMetadata!$C1161)</f>
        <v>DETM_DETIS_PNDS</v>
      </c>
      <c r="C1161" s="7" t="str">
        <f>TRIM(ETLMetadata!$F1161)</f>
        <v>PNDS_BEN_TYPE_CODE</v>
      </c>
      <c r="D1161" s="7" t="str">
        <f>TRIM(ETLMetadata!$H1161)</f>
        <v>StringType()</v>
      </c>
      <c r="E1161" s="7" t="str">
        <f t="shared" si="144"/>
        <v>CLK_DETM_DETIS_PNDS</v>
      </c>
      <c r="F1161" s="7" t="str">
        <f t="shared" si="146"/>
        <v>PNDS_BEN_TYPE_CODE</v>
      </c>
      <c r="G1161" s="7" t="s">
        <v>825</v>
      </c>
      <c r="H1161" s="7" t="str">
        <f t="shared" si="147"/>
        <v>CLK_DETM_DETIS_PNDS</v>
      </c>
      <c r="I1161" s="7" t="str">
        <f t="shared" si="148"/>
        <v>PNDS_BEN_TYPE_CODE</v>
      </c>
      <c r="J1161" s="7" t="str">
        <f t="shared" si="149"/>
        <v>VARCHAR</v>
      </c>
      <c r="K1161" s="7" t="str">
        <f>TRIM(ETLMetadata!$G1161)</f>
        <v>CHAR(3)</v>
      </c>
      <c r="L1161" s="7" t="str">
        <f>TRIM(ETLMetadata!$I1161)</f>
        <v/>
      </c>
      <c r="M1161" s="7" t="str">
        <f t="shared" si="150"/>
        <v>NULLIF(TRIM(PNDS_BEN_TYPE_CODE),'')</v>
      </c>
      <c r="N1161" s="7" t="str">
        <f>TRIM(ETLMetadata!$J1161)</f>
        <v/>
      </c>
      <c r="O1161" s="8" t="str">
        <f>IF(TRIM(Classification!$G1161)="","NOT CONFIDENTIAL",TRIM(Classification!$G1161))</f>
        <v>NOT CONFIDENTIAL</v>
      </c>
      <c r="P1161" s="7" t="str">
        <f t="shared" si="151"/>
        <v>Y</v>
      </c>
      <c r="Q1161" s="7" t="s">
        <v>826</v>
      </c>
      <c r="R1161" s="9">
        <v>2958465</v>
      </c>
      <c r="S1161" s="7" t="s">
        <v>827</v>
      </c>
      <c r="T1161" s="7" t="s">
        <v>828</v>
      </c>
      <c r="U1161" s="7" t="str">
        <f t="shared" si="145"/>
        <v>CLK_DETM_DETIS_PNDS_V</v>
      </c>
      <c r="V1161" s="7" t="s">
        <v>829</v>
      </c>
    </row>
    <row r="1162" spans="1:22">
      <c r="A1162" s="7" t="str">
        <f>TRIM(ETLMetadata!$B1162)</f>
        <v>CLK</v>
      </c>
      <c r="B1162" s="7" t="str">
        <f>TRIM(ETLMetadata!$C1162)</f>
        <v>DETM_DETIS_PNDS</v>
      </c>
      <c r="C1162" s="7" t="str">
        <f>TRIM(ETLMetadata!$F1162)</f>
        <v>PNDS_PRCL_END_DATE</v>
      </c>
      <c r="D1162" s="7" t="str">
        <f>TRIM(ETLMetadata!$H1162)</f>
        <v>StringType()</v>
      </c>
      <c r="E1162" s="7" t="str">
        <f t="shared" si="144"/>
        <v>CLK_DETM_DETIS_PNDS</v>
      </c>
      <c r="F1162" s="7" t="str">
        <f t="shared" si="146"/>
        <v>PNDS_PRCL_END_DATE</v>
      </c>
      <c r="G1162" s="7" t="s">
        <v>825</v>
      </c>
      <c r="H1162" s="7" t="str">
        <f t="shared" si="147"/>
        <v>CLK_DETM_DETIS_PNDS</v>
      </c>
      <c r="I1162" s="7" t="str">
        <f t="shared" si="148"/>
        <v>PNDS_PRCL_END_DATE</v>
      </c>
      <c r="J1162" s="7" t="str">
        <f t="shared" si="149"/>
        <v>DATE</v>
      </c>
      <c r="K1162" s="17" t="s">
        <v>80</v>
      </c>
      <c r="L1162" s="7" t="str">
        <f>TRIM(ETLMetadata!$I1162)</f>
        <v>YYYY-MM-DD</v>
      </c>
      <c r="M1162" s="7" t="str">
        <f t="shared" si="150"/>
        <v>TO_DATE(NULLIF(TRIM(PNDS_PRCL_END_DATE),'') , 'YYYY-MM-DD')</v>
      </c>
      <c r="N1162" s="7" t="str">
        <f>TRIM(ETLMetadata!$J1162)</f>
        <v/>
      </c>
      <c r="O1162" s="8" t="str">
        <f>IF(TRIM(Classification!$G1162)="","NOT CONFIDENTIAL",TRIM(Classification!$G1162))</f>
        <v>NOT CONFIDENTIAL</v>
      </c>
      <c r="P1162" s="7" t="str">
        <f t="shared" si="151"/>
        <v>Y</v>
      </c>
      <c r="Q1162" s="7" t="s">
        <v>826</v>
      </c>
      <c r="R1162" s="9">
        <v>2958465</v>
      </c>
      <c r="S1162" s="7" t="s">
        <v>827</v>
      </c>
      <c r="T1162" s="7" t="s">
        <v>828</v>
      </c>
      <c r="U1162" s="7" t="str">
        <f t="shared" si="145"/>
        <v>CLK_DETM_DETIS_PNDS_V</v>
      </c>
      <c r="V1162" s="7" t="s">
        <v>829</v>
      </c>
    </row>
    <row r="1163" spans="1:22">
      <c r="A1163" s="7" t="str">
        <f>TRIM(ETLMetadata!$B1163)</f>
        <v>CLK</v>
      </c>
      <c r="B1163" s="7" t="str">
        <f>TRIM(ETLMetadata!$C1163)</f>
        <v>DETM_DETIS_PNDS</v>
      </c>
      <c r="C1163" s="7" t="str">
        <f>TRIM(ETLMetadata!$F1163)</f>
        <v>PNDS_PRCL_END_DATE_ORIG</v>
      </c>
      <c r="D1163" s="7" t="str">
        <f>TRIM(ETLMetadata!$H1163)</f>
        <v>StringType()</v>
      </c>
      <c r="E1163" s="7" t="str">
        <f t="shared" si="144"/>
        <v>CLK_DETM_DETIS_PNDS</v>
      </c>
      <c r="F1163" s="7" t="str">
        <f t="shared" si="146"/>
        <v>PNDS_PRCL_END_DATE_ORIG</v>
      </c>
      <c r="G1163" s="7" t="s">
        <v>825</v>
      </c>
      <c r="H1163" s="7" t="str">
        <f t="shared" si="147"/>
        <v>CLK_DETM_DETIS_PNDS</v>
      </c>
      <c r="I1163" s="7" t="str">
        <f t="shared" si="148"/>
        <v>PNDS_PRCL_END_DATE_ORIG</v>
      </c>
      <c r="J1163" s="7" t="str">
        <f t="shared" si="149"/>
        <v>INTEGER</v>
      </c>
      <c r="K1163" s="17" t="s">
        <v>90</v>
      </c>
      <c r="L1163" s="7" t="str">
        <f>TRIM(ETLMetadata!$I1163)</f>
        <v/>
      </c>
      <c r="M1163" s="7" t="str">
        <f t="shared" si="150"/>
        <v>CAST(NULLIF(TRIM(PNDS_PRCL_END_DATE_ORIG),'') AS INTEGER)</v>
      </c>
      <c r="N1163" s="7" t="str">
        <f>TRIM(ETLMetadata!$J1163)</f>
        <v/>
      </c>
      <c r="O1163" s="8" t="str">
        <f>IF(TRIM(Classification!$G1163)="","NOT CONFIDENTIAL",TRIM(Classification!$G1163))</f>
        <v>NOT CONFIDENTIAL</v>
      </c>
      <c r="P1163" s="7" t="str">
        <f t="shared" si="151"/>
        <v>Y</v>
      </c>
      <c r="Q1163" s="7" t="s">
        <v>826</v>
      </c>
      <c r="R1163" s="9">
        <v>2958465</v>
      </c>
      <c r="S1163" s="7" t="s">
        <v>827</v>
      </c>
      <c r="T1163" s="7" t="s">
        <v>828</v>
      </c>
      <c r="U1163" s="7" t="str">
        <f t="shared" si="145"/>
        <v>CLK_DETM_DETIS_PNDS_V</v>
      </c>
      <c r="V1163" s="7" t="s">
        <v>829</v>
      </c>
    </row>
    <row r="1164" spans="1:22">
      <c r="A1164" s="7" t="str">
        <f>TRIM(ETLMetadata!$B1164)</f>
        <v>CLK</v>
      </c>
      <c r="B1164" s="7" t="str">
        <f>TRIM(ETLMetadata!$C1164)</f>
        <v>DETM_DETIS_PNDS</v>
      </c>
      <c r="C1164" s="7" t="str">
        <f>TRIM(ETLMetadata!$F1164)</f>
        <v>PNDS_RSN_CODE</v>
      </c>
      <c r="D1164" s="7" t="str">
        <f>TRIM(ETLMetadata!$H1164)</f>
        <v>StringType()</v>
      </c>
      <c r="E1164" s="7" t="str">
        <f t="shared" si="144"/>
        <v>CLK_DETM_DETIS_PNDS</v>
      </c>
      <c r="F1164" s="7" t="str">
        <f t="shared" si="146"/>
        <v>PNDS_RSN_CODE</v>
      </c>
      <c r="G1164" s="7" t="s">
        <v>825</v>
      </c>
      <c r="H1164" s="7" t="str">
        <f t="shared" si="147"/>
        <v>CLK_DETM_DETIS_PNDS</v>
      </c>
      <c r="I1164" s="7" t="str">
        <f t="shared" si="148"/>
        <v>PNDS_RSN_CODE</v>
      </c>
      <c r="J1164" s="7" t="str">
        <f t="shared" si="149"/>
        <v>VARCHAR</v>
      </c>
      <c r="K1164" s="7" t="str">
        <f>TRIM(ETLMetadata!$G1164)</f>
        <v>CHAR(3)</v>
      </c>
      <c r="L1164" s="7" t="str">
        <f>TRIM(ETLMetadata!$I1164)</f>
        <v/>
      </c>
      <c r="M1164" s="7" t="str">
        <f t="shared" si="150"/>
        <v>NULLIF(TRIM(PNDS_RSN_CODE),'')</v>
      </c>
      <c r="N1164" s="7" t="str">
        <f>TRIM(ETLMetadata!$J1164)</f>
        <v/>
      </c>
      <c r="O1164" s="8" t="str">
        <f>IF(TRIM(Classification!$G1164)="","NOT CONFIDENTIAL",TRIM(Classification!$G1164))</f>
        <v>NOT CONFIDENTIAL</v>
      </c>
      <c r="P1164" s="7" t="str">
        <f t="shared" si="151"/>
        <v>Y</v>
      </c>
      <c r="Q1164" s="7" t="s">
        <v>826</v>
      </c>
      <c r="R1164" s="9">
        <v>2958465</v>
      </c>
      <c r="S1164" s="7" t="s">
        <v>827</v>
      </c>
      <c r="T1164" s="7" t="s">
        <v>828</v>
      </c>
      <c r="U1164" s="7" t="str">
        <f t="shared" si="145"/>
        <v>CLK_DETM_DETIS_PNDS_V</v>
      </c>
      <c r="V1164" s="7" t="s">
        <v>829</v>
      </c>
    </row>
    <row r="1165" spans="1:22">
      <c r="A1165" s="7" t="str">
        <f>TRIM(ETLMetadata!$B1165)</f>
        <v>CLK</v>
      </c>
      <c r="B1165" s="7" t="str">
        <f>TRIM(ETLMetadata!$C1165)</f>
        <v>DETM_DETIS_PNDS</v>
      </c>
      <c r="C1165" s="7" t="str">
        <f>TRIM(ETLMetadata!$F1165)</f>
        <v>PNDS_STS_CODE</v>
      </c>
      <c r="D1165" s="7" t="str">
        <f>TRIM(ETLMetadata!$H1165)</f>
        <v>StringType()</v>
      </c>
      <c r="E1165" s="7" t="str">
        <f t="shared" si="144"/>
        <v>CLK_DETM_DETIS_PNDS</v>
      </c>
      <c r="F1165" s="7" t="str">
        <f t="shared" si="146"/>
        <v>PNDS_STS_CODE</v>
      </c>
      <c r="G1165" s="7" t="s">
        <v>825</v>
      </c>
      <c r="H1165" s="7" t="str">
        <f t="shared" si="147"/>
        <v>CLK_DETM_DETIS_PNDS</v>
      </c>
      <c r="I1165" s="7" t="str">
        <f t="shared" si="148"/>
        <v>PNDS_STS_CODE</v>
      </c>
      <c r="J1165" s="7" t="str">
        <f t="shared" si="149"/>
        <v>VARCHAR</v>
      </c>
      <c r="K1165" s="7" t="str">
        <f>TRIM(ETLMetadata!$G1165)</f>
        <v>CHAR(3)</v>
      </c>
      <c r="L1165" s="7" t="str">
        <f>TRIM(ETLMetadata!$I1165)</f>
        <v/>
      </c>
      <c r="M1165" s="7" t="str">
        <f t="shared" si="150"/>
        <v>NULLIF(TRIM(PNDS_STS_CODE),'')</v>
      </c>
      <c r="N1165" s="7" t="str">
        <f>TRIM(ETLMetadata!$J1165)</f>
        <v/>
      </c>
      <c r="O1165" s="8" t="str">
        <f>IF(TRIM(Classification!$G1165)="","NOT CONFIDENTIAL",TRIM(Classification!$G1165))</f>
        <v>NOT CONFIDENTIAL</v>
      </c>
      <c r="P1165" s="7" t="str">
        <f t="shared" si="151"/>
        <v>Y</v>
      </c>
      <c r="Q1165" s="7" t="s">
        <v>826</v>
      </c>
      <c r="R1165" s="9">
        <v>2958465</v>
      </c>
      <c r="S1165" s="7" t="s">
        <v>827</v>
      </c>
      <c r="T1165" s="7" t="s">
        <v>828</v>
      </c>
      <c r="U1165" s="7" t="str">
        <f t="shared" si="145"/>
        <v>CLK_DETM_DETIS_PNDS_V</v>
      </c>
      <c r="V1165" s="7" t="s">
        <v>829</v>
      </c>
    </row>
    <row r="1166" spans="1:22">
      <c r="A1166" s="7" t="str">
        <f>TRIM(ETLMetadata!$B1166)</f>
        <v>CLK</v>
      </c>
      <c r="B1166" s="7" t="str">
        <f>TRIM(ETLMetadata!$C1166)</f>
        <v>DETM_DETIS_PNDS</v>
      </c>
      <c r="C1166" s="7" t="str">
        <f>TRIM(ETLMetadata!$F1166)</f>
        <v>AMR1_RISL_DTS</v>
      </c>
      <c r="D1166" s="7" t="str">
        <f>TRIM(ETLMetadata!$H1166)</f>
        <v>StringType()</v>
      </c>
      <c r="E1166" s="7" t="str">
        <f t="shared" si="144"/>
        <v>CLK_DETM_DETIS_PNDS</v>
      </c>
      <c r="F1166" s="7" t="str">
        <f t="shared" si="146"/>
        <v>AMR1_RISL_DTS</v>
      </c>
      <c r="G1166" s="7" t="s">
        <v>825</v>
      </c>
      <c r="H1166" s="7" t="str">
        <f t="shared" si="147"/>
        <v>CLK_DETM_DETIS_PNDS</v>
      </c>
      <c r="I1166" s="7" t="str">
        <f t="shared" si="148"/>
        <v>AMR1_RISL_DTS</v>
      </c>
      <c r="J1166" s="7" t="str">
        <f t="shared" si="149"/>
        <v>TIMESTAMP</v>
      </c>
      <c r="K1166" s="7" t="str">
        <f>TRIM(ETLMetadata!$G1166)</f>
        <v>TIMESTAMP(6)</v>
      </c>
      <c r="L1166" s="7" t="str">
        <f>TRIM(ETLMetadata!$I1166)</f>
        <v>YYYY-MM-DDBHH:MI:SS.S(6)</v>
      </c>
      <c r="M1166" s="7" t="str">
        <f t="shared" si="150"/>
        <v>TO_TIMESTAMP_NTZ(NULLIF(TRIM(AMR1_RISL_DTS),''),'YYYY-MM-DD HH24:MI:SS.FF6')</v>
      </c>
      <c r="N1166" s="7" t="str">
        <f>TRIM(ETLMetadata!$J1166)</f>
        <v/>
      </c>
      <c r="O1166" s="8" t="str">
        <f>IF(TRIM(Classification!$G1166)="","NOT CONFIDENTIAL",TRIM(Classification!$G1166))</f>
        <v>NOT CONFIDENTIAL</v>
      </c>
      <c r="P1166" s="7" t="str">
        <f t="shared" si="151"/>
        <v>Y</v>
      </c>
      <c r="Q1166" s="7" t="s">
        <v>826</v>
      </c>
      <c r="R1166" s="9">
        <v>2958465</v>
      </c>
      <c r="S1166" s="7" t="s">
        <v>827</v>
      </c>
      <c r="T1166" s="7" t="s">
        <v>828</v>
      </c>
      <c r="U1166" s="7" t="str">
        <f t="shared" si="145"/>
        <v>CLK_DETM_DETIS_PNDS_V</v>
      </c>
      <c r="V1166" s="7" t="s">
        <v>829</v>
      </c>
    </row>
    <row r="1167" spans="1:22">
      <c r="A1167" s="7" t="str">
        <f>TRIM(ETLMetadata!$B1167)</f>
        <v>CLK</v>
      </c>
      <c r="B1167" s="7" t="str">
        <f>TRIM(ETLMetadata!$C1167)</f>
        <v>DETM_DETIS_PNDS</v>
      </c>
      <c r="C1167" s="7" t="str">
        <f>TRIM(ETLMetadata!$F1167)</f>
        <v>AMR3_RISL_DTS</v>
      </c>
      <c r="D1167" s="7" t="str">
        <f>TRIM(ETLMetadata!$H1167)</f>
        <v>StringType()</v>
      </c>
      <c r="E1167" s="7" t="str">
        <f t="shared" si="144"/>
        <v>CLK_DETM_DETIS_PNDS</v>
      </c>
      <c r="F1167" s="7" t="str">
        <f t="shared" si="146"/>
        <v>AMR3_RISL_DTS</v>
      </c>
      <c r="G1167" s="7" t="s">
        <v>825</v>
      </c>
      <c r="H1167" s="7" t="str">
        <f t="shared" si="147"/>
        <v>CLK_DETM_DETIS_PNDS</v>
      </c>
      <c r="I1167" s="7" t="str">
        <f t="shared" si="148"/>
        <v>AMR3_RISL_DTS</v>
      </c>
      <c r="J1167" s="7" t="str">
        <f t="shared" si="149"/>
        <v>TIMESTAMP</v>
      </c>
      <c r="K1167" s="7" t="str">
        <f>TRIM(ETLMetadata!$G1167)</f>
        <v>TIMESTAMP(6)</v>
      </c>
      <c r="L1167" s="7" t="str">
        <f>TRIM(ETLMetadata!$I1167)</f>
        <v>YYYY-MM-DDBHH:MI:SS.S(6)</v>
      </c>
      <c r="M1167" s="7" t="str">
        <f t="shared" si="150"/>
        <v>TO_TIMESTAMP_NTZ(NULLIF(TRIM(AMR3_RISL_DTS),''),'YYYY-MM-DD HH24:MI:SS.FF6')</v>
      </c>
      <c r="N1167" s="7" t="str">
        <f>TRIM(ETLMetadata!$J1167)</f>
        <v/>
      </c>
      <c r="O1167" s="8" t="str">
        <f>IF(TRIM(Classification!$G1167)="","NOT CONFIDENTIAL",TRIM(Classification!$G1167))</f>
        <v>NOT CONFIDENTIAL</v>
      </c>
      <c r="P1167" s="7" t="str">
        <f t="shared" si="151"/>
        <v>Y</v>
      </c>
      <c r="Q1167" s="7" t="s">
        <v>826</v>
      </c>
      <c r="R1167" s="9">
        <v>2958465</v>
      </c>
      <c r="S1167" s="7" t="s">
        <v>827</v>
      </c>
      <c r="T1167" s="7" t="s">
        <v>828</v>
      </c>
      <c r="U1167" s="7" t="str">
        <f t="shared" si="145"/>
        <v>CLK_DETM_DETIS_PNDS_V</v>
      </c>
      <c r="V1167" s="7" t="s">
        <v>829</v>
      </c>
    </row>
    <row r="1168" spans="1:22">
      <c r="A1168" s="7" t="str">
        <f>TRIM(ETLMetadata!$B1168)</f>
        <v>CLK</v>
      </c>
      <c r="B1168" s="7" t="str">
        <f>TRIM(ETLMetadata!$C1168)</f>
        <v>DETM_DETIS_PNDS</v>
      </c>
      <c r="C1168" s="7" t="str">
        <f>TRIM(ETLMetadata!$F1168)</f>
        <v>PARTY_ROLE_ID</v>
      </c>
      <c r="D1168" s="7" t="str">
        <f>TRIM(ETLMetadata!$H1168)</f>
        <v>StringType()</v>
      </c>
      <c r="E1168" s="7" t="str">
        <f t="shared" si="144"/>
        <v>CLK_DETM_DETIS_PNDS</v>
      </c>
      <c r="F1168" s="7" t="str">
        <f t="shared" si="146"/>
        <v>PARTY_ROLE_ID</v>
      </c>
      <c r="G1168" s="7" t="s">
        <v>825</v>
      </c>
      <c r="H1168" s="7" t="str">
        <f t="shared" si="147"/>
        <v>CLK_DETM_DETIS_PNDS</v>
      </c>
      <c r="I1168" s="7" t="str">
        <f t="shared" si="148"/>
        <v>PARTY_ROLE_ID</v>
      </c>
      <c r="J1168" s="7" t="str">
        <f t="shared" si="149"/>
        <v>INTEGER</v>
      </c>
      <c r="K1168" s="7" t="str">
        <f>TRIM(ETLMetadata!$G1168)</f>
        <v>INTEGER</v>
      </c>
      <c r="L1168" s="7" t="str">
        <f>TRIM(ETLMetadata!$I1168)</f>
        <v/>
      </c>
      <c r="M1168" s="7" t="str">
        <f t="shared" si="150"/>
        <v>CAST(NULLIF(TRIM(PARTY_ROLE_ID),'') AS INTEGER)</v>
      </c>
      <c r="N1168" s="7" t="str">
        <f>TRIM(ETLMetadata!$J1168)</f>
        <v/>
      </c>
      <c r="O1168" s="8" t="str">
        <f>IF(TRIM(Classification!$G1168)="","NOT CONFIDENTIAL",TRIM(Classification!$G1168))</f>
        <v>NOT CONFIDENTIAL</v>
      </c>
      <c r="P1168" s="7" t="str">
        <f t="shared" si="151"/>
        <v>Y</v>
      </c>
      <c r="Q1168" s="7" t="s">
        <v>826</v>
      </c>
      <c r="R1168" s="9">
        <v>2958465</v>
      </c>
      <c r="S1168" s="7" t="s">
        <v>827</v>
      </c>
      <c r="T1168" s="7" t="s">
        <v>828</v>
      </c>
      <c r="U1168" s="7" t="str">
        <f t="shared" si="145"/>
        <v>CLK_DETM_DETIS_PNDS_V</v>
      </c>
      <c r="V1168" s="7" t="s">
        <v>829</v>
      </c>
    </row>
    <row r="1169" spans="1:22">
      <c r="A1169" s="7" t="str">
        <f>TRIM(ETLMetadata!$B1169)</f>
        <v>CLK</v>
      </c>
      <c r="B1169" s="7" t="str">
        <f>TRIM(ETLMetadata!$C1169)</f>
        <v>DETM_DETIS_PNDS</v>
      </c>
      <c r="C1169" s="7" t="str">
        <f>TRIM(ETLMetadata!$F1169)</f>
        <v>EPISODE_ID</v>
      </c>
      <c r="D1169" s="7" t="str">
        <f>TRIM(ETLMetadata!$H1169)</f>
        <v>StringType()</v>
      </c>
      <c r="E1169" s="7" t="str">
        <f t="shared" si="144"/>
        <v>CLK_DETM_DETIS_PNDS</v>
      </c>
      <c r="F1169" s="7" t="str">
        <f t="shared" si="146"/>
        <v>EPISODE_ID</v>
      </c>
      <c r="G1169" s="7" t="s">
        <v>825</v>
      </c>
      <c r="H1169" s="7" t="str">
        <f t="shared" si="147"/>
        <v>CLK_DETM_DETIS_PNDS</v>
      </c>
      <c r="I1169" s="7" t="str">
        <f t="shared" si="148"/>
        <v>EPISODE_ID</v>
      </c>
      <c r="J1169" s="7" t="str">
        <f t="shared" si="149"/>
        <v>INTEGER</v>
      </c>
      <c r="K1169" s="7" t="str">
        <f>TRIM(ETLMetadata!$G1169)</f>
        <v>INTEGER</v>
      </c>
      <c r="L1169" s="7" t="str">
        <f>TRIM(ETLMetadata!$I1169)</f>
        <v/>
      </c>
      <c r="M1169" s="7" t="str">
        <f t="shared" si="150"/>
        <v>CAST(NULLIF(TRIM(EPISODE_ID),'') AS INTEGER)</v>
      </c>
      <c r="N1169" s="7" t="str">
        <f>TRIM(ETLMetadata!$J1169)</f>
        <v/>
      </c>
      <c r="O1169" s="8" t="str">
        <f>IF(TRIM(Classification!$G1169)="","NOT CONFIDENTIAL",TRIM(Classification!$G1169))</f>
        <v>NOT CONFIDENTIAL</v>
      </c>
      <c r="P1169" s="7" t="str">
        <f t="shared" si="151"/>
        <v>Y</v>
      </c>
      <c r="Q1169" s="7" t="s">
        <v>826</v>
      </c>
      <c r="R1169" s="9">
        <v>2958465</v>
      </c>
      <c r="S1169" s="7" t="s">
        <v>827</v>
      </c>
      <c r="T1169" s="7" t="s">
        <v>828</v>
      </c>
      <c r="U1169" s="7" t="str">
        <f t="shared" si="145"/>
        <v>CLK_DETM_DETIS_PNDS_V</v>
      </c>
      <c r="V1169" s="7" t="s">
        <v>829</v>
      </c>
    </row>
    <row r="1170" spans="1:22">
      <c r="A1170" s="7" t="str">
        <f>TRIM(ETLMetadata!$B1170)</f>
        <v>CLK</v>
      </c>
      <c r="B1170" s="7" t="str">
        <f>TRIM(ETLMetadata!$C1170)</f>
        <v>DETM_DETIS_PNDS</v>
      </c>
      <c r="C1170" s="7" t="str">
        <f>TRIM(ETLMetadata!$F1170)</f>
        <v>PAYMENT_TYPE_ID</v>
      </c>
      <c r="D1170" s="7" t="str">
        <f>TRIM(ETLMetadata!$H1170)</f>
        <v>StringType()</v>
      </c>
      <c r="E1170" s="7" t="str">
        <f t="shared" si="144"/>
        <v>CLK_DETM_DETIS_PNDS</v>
      </c>
      <c r="F1170" s="7" t="str">
        <f t="shared" si="146"/>
        <v>PAYMENT_TYPE_ID</v>
      </c>
      <c r="G1170" s="7" t="s">
        <v>825</v>
      </c>
      <c r="H1170" s="7" t="str">
        <f t="shared" si="147"/>
        <v>CLK_DETM_DETIS_PNDS</v>
      </c>
      <c r="I1170" s="7" t="str">
        <f t="shared" si="148"/>
        <v>PAYMENT_TYPE_ID</v>
      </c>
      <c r="J1170" s="7" t="str">
        <f t="shared" si="149"/>
        <v>INTEGER</v>
      </c>
      <c r="K1170" s="7" t="str">
        <f>TRIM(ETLMetadata!$G1170)</f>
        <v>INTEGER</v>
      </c>
      <c r="L1170" s="7" t="str">
        <f>TRIM(ETLMetadata!$I1170)</f>
        <v/>
      </c>
      <c r="M1170" s="7" t="str">
        <f t="shared" si="150"/>
        <v>CAST(NULLIF(TRIM(PAYMENT_TYPE_ID),'') AS INTEGER)</v>
      </c>
      <c r="N1170" s="7" t="str">
        <f>TRIM(ETLMetadata!$J1170)</f>
        <v/>
      </c>
      <c r="O1170" s="8" t="str">
        <f>IF(TRIM(Classification!$G1170)="","NOT CONFIDENTIAL",TRIM(Classification!$G1170))</f>
        <v>NOT CONFIDENTIAL</v>
      </c>
      <c r="P1170" s="7" t="str">
        <f t="shared" si="151"/>
        <v>Y</v>
      </c>
      <c r="Q1170" s="7" t="s">
        <v>826</v>
      </c>
      <c r="R1170" s="9">
        <v>2958465</v>
      </c>
      <c r="S1170" s="7" t="s">
        <v>827</v>
      </c>
      <c r="T1170" s="7" t="s">
        <v>828</v>
      </c>
      <c r="U1170" s="7" t="str">
        <f t="shared" si="145"/>
        <v>CLK_DETM_DETIS_PNDS_V</v>
      </c>
      <c r="V1170" s="7" t="s">
        <v>829</v>
      </c>
    </row>
    <row r="1171" spans="1:22">
      <c r="A1171" s="7" t="str">
        <f>TRIM(ETLMetadata!$B1171)</f>
        <v>CLK</v>
      </c>
      <c r="B1171" s="7" t="str">
        <f>TRIM(ETLMetadata!$C1171)</f>
        <v>DETM_DETIS_PNDS</v>
      </c>
      <c r="C1171" s="7" t="str">
        <f>TRIM(ETLMetadata!$F1171)</f>
        <v>ERROR_COUNT</v>
      </c>
      <c r="D1171" s="7" t="str">
        <f>TRIM(ETLMetadata!$H1171)</f>
        <v>StringType()</v>
      </c>
      <c r="E1171" s="7" t="str">
        <f t="shared" si="144"/>
        <v>CLK_DETM_DETIS_PNDS</v>
      </c>
      <c r="F1171" s="7" t="str">
        <f t="shared" si="146"/>
        <v>ERROR_COUNT</v>
      </c>
      <c r="G1171" s="7" t="s">
        <v>825</v>
      </c>
      <c r="H1171" s="7" t="str">
        <f t="shared" si="147"/>
        <v>CLK_DETM_DETIS_PNDS</v>
      </c>
      <c r="I1171" s="7" t="str">
        <f t="shared" si="148"/>
        <v>ERROR_COUNT</v>
      </c>
      <c r="J1171" s="7" t="str">
        <f t="shared" si="149"/>
        <v>SMALLINT</v>
      </c>
      <c r="K1171" s="7" t="str">
        <f>TRIM(ETLMetadata!$G1171)</f>
        <v>SMALLINT</v>
      </c>
      <c r="L1171" s="7" t="str">
        <f>TRIM(ETLMetadata!$I1171)</f>
        <v/>
      </c>
      <c r="M1171" s="7" t="str">
        <f t="shared" si="150"/>
        <v>CAST(NULLIF(TRIM(ERROR_COUNT),'') AS SMALLINT)</v>
      </c>
      <c r="N1171" s="7" t="str">
        <f>TRIM(ETLMetadata!$J1171)</f>
        <v/>
      </c>
      <c r="O1171" s="8" t="str">
        <f>IF(TRIM(Classification!$G1171)="","NOT CONFIDENTIAL",TRIM(Classification!$G1171))</f>
        <v>NOT CONFIDENTIAL</v>
      </c>
      <c r="P1171" s="7" t="str">
        <f t="shared" si="151"/>
        <v>Y</v>
      </c>
      <c r="Q1171" s="7" t="s">
        <v>826</v>
      </c>
      <c r="R1171" s="9">
        <v>2958465</v>
      </c>
      <c r="S1171" s="7" t="s">
        <v>827</v>
      </c>
      <c r="T1171" s="7" t="s">
        <v>828</v>
      </c>
      <c r="U1171" s="7" t="str">
        <f t="shared" si="145"/>
        <v>CLK_DETM_DETIS_PNDS_V</v>
      </c>
      <c r="V1171" s="7" t="s">
        <v>829</v>
      </c>
    </row>
    <row r="1172" spans="1:22">
      <c r="A1172" s="7" t="str">
        <f>TRIM(ETLMetadata!$B1172)</f>
        <v>CLK</v>
      </c>
      <c r="B1172" s="7" t="str">
        <f>TRIM(ETLMetadata!$C1172)</f>
        <v>DETM_DETIS_PNDS</v>
      </c>
      <c r="C1172" s="7" t="str">
        <f>TRIM(ETLMetadata!$F1172)</f>
        <v>Start_Date</v>
      </c>
      <c r="D1172" s="7" t="str">
        <f>TRIM(ETLMetadata!$H1172)</f>
        <v>StringType()</v>
      </c>
      <c r="E1172" s="7" t="str">
        <f t="shared" si="144"/>
        <v>CLK_DETM_DETIS_PNDS</v>
      </c>
      <c r="F1172" s="7" t="str">
        <f t="shared" si="146"/>
        <v>STRT_DT</v>
      </c>
      <c r="G1172" s="7" t="s">
        <v>825</v>
      </c>
      <c r="H1172" s="7" t="str">
        <f t="shared" si="147"/>
        <v>CLK_DETM_DETIS_PNDS</v>
      </c>
      <c r="I1172" s="7" t="str">
        <f t="shared" si="148"/>
        <v>STRT_DT</v>
      </c>
      <c r="J1172" s="7" t="str">
        <f t="shared" si="149"/>
        <v>DATE</v>
      </c>
      <c r="K1172" s="7" t="str">
        <f>TRIM(ETLMetadata!$G1172)</f>
        <v>DATE</v>
      </c>
      <c r="L1172" s="7" t="str">
        <f>TRIM(ETLMetadata!$I1172)</f>
        <v>YYYY-MM-DD</v>
      </c>
      <c r="M1172" s="7" t="str">
        <f t="shared" si="150"/>
        <v>TO_DATE(NULLIF(TRIM(STRT_DT),'') , 'YYYY-MM-DD')</v>
      </c>
      <c r="N1172" s="7" t="str">
        <f>TRIM(ETLMetadata!$J1172)</f>
        <v/>
      </c>
      <c r="O1172" s="8" t="str">
        <f>IF(TRIM(Classification!$G1172)="","NOT CONFIDENTIAL",TRIM(Classification!$G1172))</f>
        <v>NOT CONFIDENTIAL</v>
      </c>
      <c r="P1172" s="7" t="str">
        <f t="shared" si="151"/>
        <v>N</v>
      </c>
      <c r="Q1172" s="7" t="s">
        <v>826</v>
      </c>
      <c r="R1172" s="9">
        <v>2958465</v>
      </c>
      <c r="S1172" s="7" t="s">
        <v>827</v>
      </c>
      <c r="T1172" s="7" t="s">
        <v>828</v>
      </c>
      <c r="U1172" s="7" t="str">
        <f t="shared" si="145"/>
        <v>CLK_DETM_DETIS_PNDS_V</v>
      </c>
      <c r="V1172" s="7" t="s">
        <v>829</v>
      </c>
    </row>
    <row r="1173" spans="1:22">
      <c r="A1173" s="7" t="str">
        <f>TRIM(ETLMetadata!$B1173)</f>
        <v>CLK</v>
      </c>
      <c r="B1173" s="7" t="str">
        <f>TRIM(ETLMetadata!$C1173)</f>
        <v>DETM_DETIS_PNDS</v>
      </c>
      <c r="C1173" s="7" t="str">
        <f>TRIM(ETLMetadata!$F1173)</f>
        <v>End_Date</v>
      </c>
      <c r="D1173" s="7" t="str">
        <f>TRIM(ETLMetadata!$H1173)</f>
        <v>StringType()</v>
      </c>
      <c r="E1173" s="7" t="str">
        <f t="shared" si="144"/>
        <v>CLK_DETM_DETIS_PNDS</v>
      </c>
      <c r="F1173" s="7" t="str">
        <f t="shared" si="146"/>
        <v>END_DT</v>
      </c>
      <c r="G1173" s="7" t="s">
        <v>825</v>
      </c>
      <c r="H1173" s="7" t="str">
        <f t="shared" si="147"/>
        <v>CLK_DETM_DETIS_PNDS</v>
      </c>
      <c r="I1173" s="7" t="str">
        <f t="shared" si="148"/>
        <v>END_DT</v>
      </c>
      <c r="J1173" s="7" t="str">
        <f t="shared" si="149"/>
        <v>DATE</v>
      </c>
      <c r="K1173" s="7" t="str">
        <f>TRIM(ETLMetadata!$G1173)</f>
        <v>DATE</v>
      </c>
      <c r="L1173" s="7" t="str">
        <f>TRIM(ETLMetadata!$I1173)</f>
        <v>YYYY-MM-DD</v>
      </c>
      <c r="M1173" s="7" t="str">
        <f t="shared" si="150"/>
        <v>TO_DATE(NULLIF(TRIM(END_DT),'') , 'YYYY-MM-DD')</v>
      </c>
      <c r="N1173" s="7" t="str">
        <f>TRIM(ETLMetadata!$J1173)</f>
        <v/>
      </c>
      <c r="O1173" s="8" t="str">
        <f>IF(TRIM(Classification!$G1173)="","NOT CONFIDENTIAL",TRIM(Classification!$G1173))</f>
        <v>NOT CONFIDENTIAL</v>
      </c>
      <c r="P1173" s="7" t="str">
        <f t="shared" si="151"/>
        <v>N</v>
      </c>
      <c r="Q1173" s="7" t="s">
        <v>826</v>
      </c>
      <c r="R1173" s="9">
        <v>2958465</v>
      </c>
      <c r="S1173" s="7" t="s">
        <v>827</v>
      </c>
      <c r="T1173" s="7" t="s">
        <v>828</v>
      </c>
      <c r="U1173" s="7" t="str">
        <f t="shared" si="145"/>
        <v>CLK_DETM_DETIS_PNDS_V</v>
      </c>
      <c r="V1173" s="7" t="s">
        <v>829</v>
      </c>
    </row>
    <row r="1174" spans="1:22">
      <c r="A1174" s="7" t="str">
        <f>TRIM(ETLMetadata!$B1174)</f>
        <v>CLK</v>
      </c>
      <c r="B1174" s="7" t="str">
        <f>TRIM(ETLMetadata!$C1174)</f>
        <v>DETM_DETIS_PNDS</v>
      </c>
      <c r="C1174" s="7" t="str">
        <f>TRIM(ETLMetadata!$F1174)</f>
        <v>Record_Deleted_Flag</v>
      </c>
      <c r="D1174" s="7" t="str">
        <f>TRIM(ETLMetadata!$H1174)</f>
        <v>StringType()</v>
      </c>
      <c r="E1174" s="7" t="str">
        <f t="shared" si="144"/>
        <v>CLK_DETM_DETIS_PNDS</v>
      </c>
      <c r="F1174" s="7" t="str">
        <f t="shared" si="146"/>
        <v>RCRD_DEL_IND</v>
      </c>
      <c r="G1174" s="7" t="s">
        <v>825</v>
      </c>
      <c r="H1174" s="7" t="str">
        <f t="shared" si="147"/>
        <v>CLK_DETM_DETIS_PNDS</v>
      </c>
      <c r="I1174" s="7" t="str">
        <f t="shared" si="148"/>
        <v>RCRD_DEL_IND</v>
      </c>
      <c r="J1174" s="7" t="str">
        <f t="shared" si="149"/>
        <v>SMALLINT</v>
      </c>
      <c r="K1174" s="7" t="str">
        <f>TRIM(ETLMetadata!$G1174)</f>
        <v>BYTEINT</v>
      </c>
      <c r="L1174" s="7" t="str">
        <f>TRIM(ETLMetadata!$I1174)</f>
        <v/>
      </c>
      <c r="M1174" s="7" t="str">
        <f t="shared" si="150"/>
        <v>CAST(NULLIF(TRIM(RCRD_DEL_IND),'') AS SMALLINT)</v>
      </c>
      <c r="N1174" s="7" t="str">
        <f>TRIM(ETLMetadata!$J1174)</f>
        <v/>
      </c>
      <c r="O1174" s="8" t="str">
        <f>IF(TRIM(Classification!$G1174)="","NOT CONFIDENTIAL",TRIM(Classification!$G1174))</f>
        <v>NOT CONFIDENTIAL</v>
      </c>
      <c r="P1174" s="7" t="str">
        <f t="shared" si="151"/>
        <v>N</v>
      </c>
      <c r="Q1174" s="7" t="s">
        <v>826</v>
      </c>
      <c r="R1174" s="9">
        <v>2958465</v>
      </c>
      <c r="S1174" s="7" t="s">
        <v>827</v>
      </c>
      <c r="T1174" s="7" t="s">
        <v>828</v>
      </c>
      <c r="U1174" s="7" t="str">
        <f t="shared" si="145"/>
        <v>CLK_DETM_DETIS_PNDS_V</v>
      </c>
      <c r="V1174" s="7" t="s">
        <v>829</v>
      </c>
    </row>
    <row r="1175" spans="1:22">
      <c r="A1175" s="7" t="str">
        <f>TRIM(ETLMetadata!$B1175)</f>
        <v>CLK</v>
      </c>
      <c r="B1175" s="7" t="str">
        <f>TRIM(ETLMetadata!$C1175)</f>
        <v>DETM_DETIS_RCDS</v>
      </c>
      <c r="C1175" s="7" t="str">
        <f>TRIM(ETLMetadata!$F1175)</f>
        <v>EXTRACT_DATE</v>
      </c>
      <c r="D1175" s="7" t="str">
        <f>TRIM(ETLMetadata!$H1175)</f>
        <v>StringType()</v>
      </c>
      <c r="E1175" s="7" t="str">
        <f t="shared" si="144"/>
        <v>CLK_DETM_DETIS_RCDS</v>
      </c>
      <c r="F1175" s="7" t="str">
        <f t="shared" si="146"/>
        <v>EXTRACT_DATE</v>
      </c>
      <c r="G1175" s="7" t="s">
        <v>825</v>
      </c>
      <c r="H1175" s="7" t="str">
        <f t="shared" si="147"/>
        <v>CLK_DETM_DETIS_RCDS</v>
      </c>
      <c r="I1175" s="7" t="str">
        <f t="shared" si="148"/>
        <v>EXTRACT_DATE</v>
      </c>
      <c r="J1175" s="7" t="str">
        <f t="shared" si="149"/>
        <v>DATE</v>
      </c>
      <c r="K1175" s="7" t="str">
        <f>TRIM(ETLMetadata!$G1175)</f>
        <v>DATE</v>
      </c>
      <c r="L1175" s="7" t="str">
        <f>TRIM(ETLMetadata!$I1175)</f>
        <v>YYYY-MM-DD</v>
      </c>
      <c r="M1175" s="7" t="str">
        <f t="shared" si="150"/>
        <v>TO_DATE(NULLIF(TRIM(EXTRACT_DATE),'') , 'YYYY-MM-DD')</v>
      </c>
      <c r="N1175" s="7" t="str">
        <f>TRIM(ETLMetadata!$J1175)</f>
        <v/>
      </c>
      <c r="O1175" s="8" t="str">
        <f>IF(TRIM(Classification!$G1175)="","NOT CONFIDENTIAL",TRIM(Classification!$G1175))</f>
        <v>NOT CONFIDENTIAL</v>
      </c>
      <c r="P1175" s="7" t="str">
        <f t="shared" si="151"/>
        <v>Y</v>
      </c>
      <c r="Q1175" s="7" t="s">
        <v>826</v>
      </c>
      <c r="R1175" s="9">
        <v>2958465</v>
      </c>
      <c r="S1175" s="7" t="s">
        <v>827</v>
      </c>
      <c r="T1175" s="7" t="s">
        <v>828</v>
      </c>
      <c r="U1175" s="7" t="str">
        <f t="shared" si="145"/>
        <v>CLK_DETM_DETIS_RCDS_V</v>
      </c>
      <c r="V1175" s="7" t="s">
        <v>829</v>
      </c>
    </row>
    <row r="1176" spans="1:22">
      <c r="A1176" s="7" t="str">
        <f>TRIM(ETLMetadata!$B1176)</f>
        <v>CLK</v>
      </c>
      <c r="B1176" s="7" t="str">
        <f>TRIM(ETLMetadata!$C1176)</f>
        <v>DETM_DETIS_RCDS</v>
      </c>
      <c r="C1176" s="7" t="str">
        <f>TRIM(ETLMetadata!$F1176)</f>
        <v>LOGICAL_DELETE_DATE</v>
      </c>
      <c r="D1176" s="7" t="str">
        <f>TRIM(ETLMetadata!$H1176)</f>
        <v>StringType()</v>
      </c>
      <c r="E1176" s="7" t="str">
        <f t="shared" si="144"/>
        <v>CLK_DETM_DETIS_RCDS</v>
      </c>
      <c r="F1176" s="7" t="str">
        <f t="shared" si="146"/>
        <v>LOGICAL_DELETE_DATE</v>
      </c>
      <c r="G1176" s="7" t="s">
        <v>825</v>
      </c>
      <c r="H1176" s="7" t="str">
        <f t="shared" si="147"/>
        <v>CLK_DETM_DETIS_RCDS</v>
      </c>
      <c r="I1176" s="7" t="str">
        <f t="shared" si="148"/>
        <v>LOGICAL_DELETE_DATE</v>
      </c>
      <c r="J1176" s="7" t="str">
        <f t="shared" si="149"/>
        <v>DATE</v>
      </c>
      <c r="K1176" s="7" t="str">
        <f>TRIM(ETLMetadata!$G1176)</f>
        <v>DATE</v>
      </c>
      <c r="L1176" s="7" t="str">
        <f>TRIM(ETLMetadata!$I1176)</f>
        <v>YYYY-MM-DD</v>
      </c>
      <c r="M1176" s="7" t="str">
        <f t="shared" si="150"/>
        <v>TO_DATE(NULLIF(TRIM(LOGICAL_DELETE_DATE),'') , 'YYYY-MM-DD')</v>
      </c>
      <c r="N1176" s="7" t="str">
        <f>TRIM(ETLMetadata!$J1176)</f>
        <v/>
      </c>
      <c r="O1176" s="8" t="str">
        <f>IF(TRIM(Classification!$G1176)="","NOT CONFIDENTIAL",TRIM(Classification!$G1176))</f>
        <v>NOT CONFIDENTIAL</v>
      </c>
      <c r="P1176" s="7" t="str">
        <f t="shared" si="151"/>
        <v>Y</v>
      </c>
      <c r="Q1176" s="7" t="s">
        <v>826</v>
      </c>
      <c r="R1176" s="9">
        <v>2958465</v>
      </c>
      <c r="S1176" s="7" t="s">
        <v>827</v>
      </c>
      <c r="T1176" s="7" t="s">
        <v>828</v>
      </c>
      <c r="U1176" s="7" t="str">
        <f t="shared" si="145"/>
        <v>CLK_DETM_DETIS_RCDS_V</v>
      </c>
      <c r="V1176" s="7" t="s">
        <v>829</v>
      </c>
    </row>
    <row r="1177" spans="1:22">
      <c r="A1177" s="7" t="str">
        <f>TRIM(ETLMetadata!$B1177)</f>
        <v>CLK</v>
      </c>
      <c r="B1177" s="7" t="str">
        <f>TRIM(ETLMetadata!$C1177)</f>
        <v>DETM_DETIS_RCDS</v>
      </c>
      <c r="C1177" s="7" t="str">
        <f>TRIM(ETLMetadata!$F1177)</f>
        <v>ENVIRONMENT_ID</v>
      </c>
      <c r="D1177" s="7" t="str">
        <f>TRIM(ETLMetadata!$H1177)</f>
        <v>StringType()</v>
      </c>
      <c r="E1177" s="7" t="str">
        <f t="shared" si="144"/>
        <v>CLK_DETM_DETIS_RCDS</v>
      </c>
      <c r="F1177" s="7" t="str">
        <f t="shared" si="146"/>
        <v>ENVIRONMENT_ID</v>
      </c>
      <c r="G1177" s="7" t="s">
        <v>825</v>
      </c>
      <c r="H1177" s="7" t="str">
        <f t="shared" si="147"/>
        <v>CLK_DETM_DETIS_RCDS</v>
      </c>
      <c r="I1177" s="7" t="str">
        <f t="shared" si="148"/>
        <v>ENVIRONMENT_ID</v>
      </c>
      <c r="J1177" s="7" t="str">
        <f t="shared" si="149"/>
        <v>VARCHAR</v>
      </c>
      <c r="K1177" s="7" t="str">
        <f>TRIM(ETLMetadata!$G1177)</f>
        <v>CHAR(1)</v>
      </c>
      <c r="L1177" s="7" t="str">
        <f>TRIM(ETLMetadata!$I1177)</f>
        <v/>
      </c>
      <c r="M1177" s="7" t="str">
        <f t="shared" si="150"/>
        <v>NULLIF(TRIM(ENVIRONMENT_ID),'')</v>
      </c>
      <c r="N1177" s="7" t="str">
        <f>TRIM(ETLMetadata!$J1177)</f>
        <v>Y</v>
      </c>
      <c r="O1177" s="8" t="str">
        <f>IF(TRIM(Classification!$G1177)="","NOT CONFIDENTIAL",TRIM(Classification!$G1177))</f>
        <v>NOT CONFIDENTIAL</v>
      </c>
      <c r="P1177" s="7" t="str">
        <f t="shared" si="151"/>
        <v>Y</v>
      </c>
      <c r="Q1177" s="7" t="s">
        <v>826</v>
      </c>
      <c r="R1177" s="9">
        <v>2958465</v>
      </c>
      <c r="S1177" s="7" t="s">
        <v>827</v>
      </c>
      <c r="T1177" s="7" t="s">
        <v>828</v>
      </c>
      <c r="U1177" s="7" t="str">
        <f t="shared" si="145"/>
        <v>CLK_DETM_DETIS_RCDS_V</v>
      </c>
      <c r="V1177" s="7" t="s">
        <v>829</v>
      </c>
    </row>
    <row r="1178" spans="1:22">
      <c r="A1178" s="7" t="str">
        <f>TRIM(ETLMetadata!$B1178)</f>
        <v>CLK</v>
      </c>
      <c r="B1178" s="7" t="str">
        <f>TRIM(ETLMetadata!$C1178)</f>
        <v>DETM_DETIS_RCDS</v>
      </c>
      <c r="C1178" s="7" t="str">
        <f>TRIM(ETLMetadata!$F1178)</f>
        <v>PERSON_ID</v>
      </c>
      <c r="D1178" s="7" t="str">
        <f>TRIM(ETLMetadata!$H1178)</f>
        <v>StringType()</v>
      </c>
      <c r="E1178" s="7" t="str">
        <f t="shared" si="144"/>
        <v>CLK_DETM_DETIS_RCDS</v>
      </c>
      <c r="F1178" s="7" t="str">
        <f t="shared" si="146"/>
        <v>PERSON_ID</v>
      </c>
      <c r="G1178" s="7" t="s">
        <v>825</v>
      </c>
      <c r="H1178" s="7" t="str">
        <f t="shared" si="147"/>
        <v>CLK_DETM_DETIS_RCDS</v>
      </c>
      <c r="I1178" s="7" t="str">
        <f t="shared" si="148"/>
        <v>PERSON_ID</v>
      </c>
      <c r="J1178" s="7" t="str">
        <f t="shared" si="149"/>
        <v>INTEGER</v>
      </c>
      <c r="K1178" s="7" t="str">
        <f>TRIM(ETLMetadata!$G1178)</f>
        <v>INTEGER</v>
      </c>
      <c r="L1178" s="7" t="str">
        <f>TRIM(ETLMetadata!$I1178)</f>
        <v/>
      </c>
      <c r="M1178" s="7" t="str">
        <f t="shared" si="150"/>
        <v>CAST(NULLIF(TRIM(PERSON_ID),'') AS INTEGER)</v>
      </c>
      <c r="N1178" s="7" t="str">
        <f>TRIM(ETLMetadata!$J1178)</f>
        <v>Y</v>
      </c>
      <c r="O1178" s="8" t="str">
        <f>IF(TRIM(Classification!$G1178)="","NOT CONFIDENTIAL",TRIM(Classification!$G1178))</f>
        <v>PERSONAL_IDENTITYINFOINDIRECT</v>
      </c>
      <c r="P1178" s="7" t="str">
        <f t="shared" si="151"/>
        <v>Y</v>
      </c>
      <c r="Q1178" s="7" t="s">
        <v>826</v>
      </c>
      <c r="R1178" s="9">
        <v>2958465</v>
      </c>
      <c r="S1178" s="7" t="s">
        <v>827</v>
      </c>
      <c r="T1178" s="7" t="s">
        <v>828</v>
      </c>
      <c r="U1178" s="7" t="str">
        <f t="shared" si="145"/>
        <v>CLK_DETM_DETIS_RCDS_V</v>
      </c>
      <c r="V1178" s="7" t="s">
        <v>829</v>
      </c>
    </row>
    <row r="1179" spans="1:22">
      <c r="A1179" s="7" t="str">
        <f>TRIM(ETLMetadata!$B1179)</f>
        <v>CLK</v>
      </c>
      <c r="B1179" s="7" t="str">
        <f>TRIM(ETLMetadata!$C1179)</f>
        <v>DETM_DETIS_RCDS</v>
      </c>
      <c r="C1179" s="7" t="str">
        <f>TRIM(ETLMetadata!$F1179)</f>
        <v>RCDS_DOE</v>
      </c>
      <c r="D1179" s="7" t="str">
        <f>TRIM(ETLMetadata!$H1179)</f>
        <v>StringType()</v>
      </c>
      <c r="E1179" s="7" t="str">
        <f t="shared" si="144"/>
        <v>CLK_DETM_DETIS_RCDS</v>
      </c>
      <c r="F1179" s="7" t="str">
        <f t="shared" si="146"/>
        <v>RCDS_DOE</v>
      </c>
      <c r="G1179" s="7" t="s">
        <v>825</v>
      </c>
      <c r="H1179" s="7" t="str">
        <f t="shared" si="147"/>
        <v>CLK_DETM_DETIS_RCDS</v>
      </c>
      <c r="I1179" s="7" t="str">
        <f t="shared" si="148"/>
        <v>RCDS_DOE</v>
      </c>
      <c r="J1179" s="7" t="str">
        <f t="shared" si="149"/>
        <v>DATE</v>
      </c>
      <c r="K1179" s="17" t="s">
        <v>80</v>
      </c>
      <c r="L1179" s="7" t="str">
        <f>TRIM(ETLMetadata!$I1179)</f>
        <v>YYYY-MM-DD</v>
      </c>
      <c r="M1179" s="7" t="str">
        <f t="shared" si="150"/>
        <v>TO_DATE(NULLIF(TRIM(RCDS_DOE),'') , 'YYYY-MM-DD')</v>
      </c>
      <c r="N1179" s="7" t="str">
        <f>TRIM(ETLMetadata!$J1179)</f>
        <v/>
      </c>
      <c r="O1179" s="8" t="str">
        <f>IF(TRIM(Classification!$G1179)="","NOT CONFIDENTIAL",TRIM(Classification!$G1179))</f>
        <v>NOT CONFIDENTIAL</v>
      </c>
      <c r="P1179" s="7" t="str">
        <f t="shared" si="151"/>
        <v>Y</v>
      </c>
      <c r="Q1179" s="7" t="s">
        <v>826</v>
      </c>
      <c r="R1179" s="9">
        <v>2958465</v>
      </c>
      <c r="S1179" s="7" t="s">
        <v>827</v>
      </c>
      <c r="T1179" s="7" t="s">
        <v>828</v>
      </c>
      <c r="U1179" s="7" t="str">
        <f t="shared" si="145"/>
        <v>CLK_DETM_DETIS_RCDS_V</v>
      </c>
      <c r="V1179" s="7" t="s">
        <v>829</v>
      </c>
    </row>
    <row r="1180" spans="1:22">
      <c r="A1180" s="7" t="str">
        <f>TRIM(ETLMetadata!$B1180)</f>
        <v>CLK</v>
      </c>
      <c r="B1180" s="7" t="str">
        <f>TRIM(ETLMetadata!$C1180)</f>
        <v>DETM_DETIS_RCDS</v>
      </c>
      <c r="C1180" s="7" t="str">
        <f>TRIM(ETLMetadata!$F1180)</f>
        <v>RCDS_DOE_ORIG</v>
      </c>
      <c r="D1180" s="7" t="str">
        <f>TRIM(ETLMetadata!$H1180)</f>
        <v>StringType()</v>
      </c>
      <c r="E1180" s="7" t="str">
        <f t="shared" si="144"/>
        <v>CLK_DETM_DETIS_RCDS</v>
      </c>
      <c r="F1180" s="7" t="str">
        <f t="shared" si="146"/>
        <v>RCDS_DOE_ORIG</v>
      </c>
      <c r="G1180" s="7" t="s">
        <v>825</v>
      </c>
      <c r="H1180" s="7" t="str">
        <f t="shared" si="147"/>
        <v>CLK_DETM_DETIS_RCDS</v>
      </c>
      <c r="I1180" s="7" t="str">
        <f t="shared" si="148"/>
        <v>RCDS_DOE_ORIG</v>
      </c>
      <c r="J1180" s="7" t="str">
        <f t="shared" si="149"/>
        <v>INTEGER</v>
      </c>
      <c r="K1180" s="17" t="s">
        <v>90</v>
      </c>
      <c r="L1180" s="7" t="str">
        <f>TRIM(ETLMetadata!$I1180)</f>
        <v/>
      </c>
      <c r="M1180" s="7" t="str">
        <f t="shared" si="150"/>
        <v>CAST(NULLIF(TRIM(RCDS_DOE_ORIG),'') AS INTEGER)</v>
      </c>
      <c r="N1180" s="7" t="str">
        <f>TRIM(ETLMetadata!$J1180)</f>
        <v/>
      </c>
      <c r="O1180" s="8" t="str">
        <f>IF(TRIM(Classification!$G1180)="","NOT CONFIDENTIAL",TRIM(Classification!$G1180))</f>
        <v>NOT CONFIDENTIAL</v>
      </c>
      <c r="P1180" s="7" t="str">
        <f t="shared" si="151"/>
        <v>Y</v>
      </c>
      <c r="Q1180" s="7" t="s">
        <v>826</v>
      </c>
      <c r="R1180" s="9">
        <v>2958465</v>
      </c>
      <c r="S1180" s="7" t="s">
        <v>827</v>
      </c>
      <c r="T1180" s="7" t="s">
        <v>828</v>
      </c>
      <c r="U1180" s="7" t="str">
        <f t="shared" si="145"/>
        <v>CLK_DETM_DETIS_RCDS_V</v>
      </c>
      <c r="V1180" s="7" t="s">
        <v>829</v>
      </c>
    </row>
    <row r="1181" spans="1:22">
      <c r="A1181" s="7" t="str">
        <f>TRIM(ETLMetadata!$B1181)</f>
        <v>CLK</v>
      </c>
      <c r="B1181" s="7" t="str">
        <f>TRIM(ETLMetadata!$C1181)</f>
        <v>DETM_DETIS_RCDS</v>
      </c>
      <c r="C1181" s="7" t="str">
        <f>TRIM(ETLMetadata!$F1181)</f>
        <v>PROCESSING_SEQUENCE</v>
      </c>
      <c r="D1181" s="7" t="str">
        <f>TRIM(ETLMetadata!$H1181)</f>
        <v>StringType()</v>
      </c>
      <c r="E1181" s="7" t="str">
        <f t="shared" si="144"/>
        <v>CLK_DETM_DETIS_RCDS</v>
      </c>
      <c r="F1181" s="7" t="str">
        <f t="shared" si="146"/>
        <v>PROCESSING_SEQUENCE</v>
      </c>
      <c r="G1181" s="7" t="s">
        <v>825</v>
      </c>
      <c r="H1181" s="7" t="str">
        <f t="shared" si="147"/>
        <v>CLK_DETM_DETIS_RCDS</v>
      </c>
      <c r="I1181" s="7" t="str">
        <f t="shared" si="148"/>
        <v>PROCESSING_SEQUENCE</v>
      </c>
      <c r="J1181" s="7" t="str">
        <f t="shared" si="149"/>
        <v>SMALLINT</v>
      </c>
      <c r="K1181" s="7" t="str">
        <f>TRIM(ETLMetadata!$G1181)</f>
        <v>SMALLINT</v>
      </c>
      <c r="L1181" s="7" t="str">
        <f>TRIM(ETLMetadata!$I1181)</f>
        <v/>
      </c>
      <c r="M1181" s="7" t="str">
        <f t="shared" si="150"/>
        <v>CAST(NULLIF(TRIM(PROCESSING_SEQUENCE),'') AS SMALLINT)</v>
      </c>
      <c r="N1181" s="7" t="str">
        <f>TRIM(ETLMetadata!$J1181)</f>
        <v>Y</v>
      </c>
      <c r="O1181" s="8" t="str">
        <f>IF(TRIM(Classification!$G1181)="","NOT CONFIDENTIAL",TRIM(Classification!$G1181))</f>
        <v>NOT CONFIDENTIAL</v>
      </c>
      <c r="P1181" s="7" t="str">
        <f t="shared" si="151"/>
        <v>Y</v>
      </c>
      <c r="Q1181" s="7" t="s">
        <v>826</v>
      </c>
      <c r="R1181" s="9">
        <v>2958465</v>
      </c>
      <c r="S1181" s="7" t="s">
        <v>827</v>
      </c>
      <c r="T1181" s="7" t="s">
        <v>828</v>
      </c>
      <c r="U1181" s="7" t="str">
        <f t="shared" si="145"/>
        <v>CLK_DETM_DETIS_RCDS_V</v>
      </c>
      <c r="V1181" s="7" t="s">
        <v>829</v>
      </c>
    </row>
    <row r="1182" spans="1:22">
      <c r="A1182" s="7" t="str">
        <f>TRIM(ETLMetadata!$B1182)</f>
        <v>CLK</v>
      </c>
      <c r="B1182" s="7" t="str">
        <f>TRIM(ETLMetadata!$C1182)</f>
        <v>DETM_DETIS_RCDS</v>
      </c>
      <c r="C1182" s="7" t="str">
        <f>TRIM(ETLMetadata!$F1182)</f>
        <v>RCDS_AMR_1</v>
      </c>
      <c r="D1182" s="7" t="str">
        <f>TRIM(ETLMetadata!$H1182)</f>
        <v>StringType()</v>
      </c>
      <c r="E1182" s="7" t="str">
        <f t="shared" si="144"/>
        <v>CLK_DETM_DETIS_RCDS</v>
      </c>
      <c r="F1182" s="7" t="str">
        <f t="shared" si="146"/>
        <v>RCDS_AMR_1</v>
      </c>
      <c r="G1182" s="7" t="s">
        <v>825</v>
      </c>
      <c r="H1182" s="7" t="str">
        <f t="shared" si="147"/>
        <v>CLK_DETM_DETIS_RCDS</v>
      </c>
      <c r="I1182" s="7" t="str">
        <f t="shared" si="148"/>
        <v>RCDS_AMR_1</v>
      </c>
      <c r="J1182" s="7" t="str">
        <f t="shared" si="149"/>
        <v>VARCHAR</v>
      </c>
      <c r="K1182" s="7" t="str">
        <f>TRIM(ETLMetadata!$G1182)</f>
        <v>CHAR(4)</v>
      </c>
      <c r="L1182" s="7" t="str">
        <f>TRIM(ETLMetadata!$I1182)</f>
        <v/>
      </c>
      <c r="M1182" s="7" t="str">
        <f t="shared" si="150"/>
        <v>NULLIF(TRIM(RCDS_AMR_1),'')</v>
      </c>
      <c r="N1182" s="7" t="str">
        <f>TRIM(ETLMetadata!$J1182)</f>
        <v/>
      </c>
      <c r="O1182" s="8" t="str">
        <f>IF(TRIM(Classification!$G1182)="","NOT CONFIDENTIAL",TRIM(Classification!$G1182))</f>
        <v>NOT CONFIDENTIAL</v>
      </c>
      <c r="P1182" s="7" t="str">
        <f t="shared" si="151"/>
        <v>Y</v>
      </c>
      <c r="Q1182" s="7" t="s">
        <v>826</v>
      </c>
      <c r="R1182" s="9">
        <v>2958465</v>
      </c>
      <c r="S1182" s="7" t="s">
        <v>827</v>
      </c>
      <c r="T1182" s="7" t="s">
        <v>828</v>
      </c>
      <c r="U1182" s="7" t="str">
        <f t="shared" si="145"/>
        <v>CLK_DETM_DETIS_RCDS_V</v>
      </c>
      <c r="V1182" s="7" t="s">
        <v>829</v>
      </c>
    </row>
    <row r="1183" spans="1:22">
      <c r="A1183" s="7" t="str">
        <f>TRIM(ETLMetadata!$B1183)</f>
        <v>CLK</v>
      </c>
      <c r="B1183" s="7" t="str">
        <f>TRIM(ETLMetadata!$C1183)</f>
        <v>DETM_DETIS_RCDS</v>
      </c>
      <c r="C1183" s="7" t="str">
        <f>TRIM(ETLMetadata!$F1183)</f>
        <v>RCDS_AMR_2</v>
      </c>
      <c r="D1183" s="7" t="str">
        <f>TRIM(ETLMetadata!$H1183)</f>
        <v>StringType()</v>
      </c>
      <c r="E1183" s="7" t="str">
        <f t="shared" ref="E1183:E1246" si="152">CONCATENATE($A1183,"_",B1183)</f>
        <v>CLK_DETM_DETIS_RCDS</v>
      </c>
      <c r="F1183" s="7" t="str">
        <f t="shared" si="146"/>
        <v>RCDS_AMR_2</v>
      </c>
      <c r="G1183" s="7" t="s">
        <v>825</v>
      </c>
      <c r="H1183" s="7" t="str">
        <f t="shared" si="147"/>
        <v>CLK_DETM_DETIS_RCDS</v>
      </c>
      <c r="I1183" s="7" t="str">
        <f t="shared" si="148"/>
        <v>RCDS_AMR_2</v>
      </c>
      <c r="J1183" s="7" t="str">
        <f t="shared" si="149"/>
        <v>VARCHAR</v>
      </c>
      <c r="K1183" s="7" t="str">
        <f>TRIM(ETLMetadata!$G1183)</f>
        <v>CHAR(1)</v>
      </c>
      <c r="L1183" s="7" t="str">
        <f>TRIM(ETLMetadata!$I1183)</f>
        <v/>
      </c>
      <c r="M1183" s="7" t="str">
        <f t="shared" si="150"/>
        <v>NULLIF(TRIM(RCDS_AMR_2),'')</v>
      </c>
      <c r="N1183" s="7" t="str">
        <f>TRIM(ETLMetadata!$J1183)</f>
        <v/>
      </c>
      <c r="O1183" s="8" t="str">
        <f>IF(TRIM(Classification!$G1183)="","NOT CONFIDENTIAL",TRIM(Classification!$G1183))</f>
        <v>NOT CONFIDENTIAL</v>
      </c>
      <c r="P1183" s="7" t="str">
        <f t="shared" si="151"/>
        <v>Y</v>
      </c>
      <c r="Q1183" s="7" t="s">
        <v>826</v>
      </c>
      <c r="R1183" s="9">
        <v>2958465</v>
      </c>
      <c r="S1183" s="7" t="s">
        <v>827</v>
      </c>
      <c r="T1183" s="7" t="s">
        <v>828</v>
      </c>
      <c r="U1183" s="7" t="str">
        <f t="shared" ref="U1183:U1246" si="153">CONCATENATE(A1183,"_",B1183,"_V")</f>
        <v>CLK_DETM_DETIS_RCDS_V</v>
      </c>
      <c r="V1183" s="7" t="s">
        <v>829</v>
      </c>
    </row>
    <row r="1184" spans="1:22">
      <c r="A1184" s="7" t="str">
        <f>TRIM(ETLMetadata!$B1184)</f>
        <v>CLK</v>
      </c>
      <c r="B1184" s="7" t="str">
        <f>TRIM(ETLMetadata!$C1184)</f>
        <v>DETM_DETIS_RCDS</v>
      </c>
      <c r="C1184" s="7" t="str">
        <f>TRIM(ETLMetadata!$F1184)</f>
        <v>RCDS_AMR_3</v>
      </c>
      <c r="D1184" s="7" t="str">
        <f>TRIM(ETLMetadata!$H1184)</f>
        <v>StringType()</v>
      </c>
      <c r="E1184" s="7" t="str">
        <f t="shared" si="152"/>
        <v>CLK_DETM_DETIS_RCDS</v>
      </c>
      <c r="F1184" s="7" t="str">
        <f t="shared" si="146"/>
        <v>RCDS_AMR_3</v>
      </c>
      <c r="G1184" s="7" t="s">
        <v>825</v>
      </c>
      <c r="H1184" s="7" t="str">
        <f t="shared" si="147"/>
        <v>CLK_DETM_DETIS_RCDS</v>
      </c>
      <c r="I1184" s="7" t="str">
        <f t="shared" si="148"/>
        <v>RCDS_AMR_3</v>
      </c>
      <c r="J1184" s="7" t="str">
        <f t="shared" si="149"/>
        <v>VARCHAR</v>
      </c>
      <c r="K1184" s="7" t="str">
        <f>TRIM(ETLMetadata!$G1184)</f>
        <v>CHAR(4)</v>
      </c>
      <c r="L1184" s="7" t="str">
        <f>TRIM(ETLMetadata!$I1184)</f>
        <v/>
      </c>
      <c r="M1184" s="7" t="str">
        <f t="shared" si="150"/>
        <v>NULLIF(TRIM(RCDS_AMR_3),'')</v>
      </c>
      <c r="N1184" s="7" t="str">
        <f>TRIM(ETLMetadata!$J1184)</f>
        <v/>
      </c>
      <c r="O1184" s="8" t="str">
        <f>IF(TRIM(Classification!$G1184)="","NOT CONFIDENTIAL",TRIM(Classification!$G1184))</f>
        <v>NOT CONFIDENTIAL</v>
      </c>
      <c r="P1184" s="7" t="str">
        <f t="shared" si="151"/>
        <v>Y</v>
      </c>
      <c r="Q1184" s="7" t="s">
        <v>826</v>
      </c>
      <c r="R1184" s="9">
        <v>2958465</v>
      </c>
      <c r="S1184" s="7" t="s">
        <v>827</v>
      </c>
      <c r="T1184" s="7" t="s">
        <v>828</v>
      </c>
      <c r="U1184" s="7" t="str">
        <f t="shared" si="153"/>
        <v>CLK_DETM_DETIS_RCDS_V</v>
      </c>
      <c r="V1184" s="7" t="s">
        <v>829</v>
      </c>
    </row>
    <row r="1185" spans="1:22">
      <c r="A1185" s="7" t="str">
        <f>TRIM(ETLMetadata!$B1185)</f>
        <v>CLK</v>
      </c>
      <c r="B1185" s="7" t="str">
        <f>TRIM(ETLMetadata!$C1185)</f>
        <v>DETM_DETIS_RCDS</v>
      </c>
      <c r="C1185" s="7" t="str">
        <f>TRIM(ETLMetadata!$F1185)</f>
        <v>RCDS_BEN_TYPE_CODE</v>
      </c>
      <c r="D1185" s="7" t="str">
        <f>TRIM(ETLMetadata!$H1185)</f>
        <v>StringType()</v>
      </c>
      <c r="E1185" s="7" t="str">
        <f t="shared" si="152"/>
        <v>CLK_DETM_DETIS_RCDS</v>
      </c>
      <c r="F1185" s="7" t="str">
        <f t="shared" si="146"/>
        <v>RCDS_BEN_TYPE_CODE</v>
      </c>
      <c r="G1185" s="7" t="s">
        <v>825</v>
      </c>
      <c r="H1185" s="7" t="str">
        <f t="shared" si="147"/>
        <v>CLK_DETM_DETIS_RCDS</v>
      </c>
      <c r="I1185" s="7" t="str">
        <f t="shared" si="148"/>
        <v>RCDS_BEN_TYPE_CODE</v>
      </c>
      <c r="J1185" s="7" t="str">
        <f t="shared" si="149"/>
        <v>VARCHAR</v>
      </c>
      <c r="K1185" s="7" t="str">
        <f>TRIM(ETLMetadata!$G1185)</f>
        <v>CHAR(3)</v>
      </c>
      <c r="L1185" s="7" t="str">
        <f>TRIM(ETLMetadata!$I1185)</f>
        <v/>
      </c>
      <c r="M1185" s="7" t="str">
        <f t="shared" si="150"/>
        <v>NULLIF(TRIM(RCDS_BEN_TYPE_CODE),'')</v>
      </c>
      <c r="N1185" s="7" t="str">
        <f>TRIM(ETLMetadata!$J1185)</f>
        <v/>
      </c>
      <c r="O1185" s="8" t="str">
        <f>IF(TRIM(Classification!$G1185)="","NOT CONFIDENTIAL",TRIM(Classification!$G1185))</f>
        <v>NOT CONFIDENTIAL</v>
      </c>
      <c r="P1185" s="7" t="str">
        <f t="shared" si="151"/>
        <v>Y</v>
      </c>
      <c r="Q1185" s="7" t="s">
        <v>826</v>
      </c>
      <c r="R1185" s="9">
        <v>2958465</v>
      </c>
      <c r="S1185" s="7" t="s">
        <v>827</v>
      </c>
      <c r="T1185" s="7" t="s">
        <v>828</v>
      </c>
      <c r="U1185" s="7" t="str">
        <f t="shared" si="153"/>
        <v>CLK_DETM_DETIS_RCDS_V</v>
      </c>
      <c r="V1185" s="7" t="s">
        <v>829</v>
      </c>
    </row>
    <row r="1186" spans="1:22">
      <c r="A1186" s="7" t="str">
        <f>TRIM(ETLMetadata!$B1186)</f>
        <v>CLK</v>
      </c>
      <c r="B1186" s="7" t="str">
        <f>TRIM(ETLMetadata!$C1186)</f>
        <v>DETM_DETIS_RCDS</v>
      </c>
      <c r="C1186" s="7" t="str">
        <f>TRIM(ETLMetadata!$F1186)</f>
        <v>RCDS_STS_CODE</v>
      </c>
      <c r="D1186" s="7" t="str">
        <f>TRIM(ETLMetadata!$H1186)</f>
        <v>StringType()</v>
      </c>
      <c r="E1186" s="7" t="str">
        <f t="shared" si="152"/>
        <v>CLK_DETM_DETIS_RCDS</v>
      </c>
      <c r="F1186" s="7" t="str">
        <f t="shared" si="146"/>
        <v>RCDS_STS_CODE</v>
      </c>
      <c r="G1186" s="7" t="s">
        <v>825</v>
      </c>
      <c r="H1186" s="7" t="str">
        <f t="shared" si="147"/>
        <v>CLK_DETM_DETIS_RCDS</v>
      </c>
      <c r="I1186" s="7" t="str">
        <f t="shared" si="148"/>
        <v>RCDS_STS_CODE</v>
      </c>
      <c r="J1186" s="7" t="str">
        <f t="shared" si="149"/>
        <v>VARCHAR</v>
      </c>
      <c r="K1186" s="7" t="str">
        <f>TRIM(ETLMetadata!$G1186)</f>
        <v>CHAR(3)</v>
      </c>
      <c r="L1186" s="7" t="str">
        <f>TRIM(ETLMetadata!$I1186)</f>
        <v/>
      </c>
      <c r="M1186" s="7" t="str">
        <f t="shared" si="150"/>
        <v>NULLIF(TRIM(RCDS_STS_CODE),'')</v>
      </c>
      <c r="N1186" s="7" t="str">
        <f>TRIM(ETLMetadata!$J1186)</f>
        <v/>
      </c>
      <c r="O1186" s="8" t="str">
        <f>IF(TRIM(Classification!$G1186)="","NOT CONFIDENTIAL",TRIM(Classification!$G1186))</f>
        <v>NOT CONFIDENTIAL</v>
      </c>
      <c r="P1186" s="7" t="str">
        <f t="shared" si="151"/>
        <v>Y</v>
      </c>
      <c r="Q1186" s="7" t="s">
        <v>826</v>
      </c>
      <c r="R1186" s="9">
        <v>2958465</v>
      </c>
      <c r="S1186" s="7" t="s">
        <v>827</v>
      </c>
      <c r="T1186" s="7" t="s">
        <v>828</v>
      </c>
      <c r="U1186" s="7" t="str">
        <f t="shared" si="153"/>
        <v>CLK_DETM_DETIS_RCDS_V</v>
      </c>
      <c r="V1186" s="7" t="s">
        <v>829</v>
      </c>
    </row>
    <row r="1187" spans="1:22">
      <c r="A1187" s="7" t="str">
        <f>TRIM(ETLMetadata!$B1187)</f>
        <v>CLK</v>
      </c>
      <c r="B1187" s="7" t="str">
        <f>TRIM(ETLMetadata!$C1187)</f>
        <v>DETM_DETIS_RCDS</v>
      </c>
      <c r="C1187" s="7" t="str">
        <f>TRIM(ETLMetadata!$F1187)</f>
        <v>RCDS_RSN_CODE</v>
      </c>
      <c r="D1187" s="7" t="str">
        <f>TRIM(ETLMetadata!$H1187)</f>
        <v>StringType()</v>
      </c>
      <c r="E1187" s="7" t="str">
        <f t="shared" si="152"/>
        <v>CLK_DETM_DETIS_RCDS</v>
      </c>
      <c r="F1187" s="7" t="str">
        <f t="shared" si="146"/>
        <v>RCDS_RSN_CODE</v>
      </c>
      <c r="G1187" s="7" t="s">
        <v>825</v>
      </c>
      <c r="H1187" s="7" t="str">
        <f t="shared" si="147"/>
        <v>CLK_DETM_DETIS_RCDS</v>
      </c>
      <c r="I1187" s="7" t="str">
        <f t="shared" si="148"/>
        <v>RCDS_RSN_CODE</v>
      </c>
      <c r="J1187" s="7" t="str">
        <f t="shared" si="149"/>
        <v>VARCHAR</v>
      </c>
      <c r="K1187" s="7" t="str">
        <f>TRIM(ETLMetadata!$G1187)</f>
        <v>CHAR(3)</v>
      </c>
      <c r="L1187" s="7" t="str">
        <f>TRIM(ETLMetadata!$I1187)</f>
        <v/>
      </c>
      <c r="M1187" s="7" t="str">
        <f t="shared" si="150"/>
        <v>NULLIF(TRIM(RCDS_RSN_CODE),'')</v>
      </c>
      <c r="N1187" s="7" t="str">
        <f>TRIM(ETLMetadata!$J1187)</f>
        <v/>
      </c>
      <c r="O1187" s="8" t="str">
        <f>IF(TRIM(Classification!$G1187)="","NOT CONFIDENTIAL",TRIM(Classification!$G1187))</f>
        <v>NOT CONFIDENTIAL</v>
      </c>
      <c r="P1187" s="7" t="str">
        <f t="shared" si="151"/>
        <v>Y</v>
      </c>
      <c r="Q1187" s="7" t="s">
        <v>826</v>
      </c>
      <c r="R1187" s="9">
        <v>2958465</v>
      </c>
      <c r="S1187" s="7" t="s">
        <v>827</v>
      </c>
      <c r="T1187" s="7" t="s">
        <v>828</v>
      </c>
      <c r="U1187" s="7" t="str">
        <f t="shared" si="153"/>
        <v>CLK_DETM_DETIS_RCDS_V</v>
      </c>
      <c r="V1187" s="7" t="s">
        <v>829</v>
      </c>
    </row>
    <row r="1188" spans="1:22">
      <c r="A1188" s="7" t="str">
        <f>TRIM(ETLMetadata!$B1188)</f>
        <v>CLK</v>
      </c>
      <c r="B1188" s="7" t="str">
        <f>TRIM(ETLMetadata!$C1188)</f>
        <v>DETM_DETIS_RCDS</v>
      </c>
      <c r="C1188" s="7" t="str">
        <f>TRIM(ETLMetadata!$F1188)</f>
        <v>RCDS_UNIQ_ID</v>
      </c>
      <c r="D1188" s="7" t="str">
        <f>TRIM(ETLMetadata!$H1188)</f>
        <v>StringType()</v>
      </c>
      <c r="E1188" s="7" t="str">
        <f t="shared" si="152"/>
        <v>CLK_DETM_DETIS_RCDS</v>
      </c>
      <c r="F1188" s="7" t="str">
        <f t="shared" si="146"/>
        <v>RCDS_UNIQ_ID</v>
      </c>
      <c r="G1188" s="7" t="s">
        <v>825</v>
      </c>
      <c r="H1188" s="7" t="str">
        <f t="shared" si="147"/>
        <v>CLK_DETM_DETIS_RCDS</v>
      </c>
      <c r="I1188" s="7" t="str">
        <f t="shared" si="148"/>
        <v>RCDS_UNIQ_ID</v>
      </c>
      <c r="J1188" s="7" t="str">
        <f t="shared" si="149"/>
        <v>VARCHAR</v>
      </c>
      <c r="K1188" s="7" t="str">
        <f>TRIM(ETLMetadata!$G1188)</f>
        <v>VARCHAR(8)</v>
      </c>
      <c r="L1188" s="7" t="str">
        <f>TRIM(ETLMetadata!$I1188)</f>
        <v/>
      </c>
      <c r="M1188" s="7" t="str">
        <f t="shared" si="150"/>
        <v>NULLIF(TRIM(RCDS_UNIQ_ID),'')</v>
      </c>
      <c r="N1188" s="7" t="str">
        <f>TRIM(ETLMetadata!$J1188)</f>
        <v/>
      </c>
      <c r="O1188" s="8" t="str">
        <f>IF(TRIM(Classification!$G1188)="","NOT CONFIDENTIAL",TRIM(Classification!$G1188))</f>
        <v>NOT CONFIDENTIAL</v>
      </c>
      <c r="P1188" s="7" t="str">
        <f t="shared" si="151"/>
        <v>Y</v>
      </c>
      <c r="Q1188" s="7" t="s">
        <v>826</v>
      </c>
      <c r="R1188" s="9">
        <v>2958465</v>
      </c>
      <c r="S1188" s="7" t="s">
        <v>827</v>
      </c>
      <c r="T1188" s="7" t="s">
        <v>828</v>
      </c>
      <c r="U1188" s="7" t="str">
        <f t="shared" si="153"/>
        <v>CLK_DETM_DETIS_RCDS_V</v>
      </c>
      <c r="V1188" s="7" t="s">
        <v>829</v>
      </c>
    </row>
    <row r="1189" spans="1:22">
      <c r="A1189" s="7" t="str">
        <f>TRIM(ETLMetadata!$B1189)</f>
        <v>CLK</v>
      </c>
      <c r="B1189" s="7" t="str">
        <f>TRIM(ETLMetadata!$C1189)</f>
        <v>DETM_DETIS_RCDS</v>
      </c>
      <c r="C1189" s="7" t="str">
        <f>TRIM(ETLMetadata!$F1189)</f>
        <v>AMR1_RISL_DTS</v>
      </c>
      <c r="D1189" s="7" t="str">
        <f>TRIM(ETLMetadata!$H1189)</f>
        <v>StringType()</v>
      </c>
      <c r="E1189" s="7" t="str">
        <f t="shared" si="152"/>
        <v>CLK_DETM_DETIS_RCDS</v>
      </c>
      <c r="F1189" s="7" t="str">
        <f t="shared" si="146"/>
        <v>AMR1_RISL_DTS</v>
      </c>
      <c r="G1189" s="7" t="s">
        <v>825</v>
      </c>
      <c r="H1189" s="7" t="str">
        <f t="shared" si="147"/>
        <v>CLK_DETM_DETIS_RCDS</v>
      </c>
      <c r="I1189" s="7" t="str">
        <f t="shared" si="148"/>
        <v>AMR1_RISL_DTS</v>
      </c>
      <c r="J1189" s="7" t="str">
        <f t="shared" si="149"/>
        <v>TIMESTAMP</v>
      </c>
      <c r="K1189" s="7" t="str">
        <f>TRIM(ETLMetadata!$G1189)</f>
        <v>TIMESTAMP(6)</v>
      </c>
      <c r="L1189" s="7" t="str">
        <f>TRIM(ETLMetadata!$I1189)</f>
        <v>YYYY-MM-DDBHH:MI:SS.S(6)</v>
      </c>
      <c r="M1189" s="7" t="str">
        <f t="shared" si="150"/>
        <v>TO_TIMESTAMP_NTZ(NULLIF(TRIM(AMR1_RISL_DTS),''),'YYYY-MM-DD HH24:MI:SS.FF6')</v>
      </c>
      <c r="N1189" s="7" t="str">
        <f>TRIM(ETLMetadata!$J1189)</f>
        <v/>
      </c>
      <c r="O1189" s="8" t="str">
        <f>IF(TRIM(Classification!$G1189)="","NOT CONFIDENTIAL",TRIM(Classification!$G1189))</f>
        <v>NOT CONFIDENTIAL</v>
      </c>
      <c r="P1189" s="7" t="str">
        <f t="shared" si="151"/>
        <v>Y</v>
      </c>
      <c r="Q1189" s="7" t="s">
        <v>826</v>
      </c>
      <c r="R1189" s="9">
        <v>2958465</v>
      </c>
      <c r="S1189" s="7" t="s">
        <v>827</v>
      </c>
      <c r="T1189" s="7" t="s">
        <v>828</v>
      </c>
      <c r="U1189" s="7" t="str">
        <f t="shared" si="153"/>
        <v>CLK_DETM_DETIS_RCDS_V</v>
      </c>
      <c r="V1189" s="7" t="s">
        <v>829</v>
      </c>
    </row>
    <row r="1190" spans="1:22">
      <c r="A1190" s="7" t="str">
        <f>TRIM(ETLMetadata!$B1190)</f>
        <v>CLK</v>
      </c>
      <c r="B1190" s="7" t="str">
        <f>TRIM(ETLMetadata!$C1190)</f>
        <v>DETM_DETIS_RCDS</v>
      </c>
      <c r="C1190" s="7" t="str">
        <f>TRIM(ETLMetadata!$F1190)</f>
        <v>AMR3_RISL_DTS</v>
      </c>
      <c r="D1190" s="7" t="str">
        <f>TRIM(ETLMetadata!$H1190)</f>
        <v>StringType()</v>
      </c>
      <c r="E1190" s="7" t="str">
        <f t="shared" si="152"/>
        <v>CLK_DETM_DETIS_RCDS</v>
      </c>
      <c r="F1190" s="7" t="str">
        <f t="shared" si="146"/>
        <v>AMR3_RISL_DTS</v>
      </c>
      <c r="G1190" s="7" t="s">
        <v>825</v>
      </c>
      <c r="H1190" s="7" t="str">
        <f t="shared" si="147"/>
        <v>CLK_DETM_DETIS_RCDS</v>
      </c>
      <c r="I1190" s="7" t="str">
        <f t="shared" si="148"/>
        <v>AMR3_RISL_DTS</v>
      </c>
      <c r="J1190" s="7" t="str">
        <f t="shared" si="149"/>
        <v>TIMESTAMP</v>
      </c>
      <c r="K1190" s="7" t="str">
        <f>TRIM(ETLMetadata!$G1190)</f>
        <v>TIMESTAMP(6)</v>
      </c>
      <c r="L1190" s="7" t="str">
        <f>TRIM(ETLMetadata!$I1190)</f>
        <v>YYYY-MM-DDBHH:MI:SS.S(6)</v>
      </c>
      <c r="M1190" s="7" t="str">
        <f t="shared" si="150"/>
        <v>TO_TIMESTAMP_NTZ(NULLIF(TRIM(AMR3_RISL_DTS),''),'YYYY-MM-DD HH24:MI:SS.FF6')</v>
      </c>
      <c r="N1190" s="7" t="str">
        <f>TRIM(ETLMetadata!$J1190)</f>
        <v/>
      </c>
      <c r="O1190" s="8" t="str">
        <f>IF(TRIM(Classification!$G1190)="","NOT CONFIDENTIAL",TRIM(Classification!$G1190))</f>
        <v>NOT CONFIDENTIAL</v>
      </c>
      <c r="P1190" s="7" t="str">
        <f t="shared" si="151"/>
        <v>Y</v>
      </c>
      <c r="Q1190" s="7" t="s">
        <v>826</v>
      </c>
      <c r="R1190" s="9">
        <v>2958465</v>
      </c>
      <c r="S1190" s="7" t="s">
        <v>827</v>
      </c>
      <c r="T1190" s="7" t="s">
        <v>828</v>
      </c>
      <c r="U1190" s="7" t="str">
        <f t="shared" si="153"/>
        <v>CLK_DETM_DETIS_RCDS_V</v>
      </c>
      <c r="V1190" s="7" t="s">
        <v>829</v>
      </c>
    </row>
    <row r="1191" spans="1:22">
      <c r="A1191" s="7" t="str">
        <f>TRIM(ETLMetadata!$B1191)</f>
        <v>CLK</v>
      </c>
      <c r="B1191" s="7" t="str">
        <f>TRIM(ETLMetadata!$C1191)</f>
        <v>DETM_DETIS_RCDS</v>
      </c>
      <c r="C1191" s="7" t="str">
        <f>TRIM(ETLMetadata!$F1191)</f>
        <v>EPISODE_ID</v>
      </c>
      <c r="D1191" s="7" t="str">
        <f>TRIM(ETLMetadata!$H1191)</f>
        <v>StringType()</v>
      </c>
      <c r="E1191" s="7" t="str">
        <f t="shared" si="152"/>
        <v>CLK_DETM_DETIS_RCDS</v>
      </c>
      <c r="F1191" s="7" t="str">
        <f t="shared" si="146"/>
        <v>EPISODE_ID</v>
      </c>
      <c r="G1191" s="7" t="s">
        <v>825</v>
      </c>
      <c r="H1191" s="7" t="str">
        <f t="shared" si="147"/>
        <v>CLK_DETM_DETIS_RCDS</v>
      </c>
      <c r="I1191" s="7" t="str">
        <f t="shared" si="148"/>
        <v>EPISODE_ID</v>
      </c>
      <c r="J1191" s="7" t="str">
        <f t="shared" si="149"/>
        <v>INTEGER</v>
      </c>
      <c r="K1191" s="7" t="str">
        <f>TRIM(ETLMetadata!$G1191)</f>
        <v>INTEGER</v>
      </c>
      <c r="L1191" s="7" t="str">
        <f>TRIM(ETLMetadata!$I1191)</f>
        <v/>
      </c>
      <c r="M1191" s="7" t="str">
        <f t="shared" si="150"/>
        <v>CAST(NULLIF(TRIM(EPISODE_ID),'') AS INTEGER)</v>
      </c>
      <c r="N1191" s="7" t="str">
        <f>TRIM(ETLMetadata!$J1191)</f>
        <v/>
      </c>
      <c r="O1191" s="8" t="str">
        <f>IF(TRIM(Classification!$G1191)="","NOT CONFIDENTIAL",TRIM(Classification!$G1191))</f>
        <v>NOT CONFIDENTIAL</v>
      </c>
      <c r="P1191" s="7" t="str">
        <f t="shared" si="151"/>
        <v>Y</v>
      </c>
      <c r="Q1191" s="7" t="s">
        <v>826</v>
      </c>
      <c r="R1191" s="9">
        <v>2958465</v>
      </c>
      <c r="S1191" s="7" t="s">
        <v>827</v>
      </c>
      <c r="T1191" s="7" t="s">
        <v>828</v>
      </c>
      <c r="U1191" s="7" t="str">
        <f t="shared" si="153"/>
        <v>CLK_DETM_DETIS_RCDS_V</v>
      </c>
      <c r="V1191" s="7" t="s">
        <v>829</v>
      </c>
    </row>
    <row r="1192" spans="1:22">
      <c r="A1192" s="7" t="str">
        <f>TRIM(ETLMetadata!$B1192)</f>
        <v>CLK</v>
      </c>
      <c r="B1192" s="7" t="str">
        <f>TRIM(ETLMetadata!$C1192)</f>
        <v>DETM_DETIS_RCDS</v>
      </c>
      <c r="C1192" s="7" t="str">
        <f>TRIM(ETLMetadata!$F1192)</f>
        <v>PARTY_ROLE_ID</v>
      </c>
      <c r="D1192" s="7" t="str">
        <f>TRIM(ETLMetadata!$H1192)</f>
        <v>StringType()</v>
      </c>
      <c r="E1192" s="7" t="str">
        <f t="shared" si="152"/>
        <v>CLK_DETM_DETIS_RCDS</v>
      </c>
      <c r="F1192" s="7" t="str">
        <f t="shared" si="146"/>
        <v>PARTY_ROLE_ID</v>
      </c>
      <c r="G1192" s="7" t="s">
        <v>825</v>
      </c>
      <c r="H1192" s="7" t="str">
        <f t="shared" si="147"/>
        <v>CLK_DETM_DETIS_RCDS</v>
      </c>
      <c r="I1192" s="7" t="str">
        <f t="shared" si="148"/>
        <v>PARTY_ROLE_ID</v>
      </c>
      <c r="J1192" s="7" t="str">
        <f t="shared" si="149"/>
        <v>INTEGER</v>
      </c>
      <c r="K1192" s="7" t="str">
        <f>TRIM(ETLMetadata!$G1192)</f>
        <v>INTEGER</v>
      </c>
      <c r="L1192" s="7" t="str">
        <f>TRIM(ETLMetadata!$I1192)</f>
        <v/>
      </c>
      <c r="M1192" s="7" t="str">
        <f t="shared" si="150"/>
        <v>CAST(NULLIF(TRIM(PARTY_ROLE_ID),'') AS INTEGER)</v>
      </c>
      <c r="N1192" s="7" t="str">
        <f>TRIM(ETLMetadata!$J1192)</f>
        <v/>
      </c>
      <c r="O1192" s="8" t="str">
        <f>IF(TRIM(Classification!$G1192)="","NOT CONFIDENTIAL",TRIM(Classification!$G1192))</f>
        <v>NOT CONFIDENTIAL</v>
      </c>
      <c r="P1192" s="7" t="str">
        <f t="shared" si="151"/>
        <v>Y</v>
      </c>
      <c r="Q1192" s="7" t="s">
        <v>826</v>
      </c>
      <c r="R1192" s="9">
        <v>2958465</v>
      </c>
      <c r="S1192" s="7" t="s">
        <v>827</v>
      </c>
      <c r="T1192" s="7" t="s">
        <v>828</v>
      </c>
      <c r="U1192" s="7" t="str">
        <f t="shared" si="153"/>
        <v>CLK_DETM_DETIS_RCDS_V</v>
      </c>
      <c r="V1192" s="7" t="s">
        <v>829</v>
      </c>
    </row>
    <row r="1193" spans="1:22">
      <c r="A1193" s="7" t="str">
        <f>TRIM(ETLMetadata!$B1193)</f>
        <v>CLK</v>
      </c>
      <c r="B1193" s="7" t="str">
        <f>TRIM(ETLMetadata!$C1193)</f>
        <v>DETM_DETIS_RCDS</v>
      </c>
      <c r="C1193" s="7" t="str">
        <f>TRIM(ETLMetadata!$F1193)</f>
        <v>PAYMENT_TYPE_ID</v>
      </c>
      <c r="D1193" s="7" t="str">
        <f>TRIM(ETLMetadata!$H1193)</f>
        <v>StringType()</v>
      </c>
      <c r="E1193" s="7" t="str">
        <f t="shared" si="152"/>
        <v>CLK_DETM_DETIS_RCDS</v>
      </c>
      <c r="F1193" s="7" t="str">
        <f t="shared" si="146"/>
        <v>PAYMENT_TYPE_ID</v>
      </c>
      <c r="G1193" s="7" t="s">
        <v>825</v>
      </c>
      <c r="H1193" s="7" t="str">
        <f t="shared" si="147"/>
        <v>CLK_DETM_DETIS_RCDS</v>
      </c>
      <c r="I1193" s="7" t="str">
        <f t="shared" si="148"/>
        <v>PAYMENT_TYPE_ID</v>
      </c>
      <c r="J1193" s="7" t="str">
        <f t="shared" si="149"/>
        <v>INTEGER</v>
      </c>
      <c r="K1193" s="7" t="str">
        <f>TRIM(ETLMetadata!$G1193)</f>
        <v>INTEGER</v>
      </c>
      <c r="L1193" s="7" t="str">
        <f>TRIM(ETLMetadata!$I1193)</f>
        <v/>
      </c>
      <c r="M1193" s="7" t="str">
        <f t="shared" si="150"/>
        <v>CAST(NULLIF(TRIM(PAYMENT_TYPE_ID),'') AS INTEGER)</v>
      </c>
      <c r="N1193" s="7" t="str">
        <f>TRIM(ETLMetadata!$J1193)</f>
        <v/>
      </c>
      <c r="O1193" s="8" t="str">
        <f>IF(TRIM(Classification!$G1193)="","NOT CONFIDENTIAL",TRIM(Classification!$G1193))</f>
        <v>NOT CONFIDENTIAL</v>
      </c>
      <c r="P1193" s="7" t="str">
        <f t="shared" si="151"/>
        <v>Y</v>
      </c>
      <c r="Q1193" s="7" t="s">
        <v>826</v>
      </c>
      <c r="R1193" s="9">
        <v>2958465</v>
      </c>
      <c r="S1193" s="7" t="s">
        <v>827</v>
      </c>
      <c r="T1193" s="7" t="s">
        <v>828</v>
      </c>
      <c r="U1193" s="7" t="str">
        <f t="shared" si="153"/>
        <v>CLK_DETM_DETIS_RCDS_V</v>
      </c>
      <c r="V1193" s="7" t="s">
        <v>829</v>
      </c>
    </row>
    <row r="1194" spans="1:22">
      <c r="A1194" s="7" t="str">
        <f>TRIM(ETLMetadata!$B1194)</f>
        <v>CLK</v>
      </c>
      <c r="B1194" s="7" t="str">
        <f>TRIM(ETLMetadata!$C1194)</f>
        <v>DETM_DETIS_RCDS</v>
      </c>
      <c r="C1194" s="7" t="str">
        <f>TRIM(ETLMetadata!$F1194)</f>
        <v>ERROR_COUNT</v>
      </c>
      <c r="D1194" s="7" t="str">
        <f>TRIM(ETLMetadata!$H1194)</f>
        <v>StringType()</v>
      </c>
      <c r="E1194" s="7" t="str">
        <f t="shared" si="152"/>
        <v>CLK_DETM_DETIS_RCDS</v>
      </c>
      <c r="F1194" s="7" t="str">
        <f t="shared" si="146"/>
        <v>ERROR_COUNT</v>
      </c>
      <c r="G1194" s="7" t="s">
        <v>825</v>
      </c>
      <c r="H1194" s="7" t="str">
        <f t="shared" si="147"/>
        <v>CLK_DETM_DETIS_RCDS</v>
      </c>
      <c r="I1194" s="7" t="str">
        <f t="shared" si="148"/>
        <v>ERROR_COUNT</v>
      </c>
      <c r="J1194" s="7" t="str">
        <f t="shared" si="149"/>
        <v>SMALLINT</v>
      </c>
      <c r="K1194" s="7" t="str">
        <f>TRIM(ETLMetadata!$G1194)</f>
        <v>SMALLINT</v>
      </c>
      <c r="L1194" s="7" t="str">
        <f>TRIM(ETLMetadata!$I1194)</f>
        <v/>
      </c>
      <c r="M1194" s="7" t="str">
        <f t="shared" si="150"/>
        <v>CAST(NULLIF(TRIM(ERROR_COUNT),'') AS SMALLINT)</v>
      </c>
      <c r="N1194" s="7" t="str">
        <f>TRIM(ETLMetadata!$J1194)</f>
        <v/>
      </c>
      <c r="O1194" s="8" t="str">
        <f>IF(TRIM(Classification!$G1194)="","NOT CONFIDENTIAL",TRIM(Classification!$G1194))</f>
        <v>NOT CONFIDENTIAL</v>
      </c>
      <c r="P1194" s="7" t="str">
        <f t="shared" si="151"/>
        <v>Y</v>
      </c>
      <c r="Q1194" s="7" t="s">
        <v>826</v>
      </c>
      <c r="R1194" s="9">
        <v>2958465</v>
      </c>
      <c r="S1194" s="7" t="s">
        <v>827</v>
      </c>
      <c r="T1194" s="7" t="s">
        <v>828</v>
      </c>
      <c r="U1194" s="7" t="str">
        <f t="shared" si="153"/>
        <v>CLK_DETM_DETIS_RCDS_V</v>
      </c>
      <c r="V1194" s="7" t="s">
        <v>829</v>
      </c>
    </row>
    <row r="1195" spans="1:22">
      <c r="A1195" s="7" t="str">
        <f>TRIM(ETLMetadata!$B1195)</f>
        <v>CLK</v>
      </c>
      <c r="B1195" s="7" t="str">
        <f>TRIM(ETLMetadata!$C1195)</f>
        <v>DETM_DETIS_RCDS</v>
      </c>
      <c r="C1195" s="7" t="str">
        <f>TRIM(ETLMetadata!$F1195)</f>
        <v>Start_Date</v>
      </c>
      <c r="D1195" s="7" t="str">
        <f>TRIM(ETLMetadata!$H1195)</f>
        <v>StringType()</v>
      </c>
      <c r="E1195" s="7" t="str">
        <f t="shared" si="152"/>
        <v>CLK_DETM_DETIS_RCDS</v>
      </c>
      <c r="F1195" s="7" t="str">
        <f t="shared" si="146"/>
        <v>STRT_DT</v>
      </c>
      <c r="G1195" s="7" t="s">
        <v>825</v>
      </c>
      <c r="H1195" s="7" t="str">
        <f t="shared" si="147"/>
        <v>CLK_DETM_DETIS_RCDS</v>
      </c>
      <c r="I1195" s="7" t="str">
        <f t="shared" si="148"/>
        <v>STRT_DT</v>
      </c>
      <c r="J1195" s="7" t="str">
        <f t="shared" si="149"/>
        <v>DATE</v>
      </c>
      <c r="K1195" s="7" t="str">
        <f>TRIM(ETLMetadata!$G1195)</f>
        <v>DATE</v>
      </c>
      <c r="L1195" s="7" t="str">
        <f>TRIM(ETLMetadata!$I1195)</f>
        <v>YYYY-MM-DD</v>
      </c>
      <c r="M1195" s="7" t="str">
        <f t="shared" si="150"/>
        <v>TO_DATE(NULLIF(TRIM(STRT_DT),'') , 'YYYY-MM-DD')</v>
      </c>
      <c r="N1195" s="7" t="str">
        <f>TRIM(ETLMetadata!$J1195)</f>
        <v/>
      </c>
      <c r="O1195" s="8" t="str">
        <f>IF(TRIM(Classification!$G1195)="","NOT CONFIDENTIAL",TRIM(Classification!$G1195))</f>
        <v>NOT CONFIDENTIAL</v>
      </c>
      <c r="P1195" s="7" t="str">
        <f t="shared" si="151"/>
        <v>N</v>
      </c>
      <c r="Q1195" s="7" t="s">
        <v>826</v>
      </c>
      <c r="R1195" s="9">
        <v>2958465</v>
      </c>
      <c r="S1195" s="7" t="s">
        <v>827</v>
      </c>
      <c r="T1195" s="7" t="s">
        <v>828</v>
      </c>
      <c r="U1195" s="7" t="str">
        <f t="shared" si="153"/>
        <v>CLK_DETM_DETIS_RCDS_V</v>
      </c>
      <c r="V1195" s="7" t="s">
        <v>829</v>
      </c>
    </row>
    <row r="1196" spans="1:22">
      <c r="A1196" s="7" t="str">
        <f>TRIM(ETLMetadata!$B1196)</f>
        <v>CLK</v>
      </c>
      <c r="B1196" s="7" t="str">
        <f>TRIM(ETLMetadata!$C1196)</f>
        <v>DETM_DETIS_RCDS</v>
      </c>
      <c r="C1196" s="7" t="str">
        <f>TRIM(ETLMetadata!$F1196)</f>
        <v>End_Date</v>
      </c>
      <c r="D1196" s="7" t="str">
        <f>TRIM(ETLMetadata!$H1196)</f>
        <v>StringType()</v>
      </c>
      <c r="E1196" s="7" t="str">
        <f t="shared" si="152"/>
        <v>CLK_DETM_DETIS_RCDS</v>
      </c>
      <c r="F1196" s="7" t="str">
        <f t="shared" si="146"/>
        <v>END_DT</v>
      </c>
      <c r="G1196" s="7" t="s">
        <v>825</v>
      </c>
      <c r="H1196" s="7" t="str">
        <f t="shared" si="147"/>
        <v>CLK_DETM_DETIS_RCDS</v>
      </c>
      <c r="I1196" s="7" t="str">
        <f t="shared" si="148"/>
        <v>END_DT</v>
      </c>
      <c r="J1196" s="7" t="str">
        <f t="shared" si="149"/>
        <v>DATE</v>
      </c>
      <c r="K1196" s="7" t="str">
        <f>TRIM(ETLMetadata!$G1196)</f>
        <v>DATE</v>
      </c>
      <c r="L1196" s="7" t="str">
        <f>TRIM(ETLMetadata!$I1196)</f>
        <v>YYYY-MM-DD</v>
      </c>
      <c r="M1196" s="7" t="str">
        <f t="shared" si="150"/>
        <v>TO_DATE(NULLIF(TRIM(END_DT),'') , 'YYYY-MM-DD')</v>
      </c>
      <c r="N1196" s="7" t="str">
        <f>TRIM(ETLMetadata!$J1196)</f>
        <v/>
      </c>
      <c r="O1196" s="8" t="str">
        <f>IF(TRIM(Classification!$G1196)="","NOT CONFIDENTIAL",TRIM(Classification!$G1196))</f>
        <v>NOT CONFIDENTIAL</v>
      </c>
      <c r="P1196" s="7" t="str">
        <f t="shared" si="151"/>
        <v>N</v>
      </c>
      <c r="Q1196" s="7" t="s">
        <v>826</v>
      </c>
      <c r="R1196" s="9">
        <v>2958465</v>
      </c>
      <c r="S1196" s="7" t="s">
        <v>827</v>
      </c>
      <c r="T1196" s="7" t="s">
        <v>828</v>
      </c>
      <c r="U1196" s="7" t="str">
        <f t="shared" si="153"/>
        <v>CLK_DETM_DETIS_RCDS_V</v>
      </c>
      <c r="V1196" s="7" t="s">
        <v>829</v>
      </c>
    </row>
    <row r="1197" spans="1:22">
      <c r="A1197" s="7" t="str">
        <f>TRIM(ETLMetadata!$B1197)</f>
        <v>CLK</v>
      </c>
      <c r="B1197" s="7" t="str">
        <f>TRIM(ETLMetadata!$C1197)</f>
        <v>DETM_DETIS_RCDS</v>
      </c>
      <c r="C1197" s="7" t="str">
        <f>TRIM(ETLMetadata!$F1197)</f>
        <v>Record_Deleted_Flag</v>
      </c>
      <c r="D1197" s="7" t="str">
        <f>TRIM(ETLMetadata!$H1197)</f>
        <v>StringType()</v>
      </c>
      <c r="E1197" s="7" t="str">
        <f t="shared" si="152"/>
        <v>CLK_DETM_DETIS_RCDS</v>
      </c>
      <c r="F1197" s="7" t="str">
        <f t="shared" si="146"/>
        <v>RCRD_DEL_IND</v>
      </c>
      <c r="G1197" s="7" t="s">
        <v>825</v>
      </c>
      <c r="H1197" s="7" t="str">
        <f t="shared" si="147"/>
        <v>CLK_DETM_DETIS_RCDS</v>
      </c>
      <c r="I1197" s="7" t="str">
        <f t="shared" si="148"/>
        <v>RCRD_DEL_IND</v>
      </c>
      <c r="J1197" s="7" t="str">
        <f t="shared" si="149"/>
        <v>SMALLINT</v>
      </c>
      <c r="K1197" s="7" t="str">
        <f>TRIM(ETLMetadata!$G1197)</f>
        <v>BYTEINT</v>
      </c>
      <c r="L1197" s="7" t="str">
        <f>TRIM(ETLMetadata!$I1197)</f>
        <v/>
      </c>
      <c r="M1197" s="7" t="str">
        <f t="shared" si="150"/>
        <v>CAST(NULLIF(TRIM(RCRD_DEL_IND),'') AS SMALLINT)</v>
      </c>
      <c r="N1197" s="7" t="str">
        <f>TRIM(ETLMetadata!$J1197)</f>
        <v/>
      </c>
      <c r="O1197" s="8" t="str">
        <f>IF(TRIM(Classification!$G1197)="","NOT CONFIDENTIAL",TRIM(Classification!$G1197))</f>
        <v>NOT CONFIDENTIAL</v>
      </c>
      <c r="P1197" s="7" t="str">
        <f t="shared" si="151"/>
        <v>N</v>
      </c>
      <c r="Q1197" s="7" t="s">
        <v>826</v>
      </c>
      <c r="R1197" s="9">
        <v>2958465</v>
      </c>
      <c r="S1197" s="7" t="s">
        <v>827</v>
      </c>
      <c r="T1197" s="7" t="s">
        <v>828</v>
      </c>
      <c r="U1197" s="7" t="str">
        <f t="shared" si="153"/>
        <v>CLK_DETM_DETIS_RCDS_V</v>
      </c>
      <c r="V1197" s="7" t="s">
        <v>829</v>
      </c>
    </row>
    <row r="1198" spans="1:22">
      <c r="A1198" s="7" t="str">
        <f>TRIM(ETLMetadata!$B1198)</f>
        <v>CLK</v>
      </c>
      <c r="B1198" s="7" t="str">
        <f>TRIM(ETLMetadata!$C1198)</f>
        <v>DETM_DETIS_SHDS</v>
      </c>
      <c r="C1198" s="7" t="str">
        <f>TRIM(ETLMetadata!$F1198)</f>
        <v>EXTRACT_DATE</v>
      </c>
      <c r="D1198" s="7" t="str">
        <f>TRIM(ETLMetadata!$H1198)</f>
        <v>StringType()</v>
      </c>
      <c r="E1198" s="7" t="str">
        <f t="shared" si="152"/>
        <v>CLK_DETM_DETIS_SHDS</v>
      </c>
      <c r="F1198" s="7" t="str">
        <f t="shared" si="146"/>
        <v>EXTRACT_DATE</v>
      </c>
      <c r="G1198" s="7" t="s">
        <v>825</v>
      </c>
      <c r="H1198" s="7" t="str">
        <f t="shared" si="147"/>
        <v>CLK_DETM_DETIS_SHDS</v>
      </c>
      <c r="I1198" s="7" t="str">
        <f t="shared" si="148"/>
        <v>EXTRACT_DATE</v>
      </c>
      <c r="J1198" s="7" t="str">
        <f t="shared" si="149"/>
        <v>DATE</v>
      </c>
      <c r="K1198" s="7" t="str">
        <f>TRIM(ETLMetadata!$G1198)</f>
        <v>DATE</v>
      </c>
      <c r="L1198" s="7" t="str">
        <f>TRIM(ETLMetadata!$I1198)</f>
        <v>YYYY-MM-DD</v>
      </c>
      <c r="M1198" s="7" t="str">
        <f t="shared" si="150"/>
        <v>TO_DATE(NULLIF(TRIM(EXTRACT_DATE),'') , 'YYYY-MM-DD')</v>
      </c>
      <c r="N1198" s="7" t="str">
        <f>TRIM(ETLMetadata!$J1198)</f>
        <v/>
      </c>
      <c r="O1198" s="8" t="str">
        <f>IF(TRIM(Classification!$G1198)="","NOT CONFIDENTIAL",TRIM(Classification!$G1198))</f>
        <v>NOT CONFIDENTIAL</v>
      </c>
      <c r="P1198" s="7" t="str">
        <f t="shared" si="151"/>
        <v>Y</v>
      </c>
      <c r="Q1198" s="7" t="s">
        <v>826</v>
      </c>
      <c r="R1198" s="9">
        <v>2958465</v>
      </c>
      <c r="S1198" s="7" t="s">
        <v>827</v>
      </c>
      <c r="T1198" s="7" t="s">
        <v>828</v>
      </c>
      <c r="U1198" s="7" t="str">
        <f t="shared" si="153"/>
        <v>CLK_DETM_DETIS_SHDS_V</v>
      </c>
      <c r="V1198" s="7" t="s">
        <v>829</v>
      </c>
    </row>
    <row r="1199" spans="1:22">
      <c r="A1199" s="7" t="str">
        <f>TRIM(ETLMetadata!$B1199)</f>
        <v>CLK</v>
      </c>
      <c r="B1199" s="7" t="str">
        <f>TRIM(ETLMetadata!$C1199)</f>
        <v>DETM_DETIS_SHDS</v>
      </c>
      <c r="C1199" s="7" t="str">
        <f>TRIM(ETLMetadata!$F1199)</f>
        <v>LOGICAL_DELETE_DATE</v>
      </c>
      <c r="D1199" s="7" t="str">
        <f>TRIM(ETLMetadata!$H1199)</f>
        <v>StringType()</v>
      </c>
      <c r="E1199" s="7" t="str">
        <f t="shared" si="152"/>
        <v>CLK_DETM_DETIS_SHDS</v>
      </c>
      <c r="F1199" s="7" t="str">
        <f t="shared" si="146"/>
        <v>LOGICAL_DELETE_DATE</v>
      </c>
      <c r="G1199" s="7" t="s">
        <v>825</v>
      </c>
      <c r="H1199" s="7" t="str">
        <f t="shared" si="147"/>
        <v>CLK_DETM_DETIS_SHDS</v>
      </c>
      <c r="I1199" s="7" t="str">
        <f t="shared" si="148"/>
        <v>LOGICAL_DELETE_DATE</v>
      </c>
      <c r="J1199" s="7" t="str">
        <f t="shared" si="149"/>
        <v>DATE</v>
      </c>
      <c r="K1199" s="7" t="str">
        <f>TRIM(ETLMetadata!$G1199)</f>
        <v>DATE</v>
      </c>
      <c r="L1199" s="7" t="str">
        <f>TRIM(ETLMetadata!$I1199)</f>
        <v>YYYY-MM-DD</v>
      </c>
      <c r="M1199" s="7" t="str">
        <f t="shared" si="150"/>
        <v>TO_DATE(NULLIF(TRIM(LOGICAL_DELETE_DATE),'') , 'YYYY-MM-DD')</v>
      </c>
      <c r="N1199" s="7" t="str">
        <f>TRIM(ETLMetadata!$J1199)</f>
        <v/>
      </c>
      <c r="O1199" s="8" t="str">
        <f>IF(TRIM(Classification!$G1199)="","NOT CONFIDENTIAL",TRIM(Classification!$G1199))</f>
        <v>NOT CONFIDENTIAL</v>
      </c>
      <c r="P1199" s="7" t="str">
        <f t="shared" si="151"/>
        <v>Y</v>
      </c>
      <c r="Q1199" s="7" t="s">
        <v>826</v>
      </c>
      <c r="R1199" s="9">
        <v>2958465</v>
      </c>
      <c r="S1199" s="7" t="s">
        <v>827</v>
      </c>
      <c r="T1199" s="7" t="s">
        <v>828</v>
      </c>
      <c r="U1199" s="7" t="str">
        <f t="shared" si="153"/>
        <v>CLK_DETM_DETIS_SHDS_V</v>
      </c>
      <c r="V1199" s="7" t="s">
        <v>829</v>
      </c>
    </row>
    <row r="1200" spans="1:22">
      <c r="A1200" s="7" t="str">
        <f>TRIM(ETLMetadata!$B1200)</f>
        <v>CLK</v>
      </c>
      <c r="B1200" s="7" t="str">
        <f>TRIM(ETLMetadata!$C1200)</f>
        <v>DETM_DETIS_SHDS</v>
      </c>
      <c r="C1200" s="7" t="str">
        <f>TRIM(ETLMetadata!$F1200)</f>
        <v>ENVIRONMENT_ID</v>
      </c>
      <c r="D1200" s="7" t="str">
        <f>TRIM(ETLMetadata!$H1200)</f>
        <v>StringType()</v>
      </c>
      <c r="E1200" s="7" t="str">
        <f t="shared" si="152"/>
        <v>CLK_DETM_DETIS_SHDS</v>
      </c>
      <c r="F1200" s="7" t="str">
        <f t="shared" si="146"/>
        <v>ENVIRONMENT_ID</v>
      </c>
      <c r="G1200" s="7" t="s">
        <v>825</v>
      </c>
      <c r="H1200" s="7" t="str">
        <f t="shared" si="147"/>
        <v>CLK_DETM_DETIS_SHDS</v>
      </c>
      <c r="I1200" s="7" t="str">
        <f t="shared" si="148"/>
        <v>ENVIRONMENT_ID</v>
      </c>
      <c r="J1200" s="7" t="str">
        <f t="shared" si="149"/>
        <v>VARCHAR</v>
      </c>
      <c r="K1200" s="7" t="str">
        <f>TRIM(ETLMetadata!$G1200)</f>
        <v>CHAR(1)</v>
      </c>
      <c r="L1200" s="7" t="str">
        <f>TRIM(ETLMetadata!$I1200)</f>
        <v/>
      </c>
      <c r="M1200" s="7" t="str">
        <f t="shared" si="150"/>
        <v>NULLIF(TRIM(ENVIRONMENT_ID),'')</v>
      </c>
      <c r="N1200" s="7" t="str">
        <f>TRIM(ETLMetadata!$J1200)</f>
        <v>Y</v>
      </c>
      <c r="O1200" s="8" t="str">
        <f>IF(TRIM(Classification!$G1200)="","NOT CONFIDENTIAL",TRIM(Classification!$G1200))</f>
        <v>NOT CONFIDENTIAL</v>
      </c>
      <c r="P1200" s="7" t="str">
        <f t="shared" si="151"/>
        <v>Y</v>
      </c>
      <c r="Q1200" s="7" t="s">
        <v>826</v>
      </c>
      <c r="R1200" s="9">
        <v>2958465</v>
      </c>
      <c r="S1200" s="7" t="s">
        <v>827</v>
      </c>
      <c r="T1200" s="7" t="s">
        <v>828</v>
      </c>
      <c r="U1200" s="7" t="str">
        <f t="shared" si="153"/>
        <v>CLK_DETM_DETIS_SHDS_V</v>
      </c>
      <c r="V1200" s="7" t="s">
        <v>829</v>
      </c>
    </row>
    <row r="1201" spans="1:22">
      <c r="A1201" s="7" t="str">
        <f>TRIM(ETLMetadata!$B1201)</f>
        <v>CLK</v>
      </c>
      <c r="B1201" s="7" t="str">
        <f>TRIM(ETLMetadata!$C1201)</f>
        <v>DETM_DETIS_SHDS</v>
      </c>
      <c r="C1201" s="7" t="str">
        <f>TRIM(ETLMetadata!$F1201)</f>
        <v>PERSON_ID</v>
      </c>
      <c r="D1201" s="7" t="str">
        <f>TRIM(ETLMetadata!$H1201)</f>
        <v>StringType()</v>
      </c>
      <c r="E1201" s="7" t="str">
        <f t="shared" si="152"/>
        <v>CLK_DETM_DETIS_SHDS</v>
      </c>
      <c r="F1201" s="7" t="str">
        <f t="shared" si="146"/>
        <v>PERSON_ID</v>
      </c>
      <c r="G1201" s="7" t="s">
        <v>825</v>
      </c>
      <c r="H1201" s="7" t="str">
        <f t="shared" si="147"/>
        <v>CLK_DETM_DETIS_SHDS</v>
      </c>
      <c r="I1201" s="7" t="str">
        <f t="shared" si="148"/>
        <v>PERSON_ID</v>
      </c>
      <c r="J1201" s="7" t="str">
        <f t="shared" si="149"/>
        <v>INTEGER</v>
      </c>
      <c r="K1201" s="7" t="str">
        <f>TRIM(ETLMetadata!$G1201)</f>
        <v>INTEGER</v>
      </c>
      <c r="L1201" s="7" t="str">
        <f>TRIM(ETLMetadata!$I1201)</f>
        <v/>
      </c>
      <c r="M1201" s="7" t="str">
        <f t="shared" si="150"/>
        <v>CAST(NULLIF(TRIM(PERSON_ID),'') AS INTEGER)</v>
      </c>
      <c r="N1201" s="7" t="str">
        <f>TRIM(ETLMetadata!$J1201)</f>
        <v>Y</v>
      </c>
      <c r="O1201" s="8" t="str">
        <f>IF(TRIM(Classification!$G1201)="","NOT CONFIDENTIAL",TRIM(Classification!$G1201))</f>
        <v>PERSONAL_IDENTITYINFOINDIRECT</v>
      </c>
      <c r="P1201" s="7" t="str">
        <f t="shared" si="151"/>
        <v>Y</v>
      </c>
      <c r="Q1201" s="7" t="s">
        <v>826</v>
      </c>
      <c r="R1201" s="9">
        <v>2958465</v>
      </c>
      <c r="S1201" s="7" t="s">
        <v>827</v>
      </c>
      <c r="T1201" s="7" t="s">
        <v>828</v>
      </c>
      <c r="U1201" s="7" t="str">
        <f t="shared" si="153"/>
        <v>CLK_DETM_DETIS_SHDS_V</v>
      </c>
      <c r="V1201" s="7" t="s">
        <v>829</v>
      </c>
    </row>
    <row r="1202" spans="1:22">
      <c r="A1202" s="7" t="str">
        <f>TRIM(ETLMetadata!$B1202)</f>
        <v>CLK</v>
      </c>
      <c r="B1202" s="7" t="str">
        <f>TRIM(ETLMetadata!$C1202)</f>
        <v>DETM_DETIS_SHDS</v>
      </c>
      <c r="C1202" s="7" t="str">
        <f>TRIM(ETLMetadata!$F1202)</f>
        <v>SHDS_DOE</v>
      </c>
      <c r="D1202" s="7" t="str">
        <f>TRIM(ETLMetadata!$H1202)</f>
        <v>StringType()</v>
      </c>
      <c r="E1202" s="7" t="str">
        <f t="shared" si="152"/>
        <v>CLK_DETM_DETIS_SHDS</v>
      </c>
      <c r="F1202" s="7" t="str">
        <f t="shared" si="146"/>
        <v>SHDS_DOE</v>
      </c>
      <c r="G1202" s="7" t="s">
        <v>825</v>
      </c>
      <c r="H1202" s="7" t="str">
        <f t="shared" si="147"/>
        <v>CLK_DETM_DETIS_SHDS</v>
      </c>
      <c r="I1202" s="7" t="str">
        <f t="shared" si="148"/>
        <v>SHDS_DOE</v>
      </c>
      <c r="J1202" s="7" t="str">
        <f t="shared" si="149"/>
        <v>DATE</v>
      </c>
      <c r="K1202" s="17" t="s">
        <v>80</v>
      </c>
      <c r="L1202" s="7" t="str">
        <f>TRIM(ETLMetadata!$I1202)</f>
        <v>YYYY-MM-DD</v>
      </c>
      <c r="M1202" s="7" t="str">
        <f t="shared" si="150"/>
        <v>TO_DATE(NULLIF(TRIM(SHDS_DOE),'') , 'YYYY-MM-DD')</v>
      </c>
      <c r="N1202" s="7" t="str">
        <f>TRIM(ETLMetadata!$J1202)</f>
        <v/>
      </c>
      <c r="O1202" s="8" t="str">
        <f>IF(TRIM(Classification!$G1202)="","NOT CONFIDENTIAL",TRIM(Classification!$G1202))</f>
        <v>NOT CONFIDENTIAL</v>
      </c>
      <c r="P1202" s="7" t="str">
        <f t="shared" si="151"/>
        <v>Y</v>
      </c>
      <c r="Q1202" s="7" t="s">
        <v>826</v>
      </c>
      <c r="R1202" s="9">
        <v>2958465</v>
      </c>
      <c r="S1202" s="7" t="s">
        <v>827</v>
      </c>
      <c r="T1202" s="7" t="s">
        <v>828</v>
      </c>
      <c r="U1202" s="7" t="str">
        <f t="shared" si="153"/>
        <v>CLK_DETM_DETIS_SHDS_V</v>
      </c>
      <c r="V1202" s="7" t="s">
        <v>829</v>
      </c>
    </row>
    <row r="1203" spans="1:22">
      <c r="A1203" s="7" t="str">
        <f>TRIM(ETLMetadata!$B1203)</f>
        <v>CLK</v>
      </c>
      <c r="B1203" s="7" t="str">
        <f>TRIM(ETLMetadata!$C1203)</f>
        <v>DETM_DETIS_SHDS</v>
      </c>
      <c r="C1203" s="7" t="str">
        <f>TRIM(ETLMetadata!$F1203)</f>
        <v>SHDS_DOE_ORIG</v>
      </c>
      <c r="D1203" s="7" t="str">
        <f>TRIM(ETLMetadata!$H1203)</f>
        <v>StringType()</v>
      </c>
      <c r="E1203" s="7" t="str">
        <f t="shared" si="152"/>
        <v>CLK_DETM_DETIS_SHDS</v>
      </c>
      <c r="F1203" s="7" t="str">
        <f t="shared" si="146"/>
        <v>SHDS_DOE_ORIG</v>
      </c>
      <c r="G1203" s="7" t="s">
        <v>825</v>
      </c>
      <c r="H1203" s="7" t="str">
        <f t="shared" si="147"/>
        <v>CLK_DETM_DETIS_SHDS</v>
      </c>
      <c r="I1203" s="7" t="str">
        <f t="shared" si="148"/>
        <v>SHDS_DOE_ORIG</v>
      </c>
      <c r="J1203" s="7" t="str">
        <f t="shared" si="149"/>
        <v>INTEGER</v>
      </c>
      <c r="K1203" s="17" t="s">
        <v>90</v>
      </c>
      <c r="L1203" s="7" t="str">
        <f>TRIM(ETLMetadata!$I1203)</f>
        <v/>
      </c>
      <c r="M1203" s="7" t="str">
        <f t="shared" si="150"/>
        <v>CAST(NULLIF(TRIM(SHDS_DOE_ORIG),'') AS INTEGER)</v>
      </c>
      <c r="N1203" s="7" t="str">
        <f>TRIM(ETLMetadata!$J1203)</f>
        <v/>
      </c>
      <c r="O1203" s="8" t="str">
        <f>IF(TRIM(Classification!$G1203)="","NOT CONFIDENTIAL",TRIM(Classification!$G1203))</f>
        <v>NOT CONFIDENTIAL</v>
      </c>
      <c r="P1203" s="7" t="str">
        <f t="shared" si="151"/>
        <v>Y</v>
      </c>
      <c r="Q1203" s="7" t="s">
        <v>826</v>
      </c>
      <c r="R1203" s="9">
        <v>2958465</v>
      </c>
      <c r="S1203" s="7" t="s">
        <v>827</v>
      </c>
      <c r="T1203" s="7" t="s">
        <v>828</v>
      </c>
      <c r="U1203" s="7" t="str">
        <f t="shared" si="153"/>
        <v>CLK_DETM_DETIS_SHDS_V</v>
      </c>
      <c r="V1203" s="7" t="s">
        <v>829</v>
      </c>
    </row>
    <row r="1204" spans="1:22">
      <c r="A1204" s="7" t="str">
        <f>TRIM(ETLMetadata!$B1204)</f>
        <v>CLK</v>
      </c>
      <c r="B1204" s="7" t="str">
        <f>TRIM(ETLMetadata!$C1204)</f>
        <v>DETM_DETIS_SHDS</v>
      </c>
      <c r="C1204" s="7" t="str">
        <f>TRIM(ETLMetadata!$F1204)</f>
        <v>PROCESSING_SEQUENCE</v>
      </c>
      <c r="D1204" s="7" t="str">
        <f>TRIM(ETLMetadata!$H1204)</f>
        <v>StringType()</v>
      </c>
      <c r="E1204" s="7" t="str">
        <f t="shared" si="152"/>
        <v>CLK_DETM_DETIS_SHDS</v>
      </c>
      <c r="F1204" s="7" t="str">
        <f t="shared" si="146"/>
        <v>PROCESSING_SEQUENCE</v>
      </c>
      <c r="G1204" s="7" t="s">
        <v>825</v>
      </c>
      <c r="H1204" s="7" t="str">
        <f t="shared" si="147"/>
        <v>CLK_DETM_DETIS_SHDS</v>
      </c>
      <c r="I1204" s="7" t="str">
        <f t="shared" si="148"/>
        <v>PROCESSING_SEQUENCE</v>
      </c>
      <c r="J1204" s="7" t="str">
        <f t="shared" si="149"/>
        <v>SMALLINT</v>
      </c>
      <c r="K1204" s="7" t="str">
        <f>TRIM(ETLMetadata!$G1204)</f>
        <v>SMALLINT</v>
      </c>
      <c r="L1204" s="7" t="str">
        <f>TRIM(ETLMetadata!$I1204)</f>
        <v/>
      </c>
      <c r="M1204" s="7" t="str">
        <f t="shared" si="150"/>
        <v>CAST(NULLIF(TRIM(PROCESSING_SEQUENCE),'') AS SMALLINT)</v>
      </c>
      <c r="N1204" s="7" t="str">
        <f>TRIM(ETLMetadata!$J1204)</f>
        <v>Y</v>
      </c>
      <c r="O1204" s="8" t="str">
        <f>IF(TRIM(Classification!$G1204)="","NOT CONFIDENTIAL",TRIM(Classification!$G1204))</f>
        <v>NOT CONFIDENTIAL</v>
      </c>
      <c r="P1204" s="7" t="str">
        <f t="shared" si="151"/>
        <v>Y</v>
      </c>
      <c r="Q1204" s="7" t="s">
        <v>826</v>
      </c>
      <c r="R1204" s="9">
        <v>2958465</v>
      </c>
      <c r="S1204" s="7" t="s">
        <v>827</v>
      </c>
      <c r="T1204" s="7" t="s">
        <v>828</v>
      </c>
      <c r="U1204" s="7" t="str">
        <f t="shared" si="153"/>
        <v>CLK_DETM_DETIS_SHDS_V</v>
      </c>
      <c r="V1204" s="7" t="s">
        <v>829</v>
      </c>
    </row>
    <row r="1205" spans="1:22">
      <c r="A1205" s="7" t="str">
        <f>TRIM(ETLMetadata!$B1205)</f>
        <v>CLK</v>
      </c>
      <c r="B1205" s="7" t="str">
        <f>TRIM(ETLMetadata!$C1205)</f>
        <v>DETM_DETIS_SHDS</v>
      </c>
      <c r="C1205" s="7" t="str">
        <f>TRIM(ETLMetadata!$F1205)</f>
        <v>SHDS_AMR_1</v>
      </c>
      <c r="D1205" s="7" t="str">
        <f>TRIM(ETLMetadata!$H1205)</f>
        <v>StringType()</v>
      </c>
      <c r="E1205" s="7" t="str">
        <f t="shared" si="152"/>
        <v>CLK_DETM_DETIS_SHDS</v>
      </c>
      <c r="F1205" s="7" t="str">
        <f t="shared" si="146"/>
        <v>SHDS_AMR_1</v>
      </c>
      <c r="G1205" s="7" t="s">
        <v>825</v>
      </c>
      <c r="H1205" s="7" t="str">
        <f t="shared" si="147"/>
        <v>CLK_DETM_DETIS_SHDS</v>
      </c>
      <c r="I1205" s="7" t="str">
        <f t="shared" si="148"/>
        <v>SHDS_AMR_1</v>
      </c>
      <c r="J1205" s="7" t="str">
        <f t="shared" si="149"/>
        <v>VARCHAR</v>
      </c>
      <c r="K1205" s="7" t="str">
        <f>TRIM(ETLMetadata!$G1205)</f>
        <v>CHAR(4)</v>
      </c>
      <c r="L1205" s="7" t="str">
        <f>TRIM(ETLMetadata!$I1205)</f>
        <v/>
      </c>
      <c r="M1205" s="7" t="str">
        <f t="shared" si="150"/>
        <v>NULLIF(TRIM(SHDS_AMR_1),'')</v>
      </c>
      <c r="N1205" s="7" t="str">
        <f>TRIM(ETLMetadata!$J1205)</f>
        <v/>
      </c>
      <c r="O1205" s="8" t="str">
        <f>IF(TRIM(Classification!$G1205)="","NOT CONFIDENTIAL",TRIM(Classification!$G1205))</f>
        <v>NOT CONFIDENTIAL</v>
      </c>
      <c r="P1205" s="7" t="str">
        <f t="shared" si="151"/>
        <v>Y</v>
      </c>
      <c r="Q1205" s="7" t="s">
        <v>826</v>
      </c>
      <c r="R1205" s="9">
        <v>2958465</v>
      </c>
      <c r="S1205" s="7" t="s">
        <v>827</v>
      </c>
      <c r="T1205" s="7" t="s">
        <v>828</v>
      </c>
      <c r="U1205" s="7" t="str">
        <f t="shared" si="153"/>
        <v>CLK_DETM_DETIS_SHDS_V</v>
      </c>
      <c r="V1205" s="7" t="s">
        <v>829</v>
      </c>
    </row>
    <row r="1206" spans="1:22">
      <c r="A1206" s="7" t="str">
        <f>TRIM(ETLMetadata!$B1206)</f>
        <v>CLK</v>
      </c>
      <c r="B1206" s="7" t="str">
        <f>TRIM(ETLMetadata!$C1206)</f>
        <v>DETM_DETIS_SHDS</v>
      </c>
      <c r="C1206" s="7" t="str">
        <f>TRIM(ETLMetadata!$F1206)</f>
        <v>SHDS_AMR_2</v>
      </c>
      <c r="D1206" s="7" t="str">
        <f>TRIM(ETLMetadata!$H1206)</f>
        <v>StringType()</v>
      </c>
      <c r="E1206" s="7" t="str">
        <f t="shared" si="152"/>
        <v>CLK_DETM_DETIS_SHDS</v>
      </c>
      <c r="F1206" s="7" t="str">
        <f t="shared" si="146"/>
        <v>SHDS_AMR_2</v>
      </c>
      <c r="G1206" s="7" t="s">
        <v>825</v>
      </c>
      <c r="H1206" s="7" t="str">
        <f t="shared" si="147"/>
        <v>CLK_DETM_DETIS_SHDS</v>
      </c>
      <c r="I1206" s="7" t="str">
        <f t="shared" si="148"/>
        <v>SHDS_AMR_2</v>
      </c>
      <c r="J1206" s="7" t="str">
        <f t="shared" si="149"/>
        <v>VARCHAR</v>
      </c>
      <c r="K1206" s="7" t="str">
        <f>TRIM(ETLMetadata!$G1206)</f>
        <v>CHAR(1)</v>
      </c>
      <c r="L1206" s="7" t="str">
        <f>TRIM(ETLMetadata!$I1206)</f>
        <v/>
      </c>
      <c r="M1206" s="7" t="str">
        <f t="shared" si="150"/>
        <v>NULLIF(TRIM(SHDS_AMR_2),'')</v>
      </c>
      <c r="N1206" s="7" t="str">
        <f>TRIM(ETLMetadata!$J1206)</f>
        <v/>
      </c>
      <c r="O1206" s="8" t="str">
        <f>IF(TRIM(Classification!$G1206)="","NOT CONFIDENTIAL",TRIM(Classification!$G1206))</f>
        <v>NOT CONFIDENTIAL</v>
      </c>
      <c r="P1206" s="7" t="str">
        <f t="shared" si="151"/>
        <v>Y</v>
      </c>
      <c r="Q1206" s="7" t="s">
        <v>826</v>
      </c>
      <c r="R1206" s="9">
        <v>2958465</v>
      </c>
      <c r="S1206" s="7" t="s">
        <v>827</v>
      </c>
      <c r="T1206" s="7" t="s">
        <v>828</v>
      </c>
      <c r="U1206" s="7" t="str">
        <f t="shared" si="153"/>
        <v>CLK_DETM_DETIS_SHDS_V</v>
      </c>
      <c r="V1206" s="7" t="s">
        <v>829</v>
      </c>
    </row>
    <row r="1207" spans="1:22">
      <c r="A1207" s="7" t="str">
        <f>TRIM(ETLMetadata!$B1207)</f>
        <v>CLK</v>
      </c>
      <c r="B1207" s="7" t="str">
        <f>TRIM(ETLMetadata!$C1207)</f>
        <v>DETM_DETIS_SHDS</v>
      </c>
      <c r="C1207" s="7" t="str">
        <f>TRIM(ETLMetadata!$F1207)</f>
        <v>SHDS_AMR_3</v>
      </c>
      <c r="D1207" s="7" t="str">
        <f>TRIM(ETLMetadata!$H1207)</f>
        <v>StringType()</v>
      </c>
      <c r="E1207" s="7" t="str">
        <f t="shared" si="152"/>
        <v>CLK_DETM_DETIS_SHDS</v>
      </c>
      <c r="F1207" s="7" t="str">
        <f t="shared" si="146"/>
        <v>SHDS_AMR_3</v>
      </c>
      <c r="G1207" s="7" t="s">
        <v>825</v>
      </c>
      <c r="H1207" s="7" t="str">
        <f t="shared" si="147"/>
        <v>CLK_DETM_DETIS_SHDS</v>
      </c>
      <c r="I1207" s="7" t="str">
        <f t="shared" si="148"/>
        <v>SHDS_AMR_3</v>
      </c>
      <c r="J1207" s="7" t="str">
        <f t="shared" si="149"/>
        <v>VARCHAR</v>
      </c>
      <c r="K1207" s="7" t="str">
        <f>TRIM(ETLMetadata!$G1207)</f>
        <v>CHAR(4)</v>
      </c>
      <c r="L1207" s="7" t="str">
        <f>TRIM(ETLMetadata!$I1207)</f>
        <v/>
      </c>
      <c r="M1207" s="7" t="str">
        <f t="shared" si="150"/>
        <v>NULLIF(TRIM(SHDS_AMR_3),'')</v>
      </c>
      <c r="N1207" s="7" t="str">
        <f>TRIM(ETLMetadata!$J1207)</f>
        <v/>
      </c>
      <c r="O1207" s="8" t="str">
        <f>IF(TRIM(Classification!$G1207)="","NOT CONFIDENTIAL",TRIM(Classification!$G1207))</f>
        <v>NOT CONFIDENTIAL</v>
      </c>
      <c r="P1207" s="7" t="str">
        <f t="shared" si="151"/>
        <v>Y</v>
      </c>
      <c r="Q1207" s="7" t="s">
        <v>826</v>
      </c>
      <c r="R1207" s="9">
        <v>2958465</v>
      </c>
      <c r="S1207" s="7" t="s">
        <v>827</v>
      </c>
      <c r="T1207" s="7" t="s">
        <v>828</v>
      </c>
      <c r="U1207" s="7" t="str">
        <f t="shared" si="153"/>
        <v>CLK_DETM_DETIS_SHDS_V</v>
      </c>
      <c r="V1207" s="7" t="s">
        <v>829</v>
      </c>
    </row>
    <row r="1208" spans="1:22">
      <c r="A1208" s="7" t="str">
        <f>TRIM(ETLMetadata!$B1208)</f>
        <v>CLK</v>
      </c>
      <c r="B1208" s="7" t="str">
        <f>TRIM(ETLMetadata!$C1208)</f>
        <v>DETM_DETIS_SHDS</v>
      </c>
      <c r="C1208" s="7" t="str">
        <f>TRIM(ETLMetadata!$F1208)</f>
        <v>SHDS_BEN_TYPE_CODE</v>
      </c>
      <c r="D1208" s="7" t="str">
        <f>TRIM(ETLMetadata!$H1208)</f>
        <v>StringType()</v>
      </c>
      <c r="E1208" s="7" t="str">
        <f t="shared" si="152"/>
        <v>CLK_DETM_DETIS_SHDS</v>
      </c>
      <c r="F1208" s="7" t="str">
        <f t="shared" si="146"/>
        <v>SHDS_BEN_TYPE_CODE</v>
      </c>
      <c r="G1208" s="7" t="s">
        <v>825</v>
      </c>
      <c r="H1208" s="7" t="str">
        <f t="shared" si="147"/>
        <v>CLK_DETM_DETIS_SHDS</v>
      </c>
      <c r="I1208" s="7" t="str">
        <f t="shared" si="148"/>
        <v>SHDS_BEN_TYPE_CODE</v>
      </c>
      <c r="J1208" s="7" t="str">
        <f t="shared" si="149"/>
        <v>VARCHAR</v>
      </c>
      <c r="K1208" s="7" t="str">
        <f>TRIM(ETLMetadata!$G1208)</f>
        <v>CHAR(3)</v>
      </c>
      <c r="L1208" s="7" t="str">
        <f>TRIM(ETLMetadata!$I1208)</f>
        <v/>
      </c>
      <c r="M1208" s="7" t="str">
        <f t="shared" si="150"/>
        <v>NULLIF(TRIM(SHDS_BEN_TYPE_CODE),'')</v>
      </c>
      <c r="N1208" s="7" t="str">
        <f>TRIM(ETLMetadata!$J1208)</f>
        <v/>
      </c>
      <c r="O1208" s="8" t="str">
        <f>IF(TRIM(Classification!$G1208)="","NOT CONFIDENTIAL",TRIM(Classification!$G1208))</f>
        <v>NOT CONFIDENTIAL</v>
      </c>
      <c r="P1208" s="7" t="str">
        <f t="shared" si="151"/>
        <v>Y</v>
      </c>
      <c r="Q1208" s="7" t="s">
        <v>826</v>
      </c>
      <c r="R1208" s="9">
        <v>2958465</v>
      </c>
      <c r="S1208" s="7" t="s">
        <v>827</v>
      </c>
      <c r="T1208" s="7" t="s">
        <v>828</v>
      </c>
      <c r="U1208" s="7" t="str">
        <f t="shared" si="153"/>
        <v>CLK_DETM_DETIS_SHDS_V</v>
      </c>
      <c r="V1208" s="7" t="s">
        <v>829</v>
      </c>
    </row>
    <row r="1209" spans="1:22">
      <c r="A1209" s="7" t="str">
        <f>TRIM(ETLMetadata!$B1209)</f>
        <v>CLK</v>
      </c>
      <c r="B1209" s="7" t="str">
        <f>TRIM(ETLMetadata!$C1209)</f>
        <v>DETM_DETIS_SHDS</v>
      </c>
      <c r="C1209" s="7" t="str">
        <f>TRIM(ETLMetadata!$F1209)</f>
        <v>SHDS_STS_CODE</v>
      </c>
      <c r="D1209" s="7" t="str">
        <f>TRIM(ETLMetadata!$H1209)</f>
        <v>StringType()</v>
      </c>
      <c r="E1209" s="7" t="str">
        <f t="shared" si="152"/>
        <v>CLK_DETM_DETIS_SHDS</v>
      </c>
      <c r="F1209" s="7" t="str">
        <f t="shared" si="146"/>
        <v>SHDS_STS_CODE</v>
      </c>
      <c r="G1209" s="7" t="s">
        <v>825</v>
      </c>
      <c r="H1209" s="7" t="str">
        <f t="shared" si="147"/>
        <v>CLK_DETM_DETIS_SHDS</v>
      </c>
      <c r="I1209" s="7" t="str">
        <f t="shared" si="148"/>
        <v>SHDS_STS_CODE</v>
      </c>
      <c r="J1209" s="7" t="str">
        <f t="shared" si="149"/>
        <v>VARCHAR</v>
      </c>
      <c r="K1209" s="7" t="str">
        <f>TRIM(ETLMetadata!$G1209)</f>
        <v>CHAR(3)</v>
      </c>
      <c r="L1209" s="7" t="str">
        <f>TRIM(ETLMetadata!$I1209)</f>
        <v/>
      </c>
      <c r="M1209" s="7" t="str">
        <f t="shared" si="150"/>
        <v>NULLIF(TRIM(SHDS_STS_CODE),'')</v>
      </c>
      <c r="N1209" s="7" t="str">
        <f>TRIM(ETLMetadata!$J1209)</f>
        <v/>
      </c>
      <c r="O1209" s="8" t="str">
        <f>IF(TRIM(Classification!$G1209)="","NOT CONFIDENTIAL",TRIM(Classification!$G1209))</f>
        <v>NOT CONFIDENTIAL</v>
      </c>
      <c r="P1209" s="7" t="str">
        <f t="shared" si="151"/>
        <v>Y</v>
      </c>
      <c r="Q1209" s="7" t="s">
        <v>826</v>
      </c>
      <c r="R1209" s="9">
        <v>2958465</v>
      </c>
      <c r="S1209" s="7" t="s">
        <v>827</v>
      </c>
      <c r="T1209" s="7" t="s">
        <v>828</v>
      </c>
      <c r="U1209" s="7" t="str">
        <f t="shared" si="153"/>
        <v>CLK_DETM_DETIS_SHDS_V</v>
      </c>
      <c r="V1209" s="7" t="s">
        <v>829</v>
      </c>
    </row>
    <row r="1210" spans="1:22">
      <c r="A1210" s="7" t="str">
        <f>TRIM(ETLMetadata!$B1210)</f>
        <v>CLK</v>
      </c>
      <c r="B1210" s="7" t="str">
        <f>TRIM(ETLMetadata!$C1210)</f>
        <v>DETM_DETIS_SHDS</v>
      </c>
      <c r="C1210" s="7" t="str">
        <f>TRIM(ETLMetadata!$F1210)</f>
        <v>SHDS_RSN_CODE</v>
      </c>
      <c r="D1210" s="7" t="str">
        <f>TRIM(ETLMetadata!$H1210)</f>
        <v>StringType()</v>
      </c>
      <c r="E1210" s="7" t="str">
        <f t="shared" si="152"/>
        <v>CLK_DETM_DETIS_SHDS</v>
      </c>
      <c r="F1210" s="7" t="str">
        <f t="shared" si="146"/>
        <v>SHDS_RSN_CODE</v>
      </c>
      <c r="G1210" s="7" t="s">
        <v>825</v>
      </c>
      <c r="H1210" s="7" t="str">
        <f t="shared" si="147"/>
        <v>CLK_DETM_DETIS_SHDS</v>
      </c>
      <c r="I1210" s="7" t="str">
        <f t="shared" si="148"/>
        <v>SHDS_RSN_CODE</v>
      </c>
      <c r="J1210" s="7" t="str">
        <f t="shared" si="149"/>
        <v>VARCHAR</v>
      </c>
      <c r="K1210" s="7" t="str">
        <f>TRIM(ETLMetadata!$G1210)</f>
        <v>CHAR(3)</v>
      </c>
      <c r="L1210" s="7" t="str">
        <f>TRIM(ETLMetadata!$I1210)</f>
        <v/>
      </c>
      <c r="M1210" s="7" t="str">
        <f t="shared" si="150"/>
        <v>NULLIF(TRIM(SHDS_RSN_CODE),'')</v>
      </c>
      <c r="N1210" s="7" t="str">
        <f>TRIM(ETLMetadata!$J1210)</f>
        <v/>
      </c>
      <c r="O1210" s="8" t="str">
        <f>IF(TRIM(Classification!$G1210)="","NOT CONFIDENTIAL",TRIM(Classification!$G1210))</f>
        <v>NOT CONFIDENTIAL</v>
      </c>
      <c r="P1210" s="7" t="str">
        <f t="shared" si="151"/>
        <v>Y</v>
      </c>
      <c r="Q1210" s="7" t="s">
        <v>826</v>
      </c>
      <c r="R1210" s="9">
        <v>2958465</v>
      </c>
      <c r="S1210" s="7" t="s">
        <v>827</v>
      </c>
      <c r="T1210" s="7" t="s">
        <v>828</v>
      </c>
      <c r="U1210" s="7" t="str">
        <f t="shared" si="153"/>
        <v>CLK_DETM_DETIS_SHDS_V</v>
      </c>
      <c r="V1210" s="7" t="s">
        <v>829</v>
      </c>
    </row>
    <row r="1211" spans="1:22">
      <c r="A1211" s="7" t="str">
        <f>TRIM(ETLMetadata!$B1211)</f>
        <v>CLK</v>
      </c>
      <c r="B1211" s="7" t="str">
        <f>TRIM(ETLMetadata!$C1211)</f>
        <v>DETM_DETIS_SHDS</v>
      </c>
      <c r="C1211" s="7" t="str">
        <f>TRIM(ETLMetadata!$F1211)</f>
        <v>SHDS_UNIQ_ID</v>
      </c>
      <c r="D1211" s="7" t="str">
        <f>TRIM(ETLMetadata!$H1211)</f>
        <v>StringType()</v>
      </c>
      <c r="E1211" s="7" t="str">
        <f t="shared" si="152"/>
        <v>CLK_DETM_DETIS_SHDS</v>
      </c>
      <c r="F1211" s="7" t="str">
        <f t="shared" si="146"/>
        <v>SHDS_UNIQ_ID</v>
      </c>
      <c r="G1211" s="7" t="s">
        <v>825</v>
      </c>
      <c r="H1211" s="7" t="str">
        <f t="shared" si="147"/>
        <v>CLK_DETM_DETIS_SHDS</v>
      </c>
      <c r="I1211" s="7" t="str">
        <f t="shared" si="148"/>
        <v>SHDS_UNIQ_ID</v>
      </c>
      <c r="J1211" s="7" t="str">
        <f t="shared" si="149"/>
        <v>VARCHAR</v>
      </c>
      <c r="K1211" s="7" t="str">
        <f>TRIM(ETLMetadata!$G1211)</f>
        <v>VARCHAR(8)</v>
      </c>
      <c r="L1211" s="7" t="str">
        <f>TRIM(ETLMetadata!$I1211)</f>
        <v/>
      </c>
      <c r="M1211" s="7" t="str">
        <f t="shared" si="150"/>
        <v>NULLIF(TRIM(SHDS_UNIQ_ID),'')</v>
      </c>
      <c r="N1211" s="7" t="str">
        <f>TRIM(ETLMetadata!$J1211)</f>
        <v/>
      </c>
      <c r="O1211" s="8" t="str">
        <f>IF(TRIM(Classification!$G1211)="","NOT CONFIDENTIAL",TRIM(Classification!$G1211))</f>
        <v>NOT CONFIDENTIAL</v>
      </c>
      <c r="P1211" s="7" t="str">
        <f t="shared" si="151"/>
        <v>Y</v>
      </c>
      <c r="Q1211" s="7" t="s">
        <v>826</v>
      </c>
      <c r="R1211" s="9">
        <v>2958465</v>
      </c>
      <c r="S1211" s="7" t="s">
        <v>827</v>
      </c>
      <c r="T1211" s="7" t="s">
        <v>828</v>
      </c>
      <c r="U1211" s="7" t="str">
        <f t="shared" si="153"/>
        <v>CLK_DETM_DETIS_SHDS_V</v>
      </c>
      <c r="V1211" s="7" t="s">
        <v>829</v>
      </c>
    </row>
    <row r="1212" spans="1:22">
      <c r="A1212" s="7" t="str">
        <f>TRIM(ETLMetadata!$B1212)</f>
        <v>CLK</v>
      </c>
      <c r="B1212" s="7" t="str">
        <f>TRIM(ETLMetadata!$C1212)</f>
        <v>DETM_DETIS_SHDS</v>
      </c>
      <c r="C1212" s="7" t="str">
        <f>TRIM(ETLMetadata!$F1212)</f>
        <v>AMR1_RISL_DTS</v>
      </c>
      <c r="D1212" s="7" t="str">
        <f>TRIM(ETLMetadata!$H1212)</f>
        <v>StringType()</v>
      </c>
      <c r="E1212" s="7" t="str">
        <f t="shared" si="152"/>
        <v>CLK_DETM_DETIS_SHDS</v>
      </c>
      <c r="F1212" s="7" t="str">
        <f t="shared" si="146"/>
        <v>AMR1_RISL_DTS</v>
      </c>
      <c r="G1212" s="7" t="s">
        <v>825</v>
      </c>
      <c r="H1212" s="7" t="str">
        <f t="shared" si="147"/>
        <v>CLK_DETM_DETIS_SHDS</v>
      </c>
      <c r="I1212" s="7" t="str">
        <f t="shared" si="148"/>
        <v>AMR1_RISL_DTS</v>
      </c>
      <c r="J1212" s="7" t="str">
        <f t="shared" si="149"/>
        <v>TIMESTAMP</v>
      </c>
      <c r="K1212" s="7" t="str">
        <f>TRIM(ETLMetadata!$G1212)</f>
        <v>TIMESTAMP(6)</v>
      </c>
      <c r="L1212" s="7" t="str">
        <f>TRIM(ETLMetadata!$I1212)</f>
        <v>YYYY-MM-DDBHH:MI:SS.S(6)</v>
      </c>
      <c r="M1212" s="7" t="str">
        <f t="shared" si="150"/>
        <v>TO_TIMESTAMP_NTZ(NULLIF(TRIM(AMR1_RISL_DTS),''),'YYYY-MM-DD HH24:MI:SS.FF6')</v>
      </c>
      <c r="N1212" s="7" t="str">
        <f>TRIM(ETLMetadata!$J1212)</f>
        <v/>
      </c>
      <c r="O1212" s="8" t="str">
        <f>IF(TRIM(Classification!$G1212)="","NOT CONFIDENTIAL",TRIM(Classification!$G1212))</f>
        <v>NOT CONFIDENTIAL</v>
      </c>
      <c r="P1212" s="7" t="str">
        <f t="shared" si="151"/>
        <v>Y</v>
      </c>
      <c r="Q1212" s="7" t="s">
        <v>826</v>
      </c>
      <c r="R1212" s="9">
        <v>2958465</v>
      </c>
      <c r="S1212" s="7" t="s">
        <v>827</v>
      </c>
      <c r="T1212" s="7" t="s">
        <v>828</v>
      </c>
      <c r="U1212" s="7" t="str">
        <f t="shared" si="153"/>
        <v>CLK_DETM_DETIS_SHDS_V</v>
      </c>
      <c r="V1212" s="7" t="s">
        <v>829</v>
      </c>
    </row>
    <row r="1213" spans="1:22">
      <c r="A1213" s="7" t="str">
        <f>TRIM(ETLMetadata!$B1213)</f>
        <v>CLK</v>
      </c>
      <c r="B1213" s="7" t="str">
        <f>TRIM(ETLMetadata!$C1213)</f>
        <v>DETM_DETIS_SHDS</v>
      </c>
      <c r="C1213" s="7" t="str">
        <f>TRIM(ETLMetadata!$F1213)</f>
        <v>AMR3_RISL_DTS</v>
      </c>
      <c r="D1213" s="7" t="str">
        <f>TRIM(ETLMetadata!$H1213)</f>
        <v>StringType()</v>
      </c>
      <c r="E1213" s="7" t="str">
        <f t="shared" si="152"/>
        <v>CLK_DETM_DETIS_SHDS</v>
      </c>
      <c r="F1213" s="7" t="str">
        <f t="shared" si="146"/>
        <v>AMR3_RISL_DTS</v>
      </c>
      <c r="G1213" s="7" t="s">
        <v>825</v>
      </c>
      <c r="H1213" s="7" t="str">
        <f t="shared" si="147"/>
        <v>CLK_DETM_DETIS_SHDS</v>
      </c>
      <c r="I1213" s="7" t="str">
        <f t="shared" si="148"/>
        <v>AMR3_RISL_DTS</v>
      </c>
      <c r="J1213" s="7" t="str">
        <f t="shared" si="149"/>
        <v>TIMESTAMP</v>
      </c>
      <c r="K1213" s="7" t="str">
        <f>TRIM(ETLMetadata!$G1213)</f>
        <v>TIMESTAMP(6)</v>
      </c>
      <c r="L1213" s="7" t="str">
        <f>TRIM(ETLMetadata!$I1213)</f>
        <v>YYYY-MM-DDBHH:MI:SS.S(6)</v>
      </c>
      <c r="M1213" s="7" t="str">
        <f t="shared" si="150"/>
        <v>TO_TIMESTAMP_NTZ(NULLIF(TRIM(AMR3_RISL_DTS),''),'YYYY-MM-DD HH24:MI:SS.FF6')</v>
      </c>
      <c r="N1213" s="7" t="str">
        <f>TRIM(ETLMetadata!$J1213)</f>
        <v/>
      </c>
      <c r="O1213" s="8" t="str">
        <f>IF(TRIM(Classification!$G1213)="","NOT CONFIDENTIAL",TRIM(Classification!$G1213))</f>
        <v>NOT CONFIDENTIAL</v>
      </c>
      <c r="P1213" s="7" t="str">
        <f t="shared" si="151"/>
        <v>Y</v>
      </c>
      <c r="Q1213" s="7" t="s">
        <v>826</v>
      </c>
      <c r="R1213" s="9">
        <v>2958465</v>
      </c>
      <c r="S1213" s="7" t="s">
        <v>827</v>
      </c>
      <c r="T1213" s="7" t="s">
        <v>828</v>
      </c>
      <c r="U1213" s="7" t="str">
        <f t="shared" si="153"/>
        <v>CLK_DETM_DETIS_SHDS_V</v>
      </c>
      <c r="V1213" s="7" t="s">
        <v>829</v>
      </c>
    </row>
    <row r="1214" spans="1:22">
      <c r="A1214" s="7" t="str">
        <f>TRIM(ETLMetadata!$B1214)</f>
        <v>CLK</v>
      </c>
      <c r="B1214" s="7" t="str">
        <f>TRIM(ETLMetadata!$C1214)</f>
        <v>DETM_DETIS_SHDS</v>
      </c>
      <c r="C1214" s="7" t="str">
        <f>TRIM(ETLMetadata!$F1214)</f>
        <v>EPISODE_ID</v>
      </c>
      <c r="D1214" s="7" t="str">
        <f>TRIM(ETLMetadata!$H1214)</f>
        <v>StringType()</v>
      </c>
      <c r="E1214" s="7" t="str">
        <f t="shared" si="152"/>
        <v>CLK_DETM_DETIS_SHDS</v>
      </c>
      <c r="F1214" s="7" t="str">
        <f t="shared" si="146"/>
        <v>EPISODE_ID</v>
      </c>
      <c r="G1214" s="7" t="s">
        <v>825</v>
      </c>
      <c r="H1214" s="7" t="str">
        <f t="shared" si="147"/>
        <v>CLK_DETM_DETIS_SHDS</v>
      </c>
      <c r="I1214" s="7" t="str">
        <f t="shared" si="148"/>
        <v>EPISODE_ID</v>
      </c>
      <c r="J1214" s="7" t="str">
        <f t="shared" si="149"/>
        <v>INTEGER</v>
      </c>
      <c r="K1214" s="7" t="str">
        <f>TRIM(ETLMetadata!$G1214)</f>
        <v>INTEGER</v>
      </c>
      <c r="L1214" s="7" t="str">
        <f>TRIM(ETLMetadata!$I1214)</f>
        <v/>
      </c>
      <c r="M1214" s="7" t="str">
        <f t="shared" si="150"/>
        <v>CAST(NULLIF(TRIM(EPISODE_ID),'') AS INTEGER)</v>
      </c>
      <c r="N1214" s="7" t="str">
        <f>TRIM(ETLMetadata!$J1214)</f>
        <v/>
      </c>
      <c r="O1214" s="8" t="str">
        <f>IF(TRIM(Classification!$G1214)="","NOT CONFIDENTIAL",TRIM(Classification!$G1214))</f>
        <v>NOT CONFIDENTIAL</v>
      </c>
      <c r="P1214" s="7" t="str">
        <f t="shared" si="151"/>
        <v>Y</v>
      </c>
      <c r="Q1214" s="7" t="s">
        <v>826</v>
      </c>
      <c r="R1214" s="9">
        <v>2958465</v>
      </c>
      <c r="S1214" s="7" t="s">
        <v>827</v>
      </c>
      <c r="T1214" s="7" t="s">
        <v>828</v>
      </c>
      <c r="U1214" s="7" t="str">
        <f t="shared" si="153"/>
        <v>CLK_DETM_DETIS_SHDS_V</v>
      </c>
      <c r="V1214" s="7" t="s">
        <v>829</v>
      </c>
    </row>
    <row r="1215" spans="1:22">
      <c r="A1215" s="7" t="str">
        <f>TRIM(ETLMetadata!$B1215)</f>
        <v>CLK</v>
      </c>
      <c r="B1215" s="7" t="str">
        <f>TRIM(ETLMetadata!$C1215)</f>
        <v>DETM_DETIS_SHDS</v>
      </c>
      <c r="C1215" s="7" t="str">
        <f>TRIM(ETLMetadata!$F1215)</f>
        <v>PARTY_ROLE_ID</v>
      </c>
      <c r="D1215" s="7" t="str">
        <f>TRIM(ETLMetadata!$H1215)</f>
        <v>StringType()</v>
      </c>
      <c r="E1215" s="7" t="str">
        <f t="shared" si="152"/>
        <v>CLK_DETM_DETIS_SHDS</v>
      </c>
      <c r="F1215" s="7" t="str">
        <f t="shared" si="146"/>
        <v>PARTY_ROLE_ID</v>
      </c>
      <c r="G1215" s="7" t="s">
        <v>825</v>
      </c>
      <c r="H1215" s="7" t="str">
        <f t="shared" si="147"/>
        <v>CLK_DETM_DETIS_SHDS</v>
      </c>
      <c r="I1215" s="7" t="str">
        <f t="shared" si="148"/>
        <v>PARTY_ROLE_ID</v>
      </c>
      <c r="J1215" s="7" t="str">
        <f t="shared" si="149"/>
        <v>INTEGER</v>
      </c>
      <c r="K1215" s="7" t="str">
        <f>TRIM(ETLMetadata!$G1215)</f>
        <v>INTEGER</v>
      </c>
      <c r="L1215" s="7" t="str">
        <f>TRIM(ETLMetadata!$I1215)</f>
        <v/>
      </c>
      <c r="M1215" s="7" t="str">
        <f t="shared" si="150"/>
        <v>CAST(NULLIF(TRIM(PARTY_ROLE_ID),'') AS INTEGER)</v>
      </c>
      <c r="N1215" s="7" t="str">
        <f>TRIM(ETLMetadata!$J1215)</f>
        <v/>
      </c>
      <c r="O1215" s="8" t="str">
        <f>IF(TRIM(Classification!$G1215)="","NOT CONFIDENTIAL",TRIM(Classification!$G1215))</f>
        <v>NOT CONFIDENTIAL</v>
      </c>
      <c r="P1215" s="7" t="str">
        <f t="shared" si="151"/>
        <v>Y</v>
      </c>
      <c r="Q1215" s="7" t="s">
        <v>826</v>
      </c>
      <c r="R1215" s="9">
        <v>2958465</v>
      </c>
      <c r="S1215" s="7" t="s">
        <v>827</v>
      </c>
      <c r="T1215" s="7" t="s">
        <v>828</v>
      </c>
      <c r="U1215" s="7" t="str">
        <f t="shared" si="153"/>
        <v>CLK_DETM_DETIS_SHDS_V</v>
      </c>
      <c r="V1215" s="7" t="s">
        <v>829</v>
      </c>
    </row>
    <row r="1216" spans="1:22">
      <c r="A1216" s="7" t="str">
        <f>TRIM(ETLMetadata!$B1216)</f>
        <v>CLK</v>
      </c>
      <c r="B1216" s="7" t="str">
        <f>TRIM(ETLMetadata!$C1216)</f>
        <v>DETM_DETIS_SHDS</v>
      </c>
      <c r="C1216" s="7" t="str">
        <f>TRIM(ETLMetadata!$F1216)</f>
        <v>PAYMENT_TYPE_ID</v>
      </c>
      <c r="D1216" s="7" t="str">
        <f>TRIM(ETLMetadata!$H1216)</f>
        <v>StringType()</v>
      </c>
      <c r="E1216" s="7" t="str">
        <f t="shared" si="152"/>
        <v>CLK_DETM_DETIS_SHDS</v>
      </c>
      <c r="F1216" s="7" t="str">
        <f t="shared" si="146"/>
        <v>PAYMENT_TYPE_ID</v>
      </c>
      <c r="G1216" s="7" t="s">
        <v>825</v>
      </c>
      <c r="H1216" s="7" t="str">
        <f t="shared" si="147"/>
        <v>CLK_DETM_DETIS_SHDS</v>
      </c>
      <c r="I1216" s="7" t="str">
        <f t="shared" si="148"/>
        <v>PAYMENT_TYPE_ID</v>
      </c>
      <c r="J1216" s="7" t="str">
        <f t="shared" si="149"/>
        <v>INTEGER</v>
      </c>
      <c r="K1216" s="7" t="str">
        <f>TRIM(ETLMetadata!$G1216)</f>
        <v>INTEGER</v>
      </c>
      <c r="L1216" s="7" t="str">
        <f>TRIM(ETLMetadata!$I1216)</f>
        <v/>
      </c>
      <c r="M1216" s="7" t="str">
        <f t="shared" si="150"/>
        <v>CAST(NULLIF(TRIM(PAYMENT_TYPE_ID),'') AS INTEGER)</v>
      </c>
      <c r="N1216" s="7" t="str">
        <f>TRIM(ETLMetadata!$J1216)</f>
        <v/>
      </c>
      <c r="O1216" s="8" t="str">
        <f>IF(TRIM(Classification!$G1216)="","NOT CONFIDENTIAL",TRIM(Classification!$G1216))</f>
        <v>NOT CONFIDENTIAL</v>
      </c>
      <c r="P1216" s="7" t="str">
        <f t="shared" si="151"/>
        <v>Y</v>
      </c>
      <c r="Q1216" s="7" t="s">
        <v>826</v>
      </c>
      <c r="R1216" s="9">
        <v>2958465</v>
      </c>
      <c r="S1216" s="7" t="s">
        <v>827</v>
      </c>
      <c r="T1216" s="7" t="s">
        <v>828</v>
      </c>
      <c r="U1216" s="7" t="str">
        <f t="shared" si="153"/>
        <v>CLK_DETM_DETIS_SHDS_V</v>
      </c>
      <c r="V1216" s="7" t="s">
        <v>829</v>
      </c>
    </row>
    <row r="1217" spans="1:22">
      <c r="A1217" s="7" t="str">
        <f>TRIM(ETLMetadata!$B1217)</f>
        <v>CLK</v>
      </c>
      <c r="B1217" s="7" t="str">
        <f>TRIM(ETLMetadata!$C1217)</f>
        <v>DETM_DETIS_SHDS</v>
      </c>
      <c r="C1217" s="7" t="str">
        <f>TRIM(ETLMetadata!$F1217)</f>
        <v>ERROR_COUNT</v>
      </c>
      <c r="D1217" s="7" t="str">
        <f>TRIM(ETLMetadata!$H1217)</f>
        <v>StringType()</v>
      </c>
      <c r="E1217" s="7" t="str">
        <f t="shared" si="152"/>
        <v>CLK_DETM_DETIS_SHDS</v>
      </c>
      <c r="F1217" s="7" t="str">
        <f t="shared" si="146"/>
        <v>ERROR_COUNT</v>
      </c>
      <c r="G1217" s="7" t="s">
        <v>825</v>
      </c>
      <c r="H1217" s="7" t="str">
        <f t="shared" si="147"/>
        <v>CLK_DETM_DETIS_SHDS</v>
      </c>
      <c r="I1217" s="7" t="str">
        <f t="shared" si="148"/>
        <v>ERROR_COUNT</v>
      </c>
      <c r="J1217" s="7" t="str">
        <f t="shared" si="149"/>
        <v>SMALLINT</v>
      </c>
      <c r="K1217" s="7" t="str">
        <f>TRIM(ETLMetadata!$G1217)</f>
        <v>SMALLINT</v>
      </c>
      <c r="L1217" s="7" t="str">
        <f>TRIM(ETLMetadata!$I1217)</f>
        <v/>
      </c>
      <c r="M1217" s="7" t="str">
        <f t="shared" si="150"/>
        <v>CAST(NULLIF(TRIM(ERROR_COUNT),'') AS SMALLINT)</v>
      </c>
      <c r="N1217" s="7" t="str">
        <f>TRIM(ETLMetadata!$J1217)</f>
        <v/>
      </c>
      <c r="O1217" s="8" t="str">
        <f>IF(TRIM(Classification!$G1217)="","NOT CONFIDENTIAL",TRIM(Classification!$G1217))</f>
        <v>NOT CONFIDENTIAL</v>
      </c>
      <c r="P1217" s="7" t="str">
        <f t="shared" si="151"/>
        <v>Y</v>
      </c>
      <c r="Q1217" s="7" t="s">
        <v>826</v>
      </c>
      <c r="R1217" s="9">
        <v>2958465</v>
      </c>
      <c r="S1217" s="7" t="s">
        <v>827</v>
      </c>
      <c r="T1217" s="7" t="s">
        <v>828</v>
      </c>
      <c r="U1217" s="7" t="str">
        <f t="shared" si="153"/>
        <v>CLK_DETM_DETIS_SHDS_V</v>
      </c>
      <c r="V1217" s="7" t="s">
        <v>829</v>
      </c>
    </row>
    <row r="1218" spans="1:22">
      <c r="A1218" s="7" t="str">
        <f>TRIM(ETLMetadata!$B1218)</f>
        <v>CLK</v>
      </c>
      <c r="B1218" s="7" t="str">
        <f>TRIM(ETLMetadata!$C1218)</f>
        <v>DETM_DETIS_SHDS</v>
      </c>
      <c r="C1218" s="7" t="str">
        <f>TRIM(ETLMetadata!$F1218)</f>
        <v>Start_Date</v>
      </c>
      <c r="D1218" s="7" t="str">
        <f>TRIM(ETLMetadata!$H1218)</f>
        <v>StringType()</v>
      </c>
      <c r="E1218" s="7" t="str">
        <f t="shared" si="152"/>
        <v>CLK_DETM_DETIS_SHDS</v>
      </c>
      <c r="F1218" s="7" t="str">
        <f t="shared" si="146"/>
        <v>STRT_DT</v>
      </c>
      <c r="G1218" s="7" t="s">
        <v>825</v>
      </c>
      <c r="H1218" s="7" t="str">
        <f t="shared" si="147"/>
        <v>CLK_DETM_DETIS_SHDS</v>
      </c>
      <c r="I1218" s="7" t="str">
        <f t="shared" si="148"/>
        <v>STRT_DT</v>
      </c>
      <c r="J1218" s="7" t="str">
        <f t="shared" si="149"/>
        <v>DATE</v>
      </c>
      <c r="K1218" s="7" t="str">
        <f>TRIM(ETLMetadata!$G1218)</f>
        <v>DATE</v>
      </c>
      <c r="L1218" s="7" t="str">
        <f>TRIM(ETLMetadata!$I1218)</f>
        <v>YYYY-MM-DD</v>
      </c>
      <c r="M1218" s="7" t="str">
        <f t="shared" si="150"/>
        <v>TO_DATE(NULLIF(TRIM(STRT_DT),'') , 'YYYY-MM-DD')</v>
      </c>
      <c r="N1218" s="7" t="str">
        <f>TRIM(ETLMetadata!$J1218)</f>
        <v/>
      </c>
      <c r="O1218" s="8" t="str">
        <f>IF(TRIM(Classification!$G1218)="","NOT CONFIDENTIAL",TRIM(Classification!$G1218))</f>
        <v>NOT CONFIDENTIAL</v>
      </c>
      <c r="P1218" s="7" t="str">
        <f t="shared" si="151"/>
        <v>N</v>
      </c>
      <c r="Q1218" s="7" t="s">
        <v>826</v>
      </c>
      <c r="R1218" s="9">
        <v>2958465</v>
      </c>
      <c r="S1218" s="7" t="s">
        <v>827</v>
      </c>
      <c r="T1218" s="7" t="s">
        <v>828</v>
      </c>
      <c r="U1218" s="7" t="str">
        <f t="shared" si="153"/>
        <v>CLK_DETM_DETIS_SHDS_V</v>
      </c>
      <c r="V1218" s="7" t="s">
        <v>829</v>
      </c>
    </row>
    <row r="1219" spans="1:22">
      <c r="A1219" s="7" t="str">
        <f>TRIM(ETLMetadata!$B1219)</f>
        <v>CLK</v>
      </c>
      <c r="B1219" s="7" t="str">
        <f>TRIM(ETLMetadata!$C1219)</f>
        <v>DETM_DETIS_SHDS</v>
      </c>
      <c r="C1219" s="7" t="str">
        <f>TRIM(ETLMetadata!$F1219)</f>
        <v>End_Date</v>
      </c>
      <c r="D1219" s="7" t="str">
        <f>TRIM(ETLMetadata!$H1219)</f>
        <v>StringType()</v>
      </c>
      <c r="E1219" s="7" t="str">
        <f t="shared" si="152"/>
        <v>CLK_DETM_DETIS_SHDS</v>
      </c>
      <c r="F1219" s="7" t="str">
        <f t="shared" ref="F1219:F1282" si="154">IF($C1219="Start_Date","STRT_DT",
 IF($C1219="End_Date","END_DT",
 IF($C1219="Record_Deleted_Flag","RCRD_DEL_IND",
 IF($C1219="IsDeleted","RCRD_DEL_IND",
 $C1219
))))</f>
        <v>END_DT</v>
      </c>
      <c r="G1219" s="7" t="s">
        <v>825</v>
      </c>
      <c r="H1219" s="7" t="str">
        <f t="shared" ref="H1219:H1282" si="155">CONCATENATE($A1219,"_",$B1219)</f>
        <v>CLK_DETM_DETIS_SHDS</v>
      </c>
      <c r="I1219" s="7" t="str">
        <f t="shared" ref="I1219:I1282" si="156">IF($C1219="Start_Date","STRT_DT",
 IF($C1219="End_Date","END_DT",
 IF($C1219="Record_Deleted_Flag","RCRD_DEL_IND",
 IF($C1219="IsDeleted","RCRD_DEL_IND",
 $C1219
))))</f>
        <v>END_DT</v>
      </c>
      <c r="J1219" s="7" t="str">
        <f t="shared" ref="J1219:J1282" si="157">IF(LEFT(TRIM($K1219),7)="VARCHAR","VARCHAR",
 IF(LEFT(TRIM($K1219),4)="CHAR","VARCHAR",
 IF(TRIM($K1219)="TIMESTAMP(6)","TIMESTAMP",
 IF(TRIM($K1219)="DATE","DATE",
 IF(TRIM($K1219)="BYTEINT","SMALLINT",
 IF(TRIM($K1219)="SMALLINT","SMALLINT",
 IF(TRIM($K1219)="INTEGER","INTEGER",
 IF(TRIM($K1219)="BIGINT","INTEGER",
 IF(LEFT(TRIM($K1219),7)="DECIMAL",TRIM($K1219),
 IF(TRIM($K1219)="BOOLEAN","BOOLEAN",
 IF(TRIM($K1219)="DOUBLE","DOUBLE",
 IF(TRIM($K1219)="FLOAT","FLOAT",
 IF(TRIM($K1219)="REAL","REAL",
 IF(LEFT(TRIM($K1219),6)="STRUCT","VARIANT",
 IF(LEFT(TRIM($K1219),5)="ARRAY","VARIANT",
 IF(LEFT(TRIM($K1219),3)="MAP","VARIANT",
 IF(LEFT(TRIM($K1219),3)="ROW","VARIANT",
 "NONE"
)))))))))))))))))</f>
        <v>DATE</v>
      </c>
      <c r="K1219" s="7" t="str">
        <f>TRIM(ETLMetadata!$G1219)</f>
        <v>DATE</v>
      </c>
      <c r="L1219" s="7" t="str">
        <f>TRIM(ETLMetadata!$I1219)</f>
        <v>YYYY-MM-DD</v>
      </c>
      <c r="M1219" s="7" t="str">
        <f t="shared" ref="M1219:M1282" si="158">IF(LEFT($K1219,7)="VARCHAR","NULLIF(TRIM("&amp;$I1219&amp;"),'')",
 IF(LEFT($K1219,4)="CHAR","NULLIF(TRIM("&amp;$I1219&amp;"),'')",
 IF(LEFT($K1219,7)="DECIMAL","CAST(NULLIF(TRIM("&amp;$I1219&amp;"),'') AS "&amp;$K1219&amp;")",
 IF($K1219="TIMESTAMP(6)","TO_TIMESTAMP_NTZ(NULLIF(TRIM("&amp;$I1219&amp;"),''),'YYYY-MM-DD HH24:MI:SS.FF6')",
 IF($K1219="DATE","TO_DATE(NULLIF(TRIM("&amp;$I1219&amp;"),'') , 'YYYY-MM-DD')",
 IF($K1219="BIGINT","CAST(NULLIF(TRIM("&amp;I1219&amp;"),'') AS INTEGER)",
 IF($K1219="BYTEINT","CAST(NULLIF(TRIM("&amp;I1219&amp;"),'') AS SMALLINT)",
 IF($K1219="SMALLINT","CAST(NULLIF(TRIM("&amp;I1219&amp;"),'') AS SMALLINT)",
 IF($K1219="INTEGER","CAST(NULLIF(TRIM("&amp;I1219&amp;"),'') AS INTEGER)",
 IF($K1219="BOOLEAN","CAST(NULLIF(TRIM("&amp;I1219&amp;"),'') AS BOOLEAN)",
 IF($K1219="DOUBLE","CAST(NULLIF(TRIM("&amp;I1219&amp;"),'') AS DOUBLE)",
 IF($K1219="FLOAT","CAST(NULLIF(TRIM("&amp;I1219&amp;"),'') AS FLOAT)",
 IF($K1219="REAL","CAST(NULLIF(TRIM("&amp;I1219&amp;"),'') AS REAL)",
 IF(OR($K1219="STRUCT",$K1219="ARRAY",$K1219="MAP",$K1219="ROW"),"CAST(NULLIF(TRIM("&amp;I1219&amp;"),'') AS VARIANT)",
 "NONE"
))))))))))))))</f>
        <v>TO_DATE(NULLIF(TRIM(END_DT),'') , 'YYYY-MM-DD')</v>
      </c>
      <c r="N1219" s="7" t="str">
        <f>TRIM(ETLMetadata!$J1219)</f>
        <v/>
      </c>
      <c r="O1219" s="8" t="str">
        <f>IF(TRIM(Classification!$G1219)="","NOT CONFIDENTIAL",TRIM(Classification!$G1219))</f>
        <v>NOT CONFIDENTIAL</v>
      </c>
      <c r="P1219" s="7" t="str">
        <f t="shared" ref="P1219:P1282" si="159">IF($C1219="Start_Date","N",
 IF($C1219="End_Date","N",
 IF($C1219="Record_Deleted_Flag","N",
 IF($C1219="IsDeleted","N",
 "Y"
))))</f>
        <v>N</v>
      </c>
      <c r="Q1219" s="7" t="s">
        <v>826</v>
      </c>
      <c r="R1219" s="9">
        <v>2958465</v>
      </c>
      <c r="S1219" s="7" t="s">
        <v>827</v>
      </c>
      <c r="T1219" s="7" t="s">
        <v>828</v>
      </c>
      <c r="U1219" s="7" t="str">
        <f t="shared" si="153"/>
        <v>CLK_DETM_DETIS_SHDS_V</v>
      </c>
      <c r="V1219" s="7" t="s">
        <v>829</v>
      </c>
    </row>
    <row r="1220" spans="1:22">
      <c r="A1220" s="7" t="str">
        <f>TRIM(ETLMetadata!$B1220)</f>
        <v>CLK</v>
      </c>
      <c r="B1220" s="7" t="str">
        <f>TRIM(ETLMetadata!$C1220)</f>
        <v>DETM_DETIS_SHDS</v>
      </c>
      <c r="C1220" s="7" t="str">
        <f>TRIM(ETLMetadata!$F1220)</f>
        <v>Record_Deleted_Flag</v>
      </c>
      <c r="D1220" s="7" t="str">
        <f>TRIM(ETLMetadata!$H1220)</f>
        <v>StringType()</v>
      </c>
      <c r="E1220" s="7" t="str">
        <f t="shared" si="152"/>
        <v>CLK_DETM_DETIS_SHDS</v>
      </c>
      <c r="F1220" s="7" t="str">
        <f t="shared" si="154"/>
        <v>RCRD_DEL_IND</v>
      </c>
      <c r="G1220" s="7" t="s">
        <v>825</v>
      </c>
      <c r="H1220" s="7" t="str">
        <f t="shared" si="155"/>
        <v>CLK_DETM_DETIS_SHDS</v>
      </c>
      <c r="I1220" s="7" t="str">
        <f t="shared" si="156"/>
        <v>RCRD_DEL_IND</v>
      </c>
      <c r="J1220" s="7" t="str">
        <f t="shared" si="157"/>
        <v>SMALLINT</v>
      </c>
      <c r="K1220" s="7" t="str">
        <f>TRIM(ETLMetadata!$G1220)</f>
        <v>BYTEINT</v>
      </c>
      <c r="L1220" s="7" t="str">
        <f>TRIM(ETLMetadata!$I1220)</f>
        <v/>
      </c>
      <c r="M1220" s="7" t="str">
        <f t="shared" si="158"/>
        <v>CAST(NULLIF(TRIM(RCRD_DEL_IND),'') AS SMALLINT)</v>
      </c>
      <c r="N1220" s="7" t="str">
        <f>TRIM(ETLMetadata!$J1220)</f>
        <v/>
      </c>
      <c r="O1220" s="8" t="str">
        <f>IF(TRIM(Classification!$G1220)="","NOT CONFIDENTIAL",TRIM(Classification!$G1220))</f>
        <v>NOT CONFIDENTIAL</v>
      </c>
      <c r="P1220" s="7" t="str">
        <f t="shared" si="159"/>
        <v>N</v>
      </c>
      <c r="Q1220" s="7" t="s">
        <v>826</v>
      </c>
      <c r="R1220" s="9">
        <v>2958465</v>
      </c>
      <c r="S1220" s="7" t="s">
        <v>827</v>
      </c>
      <c r="T1220" s="7" t="s">
        <v>828</v>
      </c>
      <c r="U1220" s="7" t="str">
        <f t="shared" si="153"/>
        <v>CLK_DETM_DETIS_SHDS_V</v>
      </c>
      <c r="V1220" s="7" t="s">
        <v>829</v>
      </c>
    </row>
    <row r="1221" spans="1:22">
      <c r="A1221" s="7" t="str">
        <f>TRIM(ETLMetadata!$B1221)</f>
        <v>CLK</v>
      </c>
      <c r="B1221" s="7" t="str">
        <f>TRIM(ETLMetadata!$C1221)</f>
        <v>DETM_DETIS_TLDS</v>
      </c>
      <c r="C1221" s="7" t="str">
        <f>TRIM(ETLMetadata!$F1221)</f>
        <v>EXTRACT_DATE</v>
      </c>
      <c r="D1221" s="7" t="str">
        <f>TRIM(ETLMetadata!$H1221)</f>
        <v>StringType()</v>
      </c>
      <c r="E1221" s="7" t="str">
        <f t="shared" si="152"/>
        <v>CLK_DETM_DETIS_TLDS</v>
      </c>
      <c r="F1221" s="7" t="str">
        <f t="shared" si="154"/>
        <v>EXTRACT_DATE</v>
      </c>
      <c r="G1221" s="7" t="s">
        <v>825</v>
      </c>
      <c r="H1221" s="7" t="str">
        <f t="shared" si="155"/>
        <v>CLK_DETM_DETIS_TLDS</v>
      </c>
      <c r="I1221" s="7" t="str">
        <f t="shared" si="156"/>
        <v>EXTRACT_DATE</v>
      </c>
      <c r="J1221" s="7" t="str">
        <f t="shared" si="157"/>
        <v>DATE</v>
      </c>
      <c r="K1221" s="7" t="str">
        <f>TRIM(ETLMetadata!$G1221)</f>
        <v>DATE</v>
      </c>
      <c r="L1221" s="7" t="str">
        <f>TRIM(ETLMetadata!$I1221)</f>
        <v>YYYY-MM-DD</v>
      </c>
      <c r="M1221" s="7" t="str">
        <f t="shared" si="158"/>
        <v>TO_DATE(NULLIF(TRIM(EXTRACT_DATE),'') , 'YYYY-MM-DD')</v>
      </c>
      <c r="N1221" s="7" t="str">
        <f>TRIM(ETLMetadata!$J1221)</f>
        <v/>
      </c>
      <c r="O1221" s="8" t="str">
        <f>IF(TRIM(Classification!$G1221)="","NOT CONFIDENTIAL",TRIM(Classification!$G1221))</f>
        <v>NOT CONFIDENTIAL</v>
      </c>
      <c r="P1221" s="7" t="str">
        <f t="shared" si="159"/>
        <v>Y</v>
      </c>
      <c r="Q1221" s="7" t="s">
        <v>826</v>
      </c>
      <c r="R1221" s="9">
        <v>2958465</v>
      </c>
      <c r="S1221" s="7" t="s">
        <v>827</v>
      </c>
      <c r="T1221" s="7" t="s">
        <v>828</v>
      </c>
      <c r="U1221" s="7" t="str">
        <f t="shared" si="153"/>
        <v>CLK_DETM_DETIS_TLDS_V</v>
      </c>
      <c r="V1221" s="7" t="s">
        <v>829</v>
      </c>
    </row>
    <row r="1222" spans="1:22">
      <c r="A1222" s="7" t="str">
        <f>TRIM(ETLMetadata!$B1222)</f>
        <v>CLK</v>
      </c>
      <c r="B1222" s="7" t="str">
        <f>TRIM(ETLMetadata!$C1222)</f>
        <v>DETM_DETIS_TLDS</v>
      </c>
      <c r="C1222" s="7" t="str">
        <f>TRIM(ETLMetadata!$F1222)</f>
        <v>LOGICAL_DELETE_DATE</v>
      </c>
      <c r="D1222" s="7" t="str">
        <f>TRIM(ETLMetadata!$H1222)</f>
        <v>StringType()</v>
      </c>
      <c r="E1222" s="7" t="str">
        <f t="shared" si="152"/>
        <v>CLK_DETM_DETIS_TLDS</v>
      </c>
      <c r="F1222" s="7" t="str">
        <f t="shared" si="154"/>
        <v>LOGICAL_DELETE_DATE</v>
      </c>
      <c r="G1222" s="7" t="s">
        <v>825</v>
      </c>
      <c r="H1222" s="7" t="str">
        <f t="shared" si="155"/>
        <v>CLK_DETM_DETIS_TLDS</v>
      </c>
      <c r="I1222" s="7" t="str">
        <f t="shared" si="156"/>
        <v>LOGICAL_DELETE_DATE</v>
      </c>
      <c r="J1222" s="7" t="str">
        <f t="shared" si="157"/>
        <v>DATE</v>
      </c>
      <c r="K1222" s="7" t="str">
        <f>TRIM(ETLMetadata!$G1222)</f>
        <v>DATE</v>
      </c>
      <c r="L1222" s="7" t="str">
        <f>TRIM(ETLMetadata!$I1222)</f>
        <v>YYYY-MM-DD</v>
      </c>
      <c r="M1222" s="7" t="str">
        <f t="shared" si="158"/>
        <v>TO_DATE(NULLIF(TRIM(LOGICAL_DELETE_DATE),'') , 'YYYY-MM-DD')</v>
      </c>
      <c r="N1222" s="7" t="str">
        <f>TRIM(ETLMetadata!$J1222)</f>
        <v/>
      </c>
      <c r="O1222" s="8" t="str">
        <f>IF(TRIM(Classification!$G1222)="","NOT CONFIDENTIAL",TRIM(Classification!$G1222))</f>
        <v>NOT CONFIDENTIAL</v>
      </c>
      <c r="P1222" s="7" t="str">
        <f t="shared" si="159"/>
        <v>Y</v>
      </c>
      <c r="Q1222" s="7" t="s">
        <v>826</v>
      </c>
      <c r="R1222" s="9">
        <v>2958465</v>
      </c>
      <c r="S1222" s="7" t="s">
        <v>827</v>
      </c>
      <c r="T1222" s="7" t="s">
        <v>828</v>
      </c>
      <c r="U1222" s="7" t="str">
        <f t="shared" si="153"/>
        <v>CLK_DETM_DETIS_TLDS_V</v>
      </c>
      <c r="V1222" s="7" t="s">
        <v>829</v>
      </c>
    </row>
    <row r="1223" spans="1:22">
      <c r="A1223" s="7" t="str">
        <f>TRIM(ETLMetadata!$B1223)</f>
        <v>CLK</v>
      </c>
      <c r="B1223" s="7" t="str">
        <f>TRIM(ETLMetadata!$C1223)</f>
        <v>DETM_DETIS_TLDS</v>
      </c>
      <c r="C1223" s="7" t="str">
        <f>TRIM(ETLMetadata!$F1223)</f>
        <v>ENVIRONMENT_ID</v>
      </c>
      <c r="D1223" s="7" t="str">
        <f>TRIM(ETLMetadata!$H1223)</f>
        <v>StringType()</v>
      </c>
      <c r="E1223" s="7" t="str">
        <f t="shared" si="152"/>
        <v>CLK_DETM_DETIS_TLDS</v>
      </c>
      <c r="F1223" s="7" t="str">
        <f t="shared" si="154"/>
        <v>ENVIRONMENT_ID</v>
      </c>
      <c r="G1223" s="7" t="s">
        <v>825</v>
      </c>
      <c r="H1223" s="7" t="str">
        <f t="shared" si="155"/>
        <v>CLK_DETM_DETIS_TLDS</v>
      </c>
      <c r="I1223" s="7" t="str">
        <f t="shared" si="156"/>
        <v>ENVIRONMENT_ID</v>
      </c>
      <c r="J1223" s="7" t="str">
        <f t="shared" si="157"/>
        <v>VARCHAR</v>
      </c>
      <c r="K1223" s="7" t="str">
        <f>TRIM(ETLMetadata!$G1223)</f>
        <v>CHAR(1)</v>
      </c>
      <c r="L1223" s="7" t="str">
        <f>TRIM(ETLMetadata!$I1223)</f>
        <v/>
      </c>
      <c r="M1223" s="7" t="str">
        <f t="shared" si="158"/>
        <v>NULLIF(TRIM(ENVIRONMENT_ID),'')</v>
      </c>
      <c r="N1223" s="7" t="str">
        <f>TRIM(ETLMetadata!$J1223)</f>
        <v>Y</v>
      </c>
      <c r="O1223" s="8" t="str">
        <f>IF(TRIM(Classification!$G1223)="","NOT CONFIDENTIAL",TRIM(Classification!$G1223))</f>
        <v>NOT CONFIDENTIAL</v>
      </c>
      <c r="P1223" s="7" t="str">
        <f t="shared" si="159"/>
        <v>Y</v>
      </c>
      <c r="Q1223" s="7" t="s">
        <v>826</v>
      </c>
      <c r="R1223" s="9">
        <v>2958465</v>
      </c>
      <c r="S1223" s="7" t="s">
        <v>827</v>
      </c>
      <c r="T1223" s="7" t="s">
        <v>828</v>
      </c>
      <c r="U1223" s="7" t="str">
        <f t="shared" si="153"/>
        <v>CLK_DETM_DETIS_TLDS_V</v>
      </c>
      <c r="V1223" s="7" t="s">
        <v>829</v>
      </c>
    </row>
    <row r="1224" spans="1:22">
      <c r="A1224" s="7" t="str">
        <f>TRIM(ETLMetadata!$B1224)</f>
        <v>CLK</v>
      </c>
      <c r="B1224" s="7" t="str">
        <f>TRIM(ETLMetadata!$C1224)</f>
        <v>DETM_DETIS_TLDS</v>
      </c>
      <c r="C1224" s="7" t="str">
        <f>TRIM(ETLMetadata!$F1224)</f>
        <v>PERSON_ID</v>
      </c>
      <c r="D1224" s="7" t="str">
        <f>TRIM(ETLMetadata!$H1224)</f>
        <v>StringType()</v>
      </c>
      <c r="E1224" s="7" t="str">
        <f t="shared" si="152"/>
        <v>CLK_DETM_DETIS_TLDS</v>
      </c>
      <c r="F1224" s="7" t="str">
        <f t="shared" si="154"/>
        <v>PERSON_ID</v>
      </c>
      <c r="G1224" s="7" t="s">
        <v>825</v>
      </c>
      <c r="H1224" s="7" t="str">
        <f t="shared" si="155"/>
        <v>CLK_DETM_DETIS_TLDS</v>
      </c>
      <c r="I1224" s="7" t="str">
        <f t="shared" si="156"/>
        <v>PERSON_ID</v>
      </c>
      <c r="J1224" s="7" t="str">
        <f t="shared" si="157"/>
        <v>INTEGER</v>
      </c>
      <c r="K1224" s="7" t="str">
        <f>TRIM(ETLMetadata!$G1224)</f>
        <v>INTEGER</v>
      </c>
      <c r="L1224" s="7" t="str">
        <f>TRIM(ETLMetadata!$I1224)</f>
        <v/>
      </c>
      <c r="M1224" s="7" t="str">
        <f t="shared" si="158"/>
        <v>CAST(NULLIF(TRIM(PERSON_ID),'') AS INTEGER)</v>
      </c>
      <c r="N1224" s="7" t="str">
        <f>TRIM(ETLMetadata!$J1224)</f>
        <v>Y</v>
      </c>
      <c r="O1224" s="8" t="str">
        <f>IF(TRIM(Classification!$G1224)="","NOT CONFIDENTIAL",TRIM(Classification!$G1224))</f>
        <v>PERSONAL_IDENTITYINFOINDIRECT</v>
      </c>
      <c r="P1224" s="7" t="str">
        <f t="shared" si="159"/>
        <v>Y</v>
      </c>
      <c r="Q1224" s="7" t="s">
        <v>826</v>
      </c>
      <c r="R1224" s="9">
        <v>2958465</v>
      </c>
      <c r="S1224" s="7" t="s">
        <v>827</v>
      </c>
      <c r="T1224" s="7" t="s">
        <v>828</v>
      </c>
      <c r="U1224" s="7" t="str">
        <f t="shared" si="153"/>
        <v>CLK_DETM_DETIS_TLDS_V</v>
      </c>
      <c r="V1224" s="7" t="s">
        <v>829</v>
      </c>
    </row>
    <row r="1225" spans="1:22">
      <c r="A1225" s="7" t="str">
        <f>TRIM(ETLMetadata!$B1225)</f>
        <v>CLK</v>
      </c>
      <c r="B1225" s="7" t="str">
        <f>TRIM(ETLMetadata!$C1225)</f>
        <v>DETM_DETIS_TLDS</v>
      </c>
      <c r="C1225" s="7" t="str">
        <f>TRIM(ETLMetadata!$F1225)</f>
        <v>TLDS_DOE</v>
      </c>
      <c r="D1225" s="7" t="str">
        <f>TRIM(ETLMetadata!$H1225)</f>
        <v>StringType()</v>
      </c>
      <c r="E1225" s="7" t="str">
        <f t="shared" si="152"/>
        <v>CLK_DETM_DETIS_TLDS</v>
      </c>
      <c r="F1225" s="7" t="str">
        <f t="shared" si="154"/>
        <v>TLDS_DOE</v>
      </c>
      <c r="G1225" s="7" t="s">
        <v>825</v>
      </c>
      <c r="H1225" s="7" t="str">
        <f t="shared" si="155"/>
        <v>CLK_DETM_DETIS_TLDS</v>
      </c>
      <c r="I1225" s="7" t="str">
        <f t="shared" si="156"/>
        <v>TLDS_DOE</v>
      </c>
      <c r="J1225" s="7" t="str">
        <f t="shared" si="157"/>
        <v>DATE</v>
      </c>
      <c r="K1225" s="17" t="s">
        <v>80</v>
      </c>
      <c r="L1225" s="7" t="str">
        <f>TRIM(ETLMetadata!$I1225)</f>
        <v>YYYY-MM-DD</v>
      </c>
      <c r="M1225" s="7" t="str">
        <f t="shared" si="158"/>
        <v>TO_DATE(NULLIF(TRIM(TLDS_DOE),'') , 'YYYY-MM-DD')</v>
      </c>
      <c r="N1225" s="7" t="str">
        <f>TRIM(ETLMetadata!$J1225)</f>
        <v/>
      </c>
      <c r="O1225" s="8" t="str">
        <f>IF(TRIM(Classification!$G1225)="","NOT CONFIDENTIAL",TRIM(Classification!$G1225))</f>
        <v>NOT CONFIDENTIAL</v>
      </c>
      <c r="P1225" s="7" t="str">
        <f t="shared" si="159"/>
        <v>Y</v>
      </c>
      <c r="Q1225" s="7" t="s">
        <v>826</v>
      </c>
      <c r="R1225" s="9">
        <v>2958465</v>
      </c>
      <c r="S1225" s="7" t="s">
        <v>827</v>
      </c>
      <c r="T1225" s="7" t="s">
        <v>828</v>
      </c>
      <c r="U1225" s="7" t="str">
        <f t="shared" si="153"/>
        <v>CLK_DETM_DETIS_TLDS_V</v>
      </c>
      <c r="V1225" s="7" t="s">
        <v>829</v>
      </c>
    </row>
    <row r="1226" spans="1:22">
      <c r="A1226" s="7" t="str">
        <f>TRIM(ETLMetadata!$B1226)</f>
        <v>CLK</v>
      </c>
      <c r="B1226" s="7" t="str">
        <f>TRIM(ETLMetadata!$C1226)</f>
        <v>DETM_DETIS_TLDS</v>
      </c>
      <c r="C1226" s="7" t="str">
        <f>TRIM(ETLMetadata!$F1226)</f>
        <v>TLDS_DOE_ORIG</v>
      </c>
      <c r="D1226" s="7" t="str">
        <f>TRIM(ETLMetadata!$H1226)</f>
        <v>StringType()</v>
      </c>
      <c r="E1226" s="7" t="str">
        <f t="shared" si="152"/>
        <v>CLK_DETM_DETIS_TLDS</v>
      </c>
      <c r="F1226" s="7" t="str">
        <f t="shared" si="154"/>
        <v>TLDS_DOE_ORIG</v>
      </c>
      <c r="G1226" s="7" t="s">
        <v>825</v>
      </c>
      <c r="H1226" s="7" t="str">
        <f t="shared" si="155"/>
        <v>CLK_DETM_DETIS_TLDS</v>
      </c>
      <c r="I1226" s="7" t="str">
        <f t="shared" si="156"/>
        <v>TLDS_DOE_ORIG</v>
      </c>
      <c r="J1226" s="7" t="str">
        <f t="shared" si="157"/>
        <v>INTEGER</v>
      </c>
      <c r="K1226" s="17" t="s">
        <v>90</v>
      </c>
      <c r="L1226" s="7" t="str">
        <f>TRIM(ETLMetadata!$I1226)</f>
        <v/>
      </c>
      <c r="M1226" s="7" t="str">
        <f t="shared" si="158"/>
        <v>CAST(NULLIF(TRIM(TLDS_DOE_ORIG),'') AS INTEGER)</v>
      </c>
      <c r="N1226" s="7" t="str">
        <f>TRIM(ETLMetadata!$J1226)</f>
        <v/>
      </c>
      <c r="O1226" s="8" t="str">
        <f>IF(TRIM(Classification!$G1226)="","NOT CONFIDENTIAL",TRIM(Classification!$G1226))</f>
        <v>NOT CONFIDENTIAL</v>
      </c>
      <c r="P1226" s="7" t="str">
        <f t="shared" si="159"/>
        <v>Y</v>
      </c>
      <c r="Q1226" s="7" t="s">
        <v>826</v>
      </c>
      <c r="R1226" s="9">
        <v>2958465</v>
      </c>
      <c r="S1226" s="7" t="s">
        <v>827</v>
      </c>
      <c r="T1226" s="7" t="s">
        <v>828</v>
      </c>
      <c r="U1226" s="7" t="str">
        <f t="shared" si="153"/>
        <v>CLK_DETM_DETIS_TLDS_V</v>
      </c>
      <c r="V1226" s="7" t="s">
        <v>829</v>
      </c>
    </row>
    <row r="1227" spans="1:22">
      <c r="A1227" s="7" t="str">
        <f>TRIM(ETLMetadata!$B1227)</f>
        <v>CLK</v>
      </c>
      <c r="B1227" s="7" t="str">
        <f>TRIM(ETLMetadata!$C1227)</f>
        <v>DETM_DETIS_TLDS</v>
      </c>
      <c r="C1227" s="7" t="str">
        <f>TRIM(ETLMetadata!$F1227)</f>
        <v>PROCESSING_SEQUENCE</v>
      </c>
      <c r="D1227" s="7" t="str">
        <f>TRIM(ETLMetadata!$H1227)</f>
        <v>StringType()</v>
      </c>
      <c r="E1227" s="7" t="str">
        <f t="shared" si="152"/>
        <v>CLK_DETM_DETIS_TLDS</v>
      </c>
      <c r="F1227" s="7" t="str">
        <f t="shared" si="154"/>
        <v>PROCESSING_SEQUENCE</v>
      </c>
      <c r="G1227" s="7" t="s">
        <v>825</v>
      </c>
      <c r="H1227" s="7" t="str">
        <f t="shared" si="155"/>
        <v>CLK_DETM_DETIS_TLDS</v>
      </c>
      <c r="I1227" s="7" t="str">
        <f t="shared" si="156"/>
        <v>PROCESSING_SEQUENCE</v>
      </c>
      <c r="J1227" s="7" t="str">
        <f t="shared" si="157"/>
        <v>SMALLINT</v>
      </c>
      <c r="K1227" s="7" t="str">
        <f>TRIM(ETLMetadata!$G1227)</f>
        <v>SMALLINT</v>
      </c>
      <c r="L1227" s="7" t="str">
        <f>TRIM(ETLMetadata!$I1227)</f>
        <v/>
      </c>
      <c r="M1227" s="7" t="str">
        <f t="shared" si="158"/>
        <v>CAST(NULLIF(TRIM(PROCESSING_SEQUENCE),'') AS SMALLINT)</v>
      </c>
      <c r="N1227" s="7" t="str">
        <f>TRIM(ETLMetadata!$J1227)</f>
        <v>Y</v>
      </c>
      <c r="O1227" s="8" t="str">
        <f>IF(TRIM(Classification!$G1227)="","NOT CONFIDENTIAL",TRIM(Classification!$G1227))</f>
        <v>NOT CONFIDENTIAL</v>
      </c>
      <c r="P1227" s="7" t="str">
        <f t="shared" si="159"/>
        <v>Y</v>
      </c>
      <c r="Q1227" s="7" t="s">
        <v>826</v>
      </c>
      <c r="R1227" s="9">
        <v>2958465</v>
      </c>
      <c r="S1227" s="7" t="s">
        <v>827</v>
      </c>
      <c r="T1227" s="7" t="s">
        <v>828</v>
      </c>
      <c r="U1227" s="7" t="str">
        <f t="shared" si="153"/>
        <v>CLK_DETM_DETIS_TLDS_V</v>
      </c>
      <c r="V1227" s="7" t="s">
        <v>829</v>
      </c>
    </row>
    <row r="1228" spans="1:22">
      <c r="A1228" s="7" t="str">
        <f>TRIM(ETLMetadata!$B1228)</f>
        <v>CLK</v>
      </c>
      <c r="B1228" s="7" t="str">
        <f>TRIM(ETLMetadata!$C1228)</f>
        <v>DETM_DETIS_TLDS</v>
      </c>
      <c r="C1228" s="7" t="str">
        <f>TRIM(ETLMetadata!$F1228)</f>
        <v>TLDS_AMR_1</v>
      </c>
      <c r="D1228" s="7" t="str">
        <f>TRIM(ETLMetadata!$H1228)</f>
        <v>StringType()</v>
      </c>
      <c r="E1228" s="7" t="str">
        <f t="shared" si="152"/>
        <v>CLK_DETM_DETIS_TLDS</v>
      </c>
      <c r="F1228" s="7" t="str">
        <f t="shared" si="154"/>
        <v>TLDS_AMR_1</v>
      </c>
      <c r="G1228" s="7" t="s">
        <v>825</v>
      </c>
      <c r="H1228" s="7" t="str">
        <f t="shared" si="155"/>
        <v>CLK_DETM_DETIS_TLDS</v>
      </c>
      <c r="I1228" s="7" t="str">
        <f t="shared" si="156"/>
        <v>TLDS_AMR_1</v>
      </c>
      <c r="J1228" s="7" t="str">
        <f t="shared" si="157"/>
        <v>VARCHAR</v>
      </c>
      <c r="K1228" s="7" t="str">
        <f>TRIM(ETLMetadata!$G1228)</f>
        <v>CHAR(4)</v>
      </c>
      <c r="L1228" s="7" t="str">
        <f>TRIM(ETLMetadata!$I1228)</f>
        <v/>
      </c>
      <c r="M1228" s="7" t="str">
        <f t="shared" si="158"/>
        <v>NULLIF(TRIM(TLDS_AMR_1),'')</v>
      </c>
      <c r="N1228" s="7" t="str">
        <f>TRIM(ETLMetadata!$J1228)</f>
        <v/>
      </c>
      <c r="O1228" s="8" t="str">
        <f>IF(TRIM(Classification!$G1228)="","NOT CONFIDENTIAL",TRIM(Classification!$G1228))</f>
        <v>NOT CONFIDENTIAL</v>
      </c>
      <c r="P1228" s="7" t="str">
        <f t="shared" si="159"/>
        <v>Y</v>
      </c>
      <c r="Q1228" s="7" t="s">
        <v>826</v>
      </c>
      <c r="R1228" s="9">
        <v>2958465</v>
      </c>
      <c r="S1228" s="7" t="s">
        <v>827</v>
      </c>
      <c r="T1228" s="7" t="s">
        <v>828</v>
      </c>
      <c r="U1228" s="7" t="str">
        <f t="shared" si="153"/>
        <v>CLK_DETM_DETIS_TLDS_V</v>
      </c>
      <c r="V1228" s="7" t="s">
        <v>829</v>
      </c>
    </row>
    <row r="1229" spans="1:22">
      <c r="A1229" s="7" t="str">
        <f>TRIM(ETLMetadata!$B1229)</f>
        <v>CLK</v>
      </c>
      <c r="B1229" s="7" t="str">
        <f>TRIM(ETLMetadata!$C1229)</f>
        <v>DETM_DETIS_TLDS</v>
      </c>
      <c r="C1229" s="7" t="str">
        <f>TRIM(ETLMetadata!$F1229)</f>
        <v>TLDS_AMR_2</v>
      </c>
      <c r="D1229" s="7" t="str">
        <f>TRIM(ETLMetadata!$H1229)</f>
        <v>StringType()</v>
      </c>
      <c r="E1229" s="7" t="str">
        <f t="shared" si="152"/>
        <v>CLK_DETM_DETIS_TLDS</v>
      </c>
      <c r="F1229" s="7" t="str">
        <f t="shared" si="154"/>
        <v>TLDS_AMR_2</v>
      </c>
      <c r="G1229" s="7" t="s">
        <v>825</v>
      </c>
      <c r="H1229" s="7" t="str">
        <f t="shared" si="155"/>
        <v>CLK_DETM_DETIS_TLDS</v>
      </c>
      <c r="I1229" s="7" t="str">
        <f t="shared" si="156"/>
        <v>TLDS_AMR_2</v>
      </c>
      <c r="J1229" s="7" t="str">
        <f t="shared" si="157"/>
        <v>VARCHAR</v>
      </c>
      <c r="K1229" s="7" t="str">
        <f>TRIM(ETLMetadata!$G1229)</f>
        <v>CHAR(1)</v>
      </c>
      <c r="L1229" s="7" t="str">
        <f>TRIM(ETLMetadata!$I1229)</f>
        <v/>
      </c>
      <c r="M1229" s="7" t="str">
        <f t="shared" si="158"/>
        <v>NULLIF(TRIM(TLDS_AMR_2),'')</v>
      </c>
      <c r="N1229" s="7" t="str">
        <f>TRIM(ETLMetadata!$J1229)</f>
        <v/>
      </c>
      <c r="O1229" s="8" t="str">
        <f>IF(TRIM(Classification!$G1229)="","NOT CONFIDENTIAL",TRIM(Classification!$G1229))</f>
        <v>NOT CONFIDENTIAL</v>
      </c>
      <c r="P1229" s="7" t="str">
        <f t="shared" si="159"/>
        <v>Y</v>
      </c>
      <c r="Q1229" s="7" t="s">
        <v>826</v>
      </c>
      <c r="R1229" s="9">
        <v>2958465</v>
      </c>
      <c r="S1229" s="7" t="s">
        <v>827</v>
      </c>
      <c r="T1229" s="7" t="s">
        <v>828</v>
      </c>
      <c r="U1229" s="7" t="str">
        <f t="shared" si="153"/>
        <v>CLK_DETM_DETIS_TLDS_V</v>
      </c>
      <c r="V1229" s="7" t="s">
        <v>829</v>
      </c>
    </row>
    <row r="1230" spans="1:22">
      <c r="A1230" s="7" t="str">
        <f>TRIM(ETLMetadata!$B1230)</f>
        <v>CLK</v>
      </c>
      <c r="B1230" s="7" t="str">
        <f>TRIM(ETLMetadata!$C1230)</f>
        <v>DETM_DETIS_TLDS</v>
      </c>
      <c r="C1230" s="7" t="str">
        <f>TRIM(ETLMetadata!$F1230)</f>
        <v>TLDS_AMR_3</v>
      </c>
      <c r="D1230" s="7" t="str">
        <f>TRIM(ETLMetadata!$H1230)</f>
        <v>StringType()</v>
      </c>
      <c r="E1230" s="7" t="str">
        <f t="shared" si="152"/>
        <v>CLK_DETM_DETIS_TLDS</v>
      </c>
      <c r="F1230" s="7" t="str">
        <f t="shared" si="154"/>
        <v>TLDS_AMR_3</v>
      </c>
      <c r="G1230" s="7" t="s">
        <v>825</v>
      </c>
      <c r="H1230" s="7" t="str">
        <f t="shared" si="155"/>
        <v>CLK_DETM_DETIS_TLDS</v>
      </c>
      <c r="I1230" s="7" t="str">
        <f t="shared" si="156"/>
        <v>TLDS_AMR_3</v>
      </c>
      <c r="J1230" s="7" t="str">
        <f t="shared" si="157"/>
        <v>VARCHAR</v>
      </c>
      <c r="K1230" s="7" t="str">
        <f>TRIM(ETLMetadata!$G1230)</f>
        <v>CHAR(4)</v>
      </c>
      <c r="L1230" s="7" t="str">
        <f>TRIM(ETLMetadata!$I1230)</f>
        <v/>
      </c>
      <c r="M1230" s="7" t="str">
        <f t="shared" si="158"/>
        <v>NULLIF(TRIM(TLDS_AMR_3),'')</v>
      </c>
      <c r="N1230" s="7" t="str">
        <f>TRIM(ETLMetadata!$J1230)</f>
        <v/>
      </c>
      <c r="O1230" s="8" t="str">
        <f>IF(TRIM(Classification!$G1230)="","NOT CONFIDENTIAL",TRIM(Classification!$G1230))</f>
        <v>NOT CONFIDENTIAL</v>
      </c>
      <c r="P1230" s="7" t="str">
        <f t="shared" si="159"/>
        <v>Y</v>
      </c>
      <c r="Q1230" s="7" t="s">
        <v>826</v>
      </c>
      <c r="R1230" s="9">
        <v>2958465</v>
      </c>
      <c r="S1230" s="7" t="s">
        <v>827</v>
      </c>
      <c r="T1230" s="7" t="s">
        <v>828</v>
      </c>
      <c r="U1230" s="7" t="str">
        <f t="shared" si="153"/>
        <v>CLK_DETM_DETIS_TLDS_V</v>
      </c>
      <c r="V1230" s="7" t="s">
        <v>829</v>
      </c>
    </row>
    <row r="1231" spans="1:22">
      <c r="A1231" s="7" t="str">
        <f>TRIM(ETLMetadata!$B1231)</f>
        <v>CLK</v>
      </c>
      <c r="B1231" s="7" t="str">
        <f>TRIM(ETLMetadata!$C1231)</f>
        <v>DETM_DETIS_TLDS</v>
      </c>
      <c r="C1231" s="7" t="str">
        <f>TRIM(ETLMetadata!$F1231)</f>
        <v>TLDS_BEN_TYPE_CODE</v>
      </c>
      <c r="D1231" s="7" t="str">
        <f>TRIM(ETLMetadata!$H1231)</f>
        <v>StringType()</v>
      </c>
      <c r="E1231" s="7" t="str">
        <f t="shared" si="152"/>
        <v>CLK_DETM_DETIS_TLDS</v>
      </c>
      <c r="F1231" s="7" t="str">
        <f t="shared" si="154"/>
        <v>TLDS_BEN_TYPE_CODE</v>
      </c>
      <c r="G1231" s="7" t="s">
        <v>825</v>
      </c>
      <c r="H1231" s="7" t="str">
        <f t="shared" si="155"/>
        <v>CLK_DETM_DETIS_TLDS</v>
      </c>
      <c r="I1231" s="7" t="str">
        <f t="shared" si="156"/>
        <v>TLDS_BEN_TYPE_CODE</v>
      </c>
      <c r="J1231" s="7" t="str">
        <f t="shared" si="157"/>
        <v>VARCHAR</v>
      </c>
      <c r="K1231" s="7" t="str">
        <f>TRIM(ETLMetadata!$G1231)</f>
        <v>CHAR(3)</v>
      </c>
      <c r="L1231" s="7" t="str">
        <f>TRIM(ETLMetadata!$I1231)</f>
        <v/>
      </c>
      <c r="M1231" s="7" t="str">
        <f t="shared" si="158"/>
        <v>NULLIF(TRIM(TLDS_BEN_TYPE_CODE),'')</v>
      </c>
      <c r="N1231" s="7" t="str">
        <f>TRIM(ETLMetadata!$J1231)</f>
        <v/>
      </c>
      <c r="O1231" s="8" t="str">
        <f>IF(TRIM(Classification!$G1231)="","NOT CONFIDENTIAL",TRIM(Classification!$G1231))</f>
        <v>NOT CONFIDENTIAL</v>
      </c>
      <c r="P1231" s="7" t="str">
        <f t="shared" si="159"/>
        <v>Y</v>
      </c>
      <c r="Q1231" s="7" t="s">
        <v>826</v>
      </c>
      <c r="R1231" s="9">
        <v>2958465</v>
      </c>
      <c r="S1231" s="7" t="s">
        <v>827</v>
      </c>
      <c r="T1231" s="7" t="s">
        <v>828</v>
      </c>
      <c r="U1231" s="7" t="str">
        <f t="shared" si="153"/>
        <v>CLK_DETM_DETIS_TLDS_V</v>
      </c>
      <c r="V1231" s="7" t="s">
        <v>829</v>
      </c>
    </row>
    <row r="1232" spans="1:22">
      <c r="A1232" s="7" t="str">
        <f>TRIM(ETLMetadata!$B1232)</f>
        <v>CLK</v>
      </c>
      <c r="B1232" s="7" t="str">
        <f>TRIM(ETLMetadata!$C1232)</f>
        <v>DETM_DETIS_TLDS</v>
      </c>
      <c r="C1232" s="7" t="str">
        <f>TRIM(ETLMetadata!$F1232)</f>
        <v>TLDS_STS_CODE</v>
      </c>
      <c r="D1232" s="7" t="str">
        <f>TRIM(ETLMetadata!$H1232)</f>
        <v>StringType()</v>
      </c>
      <c r="E1232" s="7" t="str">
        <f t="shared" si="152"/>
        <v>CLK_DETM_DETIS_TLDS</v>
      </c>
      <c r="F1232" s="7" t="str">
        <f t="shared" si="154"/>
        <v>TLDS_STS_CODE</v>
      </c>
      <c r="G1232" s="7" t="s">
        <v>825</v>
      </c>
      <c r="H1232" s="7" t="str">
        <f t="shared" si="155"/>
        <v>CLK_DETM_DETIS_TLDS</v>
      </c>
      <c r="I1232" s="7" t="str">
        <f t="shared" si="156"/>
        <v>TLDS_STS_CODE</v>
      </c>
      <c r="J1232" s="7" t="str">
        <f t="shared" si="157"/>
        <v>VARCHAR</v>
      </c>
      <c r="K1232" s="7" t="str">
        <f>TRIM(ETLMetadata!$G1232)</f>
        <v>CHAR(3)</v>
      </c>
      <c r="L1232" s="7" t="str">
        <f>TRIM(ETLMetadata!$I1232)</f>
        <v/>
      </c>
      <c r="M1232" s="7" t="str">
        <f t="shared" si="158"/>
        <v>NULLIF(TRIM(TLDS_STS_CODE),'')</v>
      </c>
      <c r="N1232" s="7" t="str">
        <f>TRIM(ETLMetadata!$J1232)</f>
        <v/>
      </c>
      <c r="O1232" s="8" t="str">
        <f>IF(TRIM(Classification!$G1232)="","NOT CONFIDENTIAL",TRIM(Classification!$G1232))</f>
        <v>NOT CONFIDENTIAL</v>
      </c>
      <c r="P1232" s="7" t="str">
        <f t="shared" si="159"/>
        <v>Y</v>
      </c>
      <c r="Q1232" s="7" t="s">
        <v>826</v>
      </c>
      <c r="R1232" s="9">
        <v>2958465</v>
      </c>
      <c r="S1232" s="7" t="s">
        <v>827</v>
      </c>
      <c r="T1232" s="7" t="s">
        <v>828</v>
      </c>
      <c r="U1232" s="7" t="str">
        <f t="shared" si="153"/>
        <v>CLK_DETM_DETIS_TLDS_V</v>
      </c>
      <c r="V1232" s="7" t="s">
        <v>829</v>
      </c>
    </row>
    <row r="1233" spans="1:22">
      <c r="A1233" s="7" t="str">
        <f>TRIM(ETLMetadata!$B1233)</f>
        <v>CLK</v>
      </c>
      <c r="B1233" s="7" t="str">
        <f>TRIM(ETLMetadata!$C1233)</f>
        <v>DETM_DETIS_TLDS</v>
      </c>
      <c r="C1233" s="7" t="str">
        <f>TRIM(ETLMetadata!$F1233)</f>
        <v>TLDS_RSN_CODE</v>
      </c>
      <c r="D1233" s="7" t="str">
        <f>TRIM(ETLMetadata!$H1233)</f>
        <v>StringType()</v>
      </c>
      <c r="E1233" s="7" t="str">
        <f t="shared" si="152"/>
        <v>CLK_DETM_DETIS_TLDS</v>
      </c>
      <c r="F1233" s="7" t="str">
        <f t="shared" si="154"/>
        <v>TLDS_RSN_CODE</v>
      </c>
      <c r="G1233" s="7" t="s">
        <v>825</v>
      </c>
      <c r="H1233" s="7" t="str">
        <f t="shared" si="155"/>
        <v>CLK_DETM_DETIS_TLDS</v>
      </c>
      <c r="I1233" s="7" t="str">
        <f t="shared" si="156"/>
        <v>TLDS_RSN_CODE</v>
      </c>
      <c r="J1233" s="7" t="str">
        <f t="shared" si="157"/>
        <v>VARCHAR</v>
      </c>
      <c r="K1233" s="7" t="str">
        <f>TRIM(ETLMetadata!$G1233)</f>
        <v>CHAR(3)</v>
      </c>
      <c r="L1233" s="7" t="str">
        <f>TRIM(ETLMetadata!$I1233)</f>
        <v/>
      </c>
      <c r="M1233" s="7" t="str">
        <f t="shared" si="158"/>
        <v>NULLIF(TRIM(TLDS_RSN_CODE),'')</v>
      </c>
      <c r="N1233" s="7" t="str">
        <f>TRIM(ETLMetadata!$J1233)</f>
        <v/>
      </c>
      <c r="O1233" s="8" t="str">
        <f>IF(TRIM(Classification!$G1233)="","NOT CONFIDENTIAL",TRIM(Classification!$G1233))</f>
        <v>NOT CONFIDENTIAL</v>
      </c>
      <c r="P1233" s="7" t="str">
        <f t="shared" si="159"/>
        <v>Y</v>
      </c>
      <c r="Q1233" s="7" t="s">
        <v>826</v>
      </c>
      <c r="R1233" s="9">
        <v>2958465</v>
      </c>
      <c r="S1233" s="7" t="s">
        <v>827</v>
      </c>
      <c r="T1233" s="7" t="s">
        <v>828</v>
      </c>
      <c r="U1233" s="7" t="str">
        <f t="shared" si="153"/>
        <v>CLK_DETM_DETIS_TLDS_V</v>
      </c>
      <c r="V1233" s="7" t="s">
        <v>829</v>
      </c>
    </row>
    <row r="1234" spans="1:22">
      <c r="A1234" s="7" t="str">
        <f>TRIM(ETLMetadata!$B1234)</f>
        <v>CLK</v>
      </c>
      <c r="B1234" s="7" t="str">
        <f>TRIM(ETLMetadata!$C1234)</f>
        <v>DETM_DETIS_TLDS</v>
      </c>
      <c r="C1234" s="7" t="str">
        <f>TRIM(ETLMetadata!$F1234)</f>
        <v>AMR1_RISL_DTS</v>
      </c>
      <c r="D1234" s="7" t="str">
        <f>TRIM(ETLMetadata!$H1234)</f>
        <v>StringType()</v>
      </c>
      <c r="E1234" s="7" t="str">
        <f t="shared" si="152"/>
        <v>CLK_DETM_DETIS_TLDS</v>
      </c>
      <c r="F1234" s="7" t="str">
        <f t="shared" si="154"/>
        <v>AMR1_RISL_DTS</v>
      </c>
      <c r="G1234" s="7" t="s">
        <v>825</v>
      </c>
      <c r="H1234" s="7" t="str">
        <f t="shared" si="155"/>
        <v>CLK_DETM_DETIS_TLDS</v>
      </c>
      <c r="I1234" s="7" t="str">
        <f t="shared" si="156"/>
        <v>AMR1_RISL_DTS</v>
      </c>
      <c r="J1234" s="7" t="str">
        <f t="shared" si="157"/>
        <v>TIMESTAMP</v>
      </c>
      <c r="K1234" s="7" t="str">
        <f>TRIM(ETLMetadata!$G1234)</f>
        <v>TIMESTAMP(6)</v>
      </c>
      <c r="L1234" s="7" t="str">
        <f>TRIM(ETLMetadata!$I1234)</f>
        <v>YYYY-MM-DDBHH:MI:SS.S(6)</v>
      </c>
      <c r="M1234" s="7" t="str">
        <f t="shared" si="158"/>
        <v>TO_TIMESTAMP_NTZ(NULLIF(TRIM(AMR1_RISL_DTS),''),'YYYY-MM-DD HH24:MI:SS.FF6')</v>
      </c>
      <c r="N1234" s="7" t="str">
        <f>TRIM(ETLMetadata!$J1234)</f>
        <v/>
      </c>
      <c r="O1234" s="8" t="str">
        <f>IF(TRIM(Classification!$G1234)="","NOT CONFIDENTIAL",TRIM(Classification!$G1234))</f>
        <v>NOT CONFIDENTIAL</v>
      </c>
      <c r="P1234" s="7" t="str">
        <f t="shared" si="159"/>
        <v>Y</v>
      </c>
      <c r="Q1234" s="7" t="s">
        <v>826</v>
      </c>
      <c r="R1234" s="9">
        <v>2958465</v>
      </c>
      <c r="S1234" s="7" t="s">
        <v>827</v>
      </c>
      <c r="T1234" s="7" t="s">
        <v>828</v>
      </c>
      <c r="U1234" s="7" t="str">
        <f t="shared" si="153"/>
        <v>CLK_DETM_DETIS_TLDS_V</v>
      </c>
      <c r="V1234" s="7" t="s">
        <v>829</v>
      </c>
    </row>
    <row r="1235" spans="1:22">
      <c r="A1235" s="7" t="str">
        <f>TRIM(ETLMetadata!$B1235)</f>
        <v>CLK</v>
      </c>
      <c r="B1235" s="7" t="str">
        <f>TRIM(ETLMetadata!$C1235)</f>
        <v>DETM_DETIS_TLDS</v>
      </c>
      <c r="C1235" s="7" t="str">
        <f>TRIM(ETLMetadata!$F1235)</f>
        <v>AMR3_RISL_DTS</v>
      </c>
      <c r="D1235" s="7" t="str">
        <f>TRIM(ETLMetadata!$H1235)</f>
        <v>StringType()</v>
      </c>
      <c r="E1235" s="7" t="str">
        <f t="shared" si="152"/>
        <v>CLK_DETM_DETIS_TLDS</v>
      </c>
      <c r="F1235" s="7" t="str">
        <f t="shared" si="154"/>
        <v>AMR3_RISL_DTS</v>
      </c>
      <c r="G1235" s="7" t="s">
        <v>825</v>
      </c>
      <c r="H1235" s="7" t="str">
        <f t="shared" si="155"/>
        <v>CLK_DETM_DETIS_TLDS</v>
      </c>
      <c r="I1235" s="7" t="str">
        <f t="shared" si="156"/>
        <v>AMR3_RISL_DTS</v>
      </c>
      <c r="J1235" s="7" t="str">
        <f t="shared" si="157"/>
        <v>TIMESTAMP</v>
      </c>
      <c r="K1235" s="7" t="str">
        <f>TRIM(ETLMetadata!$G1235)</f>
        <v>TIMESTAMP(6)</v>
      </c>
      <c r="L1235" s="7" t="str">
        <f>TRIM(ETLMetadata!$I1235)</f>
        <v>YYYY-MM-DDBHH:MI:SS.S(6)</v>
      </c>
      <c r="M1235" s="7" t="str">
        <f t="shared" si="158"/>
        <v>TO_TIMESTAMP_NTZ(NULLIF(TRIM(AMR3_RISL_DTS),''),'YYYY-MM-DD HH24:MI:SS.FF6')</v>
      </c>
      <c r="N1235" s="7" t="str">
        <f>TRIM(ETLMetadata!$J1235)</f>
        <v/>
      </c>
      <c r="O1235" s="8" t="str">
        <f>IF(TRIM(Classification!$G1235)="","NOT CONFIDENTIAL",TRIM(Classification!$G1235))</f>
        <v>NOT CONFIDENTIAL</v>
      </c>
      <c r="P1235" s="7" t="str">
        <f t="shared" si="159"/>
        <v>Y</v>
      </c>
      <c r="Q1235" s="7" t="s">
        <v>826</v>
      </c>
      <c r="R1235" s="9">
        <v>2958465</v>
      </c>
      <c r="S1235" s="7" t="s">
        <v>827</v>
      </c>
      <c r="T1235" s="7" t="s">
        <v>828</v>
      </c>
      <c r="U1235" s="7" t="str">
        <f t="shared" si="153"/>
        <v>CLK_DETM_DETIS_TLDS_V</v>
      </c>
      <c r="V1235" s="7" t="s">
        <v>829</v>
      </c>
    </row>
    <row r="1236" spans="1:22">
      <c r="A1236" s="7" t="str">
        <f>TRIM(ETLMetadata!$B1236)</f>
        <v>CLK</v>
      </c>
      <c r="B1236" s="7" t="str">
        <f>TRIM(ETLMetadata!$C1236)</f>
        <v>DETM_DETIS_TLDS</v>
      </c>
      <c r="C1236" s="7" t="str">
        <f>TRIM(ETLMetadata!$F1236)</f>
        <v>PARTY_ROLE_ID</v>
      </c>
      <c r="D1236" s="7" t="str">
        <f>TRIM(ETLMetadata!$H1236)</f>
        <v>StringType()</v>
      </c>
      <c r="E1236" s="7" t="str">
        <f t="shared" si="152"/>
        <v>CLK_DETM_DETIS_TLDS</v>
      </c>
      <c r="F1236" s="7" t="str">
        <f t="shared" si="154"/>
        <v>PARTY_ROLE_ID</v>
      </c>
      <c r="G1236" s="7" t="s">
        <v>825</v>
      </c>
      <c r="H1236" s="7" t="str">
        <f t="shared" si="155"/>
        <v>CLK_DETM_DETIS_TLDS</v>
      </c>
      <c r="I1236" s="7" t="str">
        <f t="shared" si="156"/>
        <v>PARTY_ROLE_ID</v>
      </c>
      <c r="J1236" s="7" t="str">
        <f t="shared" si="157"/>
        <v>INTEGER</v>
      </c>
      <c r="K1236" s="7" t="str">
        <f>TRIM(ETLMetadata!$G1236)</f>
        <v>INTEGER</v>
      </c>
      <c r="L1236" s="7" t="str">
        <f>TRIM(ETLMetadata!$I1236)</f>
        <v/>
      </c>
      <c r="M1236" s="7" t="str">
        <f t="shared" si="158"/>
        <v>CAST(NULLIF(TRIM(PARTY_ROLE_ID),'') AS INTEGER)</v>
      </c>
      <c r="N1236" s="7" t="str">
        <f>TRIM(ETLMetadata!$J1236)</f>
        <v/>
      </c>
      <c r="O1236" s="8" t="str">
        <f>IF(TRIM(Classification!$G1236)="","NOT CONFIDENTIAL",TRIM(Classification!$G1236))</f>
        <v>NOT CONFIDENTIAL</v>
      </c>
      <c r="P1236" s="7" t="str">
        <f t="shared" si="159"/>
        <v>Y</v>
      </c>
      <c r="Q1236" s="7" t="s">
        <v>826</v>
      </c>
      <c r="R1236" s="9">
        <v>2958465</v>
      </c>
      <c r="S1236" s="7" t="s">
        <v>827</v>
      </c>
      <c r="T1236" s="7" t="s">
        <v>828</v>
      </c>
      <c r="U1236" s="7" t="str">
        <f t="shared" si="153"/>
        <v>CLK_DETM_DETIS_TLDS_V</v>
      </c>
      <c r="V1236" s="7" t="s">
        <v>829</v>
      </c>
    </row>
    <row r="1237" spans="1:22">
      <c r="A1237" s="7" t="str">
        <f>TRIM(ETLMetadata!$B1237)</f>
        <v>CLK</v>
      </c>
      <c r="B1237" s="7" t="str">
        <f>TRIM(ETLMetadata!$C1237)</f>
        <v>DETM_DETIS_TLDS</v>
      </c>
      <c r="C1237" s="7" t="str">
        <f>TRIM(ETLMetadata!$F1237)</f>
        <v>PAYMENT_TYPE_ID</v>
      </c>
      <c r="D1237" s="7" t="str">
        <f>TRIM(ETLMetadata!$H1237)</f>
        <v>StringType()</v>
      </c>
      <c r="E1237" s="7" t="str">
        <f t="shared" si="152"/>
        <v>CLK_DETM_DETIS_TLDS</v>
      </c>
      <c r="F1237" s="7" t="str">
        <f t="shared" si="154"/>
        <v>PAYMENT_TYPE_ID</v>
      </c>
      <c r="G1237" s="7" t="s">
        <v>825</v>
      </c>
      <c r="H1237" s="7" t="str">
        <f t="shared" si="155"/>
        <v>CLK_DETM_DETIS_TLDS</v>
      </c>
      <c r="I1237" s="7" t="str">
        <f t="shared" si="156"/>
        <v>PAYMENT_TYPE_ID</v>
      </c>
      <c r="J1237" s="7" t="str">
        <f t="shared" si="157"/>
        <v>INTEGER</v>
      </c>
      <c r="K1237" s="7" t="str">
        <f>TRIM(ETLMetadata!$G1237)</f>
        <v>INTEGER</v>
      </c>
      <c r="L1237" s="7" t="str">
        <f>TRIM(ETLMetadata!$I1237)</f>
        <v/>
      </c>
      <c r="M1237" s="7" t="str">
        <f t="shared" si="158"/>
        <v>CAST(NULLIF(TRIM(PAYMENT_TYPE_ID),'') AS INTEGER)</v>
      </c>
      <c r="N1237" s="7" t="str">
        <f>TRIM(ETLMetadata!$J1237)</f>
        <v/>
      </c>
      <c r="O1237" s="8" t="str">
        <f>IF(TRIM(Classification!$G1237)="","NOT CONFIDENTIAL",TRIM(Classification!$G1237))</f>
        <v>NOT CONFIDENTIAL</v>
      </c>
      <c r="P1237" s="7" t="str">
        <f t="shared" si="159"/>
        <v>Y</v>
      </c>
      <c r="Q1237" s="7" t="s">
        <v>826</v>
      </c>
      <c r="R1237" s="9">
        <v>2958465</v>
      </c>
      <c r="S1237" s="7" t="s">
        <v>827</v>
      </c>
      <c r="T1237" s="7" t="s">
        <v>828</v>
      </c>
      <c r="U1237" s="7" t="str">
        <f t="shared" si="153"/>
        <v>CLK_DETM_DETIS_TLDS_V</v>
      </c>
      <c r="V1237" s="7" t="s">
        <v>829</v>
      </c>
    </row>
    <row r="1238" spans="1:22">
      <c r="A1238" s="7" t="str">
        <f>TRIM(ETLMetadata!$B1238)</f>
        <v>CLK</v>
      </c>
      <c r="B1238" s="7" t="str">
        <f>TRIM(ETLMetadata!$C1238)</f>
        <v>DETM_DETIS_TLDS</v>
      </c>
      <c r="C1238" s="7" t="str">
        <f>TRIM(ETLMetadata!$F1238)</f>
        <v>ERROR_COUNT</v>
      </c>
      <c r="D1238" s="7" t="str">
        <f>TRIM(ETLMetadata!$H1238)</f>
        <v>StringType()</v>
      </c>
      <c r="E1238" s="7" t="str">
        <f t="shared" si="152"/>
        <v>CLK_DETM_DETIS_TLDS</v>
      </c>
      <c r="F1238" s="7" t="str">
        <f t="shared" si="154"/>
        <v>ERROR_COUNT</v>
      </c>
      <c r="G1238" s="7" t="s">
        <v>825</v>
      </c>
      <c r="H1238" s="7" t="str">
        <f t="shared" si="155"/>
        <v>CLK_DETM_DETIS_TLDS</v>
      </c>
      <c r="I1238" s="7" t="str">
        <f t="shared" si="156"/>
        <v>ERROR_COUNT</v>
      </c>
      <c r="J1238" s="7" t="str">
        <f t="shared" si="157"/>
        <v>SMALLINT</v>
      </c>
      <c r="K1238" s="7" t="str">
        <f>TRIM(ETLMetadata!$G1238)</f>
        <v>SMALLINT</v>
      </c>
      <c r="L1238" s="7" t="str">
        <f>TRIM(ETLMetadata!$I1238)</f>
        <v/>
      </c>
      <c r="M1238" s="7" t="str">
        <f t="shared" si="158"/>
        <v>CAST(NULLIF(TRIM(ERROR_COUNT),'') AS SMALLINT)</v>
      </c>
      <c r="N1238" s="7" t="str">
        <f>TRIM(ETLMetadata!$J1238)</f>
        <v/>
      </c>
      <c r="O1238" s="8" t="str">
        <f>IF(TRIM(Classification!$G1238)="","NOT CONFIDENTIAL",TRIM(Classification!$G1238))</f>
        <v>NOT CONFIDENTIAL</v>
      </c>
      <c r="P1238" s="7" t="str">
        <f t="shared" si="159"/>
        <v>Y</v>
      </c>
      <c r="Q1238" s="7" t="s">
        <v>826</v>
      </c>
      <c r="R1238" s="9">
        <v>2958465</v>
      </c>
      <c r="S1238" s="7" t="s">
        <v>827</v>
      </c>
      <c r="T1238" s="7" t="s">
        <v>828</v>
      </c>
      <c r="U1238" s="7" t="str">
        <f t="shared" si="153"/>
        <v>CLK_DETM_DETIS_TLDS_V</v>
      </c>
      <c r="V1238" s="7" t="s">
        <v>829</v>
      </c>
    </row>
    <row r="1239" spans="1:22">
      <c r="A1239" s="7" t="str">
        <f>TRIM(ETLMetadata!$B1239)</f>
        <v>CLK</v>
      </c>
      <c r="B1239" s="7" t="str">
        <f>TRIM(ETLMetadata!$C1239)</f>
        <v>DETM_DETIS_TLDS</v>
      </c>
      <c r="C1239" s="7" t="str">
        <f>TRIM(ETLMetadata!$F1239)</f>
        <v>Start_Date</v>
      </c>
      <c r="D1239" s="7" t="str">
        <f>TRIM(ETLMetadata!$H1239)</f>
        <v>StringType()</v>
      </c>
      <c r="E1239" s="7" t="str">
        <f t="shared" si="152"/>
        <v>CLK_DETM_DETIS_TLDS</v>
      </c>
      <c r="F1239" s="7" t="str">
        <f t="shared" si="154"/>
        <v>STRT_DT</v>
      </c>
      <c r="G1239" s="7" t="s">
        <v>825</v>
      </c>
      <c r="H1239" s="7" t="str">
        <f t="shared" si="155"/>
        <v>CLK_DETM_DETIS_TLDS</v>
      </c>
      <c r="I1239" s="7" t="str">
        <f t="shared" si="156"/>
        <v>STRT_DT</v>
      </c>
      <c r="J1239" s="7" t="str">
        <f t="shared" si="157"/>
        <v>DATE</v>
      </c>
      <c r="K1239" s="7" t="str">
        <f>TRIM(ETLMetadata!$G1239)</f>
        <v>DATE</v>
      </c>
      <c r="L1239" s="7" t="str">
        <f>TRIM(ETLMetadata!$I1239)</f>
        <v>YYYY-MM-DD</v>
      </c>
      <c r="M1239" s="7" t="str">
        <f t="shared" si="158"/>
        <v>TO_DATE(NULLIF(TRIM(STRT_DT),'') , 'YYYY-MM-DD')</v>
      </c>
      <c r="N1239" s="7" t="str">
        <f>TRIM(ETLMetadata!$J1239)</f>
        <v/>
      </c>
      <c r="O1239" s="8" t="str">
        <f>IF(TRIM(Classification!$G1239)="","NOT CONFIDENTIAL",TRIM(Classification!$G1239))</f>
        <v>NOT CONFIDENTIAL</v>
      </c>
      <c r="P1239" s="7" t="str">
        <f t="shared" si="159"/>
        <v>N</v>
      </c>
      <c r="Q1239" s="7" t="s">
        <v>826</v>
      </c>
      <c r="R1239" s="9">
        <v>2958465</v>
      </c>
      <c r="S1239" s="7" t="s">
        <v>827</v>
      </c>
      <c r="T1239" s="7" t="s">
        <v>828</v>
      </c>
      <c r="U1239" s="7" t="str">
        <f t="shared" si="153"/>
        <v>CLK_DETM_DETIS_TLDS_V</v>
      </c>
      <c r="V1239" s="7" t="s">
        <v>829</v>
      </c>
    </row>
    <row r="1240" spans="1:22">
      <c r="A1240" s="7" t="str">
        <f>TRIM(ETLMetadata!$B1240)</f>
        <v>CLK</v>
      </c>
      <c r="B1240" s="7" t="str">
        <f>TRIM(ETLMetadata!$C1240)</f>
        <v>DETM_DETIS_TLDS</v>
      </c>
      <c r="C1240" s="7" t="str">
        <f>TRIM(ETLMetadata!$F1240)</f>
        <v>End_Date</v>
      </c>
      <c r="D1240" s="7" t="str">
        <f>TRIM(ETLMetadata!$H1240)</f>
        <v>StringType()</v>
      </c>
      <c r="E1240" s="7" t="str">
        <f t="shared" si="152"/>
        <v>CLK_DETM_DETIS_TLDS</v>
      </c>
      <c r="F1240" s="7" t="str">
        <f t="shared" si="154"/>
        <v>END_DT</v>
      </c>
      <c r="G1240" s="7" t="s">
        <v>825</v>
      </c>
      <c r="H1240" s="7" t="str">
        <f t="shared" si="155"/>
        <v>CLK_DETM_DETIS_TLDS</v>
      </c>
      <c r="I1240" s="7" t="str">
        <f t="shared" si="156"/>
        <v>END_DT</v>
      </c>
      <c r="J1240" s="7" t="str">
        <f t="shared" si="157"/>
        <v>DATE</v>
      </c>
      <c r="K1240" s="7" t="str">
        <f>TRIM(ETLMetadata!$G1240)</f>
        <v>DATE</v>
      </c>
      <c r="L1240" s="7" t="str">
        <f>TRIM(ETLMetadata!$I1240)</f>
        <v>YYYY-MM-DD</v>
      </c>
      <c r="M1240" s="7" t="str">
        <f t="shared" si="158"/>
        <v>TO_DATE(NULLIF(TRIM(END_DT),'') , 'YYYY-MM-DD')</v>
      </c>
      <c r="N1240" s="7" t="str">
        <f>TRIM(ETLMetadata!$J1240)</f>
        <v/>
      </c>
      <c r="O1240" s="8" t="str">
        <f>IF(TRIM(Classification!$G1240)="","NOT CONFIDENTIAL",TRIM(Classification!$G1240))</f>
        <v>NOT CONFIDENTIAL</v>
      </c>
      <c r="P1240" s="7" t="str">
        <f t="shared" si="159"/>
        <v>N</v>
      </c>
      <c r="Q1240" s="7" t="s">
        <v>826</v>
      </c>
      <c r="R1240" s="9">
        <v>2958465</v>
      </c>
      <c r="S1240" s="7" t="s">
        <v>827</v>
      </c>
      <c r="T1240" s="7" t="s">
        <v>828</v>
      </c>
      <c r="U1240" s="7" t="str">
        <f t="shared" si="153"/>
        <v>CLK_DETM_DETIS_TLDS_V</v>
      </c>
      <c r="V1240" s="7" t="s">
        <v>829</v>
      </c>
    </row>
    <row r="1241" spans="1:22">
      <c r="A1241" s="7" t="str">
        <f>TRIM(ETLMetadata!$B1241)</f>
        <v>CLK</v>
      </c>
      <c r="B1241" s="7" t="str">
        <f>TRIM(ETLMetadata!$C1241)</f>
        <v>DETM_DETIS_TLDS</v>
      </c>
      <c r="C1241" s="7" t="str">
        <f>TRIM(ETLMetadata!$F1241)</f>
        <v>Record_Deleted_Flag</v>
      </c>
      <c r="D1241" s="7" t="str">
        <f>TRIM(ETLMetadata!$H1241)</f>
        <v>StringType()</v>
      </c>
      <c r="E1241" s="7" t="str">
        <f t="shared" si="152"/>
        <v>CLK_DETM_DETIS_TLDS</v>
      </c>
      <c r="F1241" s="7" t="str">
        <f t="shared" si="154"/>
        <v>RCRD_DEL_IND</v>
      </c>
      <c r="G1241" s="7" t="s">
        <v>825</v>
      </c>
      <c r="H1241" s="7" t="str">
        <f t="shared" si="155"/>
        <v>CLK_DETM_DETIS_TLDS</v>
      </c>
      <c r="I1241" s="7" t="str">
        <f t="shared" si="156"/>
        <v>RCRD_DEL_IND</v>
      </c>
      <c r="J1241" s="7" t="str">
        <f t="shared" si="157"/>
        <v>SMALLINT</v>
      </c>
      <c r="K1241" s="7" t="str">
        <f>TRIM(ETLMetadata!$G1241)</f>
        <v>BYTEINT</v>
      </c>
      <c r="L1241" s="7" t="str">
        <f>TRIM(ETLMetadata!$I1241)</f>
        <v/>
      </c>
      <c r="M1241" s="7" t="str">
        <f t="shared" si="158"/>
        <v>CAST(NULLIF(TRIM(RCRD_DEL_IND),'') AS SMALLINT)</v>
      </c>
      <c r="N1241" s="7" t="str">
        <f>TRIM(ETLMetadata!$J1241)</f>
        <v/>
      </c>
      <c r="O1241" s="8" t="str">
        <f>IF(TRIM(Classification!$G1241)="","NOT CONFIDENTIAL",TRIM(Classification!$G1241))</f>
        <v>NOT CONFIDENTIAL</v>
      </c>
      <c r="P1241" s="7" t="str">
        <f t="shared" si="159"/>
        <v>N</v>
      </c>
      <c r="Q1241" s="7" t="s">
        <v>826</v>
      </c>
      <c r="R1241" s="9">
        <v>2958465</v>
      </c>
      <c r="S1241" s="7" t="s">
        <v>827</v>
      </c>
      <c r="T1241" s="7" t="s">
        <v>828</v>
      </c>
      <c r="U1241" s="7" t="str">
        <f t="shared" si="153"/>
        <v>CLK_DETM_DETIS_TLDS_V</v>
      </c>
      <c r="V1241" s="7" t="s">
        <v>829</v>
      </c>
    </row>
    <row r="1242" spans="1:22">
      <c r="A1242" s="7" t="str">
        <f>TRIM(ETLMetadata!$B1242)</f>
        <v>CLK</v>
      </c>
      <c r="B1242" s="7" t="str">
        <f>TRIM(ETLMetadata!$C1242)</f>
        <v>DETM_DETIS_VBDS</v>
      </c>
      <c r="C1242" s="7" t="str">
        <f>TRIM(ETLMetadata!$F1242)</f>
        <v>EXTRACT_DATE</v>
      </c>
      <c r="D1242" s="7" t="str">
        <f>TRIM(ETLMetadata!$H1242)</f>
        <v>StringType()</v>
      </c>
      <c r="E1242" s="7" t="str">
        <f t="shared" si="152"/>
        <v>CLK_DETM_DETIS_VBDS</v>
      </c>
      <c r="F1242" s="7" t="str">
        <f t="shared" si="154"/>
        <v>EXTRACT_DATE</v>
      </c>
      <c r="G1242" s="7" t="s">
        <v>825</v>
      </c>
      <c r="H1242" s="7" t="str">
        <f t="shared" si="155"/>
        <v>CLK_DETM_DETIS_VBDS</v>
      </c>
      <c r="I1242" s="7" t="str">
        <f t="shared" si="156"/>
        <v>EXTRACT_DATE</v>
      </c>
      <c r="J1242" s="7" t="str">
        <f t="shared" si="157"/>
        <v>DATE</v>
      </c>
      <c r="K1242" s="7" t="str">
        <f>TRIM(ETLMetadata!$G1242)</f>
        <v>DATE</v>
      </c>
      <c r="L1242" s="7" t="str">
        <f>TRIM(ETLMetadata!$I1242)</f>
        <v>YYYY-MM-DD</v>
      </c>
      <c r="M1242" s="7" t="str">
        <f t="shared" si="158"/>
        <v>TO_DATE(NULLIF(TRIM(EXTRACT_DATE),'') , 'YYYY-MM-DD')</v>
      </c>
      <c r="N1242" s="7" t="str">
        <f>TRIM(ETLMetadata!$J1242)</f>
        <v/>
      </c>
      <c r="O1242" s="8" t="str">
        <f>IF(TRIM(Classification!$G1242)="","NOT CONFIDENTIAL",TRIM(Classification!$G1242))</f>
        <v>NOT CONFIDENTIAL</v>
      </c>
      <c r="P1242" s="7" t="str">
        <f t="shared" si="159"/>
        <v>Y</v>
      </c>
      <c r="Q1242" s="7" t="s">
        <v>826</v>
      </c>
      <c r="R1242" s="9">
        <v>2958465</v>
      </c>
      <c r="S1242" s="7" t="s">
        <v>827</v>
      </c>
      <c r="T1242" s="7" t="s">
        <v>828</v>
      </c>
      <c r="U1242" s="7" t="str">
        <f t="shared" si="153"/>
        <v>CLK_DETM_DETIS_VBDS_V</v>
      </c>
      <c r="V1242" s="7" t="s">
        <v>829</v>
      </c>
    </row>
    <row r="1243" spans="1:22">
      <c r="A1243" s="7" t="str">
        <f>TRIM(ETLMetadata!$B1243)</f>
        <v>CLK</v>
      </c>
      <c r="B1243" s="7" t="str">
        <f>TRIM(ETLMetadata!$C1243)</f>
        <v>DETM_DETIS_VBDS</v>
      </c>
      <c r="C1243" s="7" t="str">
        <f>TRIM(ETLMetadata!$F1243)</f>
        <v>LOGICAL_DELETE_DATE</v>
      </c>
      <c r="D1243" s="7" t="str">
        <f>TRIM(ETLMetadata!$H1243)</f>
        <v>StringType()</v>
      </c>
      <c r="E1243" s="7" t="str">
        <f t="shared" si="152"/>
        <v>CLK_DETM_DETIS_VBDS</v>
      </c>
      <c r="F1243" s="7" t="str">
        <f t="shared" si="154"/>
        <v>LOGICAL_DELETE_DATE</v>
      </c>
      <c r="G1243" s="7" t="s">
        <v>825</v>
      </c>
      <c r="H1243" s="7" t="str">
        <f t="shared" si="155"/>
        <v>CLK_DETM_DETIS_VBDS</v>
      </c>
      <c r="I1243" s="7" t="str">
        <f t="shared" si="156"/>
        <v>LOGICAL_DELETE_DATE</v>
      </c>
      <c r="J1243" s="7" t="str">
        <f t="shared" si="157"/>
        <v>DATE</v>
      </c>
      <c r="K1243" s="7" t="str">
        <f>TRIM(ETLMetadata!$G1243)</f>
        <v>DATE</v>
      </c>
      <c r="L1243" s="7" t="str">
        <f>TRIM(ETLMetadata!$I1243)</f>
        <v>YYYY-MM-DD</v>
      </c>
      <c r="M1243" s="7" t="str">
        <f t="shared" si="158"/>
        <v>TO_DATE(NULLIF(TRIM(LOGICAL_DELETE_DATE),'') , 'YYYY-MM-DD')</v>
      </c>
      <c r="N1243" s="7" t="str">
        <f>TRIM(ETLMetadata!$J1243)</f>
        <v/>
      </c>
      <c r="O1243" s="8" t="str">
        <f>IF(TRIM(Classification!$G1243)="","NOT CONFIDENTIAL",TRIM(Classification!$G1243))</f>
        <v>NOT CONFIDENTIAL</v>
      </c>
      <c r="P1243" s="7" t="str">
        <f t="shared" si="159"/>
        <v>Y</v>
      </c>
      <c r="Q1243" s="7" t="s">
        <v>826</v>
      </c>
      <c r="R1243" s="9">
        <v>2958465</v>
      </c>
      <c r="S1243" s="7" t="s">
        <v>827</v>
      </c>
      <c r="T1243" s="7" t="s">
        <v>828</v>
      </c>
      <c r="U1243" s="7" t="str">
        <f t="shared" si="153"/>
        <v>CLK_DETM_DETIS_VBDS_V</v>
      </c>
      <c r="V1243" s="7" t="s">
        <v>829</v>
      </c>
    </row>
    <row r="1244" spans="1:22">
      <c r="A1244" s="7" t="str">
        <f>TRIM(ETLMetadata!$B1244)</f>
        <v>CLK</v>
      </c>
      <c r="B1244" s="7" t="str">
        <f>TRIM(ETLMetadata!$C1244)</f>
        <v>DETM_DETIS_VBDS</v>
      </c>
      <c r="C1244" s="7" t="str">
        <f>TRIM(ETLMetadata!$F1244)</f>
        <v>ENVIRONMENT_ID</v>
      </c>
      <c r="D1244" s="7" t="str">
        <f>TRIM(ETLMetadata!$H1244)</f>
        <v>StringType()</v>
      </c>
      <c r="E1244" s="7" t="str">
        <f t="shared" si="152"/>
        <v>CLK_DETM_DETIS_VBDS</v>
      </c>
      <c r="F1244" s="7" t="str">
        <f t="shared" si="154"/>
        <v>ENVIRONMENT_ID</v>
      </c>
      <c r="G1244" s="7" t="s">
        <v>825</v>
      </c>
      <c r="H1244" s="7" t="str">
        <f t="shared" si="155"/>
        <v>CLK_DETM_DETIS_VBDS</v>
      </c>
      <c r="I1244" s="7" t="str">
        <f t="shared" si="156"/>
        <v>ENVIRONMENT_ID</v>
      </c>
      <c r="J1244" s="7" t="str">
        <f t="shared" si="157"/>
        <v>VARCHAR</v>
      </c>
      <c r="K1244" s="7" t="str">
        <f>TRIM(ETLMetadata!$G1244)</f>
        <v>CHAR(1)</v>
      </c>
      <c r="L1244" s="7" t="str">
        <f>TRIM(ETLMetadata!$I1244)</f>
        <v/>
      </c>
      <c r="M1244" s="7" t="str">
        <f t="shared" si="158"/>
        <v>NULLIF(TRIM(ENVIRONMENT_ID),'')</v>
      </c>
      <c r="N1244" s="7" t="str">
        <f>TRIM(ETLMetadata!$J1244)</f>
        <v>Y</v>
      </c>
      <c r="O1244" s="8" t="str">
        <f>IF(TRIM(Classification!$G1244)="","NOT CONFIDENTIAL",TRIM(Classification!$G1244))</f>
        <v>NOT CONFIDENTIAL</v>
      </c>
      <c r="P1244" s="7" t="str">
        <f t="shared" si="159"/>
        <v>Y</v>
      </c>
      <c r="Q1244" s="7" t="s">
        <v>826</v>
      </c>
      <c r="R1244" s="9">
        <v>2958465</v>
      </c>
      <c r="S1244" s="7" t="s">
        <v>827</v>
      </c>
      <c r="T1244" s="7" t="s">
        <v>828</v>
      </c>
      <c r="U1244" s="7" t="str">
        <f t="shared" si="153"/>
        <v>CLK_DETM_DETIS_VBDS_V</v>
      </c>
      <c r="V1244" s="7" t="s">
        <v>829</v>
      </c>
    </row>
    <row r="1245" spans="1:22">
      <c r="A1245" s="7" t="str">
        <f>TRIM(ETLMetadata!$B1245)</f>
        <v>CLK</v>
      </c>
      <c r="B1245" s="7" t="str">
        <f>TRIM(ETLMetadata!$C1245)</f>
        <v>DETM_DETIS_VBDS</v>
      </c>
      <c r="C1245" s="7" t="str">
        <f>TRIM(ETLMetadata!$F1245)</f>
        <v>PERSON_ID</v>
      </c>
      <c r="D1245" s="7" t="str">
        <f>TRIM(ETLMetadata!$H1245)</f>
        <v>StringType()</v>
      </c>
      <c r="E1245" s="7" t="str">
        <f t="shared" si="152"/>
        <v>CLK_DETM_DETIS_VBDS</v>
      </c>
      <c r="F1245" s="7" t="str">
        <f t="shared" si="154"/>
        <v>PERSON_ID</v>
      </c>
      <c r="G1245" s="7" t="s">
        <v>825</v>
      </c>
      <c r="H1245" s="7" t="str">
        <f t="shared" si="155"/>
        <v>CLK_DETM_DETIS_VBDS</v>
      </c>
      <c r="I1245" s="7" t="str">
        <f t="shared" si="156"/>
        <v>PERSON_ID</v>
      </c>
      <c r="J1245" s="7" t="str">
        <f t="shared" si="157"/>
        <v>INTEGER</v>
      </c>
      <c r="K1245" s="7" t="str">
        <f>TRIM(ETLMetadata!$G1245)</f>
        <v>INTEGER</v>
      </c>
      <c r="L1245" s="7" t="str">
        <f>TRIM(ETLMetadata!$I1245)</f>
        <v/>
      </c>
      <c r="M1245" s="7" t="str">
        <f t="shared" si="158"/>
        <v>CAST(NULLIF(TRIM(PERSON_ID),'') AS INTEGER)</v>
      </c>
      <c r="N1245" s="7" t="str">
        <f>TRIM(ETLMetadata!$J1245)</f>
        <v>Y</v>
      </c>
      <c r="O1245" s="8" t="str">
        <f>IF(TRIM(Classification!$G1245)="","NOT CONFIDENTIAL",TRIM(Classification!$G1245))</f>
        <v>PERSONAL_IDENTITYINFOINDIRECT</v>
      </c>
      <c r="P1245" s="7" t="str">
        <f t="shared" si="159"/>
        <v>Y</v>
      </c>
      <c r="Q1245" s="7" t="s">
        <v>826</v>
      </c>
      <c r="R1245" s="9">
        <v>2958465</v>
      </c>
      <c r="S1245" s="7" t="s">
        <v>827</v>
      </c>
      <c r="T1245" s="7" t="s">
        <v>828</v>
      </c>
      <c r="U1245" s="7" t="str">
        <f t="shared" si="153"/>
        <v>CLK_DETM_DETIS_VBDS_V</v>
      </c>
      <c r="V1245" s="7" t="s">
        <v>829</v>
      </c>
    </row>
    <row r="1246" spans="1:22">
      <c r="A1246" s="7" t="str">
        <f>TRIM(ETLMetadata!$B1246)</f>
        <v>CLK</v>
      </c>
      <c r="B1246" s="7" t="str">
        <f>TRIM(ETLMetadata!$C1246)</f>
        <v>DETM_DETIS_VBDS</v>
      </c>
      <c r="C1246" s="7" t="str">
        <f>TRIM(ETLMetadata!$F1246)</f>
        <v>VBDS_AMR_1</v>
      </c>
      <c r="D1246" s="7" t="str">
        <f>TRIM(ETLMetadata!$H1246)</f>
        <v>StringType()</v>
      </c>
      <c r="E1246" s="7" t="str">
        <f t="shared" si="152"/>
        <v>CLK_DETM_DETIS_VBDS</v>
      </c>
      <c r="F1246" s="7" t="str">
        <f t="shared" si="154"/>
        <v>VBDS_AMR_1</v>
      </c>
      <c r="G1246" s="7" t="s">
        <v>825</v>
      </c>
      <c r="H1246" s="7" t="str">
        <f t="shared" si="155"/>
        <v>CLK_DETM_DETIS_VBDS</v>
      </c>
      <c r="I1246" s="7" t="str">
        <f t="shared" si="156"/>
        <v>VBDS_AMR_1</v>
      </c>
      <c r="J1246" s="7" t="str">
        <f t="shared" si="157"/>
        <v>VARCHAR</v>
      </c>
      <c r="K1246" s="7" t="str">
        <f>TRIM(ETLMetadata!$G1246)</f>
        <v>CHAR(4)</v>
      </c>
      <c r="L1246" s="7" t="str">
        <f>TRIM(ETLMetadata!$I1246)</f>
        <v/>
      </c>
      <c r="M1246" s="7" t="str">
        <f t="shared" si="158"/>
        <v>NULLIF(TRIM(VBDS_AMR_1),'')</v>
      </c>
      <c r="N1246" s="7" t="str">
        <f>TRIM(ETLMetadata!$J1246)</f>
        <v/>
      </c>
      <c r="O1246" s="8" t="str">
        <f>IF(TRIM(Classification!$G1246)="","NOT CONFIDENTIAL",TRIM(Classification!$G1246))</f>
        <v>NOT CONFIDENTIAL</v>
      </c>
      <c r="P1246" s="7" t="str">
        <f t="shared" si="159"/>
        <v>Y</v>
      </c>
      <c r="Q1246" s="7" t="s">
        <v>826</v>
      </c>
      <c r="R1246" s="9">
        <v>2958465</v>
      </c>
      <c r="S1246" s="7" t="s">
        <v>827</v>
      </c>
      <c r="T1246" s="7" t="s">
        <v>828</v>
      </c>
      <c r="U1246" s="7" t="str">
        <f t="shared" si="153"/>
        <v>CLK_DETM_DETIS_VBDS_V</v>
      </c>
      <c r="V1246" s="7" t="s">
        <v>829</v>
      </c>
    </row>
    <row r="1247" spans="1:22">
      <c r="A1247" s="7" t="str">
        <f>TRIM(ETLMetadata!$B1247)</f>
        <v>CLK</v>
      </c>
      <c r="B1247" s="7" t="str">
        <f>TRIM(ETLMetadata!$C1247)</f>
        <v>DETM_DETIS_VBDS</v>
      </c>
      <c r="C1247" s="7" t="str">
        <f>TRIM(ETLMetadata!$F1247)</f>
        <v>VBDS_AMR_2</v>
      </c>
      <c r="D1247" s="7" t="str">
        <f>TRIM(ETLMetadata!$H1247)</f>
        <v>StringType()</v>
      </c>
      <c r="E1247" s="7" t="str">
        <f t="shared" ref="E1247:E1310" si="160">CONCATENATE($A1247,"_",B1247)</f>
        <v>CLK_DETM_DETIS_VBDS</v>
      </c>
      <c r="F1247" s="7" t="str">
        <f t="shared" si="154"/>
        <v>VBDS_AMR_2</v>
      </c>
      <c r="G1247" s="7" t="s">
        <v>825</v>
      </c>
      <c r="H1247" s="7" t="str">
        <f t="shared" si="155"/>
        <v>CLK_DETM_DETIS_VBDS</v>
      </c>
      <c r="I1247" s="7" t="str">
        <f t="shared" si="156"/>
        <v>VBDS_AMR_2</v>
      </c>
      <c r="J1247" s="7" t="str">
        <f t="shared" si="157"/>
        <v>VARCHAR</v>
      </c>
      <c r="K1247" s="7" t="str">
        <f>TRIM(ETLMetadata!$G1247)</f>
        <v>CHAR(1)</v>
      </c>
      <c r="L1247" s="7" t="str">
        <f>TRIM(ETLMetadata!$I1247)</f>
        <v/>
      </c>
      <c r="M1247" s="7" t="str">
        <f t="shared" si="158"/>
        <v>NULLIF(TRIM(VBDS_AMR_2),'')</v>
      </c>
      <c r="N1247" s="7" t="str">
        <f>TRIM(ETLMetadata!$J1247)</f>
        <v/>
      </c>
      <c r="O1247" s="8" t="str">
        <f>IF(TRIM(Classification!$G1247)="","NOT CONFIDENTIAL",TRIM(Classification!$G1247))</f>
        <v>NOT CONFIDENTIAL</v>
      </c>
      <c r="P1247" s="7" t="str">
        <f t="shared" si="159"/>
        <v>Y</v>
      </c>
      <c r="Q1247" s="7" t="s">
        <v>826</v>
      </c>
      <c r="R1247" s="9">
        <v>2958465</v>
      </c>
      <c r="S1247" s="7" t="s">
        <v>827</v>
      </c>
      <c r="T1247" s="7" t="s">
        <v>828</v>
      </c>
      <c r="U1247" s="7" t="str">
        <f t="shared" ref="U1247:U1310" si="161">CONCATENATE(A1247,"_",B1247,"_V")</f>
        <v>CLK_DETM_DETIS_VBDS_V</v>
      </c>
      <c r="V1247" s="7" t="s">
        <v>829</v>
      </c>
    </row>
    <row r="1248" spans="1:22">
      <c r="A1248" s="7" t="str">
        <f>TRIM(ETLMetadata!$B1248)</f>
        <v>CLK</v>
      </c>
      <c r="B1248" s="7" t="str">
        <f>TRIM(ETLMetadata!$C1248)</f>
        <v>DETM_DETIS_VBDS</v>
      </c>
      <c r="C1248" s="7" t="str">
        <f>TRIM(ETLMetadata!$F1248)</f>
        <v>VBDS_AMR_3</v>
      </c>
      <c r="D1248" s="7" t="str">
        <f>TRIM(ETLMetadata!$H1248)</f>
        <v>StringType()</v>
      </c>
      <c r="E1248" s="7" t="str">
        <f t="shared" si="160"/>
        <v>CLK_DETM_DETIS_VBDS</v>
      </c>
      <c r="F1248" s="7" t="str">
        <f t="shared" si="154"/>
        <v>VBDS_AMR_3</v>
      </c>
      <c r="G1248" s="7" t="s">
        <v>825</v>
      </c>
      <c r="H1248" s="7" t="str">
        <f t="shared" si="155"/>
        <v>CLK_DETM_DETIS_VBDS</v>
      </c>
      <c r="I1248" s="7" t="str">
        <f t="shared" si="156"/>
        <v>VBDS_AMR_3</v>
      </c>
      <c r="J1248" s="7" t="str">
        <f t="shared" si="157"/>
        <v>VARCHAR</v>
      </c>
      <c r="K1248" s="7" t="str">
        <f>TRIM(ETLMetadata!$G1248)</f>
        <v>CHAR(4)</v>
      </c>
      <c r="L1248" s="7" t="str">
        <f>TRIM(ETLMetadata!$I1248)</f>
        <v/>
      </c>
      <c r="M1248" s="7" t="str">
        <f t="shared" si="158"/>
        <v>NULLIF(TRIM(VBDS_AMR_3),'')</v>
      </c>
      <c r="N1248" s="7" t="str">
        <f>TRIM(ETLMetadata!$J1248)</f>
        <v/>
      </c>
      <c r="O1248" s="8" t="str">
        <f>IF(TRIM(Classification!$G1248)="","NOT CONFIDENTIAL",TRIM(Classification!$G1248))</f>
        <v>NOT CONFIDENTIAL</v>
      </c>
      <c r="P1248" s="7" t="str">
        <f t="shared" si="159"/>
        <v>Y</v>
      </c>
      <c r="Q1248" s="7" t="s">
        <v>826</v>
      </c>
      <c r="R1248" s="9">
        <v>2958465</v>
      </c>
      <c r="S1248" s="7" t="s">
        <v>827</v>
      </c>
      <c r="T1248" s="7" t="s">
        <v>828</v>
      </c>
      <c r="U1248" s="7" t="str">
        <f t="shared" si="161"/>
        <v>CLK_DETM_DETIS_VBDS_V</v>
      </c>
      <c r="V1248" s="7" t="s">
        <v>829</v>
      </c>
    </row>
    <row r="1249" spans="1:22">
      <c r="A1249" s="7" t="str">
        <f>TRIM(ETLMetadata!$B1249)</f>
        <v>CLK</v>
      </c>
      <c r="B1249" s="7" t="str">
        <f>TRIM(ETLMetadata!$C1249)</f>
        <v>DETM_DETIS_VBDS</v>
      </c>
      <c r="C1249" s="7" t="str">
        <f>TRIM(ETLMetadata!$F1249)</f>
        <v>VBDS_DOE</v>
      </c>
      <c r="D1249" s="7" t="str">
        <f>TRIM(ETLMetadata!$H1249)</f>
        <v>StringType()</v>
      </c>
      <c r="E1249" s="7" t="str">
        <f t="shared" si="160"/>
        <v>CLK_DETM_DETIS_VBDS</v>
      </c>
      <c r="F1249" s="7" t="str">
        <f t="shared" si="154"/>
        <v>VBDS_DOE</v>
      </c>
      <c r="G1249" s="7" t="s">
        <v>825</v>
      </c>
      <c r="H1249" s="7" t="str">
        <f t="shared" si="155"/>
        <v>CLK_DETM_DETIS_VBDS</v>
      </c>
      <c r="I1249" s="7" t="str">
        <f t="shared" si="156"/>
        <v>VBDS_DOE</v>
      </c>
      <c r="J1249" s="7" t="str">
        <f t="shared" si="157"/>
        <v>DATE</v>
      </c>
      <c r="K1249" s="17" t="s">
        <v>80</v>
      </c>
      <c r="L1249" s="7" t="str">
        <f>TRIM(ETLMetadata!$I1249)</f>
        <v>YYYY-MM-DD</v>
      </c>
      <c r="M1249" s="7" t="str">
        <f t="shared" si="158"/>
        <v>TO_DATE(NULLIF(TRIM(VBDS_DOE),'') , 'YYYY-MM-DD')</v>
      </c>
      <c r="N1249" s="7" t="str">
        <f>TRIM(ETLMetadata!$J1249)</f>
        <v/>
      </c>
      <c r="O1249" s="8" t="str">
        <f>IF(TRIM(Classification!$G1249)="","NOT CONFIDENTIAL",TRIM(Classification!$G1249))</f>
        <v>NOT CONFIDENTIAL</v>
      </c>
      <c r="P1249" s="7" t="str">
        <f t="shared" si="159"/>
        <v>Y</v>
      </c>
      <c r="Q1249" s="7" t="s">
        <v>826</v>
      </c>
      <c r="R1249" s="9">
        <v>2958465</v>
      </c>
      <c r="S1249" s="7" t="s">
        <v>827</v>
      </c>
      <c r="T1249" s="7" t="s">
        <v>828</v>
      </c>
      <c r="U1249" s="7" t="str">
        <f t="shared" si="161"/>
        <v>CLK_DETM_DETIS_VBDS_V</v>
      </c>
      <c r="V1249" s="7" t="s">
        <v>829</v>
      </c>
    </row>
    <row r="1250" spans="1:22">
      <c r="A1250" s="7" t="str">
        <f>TRIM(ETLMetadata!$B1250)</f>
        <v>CLK</v>
      </c>
      <c r="B1250" s="7" t="str">
        <f>TRIM(ETLMetadata!$C1250)</f>
        <v>DETM_DETIS_VBDS</v>
      </c>
      <c r="C1250" s="7" t="str">
        <f>TRIM(ETLMetadata!$F1250)</f>
        <v>VBDS_DOE_ORIG</v>
      </c>
      <c r="D1250" s="7" t="str">
        <f>TRIM(ETLMetadata!$H1250)</f>
        <v>StringType()</v>
      </c>
      <c r="E1250" s="7" t="str">
        <f t="shared" si="160"/>
        <v>CLK_DETM_DETIS_VBDS</v>
      </c>
      <c r="F1250" s="7" t="str">
        <f t="shared" si="154"/>
        <v>VBDS_DOE_ORIG</v>
      </c>
      <c r="G1250" s="7" t="s">
        <v>825</v>
      </c>
      <c r="H1250" s="7" t="str">
        <f t="shared" si="155"/>
        <v>CLK_DETM_DETIS_VBDS</v>
      </c>
      <c r="I1250" s="7" t="str">
        <f t="shared" si="156"/>
        <v>VBDS_DOE_ORIG</v>
      </c>
      <c r="J1250" s="7" t="str">
        <f t="shared" si="157"/>
        <v>INTEGER</v>
      </c>
      <c r="K1250" s="17" t="s">
        <v>90</v>
      </c>
      <c r="L1250" s="7" t="str">
        <f>TRIM(ETLMetadata!$I1250)</f>
        <v/>
      </c>
      <c r="M1250" s="7" t="str">
        <f t="shared" si="158"/>
        <v>CAST(NULLIF(TRIM(VBDS_DOE_ORIG),'') AS INTEGER)</v>
      </c>
      <c r="N1250" s="7" t="str">
        <f>TRIM(ETLMetadata!$J1250)</f>
        <v/>
      </c>
      <c r="O1250" s="8" t="str">
        <f>IF(TRIM(Classification!$G1250)="","NOT CONFIDENTIAL",TRIM(Classification!$G1250))</f>
        <v>NOT CONFIDENTIAL</v>
      </c>
      <c r="P1250" s="7" t="str">
        <f t="shared" si="159"/>
        <v>Y</v>
      </c>
      <c r="Q1250" s="7" t="s">
        <v>826</v>
      </c>
      <c r="R1250" s="9">
        <v>2958465</v>
      </c>
      <c r="S1250" s="7" t="s">
        <v>827</v>
      </c>
      <c r="T1250" s="7" t="s">
        <v>828</v>
      </c>
      <c r="U1250" s="7" t="str">
        <f t="shared" si="161"/>
        <v>CLK_DETM_DETIS_VBDS_V</v>
      </c>
      <c r="V1250" s="7" t="s">
        <v>829</v>
      </c>
    </row>
    <row r="1251" spans="1:22">
      <c r="A1251" s="7" t="str">
        <f>TRIM(ETLMetadata!$B1251)</f>
        <v>CLK</v>
      </c>
      <c r="B1251" s="7" t="str">
        <f>TRIM(ETLMetadata!$C1251)</f>
        <v>DETM_DETIS_VBDS</v>
      </c>
      <c r="C1251" s="7" t="str">
        <f>TRIM(ETLMetadata!$F1251)</f>
        <v>PROCESSING_SEQUENCE</v>
      </c>
      <c r="D1251" s="7" t="str">
        <f>TRIM(ETLMetadata!$H1251)</f>
        <v>StringType()</v>
      </c>
      <c r="E1251" s="7" t="str">
        <f t="shared" si="160"/>
        <v>CLK_DETM_DETIS_VBDS</v>
      </c>
      <c r="F1251" s="7" t="str">
        <f t="shared" si="154"/>
        <v>PROCESSING_SEQUENCE</v>
      </c>
      <c r="G1251" s="7" t="s">
        <v>825</v>
      </c>
      <c r="H1251" s="7" t="str">
        <f t="shared" si="155"/>
        <v>CLK_DETM_DETIS_VBDS</v>
      </c>
      <c r="I1251" s="7" t="str">
        <f t="shared" si="156"/>
        <v>PROCESSING_SEQUENCE</v>
      </c>
      <c r="J1251" s="7" t="str">
        <f t="shared" si="157"/>
        <v>SMALLINT</v>
      </c>
      <c r="K1251" s="7" t="str">
        <f>TRIM(ETLMetadata!$G1251)</f>
        <v>SMALLINT</v>
      </c>
      <c r="L1251" s="7" t="str">
        <f>TRIM(ETLMetadata!$I1251)</f>
        <v/>
      </c>
      <c r="M1251" s="7" t="str">
        <f t="shared" si="158"/>
        <v>CAST(NULLIF(TRIM(PROCESSING_SEQUENCE),'') AS SMALLINT)</v>
      </c>
      <c r="N1251" s="7" t="str">
        <f>TRIM(ETLMetadata!$J1251)</f>
        <v>Y</v>
      </c>
      <c r="O1251" s="8" t="str">
        <f>IF(TRIM(Classification!$G1251)="","NOT CONFIDENTIAL",TRIM(Classification!$G1251))</f>
        <v>NOT CONFIDENTIAL</v>
      </c>
      <c r="P1251" s="7" t="str">
        <f t="shared" si="159"/>
        <v>Y</v>
      </c>
      <c r="Q1251" s="7" t="s">
        <v>826</v>
      </c>
      <c r="R1251" s="9">
        <v>2958465</v>
      </c>
      <c r="S1251" s="7" t="s">
        <v>827</v>
      </c>
      <c r="T1251" s="7" t="s">
        <v>828</v>
      </c>
      <c r="U1251" s="7" t="str">
        <f t="shared" si="161"/>
        <v>CLK_DETM_DETIS_VBDS_V</v>
      </c>
      <c r="V1251" s="7" t="s">
        <v>829</v>
      </c>
    </row>
    <row r="1252" spans="1:22">
      <c r="A1252" s="7" t="str">
        <f>TRIM(ETLMetadata!$B1252)</f>
        <v>CLK</v>
      </c>
      <c r="B1252" s="7" t="str">
        <f>TRIM(ETLMetadata!$C1252)</f>
        <v>DETM_DETIS_VBDS</v>
      </c>
      <c r="C1252" s="7" t="str">
        <f>TRIM(ETLMetadata!$F1252)</f>
        <v>VBDS_BEN_TYPE_CODE</v>
      </c>
      <c r="D1252" s="7" t="str">
        <f>TRIM(ETLMetadata!$H1252)</f>
        <v>StringType()</v>
      </c>
      <c r="E1252" s="7" t="str">
        <f t="shared" si="160"/>
        <v>CLK_DETM_DETIS_VBDS</v>
      </c>
      <c r="F1252" s="7" t="str">
        <f t="shared" si="154"/>
        <v>VBDS_BEN_TYPE_CODE</v>
      </c>
      <c r="G1252" s="7" t="s">
        <v>825</v>
      </c>
      <c r="H1252" s="7" t="str">
        <f t="shared" si="155"/>
        <v>CLK_DETM_DETIS_VBDS</v>
      </c>
      <c r="I1252" s="7" t="str">
        <f t="shared" si="156"/>
        <v>VBDS_BEN_TYPE_CODE</v>
      </c>
      <c r="J1252" s="7" t="str">
        <f t="shared" si="157"/>
        <v>VARCHAR</v>
      </c>
      <c r="K1252" s="7" t="str">
        <f>TRIM(ETLMetadata!$G1252)</f>
        <v>CHAR(3)</v>
      </c>
      <c r="L1252" s="7" t="str">
        <f>TRIM(ETLMetadata!$I1252)</f>
        <v/>
      </c>
      <c r="M1252" s="7" t="str">
        <f t="shared" si="158"/>
        <v>NULLIF(TRIM(VBDS_BEN_TYPE_CODE),'')</v>
      </c>
      <c r="N1252" s="7" t="str">
        <f>TRIM(ETLMetadata!$J1252)</f>
        <v/>
      </c>
      <c r="O1252" s="8" t="str">
        <f>IF(TRIM(Classification!$G1252)="","NOT CONFIDENTIAL",TRIM(Classification!$G1252))</f>
        <v>NOT CONFIDENTIAL</v>
      </c>
      <c r="P1252" s="7" t="str">
        <f t="shared" si="159"/>
        <v>Y</v>
      </c>
      <c r="Q1252" s="7" t="s">
        <v>826</v>
      </c>
      <c r="R1252" s="9">
        <v>2958465</v>
      </c>
      <c r="S1252" s="7" t="s">
        <v>827</v>
      </c>
      <c r="T1252" s="7" t="s">
        <v>828</v>
      </c>
      <c r="U1252" s="7" t="str">
        <f t="shared" si="161"/>
        <v>CLK_DETM_DETIS_VBDS_V</v>
      </c>
      <c r="V1252" s="7" t="s">
        <v>829</v>
      </c>
    </row>
    <row r="1253" spans="1:22">
      <c r="A1253" s="7" t="str">
        <f>TRIM(ETLMetadata!$B1253)</f>
        <v>CLK</v>
      </c>
      <c r="B1253" s="7" t="str">
        <f>TRIM(ETLMetadata!$C1253)</f>
        <v>DETM_DETIS_VBDS</v>
      </c>
      <c r="C1253" s="7" t="str">
        <f>TRIM(ETLMetadata!$F1253)</f>
        <v>VBDS_RSN_CODE</v>
      </c>
      <c r="D1253" s="7" t="str">
        <f>TRIM(ETLMetadata!$H1253)</f>
        <v>StringType()</v>
      </c>
      <c r="E1253" s="7" t="str">
        <f t="shared" si="160"/>
        <v>CLK_DETM_DETIS_VBDS</v>
      </c>
      <c r="F1253" s="7" t="str">
        <f t="shared" si="154"/>
        <v>VBDS_RSN_CODE</v>
      </c>
      <c r="G1253" s="7" t="s">
        <v>825</v>
      </c>
      <c r="H1253" s="7" t="str">
        <f t="shared" si="155"/>
        <v>CLK_DETM_DETIS_VBDS</v>
      </c>
      <c r="I1253" s="7" t="str">
        <f t="shared" si="156"/>
        <v>VBDS_RSN_CODE</v>
      </c>
      <c r="J1253" s="7" t="str">
        <f t="shared" si="157"/>
        <v>VARCHAR</v>
      </c>
      <c r="K1253" s="7" t="str">
        <f>TRIM(ETLMetadata!$G1253)</f>
        <v>CHAR(3)</v>
      </c>
      <c r="L1253" s="7" t="str">
        <f>TRIM(ETLMetadata!$I1253)</f>
        <v/>
      </c>
      <c r="M1253" s="7" t="str">
        <f t="shared" si="158"/>
        <v>NULLIF(TRIM(VBDS_RSN_CODE),'')</v>
      </c>
      <c r="N1253" s="7" t="str">
        <f>TRIM(ETLMetadata!$J1253)</f>
        <v/>
      </c>
      <c r="O1253" s="8" t="str">
        <f>IF(TRIM(Classification!$G1253)="","NOT CONFIDENTIAL",TRIM(Classification!$G1253))</f>
        <v>NOT CONFIDENTIAL</v>
      </c>
      <c r="P1253" s="7" t="str">
        <f t="shared" si="159"/>
        <v>Y</v>
      </c>
      <c r="Q1253" s="7" t="s">
        <v>826</v>
      </c>
      <c r="R1253" s="9">
        <v>2958465</v>
      </c>
      <c r="S1253" s="7" t="s">
        <v>827</v>
      </c>
      <c r="T1253" s="7" t="s">
        <v>828</v>
      </c>
      <c r="U1253" s="7" t="str">
        <f t="shared" si="161"/>
        <v>CLK_DETM_DETIS_VBDS_V</v>
      </c>
      <c r="V1253" s="7" t="s">
        <v>829</v>
      </c>
    </row>
    <row r="1254" spans="1:22">
      <c r="A1254" s="7" t="str">
        <f>TRIM(ETLMetadata!$B1254)</f>
        <v>CLK</v>
      </c>
      <c r="B1254" s="7" t="str">
        <f>TRIM(ETLMetadata!$C1254)</f>
        <v>DETM_DETIS_VBDS</v>
      </c>
      <c r="C1254" s="7" t="str">
        <f>TRIM(ETLMetadata!$F1254)</f>
        <v>VBDS_STS_CODE</v>
      </c>
      <c r="D1254" s="7" t="str">
        <f>TRIM(ETLMetadata!$H1254)</f>
        <v>StringType()</v>
      </c>
      <c r="E1254" s="7" t="str">
        <f t="shared" si="160"/>
        <v>CLK_DETM_DETIS_VBDS</v>
      </c>
      <c r="F1254" s="7" t="str">
        <f t="shared" si="154"/>
        <v>VBDS_STS_CODE</v>
      </c>
      <c r="G1254" s="7" t="s">
        <v>825</v>
      </c>
      <c r="H1254" s="7" t="str">
        <f t="shared" si="155"/>
        <v>CLK_DETM_DETIS_VBDS</v>
      </c>
      <c r="I1254" s="7" t="str">
        <f t="shared" si="156"/>
        <v>VBDS_STS_CODE</v>
      </c>
      <c r="J1254" s="7" t="str">
        <f t="shared" si="157"/>
        <v>VARCHAR</v>
      </c>
      <c r="K1254" s="7" t="str">
        <f>TRIM(ETLMetadata!$G1254)</f>
        <v>CHAR(3)</v>
      </c>
      <c r="L1254" s="7" t="str">
        <f>TRIM(ETLMetadata!$I1254)</f>
        <v/>
      </c>
      <c r="M1254" s="7" t="str">
        <f t="shared" si="158"/>
        <v>NULLIF(TRIM(VBDS_STS_CODE),'')</v>
      </c>
      <c r="N1254" s="7" t="str">
        <f>TRIM(ETLMetadata!$J1254)</f>
        <v/>
      </c>
      <c r="O1254" s="8" t="str">
        <f>IF(TRIM(Classification!$G1254)="","NOT CONFIDENTIAL",TRIM(Classification!$G1254))</f>
        <v>NOT CONFIDENTIAL</v>
      </c>
      <c r="P1254" s="7" t="str">
        <f t="shared" si="159"/>
        <v>Y</v>
      </c>
      <c r="Q1254" s="7" t="s">
        <v>826</v>
      </c>
      <c r="R1254" s="9">
        <v>2958465</v>
      </c>
      <c r="S1254" s="7" t="s">
        <v>827</v>
      </c>
      <c r="T1254" s="7" t="s">
        <v>828</v>
      </c>
      <c r="U1254" s="7" t="str">
        <f t="shared" si="161"/>
        <v>CLK_DETM_DETIS_VBDS_V</v>
      </c>
      <c r="V1254" s="7" t="s">
        <v>829</v>
      </c>
    </row>
    <row r="1255" spans="1:22">
      <c r="A1255" s="7" t="str">
        <f>TRIM(ETLMetadata!$B1255)</f>
        <v>CLK</v>
      </c>
      <c r="B1255" s="7" t="str">
        <f>TRIM(ETLMetadata!$C1255)</f>
        <v>DETM_DETIS_VBDS</v>
      </c>
      <c r="C1255" s="7" t="str">
        <f>TRIM(ETLMetadata!$F1255)</f>
        <v>AMR1_RISL_DTS</v>
      </c>
      <c r="D1255" s="7" t="str">
        <f>TRIM(ETLMetadata!$H1255)</f>
        <v>StringType()</v>
      </c>
      <c r="E1255" s="7" t="str">
        <f t="shared" si="160"/>
        <v>CLK_DETM_DETIS_VBDS</v>
      </c>
      <c r="F1255" s="7" t="str">
        <f t="shared" si="154"/>
        <v>AMR1_RISL_DTS</v>
      </c>
      <c r="G1255" s="7" t="s">
        <v>825</v>
      </c>
      <c r="H1255" s="7" t="str">
        <f t="shared" si="155"/>
        <v>CLK_DETM_DETIS_VBDS</v>
      </c>
      <c r="I1255" s="7" t="str">
        <f t="shared" si="156"/>
        <v>AMR1_RISL_DTS</v>
      </c>
      <c r="J1255" s="7" t="str">
        <f t="shared" si="157"/>
        <v>TIMESTAMP</v>
      </c>
      <c r="K1255" s="7" t="str">
        <f>TRIM(ETLMetadata!$G1255)</f>
        <v>TIMESTAMP(6)</v>
      </c>
      <c r="L1255" s="7" t="str">
        <f>TRIM(ETLMetadata!$I1255)</f>
        <v>YYYY-MM-DDBHH:MI:SS.S(6)</v>
      </c>
      <c r="M1255" s="7" t="str">
        <f t="shared" si="158"/>
        <v>TO_TIMESTAMP_NTZ(NULLIF(TRIM(AMR1_RISL_DTS),''),'YYYY-MM-DD HH24:MI:SS.FF6')</v>
      </c>
      <c r="N1255" s="7" t="str">
        <f>TRIM(ETLMetadata!$J1255)</f>
        <v/>
      </c>
      <c r="O1255" s="8" t="str">
        <f>IF(TRIM(Classification!$G1255)="","NOT CONFIDENTIAL",TRIM(Classification!$G1255))</f>
        <v>NOT CONFIDENTIAL</v>
      </c>
      <c r="P1255" s="7" t="str">
        <f t="shared" si="159"/>
        <v>Y</v>
      </c>
      <c r="Q1255" s="7" t="s">
        <v>826</v>
      </c>
      <c r="R1255" s="9">
        <v>2958465</v>
      </c>
      <c r="S1255" s="7" t="s">
        <v>827</v>
      </c>
      <c r="T1255" s="7" t="s">
        <v>828</v>
      </c>
      <c r="U1255" s="7" t="str">
        <f t="shared" si="161"/>
        <v>CLK_DETM_DETIS_VBDS_V</v>
      </c>
      <c r="V1255" s="7" t="s">
        <v>829</v>
      </c>
    </row>
    <row r="1256" spans="1:22">
      <c r="A1256" s="7" t="str">
        <f>TRIM(ETLMetadata!$B1256)</f>
        <v>CLK</v>
      </c>
      <c r="B1256" s="7" t="str">
        <f>TRIM(ETLMetadata!$C1256)</f>
        <v>DETM_DETIS_VBDS</v>
      </c>
      <c r="C1256" s="7" t="str">
        <f>TRIM(ETLMetadata!$F1256)</f>
        <v>AMR3_RISL_DTS</v>
      </c>
      <c r="D1256" s="7" t="str">
        <f>TRIM(ETLMetadata!$H1256)</f>
        <v>StringType()</v>
      </c>
      <c r="E1256" s="7" t="str">
        <f t="shared" si="160"/>
        <v>CLK_DETM_DETIS_VBDS</v>
      </c>
      <c r="F1256" s="7" t="str">
        <f t="shared" si="154"/>
        <v>AMR3_RISL_DTS</v>
      </c>
      <c r="G1256" s="7" t="s">
        <v>825</v>
      </c>
      <c r="H1256" s="7" t="str">
        <f t="shared" si="155"/>
        <v>CLK_DETM_DETIS_VBDS</v>
      </c>
      <c r="I1256" s="7" t="str">
        <f t="shared" si="156"/>
        <v>AMR3_RISL_DTS</v>
      </c>
      <c r="J1256" s="7" t="str">
        <f t="shared" si="157"/>
        <v>TIMESTAMP</v>
      </c>
      <c r="K1256" s="7" t="str">
        <f>TRIM(ETLMetadata!$G1256)</f>
        <v>TIMESTAMP(6)</v>
      </c>
      <c r="L1256" s="7" t="str">
        <f>TRIM(ETLMetadata!$I1256)</f>
        <v>YYYY-MM-DDBHH:MI:SS.S(6)</v>
      </c>
      <c r="M1256" s="7" t="str">
        <f t="shared" si="158"/>
        <v>TO_TIMESTAMP_NTZ(NULLIF(TRIM(AMR3_RISL_DTS),''),'YYYY-MM-DD HH24:MI:SS.FF6')</v>
      </c>
      <c r="N1256" s="7" t="str">
        <f>TRIM(ETLMetadata!$J1256)</f>
        <v/>
      </c>
      <c r="O1256" s="8" t="str">
        <f>IF(TRIM(Classification!$G1256)="","NOT CONFIDENTIAL",TRIM(Classification!$G1256))</f>
        <v>NOT CONFIDENTIAL</v>
      </c>
      <c r="P1256" s="7" t="str">
        <f t="shared" si="159"/>
        <v>Y</v>
      </c>
      <c r="Q1256" s="7" t="s">
        <v>826</v>
      </c>
      <c r="R1256" s="9">
        <v>2958465</v>
      </c>
      <c r="S1256" s="7" t="s">
        <v>827</v>
      </c>
      <c r="T1256" s="7" t="s">
        <v>828</v>
      </c>
      <c r="U1256" s="7" t="str">
        <f t="shared" si="161"/>
        <v>CLK_DETM_DETIS_VBDS_V</v>
      </c>
      <c r="V1256" s="7" t="s">
        <v>829</v>
      </c>
    </row>
    <row r="1257" spans="1:22">
      <c r="A1257" s="7" t="str">
        <f>TRIM(ETLMetadata!$B1257)</f>
        <v>CLK</v>
      </c>
      <c r="B1257" s="7" t="str">
        <f>TRIM(ETLMetadata!$C1257)</f>
        <v>DETM_DETIS_VBDS</v>
      </c>
      <c r="C1257" s="7" t="str">
        <f>TRIM(ETLMetadata!$F1257)</f>
        <v>PARTY_ROLE_ID</v>
      </c>
      <c r="D1257" s="7" t="str">
        <f>TRIM(ETLMetadata!$H1257)</f>
        <v>StringType()</v>
      </c>
      <c r="E1257" s="7" t="str">
        <f t="shared" si="160"/>
        <v>CLK_DETM_DETIS_VBDS</v>
      </c>
      <c r="F1257" s="7" t="str">
        <f t="shared" si="154"/>
        <v>PARTY_ROLE_ID</v>
      </c>
      <c r="G1257" s="7" t="s">
        <v>825</v>
      </c>
      <c r="H1257" s="7" t="str">
        <f t="shared" si="155"/>
        <v>CLK_DETM_DETIS_VBDS</v>
      </c>
      <c r="I1257" s="7" t="str">
        <f t="shared" si="156"/>
        <v>PARTY_ROLE_ID</v>
      </c>
      <c r="J1257" s="7" t="str">
        <f t="shared" si="157"/>
        <v>INTEGER</v>
      </c>
      <c r="K1257" s="7" t="str">
        <f>TRIM(ETLMetadata!$G1257)</f>
        <v>INTEGER</v>
      </c>
      <c r="L1257" s="7" t="str">
        <f>TRIM(ETLMetadata!$I1257)</f>
        <v/>
      </c>
      <c r="M1257" s="7" t="str">
        <f t="shared" si="158"/>
        <v>CAST(NULLIF(TRIM(PARTY_ROLE_ID),'') AS INTEGER)</v>
      </c>
      <c r="N1257" s="7" t="str">
        <f>TRIM(ETLMetadata!$J1257)</f>
        <v/>
      </c>
      <c r="O1257" s="8" t="str">
        <f>IF(TRIM(Classification!$G1257)="","NOT CONFIDENTIAL",TRIM(Classification!$G1257))</f>
        <v>NOT CONFIDENTIAL</v>
      </c>
      <c r="P1257" s="7" t="str">
        <f t="shared" si="159"/>
        <v>Y</v>
      </c>
      <c r="Q1257" s="7" t="s">
        <v>826</v>
      </c>
      <c r="R1257" s="9">
        <v>2958465</v>
      </c>
      <c r="S1257" s="7" t="s">
        <v>827</v>
      </c>
      <c r="T1257" s="7" t="s">
        <v>828</v>
      </c>
      <c r="U1257" s="7" t="str">
        <f t="shared" si="161"/>
        <v>CLK_DETM_DETIS_VBDS_V</v>
      </c>
      <c r="V1257" s="7" t="s">
        <v>829</v>
      </c>
    </row>
    <row r="1258" spans="1:22">
      <c r="A1258" s="7" t="str">
        <f>TRIM(ETLMetadata!$B1258)</f>
        <v>CLK</v>
      </c>
      <c r="B1258" s="7" t="str">
        <f>TRIM(ETLMetadata!$C1258)</f>
        <v>DETM_DETIS_VBDS</v>
      </c>
      <c r="C1258" s="7" t="str">
        <f>TRIM(ETLMetadata!$F1258)</f>
        <v>EPISODE_ID</v>
      </c>
      <c r="D1258" s="7" t="str">
        <f>TRIM(ETLMetadata!$H1258)</f>
        <v>StringType()</v>
      </c>
      <c r="E1258" s="7" t="str">
        <f t="shared" si="160"/>
        <v>CLK_DETM_DETIS_VBDS</v>
      </c>
      <c r="F1258" s="7" t="str">
        <f t="shared" si="154"/>
        <v>EPISODE_ID</v>
      </c>
      <c r="G1258" s="7" t="s">
        <v>825</v>
      </c>
      <c r="H1258" s="7" t="str">
        <f t="shared" si="155"/>
        <v>CLK_DETM_DETIS_VBDS</v>
      </c>
      <c r="I1258" s="7" t="str">
        <f t="shared" si="156"/>
        <v>EPISODE_ID</v>
      </c>
      <c r="J1258" s="7" t="str">
        <f t="shared" si="157"/>
        <v>INTEGER</v>
      </c>
      <c r="K1258" s="7" t="str">
        <f>TRIM(ETLMetadata!$G1258)</f>
        <v>INTEGER</v>
      </c>
      <c r="L1258" s="7" t="str">
        <f>TRIM(ETLMetadata!$I1258)</f>
        <v/>
      </c>
      <c r="M1258" s="7" t="str">
        <f t="shared" si="158"/>
        <v>CAST(NULLIF(TRIM(EPISODE_ID),'') AS INTEGER)</v>
      </c>
      <c r="N1258" s="7" t="str">
        <f>TRIM(ETLMetadata!$J1258)</f>
        <v/>
      </c>
      <c r="O1258" s="8" t="str">
        <f>IF(TRIM(Classification!$G1258)="","NOT CONFIDENTIAL",TRIM(Classification!$G1258))</f>
        <v>NOT CONFIDENTIAL</v>
      </c>
      <c r="P1258" s="7" t="str">
        <f t="shared" si="159"/>
        <v>Y</v>
      </c>
      <c r="Q1258" s="7" t="s">
        <v>826</v>
      </c>
      <c r="R1258" s="9">
        <v>2958465</v>
      </c>
      <c r="S1258" s="7" t="s">
        <v>827</v>
      </c>
      <c r="T1258" s="7" t="s">
        <v>828</v>
      </c>
      <c r="U1258" s="7" t="str">
        <f t="shared" si="161"/>
        <v>CLK_DETM_DETIS_VBDS_V</v>
      </c>
      <c r="V1258" s="7" t="s">
        <v>829</v>
      </c>
    </row>
    <row r="1259" spans="1:22">
      <c r="A1259" s="7" t="str">
        <f>TRIM(ETLMetadata!$B1259)</f>
        <v>CLK</v>
      </c>
      <c r="B1259" s="7" t="str">
        <f>TRIM(ETLMetadata!$C1259)</f>
        <v>DETM_DETIS_VBDS</v>
      </c>
      <c r="C1259" s="7" t="str">
        <f>TRIM(ETLMetadata!$F1259)</f>
        <v>PAYMENT_TYPE_ID</v>
      </c>
      <c r="D1259" s="7" t="str">
        <f>TRIM(ETLMetadata!$H1259)</f>
        <v>StringType()</v>
      </c>
      <c r="E1259" s="7" t="str">
        <f t="shared" si="160"/>
        <v>CLK_DETM_DETIS_VBDS</v>
      </c>
      <c r="F1259" s="7" t="str">
        <f t="shared" si="154"/>
        <v>PAYMENT_TYPE_ID</v>
      </c>
      <c r="G1259" s="7" t="s">
        <v>825</v>
      </c>
      <c r="H1259" s="7" t="str">
        <f t="shared" si="155"/>
        <v>CLK_DETM_DETIS_VBDS</v>
      </c>
      <c r="I1259" s="7" t="str">
        <f t="shared" si="156"/>
        <v>PAYMENT_TYPE_ID</v>
      </c>
      <c r="J1259" s="7" t="str">
        <f t="shared" si="157"/>
        <v>INTEGER</v>
      </c>
      <c r="K1259" s="7" t="str">
        <f>TRIM(ETLMetadata!$G1259)</f>
        <v>INTEGER</v>
      </c>
      <c r="L1259" s="7" t="str">
        <f>TRIM(ETLMetadata!$I1259)</f>
        <v/>
      </c>
      <c r="M1259" s="7" t="str">
        <f t="shared" si="158"/>
        <v>CAST(NULLIF(TRIM(PAYMENT_TYPE_ID),'') AS INTEGER)</v>
      </c>
      <c r="N1259" s="7" t="str">
        <f>TRIM(ETLMetadata!$J1259)</f>
        <v/>
      </c>
      <c r="O1259" s="8" t="str">
        <f>IF(TRIM(Classification!$G1259)="","NOT CONFIDENTIAL",TRIM(Classification!$G1259))</f>
        <v>NOT CONFIDENTIAL</v>
      </c>
      <c r="P1259" s="7" t="str">
        <f t="shared" si="159"/>
        <v>Y</v>
      </c>
      <c r="Q1259" s="7" t="s">
        <v>826</v>
      </c>
      <c r="R1259" s="9">
        <v>2958465</v>
      </c>
      <c r="S1259" s="7" t="s">
        <v>827</v>
      </c>
      <c r="T1259" s="7" t="s">
        <v>828</v>
      </c>
      <c r="U1259" s="7" t="str">
        <f t="shared" si="161"/>
        <v>CLK_DETM_DETIS_VBDS_V</v>
      </c>
      <c r="V1259" s="7" t="s">
        <v>829</v>
      </c>
    </row>
    <row r="1260" spans="1:22">
      <c r="A1260" s="7" t="str">
        <f>TRIM(ETLMetadata!$B1260)</f>
        <v>CLK</v>
      </c>
      <c r="B1260" s="7" t="str">
        <f>TRIM(ETLMetadata!$C1260)</f>
        <v>DETM_DETIS_VBDS</v>
      </c>
      <c r="C1260" s="7" t="str">
        <f>TRIM(ETLMetadata!$F1260)</f>
        <v>ERROR_COUNT</v>
      </c>
      <c r="D1260" s="7" t="str">
        <f>TRIM(ETLMetadata!$H1260)</f>
        <v>StringType()</v>
      </c>
      <c r="E1260" s="7" t="str">
        <f t="shared" si="160"/>
        <v>CLK_DETM_DETIS_VBDS</v>
      </c>
      <c r="F1260" s="7" t="str">
        <f t="shared" si="154"/>
        <v>ERROR_COUNT</v>
      </c>
      <c r="G1260" s="7" t="s">
        <v>825</v>
      </c>
      <c r="H1260" s="7" t="str">
        <f t="shared" si="155"/>
        <v>CLK_DETM_DETIS_VBDS</v>
      </c>
      <c r="I1260" s="7" t="str">
        <f t="shared" si="156"/>
        <v>ERROR_COUNT</v>
      </c>
      <c r="J1260" s="7" t="str">
        <f t="shared" si="157"/>
        <v>SMALLINT</v>
      </c>
      <c r="K1260" s="7" t="str">
        <f>TRIM(ETLMetadata!$G1260)</f>
        <v>SMALLINT</v>
      </c>
      <c r="L1260" s="7" t="str">
        <f>TRIM(ETLMetadata!$I1260)</f>
        <v/>
      </c>
      <c r="M1260" s="7" t="str">
        <f t="shared" si="158"/>
        <v>CAST(NULLIF(TRIM(ERROR_COUNT),'') AS SMALLINT)</v>
      </c>
      <c r="N1260" s="7" t="str">
        <f>TRIM(ETLMetadata!$J1260)</f>
        <v/>
      </c>
      <c r="O1260" s="8" t="str">
        <f>IF(TRIM(Classification!$G1260)="","NOT CONFIDENTIAL",TRIM(Classification!$G1260))</f>
        <v>NOT CONFIDENTIAL</v>
      </c>
      <c r="P1260" s="7" t="str">
        <f t="shared" si="159"/>
        <v>Y</v>
      </c>
      <c r="Q1260" s="7" t="s">
        <v>826</v>
      </c>
      <c r="R1260" s="9">
        <v>2958465</v>
      </c>
      <c r="S1260" s="7" t="s">
        <v>827</v>
      </c>
      <c r="T1260" s="7" t="s">
        <v>828</v>
      </c>
      <c r="U1260" s="7" t="str">
        <f t="shared" si="161"/>
        <v>CLK_DETM_DETIS_VBDS_V</v>
      </c>
      <c r="V1260" s="7" t="s">
        <v>829</v>
      </c>
    </row>
    <row r="1261" spans="1:22">
      <c r="A1261" s="7" t="str">
        <f>TRIM(ETLMetadata!$B1261)</f>
        <v>CLK</v>
      </c>
      <c r="B1261" s="7" t="str">
        <f>TRIM(ETLMetadata!$C1261)</f>
        <v>DETM_DETIS_VBDS</v>
      </c>
      <c r="C1261" s="7" t="str">
        <f>TRIM(ETLMetadata!$F1261)</f>
        <v>Start_Date</v>
      </c>
      <c r="D1261" s="7" t="str">
        <f>TRIM(ETLMetadata!$H1261)</f>
        <v>StringType()</v>
      </c>
      <c r="E1261" s="7" t="str">
        <f t="shared" si="160"/>
        <v>CLK_DETM_DETIS_VBDS</v>
      </c>
      <c r="F1261" s="7" t="str">
        <f t="shared" si="154"/>
        <v>STRT_DT</v>
      </c>
      <c r="G1261" s="7" t="s">
        <v>825</v>
      </c>
      <c r="H1261" s="7" t="str">
        <f t="shared" si="155"/>
        <v>CLK_DETM_DETIS_VBDS</v>
      </c>
      <c r="I1261" s="7" t="str">
        <f t="shared" si="156"/>
        <v>STRT_DT</v>
      </c>
      <c r="J1261" s="7" t="str">
        <f t="shared" si="157"/>
        <v>DATE</v>
      </c>
      <c r="K1261" s="7" t="str">
        <f>TRIM(ETLMetadata!$G1261)</f>
        <v>DATE</v>
      </c>
      <c r="L1261" s="7" t="str">
        <f>TRIM(ETLMetadata!$I1261)</f>
        <v>YYYY-MM-DD</v>
      </c>
      <c r="M1261" s="7" t="str">
        <f t="shared" si="158"/>
        <v>TO_DATE(NULLIF(TRIM(STRT_DT),'') , 'YYYY-MM-DD')</v>
      </c>
      <c r="N1261" s="7" t="str">
        <f>TRIM(ETLMetadata!$J1261)</f>
        <v/>
      </c>
      <c r="O1261" s="8" t="str">
        <f>IF(TRIM(Classification!$G1261)="","NOT CONFIDENTIAL",TRIM(Classification!$G1261))</f>
        <v>NOT CONFIDENTIAL</v>
      </c>
      <c r="P1261" s="7" t="str">
        <f t="shared" si="159"/>
        <v>N</v>
      </c>
      <c r="Q1261" s="7" t="s">
        <v>826</v>
      </c>
      <c r="R1261" s="9">
        <v>2958465</v>
      </c>
      <c r="S1261" s="7" t="s">
        <v>827</v>
      </c>
      <c r="T1261" s="7" t="s">
        <v>828</v>
      </c>
      <c r="U1261" s="7" t="str">
        <f t="shared" si="161"/>
        <v>CLK_DETM_DETIS_VBDS_V</v>
      </c>
      <c r="V1261" s="7" t="s">
        <v>829</v>
      </c>
    </row>
    <row r="1262" spans="1:22">
      <c r="A1262" s="7" t="str">
        <f>TRIM(ETLMetadata!$B1262)</f>
        <v>CLK</v>
      </c>
      <c r="B1262" s="7" t="str">
        <f>TRIM(ETLMetadata!$C1262)</f>
        <v>DETM_DETIS_VBDS</v>
      </c>
      <c r="C1262" s="7" t="str">
        <f>TRIM(ETLMetadata!$F1262)</f>
        <v>End_Date</v>
      </c>
      <c r="D1262" s="7" t="str">
        <f>TRIM(ETLMetadata!$H1262)</f>
        <v>StringType()</v>
      </c>
      <c r="E1262" s="7" t="str">
        <f t="shared" si="160"/>
        <v>CLK_DETM_DETIS_VBDS</v>
      </c>
      <c r="F1262" s="7" t="str">
        <f t="shared" si="154"/>
        <v>END_DT</v>
      </c>
      <c r="G1262" s="7" t="s">
        <v>825</v>
      </c>
      <c r="H1262" s="7" t="str">
        <f t="shared" si="155"/>
        <v>CLK_DETM_DETIS_VBDS</v>
      </c>
      <c r="I1262" s="7" t="str">
        <f t="shared" si="156"/>
        <v>END_DT</v>
      </c>
      <c r="J1262" s="7" t="str">
        <f t="shared" si="157"/>
        <v>DATE</v>
      </c>
      <c r="K1262" s="7" t="str">
        <f>TRIM(ETLMetadata!$G1262)</f>
        <v>DATE</v>
      </c>
      <c r="L1262" s="7" t="str">
        <f>TRIM(ETLMetadata!$I1262)</f>
        <v>YYYY-MM-DD</v>
      </c>
      <c r="M1262" s="7" t="str">
        <f t="shared" si="158"/>
        <v>TO_DATE(NULLIF(TRIM(END_DT),'') , 'YYYY-MM-DD')</v>
      </c>
      <c r="N1262" s="7" t="str">
        <f>TRIM(ETLMetadata!$J1262)</f>
        <v/>
      </c>
      <c r="O1262" s="8" t="str">
        <f>IF(TRIM(Classification!$G1262)="","NOT CONFIDENTIAL",TRIM(Classification!$G1262))</f>
        <v>NOT CONFIDENTIAL</v>
      </c>
      <c r="P1262" s="7" t="str">
        <f t="shared" si="159"/>
        <v>N</v>
      </c>
      <c r="Q1262" s="7" t="s">
        <v>826</v>
      </c>
      <c r="R1262" s="9">
        <v>2958465</v>
      </c>
      <c r="S1262" s="7" t="s">
        <v>827</v>
      </c>
      <c r="T1262" s="7" t="s">
        <v>828</v>
      </c>
      <c r="U1262" s="7" t="str">
        <f t="shared" si="161"/>
        <v>CLK_DETM_DETIS_VBDS_V</v>
      </c>
      <c r="V1262" s="7" t="s">
        <v>829</v>
      </c>
    </row>
    <row r="1263" spans="1:22">
      <c r="A1263" s="7" t="str">
        <f>TRIM(ETLMetadata!$B1263)</f>
        <v>CLK</v>
      </c>
      <c r="B1263" s="7" t="str">
        <f>TRIM(ETLMetadata!$C1263)</f>
        <v>DETM_DETIS_VBDS</v>
      </c>
      <c r="C1263" s="7" t="str">
        <f>TRIM(ETLMetadata!$F1263)</f>
        <v>Record_Deleted_Flag</v>
      </c>
      <c r="D1263" s="7" t="str">
        <f>TRIM(ETLMetadata!$H1263)</f>
        <v>StringType()</v>
      </c>
      <c r="E1263" s="7" t="str">
        <f t="shared" si="160"/>
        <v>CLK_DETM_DETIS_VBDS</v>
      </c>
      <c r="F1263" s="7" t="str">
        <f t="shared" si="154"/>
        <v>RCRD_DEL_IND</v>
      </c>
      <c r="G1263" s="7" t="s">
        <v>825</v>
      </c>
      <c r="H1263" s="7" t="str">
        <f t="shared" si="155"/>
        <v>CLK_DETM_DETIS_VBDS</v>
      </c>
      <c r="I1263" s="7" t="str">
        <f t="shared" si="156"/>
        <v>RCRD_DEL_IND</v>
      </c>
      <c r="J1263" s="7" t="str">
        <f t="shared" si="157"/>
        <v>SMALLINT</v>
      </c>
      <c r="K1263" s="7" t="str">
        <f>TRIM(ETLMetadata!$G1263)</f>
        <v>BYTEINT</v>
      </c>
      <c r="L1263" s="7" t="str">
        <f>TRIM(ETLMetadata!$I1263)</f>
        <v/>
      </c>
      <c r="M1263" s="7" t="str">
        <f t="shared" si="158"/>
        <v>CAST(NULLIF(TRIM(RCRD_DEL_IND),'') AS SMALLINT)</v>
      </c>
      <c r="N1263" s="7" t="str">
        <f>TRIM(ETLMetadata!$J1263)</f>
        <v/>
      </c>
      <c r="O1263" s="8" t="str">
        <f>IF(TRIM(Classification!$G1263)="","NOT CONFIDENTIAL",TRIM(Classification!$G1263))</f>
        <v>NOT CONFIDENTIAL</v>
      </c>
      <c r="P1263" s="7" t="str">
        <f t="shared" si="159"/>
        <v>N</v>
      </c>
      <c r="Q1263" s="7" t="s">
        <v>826</v>
      </c>
      <c r="R1263" s="9">
        <v>2958465</v>
      </c>
      <c r="S1263" s="7" t="s">
        <v>827</v>
      </c>
      <c r="T1263" s="7" t="s">
        <v>828</v>
      </c>
      <c r="U1263" s="7" t="str">
        <f t="shared" si="161"/>
        <v>CLK_DETM_DETIS_VBDS_V</v>
      </c>
      <c r="V1263" s="7" t="s">
        <v>829</v>
      </c>
    </row>
    <row r="1264" spans="1:22">
      <c r="A1264" s="7" t="str">
        <f>TRIM(ETLMetadata!$B1264)</f>
        <v>CLK</v>
      </c>
      <c r="B1264" s="7" t="str">
        <f>TRIM(ETLMetadata!$C1264)</f>
        <v>DETM_DETIS_YBDS</v>
      </c>
      <c r="C1264" s="7" t="str">
        <f>TRIM(ETLMetadata!$F1264)</f>
        <v>EXTRACT_DATE</v>
      </c>
      <c r="D1264" s="7" t="str">
        <f>TRIM(ETLMetadata!$H1264)</f>
        <v>StringType()</v>
      </c>
      <c r="E1264" s="7" t="str">
        <f t="shared" si="160"/>
        <v>CLK_DETM_DETIS_YBDS</v>
      </c>
      <c r="F1264" s="7" t="str">
        <f t="shared" si="154"/>
        <v>EXTRACT_DATE</v>
      </c>
      <c r="G1264" s="7" t="s">
        <v>825</v>
      </c>
      <c r="H1264" s="7" t="str">
        <f t="shared" si="155"/>
        <v>CLK_DETM_DETIS_YBDS</v>
      </c>
      <c r="I1264" s="7" t="str">
        <f t="shared" si="156"/>
        <v>EXTRACT_DATE</v>
      </c>
      <c r="J1264" s="7" t="str">
        <f t="shared" si="157"/>
        <v>DATE</v>
      </c>
      <c r="K1264" s="7" t="str">
        <f>TRIM(ETLMetadata!$G1264)</f>
        <v>DATE</v>
      </c>
      <c r="L1264" s="7" t="str">
        <f>TRIM(ETLMetadata!$I1264)</f>
        <v>YYYY-MM-DD</v>
      </c>
      <c r="M1264" s="7" t="str">
        <f t="shared" si="158"/>
        <v>TO_DATE(NULLIF(TRIM(EXTRACT_DATE),'') , 'YYYY-MM-DD')</v>
      </c>
      <c r="N1264" s="7" t="str">
        <f>TRIM(ETLMetadata!$J1264)</f>
        <v/>
      </c>
      <c r="O1264" s="8" t="str">
        <f>IF(TRIM(Classification!$G1264)="","NOT CONFIDENTIAL",TRIM(Classification!$G1264))</f>
        <v>NOT CONFIDENTIAL</v>
      </c>
      <c r="P1264" s="7" t="str">
        <f t="shared" si="159"/>
        <v>Y</v>
      </c>
      <c r="Q1264" s="7" t="s">
        <v>826</v>
      </c>
      <c r="R1264" s="9">
        <v>2958465</v>
      </c>
      <c r="S1264" s="7" t="s">
        <v>827</v>
      </c>
      <c r="T1264" s="7" t="s">
        <v>828</v>
      </c>
      <c r="U1264" s="7" t="str">
        <f t="shared" si="161"/>
        <v>CLK_DETM_DETIS_YBDS_V</v>
      </c>
      <c r="V1264" s="7" t="s">
        <v>829</v>
      </c>
    </row>
    <row r="1265" spans="1:22">
      <c r="A1265" s="7" t="str">
        <f>TRIM(ETLMetadata!$B1265)</f>
        <v>CLK</v>
      </c>
      <c r="B1265" s="7" t="str">
        <f>TRIM(ETLMetadata!$C1265)</f>
        <v>DETM_DETIS_YBDS</v>
      </c>
      <c r="C1265" s="7" t="str">
        <f>TRIM(ETLMetadata!$F1265)</f>
        <v>LOGICAL_DELETE_DATE</v>
      </c>
      <c r="D1265" s="7" t="str">
        <f>TRIM(ETLMetadata!$H1265)</f>
        <v>StringType()</v>
      </c>
      <c r="E1265" s="7" t="str">
        <f t="shared" si="160"/>
        <v>CLK_DETM_DETIS_YBDS</v>
      </c>
      <c r="F1265" s="7" t="str">
        <f t="shared" si="154"/>
        <v>LOGICAL_DELETE_DATE</v>
      </c>
      <c r="G1265" s="7" t="s">
        <v>825</v>
      </c>
      <c r="H1265" s="7" t="str">
        <f t="shared" si="155"/>
        <v>CLK_DETM_DETIS_YBDS</v>
      </c>
      <c r="I1265" s="7" t="str">
        <f t="shared" si="156"/>
        <v>LOGICAL_DELETE_DATE</v>
      </c>
      <c r="J1265" s="7" t="str">
        <f t="shared" si="157"/>
        <v>DATE</v>
      </c>
      <c r="K1265" s="7" t="str">
        <f>TRIM(ETLMetadata!$G1265)</f>
        <v>DATE</v>
      </c>
      <c r="L1265" s="7" t="str">
        <f>TRIM(ETLMetadata!$I1265)</f>
        <v>YYYY-MM-DD</v>
      </c>
      <c r="M1265" s="7" t="str">
        <f t="shared" si="158"/>
        <v>TO_DATE(NULLIF(TRIM(LOGICAL_DELETE_DATE),'') , 'YYYY-MM-DD')</v>
      </c>
      <c r="N1265" s="7" t="str">
        <f>TRIM(ETLMetadata!$J1265)</f>
        <v/>
      </c>
      <c r="O1265" s="8" t="str">
        <f>IF(TRIM(Classification!$G1265)="","NOT CONFIDENTIAL",TRIM(Classification!$G1265))</f>
        <v>NOT CONFIDENTIAL</v>
      </c>
      <c r="P1265" s="7" t="str">
        <f t="shared" si="159"/>
        <v>Y</v>
      </c>
      <c r="Q1265" s="7" t="s">
        <v>826</v>
      </c>
      <c r="R1265" s="9">
        <v>2958465</v>
      </c>
      <c r="S1265" s="7" t="s">
        <v>827</v>
      </c>
      <c r="T1265" s="7" t="s">
        <v>828</v>
      </c>
      <c r="U1265" s="7" t="str">
        <f t="shared" si="161"/>
        <v>CLK_DETM_DETIS_YBDS_V</v>
      </c>
      <c r="V1265" s="7" t="s">
        <v>829</v>
      </c>
    </row>
    <row r="1266" spans="1:22">
      <c r="A1266" s="7" t="str">
        <f>TRIM(ETLMetadata!$B1266)</f>
        <v>CLK</v>
      </c>
      <c r="B1266" s="7" t="str">
        <f>TRIM(ETLMetadata!$C1266)</f>
        <v>DETM_DETIS_YBDS</v>
      </c>
      <c r="C1266" s="7" t="str">
        <f>TRIM(ETLMetadata!$F1266)</f>
        <v>ENVIRONMENT_ID</v>
      </c>
      <c r="D1266" s="7" t="str">
        <f>TRIM(ETLMetadata!$H1266)</f>
        <v>StringType()</v>
      </c>
      <c r="E1266" s="7" t="str">
        <f t="shared" si="160"/>
        <v>CLK_DETM_DETIS_YBDS</v>
      </c>
      <c r="F1266" s="7" t="str">
        <f t="shared" si="154"/>
        <v>ENVIRONMENT_ID</v>
      </c>
      <c r="G1266" s="7" t="s">
        <v>825</v>
      </c>
      <c r="H1266" s="7" t="str">
        <f t="shared" si="155"/>
        <v>CLK_DETM_DETIS_YBDS</v>
      </c>
      <c r="I1266" s="7" t="str">
        <f t="shared" si="156"/>
        <v>ENVIRONMENT_ID</v>
      </c>
      <c r="J1266" s="7" t="str">
        <f t="shared" si="157"/>
        <v>VARCHAR</v>
      </c>
      <c r="K1266" s="7" t="str">
        <f>TRIM(ETLMetadata!$G1266)</f>
        <v>CHAR(1)</v>
      </c>
      <c r="L1266" s="7" t="str">
        <f>TRIM(ETLMetadata!$I1266)</f>
        <v/>
      </c>
      <c r="M1266" s="7" t="str">
        <f t="shared" si="158"/>
        <v>NULLIF(TRIM(ENVIRONMENT_ID),'')</v>
      </c>
      <c r="N1266" s="7" t="str">
        <f>TRIM(ETLMetadata!$J1266)</f>
        <v>Y</v>
      </c>
      <c r="O1266" s="8" t="str">
        <f>IF(TRIM(Classification!$G1266)="","NOT CONFIDENTIAL",TRIM(Classification!$G1266))</f>
        <v>NOT CONFIDENTIAL</v>
      </c>
      <c r="P1266" s="7" t="str">
        <f t="shared" si="159"/>
        <v>Y</v>
      </c>
      <c r="Q1266" s="7" t="s">
        <v>826</v>
      </c>
      <c r="R1266" s="9">
        <v>2958465</v>
      </c>
      <c r="S1266" s="7" t="s">
        <v>827</v>
      </c>
      <c r="T1266" s="7" t="s">
        <v>828</v>
      </c>
      <c r="U1266" s="7" t="str">
        <f t="shared" si="161"/>
        <v>CLK_DETM_DETIS_YBDS_V</v>
      </c>
      <c r="V1266" s="7" t="s">
        <v>829</v>
      </c>
    </row>
    <row r="1267" spans="1:22">
      <c r="A1267" s="7" t="str">
        <f>TRIM(ETLMetadata!$B1267)</f>
        <v>CLK</v>
      </c>
      <c r="B1267" s="7" t="str">
        <f>TRIM(ETLMetadata!$C1267)</f>
        <v>DETM_DETIS_YBDS</v>
      </c>
      <c r="C1267" s="7" t="str">
        <f>TRIM(ETLMetadata!$F1267)</f>
        <v>PERSON_ID</v>
      </c>
      <c r="D1267" s="7" t="str">
        <f>TRIM(ETLMetadata!$H1267)</f>
        <v>StringType()</v>
      </c>
      <c r="E1267" s="7" t="str">
        <f t="shared" si="160"/>
        <v>CLK_DETM_DETIS_YBDS</v>
      </c>
      <c r="F1267" s="7" t="str">
        <f t="shared" si="154"/>
        <v>PERSON_ID</v>
      </c>
      <c r="G1267" s="7" t="s">
        <v>825</v>
      </c>
      <c r="H1267" s="7" t="str">
        <f t="shared" si="155"/>
        <v>CLK_DETM_DETIS_YBDS</v>
      </c>
      <c r="I1267" s="7" t="str">
        <f t="shared" si="156"/>
        <v>PERSON_ID</v>
      </c>
      <c r="J1267" s="7" t="str">
        <f t="shared" si="157"/>
        <v>INTEGER</v>
      </c>
      <c r="K1267" s="7" t="str">
        <f>TRIM(ETLMetadata!$G1267)</f>
        <v>INTEGER</v>
      </c>
      <c r="L1267" s="7" t="str">
        <f>TRIM(ETLMetadata!$I1267)</f>
        <v/>
      </c>
      <c r="M1267" s="7" t="str">
        <f t="shared" si="158"/>
        <v>CAST(NULLIF(TRIM(PERSON_ID),'') AS INTEGER)</v>
      </c>
      <c r="N1267" s="7" t="str">
        <f>TRIM(ETLMetadata!$J1267)</f>
        <v>Y</v>
      </c>
      <c r="O1267" s="8" t="str">
        <f>IF(TRIM(Classification!$G1267)="","NOT CONFIDENTIAL",TRIM(Classification!$G1267))</f>
        <v>PERSONAL_IDENTITYINFOINDIRECT</v>
      </c>
      <c r="P1267" s="7" t="str">
        <f t="shared" si="159"/>
        <v>Y</v>
      </c>
      <c r="Q1267" s="7" t="s">
        <v>826</v>
      </c>
      <c r="R1267" s="9">
        <v>2958465</v>
      </c>
      <c r="S1267" s="7" t="s">
        <v>827</v>
      </c>
      <c r="T1267" s="7" t="s">
        <v>828</v>
      </c>
      <c r="U1267" s="7" t="str">
        <f t="shared" si="161"/>
        <v>CLK_DETM_DETIS_YBDS_V</v>
      </c>
      <c r="V1267" s="7" t="s">
        <v>829</v>
      </c>
    </row>
    <row r="1268" spans="1:22">
      <c r="A1268" s="7" t="str">
        <f>TRIM(ETLMetadata!$B1268)</f>
        <v>CLK</v>
      </c>
      <c r="B1268" s="7" t="str">
        <f>TRIM(ETLMetadata!$C1268)</f>
        <v>DETM_DETIS_YBDS</v>
      </c>
      <c r="C1268" s="7" t="str">
        <f>TRIM(ETLMetadata!$F1268)</f>
        <v>YBDS_DOE</v>
      </c>
      <c r="D1268" s="7" t="str">
        <f>TRIM(ETLMetadata!$H1268)</f>
        <v>StringType()</v>
      </c>
      <c r="E1268" s="7" t="str">
        <f t="shared" si="160"/>
        <v>CLK_DETM_DETIS_YBDS</v>
      </c>
      <c r="F1268" s="7" t="str">
        <f t="shared" si="154"/>
        <v>YBDS_DOE</v>
      </c>
      <c r="G1268" s="7" t="s">
        <v>825</v>
      </c>
      <c r="H1268" s="7" t="str">
        <f t="shared" si="155"/>
        <v>CLK_DETM_DETIS_YBDS</v>
      </c>
      <c r="I1268" s="7" t="str">
        <f t="shared" si="156"/>
        <v>YBDS_DOE</v>
      </c>
      <c r="J1268" s="7" t="str">
        <f t="shared" si="157"/>
        <v>DATE</v>
      </c>
      <c r="K1268" s="17" t="s">
        <v>80</v>
      </c>
      <c r="L1268" s="7" t="str">
        <f>TRIM(ETLMetadata!$I1268)</f>
        <v>YYYY-MM-DD</v>
      </c>
      <c r="M1268" s="7" t="str">
        <f t="shared" si="158"/>
        <v>TO_DATE(NULLIF(TRIM(YBDS_DOE),'') , 'YYYY-MM-DD')</v>
      </c>
      <c r="N1268" s="7" t="str">
        <f>TRIM(ETLMetadata!$J1268)</f>
        <v/>
      </c>
      <c r="O1268" s="8" t="str">
        <f>IF(TRIM(Classification!$G1268)="","NOT CONFIDENTIAL",TRIM(Classification!$G1268))</f>
        <v>NOT CONFIDENTIAL</v>
      </c>
      <c r="P1268" s="7" t="str">
        <f t="shared" si="159"/>
        <v>Y</v>
      </c>
      <c r="Q1268" s="7" t="s">
        <v>826</v>
      </c>
      <c r="R1268" s="9">
        <v>2958465</v>
      </c>
      <c r="S1268" s="7" t="s">
        <v>827</v>
      </c>
      <c r="T1268" s="7" t="s">
        <v>828</v>
      </c>
      <c r="U1268" s="7" t="str">
        <f t="shared" si="161"/>
        <v>CLK_DETM_DETIS_YBDS_V</v>
      </c>
      <c r="V1268" s="7" t="s">
        <v>829</v>
      </c>
    </row>
    <row r="1269" spans="1:22">
      <c r="A1269" s="7" t="str">
        <f>TRIM(ETLMetadata!$B1269)</f>
        <v>CLK</v>
      </c>
      <c r="B1269" s="7" t="str">
        <f>TRIM(ETLMetadata!$C1269)</f>
        <v>DETM_DETIS_YBDS</v>
      </c>
      <c r="C1269" s="7" t="str">
        <f>TRIM(ETLMetadata!$F1269)</f>
        <v>YBDS_DOE_ORIG</v>
      </c>
      <c r="D1269" s="7" t="str">
        <f>TRIM(ETLMetadata!$H1269)</f>
        <v>StringType()</v>
      </c>
      <c r="E1269" s="7" t="str">
        <f t="shared" si="160"/>
        <v>CLK_DETM_DETIS_YBDS</v>
      </c>
      <c r="F1269" s="7" t="str">
        <f t="shared" si="154"/>
        <v>YBDS_DOE_ORIG</v>
      </c>
      <c r="G1269" s="7" t="s">
        <v>825</v>
      </c>
      <c r="H1269" s="7" t="str">
        <f t="shared" si="155"/>
        <v>CLK_DETM_DETIS_YBDS</v>
      </c>
      <c r="I1269" s="7" t="str">
        <f t="shared" si="156"/>
        <v>YBDS_DOE_ORIG</v>
      </c>
      <c r="J1269" s="7" t="str">
        <f t="shared" si="157"/>
        <v>INTEGER</v>
      </c>
      <c r="K1269" s="17" t="s">
        <v>90</v>
      </c>
      <c r="L1269" s="7" t="str">
        <f>TRIM(ETLMetadata!$I1269)</f>
        <v/>
      </c>
      <c r="M1269" s="7" t="str">
        <f t="shared" si="158"/>
        <v>CAST(NULLIF(TRIM(YBDS_DOE_ORIG),'') AS INTEGER)</v>
      </c>
      <c r="N1269" s="7" t="str">
        <f>TRIM(ETLMetadata!$J1269)</f>
        <v/>
      </c>
      <c r="O1269" s="8" t="str">
        <f>IF(TRIM(Classification!$G1269)="","NOT CONFIDENTIAL",TRIM(Classification!$G1269))</f>
        <v>NOT CONFIDENTIAL</v>
      </c>
      <c r="P1269" s="7" t="str">
        <f t="shared" si="159"/>
        <v>Y</v>
      </c>
      <c r="Q1269" s="7" t="s">
        <v>826</v>
      </c>
      <c r="R1269" s="9">
        <v>2958465</v>
      </c>
      <c r="S1269" s="7" t="s">
        <v>827</v>
      </c>
      <c r="T1269" s="7" t="s">
        <v>828</v>
      </c>
      <c r="U1269" s="7" t="str">
        <f t="shared" si="161"/>
        <v>CLK_DETM_DETIS_YBDS_V</v>
      </c>
      <c r="V1269" s="7" t="s">
        <v>829</v>
      </c>
    </row>
    <row r="1270" spans="1:22">
      <c r="A1270" s="7" t="str">
        <f>TRIM(ETLMetadata!$B1270)</f>
        <v>CLK</v>
      </c>
      <c r="B1270" s="7" t="str">
        <f>TRIM(ETLMetadata!$C1270)</f>
        <v>DETM_DETIS_YBDS</v>
      </c>
      <c r="C1270" s="7" t="str">
        <f>TRIM(ETLMetadata!$F1270)</f>
        <v>PROCESSING_SEQUENCE</v>
      </c>
      <c r="D1270" s="7" t="str">
        <f>TRIM(ETLMetadata!$H1270)</f>
        <v>StringType()</v>
      </c>
      <c r="E1270" s="7" t="str">
        <f t="shared" si="160"/>
        <v>CLK_DETM_DETIS_YBDS</v>
      </c>
      <c r="F1270" s="7" t="str">
        <f t="shared" si="154"/>
        <v>PROCESSING_SEQUENCE</v>
      </c>
      <c r="G1270" s="7" t="s">
        <v>825</v>
      </c>
      <c r="H1270" s="7" t="str">
        <f t="shared" si="155"/>
        <v>CLK_DETM_DETIS_YBDS</v>
      </c>
      <c r="I1270" s="7" t="str">
        <f t="shared" si="156"/>
        <v>PROCESSING_SEQUENCE</v>
      </c>
      <c r="J1270" s="7" t="str">
        <f t="shared" si="157"/>
        <v>SMALLINT</v>
      </c>
      <c r="K1270" s="7" t="str">
        <f>TRIM(ETLMetadata!$G1270)</f>
        <v>SMALLINT</v>
      </c>
      <c r="L1270" s="7" t="str">
        <f>TRIM(ETLMetadata!$I1270)</f>
        <v/>
      </c>
      <c r="M1270" s="7" t="str">
        <f t="shared" si="158"/>
        <v>CAST(NULLIF(TRIM(PROCESSING_SEQUENCE),'') AS SMALLINT)</v>
      </c>
      <c r="N1270" s="7" t="str">
        <f>TRIM(ETLMetadata!$J1270)</f>
        <v>Y</v>
      </c>
      <c r="O1270" s="8" t="str">
        <f>IF(TRIM(Classification!$G1270)="","NOT CONFIDENTIAL",TRIM(Classification!$G1270))</f>
        <v>NOT CONFIDENTIAL</v>
      </c>
      <c r="P1270" s="7" t="str">
        <f t="shared" si="159"/>
        <v>Y</v>
      </c>
      <c r="Q1270" s="7" t="s">
        <v>826</v>
      </c>
      <c r="R1270" s="9">
        <v>2958465</v>
      </c>
      <c r="S1270" s="7" t="s">
        <v>827</v>
      </c>
      <c r="T1270" s="7" t="s">
        <v>828</v>
      </c>
      <c r="U1270" s="7" t="str">
        <f t="shared" si="161"/>
        <v>CLK_DETM_DETIS_YBDS_V</v>
      </c>
      <c r="V1270" s="7" t="s">
        <v>829</v>
      </c>
    </row>
    <row r="1271" spans="1:22">
      <c r="A1271" s="7" t="str">
        <f>TRIM(ETLMetadata!$B1271)</f>
        <v>CLK</v>
      </c>
      <c r="B1271" s="7" t="str">
        <f>TRIM(ETLMetadata!$C1271)</f>
        <v>DETM_DETIS_YBDS</v>
      </c>
      <c r="C1271" s="7" t="str">
        <f>TRIM(ETLMetadata!$F1271)</f>
        <v>YBDS_AMR_1</v>
      </c>
      <c r="D1271" s="7" t="str">
        <f>TRIM(ETLMetadata!$H1271)</f>
        <v>StringType()</v>
      </c>
      <c r="E1271" s="7" t="str">
        <f t="shared" si="160"/>
        <v>CLK_DETM_DETIS_YBDS</v>
      </c>
      <c r="F1271" s="7" t="str">
        <f t="shared" si="154"/>
        <v>YBDS_AMR_1</v>
      </c>
      <c r="G1271" s="7" t="s">
        <v>825</v>
      </c>
      <c r="H1271" s="7" t="str">
        <f t="shared" si="155"/>
        <v>CLK_DETM_DETIS_YBDS</v>
      </c>
      <c r="I1271" s="7" t="str">
        <f t="shared" si="156"/>
        <v>YBDS_AMR_1</v>
      </c>
      <c r="J1271" s="7" t="str">
        <f t="shared" si="157"/>
        <v>VARCHAR</v>
      </c>
      <c r="K1271" s="7" t="str">
        <f>TRIM(ETLMetadata!$G1271)</f>
        <v>CHAR(4)</v>
      </c>
      <c r="L1271" s="7" t="str">
        <f>TRIM(ETLMetadata!$I1271)</f>
        <v/>
      </c>
      <c r="M1271" s="7" t="str">
        <f t="shared" si="158"/>
        <v>NULLIF(TRIM(YBDS_AMR_1),'')</v>
      </c>
      <c r="N1271" s="7" t="str">
        <f>TRIM(ETLMetadata!$J1271)</f>
        <v/>
      </c>
      <c r="O1271" s="8" t="str">
        <f>IF(TRIM(Classification!$G1271)="","NOT CONFIDENTIAL",TRIM(Classification!$G1271))</f>
        <v>NOT CONFIDENTIAL</v>
      </c>
      <c r="P1271" s="7" t="str">
        <f t="shared" si="159"/>
        <v>Y</v>
      </c>
      <c r="Q1271" s="7" t="s">
        <v>826</v>
      </c>
      <c r="R1271" s="9">
        <v>2958465</v>
      </c>
      <c r="S1271" s="7" t="s">
        <v>827</v>
      </c>
      <c r="T1271" s="7" t="s">
        <v>828</v>
      </c>
      <c r="U1271" s="7" t="str">
        <f t="shared" si="161"/>
        <v>CLK_DETM_DETIS_YBDS_V</v>
      </c>
      <c r="V1271" s="7" t="s">
        <v>829</v>
      </c>
    </row>
    <row r="1272" spans="1:22">
      <c r="A1272" s="7" t="str">
        <f>TRIM(ETLMetadata!$B1272)</f>
        <v>CLK</v>
      </c>
      <c r="B1272" s="7" t="str">
        <f>TRIM(ETLMetadata!$C1272)</f>
        <v>DETM_DETIS_YBDS</v>
      </c>
      <c r="C1272" s="7" t="str">
        <f>TRIM(ETLMetadata!$F1272)</f>
        <v>YBDS_AMR_2</v>
      </c>
      <c r="D1272" s="7" t="str">
        <f>TRIM(ETLMetadata!$H1272)</f>
        <v>StringType()</v>
      </c>
      <c r="E1272" s="7" t="str">
        <f t="shared" si="160"/>
        <v>CLK_DETM_DETIS_YBDS</v>
      </c>
      <c r="F1272" s="7" t="str">
        <f t="shared" si="154"/>
        <v>YBDS_AMR_2</v>
      </c>
      <c r="G1272" s="7" t="s">
        <v>825</v>
      </c>
      <c r="H1272" s="7" t="str">
        <f t="shared" si="155"/>
        <v>CLK_DETM_DETIS_YBDS</v>
      </c>
      <c r="I1272" s="7" t="str">
        <f t="shared" si="156"/>
        <v>YBDS_AMR_2</v>
      </c>
      <c r="J1272" s="7" t="str">
        <f t="shared" si="157"/>
        <v>VARCHAR</v>
      </c>
      <c r="K1272" s="7" t="str">
        <f>TRIM(ETLMetadata!$G1272)</f>
        <v>CHAR(1)</v>
      </c>
      <c r="L1272" s="7" t="str">
        <f>TRIM(ETLMetadata!$I1272)</f>
        <v/>
      </c>
      <c r="M1272" s="7" t="str">
        <f t="shared" si="158"/>
        <v>NULLIF(TRIM(YBDS_AMR_2),'')</v>
      </c>
      <c r="N1272" s="7" t="str">
        <f>TRIM(ETLMetadata!$J1272)</f>
        <v/>
      </c>
      <c r="O1272" s="8" t="str">
        <f>IF(TRIM(Classification!$G1272)="","NOT CONFIDENTIAL",TRIM(Classification!$G1272))</f>
        <v>NOT CONFIDENTIAL</v>
      </c>
      <c r="P1272" s="7" t="str">
        <f t="shared" si="159"/>
        <v>Y</v>
      </c>
      <c r="Q1272" s="7" t="s">
        <v>826</v>
      </c>
      <c r="R1272" s="9">
        <v>2958465</v>
      </c>
      <c r="S1272" s="7" t="s">
        <v>827</v>
      </c>
      <c r="T1272" s="7" t="s">
        <v>828</v>
      </c>
      <c r="U1272" s="7" t="str">
        <f t="shared" si="161"/>
        <v>CLK_DETM_DETIS_YBDS_V</v>
      </c>
      <c r="V1272" s="7" t="s">
        <v>829</v>
      </c>
    </row>
    <row r="1273" spans="1:22">
      <c r="A1273" s="7" t="str">
        <f>TRIM(ETLMetadata!$B1273)</f>
        <v>CLK</v>
      </c>
      <c r="B1273" s="7" t="str">
        <f>TRIM(ETLMetadata!$C1273)</f>
        <v>DETM_DETIS_YBDS</v>
      </c>
      <c r="C1273" s="7" t="str">
        <f>TRIM(ETLMetadata!$F1273)</f>
        <v>YBDS_AMR_3</v>
      </c>
      <c r="D1273" s="7" t="str">
        <f>TRIM(ETLMetadata!$H1273)</f>
        <v>StringType()</v>
      </c>
      <c r="E1273" s="7" t="str">
        <f t="shared" si="160"/>
        <v>CLK_DETM_DETIS_YBDS</v>
      </c>
      <c r="F1273" s="7" t="str">
        <f t="shared" si="154"/>
        <v>YBDS_AMR_3</v>
      </c>
      <c r="G1273" s="7" t="s">
        <v>825</v>
      </c>
      <c r="H1273" s="7" t="str">
        <f t="shared" si="155"/>
        <v>CLK_DETM_DETIS_YBDS</v>
      </c>
      <c r="I1273" s="7" t="str">
        <f t="shared" si="156"/>
        <v>YBDS_AMR_3</v>
      </c>
      <c r="J1273" s="7" t="str">
        <f t="shared" si="157"/>
        <v>VARCHAR</v>
      </c>
      <c r="K1273" s="7" t="str">
        <f>TRIM(ETLMetadata!$G1273)</f>
        <v>CHAR(4)</v>
      </c>
      <c r="L1273" s="7" t="str">
        <f>TRIM(ETLMetadata!$I1273)</f>
        <v/>
      </c>
      <c r="M1273" s="7" t="str">
        <f t="shared" si="158"/>
        <v>NULLIF(TRIM(YBDS_AMR_3),'')</v>
      </c>
      <c r="N1273" s="7" t="str">
        <f>TRIM(ETLMetadata!$J1273)</f>
        <v/>
      </c>
      <c r="O1273" s="8" t="str">
        <f>IF(TRIM(Classification!$G1273)="","NOT CONFIDENTIAL",TRIM(Classification!$G1273))</f>
        <v>NOT CONFIDENTIAL</v>
      </c>
      <c r="P1273" s="7" t="str">
        <f t="shared" si="159"/>
        <v>Y</v>
      </c>
      <c r="Q1273" s="7" t="s">
        <v>826</v>
      </c>
      <c r="R1273" s="9">
        <v>2958465</v>
      </c>
      <c r="S1273" s="7" t="s">
        <v>827</v>
      </c>
      <c r="T1273" s="7" t="s">
        <v>828</v>
      </c>
      <c r="U1273" s="7" t="str">
        <f t="shared" si="161"/>
        <v>CLK_DETM_DETIS_YBDS_V</v>
      </c>
      <c r="V1273" s="7" t="s">
        <v>829</v>
      </c>
    </row>
    <row r="1274" spans="1:22">
      <c r="A1274" s="7" t="str">
        <f>TRIM(ETLMetadata!$B1274)</f>
        <v>CLK</v>
      </c>
      <c r="B1274" s="7" t="str">
        <f>TRIM(ETLMetadata!$C1274)</f>
        <v>DETM_DETIS_YBDS</v>
      </c>
      <c r="C1274" s="7" t="str">
        <f>TRIM(ETLMetadata!$F1274)</f>
        <v>YBDS_BEN_TYPE_CODE</v>
      </c>
      <c r="D1274" s="7" t="str">
        <f>TRIM(ETLMetadata!$H1274)</f>
        <v>StringType()</v>
      </c>
      <c r="E1274" s="7" t="str">
        <f t="shared" si="160"/>
        <v>CLK_DETM_DETIS_YBDS</v>
      </c>
      <c r="F1274" s="7" t="str">
        <f t="shared" si="154"/>
        <v>YBDS_BEN_TYPE_CODE</v>
      </c>
      <c r="G1274" s="7" t="s">
        <v>825</v>
      </c>
      <c r="H1274" s="7" t="str">
        <f t="shared" si="155"/>
        <v>CLK_DETM_DETIS_YBDS</v>
      </c>
      <c r="I1274" s="7" t="str">
        <f t="shared" si="156"/>
        <v>YBDS_BEN_TYPE_CODE</v>
      </c>
      <c r="J1274" s="7" t="str">
        <f t="shared" si="157"/>
        <v>VARCHAR</v>
      </c>
      <c r="K1274" s="7" t="str">
        <f>TRIM(ETLMetadata!$G1274)</f>
        <v>CHAR(3)</v>
      </c>
      <c r="L1274" s="7" t="str">
        <f>TRIM(ETLMetadata!$I1274)</f>
        <v/>
      </c>
      <c r="M1274" s="7" t="str">
        <f t="shared" si="158"/>
        <v>NULLIF(TRIM(YBDS_BEN_TYPE_CODE),'')</v>
      </c>
      <c r="N1274" s="7" t="str">
        <f>TRIM(ETLMetadata!$J1274)</f>
        <v/>
      </c>
      <c r="O1274" s="8" t="str">
        <f>IF(TRIM(Classification!$G1274)="","NOT CONFIDENTIAL",TRIM(Classification!$G1274))</f>
        <v>NOT CONFIDENTIAL</v>
      </c>
      <c r="P1274" s="7" t="str">
        <f t="shared" si="159"/>
        <v>Y</v>
      </c>
      <c r="Q1274" s="7" t="s">
        <v>826</v>
      </c>
      <c r="R1274" s="9">
        <v>2958465</v>
      </c>
      <c r="S1274" s="7" t="s">
        <v>827</v>
      </c>
      <c r="T1274" s="7" t="s">
        <v>828</v>
      </c>
      <c r="U1274" s="7" t="str">
        <f t="shared" si="161"/>
        <v>CLK_DETM_DETIS_YBDS_V</v>
      </c>
      <c r="V1274" s="7" t="s">
        <v>829</v>
      </c>
    </row>
    <row r="1275" spans="1:22">
      <c r="A1275" s="7" t="str">
        <f>TRIM(ETLMetadata!$B1275)</f>
        <v>CLK</v>
      </c>
      <c r="B1275" s="7" t="str">
        <f>TRIM(ETLMetadata!$C1275)</f>
        <v>DETM_DETIS_YBDS</v>
      </c>
      <c r="C1275" s="7" t="str">
        <f>TRIM(ETLMetadata!$F1275)</f>
        <v>YBDS_STS_CODE</v>
      </c>
      <c r="D1275" s="7" t="str">
        <f>TRIM(ETLMetadata!$H1275)</f>
        <v>StringType()</v>
      </c>
      <c r="E1275" s="7" t="str">
        <f t="shared" si="160"/>
        <v>CLK_DETM_DETIS_YBDS</v>
      </c>
      <c r="F1275" s="7" t="str">
        <f t="shared" si="154"/>
        <v>YBDS_STS_CODE</v>
      </c>
      <c r="G1275" s="7" t="s">
        <v>825</v>
      </c>
      <c r="H1275" s="7" t="str">
        <f t="shared" si="155"/>
        <v>CLK_DETM_DETIS_YBDS</v>
      </c>
      <c r="I1275" s="7" t="str">
        <f t="shared" si="156"/>
        <v>YBDS_STS_CODE</v>
      </c>
      <c r="J1275" s="7" t="str">
        <f t="shared" si="157"/>
        <v>VARCHAR</v>
      </c>
      <c r="K1275" s="7" t="str">
        <f>TRIM(ETLMetadata!$G1275)</f>
        <v>CHAR(3)</v>
      </c>
      <c r="L1275" s="7" t="str">
        <f>TRIM(ETLMetadata!$I1275)</f>
        <v/>
      </c>
      <c r="M1275" s="7" t="str">
        <f t="shared" si="158"/>
        <v>NULLIF(TRIM(YBDS_STS_CODE),'')</v>
      </c>
      <c r="N1275" s="7" t="str">
        <f>TRIM(ETLMetadata!$J1275)</f>
        <v/>
      </c>
      <c r="O1275" s="8" t="str">
        <f>IF(TRIM(Classification!$G1275)="","NOT CONFIDENTIAL",TRIM(Classification!$G1275))</f>
        <v>NOT CONFIDENTIAL</v>
      </c>
      <c r="P1275" s="7" t="str">
        <f t="shared" si="159"/>
        <v>Y</v>
      </c>
      <c r="Q1275" s="7" t="s">
        <v>826</v>
      </c>
      <c r="R1275" s="9">
        <v>2958465</v>
      </c>
      <c r="S1275" s="7" t="s">
        <v>827</v>
      </c>
      <c r="T1275" s="7" t="s">
        <v>828</v>
      </c>
      <c r="U1275" s="7" t="str">
        <f t="shared" si="161"/>
        <v>CLK_DETM_DETIS_YBDS_V</v>
      </c>
      <c r="V1275" s="7" t="s">
        <v>829</v>
      </c>
    </row>
    <row r="1276" spans="1:22">
      <c r="A1276" s="7" t="str">
        <f>TRIM(ETLMetadata!$B1276)</f>
        <v>CLK</v>
      </c>
      <c r="B1276" s="7" t="str">
        <f>TRIM(ETLMetadata!$C1276)</f>
        <v>DETM_DETIS_YBDS</v>
      </c>
      <c r="C1276" s="7" t="str">
        <f>TRIM(ETLMetadata!$F1276)</f>
        <v>YBDS_RSN_CODE</v>
      </c>
      <c r="D1276" s="7" t="str">
        <f>TRIM(ETLMetadata!$H1276)</f>
        <v>StringType()</v>
      </c>
      <c r="E1276" s="7" t="str">
        <f t="shared" si="160"/>
        <v>CLK_DETM_DETIS_YBDS</v>
      </c>
      <c r="F1276" s="7" t="str">
        <f t="shared" si="154"/>
        <v>YBDS_RSN_CODE</v>
      </c>
      <c r="G1276" s="7" t="s">
        <v>825</v>
      </c>
      <c r="H1276" s="7" t="str">
        <f t="shared" si="155"/>
        <v>CLK_DETM_DETIS_YBDS</v>
      </c>
      <c r="I1276" s="7" t="str">
        <f t="shared" si="156"/>
        <v>YBDS_RSN_CODE</v>
      </c>
      <c r="J1276" s="7" t="str">
        <f t="shared" si="157"/>
        <v>VARCHAR</v>
      </c>
      <c r="K1276" s="7" t="str">
        <f>TRIM(ETLMetadata!$G1276)</f>
        <v>CHAR(3)</v>
      </c>
      <c r="L1276" s="7" t="str">
        <f>TRIM(ETLMetadata!$I1276)</f>
        <v/>
      </c>
      <c r="M1276" s="7" t="str">
        <f t="shared" si="158"/>
        <v>NULLIF(TRIM(YBDS_RSN_CODE),'')</v>
      </c>
      <c r="N1276" s="7" t="str">
        <f>TRIM(ETLMetadata!$J1276)</f>
        <v/>
      </c>
      <c r="O1276" s="8" t="str">
        <f>IF(TRIM(Classification!$G1276)="","NOT CONFIDENTIAL",TRIM(Classification!$G1276))</f>
        <v>NOT CONFIDENTIAL</v>
      </c>
      <c r="P1276" s="7" t="str">
        <f t="shared" si="159"/>
        <v>Y</v>
      </c>
      <c r="Q1276" s="7" t="s">
        <v>826</v>
      </c>
      <c r="R1276" s="9">
        <v>2958465</v>
      </c>
      <c r="S1276" s="7" t="s">
        <v>827</v>
      </c>
      <c r="T1276" s="7" t="s">
        <v>828</v>
      </c>
      <c r="U1276" s="7" t="str">
        <f t="shared" si="161"/>
        <v>CLK_DETM_DETIS_YBDS_V</v>
      </c>
      <c r="V1276" s="7" t="s">
        <v>829</v>
      </c>
    </row>
    <row r="1277" spans="1:22">
      <c r="A1277" s="7" t="str">
        <f>TRIM(ETLMetadata!$B1277)</f>
        <v>CLK</v>
      </c>
      <c r="B1277" s="7" t="str">
        <f>TRIM(ETLMetadata!$C1277)</f>
        <v>DETM_DETIS_YBDS</v>
      </c>
      <c r="C1277" s="7" t="str">
        <f>TRIM(ETLMetadata!$F1277)</f>
        <v>AMR1_RISL_DTS</v>
      </c>
      <c r="D1277" s="7" t="str">
        <f>TRIM(ETLMetadata!$H1277)</f>
        <v>StringType()</v>
      </c>
      <c r="E1277" s="7" t="str">
        <f t="shared" si="160"/>
        <v>CLK_DETM_DETIS_YBDS</v>
      </c>
      <c r="F1277" s="7" t="str">
        <f t="shared" si="154"/>
        <v>AMR1_RISL_DTS</v>
      </c>
      <c r="G1277" s="7" t="s">
        <v>825</v>
      </c>
      <c r="H1277" s="7" t="str">
        <f t="shared" si="155"/>
        <v>CLK_DETM_DETIS_YBDS</v>
      </c>
      <c r="I1277" s="7" t="str">
        <f t="shared" si="156"/>
        <v>AMR1_RISL_DTS</v>
      </c>
      <c r="J1277" s="7" t="str">
        <f t="shared" si="157"/>
        <v>TIMESTAMP</v>
      </c>
      <c r="K1277" s="7" t="str">
        <f>TRIM(ETLMetadata!$G1277)</f>
        <v>TIMESTAMP(6)</v>
      </c>
      <c r="L1277" s="7" t="str">
        <f>TRIM(ETLMetadata!$I1277)</f>
        <v>YYYY-MM-DDBHH:MI:SS.S(6)</v>
      </c>
      <c r="M1277" s="7" t="str">
        <f t="shared" si="158"/>
        <v>TO_TIMESTAMP_NTZ(NULLIF(TRIM(AMR1_RISL_DTS),''),'YYYY-MM-DD HH24:MI:SS.FF6')</v>
      </c>
      <c r="N1277" s="7" t="str">
        <f>TRIM(ETLMetadata!$J1277)</f>
        <v/>
      </c>
      <c r="O1277" s="8" t="str">
        <f>IF(TRIM(Classification!$G1277)="","NOT CONFIDENTIAL",TRIM(Classification!$G1277))</f>
        <v>NOT CONFIDENTIAL</v>
      </c>
      <c r="P1277" s="7" t="str">
        <f t="shared" si="159"/>
        <v>Y</v>
      </c>
      <c r="Q1277" s="7" t="s">
        <v>826</v>
      </c>
      <c r="R1277" s="9">
        <v>2958465</v>
      </c>
      <c r="S1277" s="7" t="s">
        <v>827</v>
      </c>
      <c r="T1277" s="7" t="s">
        <v>828</v>
      </c>
      <c r="U1277" s="7" t="str">
        <f t="shared" si="161"/>
        <v>CLK_DETM_DETIS_YBDS_V</v>
      </c>
      <c r="V1277" s="7" t="s">
        <v>829</v>
      </c>
    </row>
    <row r="1278" spans="1:22">
      <c r="A1278" s="7" t="str">
        <f>TRIM(ETLMetadata!$B1278)</f>
        <v>CLK</v>
      </c>
      <c r="B1278" s="7" t="str">
        <f>TRIM(ETLMetadata!$C1278)</f>
        <v>DETM_DETIS_YBDS</v>
      </c>
      <c r="C1278" s="7" t="str">
        <f>TRIM(ETLMetadata!$F1278)</f>
        <v>AMR3_RISL_DTS</v>
      </c>
      <c r="D1278" s="7" t="str">
        <f>TRIM(ETLMetadata!$H1278)</f>
        <v>StringType()</v>
      </c>
      <c r="E1278" s="7" t="str">
        <f t="shared" si="160"/>
        <v>CLK_DETM_DETIS_YBDS</v>
      </c>
      <c r="F1278" s="7" t="str">
        <f t="shared" si="154"/>
        <v>AMR3_RISL_DTS</v>
      </c>
      <c r="G1278" s="7" t="s">
        <v>825</v>
      </c>
      <c r="H1278" s="7" t="str">
        <f t="shared" si="155"/>
        <v>CLK_DETM_DETIS_YBDS</v>
      </c>
      <c r="I1278" s="7" t="str">
        <f t="shared" si="156"/>
        <v>AMR3_RISL_DTS</v>
      </c>
      <c r="J1278" s="7" t="str">
        <f t="shared" si="157"/>
        <v>TIMESTAMP</v>
      </c>
      <c r="K1278" s="7" t="str">
        <f>TRIM(ETLMetadata!$G1278)</f>
        <v>TIMESTAMP(6)</v>
      </c>
      <c r="L1278" s="7" t="str">
        <f>TRIM(ETLMetadata!$I1278)</f>
        <v>YYYY-MM-DDBHH:MI:SS.S(6)</v>
      </c>
      <c r="M1278" s="7" t="str">
        <f t="shared" si="158"/>
        <v>TO_TIMESTAMP_NTZ(NULLIF(TRIM(AMR3_RISL_DTS),''),'YYYY-MM-DD HH24:MI:SS.FF6')</v>
      </c>
      <c r="N1278" s="7" t="str">
        <f>TRIM(ETLMetadata!$J1278)</f>
        <v/>
      </c>
      <c r="O1278" s="8" t="str">
        <f>IF(TRIM(Classification!$G1278)="","NOT CONFIDENTIAL",TRIM(Classification!$G1278))</f>
        <v>NOT CONFIDENTIAL</v>
      </c>
      <c r="P1278" s="7" t="str">
        <f t="shared" si="159"/>
        <v>Y</v>
      </c>
      <c r="Q1278" s="7" t="s">
        <v>826</v>
      </c>
      <c r="R1278" s="9">
        <v>2958465</v>
      </c>
      <c r="S1278" s="7" t="s">
        <v>827</v>
      </c>
      <c r="T1278" s="7" t="s">
        <v>828</v>
      </c>
      <c r="U1278" s="7" t="str">
        <f t="shared" si="161"/>
        <v>CLK_DETM_DETIS_YBDS_V</v>
      </c>
      <c r="V1278" s="7" t="s">
        <v>829</v>
      </c>
    </row>
    <row r="1279" spans="1:22">
      <c r="A1279" s="7" t="str">
        <f>TRIM(ETLMetadata!$B1279)</f>
        <v>CLK</v>
      </c>
      <c r="B1279" s="7" t="str">
        <f>TRIM(ETLMetadata!$C1279)</f>
        <v>DETM_DETIS_YBDS</v>
      </c>
      <c r="C1279" s="7" t="str">
        <f>TRIM(ETLMetadata!$F1279)</f>
        <v>PARTY_ROLE_ID</v>
      </c>
      <c r="D1279" s="7" t="str">
        <f>TRIM(ETLMetadata!$H1279)</f>
        <v>StringType()</v>
      </c>
      <c r="E1279" s="7" t="str">
        <f t="shared" si="160"/>
        <v>CLK_DETM_DETIS_YBDS</v>
      </c>
      <c r="F1279" s="7" t="str">
        <f t="shared" si="154"/>
        <v>PARTY_ROLE_ID</v>
      </c>
      <c r="G1279" s="7" t="s">
        <v>825</v>
      </c>
      <c r="H1279" s="7" t="str">
        <f t="shared" si="155"/>
        <v>CLK_DETM_DETIS_YBDS</v>
      </c>
      <c r="I1279" s="7" t="str">
        <f t="shared" si="156"/>
        <v>PARTY_ROLE_ID</v>
      </c>
      <c r="J1279" s="7" t="str">
        <f t="shared" si="157"/>
        <v>INTEGER</v>
      </c>
      <c r="K1279" s="7" t="str">
        <f>TRIM(ETLMetadata!$G1279)</f>
        <v>INTEGER</v>
      </c>
      <c r="L1279" s="7" t="str">
        <f>TRIM(ETLMetadata!$I1279)</f>
        <v/>
      </c>
      <c r="M1279" s="7" t="str">
        <f t="shared" si="158"/>
        <v>CAST(NULLIF(TRIM(PARTY_ROLE_ID),'') AS INTEGER)</v>
      </c>
      <c r="N1279" s="7" t="str">
        <f>TRIM(ETLMetadata!$J1279)</f>
        <v/>
      </c>
      <c r="O1279" s="8" t="str">
        <f>IF(TRIM(Classification!$G1279)="","NOT CONFIDENTIAL",TRIM(Classification!$G1279))</f>
        <v>NOT CONFIDENTIAL</v>
      </c>
      <c r="P1279" s="7" t="str">
        <f t="shared" si="159"/>
        <v>Y</v>
      </c>
      <c r="Q1279" s="7" t="s">
        <v>826</v>
      </c>
      <c r="R1279" s="9">
        <v>2958465</v>
      </c>
      <c r="S1279" s="7" t="s">
        <v>827</v>
      </c>
      <c r="T1279" s="7" t="s">
        <v>828</v>
      </c>
      <c r="U1279" s="7" t="str">
        <f t="shared" si="161"/>
        <v>CLK_DETM_DETIS_YBDS_V</v>
      </c>
      <c r="V1279" s="7" t="s">
        <v>829</v>
      </c>
    </row>
    <row r="1280" spans="1:22">
      <c r="A1280" s="7" t="str">
        <f>TRIM(ETLMetadata!$B1280)</f>
        <v>CLK</v>
      </c>
      <c r="B1280" s="7" t="str">
        <f>TRIM(ETLMetadata!$C1280)</f>
        <v>DETM_DETIS_YBDS</v>
      </c>
      <c r="C1280" s="7" t="str">
        <f>TRIM(ETLMetadata!$F1280)</f>
        <v>EPISODE_ID</v>
      </c>
      <c r="D1280" s="7" t="str">
        <f>TRIM(ETLMetadata!$H1280)</f>
        <v>StringType()</v>
      </c>
      <c r="E1280" s="7" t="str">
        <f t="shared" si="160"/>
        <v>CLK_DETM_DETIS_YBDS</v>
      </c>
      <c r="F1280" s="7" t="str">
        <f t="shared" si="154"/>
        <v>EPISODE_ID</v>
      </c>
      <c r="G1280" s="7" t="s">
        <v>825</v>
      </c>
      <c r="H1280" s="7" t="str">
        <f t="shared" si="155"/>
        <v>CLK_DETM_DETIS_YBDS</v>
      </c>
      <c r="I1280" s="7" t="str">
        <f t="shared" si="156"/>
        <v>EPISODE_ID</v>
      </c>
      <c r="J1280" s="7" t="str">
        <f t="shared" si="157"/>
        <v>INTEGER</v>
      </c>
      <c r="K1280" s="7" t="str">
        <f>TRIM(ETLMetadata!$G1280)</f>
        <v>INTEGER</v>
      </c>
      <c r="L1280" s="7" t="str">
        <f>TRIM(ETLMetadata!$I1280)</f>
        <v/>
      </c>
      <c r="M1280" s="7" t="str">
        <f t="shared" si="158"/>
        <v>CAST(NULLIF(TRIM(EPISODE_ID),'') AS INTEGER)</v>
      </c>
      <c r="N1280" s="7" t="str">
        <f>TRIM(ETLMetadata!$J1280)</f>
        <v/>
      </c>
      <c r="O1280" s="8" t="str">
        <f>IF(TRIM(Classification!$G1280)="","NOT CONFIDENTIAL",TRIM(Classification!$G1280))</f>
        <v>NOT CONFIDENTIAL</v>
      </c>
      <c r="P1280" s="7" t="str">
        <f t="shared" si="159"/>
        <v>Y</v>
      </c>
      <c r="Q1280" s="7" t="s">
        <v>826</v>
      </c>
      <c r="R1280" s="9">
        <v>2958465</v>
      </c>
      <c r="S1280" s="7" t="s">
        <v>827</v>
      </c>
      <c r="T1280" s="7" t="s">
        <v>828</v>
      </c>
      <c r="U1280" s="7" t="str">
        <f t="shared" si="161"/>
        <v>CLK_DETM_DETIS_YBDS_V</v>
      </c>
      <c r="V1280" s="7" t="s">
        <v>829</v>
      </c>
    </row>
    <row r="1281" spans="1:22">
      <c r="A1281" s="7" t="str">
        <f>TRIM(ETLMetadata!$B1281)</f>
        <v>CLK</v>
      </c>
      <c r="B1281" s="7" t="str">
        <f>TRIM(ETLMetadata!$C1281)</f>
        <v>DETM_DETIS_YBDS</v>
      </c>
      <c r="C1281" s="7" t="str">
        <f>TRIM(ETLMetadata!$F1281)</f>
        <v>PAYMENT_TYPE_ID</v>
      </c>
      <c r="D1281" s="7" t="str">
        <f>TRIM(ETLMetadata!$H1281)</f>
        <v>StringType()</v>
      </c>
      <c r="E1281" s="7" t="str">
        <f t="shared" si="160"/>
        <v>CLK_DETM_DETIS_YBDS</v>
      </c>
      <c r="F1281" s="7" t="str">
        <f t="shared" si="154"/>
        <v>PAYMENT_TYPE_ID</v>
      </c>
      <c r="G1281" s="7" t="s">
        <v>825</v>
      </c>
      <c r="H1281" s="7" t="str">
        <f t="shared" si="155"/>
        <v>CLK_DETM_DETIS_YBDS</v>
      </c>
      <c r="I1281" s="7" t="str">
        <f t="shared" si="156"/>
        <v>PAYMENT_TYPE_ID</v>
      </c>
      <c r="J1281" s="7" t="str">
        <f t="shared" si="157"/>
        <v>INTEGER</v>
      </c>
      <c r="K1281" s="7" t="str">
        <f>TRIM(ETLMetadata!$G1281)</f>
        <v>INTEGER</v>
      </c>
      <c r="L1281" s="7" t="str">
        <f>TRIM(ETLMetadata!$I1281)</f>
        <v/>
      </c>
      <c r="M1281" s="7" t="str">
        <f t="shared" si="158"/>
        <v>CAST(NULLIF(TRIM(PAYMENT_TYPE_ID),'') AS INTEGER)</v>
      </c>
      <c r="N1281" s="7" t="str">
        <f>TRIM(ETLMetadata!$J1281)</f>
        <v/>
      </c>
      <c r="O1281" s="8" t="str">
        <f>IF(TRIM(Classification!$G1281)="","NOT CONFIDENTIAL",TRIM(Classification!$G1281))</f>
        <v>NOT CONFIDENTIAL</v>
      </c>
      <c r="P1281" s="7" t="str">
        <f t="shared" si="159"/>
        <v>Y</v>
      </c>
      <c r="Q1281" s="7" t="s">
        <v>826</v>
      </c>
      <c r="R1281" s="9">
        <v>2958465</v>
      </c>
      <c r="S1281" s="7" t="s">
        <v>827</v>
      </c>
      <c r="T1281" s="7" t="s">
        <v>828</v>
      </c>
      <c r="U1281" s="7" t="str">
        <f t="shared" si="161"/>
        <v>CLK_DETM_DETIS_YBDS_V</v>
      </c>
      <c r="V1281" s="7" t="s">
        <v>829</v>
      </c>
    </row>
    <row r="1282" spans="1:22">
      <c r="A1282" s="7" t="str">
        <f>TRIM(ETLMetadata!$B1282)</f>
        <v>CLK</v>
      </c>
      <c r="B1282" s="7" t="str">
        <f>TRIM(ETLMetadata!$C1282)</f>
        <v>DETM_DETIS_YBDS</v>
      </c>
      <c r="C1282" s="7" t="str">
        <f>TRIM(ETLMetadata!$F1282)</f>
        <v>ERROR_COUNT</v>
      </c>
      <c r="D1282" s="7" t="str">
        <f>TRIM(ETLMetadata!$H1282)</f>
        <v>StringType()</v>
      </c>
      <c r="E1282" s="7" t="str">
        <f t="shared" si="160"/>
        <v>CLK_DETM_DETIS_YBDS</v>
      </c>
      <c r="F1282" s="7" t="str">
        <f t="shared" si="154"/>
        <v>ERROR_COUNT</v>
      </c>
      <c r="G1282" s="7" t="s">
        <v>825</v>
      </c>
      <c r="H1282" s="7" t="str">
        <f t="shared" si="155"/>
        <v>CLK_DETM_DETIS_YBDS</v>
      </c>
      <c r="I1282" s="7" t="str">
        <f t="shared" si="156"/>
        <v>ERROR_COUNT</v>
      </c>
      <c r="J1282" s="7" t="str">
        <f t="shared" si="157"/>
        <v>SMALLINT</v>
      </c>
      <c r="K1282" s="7" t="str">
        <f>TRIM(ETLMetadata!$G1282)</f>
        <v>SMALLINT</v>
      </c>
      <c r="L1282" s="7" t="str">
        <f>TRIM(ETLMetadata!$I1282)</f>
        <v/>
      </c>
      <c r="M1282" s="7" t="str">
        <f t="shared" si="158"/>
        <v>CAST(NULLIF(TRIM(ERROR_COUNT),'') AS SMALLINT)</v>
      </c>
      <c r="N1282" s="7" t="str">
        <f>TRIM(ETLMetadata!$J1282)</f>
        <v/>
      </c>
      <c r="O1282" s="8" t="str">
        <f>IF(TRIM(Classification!$G1282)="","NOT CONFIDENTIAL",TRIM(Classification!$G1282))</f>
        <v>NOT CONFIDENTIAL</v>
      </c>
      <c r="P1282" s="7" t="str">
        <f t="shared" si="159"/>
        <v>Y</v>
      </c>
      <c r="Q1282" s="7" t="s">
        <v>826</v>
      </c>
      <c r="R1282" s="9">
        <v>2958465</v>
      </c>
      <c r="S1282" s="7" t="s">
        <v>827</v>
      </c>
      <c r="T1282" s="7" t="s">
        <v>828</v>
      </c>
      <c r="U1282" s="7" t="str">
        <f t="shared" si="161"/>
        <v>CLK_DETM_DETIS_YBDS_V</v>
      </c>
      <c r="V1282" s="7" t="s">
        <v>829</v>
      </c>
    </row>
    <row r="1283" spans="1:22">
      <c r="A1283" s="7" t="str">
        <f>TRIM(ETLMetadata!$B1283)</f>
        <v>CLK</v>
      </c>
      <c r="B1283" s="7" t="str">
        <f>TRIM(ETLMetadata!$C1283)</f>
        <v>DETM_DETIS_YBDS</v>
      </c>
      <c r="C1283" s="7" t="str">
        <f>TRIM(ETLMetadata!$F1283)</f>
        <v>Start_Date</v>
      </c>
      <c r="D1283" s="7" t="str">
        <f>TRIM(ETLMetadata!$H1283)</f>
        <v>StringType()</v>
      </c>
      <c r="E1283" s="7" t="str">
        <f t="shared" si="160"/>
        <v>CLK_DETM_DETIS_YBDS</v>
      </c>
      <c r="F1283" s="7" t="str">
        <f t="shared" ref="F1283:F1346" si="162">IF($C1283="Start_Date","STRT_DT",
 IF($C1283="End_Date","END_DT",
 IF($C1283="Record_Deleted_Flag","RCRD_DEL_IND",
 IF($C1283="IsDeleted","RCRD_DEL_IND",
 $C1283
))))</f>
        <v>STRT_DT</v>
      </c>
      <c r="G1283" s="7" t="s">
        <v>825</v>
      </c>
      <c r="H1283" s="7" t="str">
        <f t="shared" ref="H1283:H1346" si="163">CONCATENATE($A1283,"_",$B1283)</f>
        <v>CLK_DETM_DETIS_YBDS</v>
      </c>
      <c r="I1283" s="7" t="str">
        <f t="shared" ref="I1283:I1346" si="164">IF($C1283="Start_Date","STRT_DT",
 IF($C1283="End_Date","END_DT",
 IF($C1283="Record_Deleted_Flag","RCRD_DEL_IND",
 IF($C1283="IsDeleted","RCRD_DEL_IND",
 $C1283
))))</f>
        <v>STRT_DT</v>
      </c>
      <c r="J1283" s="7" t="str">
        <f t="shared" ref="J1283:J1346" si="165">IF(LEFT(TRIM($K1283),7)="VARCHAR","VARCHAR",
 IF(LEFT(TRIM($K1283),4)="CHAR","VARCHAR",
 IF(TRIM($K1283)="TIMESTAMP(6)","TIMESTAMP",
 IF(TRIM($K1283)="DATE","DATE",
 IF(TRIM($K1283)="BYTEINT","SMALLINT",
 IF(TRIM($K1283)="SMALLINT","SMALLINT",
 IF(TRIM($K1283)="INTEGER","INTEGER",
 IF(TRIM($K1283)="BIGINT","INTEGER",
 IF(LEFT(TRIM($K1283),7)="DECIMAL",TRIM($K1283),
 IF(TRIM($K1283)="BOOLEAN","BOOLEAN",
 IF(TRIM($K1283)="DOUBLE","DOUBLE",
 IF(TRIM($K1283)="FLOAT","FLOAT",
 IF(TRIM($K1283)="REAL","REAL",
 IF(LEFT(TRIM($K1283),6)="STRUCT","VARIANT",
 IF(LEFT(TRIM($K1283),5)="ARRAY","VARIANT",
 IF(LEFT(TRIM($K1283),3)="MAP","VARIANT",
 IF(LEFT(TRIM($K1283),3)="ROW","VARIANT",
 "NONE"
)))))))))))))))))</f>
        <v>DATE</v>
      </c>
      <c r="K1283" s="7" t="str">
        <f>TRIM(ETLMetadata!$G1283)</f>
        <v>DATE</v>
      </c>
      <c r="L1283" s="7" t="str">
        <f>TRIM(ETLMetadata!$I1283)</f>
        <v>YYYY-MM-DD</v>
      </c>
      <c r="M1283" s="7" t="str">
        <f t="shared" ref="M1283:M1346" si="166">IF(LEFT($K1283,7)="VARCHAR","NULLIF(TRIM("&amp;$I1283&amp;"),'')",
 IF(LEFT($K1283,4)="CHAR","NULLIF(TRIM("&amp;$I1283&amp;"),'')",
 IF(LEFT($K1283,7)="DECIMAL","CAST(NULLIF(TRIM("&amp;$I1283&amp;"),'') AS "&amp;$K1283&amp;")",
 IF($K1283="TIMESTAMP(6)","TO_TIMESTAMP_NTZ(NULLIF(TRIM("&amp;$I1283&amp;"),''),'YYYY-MM-DD HH24:MI:SS.FF6')",
 IF($K1283="DATE","TO_DATE(NULLIF(TRIM("&amp;$I1283&amp;"),'') , 'YYYY-MM-DD')",
 IF($K1283="BIGINT","CAST(NULLIF(TRIM("&amp;I1283&amp;"),'') AS INTEGER)",
 IF($K1283="BYTEINT","CAST(NULLIF(TRIM("&amp;I1283&amp;"),'') AS SMALLINT)",
 IF($K1283="SMALLINT","CAST(NULLIF(TRIM("&amp;I1283&amp;"),'') AS SMALLINT)",
 IF($K1283="INTEGER","CAST(NULLIF(TRIM("&amp;I1283&amp;"),'') AS INTEGER)",
 IF($K1283="BOOLEAN","CAST(NULLIF(TRIM("&amp;I1283&amp;"),'') AS BOOLEAN)",
 IF($K1283="DOUBLE","CAST(NULLIF(TRIM("&amp;I1283&amp;"),'') AS DOUBLE)",
 IF($K1283="FLOAT","CAST(NULLIF(TRIM("&amp;I1283&amp;"),'') AS FLOAT)",
 IF($K1283="REAL","CAST(NULLIF(TRIM("&amp;I1283&amp;"),'') AS REAL)",
 IF(OR($K1283="STRUCT",$K1283="ARRAY",$K1283="MAP",$K1283="ROW"),"CAST(NULLIF(TRIM("&amp;I1283&amp;"),'') AS VARIANT)",
 "NONE"
))))))))))))))</f>
        <v>TO_DATE(NULLIF(TRIM(STRT_DT),'') , 'YYYY-MM-DD')</v>
      </c>
      <c r="N1283" s="7" t="str">
        <f>TRIM(ETLMetadata!$J1283)</f>
        <v/>
      </c>
      <c r="O1283" s="8" t="str">
        <f>IF(TRIM(Classification!$G1283)="","NOT CONFIDENTIAL",TRIM(Classification!$G1283))</f>
        <v>NOT CONFIDENTIAL</v>
      </c>
      <c r="P1283" s="7" t="str">
        <f t="shared" ref="P1283:P1346" si="167">IF($C1283="Start_Date","N",
 IF($C1283="End_Date","N",
 IF($C1283="Record_Deleted_Flag","N",
 IF($C1283="IsDeleted","N",
 "Y"
))))</f>
        <v>N</v>
      </c>
      <c r="Q1283" s="7" t="s">
        <v>826</v>
      </c>
      <c r="R1283" s="9">
        <v>2958465</v>
      </c>
      <c r="S1283" s="7" t="s">
        <v>827</v>
      </c>
      <c r="T1283" s="7" t="s">
        <v>828</v>
      </c>
      <c r="U1283" s="7" t="str">
        <f t="shared" si="161"/>
        <v>CLK_DETM_DETIS_YBDS_V</v>
      </c>
      <c r="V1283" s="7" t="s">
        <v>829</v>
      </c>
    </row>
    <row r="1284" spans="1:22">
      <c r="A1284" s="7" t="str">
        <f>TRIM(ETLMetadata!$B1284)</f>
        <v>CLK</v>
      </c>
      <c r="B1284" s="7" t="str">
        <f>TRIM(ETLMetadata!$C1284)</f>
        <v>DETM_DETIS_YBDS</v>
      </c>
      <c r="C1284" s="7" t="str">
        <f>TRIM(ETLMetadata!$F1284)</f>
        <v>End_Date</v>
      </c>
      <c r="D1284" s="7" t="str">
        <f>TRIM(ETLMetadata!$H1284)</f>
        <v>StringType()</v>
      </c>
      <c r="E1284" s="7" t="str">
        <f t="shared" si="160"/>
        <v>CLK_DETM_DETIS_YBDS</v>
      </c>
      <c r="F1284" s="7" t="str">
        <f t="shared" si="162"/>
        <v>END_DT</v>
      </c>
      <c r="G1284" s="7" t="s">
        <v>825</v>
      </c>
      <c r="H1284" s="7" t="str">
        <f t="shared" si="163"/>
        <v>CLK_DETM_DETIS_YBDS</v>
      </c>
      <c r="I1284" s="7" t="str">
        <f t="shared" si="164"/>
        <v>END_DT</v>
      </c>
      <c r="J1284" s="7" t="str">
        <f t="shared" si="165"/>
        <v>DATE</v>
      </c>
      <c r="K1284" s="7" t="str">
        <f>TRIM(ETLMetadata!$G1284)</f>
        <v>DATE</v>
      </c>
      <c r="L1284" s="7" t="str">
        <f>TRIM(ETLMetadata!$I1284)</f>
        <v>YYYY-MM-DD</v>
      </c>
      <c r="M1284" s="7" t="str">
        <f t="shared" si="166"/>
        <v>TO_DATE(NULLIF(TRIM(END_DT),'') , 'YYYY-MM-DD')</v>
      </c>
      <c r="N1284" s="7" t="str">
        <f>TRIM(ETLMetadata!$J1284)</f>
        <v/>
      </c>
      <c r="O1284" s="8" t="str">
        <f>IF(TRIM(Classification!$G1284)="","NOT CONFIDENTIAL",TRIM(Classification!$G1284))</f>
        <v>NOT CONFIDENTIAL</v>
      </c>
      <c r="P1284" s="7" t="str">
        <f t="shared" si="167"/>
        <v>N</v>
      </c>
      <c r="Q1284" s="7" t="s">
        <v>826</v>
      </c>
      <c r="R1284" s="9">
        <v>2958465</v>
      </c>
      <c r="S1284" s="7" t="s">
        <v>827</v>
      </c>
      <c r="T1284" s="7" t="s">
        <v>828</v>
      </c>
      <c r="U1284" s="7" t="str">
        <f t="shared" si="161"/>
        <v>CLK_DETM_DETIS_YBDS_V</v>
      </c>
      <c r="V1284" s="7" t="s">
        <v>829</v>
      </c>
    </row>
    <row r="1285" spans="1:22">
      <c r="A1285" s="7" t="str">
        <f>TRIM(ETLMetadata!$B1285)</f>
        <v>CLK</v>
      </c>
      <c r="B1285" s="7" t="str">
        <f>TRIM(ETLMetadata!$C1285)</f>
        <v>DETM_DETIS_YBDS</v>
      </c>
      <c r="C1285" s="7" t="str">
        <f>TRIM(ETLMetadata!$F1285)</f>
        <v>Record_Deleted_Flag</v>
      </c>
      <c r="D1285" s="7" t="str">
        <f>TRIM(ETLMetadata!$H1285)</f>
        <v>StringType()</v>
      </c>
      <c r="E1285" s="7" t="str">
        <f t="shared" si="160"/>
        <v>CLK_DETM_DETIS_YBDS</v>
      </c>
      <c r="F1285" s="7" t="str">
        <f t="shared" si="162"/>
        <v>RCRD_DEL_IND</v>
      </c>
      <c r="G1285" s="7" t="s">
        <v>825</v>
      </c>
      <c r="H1285" s="7" t="str">
        <f t="shared" si="163"/>
        <v>CLK_DETM_DETIS_YBDS</v>
      </c>
      <c r="I1285" s="7" t="str">
        <f t="shared" si="164"/>
        <v>RCRD_DEL_IND</v>
      </c>
      <c r="J1285" s="7" t="str">
        <f t="shared" si="165"/>
        <v>SMALLINT</v>
      </c>
      <c r="K1285" s="7" t="str">
        <f>TRIM(ETLMetadata!$G1285)</f>
        <v>BYTEINT</v>
      </c>
      <c r="L1285" s="7" t="str">
        <f>TRIM(ETLMetadata!$I1285)</f>
        <v/>
      </c>
      <c r="M1285" s="7" t="str">
        <f t="shared" si="166"/>
        <v>CAST(NULLIF(TRIM(RCRD_DEL_IND),'') AS SMALLINT)</v>
      </c>
      <c r="N1285" s="7" t="str">
        <f>TRIM(ETLMetadata!$J1285)</f>
        <v/>
      </c>
      <c r="O1285" s="8" t="str">
        <f>IF(TRIM(Classification!$G1285)="","NOT CONFIDENTIAL",TRIM(Classification!$G1285))</f>
        <v>NOT CONFIDENTIAL</v>
      </c>
      <c r="P1285" s="7" t="str">
        <f t="shared" si="167"/>
        <v>N</v>
      </c>
      <c r="Q1285" s="7" t="s">
        <v>826</v>
      </c>
      <c r="R1285" s="9">
        <v>2958465</v>
      </c>
      <c r="S1285" s="7" t="s">
        <v>827</v>
      </c>
      <c r="T1285" s="7" t="s">
        <v>828</v>
      </c>
      <c r="U1285" s="7" t="str">
        <f t="shared" si="161"/>
        <v>CLK_DETM_DETIS_YBDS_V</v>
      </c>
      <c r="V1285" s="7" t="s">
        <v>829</v>
      </c>
    </row>
    <row r="1286" spans="1:22">
      <c r="A1286" s="7" t="str">
        <f>TRIM(ETLMetadata!$B1286)</f>
        <v>CLK</v>
      </c>
      <c r="B1286" s="7" t="str">
        <f>TRIM(ETLMetadata!$C1286)</f>
        <v>DETM_DETIS_YCDS</v>
      </c>
      <c r="C1286" s="7" t="str">
        <f>TRIM(ETLMetadata!$F1286)</f>
        <v>EXTRACT_DATE</v>
      </c>
      <c r="D1286" s="7" t="str">
        <f>TRIM(ETLMetadata!$H1286)</f>
        <v>StringType()</v>
      </c>
      <c r="E1286" s="7" t="str">
        <f t="shared" si="160"/>
        <v>CLK_DETM_DETIS_YCDS</v>
      </c>
      <c r="F1286" s="7" t="str">
        <f t="shared" si="162"/>
        <v>EXTRACT_DATE</v>
      </c>
      <c r="G1286" s="7" t="s">
        <v>825</v>
      </c>
      <c r="H1286" s="7" t="str">
        <f t="shared" si="163"/>
        <v>CLK_DETM_DETIS_YCDS</v>
      </c>
      <c r="I1286" s="7" t="str">
        <f t="shared" si="164"/>
        <v>EXTRACT_DATE</v>
      </c>
      <c r="J1286" s="7" t="str">
        <f t="shared" si="165"/>
        <v>DATE</v>
      </c>
      <c r="K1286" s="7" t="str">
        <f>TRIM(ETLMetadata!$G1286)</f>
        <v>DATE</v>
      </c>
      <c r="L1286" s="7" t="str">
        <f>TRIM(ETLMetadata!$I1286)</f>
        <v>YYYY-MM-DD</v>
      </c>
      <c r="M1286" s="7" t="str">
        <f t="shared" si="166"/>
        <v>TO_DATE(NULLIF(TRIM(EXTRACT_DATE),'') , 'YYYY-MM-DD')</v>
      </c>
      <c r="N1286" s="7" t="str">
        <f>TRIM(ETLMetadata!$J1286)</f>
        <v/>
      </c>
      <c r="O1286" s="8" t="str">
        <f>IF(TRIM(Classification!$G1286)="","NOT CONFIDENTIAL",TRIM(Classification!$G1286))</f>
        <v>NOT CONFIDENTIAL</v>
      </c>
      <c r="P1286" s="7" t="str">
        <f t="shared" si="167"/>
        <v>Y</v>
      </c>
      <c r="Q1286" s="7" t="s">
        <v>826</v>
      </c>
      <c r="R1286" s="9">
        <v>2958465</v>
      </c>
      <c r="S1286" s="7" t="s">
        <v>827</v>
      </c>
      <c r="T1286" s="7" t="s">
        <v>828</v>
      </c>
      <c r="U1286" s="7" t="str">
        <f t="shared" si="161"/>
        <v>CLK_DETM_DETIS_YCDS_V</v>
      </c>
      <c r="V1286" s="7" t="s">
        <v>829</v>
      </c>
    </row>
    <row r="1287" spans="1:22">
      <c r="A1287" s="7" t="str">
        <f>TRIM(ETLMetadata!$B1287)</f>
        <v>CLK</v>
      </c>
      <c r="B1287" s="7" t="str">
        <f>TRIM(ETLMetadata!$C1287)</f>
        <v>DETM_DETIS_YCDS</v>
      </c>
      <c r="C1287" s="7" t="str">
        <f>TRIM(ETLMetadata!$F1287)</f>
        <v>LOGICAL_DELETE_DATE</v>
      </c>
      <c r="D1287" s="7" t="str">
        <f>TRIM(ETLMetadata!$H1287)</f>
        <v>StringType()</v>
      </c>
      <c r="E1287" s="7" t="str">
        <f t="shared" si="160"/>
        <v>CLK_DETM_DETIS_YCDS</v>
      </c>
      <c r="F1287" s="7" t="str">
        <f t="shared" si="162"/>
        <v>LOGICAL_DELETE_DATE</v>
      </c>
      <c r="G1287" s="7" t="s">
        <v>825</v>
      </c>
      <c r="H1287" s="7" t="str">
        <f t="shared" si="163"/>
        <v>CLK_DETM_DETIS_YCDS</v>
      </c>
      <c r="I1287" s="7" t="str">
        <f t="shared" si="164"/>
        <v>LOGICAL_DELETE_DATE</v>
      </c>
      <c r="J1287" s="7" t="str">
        <f t="shared" si="165"/>
        <v>DATE</v>
      </c>
      <c r="K1287" s="7" t="str">
        <f>TRIM(ETLMetadata!$G1287)</f>
        <v>DATE</v>
      </c>
      <c r="L1287" s="7" t="str">
        <f>TRIM(ETLMetadata!$I1287)</f>
        <v>YYYY-MM-DD</v>
      </c>
      <c r="M1287" s="7" t="str">
        <f t="shared" si="166"/>
        <v>TO_DATE(NULLIF(TRIM(LOGICAL_DELETE_DATE),'') , 'YYYY-MM-DD')</v>
      </c>
      <c r="N1287" s="7" t="str">
        <f>TRIM(ETLMetadata!$J1287)</f>
        <v/>
      </c>
      <c r="O1287" s="8" t="str">
        <f>IF(TRIM(Classification!$G1287)="","NOT CONFIDENTIAL",TRIM(Classification!$G1287))</f>
        <v>NOT CONFIDENTIAL</v>
      </c>
      <c r="P1287" s="7" t="str">
        <f t="shared" si="167"/>
        <v>Y</v>
      </c>
      <c r="Q1287" s="7" t="s">
        <v>826</v>
      </c>
      <c r="R1287" s="9">
        <v>2958465</v>
      </c>
      <c r="S1287" s="7" t="s">
        <v>827</v>
      </c>
      <c r="T1287" s="7" t="s">
        <v>828</v>
      </c>
      <c r="U1287" s="7" t="str">
        <f t="shared" si="161"/>
        <v>CLK_DETM_DETIS_YCDS_V</v>
      </c>
      <c r="V1287" s="7" t="s">
        <v>829</v>
      </c>
    </row>
    <row r="1288" spans="1:22">
      <c r="A1288" s="7" t="str">
        <f>TRIM(ETLMetadata!$B1288)</f>
        <v>CLK</v>
      </c>
      <c r="B1288" s="7" t="str">
        <f>TRIM(ETLMetadata!$C1288)</f>
        <v>DETM_DETIS_YCDS</v>
      </c>
      <c r="C1288" s="7" t="str">
        <f>TRIM(ETLMetadata!$F1288)</f>
        <v>ENVIRONMENT_ID</v>
      </c>
      <c r="D1288" s="7" t="str">
        <f>TRIM(ETLMetadata!$H1288)</f>
        <v>StringType()</v>
      </c>
      <c r="E1288" s="7" t="str">
        <f t="shared" si="160"/>
        <v>CLK_DETM_DETIS_YCDS</v>
      </c>
      <c r="F1288" s="7" t="str">
        <f t="shared" si="162"/>
        <v>ENVIRONMENT_ID</v>
      </c>
      <c r="G1288" s="7" t="s">
        <v>825</v>
      </c>
      <c r="H1288" s="7" t="str">
        <f t="shared" si="163"/>
        <v>CLK_DETM_DETIS_YCDS</v>
      </c>
      <c r="I1288" s="7" t="str">
        <f t="shared" si="164"/>
        <v>ENVIRONMENT_ID</v>
      </c>
      <c r="J1288" s="7" t="str">
        <f t="shared" si="165"/>
        <v>VARCHAR</v>
      </c>
      <c r="K1288" s="7" t="str">
        <f>TRIM(ETLMetadata!$G1288)</f>
        <v>CHAR(1)</v>
      </c>
      <c r="L1288" s="7" t="str">
        <f>TRIM(ETLMetadata!$I1288)</f>
        <v/>
      </c>
      <c r="M1288" s="7" t="str">
        <f t="shared" si="166"/>
        <v>NULLIF(TRIM(ENVIRONMENT_ID),'')</v>
      </c>
      <c r="N1288" s="7" t="str">
        <f>TRIM(ETLMetadata!$J1288)</f>
        <v>Y</v>
      </c>
      <c r="O1288" s="8" t="str">
        <f>IF(TRIM(Classification!$G1288)="","NOT CONFIDENTIAL",TRIM(Classification!$G1288))</f>
        <v>NOT CONFIDENTIAL</v>
      </c>
      <c r="P1288" s="7" t="str">
        <f t="shared" si="167"/>
        <v>Y</v>
      </c>
      <c r="Q1288" s="7" t="s">
        <v>826</v>
      </c>
      <c r="R1288" s="9">
        <v>2958465</v>
      </c>
      <c r="S1288" s="7" t="s">
        <v>827</v>
      </c>
      <c r="T1288" s="7" t="s">
        <v>828</v>
      </c>
      <c r="U1288" s="7" t="str">
        <f t="shared" si="161"/>
        <v>CLK_DETM_DETIS_YCDS_V</v>
      </c>
      <c r="V1288" s="7" t="s">
        <v>829</v>
      </c>
    </row>
    <row r="1289" spans="1:22">
      <c r="A1289" s="7" t="str">
        <f>TRIM(ETLMetadata!$B1289)</f>
        <v>CLK</v>
      </c>
      <c r="B1289" s="7" t="str">
        <f>TRIM(ETLMetadata!$C1289)</f>
        <v>DETM_DETIS_YCDS</v>
      </c>
      <c r="C1289" s="7" t="str">
        <f>TRIM(ETLMetadata!$F1289)</f>
        <v>PERSON_ID</v>
      </c>
      <c r="D1289" s="7" t="str">
        <f>TRIM(ETLMetadata!$H1289)</f>
        <v>StringType()</v>
      </c>
      <c r="E1289" s="7" t="str">
        <f t="shared" si="160"/>
        <v>CLK_DETM_DETIS_YCDS</v>
      </c>
      <c r="F1289" s="7" t="str">
        <f t="shared" si="162"/>
        <v>PERSON_ID</v>
      </c>
      <c r="G1289" s="7" t="s">
        <v>825</v>
      </c>
      <c r="H1289" s="7" t="str">
        <f t="shared" si="163"/>
        <v>CLK_DETM_DETIS_YCDS</v>
      </c>
      <c r="I1289" s="7" t="str">
        <f t="shared" si="164"/>
        <v>PERSON_ID</v>
      </c>
      <c r="J1289" s="7" t="str">
        <f t="shared" si="165"/>
        <v>INTEGER</v>
      </c>
      <c r="K1289" s="7" t="str">
        <f>TRIM(ETLMetadata!$G1289)</f>
        <v>INTEGER</v>
      </c>
      <c r="L1289" s="7" t="str">
        <f>TRIM(ETLMetadata!$I1289)</f>
        <v/>
      </c>
      <c r="M1289" s="7" t="str">
        <f t="shared" si="166"/>
        <v>CAST(NULLIF(TRIM(PERSON_ID),'') AS INTEGER)</v>
      </c>
      <c r="N1289" s="7" t="str">
        <f>TRIM(ETLMetadata!$J1289)</f>
        <v>Y</v>
      </c>
      <c r="O1289" s="8" t="str">
        <f>IF(TRIM(Classification!$G1289)="","NOT CONFIDENTIAL",TRIM(Classification!$G1289))</f>
        <v>PERSONAL_IDENTITYINFOINDIRECT</v>
      </c>
      <c r="P1289" s="7" t="str">
        <f t="shared" si="167"/>
        <v>Y</v>
      </c>
      <c r="Q1289" s="7" t="s">
        <v>826</v>
      </c>
      <c r="R1289" s="9">
        <v>2958465</v>
      </c>
      <c r="S1289" s="7" t="s">
        <v>827</v>
      </c>
      <c r="T1289" s="7" t="s">
        <v>828</v>
      </c>
      <c r="U1289" s="7" t="str">
        <f t="shared" si="161"/>
        <v>CLK_DETM_DETIS_YCDS_V</v>
      </c>
      <c r="V1289" s="7" t="s">
        <v>829</v>
      </c>
    </row>
    <row r="1290" spans="1:22">
      <c r="A1290" s="7" t="str">
        <f>TRIM(ETLMetadata!$B1290)</f>
        <v>CLK</v>
      </c>
      <c r="B1290" s="7" t="str">
        <f>TRIM(ETLMetadata!$C1290)</f>
        <v>DETM_DETIS_YCDS</v>
      </c>
      <c r="C1290" s="7" t="str">
        <f>TRIM(ETLMetadata!$F1290)</f>
        <v>YCDS_DOE</v>
      </c>
      <c r="D1290" s="7" t="str">
        <f>TRIM(ETLMetadata!$H1290)</f>
        <v>StringType()</v>
      </c>
      <c r="E1290" s="7" t="str">
        <f t="shared" si="160"/>
        <v>CLK_DETM_DETIS_YCDS</v>
      </c>
      <c r="F1290" s="7" t="str">
        <f t="shared" si="162"/>
        <v>YCDS_DOE</v>
      </c>
      <c r="G1290" s="7" t="s">
        <v>825</v>
      </c>
      <c r="H1290" s="7" t="str">
        <f t="shared" si="163"/>
        <v>CLK_DETM_DETIS_YCDS</v>
      </c>
      <c r="I1290" s="7" t="str">
        <f t="shared" si="164"/>
        <v>YCDS_DOE</v>
      </c>
      <c r="J1290" s="7" t="str">
        <f t="shared" si="165"/>
        <v>DATE</v>
      </c>
      <c r="K1290" s="17" t="s">
        <v>80</v>
      </c>
      <c r="L1290" s="7" t="str">
        <f>TRIM(ETLMetadata!$I1290)</f>
        <v>YYYY-MM-DD</v>
      </c>
      <c r="M1290" s="7" t="str">
        <f t="shared" si="166"/>
        <v>TO_DATE(NULLIF(TRIM(YCDS_DOE),'') , 'YYYY-MM-DD')</v>
      </c>
      <c r="N1290" s="7" t="str">
        <f>TRIM(ETLMetadata!$J1290)</f>
        <v/>
      </c>
      <c r="O1290" s="8" t="str">
        <f>IF(TRIM(Classification!$G1290)="","NOT CONFIDENTIAL",TRIM(Classification!$G1290))</f>
        <v>NOT CONFIDENTIAL</v>
      </c>
      <c r="P1290" s="7" t="str">
        <f t="shared" si="167"/>
        <v>Y</v>
      </c>
      <c r="Q1290" s="7" t="s">
        <v>826</v>
      </c>
      <c r="R1290" s="9">
        <v>2958465</v>
      </c>
      <c r="S1290" s="7" t="s">
        <v>827</v>
      </c>
      <c r="T1290" s="7" t="s">
        <v>828</v>
      </c>
      <c r="U1290" s="7" t="str">
        <f t="shared" si="161"/>
        <v>CLK_DETM_DETIS_YCDS_V</v>
      </c>
      <c r="V1290" s="7" t="s">
        <v>829</v>
      </c>
    </row>
    <row r="1291" spans="1:22">
      <c r="A1291" s="7" t="str">
        <f>TRIM(ETLMetadata!$B1291)</f>
        <v>CLK</v>
      </c>
      <c r="B1291" s="7" t="str">
        <f>TRIM(ETLMetadata!$C1291)</f>
        <v>DETM_DETIS_YCDS</v>
      </c>
      <c r="C1291" s="7" t="str">
        <f>TRIM(ETLMetadata!$F1291)</f>
        <v>YCDS_DOE_ORIG</v>
      </c>
      <c r="D1291" s="7" t="str">
        <f>TRIM(ETLMetadata!$H1291)</f>
        <v>StringType()</v>
      </c>
      <c r="E1291" s="7" t="str">
        <f t="shared" si="160"/>
        <v>CLK_DETM_DETIS_YCDS</v>
      </c>
      <c r="F1291" s="7" t="str">
        <f t="shared" si="162"/>
        <v>YCDS_DOE_ORIG</v>
      </c>
      <c r="G1291" s="7" t="s">
        <v>825</v>
      </c>
      <c r="H1291" s="7" t="str">
        <f t="shared" si="163"/>
        <v>CLK_DETM_DETIS_YCDS</v>
      </c>
      <c r="I1291" s="7" t="str">
        <f t="shared" si="164"/>
        <v>YCDS_DOE_ORIG</v>
      </c>
      <c r="J1291" s="7" t="str">
        <f t="shared" si="165"/>
        <v>INTEGER</v>
      </c>
      <c r="K1291" s="17" t="s">
        <v>90</v>
      </c>
      <c r="L1291" s="7" t="str">
        <f>TRIM(ETLMetadata!$I1291)</f>
        <v/>
      </c>
      <c r="M1291" s="7" t="str">
        <f t="shared" si="166"/>
        <v>CAST(NULLIF(TRIM(YCDS_DOE_ORIG),'') AS INTEGER)</v>
      </c>
      <c r="N1291" s="7" t="str">
        <f>TRIM(ETLMetadata!$J1291)</f>
        <v/>
      </c>
      <c r="O1291" s="8" t="str">
        <f>IF(TRIM(Classification!$G1291)="","NOT CONFIDENTIAL",TRIM(Classification!$G1291))</f>
        <v>NOT CONFIDENTIAL</v>
      </c>
      <c r="P1291" s="7" t="str">
        <f t="shared" si="167"/>
        <v>Y</v>
      </c>
      <c r="Q1291" s="7" t="s">
        <v>826</v>
      </c>
      <c r="R1291" s="9">
        <v>2958465</v>
      </c>
      <c r="S1291" s="7" t="s">
        <v>827</v>
      </c>
      <c r="T1291" s="7" t="s">
        <v>828</v>
      </c>
      <c r="U1291" s="7" t="str">
        <f t="shared" si="161"/>
        <v>CLK_DETM_DETIS_YCDS_V</v>
      </c>
      <c r="V1291" s="7" t="s">
        <v>829</v>
      </c>
    </row>
    <row r="1292" spans="1:22">
      <c r="A1292" s="7" t="str">
        <f>TRIM(ETLMetadata!$B1292)</f>
        <v>CLK</v>
      </c>
      <c r="B1292" s="7" t="str">
        <f>TRIM(ETLMetadata!$C1292)</f>
        <v>DETM_DETIS_YCDS</v>
      </c>
      <c r="C1292" s="7" t="str">
        <f>TRIM(ETLMetadata!$F1292)</f>
        <v>PROCESSING_SEQUENCE</v>
      </c>
      <c r="D1292" s="7" t="str">
        <f>TRIM(ETLMetadata!$H1292)</f>
        <v>StringType()</v>
      </c>
      <c r="E1292" s="7" t="str">
        <f t="shared" si="160"/>
        <v>CLK_DETM_DETIS_YCDS</v>
      </c>
      <c r="F1292" s="7" t="str">
        <f t="shared" si="162"/>
        <v>PROCESSING_SEQUENCE</v>
      </c>
      <c r="G1292" s="7" t="s">
        <v>825</v>
      </c>
      <c r="H1292" s="7" t="str">
        <f t="shared" si="163"/>
        <v>CLK_DETM_DETIS_YCDS</v>
      </c>
      <c r="I1292" s="7" t="str">
        <f t="shared" si="164"/>
        <v>PROCESSING_SEQUENCE</v>
      </c>
      <c r="J1292" s="7" t="str">
        <f t="shared" si="165"/>
        <v>SMALLINT</v>
      </c>
      <c r="K1292" s="7" t="str">
        <f>TRIM(ETLMetadata!$G1292)</f>
        <v>SMALLINT</v>
      </c>
      <c r="L1292" s="7" t="str">
        <f>TRIM(ETLMetadata!$I1292)</f>
        <v/>
      </c>
      <c r="M1292" s="7" t="str">
        <f t="shared" si="166"/>
        <v>CAST(NULLIF(TRIM(PROCESSING_SEQUENCE),'') AS SMALLINT)</v>
      </c>
      <c r="N1292" s="7" t="str">
        <f>TRIM(ETLMetadata!$J1292)</f>
        <v>Y</v>
      </c>
      <c r="O1292" s="8" t="str">
        <f>IF(TRIM(Classification!$G1292)="","NOT CONFIDENTIAL",TRIM(Classification!$G1292))</f>
        <v>NOT CONFIDENTIAL</v>
      </c>
      <c r="P1292" s="7" t="str">
        <f t="shared" si="167"/>
        <v>Y</v>
      </c>
      <c r="Q1292" s="7" t="s">
        <v>826</v>
      </c>
      <c r="R1292" s="9">
        <v>2958465</v>
      </c>
      <c r="S1292" s="7" t="s">
        <v>827</v>
      </c>
      <c r="T1292" s="7" t="s">
        <v>828</v>
      </c>
      <c r="U1292" s="7" t="str">
        <f t="shared" si="161"/>
        <v>CLK_DETM_DETIS_YCDS_V</v>
      </c>
      <c r="V1292" s="7" t="s">
        <v>829</v>
      </c>
    </row>
    <row r="1293" spans="1:22">
      <c r="A1293" s="7" t="str">
        <f>TRIM(ETLMetadata!$B1293)</f>
        <v>CLK</v>
      </c>
      <c r="B1293" s="7" t="str">
        <f>TRIM(ETLMetadata!$C1293)</f>
        <v>DETM_DETIS_YCDS</v>
      </c>
      <c r="C1293" s="7" t="str">
        <f>TRIM(ETLMetadata!$F1293)</f>
        <v>YCDS_AMR_1</v>
      </c>
      <c r="D1293" s="7" t="str">
        <f>TRIM(ETLMetadata!$H1293)</f>
        <v>StringType()</v>
      </c>
      <c r="E1293" s="7" t="str">
        <f t="shared" si="160"/>
        <v>CLK_DETM_DETIS_YCDS</v>
      </c>
      <c r="F1293" s="7" t="str">
        <f t="shared" si="162"/>
        <v>YCDS_AMR_1</v>
      </c>
      <c r="G1293" s="7" t="s">
        <v>825</v>
      </c>
      <c r="H1293" s="7" t="str">
        <f t="shared" si="163"/>
        <v>CLK_DETM_DETIS_YCDS</v>
      </c>
      <c r="I1293" s="7" t="str">
        <f t="shared" si="164"/>
        <v>YCDS_AMR_1</v>
      </c>
      <c r="J1293" s="7" t="str">
        <f t="shared" si="165"/>
        <v>VARCHAR</v>
      </c>
      <c r="K1293" s="7" t="str">
        <f>TRIM(ETLMetadata!$G1293)</f>
        <v>CHAR(4)</v>
      </c>
      <c r="L1293" s="7" t="str">
        <f>TRIM(ETLMetadata!$I1293)</f>
        <v/>
      </c>
      <c r="M1293" s="7" t="str">
        <f t="shared" si="166"/>
        <v>NULLIF(TRIM(YCDS_AMR_1),'')</v>
      </c>
      <c r="N1293" s="7" t="str">
        <f>TRIM(ETLMetadata!$J1293)</f>
        <v/>
      </c>
      <c r="O1293" s="8" t="str">
        <f>IF(TRIM(Classification!$G1293)="","NOT CONFIDENTIAL",TRIM(Classification!$G1293))</f>
        <v>NOT CONFIDENTIAL</v>
      </c>
      <c r="P1293" s="7" t="str">
        <f t="shared" si="167"/>
        <v>Y</v>
      </c>
      <c r="Q1293" s="7" t="s">
        <v>826</v>
      </c>
      <c r="R1293" s="9">
        <v>2958465</v>
      </c>
      <c r="S1293" s="7" t="s">
        <v>827</v>
      </c>
      <c r="T1293" s="7" t="s">
        <v>828</v>
      </c>
      <c r="U1293" s="7" t="str">
        <f t="shared" si="161"/>
        <v>CLK_DETM_DETIS_YCDS_V</v>
      </c>
      <c r="V1293" s="7" t="s">
        <v>829</v>
      </c>
    </row>
    <row r="1294" spans="1:22">
      <c r="A1294" s="7" t="str">
        <f>TRIM(ETLMetadata!$B1294)</f>
        <v>CLK</v>
      </c>
      <c r="B1294" s="7" t="str">
        <f>TRIM(ETLMetadata!$C1294)</f>
        <v>DETM_DETIS_YCDS</v>
      </c>
      <c r="C1294" s="7" t="str">
        <f>TRIM(ETLMetadata!$F1294)</f>
        <v>YCDS_AMR_2</v>
      </c>
      <c r="D1294" s="7" t="str">
        <f>TRIM(ETLMetadata!$H1294)</f>
        <v>StringType()</v>
      </c>
      <c r="E1294" s="7" t="str">
        <f t="shared" si="160"/>
        <v>CLK_DETM_DETIS_YCDS</v>
      </c>
      <c r="F1294" s="7" t="str">
        <f t="shared" si="162"/>
        <v>YCDS_AMR_2</v>
      </c>
      <c r="G1294" s="7" t="s">
        <v>825</v>
      </c>
      <c r="H1294" s="7" t="str">
        <f t="shared" si="163"/>
        <v>CLK_DETM_DETIS_YCDS</v>
      </c>
      <c r="I1294" s="7" t="str">
        <f t="shared" si="164"/>
        <v>YCDS_AMR_2</v>
      </c>
      <c r="J1294" s="7" t="str">
        <f t="shared" si="165"/>
        <v>VARCHAR</v>
      </c>
      <c r="K1294" s="7" t="str">
        <f>TRIM(ETLMetadata!$G1294)</f>
        <v>CHAR(1)</v>
      </c>
      <c r="L1294" s="7" t="str">
        <f>TRIM(ETLMetadata!$I1294)</f>
        <v/>
      </c>
      <c r="M1294" s="7" t="str">
        <f t="shared" si="166"/>
        <v>NULLIF(TRIM(YCDS_AMR_2),'')</v>
      </c>
      <c r="N1294" s="7" t="str">
        <f>TRIM(ETLMetadata!$J1294)</f>
        <v/>
      </c>
      <c r="O1294" s="8" t="str">
        <f>IF(TRIM(Classification!$G1294)="","NOT CONFIDENTIAL",TRIM(Classification!$G1294))</f>
        <v>NOT CONFIDENTIAL</v>
      </c>
      <c r="P1294" s="7" t="str">
        <f t="shared" si="167"/>
        <v>Y</v>
      </c>
      <c r="Q1294" s="7" t="s">
        <v>826</v>
      </c>
      <c r="R1294" s="9">
        <v>2958465</v>
      </c>
      <c r="S1294" s="7" t="s">
        <v>827</v>
      </c>
      <c r="T1294" s="7" t="s">
        <v>828</v>
      </c>
      <c r="U1294" s="7" t="str">
        <f t="shared" si="161"/>
        <v>CLK_DETM_DETIS_YCDS_V</v>
      </c>
      <c r="V1294" s="7" t="s">
        <v>829</v>
      </c>
    </row>
    <row r="1295" spans="1:22">
      <c r="A1295" s="7" t="str">
        <f>TRIM(ETLMetadata!$B1295)</f>
        <v>CLK</v>
      </c>
      <c r="B1295" s="7" t="str">
        <f>TRIM(ETLMetadata!$C1295)</f>
        <v>DETM_DETIS_YCDS</v>
      </c>
      <c r="C1295" s="7" t="str">
        <f>TRIM(ETLMetadata!$F1295)</f>
        <v>YCDS_AMR_3</v>
      </c>
      <c r="D1295" s="7" t="str">
        <f>TRIM(ETLMetadata!$H1295)</f>
        <v>StringType()</v>
      </c>
      <c r="E1295" s="7" t="str">
        <f t="shared" si="160"/>
        <v>CLK_DETM_DETIS_YCDS</v>
      </c>
      <c r="F1295" s="7" t="str">
        <f t="shared" si="162"/>
        <v>YCDS_AMR_3</v>
      </c>
      <c r="G1295" s="7" t="s">
        <v>825</v>
      </c>
      <c r="H1295" s="7" t="str">
        <f t="shared" si="163"/>
        <v>CLK_DETM_DETIS_YCDS</v>
      </c>
      <c r="I1295" s="7" t="str">
        <f t="shared" si="164"/>
        <v>YCDS_AMR_3</v>
      </c>
      <c r="J1295" s="7" t="str">
        <f t="shared" si="165"/>
        <v>VARCHAR</v>
      </c>
      <c r="K1295" s="7" t="str">
        <f>TRIM(ETLMetadata!$G1295)</f>
        <v>CHAR(4)</v>
      </c>
      <c r="L1295" s="7" t="str">
        <f>TRIM(ETLMetadata!$I1295)</f>
        <v/>
      </c>
      <c r="M1295" s="7" t="str">
        <f t="shared" si="166"/>
        <v>NULLIF(TRIM(YCDS_AMR_3),'')</v>
      </c>
      <c r="N1295" s="7" t="str">
        <f>TRIM(ETLMetadata!$J1295)</f>
        <v/>
      </c>
      <c r="O1295" s="8" t="str">
        <f>IF(TRIM(Classification!$G1295)="","NOT CONFIDENTIAL",TRIM(Classification!$G1295))</f>
        <v>NOT CONFIDENTIAL</v>
      </c>
      <c r="P1295" s="7" t="str">
        <f t="shared" si="167"/>
        <v>Y</v>
      </c>
      <c r="Q1295" s="7" t="s">
        <v>826</v>
      </c>
      <c r="R1295" s="9">
        <v>2958465</v>
      </c>
      <c r="S1295" s="7" t="s">
        <v>827</v>
      </c>
      <c r="T1295" s="7" t="s">
        <v>828</v>
      </c>
      <c r="U1295" s="7" t="str">
        <f t="shared" si="161"/>
        <v>CLK_DETM_DETIS_YCDS_V</v>
      </c>
      <c r="V1295" s="7" t="s">
        <v>829</v>
      </c>
    </row>
    <row r="1296" spans="1:22">
      <c r="A1296" s="7" t="str">
        <f>TRIM(ETLMetadata!$B1296)</f>
        <v>CLK</v>
      </c>
      <c r="B1296" s="7" t="str">
        <f>TRIM(ETLMetadata!$C1296)</f>
        <v>DETM_DETIS_YCDS</v>
      </c>
      <c r="C1296" s="7" t="str">
        <f>TRIM(ETLMetadata!$F1296)</f>
        <v>YCDS_BEN_TYPE_CODE</v>
      </c>
      <c r="D1296" s="7" t="str">
        <f>TRIM(ETLMetadata!$H1296)</f>
        <v>StringType()</v>
      </c>
      <c r="E1296" s="7" t="str">
        <f t="shared" si="160"/>
        <v>CLK_DETM_DETIS_YCDS</v>
      </c>
      <c r="F1296" s="7" t="str">
        <f t="shared" si="162"/>
        <v>YCDS_BEN_TYPE_CODE</v>
      </c>
      <c r="G1296" s="7" t="s">
        <v>825</v>
      </c>
      <c r="H1296" s="7" t="str">
        <f t="shared" si="163"/>
        <v>CLK_DETM_DETIS_YCDS</v>
      </c>
      <c r="I1296" s="7" t="str">
        <f t="shared" si="164"/>
        <v>YCDS_BEN_TYPE_CODE</v>
      </c>
      <c r="J1296" s="7" t="str">
        <f t="shared" si="165"/>
        <v>VARCHAR</v>
      </c>
      <c r="K1296" s="7" t="str">
        <f>TRIM(ETLMetadata!$G1296)</f>
        <v>CHAR(3)</v>
      </c>
      <c r="L1296" s="7" t="str">
        <f>TRIM(ETLMetadata!$I1296)</f>
        <v/>
      </c>
      <c r="M1296" s="7" t="str">
        <f t="shared" si="166"/>
        <v>NULLIF(TRIM(YCDS_BEN_TYPE_CODE),'')</v>
      </c>
      <c r="N1296" s="7" t="str">
        <f>TRIM(ETLMetadata!$J1296)</f>
        <v/>
      </c>
      <c r="O1296" s="8" t="str">
        <f>IF(TRIM(Classification!$G1296)="","NOT CONFIDENTIAL",TRIM(Classification!$G1296))</f>
        <v>NOT CONFIDENTIAL</v>
      </c>
      <c r="P1296" s="7" t="str">
        <f t="shared" si="167"/>
        <v>Y</v>
      </c>
      <c r="Q1296" s="7" t="s">
        <v>826</v>
      </c>
      <c r="R1296" s="9">
        <v>2958465</v>
      </c>
      <c r="S1296" s="7" t="s">
        <v>827</v>
      </c>
      <c r="T1296" s="7" t="s">
        <v>828</v>
      </c>
      <c r="U1296" s="7" t="str">
        <f t="shared" si="161"/>
        <v>CLK_DETM_DETIS_YCDS_V</v>
      </c>
      <c r="V1296" s="7" t="s">
        <v>829</v>
      </c>
    </row>
    <row r="1297" spans="1:22">
      <c r="A1297" s="7" t="str">
        <f>TRIM(ETLMetadata!$B1297)</f>
        <v>CLK</v>
      </c>
      <c r="B1297" s="7" t="str">
        <f>TRIM(ETLMetadata!$C1297)</f>
        <v>DETM_DETIS_YCDS</v>
      </c>
      <c r="C1297" s="7" t="str">
        <f>TRIM(ETLMetadata!$F1297)</f>
        <v>YCDS_STS_CODE</v>
      </c>
      <c r="D1297" s="7" t="str">
        <f>TRIM(ETLMetadata!$H1297)</f>
        <v>StringType()</v>
      </c>
      <c r="E1297" s="7" t="str">
        <f t="shared" si="160"/>
        <v>CLK_DETM_DETIS_YCDS</v>
      </c>
      <c r="F1297" s="7" t="str">
        <f t="shared" si="162"/>
        <v>YCDS_STS_CODE</v>
      </c>
      <c r="G1297" s="7" t="s">
        <v>825</v>
      </c>
      <c r="H1297" s="7" t="str">
        <f t="shared" si="163"/>
        <v>CLK_DETM_DETIS_YCDS</v>
      </c>
      <c r="I1297" s="7" t="str">
        <f t="shared" si="164"/>
        <v>YCDS_STS_CODE</v>
      </c>
      <c r="J1297" s="7" t="str">
        <f t="shared" si="165"/>
        <v>VARCHAR</v>
      </c>
      <c r="K1297" s="7" t="str">
        <f>TRIM(ETLMetadata!$G1297)</f>
        <v>CHAR(3)</v>
      </c>
      <c r="L1297" s="7" t="str">
        <f>TRIM(ETLMetadata!$I1297)</f>
        <v/>
      </c>
      <c r="M1297" s="7" t="str">
        <f t="shared" si="166"/>
        <v>NULLIF(TRIM(YCDS_STS_CODE),'')</v>
      </c>
      <c r="N1297" s="7" t="str">
        <f>TRIM(ETLMetadata!$J1297)</f>
        <v/>
      </c>
      <c r="O1297" s="8" t="str">
        <f>IF(TRIM(Classification!$G1297)="","NOT CONFIDENTIAL",TRIM(Classification!$G1297))</f>
        <v>NOT CONFIDENTIAL</v>
      </c>
      <c r="P1297" s="7" t="str">
        <f t="shared" si="167"/>
        <v>Y</v>
      </c>
      <c r="Q1297" s="7" t="s">
        <v>826</v>
      </c>
      <c r="R1297" s="9">
        <v>2958465</v>
      </c>
      <c r="S1297" s="7" t="s">
        <v>827</v>
      </c>
      <c r="T1297" s="7" t="s">
        <v>828</v>
      </c>
      <c r="U1297" s="7" t="str">
        <f t="shared" si="161"/>
        <v>CLK_DETM_DETIS_YCDS_V</v>
      </c>
      <c r="V1297" s="7" t="s">
        <v>829</v>
      </c>
    </row>
    <row r="1298" spans="1:22">
      <c r="A1298" s="7" t="str">
        <f>TRIM(ETLMetadata!$B1298)</f>
        <v>CLK</v>
      </c>
      <c r="B1298" s="7" t="str">
        <f>TRIM(ETLMetadata!$C1298)</f>
        <v>DETM_DETIS_YCDS</v>
      </c>
      <c r="C1298" s="7" t="str">
        <f>TRIM(ETLMetadata!$F1298)</f>
        <v>YCDS_RSN_CODE</v>
      </c>
      <c r="D1298" s="7" t="str">
        <f>TRIM(ETLMetadata!$H1298)</f>
        <v>StringType()</v>
      </c>
      <c r="E1298" s="7" t="str">
        <f t="shared" si="160"/>
        <v>CLK_DETM_DETIS_YCDS</v>
      </c>
      <c r="F1298" s="7" t="str">
        <f t="shared" si="162"/>
        <v>YCDS_RSN_CODE</v>
      </c>
      <c r="G1298" s="7" t="s">
        <v>825</v>
      </c>
      <c r="H1298" s="7" t="str">
        <f t="shared" si="163"/>
        <v>CLK_DETM_DETIS_YCDS</v>
      </c>
      <c r="I1298" s="7" t="str">
        <f t="shared" si="164"/>
        <v>YCDS_RSN_CODE</v>
      </c>
      <c r="J1298" s="7" t="str">
        <f t="shared" si="165"/>
        <v>VARCHAR</v>
      </c>
      <c r="K1298" s="7" t="str">
        <f>TRIM(ETLMetadata!$G1298)</f>
        <v>CHAR(3)</v>
      </c>
      <c r="L1298" s="7" t="str">
        <f>TRIM(ETLMetadata!$I1298)</f>
        <v/>
      </c>
      <c r="M1298" s="7" t="str">
        <f t="shared" si="166"/>
        <v>NULLIF(TRIM(YCDS_RSN_CODE),'')</v>
      </c>
      <c r="N1298" s="7" t="str">
        <f>TRIM(ETLMetadata!$J1298)</f>
        <v/>
      </c>
      <c r="O1298" s="8" t="str">
        <f>IF(TRIM(Classification!$G1298)="","NOT CONFIDENTIAL",TRIM(Classification!$G1298))</f>
        <v>NOT CONFIDENTIAL</v>
      </c>
      <c r="P1298" s="7" t="str">
        <f t="shared" si="167"/>
        <v>Y</v>
      </c>
      <c r="Q1298" s="7" t="s">
        <v>826</v>
      </c>
      <c r="R1298" s="9">
        <v>2958465</v>
      </c>
      <c r="S1298" s="7" t="s">
        <v>827</v>
      </c>
      <c r="T1298" s="7" t="s">
        <v>828</v>
      </c>
      <c r="U1298" s="7" t="str">
        <f t="shared" si="161"/>
        <v>CLK_DETM_DETIS_YCDS_V</v>
      </c>
      <c r="V1298" s="7" t="s">
        <v>829</v>
      </c>
    </row>
    <row r="1299" spans="1:22">
      <c r="A1299" s="7" t="str">
        <f>TRIM(ETLMetadata!$B1299)</f>
        <v>CLK</v>
      </c>
      <c r="B1299" s="7" t="str">
        <f>TRIM(ETLMetadata!$C1299)</f>
        <v>DETM_DETIS_YCDS</v>
      </c>
      <c r="C1299" s="7" t="str">
        <f>TRIM(ETLMetadata!$F1299)</f>
        <v>AMR1_RISL_DTS</v>
      </c>
      <c r="D1299" s="7" t="str">
        <f>TRIM(ETLMetadata!$H1299)</f>
        <v>StringType()</v>
      </c>
      <c r="E1299" s="7" t="str">
        <f t="shared" si="160"/>
        <v>CLK_DETM_DETIS_YCDS</v>
      </c>
      <c r="F1299" s="7" t="str">
        <f t="shared" si="162"/>
        <v>AMR1_RISL_DTS</v>
      </c>
      <c r="G1299" s="7" t="s">
        <v>825</v>
      </c>
      <c r="H1299" s="7" t="str">
        <f t="shared" si="163"/>
        <v>CLK_DETM_DETIS_YCDS</v>
      </c>
      <c r="I1299" s="7" t="str">
        <f t="shared" si="164"/>
        <v>AMR1_RISL_DTS</v>
      </c>
      <c r="J1299" s="7" t="str">
        <f t="shared" si="165"/>
        <v>TIMESTAMP</v>
      </c>
      <c r="K1299" s="7" t="str">
        <f>TRIM(ETLMetadata!$G1299)</f>
        <v>TIMESTAMP(6)</v>
      </c>
      <c r="L1299" s="7" t="str">
        <f>TRIM(ETLMetadata!$I1299)</f>
        <v>YYYY-MM-DDBHH:MI:SS.S(6)</v>
      </c>
      <c r="M1299" s="7" t="str">
        <f t="shared" si="166"/>
        <v>TO_TIMESTAMP_NTZ(NULLIF(TRIM(AMR1_RISL_DTS),''),'YYYY-MM-DD HH24:MI:SS.FF6')</v>
      </c>
      <c r="N1299" s="7" t="str">
        <f>TRIM(ETLMetadata!$J1299)</f>
        <v/>
      </c>
      <c r="O1299" s="8" t="str">
        <f>IF(TRIM(Classification!$G1299)="","NOT CONFIDENTIAL",TRIM(Classification!$G1299))</f>
        <v>NOT CONFIDENTIAL</v>
      </c>
      <c r="P1299" s="7" t="str">
        <f t="shared" si="167"/>
        <v>Y</v>
      </c>
      <c r="Q1299" s="7" t="s">
        <v>826</v>
      </c>
      <c r="R1299" s="9">
        <v>2958465</v>
      </c>
      <c r="S1299" s="7" t="s">
        <v>827</v>
      </c>
      <c r="T1299" s="7" t="s">
        <v>828</v>
      </c>
      <c r="U1299" s="7" t="str">
        <f t="shared" si="161"/>
        <v>CLK_DETM_DETIS_YCDS_V</v>
      </c>
      <c r="V1299" s="7" t="s">
        <v>829</v>
      </c>
    </row>
    <row r="1300" spans="1:22">
      <c r="A1300" s="7" t="str">
        <f>TRIM(ETLMetadata!$B1300)</f>
        <v>CLK</v>
      </c>
      <c r="B1300" s="7" t="str">
        <f>TRIM(ETLMetadata!$C1300)</f>
        <v>DETM_DETIS_YCDS</v>
      </c>
      <c r="C1300" s="7" t="str">
        <f>TRIM(ETLMetadata!$F1300)</f>
        <v>AMR3_RISL_DTS</v>
      </c>
      <c r="D1300" s="7" t="str">
        <f>TRIM(ETLMetadata!$H1300)</f>
        <v>StringType()</v>
      </c>
      <c r="E1300" s="7" t="str">
        <f t="shared" si="160"/>
        <v>CLK_DETM_DETIS_YCDS</v>
      </c>
      <c r="F1300" s="7" t="str">
        <f t="shared" si="162"/>
        <v>AMR3_RISL_DTS</v>
      </c>
      <c r="G1300" s="7" t="s">
        <v>825</v>
      </c>
      <c r="H1300" s="7" t="str">
        <f t="shared" si="163"/>
        <v>CLK_DETM_DETIS_YCDS</v>
      </c>
      <c r="I1300" s="7" t="str">
        <f t="shared" si="164"/>
        <v>AMR3_RISL_DTS</v>
      </c>
      <c r="J1300" s="7" t="str">
        <f t="shared" si="165"/>
        <v>TIMESTAMP</v>
      </c>
      <c r="K1300" s="7" t="str">
        <f>TRIM(ETLMetadata!$G1300)</f>
        <v>TIMESTAMP(6)</v>
      </c>
      <c r="L1300" s="7" t="str">
        <f>TRIM(ETLMetadata!$I1300)</f>
        <v>YYYY-MM-DDBHH:MI:SS.S(6)</v>
      </c>
      <c r="M1300" s="7" t="str">
        <f t="shared" si="166"/>
        <v>TO_TIMESTAMP_NTZ(NULLIF(TRIM(AMR3_RISL_DTS),''),'YYYY-MM-DD HH24:MI:SS.FF6')</v>
      </c>
      <c r="N1300" s="7" t="str">
        <f>TRIM(ETLMetadata!$J1300)</f>
        <v/>
      </c>
      <c r="O1300" s="8" t="str">
        <f>IF(TRIM(Classification!$G1300)="","NOT CONFIDENTIAL",TRIM(Classification!$G1300))</f>
        <v>NOT CONFIDENTIAL</v>
      </c>
      <c r="P1300" s="7" t="str">
        <f t="shared" si="167"/>
        <v>Y</v>
      </c>
      <c r="Q1300" s="7" t="s">
        <v>826</v>
      </c>
      <c r="R1300" s="9">
        <v>2958465</v>
      </c>
      <c r="S1300" s="7" t="s">
        <v>827</v>
      </c>
      <c r="T1300" s="7" t="s">
        <v>828</v>
      </c>
      <c r="U1300" s="7" t="str">
        <f t="shared" si="161"/>
        <v>CLK_DETM_DETIS_YCDS_V</v>
      </c>
      <c r="V1300" s="7" t="s">
        <v>829</v>
      </c>
    </row>
    <row r="1301" spans="1:22">
      <c r="A1301" s="7" t="str">
        <f>TRIM(ETLMetadata!$B1301)</f>
        <v>CLK</v>
      </c>
      <c r="B1301" s="7" t="str">
        <f>TRIM(ETLMetadata!$C1301)</f>
        <v>DETM_DETIS_YCDS</v>
      </c>
      <c r="C1301" s="7" t="str">
        <f>TRIM(ETLMetadata!$F1301)</f>
        <v>PARTY_ROLE_ID</v>
      </c>
      <c r="D1301" s="7" t="str">
        <f>TRIM(ETLMetadata!$H1301)</f>
        <v>StringType()</v>
      </c>
      <c r="E1301" s="7" t="str">
        <f t="shared" si="160"/>
        <v>CLK_DETM_DETIS_YCDS</v>
      </c>
      <c r="F1301" s="7" t="str">
        <f t="shared" si="162"/>
        <v>PARTY_ROLE_ID</v>
      </c>
      <c r="G1301" s="7" t="s">
        <v>825</v>
      </c>
      <c r="H1301" s="7" t="str">
        <f t="shared" si="163"/>
        <v>CLK_DETM_DETIS_YCDS</v>
      </c>
      <c r="I1301" s="7" t="str">
        <f t="shared" si="164"/>
        <v>PARTY_ROLE_ID</v>
      </c>
      <c r="J1301" s="7" t="str">
        <f t="shared" si="165"/>
        <v>INTEGER</v>
      </c>
      <c r="K1301" s="7" t="str">
        <f>TRIM(ETLMetadata!$G1301)</f>
        <v>INTEGER</v>
      </c>
      <c r="L1301" s="7" t="str">
        <f>TRIM(ETLMetadata!$I1301)</f>
        <v/>
      </c>
      <c r="M1301" s="7" t="str">
        <f t="shared" si="166"/>
        <v>CAST(NULLIF(TRIM(PARTY_ROLE_ID),'') AS INTEGER)</v>
      </c>
      <c r="N1301" s="7" t="str">
        <f>TRIM(ETLMetadata!$J1301)</f>
        <v/>
      </c>
      <c r="O1301" s="8" t="str">
        <f>IF(TRIM(Classification!$G1301)="","NOT CONFIDENTIAL",TRIM(Classification!$G1301))</f>
        <v>NOT CONFIDENTIAL</v>
      </c>
      <c r="P1301" s="7" t="str">
        <f t="shared" si="167"/>
        <v>Y</v>
      </c>
      <c r="Q1301" s="7" t="s">
        <v>826</v>
      </c>
      <c r="R1301" s="9">
        <v>2958465</v>
      </c>
      <c r="S1301" s="7" t="s">
        <v>827</v>
      </c>
      <c r="T1301" s="7" t="s">
        <v>828</v>
      </c>
      <c r="U1301" s="7" t="str">
        <f t="shared" si="161"/>
        <v>CLK_DETM_DETIS_YCDS_V</v>
      </c>
      <c r="V1301" s="7" t="s">
        <v>829</v>
      </c>
    </row>
    <row r="1302" spans="1:22">
      <c r="A1302" s="7" t="str">
        <f>TRIM(ETLMetadata!$B1302)</f>
        <v>CLK</v>
      </c>
      <c r="B1302" s="7" t="str">
        <f>TRIM(ETLMetadata!$C1302)</f>
        <v>DETM_DETIS_YCDS</v>
      </c>
      <c r="C1302" s="7" t="str">
        <f>TRIM(ETLMetadata!$F1302)</f>
        <v>EPISODE_ID</v>
      </c>
      <c r="D1302" s="7" t="str">
        <f>TRIM(ETLMetadata!$H1302)</f>
        <v>StringType()</v>
      </c>
      <c r="E1302" s="7" t="str">
        <f t="shared" si="160"/>
        <v>CLK_DETM_DETIS_YCDS</v>
      </c>
      <c r="F1302" s="7" t="str">
        <f t="shared" si="162"/>
        <v>EPISODE_ID</v>
      </c>
      <c r="G1302" s="7" t="s">
        <v>825</v>
      </c>
      <c r="H1302" s="7" t="str">
        <f t="shared" si="163"/>
        <v>CLK_DETM_DETIS_YCDS</v>
      </c>
      <c r="I1302" s="7" t="str">
        <f t="shared" si="164"/>
        <v>EPISODE_ID</v>
      </c>
      <c r="J1302" s="7" t="str">
        <f t="shared" si="165"/>
        <v>INTEGER</v>
      </c>
      <c r="K1302" s="7" t="str">
        <f>TRIM(ETLMetadata!$G1302)</f>
        <v>INTEGER</v>
      </c>
      <c r="L1302" s="7" t="str">
        <f>TRIM(ETLMetadata!$I1302)</f>
        <v/>
      </c>
      <c r="M1302" s="7" t="str">
        <f t="shared" si="166"/>
        <v>CAST(NULLIF(TRIM(EPISODE_ID),'') AS INTEGER)</v>
      </c>
      <c r="N1302" s="7" t="str">
        <f>TRIM(ETLMetadata!$J1302)</f>
        <v/>
      </c>
      <c r="O1302" s="8" t="str">
        <f>IF(TRIM(Classification!$G1302)="","NOT CONFIDENTIAL",TRIM(Classification!$G1302))</f>
        <v>NOT CONFIDENTIAL</v>
      </c>
      <c r="P1302" s="7" t="str">
        <f t="shared" si="167"/>
        <v>Y</v>
      </c>
      <c r="Q1302" s="7" t="s">
        <v>826</v>
      </c>
      <c r="R1302" s="9">
        <v>2958465</v>
      </c>
      <c r="S1302" s="7" t="s">
        <v>827</v>
      </c>
      <c r="T1302" s="7" t="s">
        <v>828</v>
      </c>
      <c r="U1302" s="7" t="str">
        <f t="shared" si="161"/>
        <v>CLK_DETM_DETIS_YCDS_V</v>
      </c>
      <c r="V1302" s="7" t="s">
        <v>829</v>
      </c>
    </row>
    <row r="1303" spans="1:22">
      <c r="A1303" s="7" t="str">
        <f>TRIM(ETLMetadata!$B1303)</f>
        <v>CLK</v>
      </c>
      <c r="B1303" s="7" t="str">
        <f>TRIM(ETLMetadata!$C1303)</f>
        <v>DETM_DETIS_YCDS</v>
      </c>
      <c r="C1303" s="7" t="str">
        <f>TRIM(ETLMetadata!$F1303)</f>
        <v>PAYMENT_TYPE_ID</v>
      </c>
      <c r="D1303" s="7" t="str">
        <f>TRIM(ETLMetadata!$H1303)</f>
        <v>StringType()</v>
      </c>
      <c r="E1303" s="7" t="str">
        <f t="shared" si="160"/>
        <v>CLK_DETM_DETIS_YCDS</v>
      </c>
      <c r="F1303" s="7" t="str">
        <f t="shared" si="162"/>
        <v>PAYMENT_TYPE_ID</v>
      </c>
      <c r="G1303" s="7" t="s">
        <v>825</v>
      </c>
      <c r="H1303" s="7" t="str">
        <f t="shared" si="163"/>
        <v>CLK_DETM_DETIS_YCDS</v>
      </c>
      <c r="I1303" s="7" t="str">
        <f t="shared" si="164"/>
        <v>PAYMENT_TYPE_ID</v>
      </c>
      <c r="J1303" s="7" t="str">
        <f t="shared" si="165"/>
        <v>INTEGER</v>
      </c>
      <c r="K1303" s="7" t="str">
        <f>TRIM(ETLMetadata!$G1303)</f>
        <v>INTEGER</v>
      </c>
      <c r="L1303" s="7" t="str">
        <f>TRIM(ETLMetadata!$I1303)</f>
        <v/>
      </c>
      <c r="M1303" s="7" t="str">
        <f t="shared" si="166"/>
        <v>CAST(NULLIF(TRIM(PAYMENT_TYPE_ID),'') AS INTEGER)</v>
      </c>
      <c r="N1303" s="7" t="str">
        <f>TRIM(ETLMetadata!$J1303)</f>
        <v/>
      </c>
      <c r="O1303" s="8" t="str">
        <f>IF(TRIM(Classification!$G1303)="","NOT CONFIDENTIAL",TRIM(Classification!$G1303))</f>
        <v>NOT CONFIDENTIAL</v>
      </c>
      <c r="P1303" s="7" t="str">
        <f t="shared" si="167"/>
        <v>Y</v>
      </c>
      <c r="Q1303" s="7" t="s">
        <v>826</v>
      </c>
      <c r="R1303" s="9">
        <v>2958465</v>
      </c>
      <c r="S1303" s="7" t="s">
        <v>827</v>
      </c>
      <c r="T1303" s="7" t="s">
        <v>828</v>
      </c>
      <c r="U1303" s="7" t="str">
        <f t="shared" si="161"/>
        <v>CLK_DETM_DETIS_YCDS_V</v>
      </c>
      <c r="V1303" s="7" t="s">
        <v>829</v>
      </c>
    </row>
    <row r="1304" spans="1:22">
      <c r="A1304" s="7" t="str">
        <f>TRIM(ETLMetadata!$B1304)</f>
        <v>CLK</v>
      </c>
      <c r="B1304" s="7" t="str">
        <f>TRIM(ETLMetadata!$C1304)</f>
        <v>DETM_DETIS_YCDS</v>
      </c>
      <c r="C1304" s="7" t="str">
        <f>TRIM(ETLMetadata!$F1304)</f>
        <v>ERROR_COUNT</v>
      </c>
      <c r="D1304" s="7" t="str">
        <f>TRIM(ETLMetadata!$H1304)</f>
        <v>StringType()</v>
      </c>
      <c r="E1304" s="7" t="str">
        <f t="shared" si="160"/>
        <v>CLK_DETM_DETIS_YCDS</v>
      </c>
      <c r="F1304" s="7" t="str">
        <f t="shared" si="162"/>
        <v>ERROR_COUNT</v>
      </c>
      <c r="G1304" s="7" t="s">
        <v>825</v>
      </c>
      <c r="H1304" s="7" t="str">
        <f t="shared" si="163"/>
        <v>CLK_DETM_DETIS_YCDS</v>
      </c>
      <c r="I1304" s="7" t="str">
        <f t="shared" si="164"/>
        <v>ERROR_COUNT</v>
      </c>
      <c r="J1304" s="7" t="str">
        <f t="shared" si="165"/>
        <v>SMALLINT</v>
      </c>
      <c r="K1304" s="7" t="str">
        <f>TRIM(ETLMetadata!$G1304)</f>
        <v>SMALLINT</v>
      </c>
      <c r="L1304" s="7" t="str">
        <f>TRIM(ETLMetadata!$I1304)</f>
        <v/>
      </c>
      <c r="M1304" s="7" t="str">
        <f t="shared" si="166"/>
        <v>CAST(NULLIF(TRIM(ERROR_COUNT),'') AS SMALLINT)</v>
      </c>
      <c r="N1304" s="7" t="str">
        <f>TRIM(ETLMetadata!$J1304)</f>
        <v/>
      </c>
      <c r="O1304" s="8" t="str">
        <f>IF(TRIM(Classification!$G1304)="","NOT CONFIDENTIAL",TRIM(Classification!$G1304))</f>
        <v>NOT CONFIDENTIAL</v>
      </c>
      <c r="P1304" s="7" t="str">
        <f t="shared" si="167"/>
        <v>Y</v>
      </c>
      <c r="Q1304" s="7" t="s">
        <v>826</v>
      </c>
      <c r="R1304" s="9">
        <v>2958465</v>
      </c>
      <c r="S1304" s="7" t="s">
        <v>827</v>
      </c>
      <c r="T1304" s="7" t="s">
        <v>828</v>
      </c>
      <c r="U1304" s="7" t="str">
        <f t="shared" si="161"/>
        <v>CLK_DETM_DETIS_YCDS_V</v>
      </c>
      <c r="V1304" s="7" t="s">
        <v>829</v>
      </c>
    </row>
    <row r="1305" spans="1:22">
      <c r="A1305" s="7" t="str">
        <f>TRIM(ETLMetadata!$B1305)</f>
        <v>CLK</v>
      </c>
      <c r="B1305" s="7" t="str">
        <f>TRIM(ETLMetadata!$C1305)</f>
        <v>DETM_DETIS_YCDS</v>
      </c>
      <c r="C1305" s="7" t="str">
        <f>TRIM(ETLMetadata!$F1305)</f>
        <v>Start_Date</v>
      </c>
      <c r="D1305" s="7" t="str">
        <f>TRIM(ETLMetadata!$H1305)</f>
        <v>StringType()</v>
      </c>
      <c r="E1305" s="7" t="str">
        <f t="shared" si="160"/>
        <v>CLK_DETM_DETIS_YCDS</v>
      </c>
      <c r="F1305" s="7" t="str">
        <f t="shared" si="162"/>
        <v>STRT_DT</v>
      </c>
      <c r="G1305" s="7" t="s">
        <v>825</v>
      </c>
      <c r="H1305" s="7" t="str">
        <f t="shared" si="163"/>
        <v>CLK_DETM_DETIS_YCDS</v>
      </c>
      <c r="I1305" s="7" t="str">
        <f t="shared" si="164"/>
        <v>STRT_DT</v>
      </c>
      <c r="J1305" s="7" t="str">
        <f t="shared" si="165"/>
        <v>DATE</v>
      </c>
      <c r="K1305" s="7" t="str">
        <f>TRIM(ETLMetadata!$G1305)</f>
        <v>DATE</v>
      </c>
      <c r="L1305" s="7" t="str">
        <f>TRIM(ETLMetadata!$I1305)</f>
        <v>YYYY-MM-DD</v>
      </c>
      <c r="M1305" s="7" t="str">
        <f t="shared" si="166"/>
        <v>TO_DATE(NULLIF(TRIM(STRT_DT),'') , 'YYYY-MM-DD')</v>
      </c>
      <c r="N1305" s="7" t="str">
        <f>TRIM(ETLMetadata!$J1305)</f>
        <v/>
      </c>
      <c r="O1305" s="8" t="str">
        <f>IF(TRIM(Classification!$G1305)="","NOT CONFIDENTIAL",TRIM(Classification!$G1305))</f>
        <v>NOT CONFIDENTIAL</v>
      </c>
      <c r="P1305" s="7" t="str">
        <f t="shared" si="167"/>
        <v>N</v>
      </c>
      <c r="Q1305" s="7" t="s">
        <v>826</v>
      </c>
      <c r="R1305" s="9">
        <v>2958465</v>
      </c>
      <c r="S1305" s="7" t="s">
        <v>827</v>
      </c>
      <c r="T1305" s="7" t="s">
        <v>828</v>
      </c>
      <c r="U1305" s="7" t="str">
        <f t="shared" si="161"/>
        <v>CLK_DETM_DETIS_YCDS_V</v>
      </c>
      <c r="V1305" s="7" t="s">
        <v>829</v>
      </c>
    </row>
    <row r="1306" spans="1:22">
      <c r="A1306" s="7" t="str">
        <f>TRIM(ETLMetadata!$B1306)</f>
        <v>CLK</v>
      </c>
      <c r="B1306" s="7" t="str">
        <f>TRIM(ETLMetadata!$C1306)</f>
        <v>DETM_DETIS_YCDS</v>
      </c>
      <c r="C1306" s="7" t="str">
        <f>TRIM(ETLMetadata!$F1306)</f>
        <v>End_Date</v>
      </c>
      <c r="D1306" s="7" t="str">
        <f>TRIM(ETLMetadata!$H1306)</f>
        <v>StringType()</v>
      </c>
      <c r="E1306" s="7" t="str">
        <f t="shared" si="160"/>
        <v>CLK_DETM_DETIS_YCDS</v>
      </c>
      <c r="F1306" s="7" t="str">
        <f t="shared" si="162"/>
        <v>END_DT</v>
      </c>
      <c r="G1306" s="7" t="s">
        <v>825</v>
      </c>
      <c r="H1306" s="7" t="str">
        <f t="shared" si="163"/>
        <v>CLK_DETM_DETIS_YCDS</v>
      </c>
      <c r="I1306" s="7" t="str">
        <f t="shared" si="164"/>
        <v>END_DT</v>
      </c>
      <c r="J1306" s="7" t="str">
        <f t="shared" si="165"/>
        <v>DATE</v>
      </c>
      <c r="K1306" s="7" t="str">
        <f>TRIM(ETLMetadata!$G1306)</f>
        <v>DATE</v>
      </c>
      <c r="L1306" s="7" t="str">
        <f>TRIM(ETLMetadata!$I1306)</f>
        <v>YYYY-MM-DD</v>
      </c>
      <c r="M1306" s="7" t="str">
        <f t="shared" si="166"/>
        <v>TO_DATE(NULLIF(TRIM(END_DT),'') , 'YYYY-MM-DD')</v>
      </c>
      <c r="N1306" s="7" t="str">
        <f>TRIM(ETLMetadata!$J1306)</f>
        <v/>
      </c>
      <c r="O1306" s="8" t="str">
        <f>IF(TRIM(Classification!$G1306)="","NOT CONFIDENTIAL",TRIM(Classification!$G1306))</f>
        <v>NOT CONFIDENTIAL</v>
      </c>
      <c r="P1306" s="7" t="str">
        <f t="shared" si="167"/>
        <v>N</v>
      </c>
      <c r="Q1306" s="7" t="s">
        <v>826</v>
      </c>
      <c r="R1306" s="9">
        <v>2958465</v>
      </c>
      <c r="S1306" s="7" t="s">
        <v>827</v>
      </c>
      <c r="T1306" s="7" t="s">
        <v>828</v>
      </c>
      <c r="U1306" s="7" t="str">
        <f t="shared" si="161"/>
        <v>CLK_DETM_DETIS_YCDS_V</v>
      </c>
      <c r="V1306" s="7" t="s">
        <v>829</v>
      </c>
    </row>
    <row r="1307" spans="1:22">
      <c r="A1307" s="7" t="str">
        <f>TRIM(ETLMetadata!$B1307)</f>
        <v>CLK</v>
      </c>
      <c r="B1307" s="7" t="str">
        <f>TRIM(ETLMetadata!$C1307)</f>
        <v>DETM_DETIS_YCDS</v>
      </c>
      <c r="C1307" s="7" t="str">
        <f>TRIM(ETLMetadata!$F1307)</f>
        <v>Record_Deleted_Flag</v>
      </c>
      <c r="D1307" s="7" t="str">
        <f>TRIM(ETLMetadata!$H1307)</f>
        <v>StringType()</v>
      </c>
      <c r="E1307" s="7" t="str">
        <f t="shared" si="160"/>
        <v>CLK_DETM_DETIS_YCDS</v>
      </c>
      <c r="F1307" s="7" t="str">
        <f t="shared" si="162"/>
        <v>RCRD_DEL_IND</v>
      </c>
      <c r="G1307" s="7" t="s">
        <v>825</v>
      </c>
      <c r="H1307" s="7" t="str">
        <f t="shared" si="163"/>
        <v>CLK_DETM_DETIS_YCDS</v>
      </c>
      <c r="I1307" s="7" t="str">
        <f t="shared" si="164"/>
        <v>RCRD_DEL_IND</v>
      </c>
      <c r="J1307" s="7" t="str">
        <f t="shared" si="165"/>
        <v>SMALLINT</v>
      </c>
      <c r="K1307" s="7" t="str">
        <f>TRIM(ETLMetadata!$G1307)</f>
        <v>BYTEINT</v>
      </c>
      <c r="L1307" s="7" t="str">
        <f>TRIM(ETLMetadata!$I1307)</f>
        <v/>
      </c>
      <c r="M1307" s="7" t="str">
        <f t="shared" si="166"/>
        <v>CAST(NULLIF(TRIM(RCRD_DEL_IND),'') AS SMALLINT)</v>
      </c>
      <c r="N1307" s="7" t="str">
        <f>TRIM(ETLMetadata!$J1307)</f>
        <v/>
      </c>
      <c r="O1307" s="8" t="str">
        <f>IF(TRIM(Classification!$G1307)="","NOT CONFIDENTIAL",TRIM(Classification!$G1307))</f>
        <v>NOT CONFIDENTIAL</v>
      </c>
      <c r="P1307" s="7" t="str">
        <f t="shared" si="167"/>
        <v>N</v>
      </c>
      <c r="Q1307" s="7" t="s">
        <v>826</v>
      </c>
      <c r="R1307" s="9">
        <v>2958465</v>
      </c>
      <c r="S1307" s="7" t="s">
        <v>827</v>
      </c>
      <c r="T1307" s="7" t="s">
        <v>828</v>
      </c>
      <c r="U1307" s="7" t="str">
        <f t="shared" si="161"/>
        <v>CLK_DETM_DETIS_YCDS_V</v>
      </c>
      <c r="V1307" s="7" t="s">
        <v>829</v>
      </c>
    </row>
    <row r="1308" spans="1:22">
      <c r="A1308" s="7" t="str">
        <f>TRIM(ETLMetadata!$B1308)</f>
        <v>CLK</v>
      </c>
      <c r="B1308" s="7" t="str">
        <f>TRIM(ETLMetadata!$C1308)</f>
        <v>DETM_DETIS_YPDS</v>
      </c>
      <c r="C1308" s="7" t="str">
        <f>TRIM(ETLMetadata!$F1308)</f>
        <v>EXTRACT_DATE</v>
      </c>
      <c r="D1308" s="7" t="str">
        <f>TRIM(ETLMetadata!$H1308)</f>
        <v>StringType()</v>
      </c>
      <c r="E1308" s="7" t="str">
        <f t="shared" si="160"/>
        <v>CLK_DETM_DETIS_YPDS</v>
      </c>
      <c r="F1308" s="7" t="str">
        <f t="shared" si="162"/>
        <v>EXTRACT_DATE</v>
      </c>
      <c r="G1308" s="7" t="s">
        <v>825</v>
      </c>
      <c r="H1308" s="7" t="str">
        <f t="shared" si="163"/>
        <v>CLK_DETM_DETIS_YPDS</v>
      </c>
      <c r="I1308" s="7" t="str">
        <f t="shared" si="164"/>
        <v>EXTRACT_DATE</v>
      </c>
      <c r="J1308" s="7" t="str">
        <f t="shared" si="165"/>
        <v>DATE</v>
      </c>
      <c r="K1308" s="7" t="str">
        <f>TRIM(ETLMetadata!$G1308)</f>
        <v>DATE</v>
      </c>
      <c r="L1308" s="7" t="str">
        <f>TRIM(ETLMetadata!$I1308)</f>
        <v>YYYY-MM-DD</v>
      </c>
      <c r="M1308" s="7" t="str">
        <f t="shared" si="166"/>
        <v>TO_DATE(NULLIF(TRIM(EXTRACT_DATE),'') , 'YYYY-MM-DD')</v>
      </c>
      <c r="N1308" s="7" t="str">
        <f>TRIM(ETLMetadata!$J1308)</f>
        <v/>
      </c>
      <c r="O1308" s="8" t="str">
        <f>IF(TRIM(Classification!$G1308)="","NOT CONFIDENTIAL",TRIM(Classification!$G1308))</f>
        <v>NOT CONFIDENTIAL</v>
      </c>
      <c r="P1308" s="7" t="str">
        <f t="shared" si="167"/>
        <v>Y</v>
      </c>
      <c r="Q1308" s="7" t="s">
        <v>826</v>
      </c>
      <c r="R1308" s="9">
        <v>2958465</v>
      </c>
      <c r="S1308" s="7" t="s">
        <v>827</v>
      </c>
      <c r="T1308" s="7" t="s">
        <v>828</v>
      </c>
      <c r="U1308" s="7" t="str">
        <f t="shared" si="161"/>
        <v>CLK_DETM_DETIS_YPDS_V</v>
      </c>
      <c r="V1308" s="7" t="s">
        <v>829</v>
      </c>
    </row>
    <row r="1309" spans="1:22">
      <c r="A1309" s="7" t="str">
        <f>TRIM(ETLMetadata!$B1309)</f>
        <v>CLK</v>
      </c>
      <c r="B1309" s="7" t="str">
        <f>TRIM(ETLMetadata!$C1309)</f>
        <v>DETM_DETIS_YPDS</v>
      </c>
      <c r="C1309" s="7" t="str">
        <f>TRIM(ETLMetadata!$F1309)</f>
        <v>LOGICAL_DELETE_DATE</v>
      </c>
      <c r="D1309" s="7" t="str">
        <f>TRIM(ETLMetadata!$H1309)</f>
        <v>StringType()</v>
      </c>
      <c r="E1309" s="7" t="str">
        <f t="shared" si="160"/>
        <v>CLK_DETM_DETIS_YPDS</v>
      </c>
      <c r="F1309" s="7" t="str">
        <f t="shared" si="162"/>
        <v>LOGICAL_DELETE_DATE</v>
      </c>
      <c r="G1309" s="7" t="s">
        <v>825</v>
      </c>
      <c r="H1309" s="7" t="str">
        <f t="shared" si="163"/>
        <v>CLK_DETM_DETIS_YPDS</v>
      </c>
      <c r="I1309" s="7" t="str">
        <f t="shared" si="164"/>
        <v>LOGICAL_DELETE_DATE</v>
      </c>
      <c r="J1309" s="7" t="str">
        <f t="shared" si="165"/>
        <v>DATE</v>
      </c>
      <c r="K1309" s="7" t="str">
        <f>TRIM(ETLMetadata!$G1309)</f>
        <v>DATE</v>
      </c>
      <c r="L1309" s="7" t="str">
        <f>TRIM(ETLMetadata!$I1309)</f>
        <v>YYYY-MM-DD</v>
      </c>
      <c r="M1309" s="7" t="str">
        <f t="shared" si="166"/>
        <v>TO_DATE(NULLIF(TRIM(LOGICAL_DELETE_DATE),'') , 'YYYY-MM-DD')</v>
      </c>
      <c r="N1309" s="7" t="str">
        <f>TRIM(ETLMetadata!$J1309)</f>
        <v/>
      </c>
      <c r="O1309" s="8" t="str">
        <f>IF(TRIM(Classification!$G1309)="","NOT CONFIDENTIAL",TRIM(Classification!$G1309))</f>
        <v>NOT CONFIDENTIAL</v>
      </c>
      <c r="P1309" s="7" t="str">
        <f t="shared" si="167"/>
        <v>Y</v>
      </c>
      <c r="Q1309" s="7" t="s">
        <v>826</v>
      </c>
      <c r="R1309" s="9">
        <v>2958465</v>
      </c>
      <c r="S1309" s="7" t="s">
        <v>827</v>
      </c>
      <c r="T1309" s="7" t="s">
        <v>828</v>
      </c>
      <c r="U1309" s="7" t="str">
        <f t="shared" si="161"/>
        <v>CLK_DETM_DETIS_YPDS_V</v>
      </c>
      <c r="V1309" s="7" t="s">
        <v>829</v>
      </c>
    </row>
    <row r="1310" spans="1:22">
      <c r="A1310" s="7" t="str">
        <f>TRIM(ETLMetadata!$B1310)</f>
        <v>CLK</v>
      </c>
      <c r="B1310" s="7" t="str">
        <f>TRIM(ETLMetadata!$C1310)</f>
        <v>DETM_DETIS_YPDS</v>
      </c>
      <c r="C1310" s="7" t="str">
        <f>TRIM(ETLMetadata!$F1310)</f>
        <v>ENVIRONMENT_ID</v>
      </c>
      <c r="D1310" s="7" t="str">
        <f>TRIM(ETLMetadata!$H1310)</f>
        <v>StringType()</v>
      </c>
      <c r="E1310" s="7" t="str">
        <f t="shared" si="160"/>
        <v>CLK_DETM_DETIS_YPDS</v>
      </c>
      <c r="F1310" s="7" t="str">
        <f t="shared" si="162"/>
        <v>ENVIRONMENT_ID</v>
      </c>
      <c r="G1310" s="7" t="s">
        <v>825</v>
      </c>
      <c r="H1310" s="7" t="str">
        <f t="shared" si="163"/>
        <v>CLK_DETM_DETIS_YPDS</v>
      </c>
      <c r="I1310" s="7" t="str">
        <f t="shared" si="164"/>
        <v>ENVIRONMENT_ID</v>
      </c>
      <c r="J1310" s="7" t="str">
        <f t="shared" si="165"/>
        <v>VARCHAR</v>
      </c>
      <c r="K1310" s="7" t="str">
        <f>TRIM(ETLMetadata!$G1310)</f>
        <v>CHAR(1)</v>
      </c>
      <c r="L1310" s="7" t="str">
        <f>TRIM(ETLMetadata!$I1310)</f>
        <v/>
      </c>
      <c r="M1310" s="7" t="str">
        <f t="shared" si="166"/>
        <v>NULLIF(TRIM(ENVIRONMENT_ID),'')</v>
      </c>
      <c r="N1310" s="7" t="str">
        <f>TRIM(ETLMetadata!$J1310)</f>
        <v>Y</v>
      </c>
      <c r="O1310" s="8" t="str">
        <f>IF(TRIM(Classification!$G1310)="","NOT CONFIDENTIAL",TRIM(Classification!$G1310))</f>
        <v>NOT CONFIDENTIAL</v>
      </c>
      <c r="P1310" s="7" t="str">
        <f t="shared" si="167"/>
        <v>Y</v>
      </c>
      <c r="Q1310" s="7" t="s">
        <v>826</v>
      </c>
      <c r="R1310" s="9">
        <v>2958465</v>
      </c>
      <c r="S1310" s="7" t="s">
        <v>827</v>
      </c>
      <c r="T1310" s="7" t="s">
        <v>828</v>
      </c>
      <c r="U1310" s="7" t="str">
        <f t="shared" si="161"/>
        <v>CLK_DETM_DETIS_YPDS_V</v>
      </c>
      <c r="V1310" s="7" t="s">
        <v>829</v>
      </c>
    </row>
    <row r="1311" spans="1:22">
      <c r="A1311" s="7" t="str">
        <f>TRIM(ETLMetadata!$B1311)</f>
        <v>CLK</v>
      </c>
      <c r="B1311" s="7" t="str">
        <f>TRIM(ETLMetadata!$C1311)</f>
        <v>DETM_DETIS_YPDS</v>
      </c>
      <c r="C1311" s="7" t="str">
        <f>TRIM(ETLMetadata!$F1311)</f>
        <v>PERSON_ID</v>
      </c>
      <c r="D1311" s="7" t="str">
        <f>TRIM(ETLMetadata!$H1311)</f>
        <v>StringType()</v>
      </c>
      <c r="E1311" s="7" t="str">
        <f t="shared" ref="E1311:E1374" si="168">CONCATENATE($A1311,"_",B1311)</f>
        <v>CLK_DETM_DETIS_YPDS</v>
      </c>
      <c r="F1311" s="7" t="str">
        <f t="shared" si="162"/>
        <v>PERSON_ID</v>
      </c>
      <c r="G1311" s="7" t="s">
        <v>825</v>
      </c>
      <c r="H1311" s="7" t="str">
        <f t="shared" si="163"/>
        <v>CLK_DETM_DETIS_YPDS</v>
      </c>
      <c r="I1311" s="7" t="str">
        <f t="shared" si="164"/>
        <v>PERSON_ID</v>
      </c>
      <c r="J1311" s="7" t="str">
        <f t="shared" si="165"/>
        <v>INTEGER</v>
      </c>
      <c r="K1311" s="7" t="str">
        <f>TRIM(ETLMetadata!$G1311)</f>
        <v>INTEGER</v>
      </c>
      <c r="L1311" s="7" t="str">
        <f>TRIM(ETLMetadata!$I1311)</f>
        <v/>
      </c>
      <c r="M1311" s="7" t="str">
        <f t="shared" si="166"/>
        <v>CAST(NULLIF(TRIM(PERSON_ID),'') AS INTEGER)</v>
      </c>
      <c r="N1311" s="7" t="str">
        <f>TRIM(ETLMetadata!$J1311)</f>
        <v>Y</v>
      </c>
      <c r="O1311" s="8" t="str">
        <f>IF(TRIM(Classification!$G1311)="","NOT CONFIDENTIAL",TRIM(Classification!$G1311))</f>
        <v>PERSONAL_IDENTITYINFOINDIRECT</v>
      </c>
      <c r="P1311" s="7" t="str">
        <f t="shared" si="167"/>
        <v>Y</v>
      </c>
      <c r="Q1311" s="7" t="s">
        <v>826</v>
      </c>
      <c r="R1311" s="9">
        <v>2958465</v>
      </c>
      <c r="S1311" s="7" t="s">
        <v>827</v>
      </c>
      <c r="T1311" s="7" t="s">
        <v>828</v>
      </c>
      <c r="U1311" s="7" t="str">
        <f t="shared" ref="U1311:U1374" si="169">CONCATENATE(A1311,"_",B1311,"_V")</f>
        <v>CLK_DETM_DETIS_YPDS_V</v>
      </c>
      <c r="V1311" s="7" t="s">
        <v>829</v>
      </c>
    </row>
    <row r="1312" spans="1:22">
      <c r="A1312" s="7" t="str">
        <f>TRIM(ETLMetadata!$B1312)</f>
        <v>CLK</v>
      </c>
      <c r="B1312" s="7" t="str">
        <f>TRIM(ETLMetadata!$C1312)</f>
        <v>DETM_DETIS_YPDS</v>
      </c>
      <c r="C1312" s="7" t="str">
        <f>TRIM(ETLMetadata!$F1312)</f>
        <v>YPDS_DOE</v>
      </c>
      <c r="D1312" s="7" t="str">
        <f>TRIM(ETLMetadata!$H1312)</f>
        <v>StringType()</v>
      </c>
      <c r="E1312" s="7" t="str">
        <f t="shared" si="168"/>
        <v>CLK_DETM_DETIS_YPDS</v>
      </c>
      <c r="F1312" s="7" t="str">
        <f t="shared" si="162"/>
        <v>YPDS_DOE</v>
      </c>
      <c r="G1312" s="7" t="s">
        <v>825</v>
      </c>
      <c r="H1312" s="7" t="str">
        <f t="shared" si="163"/>
        <v>CLK_DETM_DETIS_YPDS</v>
      </c>
      <c r="I1312" s="7" t="str">
        <f t="shared" si="164"/>
        <v>YPDS_DOE</v>
      </c>
      <c r="J1312" s="7" t="str">
        <f t="shared" si="165"/>
        <v>DATE</v>
      </c>
      <c r="K1312" s="17" t="s">
        <v>80</v>
      </c>
      <c r="L1312" s="7" t="str">
        <f>TRIM(ETLMetadata!$I1312)</f>
        <v>YYYY-MM-DD</v>
      </c>
      <c r="M1312" s="7" t="str">
        <f t="shared" si="166"/>
        <v>TO_DATE(NULLIF(TRIM(YPDS_DOE),'') , 'YYYY-MM-DD')</v>
      </c>
      <c r="N1312" s="7" t="str">
        <f>TRIM(ETLMetadata!$J1312)</f>
        <v/>
      </c>
      <c r="O1312" s="8" t="str">
        <f>IF(TRIM(Classification!$G1312)="","NOT CONFIDENTIAL",TRIM(Classification!$G1312))</f>
        <v>NOT CONFIDENTIAL</v>
      </c>
      <c r="P1312" s="7" t="str">
        <f t="shared" si="167"/>
        <v>Y</v>
      </c>
      <c r="Q1312" s="7" t="s">
        <v>826</v>
      </c>
      <c r="R1312" s="9">
        <v>2958465</v>
      </c>
      <c r="S1312" s="7" t="s">
        <v>827</v>
      </c>
      <c r="T1312" s="7" t="s">
        <v>828</v>
      </c>
      <c r="U1312" s="7" t="str">
        <f t="shared" si="169"/>
        <v>CLK_DETM_DETIS_YPDS_V</v>
      </c>
      <c r="V1312" s="7" t="s">
        <v>829</v>
      </c>
    </row>
    <row r="1313" spans="1:22">
      <c r="A1313" s="7" t="str">
        <f>TRIM(ETLMetadata!$B1313)</f>
        <v>CLK</v>
      </c>
      <c r="B1313" s="7" t="str">
        <f>TRIM(ETLMetadata!$C1313)</f>
        <v>DETM_DETIS_YPDS</v>
      </c>
      <c r="C1313" s="7" t="str">
        <f>TRIM(ETLMetadata!$F1313)</f>
        <v>YPDS_DOE_ORIG</v>
      </c>
      <c r="D1313" s="7" t="str">
        <f>TRIM(ETLMetadata!$H1313)</f>
        <v>StringType()</v>
      </c>
      <c r="E1313" s="7" t="str">
        <f t="shared" si="168"/>
        <v>CLK_DETM_DETIS_YPDS</v>
      </c>
      <c r="F1313" s="7" t="str">
        <f t="shared" si="162"/>
        <v>YPDS_DOE_ORIG</v>
      </c>
      <c r="G1313" s="7" t="s">
        <v>825</v>
      </c>
      <c r="H1313" s="7" t="str">
        <f t="shared" si="163"/>
        <v>CLK_DETM_DETIS_YPDS</v>
      </c>
      <c r="I1313" s="7" t="str">
        <f t="shared" si="164"/>
        <v>YPDS_DOE_ORIG</v>
      </c>
      <c r="J1313" s="7" t="str">
        <f t="shared" si="165"/>
        <v>INTEGER</v>
      </c>
      <c r="K1313" s="17" t="s">
        <v>90</v>
      </c>
      <c r="L1313" s="7" t="str">
        <f>TRIM(ETLMetadata!$I1313)</f>
        <v/>
      </c>
      <c r="M1313" s="7" t="str">
        <f t="shared" si="166"/>
        <v>CAST(NULLIF(TRIM(YPDS_DOE_ORIG),'') AS INTEGER)</v>
      </c>
      <c r="N1313" s="7" t="str">
        <f>TRIM(ETLMetadata!$J1313)</f>
        <v/>
      </c>
      <c r="O1313" s="8" t="str">
        <f>IF(TRIM(Classification!$G1313)="","NOT CONFIDENTIAL",TRIM(Classification!$G1313))</f>
        <v>NOT CONFIDENTIAL</v>
      </c>
      <c r="P1313" s="7" t="str">
        <f t="shared" si="167"/>
        <v>Y</v>
      </c>
      <c r="Q1313" s="7" t="s">
        <v>826</v>
      </c>
      <c r="R1313" s="9">
        <v>2958465</v>
      </c>
      <c r="S1313" s="7" t="s">
        <v>827</v>
      </c>
      <c r="T1313" s="7" t="s">
        <v>828</v>
      </c>
      <c r="U1313" s="7" t="str">
        <f t="shared" si="169"/>
        <v>CLK_DETM_DETIS_YPDS_V</v>
      </c>
      <c r="V1313" s="7" t="s">
        <v>829</v>
      </c>
    </row>
    <row r="1314" spans="1:22">
      <c r="A1314" s="7" t="str">
        <f>TRIM(ETLMetadata!$B1314)</f>
        <v>CLK</v>
      </c>
      <c r="B1314" s="7" t="str">
        <f>TRIM(ETLMetadata!$C1314)</f>
        <v>DETM_DETIS_YPDS</v>
      </c>
      <c r="C1314" s="7" t="str">
        <f>TRIM(ETLMetadata!$F1314)</f>
        <v>PROCESSING_SEQUENCE</v>
      </c>
      <c r="D1314" s="7" t="str">
        <f>TRIM(ETLMetadata!$H1314)</f>
        <v>StringType()</v>
      </c>
      <c r="E1314" s="7" t="str">
        <f t="shared" si="168"/>
        <v>CLK_DETM_DETIS_YPDS</v>
      </c>
      <c r="F1314" s="7" t="str">
        <f t="shared" si="162"/>
        <v>PROCESSING_SEQUENCE</v>
      </c>
      <c r="G1314" s="7" t="s">
        <v>825</v>
      </c>
      <c r="H1314" s="7" t="str">
        <f t="shared" si="163"/>
        <v>CLK_DETM_DETIS_YPDS</v>
      </c>
      <c r="I1314" s="7" t="str">
        <f t="shared" si="164"/>
        <v>PROCESSING_SEQUENCE</v>
      </c>
      <c r="J1314" s="7" t="str">
        <f t="shared" si="165"/>
        <v>SMALLINT</v>
      </c>
      <c r="K1314" s="7" t="str">
        <f>TRIM(ETLMetadata!$G1314)</f>
        <v>SMALLINT</v>
      </c>
      <c r="L1314" s="7" t="str">
        <f>TRIM(ETLMetadata!$I1314)</f>
        <v/>
      </c>
      <c r="M1314" s="7" t="str">
        <f t="shared" si="166"/>
        <v>CAST(NULLIF(TRIM(PROCESSING_SEQUENCE),'') AS SMALLINT)</v>
      </c>
      <c r="N1314" s="7" t="str">
        <f>TRIM(ETLMetadata!$J1314)</f>
        <v>Y</v>
      </c>
      <c r="O1314" s="8" t="str">
        <f>IF(TRIM(Classification!$G1314)="","NOT CONFIDENTIAL",TRIM(Classification!$G1314))</f>
        <v>NOT CONFIDENTIAL</v>
      </c>
      <c r="P1314" s="7" t="str">
        <f t="shared" si="167"/>
        <v>Y</v>
      </c>
      <c r="Q1314" s="7" t="s">
        <v>826</v>
      </c>
      <c r="R1314" s="9">
        <v>2958465</v>
      </c>
      <c r="S1314" s="7" t="s">
        <v>827</v>
      </c>
      <c r="T1314" s="7" t="s">
        <v>828</v>
      </c>
      <c r="U1314" s="7" t="str">
        <f t="shared" si="169"/>
        <v>CLK_DETM_DETIS_YPDS_V</v>
      </c>
      <c r="V1314" s="7" t="s">
        <v>829</v>
      </c>
    </row>
    <row r="1315" spans="1:22">
      <c r="A1315" s="7" t="str">
        <f>TRIM(ETLMetadata!$B1315)</f>
        <v>CLK</v>
      </c>
      <c r="B1315" s="7" t="str">
        <f>TRIM(ETLMetadata!$C1315)</f>
        <v>DETM_DETIS_YPDS</v>
      </c>
      <c r="C1315" s="7" t="str">
        <f>TRIM(ETLMetadata!$F1315)</f>
        <v>YPDS_AMR_1</v>
      </c>
      <c r="D1315" s="7" t="str">
        <f>TRIM(ETLMetadata!$H1315)</f>
        <v>StringType()</v>
      </c>
      <c r="E1315" s="7" t="str">
        <f t="shared" si="168"/>
        <v>CLK_DETM_DETIS_YPDS</v>
      </c>
      <c r="F1315" s="7" t="str">
        <f t="shared" si="162"/>
        <v>YPDS_AMR_1</v>
      </c>
      <c r="G1315" s="7" t="s">
        <v>825</v>
      </c>
      <c r="H1315" s="7" t="str">
        <f t="shared" si="163"/>
        <v>CLK_DETM_DETIS_YPDS</v>
      </c>
      <c r="I1315" s="7" t="str">
        <f t="shared" si="164"/>
        <v>YPDS_AMR_1</v>
      </c>
      <c r="J1315" s="7" t="str">
        <f t="shared" si="165"/>
        <v>VARCHAR</v>
      </c>
      <c r="K1315" s="7" t="str">
        <f>TRIM(ETLMetadata!$G1315)</f>
        <v>CHAR(4)</v>
      </c>
      <c r="L1315" s="7" t="str">
        <f>TRIM(ETLMetadata!$I1315)</f>
        <v/>
      </c>
      <c r="M1315" s="7" t="str">
        <f t="shared" si="166"/>
        <v>NULLIF(TRIM(YPDS_AMR_1),'')</v>
      </c>
      <c r="N1315" s="7" t="str">
        <f>TRIM(ETLMetadata!$J1315)</f>
        <v/>
      </c>
      <c r="O1315" s="8" t="str">
        <f>IF(TRIM(Classification!$G1315)="","NOT CONFIDENTIAL",TRIM(Classification!$G1315))</f>
        <v>NOT CONFIDENTIAL</v>
      </c>
      <c r="P1315" s="7" t="str">
        <f t="shared" si="167"/>
        <v>Y</v>
      </c>
      <c r="Q1315" s="7" t="s">
        <v>826</v>
      </c>
      <c r="R1315" s="9">
        <v>2958465</v>
      </c>
      <c r="S1315" s="7" t="s">
        <v>827</v>
      </c>
      <c r="T1315" s="7" t="s">
        <v>828</v>
      </c>
      <c r="U1315" s="7" t="str">
        <f t="shared" si="169"/>
        <v>CLK_DETM_DETIS_YPDS_V</v>
      </c>
      <c r="V1315" s="7" t="s">
        <v>829</v>
      </c>
    </row>
    <row r="1316" spans="1:22">
      <c r="A1316" s="7" t="str">
        <f>TRIM(ETLMetadata!$B1316)</f>
        <v>CLK</v>
      </c>
      <c r="B1316" s="7" t="str">
        <f>TRIM(ETLMetadata!$C1316)</f>
        <v>DETM_DETIS_YPDS</v>
      </c>
      <c r="C1316" s="7" t="str">
        <f>TRIM(ETLMetadata!$F1316)</f>
        <v>YPDS_AMR_2</v>
      </c>
      <c r="D1316" s="7" t="str">
        <f>TRIM(ETLMetadata!$H1316)</f>
        <v>StringType()</v>
      </c>
      <c r="E1316" s="7" t="str">
        <f t="shared" si="168"/>
        <v>CLK_DETM_DETIS_YPDS</v>
      </c>
      <c r="F1316" s="7" t="str">
        <f t="shared" si="162"/>
        <v>YPDS_AMR_2</v>
      </c>
      <c r="G1316" s="7" t="s">
        <v>825</v>
      </c>
      <c r="H1316" s="7" t="str">
        <f t="shared" si="163"/>
        <v>CLK_DETM_DETIS_YPDS</v>
      </c>
      <c r="I1316" s="7" t="str">
        <f t="shared" si="164"/>
        <v>YPDS_AMR_2</v>
      </c>
      <c r="J1316" s="7" t="str">
        <f t="shared" si="165"/>
        <v>VARCHAR</v>
      </c>
      <c r="K1316" s="7" t="str">
        <f>TRIM(ETLMetadata!$G1316)</f>
        <v>CHAR(1)</v>
      </c>
      <c r="L1316" s="7" t="str">
        <f>TRIM(ETLMetadata!$I1316)</f>
        <v/>
      </c>
      <c r="M1316" s="7" t="str">
        <f t="shared" si="166"/>
        <v>NULLIF(TRIM(YPDS_AMR_2),'')</v>
      </c>
      <c r="N1316" s="7" t="str">
        <f>TRIM(ETLMetadata!$J1316)</f>
        <v/>
      </c>
      <c r="O1316" s="8" t="str">
        <f>IF(TRIM(Classification!$G1316)="","NOT CONFIDENTIAL",TRIM(Classification!$G1316))</f>
        <v>NOT CONFIDENTIAL</v>
      </c>
      <c r="P1316" s="7" t="str">
        <f t="shared" si="167"/>
        <v>Y</v>
      </c>
      <c r="Q1316" s="7" t="s">
        <v>826</v>
      </c>
      <c r="R1316" s="9">
        <v>2958465</v>
      </c>
      <c r="S1316" s="7" t="s">
        <v>827</v>
      </c>
      <c r="T1316" s="7" t="s">
        <v>828</v>
      </c>
      <c r="U1316" s="7" t="str">
        <f t="shared" si="169"/>
        <v>CLK_DETM_DETIS_YPDS_V</v>
      </c>
      <c r="V1316" s="7" t="s">
        <v>829</v>
      </c>
    </row>
    <row r="1317" spans="1:22">
      <c r="A1317" s="7" t="str">
        <f>TRIM(ETLMetadata!$B1317)</f>
        <v>CLK</v>
      </c>
      <c r="B1317" s="7" t="str">
        <f>TRIM(ETLMetadata!$C1317)</f>
        <v>DETM_DETIS_YPDS</v>
      </c>
      <c r="C1317" s="7" t="str">
        <f>TRIM(ETLMetadata!$F1317)</f>
        <v>YPDS_AMR_3</v>
      </c>
      <c r="D1317" s="7" t="str">
        <f>TRIM(ETLMetadata!$H1317)</f>
        <v>StringType()</v>
      </c>
      <c r="E1317" s="7" t="str">
        <f t="shared" si="168"/>
        <v>CLK_DETM_DETIS_YPDS</v>
      </c>
      <c r="F1317" s="7" t="str">
        <f t="shared" si="162"/>
        <v>YPDS_AMR_3</v>
      </c>
      <c r="G1317" s="7" t="s">
        <v>825</v>
      </c>
      <c r="H1317" s="7" t="str">
        <f t="shared" si="163"/>
        <v>CLK_DETM_DETIS_YPDS</v>
      </c>
      <c r="I1317" s="7" t="str">
        <f t="shared" si="164"/>
        <v>YPDS_AMR_3</v>
      </c>
      <c r="J1317" s="7" t="str">
        <f t="shared" si="165"/>
        <v>VARCHAR</v>
      </c>
      <c r="K1317" s="7" t="str">
        <f>TRIM(ETLMetadata!$G1317)</f>
        <v>CHAR(4)</v>
      </c>
      <c r="L1317" s="7" t="str">
        <f>TRIM(ETLMetadata!$I1317)</f>
        <v/>
      </c>
      <c r="M1317" s="7" t="str">
        <f t="shared" si="166"/>
        <v>NULLIF(TRIM(YPDS_AMR_3),'')</v>
      </c>
      <c r="N1317" s="7" t="str">
        <f>TRIM(ETLMetadata!$J1317)</f>
        <v/>
      </c>
      <c r="O1317" s="8" t="str">
        <f>IF(TRIM(Classification!$G1317)="","NOT CONFIDENTIAL",TRIM(Classification!$G1317))</f>
        <v>NOT CONFIDENTIAL</v>
      </c>
      <c r="P1317" s="7" t="str">
        <f t="shared" si="167"/>
        <v>Y</v>
      </c>
      <c r="Q1317" s="7" t="s">
        <v>826</v>
      </c>
      <c r="R1317" s="9">
        <v>2958465</v>
      </c>
      <c r="S1317" s="7" t="s">
        <v>827</v>
      </c>
      <c r="T1317" s="7" t="s">
        <v>828</v>
      </c>
      <c r="U1317" s="7" t="str">
        <f t="shared" si="169"/>
        <v>CLK_DETM_DETIS_YPDS_V</v>
      </c>
      <c r="V1317" s="7" t="s">
        <v>829</v>
      </c>
    </row>
    <row r="1318" spans="1:22">
      <c r="A1318" s="7" t="str">
        <f>TRIM(ETLMetadata!$B1318)</f>
        <v>CLK</v>
      </c>
      <c r="B1318" s="7" t="str">
        <f>TRIM(ETLMetadata!$C1318)</f>
        <v>DETM_DETIS_YPDS</v>
      </c>
      <c r="C1318" s="7" t="str">
        <f>TRIM(ETLMetadata!$F1318)</f>
        <v>YPDS_BEN_TYPE_CODE</v>
      </c>
      <c r="D1318" s="7" t="str">
        <f>TRIM(ETLMetadata!$H1318)</f>
        <v>StringType()</v>
      </c>
      <c r="E1318" s="7" t="str">
        <f t="shared" si="168"/>
        <v>CLK_DETM_DETIS_YPDS</v>
      </c>
      <c r="F1318" s="7" t="str">
        <f t="shared" si="162"/>
        <v>YPDS_BEN_TYPE_CODE</v>
      </c>
      <c r="G1318" s="7" t="s">
        <v>825</v>
      </c>
      <c r="H1318" s="7" t="str">
        <f t="shared" si="163"/>
        <v>CLK_DETM_DETIS_YPDS</v>
      </c>
      <c r="I1318" s="7" t="str">
        <f t="shared" si="164"/>
        <v>YPDS_BEN_TYPE_CODE</v>
      </c>
      <c r="J1318" s="7" t="str">
        <f t="shared" si="165"/>
        <v>VARCHAR</v>
      </c>
      <c r="K1318" s="7" t="str">
        <f>TRIM(ETLMetadata!$G1318)</f>
        <v>CHAR(3)</v>
      </c>
      <c r="L1318" s="7" t="str">
        <f>TRIM(ETLMetadata!$I1318)</f>
        <v/>
      </c>
      <c r="M1318" s="7" t="str">
        <f t="shared" si="166"/>
        <v>NULLIF(TRIM(YPDS_BEN_TYPE_CODE),'')</v>
      </c>
      <c r="N1318" s="7" t="str">
        <f>TRIM(ETLMetadata!$J1318)</f>
        <v/>
      </c>
      <c r="O1318" s="8" t="str">
        <f>IF(TRIM(Classification!$G1318)="","NOT CONFIDENTIAL",TRIM(Classification!$G1318))</f>
        <v>NOT CONFIDENTIAL</v>
      </c>
      <c r="P1318" s="7" t="str">
        <f t="shared" si="167"/>
        <v>Y</v>
      </c>
      <c r="Q1318" s="7" t="s">
        <v>826</v>
      </c>
      <c r="R1318" s="9">
        <v>2958465</v>
      </c>
      <c r="S1318" s="7" t="s">
        <v>827</v>
      </c>
      <c r="T1318" s="7" t="s">
        <v>828</v>
      </c>
      <c r="U1318" s="7" t="str">
        <f t="shared" si="169"/>
        <v>CLK_DETM_DETIS_YPDS_V</v>
      </c>
      <c r="V1318" s="7" t="s">
        <v>829</v>
      </c>
    </row>
    <row r="1319" spans="1:22">
      <c r="A1319" s="7" t="str">
        <f>TRIM(ETLMetadata!$B1319)</f>
        <v>CLK</v>
      </c>
      <c r="B1319" s="7" t="str">
        <f>TRIM(ETLMetadata!$C1319)</f>
        <v>DETM_DETIS_YPDS</v>
      </c>
      <c r="C1319" s="7" t="str">
        <f>TRIM(ETLMetadata!$F1319)</f>
        <v>YPDS_STS_CODE</v>
      </c>
      <c r="D1319" s="7" t="str">
        <f>TRIM(ETLMetadata!$H1319)</f>
        <v>StringType()</v>
      </c>
      <c r="E1319" s="7" t="str">
        <f t="shared" si="168"/>
        <v>CLK_DETM_DETIS_YPDS</v>
      </c>
      <c r="F1319" s="7" t="str">
        <f t="shared" si="162"/>
        <v>YPDS_STS_CODE</v>
      </c>
      <c r="G1319" s="7" t="s">
        <v>825</v>
      </c>
      <c r="H1319" s="7" t="str">
        <f t="shared" si="163"/>
        <v>CLK_DETM_DETIS_YPDS</v>
      </c>
      <c r="I1319" s="7" t="str">
        <f t="shared" si="164"/>
        <v>YPDS_STS_CODE</v>
      </c>
      <c r="J1319" s="7" t="str">
        <f t="shared" si="165"/>
        <v>VARCHAR</v>
      </c>
      <c r="K1319" s="7" t="str">
        <f>TRIM(ETLMetadata!$G1319)</f>
        <v>CHAR(3)</v>
      </c>
      <c r="L1319" s="7" t="str">
        <f>TRIM(ETLMetadata!$I1319)</f>
        <v/>
      </c>
      <c r="M1319" s="7" t="str">
        <f t="shared" si="166"/>
        <v>NULLIF(TRIM(YPDS_STS_CODE),'')</v>
      </c>
      <c r="N1319" s="7" t="str">
        <f>TRIM(ETLMetadata!$J1319)</f>
        <v/>
      </c>
      <c r="O1319" s="8" t="str">
        <f>IF(TRIM(Classification!$G1319)="","NOT CONFIDENTIAL",TRIM(Classification!$G1319))</f>
        <v>NOT CONFIDENTIAL</v>
      </c>
      <c r="P1319" s="7" t="str">
        <f t="shared" si="167"/>
        <v>Y</v>
      </c>
      <c r="Q1319" s="7" t="s">
        <v>826</v>
      </c>
      <c r="R1319" s="9">
        <v>2958465</v>
      </c>
      <c r="S1319" s="7" t="s">
        <v>827</v>
      </c>
      <c r="T1319" s="7" t="s">
        <v>828</v>
      </c>
      <c r="U1319" s="7" t="str">
        <f t="shared" si="169"/>
        <v>CLK_DETM_DETIS_YPDS_V</v>
      </c>
      <c r="V1319" s="7" t="s">
        <v>829</v>
      </c>
    </row>
    <row r="1320" spans="1:22">
      <c r="A1320" s="7" t="str">
        <f>TRIM(ETLMetadata!$B1320)</f>
        <v>CLK</v>
      </c>
      <c r="B1320" s="7" t="str">
        <f>TRIM(ETLMetadata!$C1320)</f>
        <v>DETM_DETIS_YPDS</v>
      </c>
      <c r="C1320" s="7" t="str">
        <f>TRIM(ETLMetadata!$F1320)</f>
        <v>YPDS_RSN_CODE</v>
      </c>
      <c r="D1320" s="7" t="str">
        <f>TRIM(ETLMetadata!$H1320)</f>
        <v>StringType()</v>
      </c>
      <c r="E1320" s="7" t="str">
        <f t="shared" si="168"/>
        <v>CLK_DETM_DETIS_YPDS</v>
      </c>
      <c r="F1320" s="7" t="str">
        <f t="shared" si="162"/>
        <v>YPDS_RSN_CODE</v>
      </c>
      <c r="G1320" s="7" t="s">
        <v>825</v>
      </c>
      <c r="H1320" s="7" t="str">
        <f t="shared" si="163"/>
        <v>CLK_DETM_DETIS_YPDS</v>
      </c>
      <c r="I1320" s="7" t="str">
        <f t="shared" si="164"/>
        <v>YPDS_RSN_CODE</v>
      </c>
      <c r="J1320" s="7" t="str">
        <f t="shared" si="165"/>
        <v>VARCHAR</v>
      </c>
      <c r="K1320" s="7" t="str">
        <f>TRIM(ETLMetadata!$G1320)</f>
        <v>CHAR(3)</v>
      </c>
      <c r="L1320" s="7" t="str">
        <f>TRIM(ETLMetadata!$I1320)</f>
        <v/>
      </c>
      <c r="M1320" s="7" t="str">
        <f t="shared" si="166"/>
        <v>NULLIF(TRIM(YPDS_RSN_CODE),'')</v>
      </c>
      <c r="N1320" s="7" t="str">
        <f>TRIM(ETLMetadata!$J1320)</f>
        <v/>
      </c>
      <c r="O1320" s="8" t="str">
        <f>IF(TRIM(Classification!$G1320)="","NOT CONFIDENTIAL",TRIM(Classification!$G1320))</f>
        <v>NOT CONFIDENTIAL</v>
      </c>
      <c r="P1320" s="7" t="str">
        <f t="shared" si="167"/>
        <v>Y</v>
      </c>
      <c r="Q1320" s="7" t="s">
        <v>826</v>
      </c>
      <c r="R1320" s="9">
        <v>2958465</v>
      </c>
      <c r="S1320" s="7" t="s">
        <v>827</v>
      </c>
      <c r="T1320" s="7" t="s">
        <v>828</v>
      </c>
      <c r="U1320" s="7" t="str">
        <f t="shared" si="169"/>
        <v>CLK_DETM_DETIS_YPDS_V</v>
      </c>
      <c r="V1320" s="7" t="s">
        <v>829</v>
      </c>
    </row>
    <row r="1321" spans="1:22">
      <c r="A1321" s="7" t="str">
        <f>TRIM(ETLMetadata!$B1321)</f>
        <v>CLK</v>
      </c>
      <c r="B1321" s="7" t="str">
        <f>TRIM(ETLMetadata!$C1321)</f>
        <v>DETM_DETIS_YPDS</v>
      </c>
      <c r="C1321" s="7" t="str">
        <f>TRIM(ETLMetadata!$F1321)</f>
        <v>AMR1_RISL_DTS</v>
      </c>
      <c r="D1321" s="7" t="str">
        <f>TRIM(ETLMetadata!$H1321)</f>
        <v>StringType()</v>
      </c>
      <c r="E1321" s="7" t="str">
        <f t="shared" si="168"/>
        <v>CLK_DETM_DETIS_YPDS</v>
      </c>
      <c r="F1321" s="7" t="str">
        <f t="shared" si="162"/>
        <v>AMR1_RISL_DTS</v>
      </c>
      <c r="G1321" s="7" t="s">
        <v>825</v>
      </c>
      <c r="H1321" s="7" t="str">
        <f t="shared" si="163"/>
        <v>CLK_DETM_DETIS_YPDS</v>
      </c>
      <c r="I1321" s="7" t="str">
        <f t="shared" si="164"/>
        <v>AMR1_RISL_DTS</v>
      </c>
      <c r="J1321" s="7" t="str">
        <f t="shared" si="165"/>
        <v>TIMESTAMP</v>
      </c>
      <c r="K1321" s="7" t="str">
        <f>TRIM(ETLMetadata!$G1321)</f>
        <v>TIMESTAMP(6)</v>
      </c>
      <c r="L1321" s="7" t="str">
        <f>TRIM(ETLMetadata!$I1321)</f>
        <v>YYYY-MM-DDBHH:MI:SS.S(6)</v>
      </c>
      <c r="M1321" s="7" t="str">
        <f t="shared" si="166"/>
        <v>TO_TIMESTAMP_NTZ(NULLIF(TRIM(AMR1_RISL_DTS),''),'YYYY-MM-DD HH24:MI:SS.FF6')</v>
      </c>
      <c r="N1321" s="7" t="str">
        <f>TRIM(ETLMetadata!$J1321)</f>
        <v/>
      </c>
      <c r="O1321" s="8" t="str">
        <f>IF(TRIM(Classification!$G1321)="","NOT CONFIDENTIAL",TRIM(Classification!$G1321))</f>
        <v>NOT CONFIDENTIAL</v>
      </c>
      <c r="P1321" s="7" t="str">
        <f t="shared" si="167"/>
        <v>Y</v>
      </c>
      <c r="Q1321" s="7" t="s">
        <v>826</v>
      </c>
      <c r="R1321" s="9">
        <v>2958465</v>
      </c>
      <c r="S1321" s="7" t="s">
        <v>827</v>
      </c>
      <c r="T1321" s="7" t="s">
        <v>828</v>
      </c>
      <c r="U1321" s="7" t="str">
        <f t="shared" si="169"/>
        <v>CLK_DETM_DETIS_YPDS_V</v>
      </c>
      <c r="V1321" s="7" t="s">
        <v>829</v>
      </c>
    </row>
    <row r="1322" spans="1:22">
      <c r="A1322" s="7" t="str">
        <f>TRIM(ETLMetadata!$B1322)</f>
        <v>CLK</v>
      </c>
      <c r="B1322" s="7" t="str">
        <f>TRIM(ETLMetadata!$C1322)</f>
        <v>DETM_DETIS_YPDS</v>
      </c>
      <c r="C1322" s="7" t="str">
        <f>TRIM(ETLMetadata!$F1322)</f>
        <v>AMR3_RISL_DTS</v>
      </c>
      <c r="D1322" s="7" t="str">
        <f>TRIM(ETLMetadata!$H1322)</f>
        <v>StringType()</v>
      </c>
      <c r="E1322" s="7" t="str">
        <f t="shared" si="168"/>
        <v>CLK_DETM_DETIS_YPDS</v>
      </c>
      <c r="F1322" s="7" t="str">
        <f t="shared" si="162"/>
        <v>AMR3_RISL_DTS</v>
      </c>
      <c r="G1322" s="7" t="s">
        <v>825</v>
      </c>
      <c r="H1322" s="7" t="str">
        <f t="shared" si="163"/>
        <v>CLK_DETM_DETIS_YPDS</v>
      </c>
      <c r="I1322" s="7" t="str">
        <f t="shared" si="164"/>
        <v>AMR3_RISL_DTS</v>
      </c>
      <c r="J1322" s="7" t="str">
        <f t="shared" si="165"/>
        <v>TIMESTAMP</v>
      </c>
      <c r="K1322" s="7" t="str">
        <f>TRIM(ETLMetadata!$G1322)</f>
        <v>TIMESTAMP(6)</v>
      </c>
      <c r="L1322" s="7" t="str">
        <f>TRIM(ETLMetadata!$I1322)</f>
        <v>YYYY-MM-DDBHH:MI:SS.S(6)</v>
      </c>
      <c r="M1322" s="7" t="str">
        <f t="shared" si="166"/>
        <v>TO_TIMESTAMP_NTZ(NULLIF(TRIM(AMR3_RISL_DTS),''),'YYYY-MM-DD HH24:MI:SS.FF6')</v>
      </c>
      <c r="N1322" s="7" t="str">
        <f>TRIM(ETLMetadata!$J1322)</f>
        <v/>
      </c>
      <c r="O1322" s="8" t="str">
        <f>IF(TRIM(Classification!$G1322)="","NOT CONFIDENTIAL",TRIM(Classification!$G1322))</f>
        <v>NOT CONFIDENTIAL</v>
      </c>
      <c r="P1322" s="7" t="str">
        <f t="shared" si="167"/>
        <v>Y</v>
      </c>
      <c r="Q1322" s="7" t="s">
        <v>826</v>
      </c>
      <c r="R1322" s="9">
        <v>2958465</v>
      </c>
      <c r="S1322" s="7" t="s">
        <v>827</v>
      </c>
      <c r="T1322" s="7" t="s">
        <v>828</v>
      </c>
      <c r="U1322" s="7" t="str">
        <f t="shared" si="169"/>
        <v>CLK_DETM_DETIS_YPDS_V</v>
      </c>
      <c r="V1322" s="7" t="s">
        <v>829</v>
      </c>
    </row>
    <row r="1323" spans="1:22">
      <c r="A1323" s="7" t="str">
        <f>TRIM(ETLMetadata!$B1323)</f>
        <v>CLK</v>
      </c>
      <c r="B1323" s="7" t="str">
        <f>TRIM(ETLMetadata!$C1323)</f>
        <v>DETM_DETIS_YPDS</v>
      </c>
      <c r="C1323" s="7" t="str">
        <f>TRIM(ETLMetadata!$F1323)</f>
        <v>PARTY_ROLE_ID</v>
      </c>
      <c r="D1323" s="7" t="str">
        <f>TRIM(ETLMetadata!$H1323)</f>
        <v>StringType()</v>
      </c>
      <c r="E1323" s="7" t="str">
        <f t="shared" si="168"/>
        <v>CLK_DETM_DETIS_YPDS</v>
      </c>
      <c r="F1323" s="7" t="str">
        <f t="shared" si="162"/>
        <v>PARTY_ROLE_ID</v>
      </c>
      <c r="G1323" s="7" t="s">
        <v>825</v>
      </c>
      <c r="H1323" s="7" t="str">
        <f t="shared" si="163"/>
        <v>CLK_DETM_DETIS_YPDS</v>
      </c>
      <c r="I1323" s="7" t="str">
        <f t="shared" si="164"/>
        <v>PARTY_ROLE_ID</v>
      </c>
      <c r="J1323" s="7" t="str">
        <f t="shared" si="165"/>
        <v>INTEGER</v>
      </c>
      <c r="K1323" s="7" t="str">
        <f>TRIM(ETLMetadata!$G1323)</f>
        <v>INTEGER</v>
      </c>
      <c r="L1323" s="7" t="str">
        <f>TRIM(ETLMetadata!$I1323)</f>
        <v/>
      </c>
      <c r="M1323" s="7" t="str">
        <f t="shared" si="166"/>
        <v>CAST(NULLIF(TRIM(PARTY_ROLE_ID),'') AS INTEGER)</v>
      </c>
      <c r="N1323" s="7" t="str">
        <f>TRIM(ETLMetadata!$J1323)</f>
        <v/>
      </c>
      <c r="O1323" s="8" t="str">
        <f>IF(TRIM(Classification!$G1323)="","NOT CONFIDENTIAL",TRIM(Classification!$G1323))</f>
        <v>NOT CONFIDENTIAL</v>
      </c>
      <c r="P1323" s="7" t="str">
        <f t="shared" si="167"/>
        <v>Y</v>
      </c>
      <c r="Q1323" s="7" t="s">
        <v>826</v>
      </c>
      <c r="R1323" s="9">
        <v>2958465</v>
      </c>
      <c r="S1323" s="7" t="s">
        <v>827</v>
      </c>
      <c r="T1323" s="7" t="s">
        <v>828</v>
      </c>
      <c r="U1323" s="7" t="str">
        <f t="shared" si="169"/>
        <v>CLK_DETM_DETIS_YPDS_V</v>
      </c>
      <c r="V1323" s="7" t="s">
        <v>829</v>
      </c>
    </row>
    <row r="1324" spans="1:22">
      <c r="A1324" s="7" t="str">
        <f>TRIM(ETLMetadata!$B1324)</f>
        <v>CLK</v>
      </c>
      <c r="B1324" s="7" t="str">
        <f>TRIM(ETLMetadata!$C1324)</f>
        <v>DETM_DETIS_YPDS</v>
      </c>
      <c r="C1324" s="7" t="str">
        <f>TRIM(ETLMetadata!$F1324)</f>
        <v>EPISODE_ID</v>
      </c>
      <c r="D1324" s="7" t="str">
        <f>TRIM(ETLMetadata!$H1324)</f>
        <v>StringType()</v>
      </c>
      <c r="E1324" s="7" t="str">
        <f t="shared" si="168"/>
        <v>CLK_DETM_DETIS_YPDS</v>
      </c>
      <c r="F1324" s="7" t="str">
        <f t="shared" si="162"/>
        <v>EPISODE_ID</v>
      </c>
      <c r="G1324" s="7" t="s">
        <v>825</v>
      </c>
      <c r="H1324" s="7" t="str">
        <f t="shared" si="163"/>
        <v>CLK_DETM_DETIS_YPDS</v>
      </c>
      <c r="I1324" s="7" t="str">
        <f t="shared" si="164"/>
        <v>EPISODE_ID</v>
      </c>
      <c r="J1324" s="7" t="str">
        <f t="shared" si="165"/>
        <v>INTEGER</v>
      </c>
      <c r="K1324" s="7" t="str">
        <f>TRIM(ETLMetadata!$G1324)</f>
        <v>INTEGER</v>
      </c>
      <c r="L1324" s="7" t="str">
        <f>TRIM(ETLMetadata!$I1324)</f>
        <v/>
      </c>
      <c r="M1324" s="7" t="str">
        <f t="shared" si="166"/>
        <v>CAST(NULLIF(TRIM(EPISODE_ID),'') AS INTEGER)</v>
      </c>
      <c r="N1324" s="7" t="str">
        <f>TRIM(ETLMetadata!$J1324)</f>
        <v/>
      </c>
      <c r="O1324" s="8" t="str">
        <f>IF(TRIM(Classification!$G1324)="","NOT CONFIDENTIAL",TRIM(Classification!$G1324))</f>
        <v>NOT CONFIDENTIAL</v>
      </c>
      <c r="P1324" s="7" t="str">
        <f t="shared" si="167"/>
        <v>Y</v>
      </c>
      <c r="Q1324" s="7" t="s">
        <v>826</v>
      </c>
      <c r="R1324" s="9">
        <v>2958465</v>
      </c>
      <c r="S1324" s="7" t="s">
        <v>827</v>
      </c>
      <c r="T1324" s="7" t="s">
        <v>828</v>
      </c>
      <c r="U1324" s="7" t="str">
        <f t="shared" si="169"/>
        <v>CLK_DETM_DETIS_YPDS_V</v>
      </c>
      <c r="V1324" s="7" t="s">
        <v>829</v>
      </c>
    </row>
    <row r="1325" spans="1:22">
      <c r="A1325" s="7" t="str">
        <f>TRIM(ETLMetadata!$B1325)</f>
        <v>CLK</v>
      </c>
      <c r="B1325" s="7" t="str">
        <f>TRIM(ETLMetadata!$C1325)</f>
        <v>DETM_DETIS_YPDS</v>
      </c>
      <c r="C1325" s="7" t="str">
        <f>TRIM(ETLMetadata!$F1325)</f>
        <v>PAYMENT_TYPE_ID</v>
      </c>
      <c r="D1325" s="7" t="str">
        <f>TRIM(ETLMetadata!$H1325)</f>
        <v>StringType()</v>
      </c>
      <c r="E1325" s="7" t="str">
        <f t="shared" si="168"/>
        <v>CLK_DETM_DETIS_YPDS</v>
      </c>
      <c r="F1325" s="7" t="str">
        <f t="shared" si="162"/>
        <v>PAYMENT_TYPE_ID</v>
      </c>
      <c r="G1325" s="7" t="s">
        <v>825</v>
      </c>
      <c r="H1325" s="7" t="str">
        <f t="shared" si="163"/>
        <v>CLK_DETM_DETIS_YPDS</v>
      </c>
      <c r="I1325" s="7" t="str">
        <f t="shared" si="164"/>
        <v>PAYMENT_TYPE_ID</v>
      </c>
      <c r="J1325" s="7" t="str">
        <f t="shared" si="165"/>
        <v>INTEGER</v>
      </c>
      <c r="K1325" s="7" t="str">
        <f>TRIM(ETLMetadata!$G1325)</f>
        <v>INTEGER</v>
      </c>
      <c r="L1325" s="7" t="str">
        <f>TRIM(ETLMetadata!$I1325)</f>
        <v/>
      </c>
      <c r="M1325" s="7" t="str">
        <f t="shared" si="166"/>
        <v>CAST(NULLIF(TRIM(PAYMENT_TYPE_ID),'') AS INTEGER)</v>
      </c>
      <c r="N1325" s="7" t="str">
        <f>TRIM(ETLMetadata!$J1325)</f>
        <v/>
      </c>
      <c r="O1325" s="8" t="str">
        <f>IF(TRIM(Classification!$G1325)="","NOT CONFIDENTIAL",TRIM(Classification!$G1325))</f>
        <v>NOT CONFIDENTIAL</v>
      </c>
      <c r="P1325" s="7" t="str">
        <f t="shared" si="167"/>
        <v>Y</v>
      </c>
      <c r="Q1325" s="7" t="s">
        <v>826</v>
      </c>
      <c r="R1325" s="9">
        <v>2958465</v>
      </c>
      <c r="S1325" s="7" t="s">
        <v>827</v>
      </c>
      <c r="T1325" s="7" t="s">
        <v>828</v>
      </c>
      <c r="U1325" s="7" t="str">
        <f t="shared" si="169"/>
        <v>CLK_DETM_DETIS_YPDS_V</v>
      </c>
      <c r="V1325" s="7" t="s">
        <v>829</v>
      </c>
    </row>
    <row r="1326" spans="1:22">
      <c r="A1326" s="7" t="str">
        <f>TRIM(ETLMetadata!$B1326)</f>
        <v>CLK</v>
      </c>
      <c r="B1326" s="7" t="str">
        <f>TRIM(ETLMetadata!$C1326)</f>
        <v>DETM_DETIS_YPDS</v>
      </c>
      <c r="C1326" s="7" t="str">
        <f>TRIM(ETLMetadata!$F1326)</f>
        <v>ERROR_COUNT</v>
      </c>
      <c r="D1326" s="7" t="str">
        <f>TRIM(ETLMetadata!$H1326)</f>
        <v>StringType()</v>
      </c>
      <c r="E1326" s="7" t="str">
        <f t="shared" si="168"/>
        <v>CLK_DETM_DETIS_YPDS</v>
      </c>
      <c r="F1326" s="7" t="str">
        <f t="shared" si="162"/>
        <v>ERROR_COUNT</v>
      </c>
      <c r="G1326" s="7" t="s">
        <v>825</v>
      </c>
      <c r="H1326" s="7" t="str">
        <f t="shared" si="163"/>
        <v>CLK_DETM_DETIS_YPDS</v>
      </c>
      <c r="I1326" s="7" t="str">
        <f t="shared" si="164"/>
        <v>ERROR_COUNT</v>
      </c>
      <c r="J1326" s="7" t="str">
        <f t="shared" si="165"/>
        <v>SMALLINT</v>
      </c>
      <c r="K1326" s="7" t="str">
        <f>TRIM(ETLMetadata!$G1326)</f>
        <v>SMALLINT</v>
      </c>
      <c r="L1326" s="7" t="str">
        <f>TRIM(ETLMetadata!$I1326)</f>
        <v/>
      </c>
      <c r="M1326" s="7" t="str">
        <f t="shared" si="166"/>
        <v>CAST(NULLIF(TRIM(ERROR_COUNT),'') AS SMALLINT)</v>
      </c>
      <c r="N1326" s="7" t="str">
        <f>TRIM(ETLMetadata!$J1326)</f>
        <v/>
      </c>
      <c r="O1326" s="8" t="str">
        <f>IF(TRIM(Classification!$G1326)="","NOT CONFIDENTIAL",TRIM(Classification!$G1326))</f>
        <v>NOT CONFIDENTIAL</v>
      </c>
      <c r="P1326" s="7" t="str">
        <f t="shared" si="167"/>
        <v>Y</v>
      </c>
      <c r="Q1326" s="7" t="s">
        <v>826</v>
      </c>
      <c r="R1326" s="9">
        <v>2958465</v>
      </c>
      <c r="S1326" s="7" t="s">
        <v>827</v>
      </c>
      <c r="T1326" s="7" t="s">
        <v>828</v>
      </c>
      <c r="U1326" s="7" t="str">
        <f t="shared" si="169"/>
        <v>CLK_DETM_DETIS_YPDS_V</v>
      </c>
      <c r="V1326" s="7" t="s">
        <v>829</v>
      </c>
    </row>
    <row r="1327" spans="1:22">
      <c r="A1327" s="7" t="str">
        <f>TRIM(ETLMetadata!$B1327)</f>
        <v>CLK</v>
      </c>
      <c r="B1327" s="7" t="str">
        <f>TRIM(ETLMetadata!$C1327)</f>
        <v>DETM_DETIS_YPDS</v>
      </c>
      <c r="C1327" s="7" t="str">
        <f>TRIM(ETLMetadata!$F1327)</f>
        <v>Start_Date</v>
      </c>
      <c r="D1327" s="7" t="str">
        <f>TRIM(ETLMetadata!$H1327)</f>
        <v>StringType()</v>
      </c>
      <c r="E1327" s="7" t="str">
        <f t="shared" si="168"/>
        <v>CLK_DETM_DETIS_YPDS</v>
      </c>
      <c r="F1327" s="7" t="str">
        <f t="shared" si="162"/>
        <v>STRT_DT</v>
      </c>
      <c r="G1327" s="7" t="s">
        <v>825</v>
      </c>
      <c r="H1327" s="7" t="str">
        <f t="shared" si="163"/>
        <v>CLK_DETM_DETIS_YPDS</v>
      </c>
      <c r="I1327" s="7" t="str">
        <f t="shared" si="164"/>
        <v>STRT_DT</v>
      </c>
      <c r="J1327" s="7" t="str">
        <f t="shared" si="165"/>
        <v>DATE</v>
      </c>
      <c r="K1327" s="7" t="str">
        <f>TRIM(ETLMetadata!$G1327)</f>
        <v>DATE</v>
      </c>
      <c r="L1327" s="7" t="str">
        <f>TRIM(ETLMetadata!$I1327)</f>
        <v>YYYY-MM-DD</v>
      </c>
      <c r="M1327" s="7" t="str">
        <f t="shared" si="166"/>
        <v>TO_DATE(NULLIF(TRIM(STRT_DT),'') , 'YYYY-MM-DD')</v>
      </c>
      <c r="N1327" s="7" t="str">
        <f>TRIM(ETLMetadata!$J1327)</f>
        <v/>
      </c>
      <c r="O1327" s="8" t="str">
        <f>IF(TRIM(Classification!$G1327)="","NOT CONFIDENTIAL",TRIM(Classification!$G1327))</f>
        <v>NOT CONFIDENTIAL</v>
      </c>
      <c r="P1327" s="7" t="str">
        <f t="shared" si="167"/>
        <v>N</v>
      </c>
      <c r="Q1327" s="7" t="s">
        <v>826</v>
      </c>
      <c r="R1327" s="9">
        <v>2958465</v>
      </c>
      <c r="S1327" s="7" t="s">
        <v>827</v>
      </c>
      <c r="T1327" s="7" t="s">
        <v>828</v>
      </c>
      <c r="U1327" s="7" t="str">
        <f t="shared" si="169"/>
        <v>CLK_DETM_DETIS_YPDS_V</v>
      </c>
      <c r="V1327" s="7" t="s">
        <v>829</v>
      </c>
    </row>
    <row r="1328" spans="1:22">
      <c r="A1328" s="7" t="str">
        <f>TRIM(ETLMetadata!$B1328)</f>
        <v>CLK</v>
      </c>
      <c r="B1328" s="7" t="str">
        <f>TRIM(ETLMetadata!$C1328)</f>
        <v>DETM_DETIS_YPDS</v>
      </c>
      <c r="C1328" s="7" t="str">
        <f>TRIM(ETLMetadata!$F1328)</f>
        <v>End_Date</v>
      </c>
      <c r="D1328" s="7" t="str">
        <f>TRIM(ETLMetadata!$H1328)</f>
        <v>StringType()</v>
      </c>
      <c r="E1328" s="7" t="str">
        <f t="shared" si="168"/>
        <v>CLK_DETM_DETIS_YPDS</v>
      </c>
      <c r="F1328" s="7" t="str">
        <f t="shared" si="162"/>
        <v>END_DT</v>
      </c>
      <c r="G1328" s="7" t="s">
        <v>825</v>
      </c>
      <c r="H1328" s="7" t="str">
        <f t="shared" si="163"/>
        <v>CLK_DETM_DETIS_YPDS</v>
      </c>
      <c r="I1328" s="7" t="str">
        <f t="shared" si="164"/>
        <v>END_DT</v>
      </c>
      <c r="J1328" s="7" t="str">
        <f t="shared" si="165"/>
        <v>DATE</v>
      </c>
      <c r="K1328" s="7" t="str">
        <f>TRIM(ETLMetadata!$G1328)</f>
        <v>DATE</v>
      </c>
      <c r="L1328" s="7" t="str">
        <f>TRIM(ETLMetadata!$I1328)</f>
        <v>YYYY-MM-DD</v>
      </c>
      <c r="M1328" s="7" t="str">
        <f t="shared" si="166"/>
        <v>TO_DATE(NULLIF(TRIM(END_DT),'') , 'YYYY-MM-DD')</v>
      </c>
      <c r="N1328" s="7" t="str">
        <f>TRIM(ETLMetadata!$J1328)</f>
        <v/>
      </c>
      <c r="O1328" s="8" t="str">
        <f>IF(TRIM(Classification!$G1328)="","NOT CONFIDENTIAL",TRIM(Classification!$G1328))</f>
        <v>NOT CONFIDENTIAL</v>
      </c>
      <c r="P1328" s="7" t="str">
        <f t="shared" si="167"/>
        <v>N</v>
      </c>
      <c r="Q1328" s="7" t="s">
        <v>826</v>
      </c>
      <c r="R1328" s="9">
        <v>2958465</v>
      </c>
      <c r="S1328" s="7" t="s">
        <v>827</v>
      </c>
      <c r="T1328" s="7" t="s">
        <v>828</v>
      </c>
      <c r="U1328" s="7" t="str">
        <f t="shared" si="169"/>
        <v>CLK_DETM_DETIS_YPDS_V</v>
      </c>
      <c r="V1328" s="7" t="s">
        <v>829</v>
      </c>
    </row>
    <row r="1329" spans="1:22">
      <c r="A1329" s="7" t="str">
        <f>TRIM(ETLMetadata!$B1329)</f>
        <v>CLK</v>
      </c>
      <c r="B1329" s="7" t="str">
        <f>TRIM(ETLMetadata!$C1329)</f>
        <v>DETM_DETIS_YPDS</v>
      </c>
      <c r="C1329" s="7" t="str">
        <f>TRIM(ETLMetadata!$F1329)</f>
        <v>Record_Deleted_Flag</v>
      </c>
      <c r="D1329" s="7" t="str">
        <f>TRIM(ETLMetadata!$H1329)</f>
        <v>StringType()</v>
      </c>
      <c r="E1329" s="7" t="str">
        <f t="shared" si="168"/>
        <v>CLK_DETM_DETIS_YPDS</v>
      </c>
      <c r="F1329" s="7" t="str">
        <f t="shared" si="162"/>
        <v>RCRD_DEL_IND</v>
      </c>
      <c r="G1329" s="7" t="s">
        <v>825</v>
      </c>
      <c r="H1329" s="7" t="str">
        <f t="shared" si="163"/>
        <v>CLK_DETM_DETIS_YPDS</v>
      </c>
      <c r="I1329" s="7" t="str">
        <f t="shared" si="164"/>
        <v>RCRD_DEL_IND</v>
      </c>
      <c r="J1329" s="7" t="str">
        <f t="shared" si="165"/>
        <v>SMALLINT</v>
      </c>
      <c r="K1329" s="7" t="str">
        <f>TRIM(ETLMetadata!$G1329)</f>
        <v>BYTEINT</v>
      </c>
      <c r="L1329" s="7" t="str">
        <f>TRIM(ETLMetadata!$I1329)</f>
        <v/>
      </c>
      <c r="M1329" s="7" t="str">
        <f t="shared" si="166"/>
        <v>CAST(NULLIF(TRIM(RCRD_DEL_IND),'') AS SMALLINT)</v>
      </c>
      <c r="N1329" s="7" t="str">
        <f>TRIM(ETLMetadata!$J1329)</f>
        <v/>
      </c>
      <c r="O1329" s="8" t="str">
        <f>IF(TRIM(Classification!$G1329)="","NOT CONFIDENTIAL",TRIM(Classification!$G1329))</f>
        <v>NOT CONFIDENTIAL</v>
      </c>
      <c r="P1329" s="7" t="str">
        <f t="shared" si="167"/>
        <v>N</v>
      </c>
      <c r="Q1329" s="7" t="s">
        <v>826</v>
      </c>
      <c r="R1329" s="9">
        <v>2958465</v>
      </c>
      <c r="S1329" s="7" t="s">
        <v>827</v>
      </c>
      <c r="T1329" s="7" t="s">
        <v>828</v>
      </c>
      <c r="U1329" s="7" t="str">
        <f t="shared" si="169"/>
        <v>CLK_DETM_DETIS_YPDS_V</v>
      </c>
      <c r="V1329" s="7" t="s">
        <v>829</v>
      </c>
    </row>
    <row r="1330" spans="1:22">
      <c r="A1330" s="7" t="str">
        <f>TRIM(ETLMetadata!$B1330)</f>
        <v>CLK</v>
      </c>
      <c r="B1330" s="7" t="str">
        <f>TRIM(ETLMetadata!$C1330)</f>
        <v>KIDS_CHILD</v>
      </c>
      <c r="C1330" s="7" t="str">
        <f>TRIM(ETLMetadata!$F1330)</f>
        <v>EXTRACT_DATE</v>
      </c>
      <c r="D1330" s="7" t="str">
        <f>TRIM(ETLMetadata!$H1330)</f>
        <v>StringType()</v>
      </c>
      <c r="E1330" s="7" t="str">
        <f t="shared" si="168"/>
        <v>CLK_KIDS_CHILD</v>
      </c>
      <c r="F1330" s="7" t="str">
        <f t="shared" si="162"/>
        <v>EXTRACT_DATE</v>
      </c>
      <c r="G1330" s="7" t="s">
        <v>825</v>
      </c>
      <c r="H1330" s="7" t="str">
        <f t="shared" si="163"/>
        <v>CLK_KIDS_CHILD</v>
      </c>
      <c r="I1330" s="7" t="str">
        <f t="shared" si="164"/>
        <v>EXTRACT_DATE</v>
      </c>
      <c r="J1330" s="7" t="str">
        <f t="shared" si="165"/>
        <v>DATE</v>
      </c>
      <c r="K1330" s="7" t="str">
        <f>TRIM(ETLMetadata!$G1330)</f>
        <v>DATE</v>
      </c>
      <c r="L1330" s="7" t="str">
        <f>TRIM(ETLMetadata!$I1330)</f>
        <v>YYYY-MM-DD</v>
      </c>
      <c r="M1330" s="7" t="str">
        <f t="shared" si="166"/>
        <v>TO_DATE(NULLIF(TRIM(EXTRACT_DATE),'') , 'YYYY-MM-DD')</v>
      </c>
      <c r="N1330" s="7" t="str">
        <f>TRIM(ETLMetadata!$J1330)</f>
        <v/>
      </c>
      <c r="O1330" s="8" t="str">
        <f>IF(TRIM(Classification!$G1330)="","NOT CONFIDENTIAL",TRIM(Classification!$G1330))</f>
        <v>NOT CONFIDENTIAL</v>
      </c>
      <c r="P1330" s="7" t="str">
        <f t="shared" si="167"/>
        <v>Y</v>
      </c>
      <c r="Q1330" s="7" t="s">
        <v>826</v>
      </c>
      <c r="R1330" s="9">
        <v>2958465</v>
      </c>
      <c r="S1330" s="7" t="s">
        <v>827</v>
      </c>
      <c r="T1330" s="7" t="s">
        <v>828</v>
      </c>
      <c r="U1330" s="7" t="str">
        <f t="shared" si="169"/>
        <v>CLK_KIDS_CHILD_V</v>
      </c>
      <c r="V1330" s="7" t="s">
        <v>829</v>
      </c>
    </row>
    <row r="1331" spans="1:22">
      <c r="A1331" s="7" t="str">
        <f>TRIM(ETLMetadata!$B1331)</f>
        <v>CLK</v>
      </c>
      <c r="B1331" s="7" t="str">
        <f>TRIM(ETLMetadata!$C1331)</f>
        <v>KIDS_CHILD</v>
      </c>
      <c r="C1331" s="7" t="str">
        <f>TRIM(ETLMetadata!$F1331)</f>
        <v>LOGICAL_DELETE_DATE</v>
      </c>
      <c r="D1331" s="7" t="str">
        <f>TRIM(ETLMetadata!$H1331)</f>
        <v>StringType()</v>
      </c>
      <c r="E1331" s="7" t="str">
        <f t="shared" si="168"/>
        <v>CLK_KIDS_CHILD</v>
      </c>
      <c r="F1331" s="7" t="str">
        <f t="shared" si="162"/>
        <v>LOGICAL_DELETE_DATE</v>
      </c>
      <c r="G1331" s="7" t="s">
        <v>825</v>
      </c>
      <c r="H1331" s="7" t="str">
        <f t="shared" si="163"/>
        <v>CLK_KIDS_CHILD</v>
      </c>
      <c r="I1331" s="7" t="str">
        <f t="shared" si="164"/>
        <v>LOGICAL_DELETE_DATE</v>
      </c>
      <c r="J1331" s="7" t="str">
        <f t="shared" si="165"/>
        <v>DATE</v>
      </c>
      <c r="K1331" s="7" t="str">
        <f>TRIM(ETLMetadata!$G1331)</f>
        <v>DATE</v>
      </c>
      <c r="L1331" s="7" t="str">
        <f>TRIM(ETLMetadata!$I1331)</f>
        <v>YYYY-MM-DD</v>
      </c>
      <c r="M1331" s="7" t="str">
        <f t="shared" si="166"/>
        <v>TO_DATE(NULLIF(TRIM(LOGICAL_DELETE_DATE),'') , 'YYYY-MM-DD')</v>
      </c>
      <c r="N1331" s="7" t="str">
        <f>TRIM(ETLMetadata!$J1331)</f>
        <v/>
      </c>
      <c r="O1331" s="8" t="str">
        <f>IF(TRIM(Classification!$G1331)="","NOT CONFIDENTIAL",TRIM(Classification!$G1331))</f>
        <v>NOT CONFIDENTIAL</v>
      </c>
      <c r="P1331" s="7" t="str">
        <f t="shared" si="167"/>
        <v>Y</v>
      </c>
      <c r="Q1331" s="7" t="s">
        <v>826</v>
      </c>
      <c r="R1331" s="9">
        <v>2958465</v>
      </c>
      <c r="S1331" s="7" t="s">
        <v>827</v>
      </c>
      <c r="T1331" s="7" t="s">
        <v>828</v>
      </c>
      <c r="U1331" s="7" t="str">
        <f t="shared" si="169"/>
        <v>CLK_KIDS_CHILD_V</v>
      </c>
      <c r="V1331" s="7" t="s">
        <v>829</v>
      </c>
    </row>
    <row r="1332" spans="1:22">
      <c r="A1332" s="7" t="str">
        <f>TRIM(ETLMetadata!$B1332)</f>
        <v>CLK</v>
      </c>
      <c r="B1332" s="7" t="str">
        <f>TRIM(ETLMetadata!$C1332)</f>
        <v>KIDS_CHILD</v>
      </c>
      <c r="C1332" s="7" t="str">
        <f>TRIM(ETLMetadata!$F1332)</f>
        <v>ENVIRONMENT_ID</v>
      </c>
      <c r="D1332" s="7" t="str">
        <f>TRIM(ETLMetadata!$H1332)</f>
        <v>StringType()</v>
      </c>
      <c r="E1332" s="7" t="str">
        <f t="shared" si="168"/>
        <v>CLK_KIDS_CHILD</v>
      </c>
      <c r="F1332" s="7" t="str">
        <f t="shared" si="162"/>
        <v>ENVIRONMENT_ID</v>
      </c>
      <c r="G1332" s="7" t="s">
        <v>825</v>
      </c>
      <c r="H1332" s="7" t="str">
        <f t="shared" si="163"/>
        <v>CLK_KIDS_CHILD</v>
      </c>
      <c r="I1332" s="7" t="str">
        <f t="shared" si="164"/>
        <v>ENVIRONMENT_ID</v>
      </c>
      <c r="J1332" s="7" t="str">
        <f t="shared" si="165"/>
        <v>VARCHAR</v>
      </c>
      <c r="K1332" s="7" t="str">
        <f>TRIM(ETLMetadata!$G1332)</f>
        <v>CHAR(1)</v>
      </c>
      <c r="L1332" s="7" t="str">
        <f>TRIM(ETLMetadata!$I1332)</f>
        <v/>
      </c>
      <c r="M1332" s="7" t="str">
        <f t="shared" si="166"/>
        <v>NULLIF(TRIM(ENVIRONMENT_ID),'')</v>
      </c>
      <c r="N1332" s="7" t="str">
        <f>TRIM(ETLMetadata!$J1332)</f>
        <v>Y</v>
      </c>
      <c r="O1332" s="8" t="str">
        <f>IF(TRIM(Classification!$G1332)="","NOT CONFIDENTIAL",TRIM(Classification!$G1332))</f>
        <v>NOT CONFIDENTIAL</v>
      </c>
      <c r="P1332" s="7" t="str">
        <f t="shared" si="167"/>
        <v>Y</v>
      </c>
      <c r="Q1332" s="7" t="s">
        <v>826</v>
      </c>
      <c r="R1332" s="9">
        <v>2958465</v>
      </c>
      <c r="S1332" s="7" t="s">
        <v>827</v>
      </c>
      <c r="T1332" s="7" t="s">
        <v>828</v>
      </c>
      <c r="U1332" s="7" t="str">
        <f t="shared" si="169"/>
        <v>CLK_KIDS_CHILD_V</v>
      </c>
      <c r="V1332" s="7" t="s">
        <v>829</v>
      </c>
    </row>
    <row r="1333" spans="1:22">
      <c r="A1333" s="7" t="str">
        <f>TRIM(ETLMetadata!$B1333)</f>
        <v>CLK</v>
      </c>
      <c r="B1333" s="7" t="str">
        <f>TRIM(ETLMetadata!$C1333)</f>
        <v>KIDS_CHILD</v>
      </c>
      <c r="C1333" s="7" t="str">
        <f>TRIM(ETLMetadata!$F1333)</f>
        <v>PERSON_ID</v>
      </c>
      <c r="D1333" s="7" t="str">
        <f>TRIM(ETLMetadata!$H1333)</f>
        <v>StringType()</v>
      </c>
      <c r="E1333" s="7" t="str">
        <f t="shared" si="168"/>
        <v>CLK_KIDS_CHILD</v>
      </c>
      <c r="F1333" s="7" t="str">
        <f t="shared" si="162"/>
        <v>PERSON_ID</v>
      </c>
      <c r="G1333" s="7" t="s">
        <v>825</v>
      </c>
      <c r="H1333" s="7" t="str">
        <f t="shared" si="163"/>
        <v>CLK_KIDS_CHILD</v>
      </c>
      <c r="I1333" s="7" t="str">
        <f t="shared" si="164"/>
        <v>PERSON_ID</v>
      </c>
      <c r="J1333" s="7" t="str">
        <f t="shared" si="165"/>
        <v>INTEGER</v>
      </c>
      <c r="K1333" s="7" t="str">
        <f>TRIM(ETLMetadata!$G1333)</f>
        <v>INTEGER</v>
      </c>
      <c r="L1333" s="7" t="str">
        <f>TRIM(ETLMetadata!$I1333)</f>
        <v/>
      </c>
      <c r="M1333" s="7" t="str">
        <f t="shared" si="166"/>
        <v>CAST(NULLIF(TRIM(PERSON_ID),'') AS INTEGER)</v>
      </c>
      <c r="N1333" s="7" t="str">
        <f>TRIM(ETLMetadata!$J1333)</f>
        <v>Y</v>
      </c>
      <c r="O1333" s="8" t="str">
        <f>IF(TRIM(Classification!$G1333)="","NOT CONFIDENTIAL",TRIM(Classification!$G1333))</f>
        <v>PERSONAL_IDENTITYINFODIRECT</v>
      </c>
      <c r="P1333" s="7" t="str">
        <f t="shared" si="167"/>
        <v>Y</v>
      </c>
      <c r="Q1333" s="7" t="s">
        <v>826</v>
      </c>
      <c r="R1333" s="9">
        <v>2958465</v>
      </c>
      <c r="S1333" s="7" t="s">
        <v>827</v>
      </c>
      <c r="T1333" s="7" t="s">
        <v>828</v>
      </c>
      <c r="U1333" s="7" t="str">
        <f t="shared" si="169"/>
        <v>CLK_KIDS_CHILD_V</v>
      </c>
      <c r="V1333" s="7" t="s">
        <v>829</v>
      </c>
    </row>
    <row r="1334" spans="1:22">
      <c r="A1334" s="7" t="str">
        <f>TRIM(ETLMetadata!$B1334)</f>
        <v>CLK</v>
      </c>
      <c r="B1334" s="7" t="str">
        <f>TRIM(ETLMetadata!$C1334)</f>
        <v>KIDS_CHILD</v>
      </c>
      <c r="C1334" s="7" t="str">
        <f>TRIM(ETLMetadata!$F1334)</f>
        <v>CHILD_SSR</v>
      </c>
      <c r="D1334" s="7" t="str">
        <f>TRIM(ETLMetadata!$H1334)</f>
        <v>StringType()</v>
      </c>
      <c r="E1334" s="7" t="str">
        <f t="shared" si="168"/>
        <v>CLK_KIDS_CHILD</v>
      </c>
      <c r="F1334" s="7" t="str">
        <f t="shared" si="162"/>
        <v>CHILD_SSR</v>
      </c>
      <c r="G1334" s="7" t="s">
        <v>825</v>
      </c>
      <c r="H1334" s="7" t="str">
        <f t="shared" si="163"/>
        <v>CLK_KIDS_CHILD</v>
      </c>
      <c r="I1334" s="7" t="str">
        <f t="shared" si="164"/>
        <v>CHILD_SSR</v>
      </c>
      <c r="J1334" s="7" t="str">
        <f t="shared" si="165"/>
        <v>INTEGER</v>
      </c>
      <c r="K1334" s="7" t="str">
        <f>TRIM(ETLMetadata!$G1334)</f>
        <v>INTEGER</v>
      </c>
      <c r="L1334" s="7" t="str">
        <f>TRIM(ETLMetadata!$I1334)</f>
        <v/>
      </c>
      <c r="M1334" s="7" t="str">
        <f t="shared" si="166"/>
        <v>CAST(NULLIF(TRIM(CHILD_SSR),'') AS INTEGER)</v>
      </c>
      <c r="N1334" s="7" t="str">
        <f>TRIM(ETLMetadata!$J1334)</f>
        <v>Y</v>
      </c>
      <c r="O1334" s="8" t="str">
        <f>IF(TRIM(Classification!$G1334)="","NOT CONFIDENTIAL",TRIM(Classification!$G1334))</f>
        <v>PERSONAL_IDENTITYINFODIRECT</v>
      </c>
      <c r="P1334" s="7" t="str">
        <f t="shared" si="167"/>
        <v>Y</v>
      </c>
      <c r="Q1334" s="7" t="s">
        <v>826</v>
      </c>
      <c r="R1334" s="9">
        <v>2958465</v>
      </c>
      <c r="S1334" s="7" t="s">
        <v>827</v>
      </c>
      <c r="T1334" s="7" t="s">
        <v>828</v>
      </c>
      <c r="U1334" s="7" t="str">
        <f t="shared" si="169"/>
        <v>CLK_KIDS_CHILD_V</v>
      </c>
      <c r="V1334" s="7" t="s">
        <v>829</v>
      </c>
    </row>
    <row r="1335" spans="1:22">
      <c r="A1335" s="7" t="str">
        <f>TRIM(ETLMetadata!$B1335)</f>
        <v>CLK</v>
      </c>
      <c r="B1335" s="7" t="str">
        <f>TRIM(ETLMetadata!$C1335)</f>
        <v>KIDS_CHILD</v>
      </c>
      <c r="C1335" s="7" t="str">
        <f>TRIM(ETLMetadata!$F1335)</f>
        <v>PROCESSING_SEQUENCE</v>
      </c>
      <c r="D1335" s="7" t="str">
        <f>TRIM(ETLMetadata!$H1335)</f>
        <v>StringType()</v>
      </c>
      <c r="E1335" s="7" t="str">
        <f t="shared" si="168"/>
        <v>CLK_KIDS_CHILD</v>
      </c>
      <c r="F1335" s="7" t="str">
        <f t="shared" si="162"/>
        <v>PROCESSING_SEQUENCE</v>
      </c>
      <c r="G1335" s="7" t="s">
        <v>825</v>
      </c>
      <c r="H1335" s="7" t="str">
        <f t="shared" si="163"/>
        <v>CLK_KIDS_CHILD</v>
      </c>
      <c r="I1335" s="7" t="str">
        <f t="shared" si="164"/>
        <v>PROCESSING_SEQUENCE</v>
      </c>
      <c r="J1335" s="7" t="str">
        <f t="shared" si="165"/>
        <v>SMALLINT</v>
      </c>
      <c r="K1335" s="7" t="str">
        <f>TRIM(ETLMetadata!$G1335)</f>
        <v>SMALLINT</v>
      </c>
      <c r="L1335" s="7" t="str">
        <f>TRIM(ETLMetadata!$I1335)</f>
        <v/>
      </c>
      <c r="M1335" s="7" t="str">
        <f t="shared" si="166"/>
        <v>CAST(NULLIF(TRIM(PROCESSING_SEQUENCE),'') AS SMALLINT)</v>
      </c>
      <c r="N1335" s="7" t="str">
        <f>TRIM(ETLMetadata!$J1335)</f>
        <v>Y</v>
      </c>
      <c r="O1335" s="8" t="str">
        <f>IF(TRIM(Classification!$G1335)="","NOT CONFIDENTIAL",TRIM(Classification!$G1335))</f>
        <v>NOT CONFIDENTIAL</v>
      </c>
      <c r="P1335" s="7" t="str">
        <f t="shared" si="167"/>
        <v>Y</v>
      </c>
      <c r="Q1335" s="7" t="s">
        <v>826</v>
      </c>
      <c r="R1335" s="9">
        <v>2958465</v>
      </c>
      <c r="S1335" s="7" t="s">
        <v>827</v>
      </c>
      <c r="T1335" s="7" t="s">
        <v>828</v>
      </c>
      <c r="U1335" s="7" t="str">
        <f t="shared" si="169"/>
        <v>CLK_KIDS_CHILD_V</v>
      </c>
      <c r="V1335" s="7" t="s">
        <v>829</v>
      </c>
    </row>
    <row r="1336" spans="1:22">
      <c r="A1336" s="7" t="str">
        <f>TRIM(ETLMetadata!$B1336)</f>
        <v>CLK</v>
      </c>
      <c r="B1336" s="7" t="str">
        <f>TRIM(ETLMetadata!$C1336)</f>
        <v>KIDS_CHILD</v>
      </c>
      <c r="C1336" s="7" t="str">
        <f>TRIM(ETLMetadata!$F1336)</f>
        <v>AMR1_RISL_DTS</v>
      </c>
      <c r="D1336" s="7" t="str">
        <f>TRIM(ETLMetadata!$H1336)</f>
        <v>StringType()</v>
      </c>
      <c r="E1336" s="7" t="str">
        <f t="shared" si="168"/>
        <v>CLK_KIDS_CHILD</v>
      </c>
      <c r="F1336" s="7" t="str">
        <f t="shared" si="162"/>
        <v>AMR1_RISL_DTS</v>
      </c>
      <c r="G1336" s="7" t="s">
        <v>825</v>
      </c>
      <c r="H1336" s="7" t="str">
        <f t="shared" si="163"/>
        <v>CLK_KIDS_CHILD</v>
      </c>
      <c r="I1336" s="7" t="str">
        <f t="shared" si="164"/>
        <v>AMR1_RISL_DTS</v>
      </c>
      <c r="J1336" s="7" t="str">
        <f t="shared" si="165"/>
        <v>TIMESTAMP</v>
      </c>
      <c r="K1336" s="7" t="str">
        <f>TRIM(ETLMetadata!$G1336)</f>
        <v>TIMESTAMP(6)</v>
      </c>
      <c r="L1336" s="7" t="str">
        <f>TRIM(ETLMetadata!$I1336)</f>
        <v>YYYY-MM-DDBHH:MI:SS.S(6)</v>
      </c>
      <c r="M1336" s="7" t="str">
        <f t="shared" si="166"/>
        <v>TO_TIMESTAMP_NTZ(NULLIF(TRIM(AMR1_RISL_DTS),''),'YYYY-MM-DD HH24:MI:SS.FF6')</v>
      </c>
      <c r="N1336" s="7" t="str">
        <f>TRIM(ETLMetadata!$J1336)</f>
        <v/>
      </c>
      <c r="O1336" s="8" t="str">
        <f>IF(TRIM(Classification!$G1336)="","NOT CONFIDENTIAL",TRIM(Classification!$G1336))</f>
        <v>NOT CONFIDENTIAL</v>
      </c>
      <c r="P1336" s="7" t="str">
        <f t="shared" si="167"/>
        <v>Y</v>
      </c>
      <c r="Q1336" s="7" t="s">
        <v>826</v>
      </c>
      <c r="R1336" s="9">
        <v>2958465</v>
      </c>
      <c r="S1336" s="7" t="s">
        <v>827</v>
      </c>
      <c r="T1336" s="7" t="s">
        <v>828</v>
      </c>
      <c r="U1336" s="7" t="str">
        <f t="shared" si="169"/>
        <v>CLK_KIDS_CHILD_V</v>
      </c>
      <c r="V1336" s="7" t="s">
        <v>829</v>
      </c>
    </row>
    <row r="1337" spans="1:22">
      <c r="A1337" s="7" t="str">
        <f>TRIM(ETLMetadata!$B1337)</f>
        <v>CLK</v>
      </c>
      <c r="B1337" s="7" t="str">
        <f>TRIM(ETLMetadata!$C1337)</f>
        <v>KIDS_CHILD</v>
      </c>
      <c r="C1337" s="7" t="str">
        <f>TRIM(ETLMetadata!$F1337)</f>
        <v>AMR3_RISL_DTS</v>
      </c>
      <c r="D1337" s="7" t="str">
        <f>TRIM(ETLMetadata!$H1337)</f>
        <v>StringType()</v>
      </c>
      <c r="E1337" s="7" t="str">
        <f t="shared" si="168"/>
        <v>CLK_KIDS_CHILD</v>
      </c>
      <c r="F1337" s="7" t="str">
        <f t="shared" si="162"/>
        <v>AMR3_RISL_DTS</v>
      </c>
      <c r="G1337" s="7" t="s">
        <v>825</v>
      </c>
      <c r="H1337" s="7" t="str">
        <f t="shared" si="163"/>
        <v>CLK_KIDS_CHILD</v>
      </c>
      <c r="I1337" s="7" t="str">
        <f t="shared" si="164"/>
        <v>AMR3_RISL_DTS</v>
      </c>
      <c r="J1337" s="7" t="str">
        <f t="shared" si="165"/>
        <v>TIMESTAMP</v>
      </c>
      <c r="K1337" s="7" t="str">
        <f>TRIM(ETLMetadata!$G1337)</f>
        <v>TIMESTAMP(6)</v>
      </c>
      <c r="L1337" s="7" t="str">
        <f>TRIM(ETLMetadata!$I1337)</f>
        <v>YYYY-MM-DDBHH:MI:SS.S(6)</v>
      </c>
      <c r="M1337" s="7" t="str">
        <f t="shared" si="166"/>
        <v>TO_TIMESTAMP_NTZ(NULLIF(TRIM(AMR3_RISL_DTS),''),'YYYY-MM-DD HH24:MI:SS.FF6')</v>
      </c>
      <c r="N1337" s="7" t="str">
        <f>TRIM(ETLMetadata!$J1337)</f>
        <v/>
      </c>
      <c r="O1337" s="8" t="str">
        <f>IF(TRIM(Classification!$G1337)="","NOT CONFIDENTIAL",TRIM(Classification!$G1337))</f>
        <v>NOT CONFIDENTIAL</v>
      </c>
      <c r="P1337" s="7" t="str">
        <f t="shared" si="167"/>
        <v>Y</v>
      </c>
      <c r="Q1337" s="7" t="s">
        <v>826</v>
      </c>
      <c r="R1337" s="9">
        <v>2958465</v>
      </c>
      <c r="S1337" s="7" t="s">
        <v>827</v>
      </c>
      <c r="T1337" s="7" t="s">
        <v>828</v>
      </c>
      <c r="U1337" s="7" t="str">
        <f t="shared" si="169"/>
        <v>CLK_KIDS_CHILD_V</v>
      </c>
      <c r="V1337" s="7" t="s">
        <v>829</v>
      </c>
    </row>
    <row r="1338" spans="1:22">
      <c r="A1338" s="7" t="str">
        <f>TRIM(ETLMetadata!$B1338)</f>
        <v>CLK</v>
      </c>
      <c r="B1338" s="7" t="str">
        <f>TRIM(ETLMetadata!$C1338)</f>
        <v>KIDS_CHILD</v>
      </c>
      <c r="C1338" s="7" t="str">
        <f>TRIM(ETLMetadata!$F1338)</f>
        <v>PARTY_ROLE_ID</v>
      </c>
      <c r="D1338" s="7" t="str">
        <f>TRIM(ETLMetadata!$H1338)</f>
        <v>StringType()</v>
      </c>
      <c r="E1338" s="7" t="str">
        <f t="shared" si="168"/>
        <v>CLK_KIDS_CHILD</v>
      </c>
      <c r="F1338" s="7" t="str">
        <f t="shared" si="162"/>
        <v>PARTY_ROLE_ID</v>
      </c>
      <c r="G1338" s="7" t="s">
        <v>825</v>
      </c>
      <c r="H1338" s="7" t="str">
        <f t="shared" si="163"/>
        <v>CLK_KIDS_CHILD</v>
      </c>
      <c r="I1338" s="7" t="str">
        <f t="shared" si="164"/>
        <v>PARTY_ROLE_ID</v>
      </c>
      <c r="J1338" s="7" t="str">
        <f t="shared" si="165"/>
        <v>INTEGER</v>
      </c>
      <c r="K1338" s="7" t="str">
        <f>TRIM(ETLMetadata!$G1338)</f>
        <v>INTEGER</v>
      </c>
      <c r="L1338" s="7" t="str">
        <f>TRIM(ETLMetadata!$I1338)</f>
        <v/>
      </c>
      <c r="M1338" s="7" t="str">
        <f t="shared" si="166"/>
        <v>CAST(NULLIF(TRIM(PARTY_ROLE_ID),'') AS INTEGER)</v>
      </c>
      <c r="N1338" s="7" t="str">
        <f>TRIM(ETLMetadata!$J1338)</f>
        <v/>
      </c>
      <c r="O1338" s="8" t="str">
        <f>IF(TRIM(Classification!$G1338)="","NOT CONFIDENTIAL",TRIM(Classification!$G1338))</f>
        <v>NOT CONFIDENTIAL</v>
      </c>
      <c r="P1338" s="7" t="str">
        <f t="shared" si="167"/>
        <v>Y</v>
      </c>
      <c r="Q1338" s="7" t="s">
        <v>826</v>
      </c>
      <c r="R1338" s="9">
        <v>2958465</v>
      </c>
      <c r="S1338" s="7" t="s">
        <v>827</v>
      </c>
      <c r="T1338" s="7" t="s">
        <v>828</v>
      </c>
      <c r="U1338" s="7" t="str">
        <f t="shared" si="169"/>
        <v>CLK_KIDS_CHILD_V</v>
      </c>
      <c r="V1338" s="7" t="s">
        <v>829</v>
      </c>
    </row>
    <row r="1339" spans="1:22">
      <c r="A1339" s="7" t="str">
        <f>TRIM(ETLMetadata!$B1339)</f>
        <v>CLK</v>
      </c>
      <c r="B1339" s="7" t="str">
        <f>TRIM(ETLMetadata!$C1339)</f>
        <v>KIDS_CHILD</v>
      </c>
      <c r="C1339" s="7" t="str">
        <f>TRIM(ETLMetadata!$F1339)</f>
        <v>CHILD_PARTY_ROLE_ID</v>
      </c>
      <c r="D1339" s="7" t="str">
        <f>TRIM(ETLMetadata!$H1339)</f>
        <v>StringType()</v>
      </c>
      <c r="E1339" s="7" t="str">
        <f t="shared" si="168"/>
        <v>CLK_KIDS_CHILD</v>
      </c>
      <c r="F1339" s="7" t="str">
        <f t="shared" si="162"/>
        <v>CHILD_PARTY_ROLE_ID</v>
      </c>
      <c r="G1339" s="7" t="s">
        <v>825</v>
      </c>
      <c r="H1339" s="7" t="str">
        <f t="shared" si="163"/>
        <v>CLK_KIDS_CHILD</v>
      </c>
      <c r="I1339" s="7" t="str">
        <f t="shared" si="164"/>
        <v>CHILD_PARTY_ROLE_ID</v>
      </c>
      <c r="J1339" s="7" t="str">
        <f t="shared" si="165"/>
        <v>INTEGER</v>
      </c>
      <c r="K1339" s="7" t="str">
        <f>TRIM(ETLMetadata!$G1339)</f>
        <v>INTEGER</v>
      </c>
      <c r="L1339" s="7" t="str">
        <f>TRIM(ETLMetadata!$I1339)</f>
        <v/>
      </c>
      <c r="M1339" s="7" t="str">
        <f t="shared" si="166"/>
        <v>CAST(NULLIF(TRIM(CHILD_PARTY_ROLE_ID),'') AS INTEGER)</v>
      </c>
      <c r="N1339" s="7" t="str">
        <f>TRIM(ETLMetadata!$J1339)</f>
        <v/>
      </c>
      <c r="O1339" s="8" t="str">
        <f>IF(TRIM(Classification!$G1339)="","NOT CONFIDENTIAL",TRIM(Classification!$G1339))</f>
        <v>NOT CONFIDENTIAL</v>
      </c>
      <c r="P1339" s="7" t="str">
        <f t="shared" si="167"/>
        <v>Y</v>
      </c>
      <c r="Q1339" s="7" t="s">
        <v>826</v>
      </c>
      <c r="R1339" s="9">
        <v>2958465</v>
      </c>
      <c r="S1339" s="7" t="s">
        <v>827</v>
      </c>
      <c r="T1339" s="7" t="s">
        <v>828</v>
      </c>
      <c r="U1339" s="7" t="str">
        <f t="shared" si="169"/>
        <v>CLK_KIDS_CHILD_V</v>
      </c>
      <c r="V1339" s="7" t="s">
        <v>829</v>
      </c>
    </row>
    <row r="1340" spans="1:22">
      <c r="A1340" s="7" t="str">
        <f>TRIM(ETLMetadata!$B1340)</f>
        <v>CLK</v>
      </c>
      <c r="B1340" s="7" t="str">
        <f>TRIM(ETLMetadata!$C1340)</f>
        <v>KIDS_CHILD</v>
      </c>
      <c r="C1340" s="7" t="str">
        <f>TRIM(ETLMetadata!$F1340)</f>
        <v>ERROR_COUNT</v>
      </c>
      <c r="D1340" s="7" t="str">
        <f>TRIM(ETLMetadata!$H1340)</f>
        <v>StringType()</v>
      </c>
      <c r="E1340" s="7" t="str">
        <f t="shared" si="168"/>
        <v>CLK_KIDS_CHILD</v>
      </c>
      <c r="F1340" s="7" t="str">
        <f t="shared" si="162"/>
        <v>ERROR_COUNT</v>
      </c>
      <c r="G1340" s="7" t="s">
        <v>825</v>
      </c>
      <c r="H1340" s="7" t="str">
        <f t="shared" si="163"/>
        <v>CLK_KIDS_CHILD</v>
      </c>
      <c r="I1340" s="7" t="str">
        <f t="shared" si="164"/>
        <v>ERROR_COUNT</v>
      </c>
      <c r="J1340" s="7" t="str">
        <f t="shared" si="165"/>
        <v>SMALLINT</v>
      </c>
      <c r="K1340" s="7" t="str">
        <f>TRIM(ETLMetadata!$G1340)</f>
        <v>SMALLINT</v>
      </c>
      <c r="L1340" s="7" t="str">
        <f>TRIM(ETLMetadata!$I1340)</f>
        <v/>
      </c>
      <c r="M1340" s="7" t="str">
        <f t="shared" si="166"/>
        <v>CAST(NULLIF(TRIM(ERROR_COUNT),'') AS SMALLINT)</v>
      </c>
      <c r="N1340" s="7" t="str">
        <f>TRIM(ETLMetadata!$J1340)</f>
        <v/>
      </c>
      <c r="O1340" s="8" t="str">
        <f>IF(TRIM(Classification!$G1340)="","NOT CONFIDENTIAL",TRIM(Classification!$G1340))</f>
        <v>NOT CONFIDENTIAL</v>
      </c>
      <c r="P1340" s="7" t="str">
        <f t="shared" si="167"/>
        <v>Y</v>
      </c>
      <c r="Q1340" s="7" t="s">
        <v>826</v>
      </c>
      <c r="R1340" s="9">
        <v>2958465</v>
      </c>
      <c r="S1340" s="7" t="s">
        <v>827</v>
      </c>
      <c r="T1340" s="7" t="s">
        <v>828</v>
      </c>
      <c r="U1340" s="7" t="str">
        <f t="shared" si="169"/>
        <v>CLK_KIDS_CHILD_V</v>
      </c>
      <c r="V1340" s="7" t="s">
        <v>829</v>
      </c>
    </row>
    <row r="1341" spans="1:22">
      <c r="A1341" s="7" t="str">
        <f>TRIM(ETLMetadata!$B1341)</f>
        <v>CLK</v>
      </c>
      <c r="B1341" s="7" t="str">
        <f>TRIM(ETLMetadata!$C1341)</f>
        <v>KIDS_CHILD</v>
      </c>
      <c r="C1341" s="7" t="str">
        <f>TRIM(ETLMetadata!$F1341)</f>
        <v>CHP_ANCHOR_IND</v>
      </c>
      <c r="D1341" s="7" t="str">
        <f>TRIM(ETLMetadata!$H1341)</f>
        <v>StringType()</v>
      </c>
      <c r="E1341" s="7" t="str">
        <f t="shared" si="168"/>
        <v>CLK_KIDS_CHILD</v>
      </c>
      <c r="F1341" s="7" t="str">
        <f t="shared" si="162"/>
        <v>CHP_ANCHOR_IND</v>
      </c>
      <c r="G1341" s="7" t="s">
        <v>825</v>
      </c>
      <c r="H1341" s="7" t="str">
        <f t="shared" si="163"/>
        <v>CLK_KIDS_CHILD</v>
      </c>
      <c r="I1341" s="7" t="str">
        <f t="shared" si="164"/>
        <v>CHP_ANCHOR_IND</v>
      </c>
      <c r="J1341" s="7" t="str">
        <f t="shared" si="165"/>
        <v>VARCHAR</v>
      </c>
      <c r="K1341" s="7" t="str">
        <f>TRIM(ETLMetadata!$G1341)</f>
        <v>CHAR(1)</v>
      </c>
      <c r="L1341" s="7" t="str">
        <f>TRIM(ETLMetadata!$I1341)</f>
        <v/>
      </c>
      <c r="M1341" s="7" t="str">
        <f t="shared" si="166"/>
        <v>NULLIF(TRIM(CHP_ANCHOR_IND),'')</v>
      </c>
      <c r="N1341" s="7" t="str">
        <f>TRIM(ETLMetadata!$J1341)</f>
        <v/>
      </c>
      <c r="O1341" s="8" t="str">
        <f>IF(TRIM(Classification!$G1341)="","NOT CONFIDENTIAL",TRIM(Classification!$G1341))</f>
        <v>NOT CONFIDENTIAL</v>
      </c>
      <c r="P1341" s="7" t="str">
        <f t="shared" si="167"/>
        <v>Y</v>
      </c>
      <c r="Q1341" s="7" t="s">
        <v>826</v>
      </c>
      <c r="R1341" s="9">
        <v>2958465</v>
      </c>
      <c r="S1341" s="7" t="s">
        <v>827</v>
      </c>
      <c r="T1341" s="7" t="s">
        <v>828</v>
      </c>
      <c r="U1341" s="7" t="str">
        <f t="shared" si="169"/>
        <v>CLK_KIDS_CHILD_V</v>
      </c>
      <c r="V1341" s="7" t="s">
        <v>829</v>
      </c>
    </row>
    <row r="1342" spans="1:22">
      <c r="A1342" s="7" t="str">
        <f>TRIM(ETLMetadata!$B1342)</f>
        <v>CLK</v>
      </c>
      <c r="B1342" s="7" t="str">
        <f>TRIM(ETLMetadata!$C1342)</f>
        <v>KIDS_CHILD</v>
      </c>
      <c r="C1342" s="7" t="str">
        <f>TRIM(ETLMetadata!$F1342)</f>
        <v>Start_Date</v>
      </c>
      <c r="D1342" s="7" t="str">
        <f>TRIM(ETLMetadata!$H1342)</f>
        <v>StringType()</v>
      </c>
      <c r="E1342" s="7" t="str">
        <f t="shared" si="168"/>
        <v>CLK_KIDS_CHILD</v>
      </c>
      <c r="F1342" s="7" t="str">
        <f t="shared" si="162"/>
        <v>STRT_DT</v>
      </c>
      <c r="G1342" s="7" t="s">
        <v>825</v>
      </c>
      <c r="H1342" s="7" t="str">
        <f t="shared" si="163"/>
        <v>CLK_KIDS_CHILD</v>
      </c>
      <c r="I1342" s="7" t="str">
        <f t="shared" si="164"/>
        <v>STRT_DT</v>
      </c>
      <c r="J1342" s="7" t="str">
        <f t="shared" si="165"/>
        <v>DATE</v>
      </c>
      <c r="K1342" s="7" t="str">
        <f>TRIM(ETLMetadata!$G1342)</f>
        <v>DATE</v>
      </c>
      <c r="L1342" s="7" t="str">
        <f>TRIM(ETLMetadata!$I1342)</f>
        <v>YYYY-MM-DD</v>
      </c>
      <c r="M1342" s="7" t="str">
        <f t="shared" si="166"/>
        <v>TO_DATE(NULLIF(TRIM(STRT_DT),'') , 'YYYY-MM-DD')</v>
      </c>
      <c r="N1342" s="7" t="str">
        <f>TRIM(ETLMetadata!$J1342)</f>
        <v/>
      </c>
      <c r="O1342" s="8" t="str">
        <f>IF(TRIM(Classification!$G1342)="","NOT CONFIDENTIAL",TRIM(Classification!$G1342))</f>
        <v>NOT CONFIDENTIAL</v>
      </c>
      <c r="P1342" s="7" t="str">
        <f t="shared" si="167"/>
        <v>N</v>
      </c>
      <c r="Q1342" s="7" t="s">
        <v>826</v>
      </c>
      <c r="R1342" s="9">
        <v>2958465</v>
      </c>
      <c r="S1342" s="7" t="s">
        <v>827</v>
      </c>
      <c r="T1342" s="7" t="s">
        <v>828</v>
      </c>
      <c r="U1342" s="7" t="str">
        <f t="shared" si="169"/>
        <v>CLK_KIDS_CHILD_V</v>
      </c>
      <c r="V1342" s="7" t="s">
        <v>829</v>
      </c>
    </row>
    <row r="1343" spans="1:22">
      <c r="A1343" s="7" t="str">
        <f>TRIM(ETLMetadata!$B1343)</f>
        <v>CLK</v>
      </c>
      <c r="B1343" s="7" t="str">
        <f>TRIM(ETLMetadata!$C1343)</f>
        <v>KIDS_CHILD</v>
      </c>
      <c r="C1343" s="7" t="str">
        <f>TRIM(ETLMetadata!$F1343)</f>
        <v>End_Date</v>
      </c>
      <c r="D1343" s="7" t="str">
        <f>TRIM(ETLMetadata!$H1343)</f>
        <v>StringType()</v>
      </c>
      <c r="E1343" s="7" t="str">
        <f t="shared" si="168"/>
        <v>CLK_KIDS_CHILD</v>
      </c>
      <c r="F1343" s="7" t="str">
        <f t="shared" si="162"/>
        <v>END_DT</v>
      </c>
      <c r="G1343" s="7" t="s">
        <v>825</v>
      </c>
      <c r="H1343" s="7" t="str">
        <f t="shared" si="163"/>
        <v>CLK_KIDS_CHILD</v>
      </c>
      <c r="I1343" s="7" t="str">
        <f t="shared" si="164"/>
        <v>END_DT</v>
      </c>
      <c r="J1343" s="7" t="str">
        <f t="shared" si="165"/>
        <v>DATE</v>
      </c>
      <c r="K1343" s="7" t="str">
        <f>TRIM(ETLMetadata!$G1343)</f>
        <v>DATE</v>
      </c>
      <c r="L1343" s="7" t="str">
        <f>TRIM(ETLMetadata!$I1343)</f>
        <v>YYYY-MM-DD</v>
      </c>
      <c r="M1343" s="7" t="str">
        <f t="shared" si="166"/>
        <v>TO_DATE(NULLIF(TRIM(END_DT),'') , 'YYYY-MM-DD')</v>
      </c>
      <c r="N1343" s="7" t="str">
        <f>TRIM(ETLMetadata!$J1343)</f>
        <v/>
      </c>
      <c r="O1343" s="8" t="str">
        <f>IF(TRIM(Classification!$G1343)="","NOT CONFIDENTIAL",TRIM(Classification!$G1343))</f>
        <v>NOT CONFIDENTIAL</v>
      </c>
      <c r="P1343" s="7" t="str">
        <f t="shared" si="167"/>
        <v>N</v>
      </c>
      <c r="Q1343" s="7" t="s">
        <v>826</v>
      </c>
      <c r="R1343" s="9">
        <v>2958465</v>
      </c>
      <c r="S1343" s="7" t="s">
        <v>827</v>
      </c>
      <c r="T1343" s="7" t="s">
        <v>828</v>
      </c>
      <c r="U1343" s="7" t="str">
        <f t="shared" si="169"/>
        <v>CLK_KIDS_CHILD_V</v>
      </c>
      <c r="V1343" s="7" t="s">
        <v>829</v>
      </c>
    </row>
    <row r="1344" spans="1:22">
      <c r="A1344" s="7" t="str">
        <f>TRIM(ETLMetadata!$B1344)</f>
        <v>CLK</v>
      </c>
      <c r="B1344" s="7" t="str">
        <f>TRIM(ETLMetadata!$C1344)</f>
        <v>KIDS_CHILD</v>
      </c>
      <c r="C1344" s="7" t="str">
        <f>TRIM(ETLMetadata!$F1344)</f>
        <v>Record_Deleted_Flag</v>
      </c>
      <c r="D1344" s="7" t="str">
        <f>TRIM(ETLMetadata!$H1344)</f>
        <v>StringType()</v>
      </c>
      <c r="E1344" s="7" t="str">
        <f t="shared" si="168"/>
        <v>CLK_KIDS_CHILD</v>
      </c>
      <c r="F1344" s="7" t="str">
        <f t="shared" si="162"/>
        <v>RCRD_DEL_IND</v>
      </c>
      <c r="G1344" s="7" t="s">
        <v>825</v>
      </c>
      <c r="H1344" s="7" t="str">
        <f t="shared" si="163"/>
        <v>CLK_KIDS_CHILD</v>
      </c>
      <c r="I1344" s="7" t="str">
        <f t="shared" si="164"/>
        <v>RCRD_DEL_IND</v>
      </c>
      <c r="J1344" s="7" t="str">
        <f t="shared" si="165"/>
        <v>SMALLINT</v>
      </c>
      <c r="K1344" s="7" t="str">
        <f>TRIM(ETLMetadata!$G1344)</f>
        <v>BYTEINT</v>
      </c>
      <c r="L1344" s="7" t="str">
        <f>TRIM(ETLMetadata!$I1344)</f>
        <v/>
      </c>
      <c r="M1344" s="7" t="str">
        <f t="shared" si="166"/>
        <v>CAST(NULLIF(TRIM(RCRD_DEL_IND),'') AS SMALLINT)</v>
      </c>
      <c r="N1344" s="7" t="str">
        <f>TRIM(ETLMetadata!$J1344)</f>
        <v/>
      </c>
      <c r="O1344" s="8" t="str">
        <f>IF(TRIM(Classification!$G1344)="","NOT CONFIDENTIAL",TRIM(Classification!$G1344))</f>
        <v>NOT CONFIDENTIAL</v>
      </c>
      <c r="P1344" s="7" t="str">
        <f t="shared" si="167"/>
        <v>N</v>
      </c>
      <c r="Q1344" s="7" t="s">
        <v>826</v>
      </c>
      <c r="R1344" s="9">
        <v>2958465</v>
      </c>
      <c r="S1344" s="7" t="s">
        <v>827</v>
      </c>
      <c r="T1344" s="7" t="s">
        <v>828</v>
      </c>
      <c r="U1344" s="7" t="str">
        <f t="shared" si="169"/>
        <v>CLK_KIDS_CHILD_V</v>
      </c>
      <c r="V1344" s="7" t="s">
        <v>829</v>
      </c>
    </row>
    <row r="1345" spans="1:22">
      <c r="A1345" s="7" t="str">
        <f>TRIM(ETLMetadata!$B1345)</f>
        <v>CLK</v>
      </c>
      <c r="B1345" s="7" t="str">
        <f>TRIM(ETLMetadata!$C1345)</f>
        <v>KIDS_CHILD_CHFC</v>
      </c>
      <c r="C1345" s="7" t="str">
        <f>TRIM(ETLMetadata!$F1345)</f>
        <v>EXTRACT_DATE</v>
      </c>
      <c r="D1345" s="7" t="str">
        <f>TRIM(ETLMetadata!$H1345)</f>
        <v>StringType()</v>
      </c>
      <c r="E1345" s="7" t="str">
        <f t="shared" si="168"/>
        <v>CLK_KIDS_CHILD_CHFC</v>
      </c>
      <c r="F1345" s="7" t="str">
        <f t="shared" si="162"/>
        <v>EXTRACT_DATE</v>
      </c>
      <c r="G1345" s="7" t="s">
        <v>825</v>
      </c>
      <c r="H1345" s="7" t="str">
        <f t="shared" si="163"/>
        <v>CLK_KIDS_CHILD_CHFC</v>
      </c>
      <c r="I1345" s="7" t="str">
        <f t="shared" si="164"/>
        <v>EXTRACT_DATE</v>
      </c>
      <c r="J1345" s="7" t="str">
        <f t="shared" si="165"/>
        <v>DATE</v>
      </c>
      <c r="K1345" s="7" t="str">
        <f>TRIM(ETLMetadata!$G1345)</f>
        <v>DATE</v>
      </c>
      <c r="L1345" s="7" t="str">
        <f>TRIM(ETLMetadata!$I1345)</f>
        <v>YYYY-MM-DD</v>
      </c>
      <c r="M1345" s="7" t="str">
        <f t="shared" si="166"/>
        <v>TO_DATE(NULLIF(TRIM(EXTRACT_DATE),'') , 'YYYY-MM-DD')</v>
      </c>
      <c r="N1345" s="7" t="str">
        <f>TRIM(ETLMetadata!$J1345)</f>
        <v/>
      </c>
      <c r="O1345" s="8" t="str">
        <f>IF(TRIM(Classification!$G1345)="","NOT CONFIDENTIAL",TRIM(Classification!$G1345))</f>
        <v>NOT CONFIDENTIAL</v>
      </c>
      <c r="P1345" s="7" t="str">
        <f t="shared" si="167"/>
        <v>Y</v>
      </c>
      <c r="Q1345" s="7" t="s">
        <v>826</v>
      </c>
      <c r="R1345" s="9">
        <v>2958465</v>
      </c>
      <c r="S1345" s="7" t="s">
        <v>827</v>
      </c>
      <c r="T1345" s="7" t="s">
        <v>828</v>
      </c>
      <c r="U1345" s="7" t="str">
        <f t="shared" si="169"/>
        <v>CLK_KIDS_CHILD_CHFC_V</v>
      </c>
      <c r="V1345" s="7" t="s">
        <v>829</v>
      </c>
    </row>
    <row r="1346" spans="1:22">
      <c r="A1346" s="7" t="str">
        <f>TRIM(ETLMetadata!$B1346)</f>
        <v>CLK</v>
      </c>
      <c r="B1346" s="7" t="str">
        <f>TRIM(ETLMetadata!$C1346)</f>
        <v>KIDS_CHILD_CHFC</v>
      </c>
      <c r="C1346" s="7" t="str">
        <f>TRIM(ETLMetadata!$F1346)</f>
        <v>LOGICAL_DELETE_DATE</v>
      </c>
      <c r="D1346" s="7" t="str">
        <f>TRIM(ETLMetadata!$H1346)</f>
        <v>StringType()</v>
      </c>
      <c r="E1346" s="7" t="str">
        <f t="shared" si="168"/>
        <v>CLK_KIDS_CHILD_CHFC</v>
      </c>
      <c r="F1346" s="7" t="str">
        <f t="shared" si="162"/>
        <v>LOGICAL_DELETE_DATE</v>
      </c>
      <c r="G1346" s="7" t="s">
        <v>825</v>
      </c>
      <c r="H1346" s="7" t="str">
        <f t="shared" si="163"/>
        <v>CLK_KIDS_CHILD_CHFC</v>
      </c>
      <c r="I1346" s="7" t="str">
        <f t="shared" si="164"/>
        <v>LOGICAL_DELETE_DATE</v>
      </c>
      <c r="J1346" s="7" t="str">
        <f t="shared" si="165"/>
        <v>DATE</v>
      </c>
      <c r="K1346" s="7" t="str">
        <f>TRIM(ETLMetadata!$G1346)</f>
        <v>DATE</v>
      </c>
      <c r="L1346" s="7" t="str">
        <f>TRIM(ETLMetadata!$I1346)</f>
        <v>YYYY-MM-DD</v>
      </c>
      <c r="M1346" s="7" t="str">
        <f t="shared" si="166"/>
        <v>TO_DATE(NULLIF(TRIM(LOGICAL_DELETE_DATE),'') , 'YYYY-MM-DD')</v>
      </c>
      <c r="N1346" s="7" t="str">
        <f>TRIM(ETLMetadata!$J1346)</f>
        <v/>
      </c>
      <c r="O1346" s="8" t="str">
        <f>IF(TRIM(Classification!$G1346)="","NOT CONFIDENTIAL",TRIM(Classification!$G1346))</f>
        <v>NOT CONFIDENTIAL</v>
      </c>
      <c r="P1346" s="7" t="str">
        <f t="shared" si="167"/>
        <v>Y</v>
      </c>
      <c r="Q1346" s="7" t="s">
        <v>826</v>
      </c>
      <c r="R1346" s="9">
        <v>2958465</v>
      </c>
      <c r="S1346" s="7" t="s">
        <v>827</v>
      </c>
      <c r="T1346" s="7" t="s">
        <v>828</v>
      </c>
      <c r="U1346" s="7" t="str">
        <f t="shared" si="169"/>
        <v>CLK_KIDS_CHILD_CHFC_V</v>
      </c>
      <c r="V1346" s="7" t="s">
        <v>829</v>
      </c>
    </row>
    <row r="1347" spans="1:22">
      <c r="A1347" s="7" t="str">
        <f>TRIM(ETLMetadata!$B1347)</f>
        <v>CLK</v>
      </c>
      <c r="B1347" s="7" t="str">
        <f>TRIM(ETLMetadata!$C1347)</f>
        <v>KIDS_CHILD_CHFC</v>
      </c>
      <c r="C1347" s="7" t="str">
        <f>TRIM(ETLMetadata!$F1347)</f>
        <v>ENVIRONMENT_ID</v>
      </c>
      <c r="D1347" s="7" t="str">
        <f>TRIM(ETLMetadata!$H1347)</f>
        <v>StringType()</v>
      </c>
      <c r="E1347" s="7" t="str">
        <f t="shared" si="168"/>
        <v>CLK_KIDS_CHILD_CHFC</v>
      </c>
      <c r="F1347" s="7" t="str">
        <f t="shared" ref="F1347:F1410" si="170">IF($C1347="Start_Date","STRT_DT",
 IF($C1347="End_Date","END_DT",
 IF($C1347="Record_Deleted_Flag","RCRD_DEL_IND",
 IF($C1347="IsDeleted","RCRD_DEL_IND",
 $C1347
))))</f>
        <v>ENVIRONMENT_ID</v>
      </c>
      <c r="G1347" s="7" t="s">
        <v>825</v>
      </c>
      <c r="H1347" s="7" t="str">
        <f t="shared" ref="H1347:H1410" si="171">CONCATENATE($A1347,"_",$B1347)</f>
        <v>CLK_KIDS_CHILD_CHFC</v>
      </c>
      <c r="I1347" s="7" t="str">
        <f t="shared" ref="I1347:I1410" si="172">IF($C1347="Start_Date","STRT_DT",
 IF($C1347="End_Date","END_DT",
 IF($C1347="Record_Deleted_Flag","RCRD_DEL_IND",
 IF($C1347="IsDeleted","RCRD_DEL_IND",
 $C1347
))))</f>
        <v>ENVIRONMENT_ID</v>
      </c>
      <c r="J1347" s="7" t="str">
        <f t="shared" ref="J1347:J1410" si="173">IF(LEFT(TRIM($K1347),7)="VARCHAR","VARCHAR",
 IF(LEFT(TRIM($K1347),4)="CHAR","VARCHAR",
 IF(TRIM($K1347)="TIMESTAMP(6)","TIMESTAMP",
 IF(TRIM($K1347)="DATE","DATE",
 IF(TRIM($K1347)="BYTEINT","SMALLINT",
 IF(TRIM($K1347)="SMALLINT","SMALLINT",
 IF(TRIM($K1347)="INTEGER","INTEGER",
 IF(TRIM($K1347)="BIGINT","INTEGER",
 IF(LEFT(TRIM($K1347),7)="DECIMAL",TRIM($K1347),
 IF(TRIM($K1347)="BOOLEAN","BOOLEAN",
 IF(TRIM($K1347)="DOUBLE","DOUBLE",
 IF(TRIM($K1347)="FLOAT","FLOAT",
 IF(TRIM($K1347)="REAL","REAL",
 IF(LEFT(TRIM($K1347),6)="STRUCT","VARIANT",
 IF(LEFT(TRIM($K1347),5)="ARRAY","VARIANT",
 IF(LEFT(TRIM($K1347),3)="MAP","VARIANT",
 IF(LEFT(TRIM($K1347),3)="ROW","VARIANT",
 "NONE"
)))))))))))))))))</f>
        <v>VARCHAR</v>
      </c>
      <c r="K1347" s="7" t="str">
        <f>TRIM(ETLMetadata!$G1347)</f>
        <v>CHAR(1)</v>
      </c>
      <c r="L1347" s="7" t="str">
        <f>TRIM(ETLMetadata!$I1347)</f>
        <v/>
      </c>
      <c r="M1347" s="7" t="str">
        <f t="shared" ref="M1347:M1410" si="174">IF(LEFT($K1347,7)="VARCHAR","NULLIF(TRIM("&amp;$I1347&amp;"),'')",
 IF(LEFT($K1347,4)="CHAR","NULLIF(TRIM("&amp;$I1347&amp;"),'')",
 IF(LEFT($K1347,7)="DECIMAL","CAST(NULLIF(TRIM("&amp;$I1347&amp;"),'') AS "&amp;$K1347&amp;")",
 IF($K1347="TIMESTAMP(6)","TO_TIMESTAMP_NTZ(NULLIF(TRIM("&amp;$I1347&amp;"),''),'YYYY-MM-DD HH24:MI:SS.FF6')",
 IF($K1347="DATE","TO_DATE(NULLIF(TRIM("&amp;$I1347&amp;"),'') , 'YYYY-MM-DD')",
 IF($K1347="BIGINT","CAST(NULLIF(TRIM("&amp;I1347&amp;"),'') AS INTEGER)",
 IF($K1347="BYTEINT","CAST(NULLIF(TRIM("&amp;I1347&amp;"),'') AS SMALLINT)",
 IF($K1347="SMALLINT","CAST(NULLIF(TRIM("&amp;I1347&amp;"),'') AS SMALLINT)",
 IF($K1347="INTEGER","CAST(NULLIF(TRIM("&amp;I1347&amp;"),'') AS INTEGER)",
 IF($K1347="BOOLEAN","CAST(NULLIF(TRIM("&amp;I1347&amp;"),'') AS BOOLEAN)",
 IF($K1347="DOUBLE","CAST(NULLIF(TRIM("&amp;I1347&amp;"),'') AS DOUBLE)",
 IF($K1347="FLOAT","CAST(NULLIF(TRIM("&amp;I1347&amp;"),'') AS FLOAT)",
 IF($K1347="REAL","CAST(NULLIF(TRIM("&amp;I1347&amp;"),'') AS REAL)",
 IF(OR($K1347="STRUCT",$K1347="ARRAY",$K1347="MAP",$K1347="ROW"),"CAST(NULLIF(TRIM("&amp;I1347&amp;"),'') AS VARIANT)",
 "NONE"
))))))))))))))</f>
        <v>NULLIF(TRIM(ENVIRONMENT_ID),'')</v>
      </c>
      <c r="N1347" s="7" t="str">
        <f>TRIM(ETLMetadata!$J1347)</f>
        <v>Y</v>
      </c>
      <c r="O1347" s="8" t="str">
        <f>IF(TRIM(Classification!$G1347)="","NOT CONFIDENTIAL",TRIM(Classification!$G1347))</f>
        <v>NOT CONFIDENTIAL</v>
      </c>
      <c r="P1347" s="7" t="str">
        <f t="shared" ref="P1347:P1410" si="175">IF($C1347="Start_Date","N",
 IF($C1347="End_Date","N",
 IF($C1347="Record_Deleted_Flag","N",
 IF($C1347="IsDeleted","N",
 "Y"
))))</f>
        <v>Y</v>
      </c>
      <c r="Q1347" s="7" t="s">
        <v>826</v>
      </c>
      <c r="R1347" s="9">
        <v>2958465</v>
      </c>
      <c r="S1347" s="7" t="s">
        <v>827</v>
      </c>
      <c r="T1347" s="7" t="s">
        <v>828</v>
      </c>
      <c r="U1347" s="7" t="str">
        <f t="shared" si="169"/>
        <v>CLK_KIDS_CHILD_CHFC_V</v>
      </c>
      <c r="V1347" s="7" t="s">
        <v>829</v>
      </c>
    </row>
    <row r="1348" spans="1:22">
      <c r="A1348" s="7" t="str">
        <f>TRIM(ETLMetadata!$B1348)</f>
        <v>CLK</v>
      </c>
      <c r="B1348" s="7" t="str">
        <f>TRIM(ETLMetadata!$C1348)</f>
        <v>KIDS_CHILD_CHFC</v>
      </c>
      <c r="C1348" s="7" t="str">
        <f>TRIM(ETLMetadata!$F1348)</f>
        <v>PERSON_ID</v>
      </c>
      <c r="D1348" s="7" t="str">
        <f>TRIM(ETLMetadata!$H1348)</f>
        <v>StringType()</v>
      </c>
      <c r="E1348" s="7" t="str">
        <f t="shared" si="168"/>
        <v>CLK_KIDS_CHILD_CHFC</v>
      </c>
      <c r="F1348" s="7" t="str">
        <f t="shared" si="170"/>
        <v>PERSON_ID</v>
      </c>
      <c r="G1348" s="7" t="s">
        <v>825</v>
      </c>
      <c r="H1348" s="7" t="str">
        <f t="shared" si="171"/>
        <v>CLK_KIDS_CHILD_CHFC</v>
      </c>
      <c r="I1348" s="7" t="str">
        <f t="shared" si="172"/>
        <v>PERSON_ID</v>
      </c>
      <c r="J1348" s="7" t="str">
        <f t="shared" si="173"/>
        <v>INTEGER</v>
      </c>
      <c r="K1348" s="7" t="str">
        <f>TRIM(ETLMetadata!$G1348)</f>
        <v>INTEGER</v>
      </c>
      <c r="L1348" s="7" t="str">
        <f>TRIM(ETLMetadata!$I1348)</f>
        <v/>
      </c>
      <c r="M1348" s="7" t="str">
        <f t="shared" si="174"/>
        <v>CAST(NULLIF(TRIM(PERSON_ID),'') AS INTEGER)</v>
      </c>
      <c r="N1348" s="7" t="str">
        <f>TRIM(ETLMetadata!$J1348)</f>
        <v>Y</v>
      </c>
      <c r="O1348" s="8" t="str">
        <f>IF(TRIM(Classification!$G1348)="","NOT CONFIDENTIAL",TRIM(Classification!$G1348))</f>
        <v>PERSONAL_IDENTITYINFODIRECT</v>
      </c>
      <c r="P1348" s="7" t="str">
        <f t="shared" si="175"/>
        <v>Y</v>
      </c>
      <c r="Q1348" s="7" t="s">
        <v>826</v>
      </c>
      <c r="R1348" s="9">
        <v>2958465</v>
      </c>
      <c r="S1348" s="7" t="s">
        <v>827</v>
      </c>
      <c r="T1348" s="7" t="s">
        <v>828</v>
      </c>
      <c r="U1348" s="7" t="str">
        <f t="shared" si="169"/>
        <v>CLK_KIDS_CHILD_CHFC_V</v>
      </c>
      <c r="V1348" s="7" t="s">
        <v>829</v>
      </c>
    </row>
    <row r="1349" spans="1:22">
      <c r="A1349" s="7" t="str">
        <f>TRIM(ETLMetadata!$B1349)</f>
        <v>CLK</v>
      </c>
      <c r="B1349" s="7" t="str">
        <f>TRIM(ETLMetadata!$C1349)</f>
        <v>KIDS_CHILD_CHFC</v>
      </c>
      <c r="C1349" s="7" t="str">
        <f>TRIM(ETLMetadata!$F1349)</f>
        <v>CHILD_SSR</v>
      </c>
      <c r="D1349" s="7" t="str">
        <f>TRIM(ETLMetadata!$H1349)</f>
        <v>StringType()</v>
      </c>
      <c r="E1349" s="7" t="str">
        <f t="shared" si="168"/>
        <v>CLK_KIDS_CHILD_CHFC</v>
      </c>
      <c r="F1349" s="7" t="str">
        <f t="shared" si="170"/>
        <v>CHILD_SSR</v>
      </c>
      <c r="G1349" s="7" t="s">
        <v>825</v>
      </c>
      <c r="H1349" s="7" t="str">
        <f t="shared" si="171"/>
        <v>CLK_KIDS_CHILD_CHFC</v>
      </c>
      <c r="I1349" s="7" t="str">
        <f t="shared" si="172"/>
        <v>CHILD_SSR</v>
      </c>
      <c r="J1349" s="7" t="str">
        <f t="shared" si="173"/>
        <v>INTEGER</v>
      </c>
      <c r="K1349" s="7" t="str">
        <f>TRIM(ETLMetadata!$G1349)</f>
        <v>INTEGER</v>
      </c>
      <c r="L1349" s="7" t="str">
        <f>TRIM(ETLMetadata!$I1349)</f>
        <v/>
      </c>
      <c r="M1349" s="7" t="str">
        <f t="shared" si="174"/>
        <v>CAST(NULLIF(TRIM(CHILD_SSR),'') AS INTEGER)</v>
      </c>
      <c r="N1349" s="7" t="str">
        <f>TRIM(ETLMetadata!$J1349)</f>
        <v>Y</v>
      </c>
      <c r="O1349" s="8" t="str">
        <f>IF(TRIM(Classification!$G1349)="","NOT CONFIDENTIAL",TRIM(Classification!$G1349))</f>
        <v>PERSONAL_IDENTITYINFODIRECT</v>
      </c>
      <c r="P1349" s="7" t="str">
        <f t="shared" si="175"/>
        <v>Y</v>
      </c>
      <c r="Q1349" s="7" t="s">
        <v>826</v>
      </c>
      <c r="R1349" s="9">
        <v>2958465</v>
      </c>
      <c r="S1349" s="7" t="s">
        <v>827</v>
      </c>
      <c r="T1349" s="7" t="s">
        <v>828</v>
      </c>
      <c r="U1349" s="7" t="str">
        <f t="shared" si="169"/>
        <v>CLK_KIDS_CHILD_CHFC_V</v>
      </c>
      <c r="V1349" s="7" t="s">
        <v>829</v>
      </c>
    </row>
    <row r="1350" spans="1:22">
      <c r="A1350" s="7" t="str">
        <f>TRIM(ETLMetadata!$B1350)</f>
        <v>CLK</v>
      </c>
      <c r="B1350" s="7" t="str">
        <f>TRIM(ETLMetadata!$C1350)</f>
        <v>KIDS_CHILD_CHFC</v>
      </c>
      <c r="C1350" s="7" t="str">
        <f>TRIM(ETLMetadata!$F1350)</f>
        <v>CHFC_DOV</v>
      </c>
      <c r="D1350" s="7" t="str">
        <f>TRIM(ETLMetadata!$H1350)</f>
        <v>StringType()</v>
      </c>
      <c r="E1350" s="7" t="str">
        <f t="shared" si="168"/>
        <v>CLK_KIDS_CHILD_CHFC</v>
      </c>
      <c r="F1350" s="7" t="str">
        <f t="shared" si="170"/>
        <v>CHFC_DOV</v>
      </c>
      <c r="G1350" s="7" t="s">
        <v>825</v>
      </c>
      <c r="H1350" s="7" t="str">
        <f t="shared" si="171"/>
        <v>CLK_KIDS_CHILD_CHFC</v>
      </c>
      <c r="I1350" s="7" t="str">
        <f t="shared" si="172"/>
        <v>CHFC_DOV</v>
      </c>
      <c r="J1350" s="7" t="str">
        <f t="shared" si="173"/>
        <v>DATE</v>
      </c>
      <c r="K1350" s="17" t="s">
        <v>80</v>
      </c>
      <c r="L1350" s="7" t="str">
        <f>TRIM(ETLMetadata!$I1350)</f>
        <v>YYYY-MM-DD</v>
      </c>
      <c r="M1350" s="7" t="str">
        <f t="shared" si="174"/>
        <v>TO_DATE(NULLIF(TRIM(CHFC_DOV),'') , 'YYYY-MM-DD')</v>
      </c>
      <c r="N1350" s="7" t="str">
        <f>TRIM(ETLMetadata!$J1350)</f>
        <v/>
      </c>
      <c r="O1350" s="8" t="str">
        <f>IF(TRIM(Classification!$G1350)="","NOT CONFIDENTIAL",TRIM(Classification!$G1350))</f>
        <v>NOT CONFIDENTIAL</v>
      </c>
      <c r="P1350" s="7" t="str">
        <f t="shared" si="175"/>
        <v>Y</v>
      </c>
      <c r="Q1350" s="7" t="s">
        <v>826</v>
      </c>
      <c r="R1350" s="9">
        <v>2958465</v>
      </c>
      <c r="S1350" s="7" t="s">
        <v>827</v>
      </c>
      <c r="T1350" s="7" t="s">
        <v>828</v>
      </c>
      <c r="U1350" s="7" t="str">
        <f t="shared" si="169"/>
        <v>CLK_KIDS_CHILD_CHFC_V</v>
      </c>
      <c r="V1350" s="7" t="s">
        <v>829</v>
      </c>
    </row>
    <row r="1351" spans="1:22">
      <c r="A1351" s="7" t="str">
        <f>TRIM(ETLMetadata!$B1351)</f>
        <v>CLK</v>
      </c>
      <c r="B1351" s="7" t="str">
        <f>TRIM(ETLMetadata!$C1351)</f>
        <v>KIDS_CHILD_CHFC</v>
      </c>
      <c r="C1351" s="7" t="str">
        <f>TRIM(ETLMetadata!$F1351)</f>
        <v>CHFC_DOV_ORIG</v>
      </c>
      <c r="D1351" s="7" t="str">
        <f>TRIM(ETLMetadata!$H1351)</f>
        <v>StringType()</v>
      </c>
      <c r="E1351" s="7" t="str">
        <f t="shared" si="168"/>
        <v>CLK_KIDS_CHILD_CHFC</v>
      </c>
      <c r="F1351" s="7" t="str">
        <f t="shared" si="170"/>
        <v>CHFC_DOV_ORIG</v>
      </c>
      <c r="G1351" s="7" t="s">
        <v>825</v>
      </c>
      <c r="H1351" s="7" t="str">
        <f t="shared" si="171"/>
        <v>CLK_KIDS_CHILD_CHFC</v>
      </c>
      <c r="I1351" s="7" t="str">
        <f t="shared" si="172"/>
        <v>CHFC_DOV_ORIG</v>
      </c>
      <c r="J1351" s="7" t="str">
        <f t="shared" si="173"/>
        <v>INTEGER</v>
      </c>
      <c r="K1351" s="17" t="s">
        <v>90</v>
      </c>
      <c r="L1351" s="7" t="str">
        <f>TRIM(ETLMetadata!$I1351)</f>
        <v/>
      </c>
      <c r="M1351" s="7" t="str">
        <f t="shared" si="174"/>
        <v>CAST(NULLIF(TRIM(CHFC_DOV_ORIG),'') AS INTEGER)</v>
      </c>
      <c r="N1351" s="7" t="str">
        <f>TRIM(ETLMetadata!$J1351)</f>
        <v/>
      </c>
      <c r="O1351" s="8" t="str">
        <f>IF(TRIM(Classification!$G1351)="","NOT CONFIDENTIAL",TRIM(Classification!$G1351))</f>
        <v>NOT CONFIDENTIAL</v>
      </c>
      <c r="P1351" s="7" t="str">
        <f t="shared" si="175"/>
        <v>Y</v>
      </c>
      <c r="Q1351" s="7" t="s">
        <v>826</v>
      </c>
      <c r="R1351" s="9">
        <v>2958465</v>
      </c>
      <c r="S1351" s="7" t="s">
        <v>827</v>
      </c>
      <c r="T1351" s="7" t="s">
        <v>828</v>
      </c>
      <c r="U1351" s="7" t="str">
        <f t="shared" si="169"/>
        <v>CLK_KIDS_CHILD_CHFC_V</v>
      </c>
      <c r="V1351" s="7" t="s">
        <v>829</v>
      </c>
    </row>
    <row r="1352" spans="1:22">
      <c r="A1352" s="7" t="str">
        <f>TRIM(ETLMetadata!$B1352)</f>
        <v>CLK</v>
      </c>
      <c r="B1352" s="7" t="str">
        <f>TRIM(ETLMetadata!$C1352)</f>
        <v>KIDS_CHILD_CHFC</v>
      </c>
      <c r="C1352" s="7" t="str">
        <f>TRIM(ETLMetadata!$F1352)</f>
        <v>PROCESSING_SEQUENCE</v>
      </c>
      <c r="D1352" s="7" t="str">
        <f>TRIM(ETLMetadata!$H1352)</f>
        <v>StringType()</v>
      </c>
      <c r="E1352" s="7" t="str">
        <f t="shared" si="168"/>
        <v>CLK_KIDS_CHILD_CHFC</v>
      </c>
      <c r="F1352" s="7" t="str">
        <f t="shared" si="170"/>
        <v>PROCESSING_SEQUENCE</v>
      </c>
      <c r="G1352" s="7" t="s">
        <v>825</v>
      </c>
      <c r="H1352" s="7" t="str">
        <f t="shared" si="171"/>
        <v>CLK_KIDS_CHILD_CHFC</v>
      </c>
      <c r="I1352" s="7" t="str">
        <f t="shared" si="172"/>
        <v>PROCESSING_SEQUENCE</v>
      </c>
      <c r="J1352" s="7" t="str">
        <f t="shared" si="173"/>
        <v>SMALLINT</v>
      </c>
      <c r="K1352" s="7" t="str">
        <f>TRIM(ETLMetadata!$G1352)</f>
        <v>SMALLINT</v>
      </c>
      <c r="L1352" s="7" t="str">
        <f>TRIM(ETLMetadata!$I1352)</f>
        <v/>
      </c>
      <c r="M1352" s="7" t="str">
        <f t="shared" si="174"/>
        <v>CAST(NULLIF(TRIM(PROCESSING_SEQUENCE),'') AS SMALLINT)</v>
      </c>
      <c r="N1352" s="7" t="str">
        <f>TRIM(ETLMetadata!$J1352)</f>
        <v>Y</v>
      </c>
      <c r="O1352" s="8" t="str">
        <f>IF(TRIM(Classification!$G1352)="","NOT CONFIDENTIAL",TRIM(Classification!$G1352))</f>
        <v>NOT CONFIDENTIAL</v>
      </c>
      <c r="P1352" s="7" t="str">
        <f t="shared" si="175"/>
        <v>Y</v>
      </c>
      <c r="Q1352" s="7" t="s">
        <v>826</v>
      </c>
      <c r="R1352" s="9">
        <v>2958465</v>
      </c>
      <c r="S1352" s="7" t="s">
        <v>827</v>
      </c>
      <c r="T1352" s="7" t="s">
        <v>828</v>
      </c>
      <c r="U1352" s="7" t="str">
        <f t="shared" si="169"/>
        <v>CLK_KIDS_CHILD_CHFC_V</v>
      </c>
      <c r="V1352" s="7" t="s">
        <v>829</v>
      </c>
    </row>
    <row r="1353" spans="1:22">
      <c r="A1353" s="7" t="str">
        <f>TRIM(ETLMetadata!$B1353)</f>
        <v>CLK</v>
      </c>
      <c r="B1353" s="7" t="str">
        <f>TRIM(ETLMetadata!$C1353)</f>
        <v>KIDS_CHILD_CHFC</v>
      </c>
      <c r="C1353" s="7" t="str">
        <f>TRIM(ETLMetadata!$F1353)</f>
        <v>CHFC_AMR_1</v>
      </c>
      <c r="D1353" s="7" t="str">
        <f>TRIM(ETLMetadata!$H1353)</f>
        <v>StringType()</v>
      </c>
      <c r="E1353" s="7" t="str">
        <f t="shared" si="168"/>
        <v>CLK_KIDS_CHILD_CHFC</v>
      </c>
      <c r="F1353" s="7" t="str">
        <f t="shared" si="170"/>
        <v>CHFC_AMR_1</v>
      </c>
      <c r="G1353" s="7" t="s">
        <v>825</v>
      </c>
      <c r="H1353" s="7" t="str">
        <f t="shared" si="171"/>
        <v>CLK_KIDS_CHILD_CHFC</v>
      </c>
      <c r="I1353" s="7" t="str">
        <f t="shared" si="172"/>
        <v>CHFC_AMR_1</v>
      </c>
      <c r="J1353" s="7" t="str">
        <f t="shared" si="173"/>
        <v>VARCHAR</v>
      </c>
      <c r="K1353" s="7" t="str">
        <f>TRIM(ETLMetadata!$G1353)</f>
        <v>CHAR(4)</v>
      </c>
      <c r="L1353" s="7" t="str">
        <f>TRIM(ETLMetadata!$I1353)</f>
        <v/>
      </c>
      <c r="M1353" s="7" t="str">
        <f t="shared" si="174"/>
        <v>NULLIF(TRIM(CHFC_AMR_1),'')</v>
      </c>
      <c r="N1353" s="7" t="str">
        <f>TRIM(ETLMetadata!$J1353)</f>
        <v/>
      </c>
      <c r="O1353" s="8" t="str">
        <f>IF(TRIM(Classification!$G1353)="","NOT CONFIDENTIAL",TRIM(Classification!$G1353))</f>
        <v>NOT CONFIDENTIAL</v>
      </c>
      <c r="P1353" s="7" t="str">
        <f t="shared" si="175"/>
        <v>Y</v>
      </c>
      <c r="Q1353" s="7" t="s">
        <v>826</v>
      </c>
      <c r="R1353" s="9">
        <v>2958465</v>
      </c>
      <c r="S1353" s="7" t="s">
        <v>827</v>
      </c>
      <c r="T1353" s="7" t="s">
        <v>828</v>
      </c>
      <c r="U1353" s="7" t="str">
        <f t="shared" si="169"/>
        <v>CLK_KIDS_CHILD_CHFC_V</v>
      </c>
      <c r="V1353" s="7" t="s">
        <v>829</v>
      </c>
    </row>
    <row r="1354" spans="1:22">
      <c r="A1354" s="7" t="str">
        <f>TRIM(ETLMetadata!$B1354)</f>
        <v>CLK</v>
      </c>
      <c r="B1354" s="7" t="str">
        <f>TRIM(ETLMetadata!$C1354)</f>
        <v>KIDS_CHILD_CHFC</v>
      </c>
      <c r="C1354" s="7" t="str">
        <f>TRIM(ETLMetadata!$F1354)</f>
        <v>CHFC_AMR_2</v>
      </c>
      <c r="D1354" s="7" t="str">
        <f>TRIM(ETLMetadata!$H1354)</f>
        <v>StringType()</v>
      </c>
      <c r="E1354" s="7" t="str">
        <f t="shared" si="168"/>
        <v>CLK_KIDS_CHILD_CHFC</v>
      </c>
      <c r="F1354" s="7" t="str">
        <f t="shared" si="170"/>
        <v>CHFC_AMR_2</v>
      </c>
      <c r="G1354" s="7" t="s">
        <v>825</v>
      </c>
      <c r="H1354" s="7" t="str">
        <f t="shared" si="171"/>
        <v>CLK_KIDS_CHILD_CHFC</v>
      </c>
      <c r="I1354" s="7" t="str">
        <f t="shared" si="172"/>
        <v>CHFC_AMR_2</v>
      </c>
      <c r="J1354" s="7" t="str">
        <f t="shared" si="173"/>
        <v>VARCHAR</v>
      </c>
      <c r="K1354" s="7" t="str">
        <f>TRIM(ETLMetadata!$G1354)</f>
        <v>CHAR(1)</v>
      </c>
      <c r="L1354" s="7" t="str">
        <f>TRIM(ETLMetadata!$I1354)</f>
        <v/>
      </c>
      <c r="M1354" s="7" t="str">
        <f t="shared" si="174"/>
        <v>NULLIF(TRIM(CHFC_AMR_2),'')</v>
      </c>
      <c r="N1354" s="7" t="str">
        <f>TRIM(ETLMetadata!$J1354)</f>
        <v/>
      </c>
      <c r="O1354" s="8" t="str">
        <f>IF(TRIM(Classification!$G1354)="","NOT CONFIDENTIAL",TRIM(Classification!$G1354))</f>
        <v>NOT CONFIDENTIAL</v>
      </c>
      <c r="P1354" s="7" t="str">
        <f t="shared" si="175"/>
        <v>Y</v>
      </c>
      <c r="Q1354" s="7" t="s">
        <v>826</v>
      </c>
      <c r="R1354" s="9">
        <v>2958465</v>
      </c>
      <c r="S1354" s="7" t="s">
        <v>827</v>
      </c>
      <c r="T1354" s="7" t="s">
        <v>828</v>
      </c>
      <c r="U1354" s="7" t="str">
        <f t="shared" si="169"/>
        <v>CLK_KIDS_CHILD_CHFC_V</v>
      </c>
      <c r="V1354" s="7" t="s">
        <v>829</v>
      </c>
    </row>
    <row r="1355" spans="1:22">
      <c r="A1355" s="7" t="str">
        <f>TRIM(ETLMetadata!$B1355)</f>
        <v>CLK</v>
      </c>
      <c r="B1355" s="7" t="str">
        <f>TRIM(ETLMetadata!$C1355)</f>
        <v>KIDS_CHILD_CHFC</v>
      </c>
      <c r="C1355" s="7" t="str">
        <f>TRIM(ETLMetadata!$F1355)</f>
        <v>CHFC_AMR_3</v>
      </c>
      <c r="D1355" s="7" t="str">
        <f>TRIM(ETLMetadata!$H1355)</f>
        <v>StringType()</v>
      </c>
      <c r="E1355" s="7" t="str">
        <f t="shared" si="168"/>
        <v>CLK_KIDS_CHILD_CHFC</v>
      </c>
      <c r="F1355" s="7" t="str">
        <f t="shared" si="170"/>
        <v>CHFC_AMR_3</v>
      </c>
      <c r="G1355" s="7" t="s">
        <v>825</v>
      </c>
      <c r="H1355" s="7" t="str">
        <f t="shared" si="171"/>
        <v>CLK_KIDS_CHILD_CHFC</v>
      </c>
      <c r="I1355" s="7" t="str">
        <f t="shared" si="172"/>
        <v>CHFC_AMR_3</v>
      </c>
      <c r="J1355" s="7" t="str">
        <f t="shared" si="173"/>
        <v>VARCHAR</v>
      </c>
      <c r="K1355" s="7" t="str">
        <f>TRIM(ETLMetadata!$G1355)</f>
        <v>CHAR(4)</v>
      </c>
      <c r="L1355" s="7" t="str">
        <f>TRIM(ETLMetadata!$I1355)</f>
        <v/>
      </c>
      <c r="M1355" s="7" t="str">
        <f t="shared" si="174"/>
        <v>NULLIF(TRIM(CHFC_AMR_3),'')</v>
      </c>
      <c r="N1355" s="7" t="str">
        <f>TRIM(ETLMetadata!$J1355)</f>
        <v/>
      </c>
      <c r="O1355" s="8" t="str">
        <f>IF(TRIM(Classification!$G1355)="","NOT CONFIDENTIAL",TRIM(Classification!$G1355))</f>
        <v>NOT CONFIDENTIAL</v>
      </c>
      <c r="P1355" s="7" t="str">
        <f t="shared" si="175"/>
        <v>Y</v>
      </c>
      <c r="Q1355" s="7" t="s">
        <v>826</v>
      </c>
      <c r="R1355" s="9">
        <v>2958465</v>
      </c>
      <c r="S1355" s="7" t="s">
        <v>827</v>
      </c>
      <c r="T1355" s="7" t="s">
        <v>828</v>
      </c>
      <c r="U1355" s="7" t="str">
        <f t="shared" si="169"/>
        <v>CLK_KIDS_CHILD_CHFC_V</v>
      </c>
      <c r="V1355" s="7" t="s">
        <v>829</v>
      </c>
    </row>
    <row r="1356" spans="1:22">
      <c r="A1356" s="7" t="str">
        <f>TRIM(ETLMetadata!$B1356)</f>
        <v>CLK</v>
      </c>
      <c r="B1356" s="7" t="str">
        <f>TRIM(ETLMetadata!$C1356)</f>
        <v>KIDS_CHILD_CHFC</v>
      </c>
      <c r="C1356" s="7" t="str">
        <f>TRIM(ETLMetadata!$F1356)</f>
        <v>CHFC_FOSTER_CARE_MI_TYPE_CODE</v>
      </c>
      <c r="D1356" s="7" t="str">
        <f>TRIM(ETLMetadata!$H1356)</f>
        <v>StringType()</v>
      </c>
      <c r="E1356" s="7" t="str">
        <f t="shared" si="168"/>
        <v>CLK_KIDS_CHILD_CHFC</v>
      </c>
      <c r="F1356" s="7" t="str">
        <f t="shared" si="170"/>
        <v>CHFC_FOSTER_CARE_MI_TYPE_CODE</v>
      </c>
      <c r="G1356" s="7" t="s">
        <v>825</v>
      </c>
      <c r="H1356" s="7" t="str">
        <f t="shared" si="171"/>
        <v>CLK_KIDS_CHILD_CHFC</v>
      </c>
      <c r="I1356" s="7" t="str">
        <f t="shared" si="172"/>
        <v>CHFC_FOSTER_CARE_MI_TYPE_CODE</v>
      </c>
      <c r="J1356" s="7" t="str">
        <f t="shared" si="173"/>
        <v>VARCHAR</v>
      </c>
      <c r="K1356" s="7" t="str">
        <f>TRIM(ETLMetadata!$G1356)</f>
        <v>CHAR(3)</v>
      </c>
      <c r="L1356" s="7" t="str">
        <f>TRIM(ETLMetadata!$I1356)</f>
        <v/>
      </c>
      <c r="M1356" s="7" t="str">
        <f t="shared" si="174"/>
        <v>NULLIF(TRIM(CHFC_FOSTER_CARE_MI_TYPE_CODE),'')</v>
      </c>
      <c r="N1356" s="7" t="str">
        <f>TRIM(ETLMetadata!$J1356)</f>
        <v/>
      </c>
      <c r="O1356" s="8" t="str">
        <f>IF(TRIM(Classification!$G1356)="","NOT CONFIDENTIAL",TRIM(Classification!$G1356))</f>
        <v>NOT CONFIDENTIAL</v>
      </c>
      <c r="P1356" s="7" t="str">
        <f t="shared" si="175"/>
        <v>Y</v>
      </c>
      <c r="Q1356" s="7" t="s">
        <v>826</v>
      </c>
      <c r="R1356" s="9">
        <v>2958465</v>
      </c>
      <c r="S1356" s="7" t="s">
        <v>827</v>
      </c>
      <c r="T1356" s="7" t="s">
        <v>828</v>
      </c>
      <c r="U1356" s="7" t="str">
        <f t="shared" si="169"/>
        <v>CLK_KIDS_CHILD_CHFC_V</v>
      </c>
      <c r="V1356" s="7" t="s">
        <v>829</v>
      </c>
    </row>
    <row r="1357" spans="1:22">
      <c r="A1357" s="7" t="str">
        <f>TRIM(ETLMetadata!$B1357)</f>
        <v>CLK</v>
      </c>
      <c r="B1357" s="7" t="str">
        <f>TRIM(ETLMetadata!$C1357)</f>
        <v>KIDS_CHILD_CHFC</v>
      </c>
      <c r="C1357" s="7" t="str">
        <f>TRIM(ETLMetadata!$F1357)</f>
        <v>CHFC_FOSTER_CHILD_IND</v>
      </c>
      <c r="D1357" s="7" t="str">
        <f>TRIM(ETLMetadata!$H1357)</f>
        <v>StringType()</v>
      </c>
      <c r="E1357" s="7" t="str">
        <f t="shared" si="168"/>
        <v>CLK_KIDS_CHILD_CHFC</v>
      </c>
      <c r="F1357" s="7" t="str">
        <f t="shared" si="170"/>
        <v>CHFC_FOSTER_CHILD_IND</v>
      </c>
      <c r="G1357" s="7" t="s">
        <v>825</v>
      </c>
      <c r="H1357" s="7" t="str">
        <f t="shared" si="171"/>
        <v>CLK_KIDS_CHILD_CHFC</v>
      </c>
      <c r="I1357" s="7" t="str">
        <f t="shared" si="172"/>
        <v>CHFC_FOSTER_CHILD_IND</v>
      </c>
      <c r="J1357" s="7" t="str">
        <f t="shared" si="173"/>
        <v>VARCHAR</v>
      </c>
      <c r="K1357" s="7" t="str">
        <f>TRIM(ETLMetadata!$G1357)</f>
        <v>CHAR(1)</v>
      </c>
      <c r="L1357" s="7" t="str">
        <f>TRIM(ETLMetadata!$I1357)</f>
        <v/>
      </c>
      <c r="M1357" s="7" t="str">
        <f t="shared" si="174"/>
        <v>NULLIF(TRIM(CHFC_FOSTER_CHILD_IND),'')</v>
      </c>
      <c r="N1357" s="7" t="str">
        <f>TRIM(ETLMetadata!$J1357)</f>
        <v/>
      </c>
      <c r="O1357" s="8" t="str">
        <f>IF(TRIM(Classification!$G1357)="","NOT CONFIDENTIAL",TRIM(Classification!$G1357))</f>
        <v>NOT CONFIDENTIAL</v>
      </c>
      <c r="P1357" s="7" t="str">
        <f t="shared" si="175"/>
        <v>Y</v>
      </c>
      <c r="Q1357" s="7" t="s">
        <v>826</v>
      </c>
      <c r="R1357" s="9">
        <v>2958465</v>
      </c>
      <c r="S1357" s="7" t="s">
        <v>827</v>
      </c>
      <c r="T1357" s="7" t="s">
        <v>828</v>
      </c>
      <c r="U1357" s="7" t="str">
        <f t="shared" si="169"/>
        <v>CLK_KIDS_CHILD_CHFC_V</v>
      </c>
      <c r="V1357" s="7" t="s">
        <v>829</v>
      </c>
    </row>
    <row r="1358" spans="1:22">
      <c r="A1358" s="7" t="str">
        <f>TRIM(ETLMetadata!$B1358)</f>
        <v>CLK</v>
      </c>
      <c r="B1358" s="7" t="str">
        <f>TRIM(ETLMetadata!$C1358)</f>
        <v>KIDS_CHILD_CHFC</v>
      </c>
      <c r="C1358" s="7" t="str">
        <f>TRIM(ETLMetadata!$F1358)</f>
        <v>CHFC_FOSTER_CHILD_ORIG_FAM_IND</v>
      </c>
      <c r="D1358" s="7" t="str">
        <f>TRIM(ETLMetadata!$H1358)</f>
        <v>StringType()</v>
      </c>
      <c r="E1358" s="7" t="str">
        <f t="shared" si="168"/>
        <v>CLK_KIDS_CHILD_CHFC</v>
      </c>
      <c r="F1358" s="7" t="str">
        <f t="shared" si="170"/>
        <v>CHFC_FOSTER_CHILD_ORIG_FAM_IND</v>
      </c>
      <c r="G1358" s="7" t="s">
        <v>825</v>
      </c>
      <c r="H1358" s="7" t="str">
        <f t="shared" si="171"/>
        <v>CLK_KIDS_CHILD_CHFC</v>
      </c>
      <c r="I1358" s="7" t="str">
        <f t="shared" si="172"/>
        <v>CHFC_FOSTER_CHILD_ORIG_FAM_IND</v>
      </c>
      <c r="J1358" s="7" t="str">
        <f t="shared" si="173"/>
        <v>VARCHAR</v>
      </c>
      <c r="K1358" s="7" t="str">
        <f>TRIM(ETLMetadata!$G1358)</f>
        <v>CHAR(1)</v>
      </c>
      <c r="L1358" s="7" t="str">
        <f>TRIM(ETLMetadata!$I1358)</f>
        <v/>
      </c>
      <c r="M1358" s="7" t="str">
        <f t="shared" si="174"/>
        <v>NULLIF(TRIM(CHFC_FOSTER_CHILD_ORIG_FAM_IND),'')</v>
      </c>
      <c r="N1358" s="7" t="str">
        <f>TRIM(ETLMetadata!$J1358)</f>
        <v/>
      </c>
      <c r="O1358" s="8" t="str">
        <f>IF(TRIM(Classification!$G1358)="","NOT CONFIDENTIAL",TRIM(Classification!$G1358))</f>
        <v>NOT CONFIDENTIAL</v>
      </c>
      <c r="P1358" s="7" t="str">
        <f t="shared" si="175"/>
        <v>Y</v>
      </c>
      <c r="Q1358" s="7" t="s">
        <v>826</v>
      </c>
      <c r="R1358" s="9">
        <v>2958465</v>
      </c>
      <c r="S1358" s="7" t="s">
        <v>827</v>
      </c>
      <c r="T1358" s="7" t="s">
        <v>828</v>
      </c>
      <c r="U1358" s="7" t="str">
        <f t="shared" si="169"/>
        <v>CLK_KIDS_CHILD_CHFC_V</v>
      </c>
      <c r="V1358" s="7" t="s">
        <v>829</v>
      </c>
    </row>
    <row r="1359" spans="1:22">
      <c r="A1359" s="7" t="str">
        <f>TRIM(ETLMetadata!$B1359)</f>
        <v>CLK</v>
      </c>
      <c r="B1359" s="7" t="str">
        <f>TRIM(ETLMetadata!$C1359)</f>
        <v>KIDS_CHILD_CHFC</v>
      </c>
      <c r="C1359" s="7" t="str">
        <f>TRIM(ETLMetadata!$F1359)</f>
        <v>CHFC_UNIQ_ID</v>
      </c>
      <c r="D1359" s="7" t="str">
        <f>TRIM(ETLMetadata!$H1359)</f>
        <v>StringType()</v>
      </c>
      <c r="E1359" s="7" t="str">
        <f t="shared" si="168"/>
        <v>CLK_KIDS_CHILD_CHFC</v>
      </c>
      <c r="F1359" s="7" t="str">
        <f t="shared" si="170"/>
        <v>CHFC_UNIQ_ID</v>
      </c>
      <c r="G1359" s="7" t="s">
        <v>825</v>
      </c>
      <c r="H1359" s="7" t="str">
        <f t="shared" si="171"/>
        <v>CLK_KIDS_CHILD_CHFC</v>
      </c>
      <c r="I1359" s="7" t="str">
        <f t="shared" si="172"/>
        <v>CHFC_UNIQ_ID</v>
      </c>
      <c r="J1359" s="7" t="str">
        <f t="shared" si="173"/>
        <v>VARCHAR</v>
      </c>
      <c r="K1359" s="7" t="str">
        <f>TRIM(ETLMetadata!$G1359)</f>
        <v>VARCHAR(8)</v>
      </c>
      <c r="L1359" s="7" t="str">
        <f>TRIM(ETLMetadata!$I1359)</f>
        <v/>
      </c>
      <c r="M1359" s="7" t="str">
        <f t="shared" si="174"/>
        <v>NULLIF(TRIM(CHFC_UNIQ_ID),'')</v>
      </c>
      <c r="N1359" s="7" t="str">
        <f>TRIM(ETLMetadata!$J1359)</f>
        <v/>
      </c>
      <c r="O1359" s="8" t="str">
        <f>IF(TRIM(Classification!$G1359)="","NOT CONFIDENTIAL",TRIM(Classification!$G1359))</f>
        <v>NOT CONFIDENTIAL</v>
      </c>
      <c r="P1359" s="7" t="str">
        <f t="shared" si="175"/>
        <v>Y</v>
      </c>
      <c r="Q1359" s="7" t="s">
        <v>826</v>
      </c>
      <c r="R1359" s="9">
        <v>2958465</v>
      </c>
      <c r="S1359" s="7" t="s">
        <v>827</v>
      </c>
      <c r="T1359" s="7" t="s">
        <v>828</v>
      </c>
      <c r="U1359" s="7" t="str">
        <f t="shared" si="169"/>
        <v>CLK_KIDS_CHILD_CHFC_V</v>
      </c>
      <c r="V1359" s="7" t="s">
        <v>829</v>
      </c>
    </row>
    <row r="1360" spans="1:22">
      <c r="A1360" s="7" t="str">
        <f>TRIM(ETLMetadata!$B1360)</f>
        <v>CLK</v>
      </c>
      <c r="B1360" s="7" t="str">
        <f>TRIM(ETLMetadata!$C1360)</f>
        <v>KIDS_CHILD_CHFC</v>
      </c>
      <c r="C1360" s="7" t="str">
        <f>TRIM(ETLMetadata!$F1360)</f>
        <v>AMR1_RISL_DTS</v>
      </c>
      <c r="D1360" s="7" t="str">
        <f>TRIM(ETLMetadata!$H1360)</f>
        <v>StringType()</v>
      </c>
      <c r="E1360" s="7" t="str">
        <f t="shared" si="168"/>
        <v>CLK_KIDS_CHILD_CHFC</v>
      </c>
      <c r="F1360" s="7" t="str">
        <f t="shared" si="170"/>
        <v>AMR1_RISL_DTS</v>
      </c>
      <c r="G1360" s="7" t="s">
        <v>825</v>
      </c>
      <c r="H1360" s="7" t="str">
        <f t="shared" si="171"/>
        <v>CLK_KIDS_CHILD_CHFC</v>
      </c>
      <c r="I1360" s="7" t="str">
        <f t="shared" si="172"/>
        <v>AMR1_RISL_DTS</v>
      </c>
      <c r="J1360" s="7" t="str">
        <f t="shared" si="173"/>
        <v>TIMESTAMP</v>
      </c>
      <c r="K1360" s="7" t="str">
        <f>TRIM(ETLMetadata!$G1360)</f>
        <v>TIMESTAMP(6)</v>
      </c>
      <c r="L1360" s="7" t="str">
        <f>TRIM(ETLMetadata!$I1360)</f>
        <v>YYYY-MM-DDBHH:MI:SS.S(6)</v>
      </c>
      <c r="M1360" s="7" t="str">
        <f t="shared" si="174"/>
        <v>TO_TIMESTAMP_NTZ(NULLIF(TRIM(AMR1_RISL_DTS),''),'YYYY-MM-DD HH24:MI:SS.FF6')</v>
      </c>
      <c r="N1360" s="7" t="str">
        <f>TRIM(ETLMetadata!$J1360)</f>
        <v/>
      </c>
      <c r="O1360" s="8" t="str">
        <f>IF(TRIM(Classification!$G1360)="","NOT CONFIDENTIAL",TRIM(Classification!$G1360))</f>
        <v>NOT CONFIDENTIAL</v>
      </c>
      <c r="P1360" s="7" t="str">
        <f t="shared" si="175"/>
        <v>Y</v>
      </c>
      <c r="Q1360" s="7" t="s">
        <v>826</v>
      </c>
      <c r="R1360" s="9">
        <v>2958465</v>
      </c>
      <c r="S1360" s="7" t="s">
        <v>827</v>
      </c>
      <c r="T1360" s="7" t="s">
        <v>828</v>
      </c>
      <c r="U1360" s="7" t="str">
        <f t="shared" si="169"/>
        <v>CLK_KIDS_CHILD_CHFC_V</v>
      </c>
      <c r="V1360" s="7" t="s">
        <v>829</v>
      </c>
    </row>
    <row r="1361" spans="1:22">
      <c r="A1361" s="7" t="str">
        <f>TRIM(ETLMetadata!$B1361)</f>
        <v>CLK</v>
      </c>
      <c r="B1361" s="7" t="str">
        <f>TRIM(ETLMetadata!$C1361)</f>
        <v>KIDS_CHILD_CHFC</v>
      </c>
      <c r="C1361" s="7" t="str">
        <f>TRIM(ETLMetadata!$F1361)</f>
        <v>AMR3_RISL_DTS</v>
      </c>
      <c r="D1361" s="7" t="str">
        <f>TRIM(ETLMetadata!$H1361)</f>
        <v>StringType()</v>
      </c>
      <c r="E1361" s="7" t="str">
        <f t="shared" si="168"/>
        <v>CLK_KIDS_CHILD_CHFC</v>
      </c>
      <c r="F1361" s="7" t="str">
        <f t="shared" si="170"/>
        <v>AMR3_RISL_DTS</v>
      </c>
      <c r="G1361" s="7" t="s">
        <v>825</v>
      </c>
      <c r="H1361" s="7" t="str">
        <f t="shared" si="171"/>
        <v>CLK_KIDS_CHILD_CHFC</v>
      </c>
      <c r="I1361" s="7" t="str">
        <f t="shared" si="172"/>
        <v>AMR3_RISL_DTS</v>
      </c>
      <c r="J1361" s="7" t="str">
        <f t="shared" si="173"/>
        <v>TIMESTAMP</v>
      </c>
      <c r="K1361" s="7" t="str">
        <f>TRIM(ETLMetadata!$G1361)</f>
        <v>TIMESTAMP(6)</v>
      </c>
      <c r="L1361" s="7" t="str">
        <f>TRIM(ETLMetadata!$I1361)</f>
        <v>YYYY-MM-DDBHH:MI:SS.S(6)</v>
      </c>
      <c r="M1361" s="7" t="str">
        <f t="shared" si="174"/>
        <v>TO_TIMESTAMP_NTZ(NULLIF(TRIM(AMR3_RISL_DTS),''),'YYYY-MM-DD HH24:MI:SS.FF6')</v>
      </c>
      <c r="N1361" s="7" t="str">
        <f>TRIM(ETLMetadata!$J1361)</f>
        <v/>
      </c>
      <c r="O1361" s="8" t="str">
        <f>IF(TRIM(Classification!$G1361)="","NOT CONFIDENTIAL",TRIM(Classification!$G1361))</f>
        <v>NOT CONFIDENTIAL</v>
      </c>
      <c r="P1361" s="7" t="str">
        <f t="shared" si="175"/>
        <v>Y</v>
      </c>
      <c r="Q1361" s="7" t="s">
        <v>826</v>
      </c>
      <c r="R1361" s="9">
        <v>2958465</v>
      </c>
      <c r="S1361" s="7" t="s">
        <v>827</v>
      </c>
      <c r="T1361" s="7" t="s">
        <v>828</v>
      </c>
      <c r="U1361" s="7" t="str">
        <f t="shared" si="169"/>
        <v>CLK_KIDS_CHILD_CHFC_V</v>
      </c>
      <c r="V1361" s="7" t="s">
        <v>829</v>
      </c>
    </row>
    <row r="1362" spans="1:22">
      <c r="A1362" s="7" t="str">
        <f>TRIM(ETLMetadata!$B1362)</f>
        <v>CLK</v>
      </c>
      <c r="B1362" s="7" t="str">
        <f>TRIM(ETLMetadata!$C1362)</f>
        <v>KIDS_CHILD_CHFC</v>
      </c>
      <c r="C1362" s="7" t="str">
        <f>TRIM(ETLMetadata!$F1362)</f>
        <v>CHILD_PARTY_ROLE_ID</v>
      </c>
      <c r="D1362" s="7" t="str">
        <f>TRIM(ETLMetadata!$H1362)</f>
        <v>StringType()</v>
      </c>
      <c r="E1362" s="7" t="str">
        <f t="shared" si="168"/>
        <v>CLK_KIDS_CHILD_CHFC</v>
      </c>
      <c r="F1362" s="7" t="str">
        <f t="shared" si="170"/>
        <v>CHILD_PARTY_ROLE_ID</v>
      </c>
      <c r="G1362" s="7" t="s">
        <v>825</v>
      </c>
      <c r="H1362" s="7" t="str">
        <f t="shared" si="171"/>
        <v>CLK_KIDS_CHILD_CHFC</v>
      </c>
      <c r="I1362" s="7" t="str">
        <f t="shared" si="172"/>
        <v>CHILD_PARTY_ROLE_ID</v>
      </c>
      <c r="J1362" s="7" t="str">
        <f t="shared" si="173"/>
        <v>INTEGER</v>
      </c>
      <c r="K1362" s="7" t="str">
        <f>TRIM(ETLMetadata!$G1362)</f>
        <v>INTEGER</v>
      </c>
      <c r="L1362" s="7" t="str">
        <f>TRIM(ETLMetadata!$I1362)</f>
        <v/>
      </c>
      <c r="M1362" s="7" t="str">
        <f t="shared" si="174"/>
        <v>CAST(NULLIF(TRIM(CHILD_PARTY_ROLE_ID),'') AS INTEGER)</v>
      </c>
      <c r="N1362" s="7" t="str">
        <f>TRIM(ETLMetadata!$J1362)</f>
        <v/>
      </c>
      <c r="O1362" s="8" t="str">
        <f>IF(TRIM(Classification!$G1362)="","NOT CONFIDENTIAL",TRIM(Classification!$G1362))</f>
        <v>NOT CONFIDENTIAL</v>
      </c>
      <c r="P1362" s="7" t="str">
        <f t="shared" si="175"/>
        <v>Y</v>
      </c>
      <c r="Q1362" s="7" t="s">
        <v>826</v>
      </c>
      <c r="R1362" s="9">
        <v>2958465</v>
      </c>
      <c r="S1362" s="7" t="s">
        <v>827</v>
      </c>
      <c r="T1362" s="7" t="s">
        <v>828</v>
      </c>
      <c r="U1362" s="7" t="str">
        <f t="shared" si="169"/>
        <v>CLK_KIDS_CHILD_CHFC_V</v>
      </c>
      <c r="V1362" s="7" t="s">
        <v>829</v>
      </c>
    </row>
    <row r="1363" spans="1:22">
      <c r="A1363" s="7" t="str">
        <f>TRIM(ETLMetadata!$B1363)</f>
        <v>CLK</v>
      </c>
      <c r="B1363" s="7" t="str">
        <f>TRIM(ETLMetadata!$C1363)</f>
        <v>KIDS_CHILD_CHFC</v>
      </c>
      <c r="C1363" s="7" t="str">
        <f>TRIM(ETLMetadata!$F1363)</f>
        <v>PARTY_ROLE_ID</v>
      </c>
      <c r="D1363" s="7" t="str">
        <f>TRIM(ETLMetadata!$H1363)</f>
        <v>StringType()</v>
      </c>
      <c r="E1363" s="7" t="str">
        <f t="shared" si="168"/>
        <v>CLK_KIDS_CHILD_CHFC</v>
      </c>
      <c r="F1363" s="7" t="str">
        <f t="shared" si="170"/>
        <v>PARTY_ROLE_ID</v>
      </c>
      <c r="G1363" s="7" t="s">
        <v>825</v>
      </c>
      <c r="H1363" s="7" t="str">
        <f t="shared" si="171"/>
        <v>CLK_KIDS_CHILD_CHFC</v>
      </c>
      <c r="I1363" s="7" t="str">
        <f t="shared" si="172"/>
        <v>PARTY_ROLE_ID</v>
      </c>
      <c r="J1363" s="7" t="str">
        <f t="shared" si="173"/>
        <v>INTEGER</v>
      </c>
      <c r="K1363" s="7" t="str">
        <f>TRIM(ETLMetadata!$G1363)</f>
        <v>INTEGER</v>
      </c>
      <c r="L1363" s="7" t="str">
        <f>TRIM(ETLMetadata!$I1363)</f>
        <v/>
      </c>
      <c r="M1363" s="7" t="str">
        <f t="shared" si="174"/>
        <v>CAST(NULLIF(TRIM(PARTY_ROLE_ID),'') AS INTEGER)</v>
      </c>
      <c r="N1363" s="7" t="str">
        <f>TRIM(ETLMetadata!$J1363)</f>
        <v/>
      </c>
      <c r="O1363" s="8" t="str">
        <f>IF(TRIM(Classification!$G1363)="","NOT CONFIDENTIAL",TRIM(Classification!$G1363))</f>
        <v>NOT CONFIDENTIAL</v>
      </c>
      <c r="P1363" s="7" t="str">
        <f t="shared" si="175"/>
        <v>Y</v>
      </c>
      <c r="Q1363" s="7" t="s">
        <v>826</v>
      </c>
      <c r="R1363" s="9">
        <v>2958465</v>
      </c>
      <c r="S1363" s="7" t="s">
        <v>827</v>
      </c>
      <c r="T1363" s="7" t="s">
        <v>828</v>
      </c>
      <c r="U1363" s="7" t="str">
        <f t="shared" si="169"/>
        <v>CLK_KIDS_CHILD_CHFC_V</v>
      </c>
      <c r="V1363" s="7" t="s">
        <v>829</v>
      </c>
    </row>
    <row r="1364" spans="1:22">
      <c r="A1364" s="7" t="str">
        <f>TRIM(ETLMetadata!$B1364)</f>
        <v>CLK</v>
      </c>
      <c r="B1364" s="7" t="str">
        <f>TRIM(ETLMetadata!$C1364)</f>
        <v>KIDS_CHILD_CHFC</v>
      </c>
      <c r="C1364" s="7" t="str">
        <f>TRIM(ETLMetadata!$F1364)</f>
        <v>RELATED_PARTY_ROLE_ID</v>
      </c>
      <c r="D1364" s="7" t="str">
        <f>TRIM(ETLMetadata!$H1364)</f>
        <v>StringType()</v>
      </c>
      <c r="E1364" s="7" t="str">
        <f t="shared" si="168"/>
        <v>CLK_KIDS_CHILD_CHFC</v>
      </c>
      <c r="F1364" s="7" t="str">
        <f t="shared" si="170"/>
        <v>RELATED_PARTY_ROLE_ID</v>
      </c>
      <c r="G1364" s="7" t="s">
        <v>825</v>
      </c>
      <c r="H1364" s="7" t="str">
        <f t="shared" si="171"/>
        <v>CLK_KIDS_CHILD_CHFC</v>
      </c>
      <c r="I1364" s="7" t="str">
        <f t="shared" si="172"/>
        <v>RELATED_PARTY_ROLE_ID</v>
      </c>
      <c r="J1364" s="7" t="str">
        <f t="shared" si="173"/>
        <v>INTEGER</v>
      </c>
      <c r="K1364" s="7" t="str">
        <f>TRIM(ETLMetadata!$G1364)</f>
        <v>INTEGER</v>
      </c>
      <c r="L1364" s="7" t="str">
        <f>TRIM(ETLMetadata!$I1364)</f>
        <v/>
      </c>
      <c r="M1364" s="7" t="str">
        <f t="shared" si="174"/>
        <v>CAST(NULLIF(TRIM(RELATED_PARTY_ROLE_ID),'') AS INTEGER)</v>
      </c>
      <c r="N1364" s="7" t="str">
        <f>TRIM(ETLMetadata!$J1364)</f>
        <v/>
      </c>
      <c r="O1364" s="8" t="str">
        <f>IF(TRIM(Classification!$G1364)="","NOT CONFIDENTIAL",TRIM(Classification!$G1364))</f>
        <v>NOT CONFIDENTIAL</v>
      </c>
      <c r="P1364" s="7" t="str">
        <f t="shared" si="175"/>
        <v>Y</v>
      </c>
      <c r="Q1364" s="7" t="s">
        <v>826</v>
      </c>
      <c r="R1364" s="9">
        <v>2958465</v>
      </c>
      <c r="S1364" s="7" t="s">
        <v>827</v>
      </c>
      <c r="T1364" s="7" t="s">
        <v>828</v>
      </c>
      <c r="U1364" s="7" t="str">
        <f t="shared" si="169"/>
        <v>CLK_KIDS_CHILD_CHFC_V</v>
      </c>
      <c r="V1364" s="7" t="s">
        <v>829</v>
      </c>
    </row>
    <row r="1365" spans="1:22">
      <c r="A1365" s="7" t="str">
        <f>TRIM(ETLMetadata!$B1365)</f>
        <v>CLK</v>
      </c>
      <c r="B1365" s="7" t="str">
        <f>TRIM(ETLMetadata!$C1365)</f>
        <v>KIDS_CHILD_CHFC</v>
      </c>
      <c r="C1365" s="7" t="str">
        <f>TRIM(ETLMetadata!$F1365)</f>
        <v>ERROR_COUNT</v>
      </c>
      <c r="D1365" s="7" t="str">
        <f>TRIM(ETLMetadata!$H1365)</f>
        <v>StringType()</v>
      </c>
      <c r="E1365" s="7" t="str">
        <f t="shared" si="168"/>
        <v>CLK_KIDS_CHILD_CHFC</v>
      </c>
      <c r="F1365" s="7" t="str">
        <f t="shared" si="170"/>
        <v>ERROR_COUNT</v>
      </c>
      <c r="G1365" s="7" t="s">
        <v>825</v>
      </c>
      <c r="H1365" s="7" t="str">
        <f t="shared" si="171"/>
        <v>CLK_KIDS_CHILD_CHFC</v>
      </c>
      <c r="I1365" s="7" t="str">
        <f t="shared" si="172"/>
        <v>ERROR_COUNT</v>
      </c>
      <c r="J1365" s="7" t="str">
        <f t="shared" si="173"/>
        <v>SMALLINT</v>
      </c>
      <c r="K1365" s="7" t="str">
        <f>TRIM(ETLMetadata!$G1365)</f>
        <v>SMALLINT</v>
      </c>
      <c r="L1365" s="7" t="str">
        <f>TRIM(ETLMetadata!$I1365)</f>
        <v/>
      </c>
      <c r="M1365" s="7" t="str">
        <f t="shared" si="174"/>
        <v>CAST(NULLIF(TRIM(ERROR_COUNT),'') AS SMALLINT)</v>
      </c>
      <c r="N1365" s="7" t="str">
        <f>TRIM(ETLMetadata!$J1365)</f>
        <v/>
      </c>
      <c r="O1365" s="8" t="str">
        <f>IF(TRIM(Classification!$G1365)="","NOT CONFIDENTIAL",TRIM(Classification!$G1365))</f>
        <v>NOT CONFIDENTIAL</v>
      </c>
      <c r="P1365" s="7" t="str">
        <f t="shared" si="175"/>
        <v>Y</v>
      </c>
      <c r="Q1365" s="7" t="s">
        <v>826</v>
      </c>
      <c r="R1365" s="9">
        <v>2958465</v>
      </c>
      <c r="S1365" s="7" t="s">
        <v>827</v>
      </c>
      <c r="T1365" s="7" t="s">
        <v>828</v>
      </c>
      <c r="U1365" s="7" t="str">
        <f t="shared" si="169"/>
        <v>CLK_KIDS_CHILD_CHFC_V</v>
      </c>
      <c r="V1365" s="7" t="s">
        <v>829</v>
      </c>
    </row>
    <row r="1366" spans="1:22">
      <c r="A1366" s="7" t="str">
        <f>TRIM(ETLMetadata!$B1366)</f>
        <v>CLK</v>
      </c>
      <c r="B1366" s="7" t="str">
        <f>TRIM(ETLMetadata!$C1366)</f>
        <v>KIDS_CHILD_CHFC</v>
      </c>
      <c r="C1366" s="7" t="str">
        <f>TRIM(ETLMetadata!$F1366)</f>
        <v>Start_Date</v>
      </c>
      <c r="D1366" s="7" t="str">
        <f>TRIM(ETLMetadata!$H1366)</f>
        <v>StringType()</v>
      </c>
      <c r="E1366" s="7" t="str">
        <f t="shared" si="168"/>
        <v>CLK_KIDS_CHILD_CHFC</v>
      </c>
      <c r="F1366" s="7" t="str">
        <f t="shared" si="170"/>
        <v>STRT_DT</v>
      </c>
      <c r="G1366" s="7" t="s">
        <v>825</v>
      </c>
      <c r="H1366" s="7" t="str">
        <f t="shared" si="171"/>
        <v>CLK_KIDS_CHILD_CHFC</v>
      </c>
      <c r="I1366" s="7" t="str">
        <f t="shared" si="172"/>
        <v>STRT_DT</v>
      </c>
      <c r="J1366" s="7" t="str">
        <f t="shared" si="173"/>
        <v>DATE</v>
      </c>
      <c r="K1366" s="7" t="str">
        <f>TRIM(ETLMetadata!$G1366)</f>
        <v>DATE</v>
      </c>
      <c r="L1366" s="7" t="str">
        <f>TRIM(ETLMetadata!$I1366)</f>
        <v>YYYY-MM-DD</v>
      </c>
      <c r="M1366" s="7" t="str">
        <f t="shared" si="174"/>
        <v>TO_DATE(NULLIF(TRIM(STRT_DT),'') , 'YYYY-MM-DD')</v>
      </c>
      <c r="N1366" s="7" t="str">
        <f>TRIM(ETLMetadata!$J1366)</f>
        <v/>
      </c>
      <c r="O1366" s="8" t="str">
        <f>IF(TRIM(Classification!$G1366)="","NOT CONFIDENTIAL",TRIM(Classification!$G1366))</f>
        <v>NOT CONFIDENTIAL</v>
      </c>
      <c r="P1366" s="7" t="str">
        <f t="shared" si="175"/>
        <v>N</v>
      </c>
      <c r="Q1366" s="7" t="s">
        <v>826</v>
      </c>
      <c r="R1366" s="9">
        <v>2958465</v>
      </c>
      <c r="S1366" s="7" t="s">
        <v>827</v>
      </c>
      <c r="T1366" s="7" t="s">
        <v>828</v>
      </c>
      <c r="U1366" s="7" t="str">
        <f t="shared" si="169"/>
        <v>CLK_KIDS_CHILD_CHFC_V</v>
      </c>
      <c r="V1366" s="7" t="s">
        <v>829</v>
      </c>
    </row>
    <row r="1367" spans="1:22">
      <c r="A1367" s="7" t="str">
        <f>TRIM(ETLMetadata!$B1367)</f>
        <v>CLK</v>
      </c>
      <c r="B1367" s="7" t="str">
        <f>TRIM(ETLMetadata!$C1367)</f>
        <v>KIDS_CHILD_CHFC</v>
      </c>
      <c r="C1367" s="7" t="str">
        <f>TRIM(ETLMetadata!$F1367)</f>
        <v>End_Date</v>
      </c>
      <c r="D1367" s="7" t="str">
        <f>TRIM(ETLMetadata!$H1367)</f>
        <v>StringType()</v>
      </c>
      <c r="E1367" s="7" t="str">
        <f t="shared" si="168"/>
        <v>CLK_KIDS_CHILD_CHFC</v>
      </c>
      <c r="F1367" s="7" t="str">
        <f t="shared" si="170"/>
        <v>END_DT</v>
      </c>
      <c r="G1367" s="7" t="s">
        <v>825</v>
      </c>
      <c r="H1367" s="7" t="str">
        <f t="shared" si="171"/>
        <v>CLK_KIDS_CHILD_CHFC</v>
      </c>
      <c r="I1367" s="7" t="str">
        <f t="shared" si="172"/>
        <v>END_DT</v>
      </c>
      <c r="J1367" s="7" t="str">
        <f t="shared" si="173"/>
        <v>DATE</v>
      </c>
      <c r="K1367" s="7" t="str">
        <f>TRIM(ETLMetadata!$G1367)</f>
        <v>DATE</v>
      </c>
      <c r="L1367" s="7" t="str">
        <f>TRIM(ETLMetadata!$I1367)</f>
        <v>YYYY-MM-DD</v>
      </c>
      <c r="M1367" s="7" t="str">
        <f t="shared" si="174"/>
        <v>TO_DATE(NULLIF(TRIM(END_DT),'') , 'YYYY-MM-DD')</v>
      </c>
      <c r="N1367" s="7" t="str">
        <f>TRIM(ETLMetadata!$J1367)</f>
        <v/>
      </c>
      <c r="O1367" s="8" t="str">
        <f>IF(TRIM(Classification!$G1367)="","NOT CONFIDENTIAL",TRIM(Classification!$G1367))</f>
        <v>NOT CONFIDENTIAL</v>
      </c>
      <c r="P1367" s="7" t="str">
        <f t="shared" si="175"/>
        <v>N</v>
      </c>
      <c r="Q1367" s="7" t="s">
        <v>826</v>
      </c>
      <c r="R1367" s="9">
        <v>2958465</v>
      </c>
      <c r="S1367" s="7" t="s">
        <v>827</v>
      </c>
      <c r="T1367" s="7" t="s">
        <v>828</v>
      </c>
      <c r="U1367" s="7" t="str">
        <f t="shared" si="169"/>
        <v>CLK_KIDS_CHILD_CHFC_V</v>
      </c>
      <c r="V1367" s="7" t="s">
        <v>829</v>
      </c>
    </row>
    <row r="1368" spans="1:22">
      <c r="A1368" s="7" t="str">
        <f>TRIM(ETLMetadata!$B1368)</f>
        <v>CLK</v>
      </c>
      <c r="B1368" s="7" t="str">
        <f>TRIM(ETLMetadata!$C1368)</f>
        <v>KIDS_CHILD_CHFC</v>
      </c>
      <c r="C1368" s="7" t="str">
        <f>TRIM(ETLMetadata!$F1368)</f>
        <v>Record_Deleted_Flag</v>
      </c>
      <c r="D1368" s="7" t="str">
        <f>TRIM(ETLMetadata!$H1368)</f>
        <v>StringType()</v>
      </c>
      <c r="E1368" s="7" t="str">
        <f t="shared" si="168"/>
        <v>CLK_KIDS_CHILD_CHFC</v>
      </c>
      <c r="F1368" s="7" t="str">
        <f t="shared" si="170"/>
        <v>RCRD_DEL_IND</v>
      </c>
      <c r="G1368" s="7" t="s">
        <v>825</v>
      </c>
      <c r="H1368" s="7" t="str">
        <f t="shared" si="171"/>
        <v>CLK_KIDS_CHILD_CHFC</v>
      </c>
      <c r="I1368" s="7" t="str">
        <f t="shared" si="172"/>
        <v>RCRD_DEL_IND</v>
      </c>
      <c r="J1368" s="7" t="str">
        <f t="shared" si="173"/>
        <v>SMALLINT</v>
      </c>
      <c r="K1368" s="7" t="str">
        <f>TRIM(ETLMetadata!$G1368)</f>
        <v>BYTEINT</v>
      </c>
      <c r="L1368" s="7" t="str">
        <f>TRIM(ETLMetadata!$I1368)</f>
        <v/>
      </c>
      <c r="M1368" s="7" t="str">
        <f t="shared" si="174"/>
        <v>CAST(NULLIF(TRIM(RCRD_DEL_IND),'') AS SMALLINT)</v>
      </c>
      <c r="N1368" s="7" t="str">
        <f>TRIM(ETLMetadata!$J1368)</f>
        <v/>
      </c>
      <c r="O1368" s="8" t="str">
        <f>IF(TRIM(Classification!$G1368)="","NOT CONFIDENTIAL",TRIM(Classification!$G1368))</f>
        <v>NOT CONFIDENTIAL</v>
      </c>
      <c r="P1368" s="7" t="str">
        <f t="shared" si="175"/>
        <v>N</v>
      </c>
      <c r="Q1368" s="7" t="s">
        <v>826</v>
      </c>
      <c r="R1368" s="9">
        <v>2958465</v>
      </c>
      <c r="S1368" s="7" t="s">
        <v>827</v>
      </c>
      <c r="T1368" s="7" t="s">
        <v>828</v>
      </c>
      <c r="U1368" s="7" t="str">
        <f t="shared" si="169"/>
        <v>CLK_KIDS_CHILD_CHFC_V</v>
      </c>
      <c r="V1368" s="7" t="s">
        <v>829</v>
      </c>
    </row>
    <row r="1369" spans="1:22">
      <c r="A1369" s="7" t="str">
        <f>TRIM(ETLMetadata!$B1369)</f>
        <v>CLK</v>
      </c>
      <c r="B1369" s="7" t="str">
        <f>TRIM(ETLMetadata!$C1369)</f>
        <v>KIDS_CHILD_CHGP</v>
      </c>
      <c r="C1369" s="7" t="str">
        <f>TRIM(ETLMetadata!$F1369)</f>
        <v>EXTRACT_DATE</v>
      </c>
      <c r="D1369" s="7" t="str">
        <f>TRIM(ETLMetadata!$H1369)</f>
        <v>StringType()</v>
      </c>
      <c r="E1369" s="7" t="str">
        <f t="shared" si="168"/>
        <v>CLK_KIDS_CHILD_CHGP</v>
      </c>
      <c r="F1369" s="7" t="str">
        <f t="shared" si="170"/>
        <v>EXTRACT_DATE</v>
      </c>
      <c r="G1369" s="7" t="s">
        <v>825</v>
      </c>
      <c r="H1369" s="7" t="str">
        <f t="shared" si="171"/>
        <v>CLK_KIDS_CHILD_CHGP</v>
      </c>
      <c r="I1369" s="7" t="str">
        <f t="shared" si="172"/>
        <v>EXTRACT_DATE</v>
      </c>
      <c r="J1369" s="7" t="str">
        <f t="shared" si="173"/>
        <v>DATE</v>
      </c>
      <c r="K1369" s="7" t="str">
        <f>TRIM(ETLMetadata!$G1369)</f>
        <v>DATE</v>
      </c>
      <c r="L1369" s="7" t="str">
        <f>TRIM(ETLMetadata!$I1369)</f>
        <v>YYYY-MM-DD</v>
      </c>
      <c r="M1369" s="7" t="str">
        <f t="shared" si="174"/>
        <v>TO_DATE(NULLIF(TRIM(EXTRACT_DATE),'') , 'YYYY-MM-DD')</v>
      </c>
      <c r="N1369" s="7" t="str">
        <f>TRIM(ETLMetadata!$J1369)</f>
        <v/>
      </c>
      <c r="O1369" s="8" t="str">
        <f>IF(TRIM(Classification!$G1369)="","NOT CONFIDENTIAL",TRIM(Classification!$G1369))</f>
        <v>NOT CONFIDENTIAL</v>
      </c>
      <c r="P1369" s="7" t="str">
        <f t="shared" si="175"/>
        <v>Y</v>
      </c>
      <c r="Q1369" s="7" t="s">
        <v>826</v>
      </c>
      <c r="R1369" s="9">
        <v>2958465</v>
      </c>
      <c r="S1369" s="7" t="s">
        <v>827</v>
      </c>
      <c r="T1369" s="7" t="s">
        <v>828</v>
      </c>
      <c r="U1369" s="7" t="str">
        <f t="shared" si="169"/>
        <v>CLK_KIDS_CHILD_CHGP_V</v>
      </c>
      <c r="V1369" s="7" t="s">
        <v>829</v>
      </c>
    </row>
    <row r="1370" spans="1:22">
      <c r="A1370" s="7" t="str">
        <f>TRIM(ETLMetadata!$B1370)</f>
        <v>CLK</v>
      </c>
      <c r="B1370" s="7" t="str">
        <f>TRIM(ETLMetadata!$C1370)</f>
        <v>KIDS_CHILD_CHGP</v>
      </c>
      <c r="C1370" s="7" t="str">
        <f>TRIM(ETLMetadata!$F1370)</f>
        <v>LOGICAL_DELETE_DATE</v>
      </c>
      <c r="D1370" s="7" t="str">
        <f>TRIM(ETLMetadata!$H1370)</f>
        <v>StringType()</v>
      </c>
      <c r="E1370" s="7" t="str">
        <f t="shared" si="168"/>
        <v>CLK_KIDS_CHILD_CHGP</v>
      </c>
      <c r="F1370" s="7" t="str">
        <f t="shared" si="170"/>
        <v>LOGICAL_DELETE_DATE</v>
      </c>
      <c r="G1370" s="7" t="s">
        <v>825</v>
      </c>
      <c r="H1370" s="7" t="str">
        <f t="shared" si="171"/>
        <v>CLK_KIDS_CHILD_CHGP</v>
      </c>
      <c r="I1370" s="7" t="str">
        <f t="shared" si="172"/>
        <v>LOGICAL_DELETE_DATE</v>
      </c>
      <c r="J1370" s="7" t="str">
        <f t="shared" si="173"/>
        <v>DATE</v>
      </c>
      <c r="K1370" s="7" t="str">
        <f>TRIM(ETLMetadata!$G1370)</f>
        <v>DATE</v>
      </c>
      <c r="L1370" s="7" t="str">
        <f>TRIM(ETLMetadata!$I1370)</f>
        <v>YYYY-MM-DD</v>
      </c>
      <c r="M1370" s="7" t="str">
        <f t="shared" si="174"/>
        <v>TO_DATE(NULLIF(TRIM(LOGICAL_DELETE_DATE),'') , 'YYYY-MM-DD')</v>
      </c>
      <c r="N1370" s="7" t="str">
        <f>TRIM(ETLMetadata!$J1370)</f>
        <v/>
      </c>
      <c r="O1370" s="8" t="str">
        <f>IF(TRIM(Classification!$G1370)="","NOT CONFIDENTIAL",TRIM(Classification!$G1370))</f>
        <v>NOT CONFIDENTIAL</v>
      </c>
      <c r="P1370" s="7" t="str">
        <f t="shared" si="175"/>
        <v>Y</v>
      </c>
      <c r="Q1370" s="7" t="s">
        <v>826</v>
      </c>
      <c r="R1370" s="9">
        <v>2958465</v>
      </c>
      <c r="S1370" s="7" t="s">
        <v>827</v>
      </c>
      <c r="T1370" s="7" t="s">
        <v>828</v>
      </c>
      <c r="U1370" s="7" t="str">
        <f t="shared" si="169"/>
        <v>CLK_KIDS_CHILD_CHGP_V</v>
      </c>
      <c r="V1370" s="7" t="s">
        <v>829</v>
      </c>
    </row>
    <row r="1371" spans="1:22">
      <c r="A1371" s="7" t="str">
        <f>TRIM(ETLMetadata!$B1371)</f>
        <v>CLK</v>
      </c>
      <c r="B1371" s="7" t="str">
        <f>TRIM(ETLMetadata!$C1371)</f>
        <v>KIDS_CHILD_CHGP</v>
      </c>
      <c r="C1371" s="7" t="str">
        <f>TRIM(ETLMetadata!$F1371)</f>
        <v>ENVIRONMENT_ID</v>
      </c>
      <c r="D1371" s="7" t="str">
        <f>TRIM(ETLMetadata!$H1371)</f>
        <v>StringType()</v>
      </c>
      <c r="E1371" s="7" t="str">
        <f t="shared" si="168"/>
        <v>CLK_KIDS_CHILD_CHGP</v>
      </c>
      <c r="F1371" s="7" t="str">
        <f t="shared" si="170"/>
        <v>ENVIRONMENT_ID</v>
      </c>
      <c r="G1371" s="7" t="s">
        <v>825</v>
      </c>
      <c r="H1371" s="7" t="str">
        <f t="shared" si="171"/>
        <v>CLK_KIDS_CHILD_CHGP</v>
      </c>
      <c r="I1371" s="7" t="str">
        <f t="shared" si="172"/>
        <v>ENVIRONMENT_ID</v>
      </c>
      <c r="J1371" s="7" t="str">
        <f t="shared" si="173"/>
        <v>VARCHAR</v>
      </c>
      <c r="K1371" s="7" t="str">
        <f>TRIM(ETLMetadata!$G1371)</f>
        <v>CHAR(1)</v>
      </c>
      <c r="L1371" s="7" t="str">
        <f>TRIM(ETLMetadata!$I1371)</f>
        <v/>
      </c>
      <c r="M1371" s="7" t="str">
        <f t="shared" si="174"/>
        <v>NULLIF(TRIM(ENVIRONMENT_ID),'')</v>
      </c>
      <c r="N1371" s="7" t="str">
        <f>TRIM(ETLMetadata!$J1371)</f>
        <v>Y</v>
      </c>
      <c r="O1371" s="8" t="str">
        <f>IF(TRIM(Classification!$G1371)="","NOT CONFIDENTIAL",TRIM(Classification!$G1371))</f>
        <v>NOT CONFIDENTIAL</v>
      </c>
      <c r="P1371" s="7" t="str">
        <f t="shared" si="175"/>
        <v>Y</v>
      </c>
      <c r="Q1371" s="7" t="s">
        <v>826</v>
      </c>
      <c r="R1371" s="9">
        <v>2958465</v>
      </c>
      <c r="S1371" s="7" t="s">
        <v>827</v>
      </c>
      <c r="T1371" s="7" t="s">
        <v>828</v>
      </c>
      <c r="U1371" s="7" t="str">
        <f t="shared" si="169"/>
        <v>CLK_KIDS_CHILD_CHGP_V</v>
      </c>
      <c r="V1371" s="7" t="s">
        <v>829</v>
      </c>
    </row>
    <row r="1372" spans="1:22">
      <c r="A1372" s="7" t="str">
        <f>TRIM(ETLMetadata!$B1372)</f>
        <v>CLK</v>
      </c>
      <c r="B1372" s="7" t="str">
        <f>TRIM(ETLMetadata!$C1372)</f>
        <v>KIDS_CHILD_CHGP</v>
      </c>
      <c r="C1372" s="7" t="str">
        <f>TRIM(ETLMetadata!$F1372)</f>
        <v>PERSON_ID</v>
      </c>
      <c r="D1372" s="7" t="str">
        <f>TRIM(ETLMetadata!$H1372)</f>
        <v>StringType()</v>
      </c>
      <c r="E1372" s="7" t="str">
        <f t="shared" si="168"/>
        <v>CLK_KIDS_CHILD_CHGP</v>
      </c>
      <c r="F1372" s="7" t="str">
        <f t="shared" si="170"/>
        <v>PERSON_ID</v>
      </c>
      <c r="G1372" s="7" t="s">
        <v>825</v>
      </c>
      <c r="H1372" s="7" t="str">
        <f t="shared" si="171"/>
        <v>CLK_KIDS_CHILD_CHGP</v>
      </c>
      <c r="I1372" s="7" t="str">
        <f t="shared" si="172"/>
        <v>PERSON_ID</v>
      </c>
      <c r="J1372" s="7" t="str">
        <f t="shared" si="173"/>
        <v>INTEGER</v>
      </c>
      <c r="K1372" s="7" t="str">
        <f>TRIM(ETLMetadata!$G1372)</f>
        <v>INTEGER</v>
      </c>
      <c r="L1372" s="7" t="str">
        <f>TRIM(ETLMetadata!$I1372)</f>
        <v/>
      </c>
      <c r="M1372" s="7" t="str">
        <f t="shared" si="174"/>
        <v>CAST(NULLIF(TRIM(PERSON_ID),'') AS INTEGER)</v>
      </c>
      <c r="N1372" s="7" t="str">
        <f>TRIM(ETLMetadata!$J1372)</f>
        <v>Y</v>
      </c>
      <c r="O1372" s="8" t="str">
        <f>IF(TRIM(Classification!$G1372)="","NOT CONFIDENTIAL",TRIM(Classification!$G1372))</f>
        <v>PERSONAL_IDENTITYINFODIRECT</v>
      </c>
      <c r="P1372" s="7" t="str">
        <f t="shared" si="175"/>
        <v>Y</v>
      </c>
      <c r="Q1372" s="7" t="s">
        <v>826</v>
      </c>
      <c r="R1372" s="9">
        <v>2958465</v>
      </c>
      <c r="S1372" s="7" t="s">
        <v>827</v>
      </c>
      <c r="T1372" s="7" t="s">
        <v>828</v>
      </c>
      <c r="U1372" s="7" t="str">
        <f t="shared" si="169"/>
        <v>CLK_KIDS_CHILD_CHGP_V</v>
      </c>
      <c r="V1372" s="7" t="s">
        <v>829</v>
      </c>
    </row>
    <row r="1373" spans="1:22">
      <c r="A1373" s="7" t="str">
        <f>TRIM(ETLMetadata!$B1373)</f>
        <v>CLK</v>
      </c>
      <c r="B1373" s="7" t="str">
        <f>TRIM(ETLMetadata!$C1373)</f>
        <v>KIDS_CHILD_CHGP</v>
      </c>
      <c r="C1373" s="7" t="str">
        <f>TRIM(ETLMetadata!$F1373)</f>
        <v>CHILD_SSR</v>
      </c>
      <c r="D1373" s="7" t="str">
        <f>TRIM(ETLMetadata!$H1373)</f>
        <v>StringType()</v>
      </c>
      <c r="E1373" s="7" t="str">
        <f t="shared" si="168"/>
        <v>CLK_KIDS_CHILD_CHGP</v>
      </c>
      <c r="F1373" s="7" t="str">
        <f t="shared" si="170"/>
        <v>CHILD_SSR</v>
      </c>
      <c r="G1373" s="7" t="s">
        <v>825</v>
      </c>
      <c r="H1373" s="7" t="str">
        <f t="shared" si="171"/>
        <v>CLK_KIDS_CHILD_CHGP</v>
      </c>
      <c r="I1373" s="7" t="str">
        <f t="shared" si="172"/>
        <v>CHILD_SSR</v>
      </c>
      <c r="J1373" s="7" t="str">
        <f t="shared" si="173"/>
        <v>INTEGER</v>
      </c>
      <c r="K1373" s="7" t="str">
        <f>TRIM(ETLMetadata!$G1373)</f>
        <v>INTEGER</v>
      </c>
      <c r="L1373" s="7" t="str">
        <f>TRIM(ETLMetadata!$I1373)</f>
        <v/>
      </c>
      <c r="M1373" s="7" t="str">
        <f t="shared" si="174"/>
        <v>CAST(NULLIF(TRIM(CHILD_SSR),'') AS INTEGER)</v>
      </c>
      <c r="N1373" s="7" t="str">
        <f>TRIM(ETLMetadata!$J1373)</f>
        <v>Y</v>
      </c>
      <c r="O1373" s="8" t="str">
        <f>IF(TRIM(Classification!$G1373)="","NOT CONFIDENTIAL",TRIM(Classification!$G1373))</f>
        <v>PERSONAL_IDENTITYINFODIRECT</v>
      </c>
      <c r="P1373" s="7" t="str">
        <f t="shared" si="175"/>
        <v>Y</v>
      </c>
      <c r="Q1373" s="7" t="s">
        <v>826</v>
      </c>
      <c r="R1373" s="9">
        <v>2958465</v>
      </c>
      <c r="S1373" s="7" t="s">
        <v>827</v>
      </c>
      <c r="T1373" s="7" t="s">
        <v>828</v>
      </c>
      <c r="U1373" s="7" t="str">
        <f t="shared" si="169"/>
        <v>CLK_KIDS_CHILD_CHGP_V</v>
      </c>
      <c r="V1373" s="7" t="s">
        <v>829</v>
      </c>
    </row>
    <row r="1374" spans="1:22">
      <c r="A1374" s="7" t="str">
        <f>TRIM(ETLMetadata!$B1374)</f>
        <v>CLK</v>
      </c>
      <c r="B1374" s="7" t="str">
        <f>TRIM(ETLMetadata!$C1374)</f>
        <v>KIDS_CHILD_CHGP</v>
      </c>
      <c r="C1374" s="7" t="str">
        <f>TRIM(ETLMetadata!$F1374)</f>
        <v>CHGP_DOV</v>
      </c>
      <c r="D1374" s="7" t="str">
        <f>TRIM(ETLMetadata!$H1374)</f>
        <v>StringType()</v>
      </c>
      <c r="E1374" s="7" t="str">
        <f t="shared" si="168"/>
        <v>CLK_KIDS_CHILD_CHGP</v>
      </c>
      <c r="F1374" s="7" t="str">
        <f t="shared" si="170"/>
        <v>CHGP_DOV</v>
      </c>
      <c r="G1374" s="7" t="s">
        <v>825</v>
      </c>
      <c r="H1374" s="7" t="str">
        <f t="shared" si="171"/>
        <v>CLK_KIDS_CHILD_CHGP</v>
      </c>
      <c r="I1374" s="7" t="str">
        <f t="shared" si="172"/>
        <v>CHGP_DOV</v>
      </c>
      <c r="J1374" s="7" t="str">
        <f t="shared" si="173"/>
        <v>DATE</v>
      </c>
      <c r="K1374" s="17" t="s">
        <v>80</v>
      </c>
      <c r="L1374" s="7" t="str">
        <f>TRIM(ETLMetadata!$I1374)</f>
        <v>YYYY-MM-DD</v>
      </c>
      <c r="M1374" s="7" t="str">
        <f t="shared" si="174"/>
        <v>TO_DATE(NULLIF(TRIM(CHGP_DOV),'') , 'YYYY-MM-DD')</v>
      </c>
      <c r="N1374" s="7" t="str">
        <f>TRIM(ETLMetadata!$J1374)</f>
        <v/>
      </c>
      <c r="O1374" s="8" t="str">
        <f>IF(TRIM(Classification!$G1374)="","NOT CONFIDENTIAL",TRIM(Classification!$G1374))</f>
        <v>NOT CONFIDENTIAL</v>
      </c>
      <c r="P1374" s="7" t="str">
        <f t="shared" si="175"/>
        <v>Y</v>
      </c>
      <c r="Q1374" s="7" t="s">
        <v>826</v>
      </c>
      <c r="R1374" s="9">
        <v>2958465</v>
      </c>
      <c r="S1374" s="7" t="s">
        <v>827</v>
      </c>
      <c r="T1374" s="7" t="s">
        <v>828</v>
      </c>
      <c r="U1374" s="7" t="str">
        <f t="shared" si="169"/>
        <v>CLK_KIDS_CHILD_CHGP_V</v>
      </c>
      <c r="V1374" s="7" t="s">
        <v>829</v>
      </c>
    </row>
    <row r="1375" spans="1:22">
      <c r="A1375" s="7" t="str">
        <f>TRIM(ETLMetadata!$B1375)</f>
        <v>CLK</v>
      </c>
      <c r="B1375" s="7" t="str">
        <f>TRIM(ETLMetadata!$C1375)</f>
        <v>KIDS_CHILD_CHGP</v>
      </c>
      <c r="C1375" s="7" t="str">
        <f>TRIM(ETLMetadata!$F1375)</f>
        <v>CHGP_DOV_ORIG</v>
      </c>
      <c r="D1375" s="7" t="str">
        <f>TRIM(ETLMetadata!$H1375)</f>
        <v>StringType()</v>
      </c>
      <c r="E1375" s="7" t="str">
        <f t="shared" ref="E1375:E1412" si="176">CONCATENATE($A1375,"_",B1375)</f>
        <v>CLK_KIDS_CHILD_CHGP</v>
      </c>
      <c r="F1375" s="7" t="str">
        <f t="shared" si="170"/>
        <v>CHGP_DOV_ORIG</v>
      </c>
      <c r="G1375" s="7" t="s">
        <v>825</v>
      </c>
      <c r="H1375" s="7" t="str">
        <f t="shared" si="171"/>
        <v>CLK_KIDS_CHILD_CHGP</v>
      </c>
      <c r="I1375" s="7" t="str">
        <f t="shared" si="172"/>
        <v>CHGP_DOV_ORIG</v>
      </c>
      <c r="J1375" s="7" t="str">
        <f t="shared" si="173"/>
        <v>INTEGER</v>
      </c>
      <c r="K1375" s="17" t="s">
        <v>90</v>
      </c>
      <c r="L1375" s="7" t="str">
        <f>TRIM(ETLMetadata!$I1375)</f>
        <v/>
      </c>
      <c r="M1375" s="7" t="str">
        <f t="shared" si="174"/>
        <v>CAST(NULLIF(TRIM(CHGP_DOV_ORIG),'') AS INTEGER)</v>
      </c>
      <c r="N1375" s="7" t="str">
        <f>TRIM(ETLMetadata!$J1375)</f>
        <v/>
      </c>
      <c r="O1375" s="8" t="str">
        <f>IF(TRIM(Classification!$G1375)="","NOT CONFIDENTIAL",TRIM(Classification!$G1375))</f>
        <v>NOT CONFIDENTIAL</v>
      </c>
      <c r="P1375" s="7" t="str">
        <f t="shared" si="175"/>
        <v>Y</v>
      </c>
      <c r="Q1375" s="7" t="s">
        <v>826</v>
      </c>
      <c r="R1375" s="9">
        <v>2958465</v>
      </c>
      <c r="S1375" s="7" t="s">
        <v>827</v>
      </c>
      <c r="T1375" s="7" t="s">
        <v>828</v>
      </c>
      <c r="U1375" s="7" t="str">
        <f t="shared" ref="U1375:U1412" si="177">CONCATENATE(A1375,"_",B1375,"_V")</f>
        <v>CLK_KIDS_CHILD_CHGP_V</v>
      </c>
      <c r="V1375" s="7" t="s">
        <v>829</v>
      </c>
    </row>
    <row r="1376" spans="1:22">
      <c r="A1376" s="7" t="str">
        <f>TRIM(ETLMetadata!$B1376)</f>
        <v>CLK</v>
      </c>
      <c r="B1376" s="7" t="str">
        <f>TRIM(ETLMetadata!$C1376)</f>
        <v>KIDS_CHILD_CHGP</v>
      </c>
      <c r="C1376" s="7" t="str">
        <f>TRIM(ETLMetadata!$F1376)</f>
        <v>PROCESSING_SEQUENCE</v>
      </c>
      <c r="D1376" s="7" t="str">
        <f>TRIM(ETLMetadata!$H1376)</f>
        <v>StringType()</v>
      </c>
      <c r="E1376" s="7" t="str">
        <f t="shared" si="176"/>
        <v>CLK_KIDS_CHILD_CHGP</v>
      </c>
      <c r="F1376" s="7" t="str">
        <f t="shared" si="170"/>
        <v>PROCESSING_SEQUENCE</v>
      </c>
      <c r="G1376" s="7" t="s">
        <v>825</v>
      </c>
      <c r="H1376" s="7" t="str">
        <f t="shared" si="171"/>
        <v>CLK_KIDS_CHILD_CHGP</v>
      </c>
      <c r="I1376" s="7" t="str">
        <f t="shared" si="172"/>
        <v>PROCESSING_SEQUENCE</v>
      </c>
      <c r="J1376" s="7" t="str">
        <f t="shared" si="173"/>
        <v>SMALLINT</v>
      </c>
      <c r="K1376" s="7" t="str">
        <f>TRIM(ETLMetadata!$G1376)</f>
        <v>SMALLINT</v>
      </c>
      <c r="L1376" s="7" t="str">
        <f>TRIM(ETLMetadata!$I1376)</f>
        <v/>
      </c>
      <c r="M1376" s="7" t="str">
        <f t="shared" si="174"/>
        <v>CAST(NULLIF(TRIM(PROCESSING_SEQUENCE),'') AS SMALLINT)</v>
      </c>
      <c r="N1376" s="7" t="str">
        <f>TRIM(ETLMetadata!$J1376)</f>
        <v>Y</v>
      </c>
      <c r="O1376" s="8" t="str">
        <f>IF(TRIM(Classification!$G1376)="","NOT CONFIDENTIAL",TRIM(Classification!$G1376))</f>
        <v>NOT CONFIDENTIAL</v>
      </c>
      <c r="P1376" s="7" t="str">
        <f t="shared" si="175"/>
        <v>Y</v>
      </c>
      <c r="Q1376" s="7" t="s">
        <v>826</v>
      </c>
      <c r="R1376" s="9">
        <v>2958465</v>
      </c>
      <c r="S1376" s="7" t="s">
        <v>827</v>
      </c>
      <c r="T1376" s="7" t="s">
        <v>828</v>
      </c>
      <c r="U1376" s="7" t="str">
        <f t="shared" si="177"/>
        <v>CLK_KIDS_CHILD_CHGP_V</v>
      </c>
      <c r="V1376" s="7" t="s">
        <v>829</v>
      </c>
    </row>
    <row r="1377" spans="1:22">
      <c r="A1377" s="7" t="str">
        <f>TRIM(ETLMetadata!$B1377)</f>
        <v>CLK</v>
      </c>
      <c r="B1377" s="7" t="str">
        <f>TRIM(ETLMetadata!$C1377)</f>
        <v>KIDS_CHILD_CHGP</v>
      </c>
      <c r="C1377" s="7" t="str">
        <f>TRIM(ETLMetadata!$F1377)</f>
        <v>CHGP_AMR_1</v>
      </c>
      <c r="D1377" s="7" t="str">
        <f>TRIM(ETLMetadata!$H1377)</f>
        <v>StringType()</v>
      </c>
      <c r="E1377" s="7" t="str">
        <f t="shared" si="176"/>
        <v>CLK_KIDS_CHILD_CHGP</v>
      </c>
      <c r="F1377" s="7" t="str">
        <f t="shared" si="170"/>
        <v>CHGP_AMR_1</v>
      </c>
      <c r="G1377" s="7" t="s">
        <v>825</v>
      </c>
      <c r="H1377" s="7" t="str">
        <f t="shared" si="171"/>
        <v>CLK_KIDS_CHILD_CHGP</v>
      </c>
      <c r="I1377" s="7" t="str">
        <f t="shared" si="172"/>
        <v>CHGP_AMR_1</v>
      </c>
      <c r="J1377" s="7" t="str">
        <f t="shared" si="173"/>
        <v>VARCHAR</v>
      </c>
      <c r="K1377" s="7" t="str">
        <f>TRIM(ETLMetadata!$G1377)</f>
        <v>CHAR(4)</v>
      </c>
      <c r="L1377" s="7" t="str">
        <f>TRIM(ETLMetadata!$I1377)</f>
        <v/>
      </c>
      <c r="M1377" s="7" t="str">
        <f t="shared" si="174"/>
        <v>NULLIF(TRIM(CHGP_AMR_1),'')</v>
      </c>
      <c r="N1377" s="7" t="str">
        <f>TRIM(ETLMetadata!$J1377)</f>
        <v/>
      </c>
      <c r="O1377" s="8" t="str">
        <f>IF(TRIM(Classification!$G1377)="","NOT CONFIDENTIAL",TRIM(Classification!$G1377))</f>
        <v>NOT CONFIDENTIAL</v>
      </c>
      <c r="P1377" s="7" t="str">
        <f t="shared" si="175"/>
        <v>Y</v>
      </c>
      <c r="Q1377" s="7" t="s">
        <v>826</v>
      </c>
      <c r="R1377" s="9">
        <v>2958465</v>
      </c>
      <c r="S1377" s="7" t="s">
        <v>827</v>
      </c>
      <c r="T1377" s="7" t="s">
        <v>828</v>
      </c>
      <c r="U1377" s="7" t="str">
        <f t="shared" si="177"/>
        <v>CLK_KIDS_CHILD_CHGP_V</v>
      </c>
      <c r="V1377" s="7" t="s">
        <v>829</v>
      </c>
    </row>
    <row r="1378" spans="1:22">
      <c r="A1378" s="7" t="str">
        <f>TRIM(ETLMetadata!$B1378)</f>
        <v>CLK</v>
      </c>
      <c r="B1378" s="7" t="str">
        <f>TRIM(ETLMetadata!$C1378)</f>
        <v>KIDS_CHILD_CHGP</v>
      </c>
      <c r="C1378" s="7" t="str">
        <f>TRIM(ETLMetadata!$F1378)</f>
        <v>CHGP_AMR_2</v>
      </c>
      <c r="D1378" s="7" t="str">
        <f>TRIM(ETLMetadata!$H1378)</f>
        <v>StringType()</v>
      </c>
      <c r="E1378" s="7" t="str">
        <f t="shared" si="176"/>
        <v>CLK_KIDS_CHILD_CHGP</v>
      </c>
      <c r="F1378" s="7" t="str">
        <f t="shared" si="170"/>
        <v>CHGP_AMR_2</v>
      </c>
      <c r="G1378" s="7" t="s">
        <v>825</v>
      </c>
      <c r="H1378" s="7" t="str">
        <f t="shared" si="171"/>
        <v>CLK_KIDS_CHILD_CHGP</v>
      </c>
      <c r="I1378" s="7" t="str">
        <f t="shared" si="172"/>
        <v>CHGP_AMR_2</v>
      </c>
      <c r="J1378" s="7" t="str">
        <f t="shared" si="173"/>
        <v>VARCHAR</v>
      </c>
      <c r="K1378" s="7" t="str">
        <f>TRIM(ETLMetadata!$G1378)</f>
        <v>CHAR(1)</v>
      </c>
      <c r="L1378" s="7" t="str">
        <f>TRIM(ETLMetadata!$I1378)</f>
        <v/>
      </c>
      <c r="M1378" s="7" t="str">
        <f t="shared" si="174"/>
        <v>NULLIF(TRIM(CHGP_AMR_2),'')</v>
      </c>
      <c r="N1378" s="7" t="str">
        <f>TRIM(ETLMetadata!$J1378)</f>
        <v/>
      </c>
      <c r="O1378" s="8" t="str">
        <f>IF(TRIM(Classification!$G1378)="","NOT CONFIDENTIAL",TRIM(Classification!$G1378))</f>
        <v>NOT CONFIDENTIAL</v>
      </c>
      <c r="P1378" s="7" t="str">
        <f t="shared" si="175"/>
        <v>Y</v>
      </c>
      <c r="Q1378" s="7" t="s">
        <v>826</v>
      </c>
      <c r="R1378" s="9">
        <v>2958465</v>
      </c>
      <c r="S1378" s="7" t="s">
        <v>827</v>
      </c>
      <c r="T1378" s="7" t="s">
        <v>828</v>
      </c>
      <c r="U1378" s="7" t="str">
        <f t="shared" si="177"/>
        <v>CLK_KIDS_CHILD_CHGP_V</v>
      </c>
      <c r="V1378" s="7" t="s">
        <v>829</v>
      </c>
    </row>
    <row r="1379" spans="1:22">
      <c r="A1379" s="7" t="str">
        <f>TRIM(ETLMetadata!$B1379)</f>
        <v>CLK</v>
      </c>
      <c r="B1379" s="7" t="str">
        <f>TRIM(ETLMetadata!$C1379)</f>
        <v>KIDS_CHILD_CHGP</v>
      </c>
      <c r="C1379" s="7" t="str">
        <f>TRIM(ETLMetadata!$F1379)</f>
        <v>CHGP_AMR_3</v>
      </c>
      <c r="D1379" s="7" t="str">
        <f>TRIM(ETLMetadata!$H1379)</f>
        <v>StringType()</v>
      </c>
      <c r="E1379" s="7" t="str">
        <f t="shared" si="176"/>
        <v>CLK_KIDS_CHILD_CHGP</v>
      </c>
      <c r="F1379" s="7" t="str">
        <f t="shared" si="170"/>
        <v>CHGP_AMR_3</v>
      </c>
      <c r="G1379" s="7" t="s">
        <v>825</v>
      </c>
      <c r="H1379" s="7" t="str">
        <f t="shared" si="171"/>
        <v>CLK_KIDS_CHILD_CHGP</v>
      </c>
      <c r="I1379" s="7" t="str">
        <f t="shared" si="172"/>
        <v>CHGP_AMR_3</v>
      </c>
      <c r="J1379" s="7" t="str">
        <f t="shared" si="173"/>
        <v>VARCHAR</v>
      </c>
      <c r="K1379" s="7" t="str">
        <f>TRIM(ETLMetadata!$G1379)</f>
        <v>CHAR(4)</v>
      </c>
      <c r="L1379" s="7" t="str">
        <f>TRIM(ETLMetadata!$I1379)</f>
        <v/>
      </c>
      <c r="M1379" s="7" t="str">
        <f t="shared" si="174"/>
        <v>NULLIF(TRIM(CHGP_AMR_3),'')</v>
      </c>
      <c r="N1379" s="7" t="str">
        <f>TRIM(ETLMetadata!$J1379)</f>
        <v/>
      </c>
      <c r="O1379" s="8" t="str">
        <f>IF(TRIM(Classification!$G1379)="","NOT CONFIDENTIAL",TRIM(Classification!$G1379))</f>
        <v>NOT CONFIDENTIAL</v>
      </c>
      <c r="P1379" s="7" t="str">
        <f t="shared" si="175"/>
        <v>Y</v>
      </c>
      <c r="Q1379" s="7" t="s">
        <v>826</v>
      </c>
      <c r="R1379" s="9">
        <v>2958465</v>
      </c>
      <c r="S1379" s="7" t="s">
        <v>827</v>
      </c>
      <c r="T1379" s="7" t="s">
        <v>828</v>
      </c>
      <c r="U1379" s="7" t="str">
        <f t="shared" si="177"/>
        <v>CLK_KIDS_CHILD_CHGP_V</v>
      </c>
      <c r="V1379" s="7" t="s">
        <v>829</v>
      </c>
    </row>
    <row r="1380" spans="1:22">
      <c r="A1380" s="7" t="str">
        <f>TRIM(ETLMetadata!$B1380)</f>
        <v>CLK</v>
      </c>
      <c r="B1380" s="7" t="str">
        <f>TRIM(ETLMetadata!$C1380)</f>
        <v>KIDS_CHILD_CHGP</v>
      </c>
      <c r="C1380" s="7" t="str">
        <f>TRIM(ETLMetadata!$F1380)</f>
        <v>CHGP_ELIG_IND</v>
      </c>
      <c r="D1380" s="7" t="str">
        <f>TRIM(ETLMetadata!$H1380)</f>
        <v>StringType()</v>
      </c>
      <c r="E1380" s="7" t="str">
        <f t="shared" si="176"/>
        <v>CLK_KIDS_CHILD_CHGP</v>
      </c>
      <c r="F1380" s="7" t="str">
        <f t="shared" si="170"/>
        <v>CHGP_ELIG_IND</v>
      </c>
      <c r="G1380" s="7" t="s">
        <v>825</v>
      </c>
      <c r="H1380" s="7" t="str">
        <f t="shared" si="171"/>
        <v>CLK_KIDS_CHILD_CHGP</v>
      </c>
      <c r="I1380" s="7" t="str">
        <f t="shared" si="172"/>
        <v>CHGP_ELIG_IND</v>
      </c>
      <c r="J1380" s="7" t="str">
        <f t="shared" si="173"/>
        <v>VARCHAR</v>
      </c>
      <c r="K1380" s="7" t="str">
        <f>TRIM(ETLMetadata!$G1380)</f>
        <v>CHAR(1)</v>
      </c>
      <c r="L1380" s="7" t="str">
        <f>TRIM(ETLMetadata!$I1380)</f>
        <v/>
      </c>
      <c r="M1380" s="7" t="str">
        <f t="shared" si="174"/>
        <v>NULLIF(TRIM(CHGP_ELIG_IND),'')</v>
      </c>
      <c r="N1380" s="7" t="str">
        <f>TRIM(ETLMetadata!$J1380)</f>
        <v/>
      </c>
      <c r="O1380" s="8" t="str">
        <f>IF(TRIM(Classification!$G1380)="","NOT CONFIDENTIAL",TRIM(Classification!$G1380))</f>
        <v>NOT CONFIDENTIAL</v>
      </c>
      <c r="P1380" s="7" t="str">
        <f t="shared" si="175"/>
        <v>Y</v>
      </c>
      <c r="Q1380" s="7" t="s">
        <v>826</v>
      </c>
      <c r="R1380" s="9">
        <v>2958465</v>
      </c>
      <c r="S1380" s="7" t="s">
        <v>827</v>
      </c>
      <c r="T1380" s="7" t="s">
        <v>828</v>
      </c>
      <c r="U1380" s="7" t="str">
        <f t="shared" si="177"/>
        <v>CLK_KIDS_CHILD_CHGP_V</v>
      </c>
      <c r="V1380" s="7" t="s">
        <v>829</v>
      </c>
    </row>
    <row r="1381" spans="1:22">
      <c r="A1381" s="7" t="str">
        <f>TRIM(ETLMetadata!$B1381)</f>
        <v>CLK</v>
      </c>
      <c r="B1381" s="7" t="str">
        <f>TRIM(ETLMetadata!$C1381)</f>
        <v>KIDS_CHILD_CHGP</v>
      </c>
      <c r="C1381" s="7" t="str">
        <f>TRIM(ETLMetadata!$F1381)</f>
        <v>CHGP_RSN_CODE</v>
      </c>
      <c r="D1381" s="7" t="str">
        <f>TRIM(ETLMetadata!$H1381)</f>
        <v>StringType()</v>
      </c>
      <c r="E1381" s="7" t="str">
        <f t="shared" si="176"/>
        <v>CLK_KIDS_CHILD_CHGP</v>
      </c>
      <c r="F1381" s="7" t="str">
        <f t="shared" si="170"/>
        <v>CHGP_RSN_CODE</v>
      </c>
      <c r="G1381" s="7" t="s">
        <v>825</v>
      </c>
      <c r="H1381" s="7" t="str">
        <f t="shared" si="171"/>
        <v>CLK_KIDS_CHILD_CHGP</v>
      </c>
      <c r="I1381" s="7" t="str">
        <f t="shared" si="172"/>
        <v>CHGP_RSN_CODE</v>
      </c>
      <c r="J1381" s="7" t="str">
        <f t="shared" si="173"/>
        <v>VARCHAR</v>
      </c>
      <c r="K1381" s="7" t="str">
        <f>TRIM(ETLMetadata!$G1381)</f>
        <v>CHAR(3)</v>
      </c>
      <c r="L1381" s="7" t="str">
        <f>TRIM(ETLMetadata!$I1381)</f>
        <v/>
      </c>
      <c r="M1381" s="7" t="str">
        <f t="shared" si="174"/>
        <v>NULLIF(TRIM(CHGP_RSN_CODE),'')</v>
      </c>
      <c r="N1381" s="7" t="str">
        <f>TRIM(ETLMetadata!$J1381)</f>
        <v/>
      </c>
      <c r="O1381" s="8" t="str">
        <f>IF(TRIM(Classification!$G1381)="","NOT CONFIDENTIAL",TRIM(Classification!$G1381))</f>
        <v>NOT CONFIDENTIAL</v>
      </c>
      <c r="P1381" s="7" t="str">
        <f t="shared" si="175"/>
        <v>Y</v>
      </c>
      <c r="Q1381" s="7" t="s">
        <v>826</v>
      </c>
      <c r="R1381" s="9">
        <v>2958465</v>
      </c>
      <c r="S1381" s="7" t="s">
        <v>827</v>
      </c>
      <c r="T1381" s="7" t="s">
        <v>828</v>
      </c>
      <c r="U1381" s="7" t="str">
        <f t="shared" si="177"/>
        <v>CLK_KIDS_CHILD_CHGP_V</v>
      </c>
      <c r="V1381" s="7" t="s">
        <v>829</v>
      </c>
    </row>
    <row r="1382" spans="1:22">
      <c r="A1382" s="7" t="str">
        <f>TRIM(ETLMetadata!$B1382)</f>
        <v>CLK</v>
      </c>
      <c r="B1382" s="7" t="str">
        <f>TRIM(ETLMetadata!$C1382)</f>
        <v>KIDS_CHILD_CHGP</v>
      </c>
      <c r="C1382" s="7" t="str">
        <f>TRIM(ETLMetadata!$F1382)</f>
        <v>RELATED_PARTY_ROLE_ID</v>
      </c>
      <c r="D1382" s="7" t="str">
        <f>TRIM(ETLMetadata!$H1382)</f>
        <v>StringType()</v>
      </c>
      <c r="E1382" s="7" t="str">
        <f t="shared" si="176"/>
        <v>CLK_KIDS_CHILD_CHGP</v>
      </c>
      <c r="F1382" s="7" t="str">
        <f t="shared" si="170"/>
        <v>RELATED_PARTY_ROLE_ID</v>
      </c>
      <c r="G1382" s="7" t="s">
        <v>825</v>
      </c>
      <c r="H1382" s="7" t="str">
        <f t="shared" si="171"/>
        <v>CLK_KIDS_CHILD_CHGP</v>
      </c>
      <c r="I1382" s="7" t="str">
        <f t="shared" si="172"/>
        <v>RELATED_PARTY_ROLE_ID</v>
      </c>
      <c r="J1382" s="7" t="str">
        <f t="shared" si="173"/>
        <v>INTEGER</v>
      </c>
      <c r="K1382" s="7" t="str">
        <f>TRIM(ETLMetadata!$G1382)</f>
        <v>INTEGER</v>
      </c>
      <c r="L1382" s="7" t="str">
        <f>TRIM(ETLMetadata!$I1382)</f>
        <v/>
      </c>
      <c r="M1382" s="7" t="str">
        <f t="shared" si="174"/>
        <v>CAST(NULLIF(TRIM(RELATED_PARTY_ROLE_ID),'') AS INTEGER)</v>
      </c>
      <c r="N1382" s="7" t="str">
        <f>TRIM(ETLMetadata!$J1382)</f>
        <v/>
      </c>
      <c r="O1382" s="8" t="str">
        <f>IF(TRIM(Classification!$G1382)="","NOT CONFIDENTIAL",TRIM(Classification!$G1382))</f>
        <v>NOT CONFIDENTIAL</v>
      </c>
      <c r="P1382" s="7" t="str">
        <f t="shared" si="175"/>
        <v>Y</v>
      </c>
      <c r="Q1382" s="7" t="s">
        <v>826</v>
      </c>
      <c r="R1382" s="9">
        <v>2958465</v>
      </c>
      <c r="S1382" s="7" t="s">
        <v>827</v>
      </c>
      <c r="T1382" s="7" t="s">
        <v>828</v>
      </c>
      <c r="U1382" s="7" t="str">
        <f t="shared" si="177"/>
        <v>CLK_KIDS_CHILD_CHGP_V</v>
      </c>
      <c r="V1382" s="7" t="s">
        <v>829</v>
      </c>
    </row>
    <row r="1383" spans="1:22">
      <c r="A1383" s="7" t="str">
        <f>TRIM(ETLMetadata!$B1383)</f>
        <v>CLK</v>
      </c>
      <c r="B1383" s="7" t="str">
        <f>TRIM(ETLMetadata!$C1383)</f>
        <v>KIDS_CHILD_CHGP</v>
      </c>
      <c r="C1383" s="7" t="str">
        <f>TRIM(ETLMetadata!$F1383)</f>
        <v>PARTY_ROLE_ID</v>
      </c>
      <c r="D1383" s="7" t="str">
        <f>TRIM(ETLMetadata!$H1383)</f>
        <v>StringType()</v>
      </c>
      <c r="E1383" s="7" t="str">
        <f t="shared" si="176"/>
        <v>CLK_KIDS_CHILD_CHGP</v>
      </c>
      <c r="F1383" s="7" t="str">
        <f t="shared" si="170"/>
        <v>PARTY_ROLE_ID</v>
      </c>
      <c r="G1383" s="7" t="s">
        <v>825</v>
      </c>
      <c r="H1383" s="7" t="str">
        <f t="shared" si="171"/>
        <v>CLK_KIDS_CHILD_CHGP</v>
      </c>
      <c r="I1383" s="7" t="str">
        <f t="shared" si="172"/>
        <v>PARTY_ROLE_ID</v>
      </c>
      <c r="J1383" s="7" t="str">
        <f t="shared" si="173"/>
        <v>INTEGER</v>
      </c>
      <c r="K1383" s="7" t="str">
        <f>TRIM(ETLMetadata!$G1383)</f>
        <v>INTEGER</v>
      </c>
      <c r="L1383" s="7" t="str">
        <f>TRIM(ETLMetadata!$I1383)</f>
        <v/>
      </c>
      <c r="M1383" s="7" t="str">
        <f t="shared" si="174"/>
        <v>CAST(NULLIF(TRIM(PARTY_ROLE_ID),'') AS INTEGER)</v>
      </c>
      <c r="N1383" s="7" t="str">
        <f>TRIM(ETLMetadata!$J1383)</f>
        <v/>
      </c>
      <c r="O1383" s="8" t="str">
        <f>IF(TRIM(Classification!$G1383)="","NOT CONFIDENTIAL",TRIM(Classification!$G1383))</f>
        <v>NOT CONFIDENTIAL</v>
      </c>
      <c r="P1383" s="7" t="str">
        <f t="shared" si="175"/>
        <v>Y</v>
      </c>
      <c r="Q1383" s="7" t="s">
        <v>826</v>
      </c>
      <c r="R1383" s="9">
        <v>2958465</v>
      </c>
      <c r="S1383" s="7" t="s">
        <v>827</v>
      </c>
      <c r="T1383" s="7" t="s">
        <v>828</v>
      </c>
      <c r="U1383" s="7" t="str">
        <f t="shared" si="177"/>
        <v>CLK_KIDS_CHILD_CHGP_V</v>
      </c>
      <c r="V1383" s="7" t="s">
        <v>829</v>
      </c>
    </row>
    <row r="1384" spans="1:22">
      <c r="A1384" s="7" t="str">
        <f>TRIM(ETLMetadata!$B1384)</f>
        <v>CLK</v>
      </c>
      <c r="B1384" s="7" t="str">
        <f>TRIM(ETLMetadata!$C1384)</f>
        <v>KIDS_CHILD_CHGP</v>
      </c>
      <c r="C1384" s="7" t="str">
        <f>TRIM(ETLMetadata!$F1384)</f>
        <v>AMR1_RISL_DTS</v>
      </c>
      <c r="D1384" s="7" t="str">
        <f>TRIM(ETLMetadata!$H1384)</f>
        <v>StringType()</v>
      </c>
      <c r="E1384" s="7" t="str">
        <f t="shared" si="176"/>
        <v>CLK_KIDS_CHILD_CHGP</v>
      </c>
      <c r="F1384" s="7" t="str">
        <f t="shared" si="170"/>
        <v>AMR1_RISL_DTS</v>
      </c>
      <c r="G1384" s="7" t="s">
        <v>825</v>
      </c>
      <c r="H1384" s="7" t="str">
        <f t="shared" si="171"/>
        <v>CLK_KIDS_CHILD_CHGP</v>
      </c>
      <c r="I1384" s="7" t="str">
        <f t="shared" si="172"/>
        <v>AMR1_RISL_DTS</v>
      </c>
      <c r="J1384" s="7" t="str">
        <f t="shared" si="173"/>
        <v>TIMESTAMP</v>
      </c>
      <c r="K1384" s="7" t="str">
        <f>TRIM(ETLMetadata!$G1384)</f>
        <v>TIMESTAMP(6)</v>
      </c>
      <c r="L1384" s="7" t="str">
        <f>TRIM(ETLMetadata!$I1384)</f>
        <v>YYYY-MM-DDBHH:MI:SS.S(6)</v>
      </c>
      <c r="M1384" s="7" t="str">
        <f t="shared" si="174"/>
        <v>TO_TIMESTAMP_NTZ(NULLIF(TRIM(AMR1_RISL_DTS),''),'YYYY-MM-DD HH24:MI:SS.FF6')</v>
      </c>
      <c r="N1384" s="7" t="str">
        <f>TRIM(ETLMetadata!$J1384)</f>
        <v/>
      </c>
      <c r="O1384" s="8" t="str">
        <f>IF(TRIM(Classification!$G1384)="","NOT CONFIDENTIAL",TRIM(Classification!$G1384))</f>
        <v>NOT CONFIDENTIAL</v>
      </c>
      <c r="P1384" s="7" t="str">
        <f t="shared" si="175"/>
        <v>Y</v>
      </c>
      <c r="Q1384" s="7" t="s">
        <v>826</v>
      </c>
      <c r="R1384" s="9">
        <v>2958465</v>
      </c>
      <c r="S1384" s="7" t="s">
        <v>827</v>
      </c>
      <c r="T1384" s="7" t="s">
        <v>828</v>
      </c>
      <c r="U1384" s="7" t="str">
        <f t="shared" si="177"/>
        <v>CLK_KIDS_CHILD_CHGP_V</v>
      </c>
      <c r="V1384" s="7" t="s">
        <v>829</v>
      </c>
    </row>
    <row r="1385" spans="1:22">
      <c r="A1385" s="7" t="str">
        <f>TRIM(ETLMetadata!$B1385)</f>
        <v>CLK</v>
      </c>
      <c r="B1385" s="7" t="str">
        <f>TRIM(ETLMetadata!$C1385)</f>
        <v>KIDS_CHILD_CHGP</v>
      </c>
      <c r="C1385" s="7" t="str">
        <f>TRIM(ETLMetadata!$F1385)</f>
        <v>AMR3_RISL_DTS</v>
      </c>
      <c r="D1385" s="7" t="str">
        <f>TRIM(ETLMetadata!$H1385)</f>
        <v>StringType()</v>
      </c>
      <c r="E1385" s="7" t="str">
        <f t="shared" si="176"/>
        <v>CLK_KIDS_CHILD_CHGP</v>
      </c>
      <c r="F1385" s="7" t="str">
        <f t="shared" si="170"/>
        <v>AMR3_RISL_DTS</v>
      </c>
      <c r="G1385" s="7" t="s">
        <v>825</v>
      </c>
      <c r="H1385" s="7" t="str">
        <f t="shared" si="171"/>
        <v>CLK_KIDS_CHILD_CHGP</v>
      </c>
      <c r="I1385" s="7" t="str">
        <f t="shared" si="172"/>
        <v>AMR3_RISL_DTS</v>
      </c>
      <c r="J1385" s="7" t="str">
        <f t="shared" si="173"/>
        <v>TIMESTAMP</v>
      </c>
      <c r="K1385" s="7" t="str">
        <f>TRIM(ETLMetadata!$G1385)</f>
        <v>TIMESTAMP(6)</v>
      </c>
      <c r="L1385" s="7" t="str">
        <f>TRIM(ETLMetadata!$I1385)</f>
        <v>YYYY-MM-DDBHH:MI:SS.S(6)</v>
      </c>
      <c r="M1385" s="7" t="str">
        <f t="shared" si="174"/>
        <v>TO_TIMESTAMP_NTZ(NULLIF(TRIM(AMR3_RISL_DTS),''),'YYYY-MM-DD HH24:MI:SS.FF6')</v>
      </c>
      <c r="N1385" s="7" t="str">
        <f>TRIM(ETLMetadata!$J1385)</f>
        <v/>
      </c>
      <c r="O1385" s="8" t="str">
        <f>IF(TRIM(Classification!$G1385)="","NOT CONFIDENTIAL",TRIM(Classification!$G1385))</f>
        <v>NOT CONFIDENTIAL</v>
      </c>
      <c r="P1385" s="7" t="str">
        <f t="shared" si="175"/>
        <v>Y</v>
      </c>
      <c r="Q1385" s="7" t="s">
        <v>826</v>
      </c>
      <c r="R1385" s="9">
        <v>2958465</v>
      </c>
      <c r="S1385" s="7" t="s">
        <v>827</v>
      </c>
      <c r="T1385" s="7" t="s">
        <v>828</v>
      </c>
      <c r="U1385" s="7" t="str">
        <f t="shared" si="177"/>
        <v>CLK_KIDS_CHILD_CHGP_V</v>
      </c>
      <c r="V1385" s="7" t="s">
        <v>829</v>
      </c>
    </row>
    <row r="1386" spans="1:22">
      <c r="A1386" s="7" t="str">
        <f>TRIM(ETLMetadata!$B1386)</f>
        <v>CLK</v>
      </c>
      <c r="B1386" s="7" t="str">
        <f>TRIM(ETLMetadata!$C1386)</f>
        <v>KIDS_CHILD_CHGP</v>
      </c>
      <c r="C1386" s="7" t="str">
        <f>TRIM(ETLMetadata!$F1386)</f>
        <v>ERROR_COUNT</v>
      </c>
      <c r="D1386" s="7" t="str">
        <f>TRIM(ETLMetadata!$H1386)</f>
        <v>StringType()</v>
      </c>
      <c r="E1386" s="7" t="str">
        <f t="shared" si="176"/>
        <v>CLK_KIDS_CHILD_CHGP</v>
      </c>
      <c r="F1386" s="7" t="str">
        <f t="shared" si="170"/>
        <v>ERROR_COUNT</v>
      </c>
      <c r="G1386" s="7" t="s">
        <v>825</v>
      </c>
      <c r="H1386" s="7" t="str">
        <f t="shared" si="171"/>
        <v>CLK_KIDS_CHILD_CHGP</v>
      </c>
      <c r="I1386" s="7" t="str">
        <f t="shared" si="172"/>
        <v>ERROR_COUNT</v>
      </c>
      <c r="J1386" s="7" t="str">
        <f t="shared" si="173"/>
        <v>SMALLINT</v>
      </c>
      <c r="K1386" s="7" t="str">
        <f>TRIM(ETLMetadata!$G1386)</f>
        <v>SMALLINT</v>
      </c>
      <c r="L1386" s="7" t="str">
        <f>TRIM(ETLMetadata!$I1386)</f>
        <v/>
      </c>
      <c r="M1386" s="7" t="str">
        <f t="shared" si="174"/>
        <v>CAST(NULLIF(TRIM(ERROR_COUNT),'') AS SMALLINT)</v>
      </c>
      <c r="N1386" s="7" t="str">
        <f>TRIM(ETLMetadata!$J1386)</f>
        <v/>
      </c>
      <c r="O1386" s="8" t="str">
        <f>IF(TRIM(Classification!$G1386)="","NOT CONFIDENTIAL",TRIM(Classification!$G1386))</f>
        <v>NOT CONFIDENTIAL</v>
      </c>
      <c r="P1386" s="7" t="str">
        <f t="shared" si="175"/>
        <v>Y</v>
      </c>
      <c r="Q1386" s="7" t="s">
        <v>826</v>
      </c>
      <c r="R1386" s="9">
        <v>2958465</v>
      </c>
      <c r="S1386" s="7" t="s">
        <v>827</v>
      </c>
      <c r="T1386" s="7" t="s">
        <v>828</v>
      </c>
      <c r="U1386" s="7" t="str">
        <f t="shared" si="177"/>
        <v>CLK_KIDS_CHILD_CHGP_V</v>
      </c>
      <c r="V1386" s="7" t="s">
        <v>829</v>
      </c>
    </row>
    <row r="1387" spans="1:22">
      <c r="A1387" s="7" t="str">
        <f>TRIM(ETLMetadata!$B1387)</f>
        <v>CLK</v>
      </c>
      <c r="B1387" s="7" t="str">
        <f>TRIM(ETLMetadata!$C1387)</f>
        <v>KIDS_CHILD_CHGP</v>
      </c>
      <c r="C1387" s="7" t="str">
        <f>TRIM(ETLMetadata!$F1387)</f>
        <v>Start_Date</v>
      </c>
      <c r="D1387" s="7" t="str">
        <f>TRIM(ETLMetadata!$H1387)</f>
        <v>StringType()</v>
      </c>
      <c r="E1387" s="7" t="str">
        <f t="shared" si="176"/>
        <v>CLK_KIDS_CHILD_CHGP</v>
      </c>
      <c r="F1387" s="7" t="str">
        <f t="shared" si="170"/>
        <v>STRT_DT</v>
      </c>
      <c r="G1387" s="7" t="s">
        <v>825</v>
      </c>
      <c r="H1387" s="7" t="str">
        <f t="shared" si="171"/>
        <v>CLK_KIDS_CHILD_CHGP</v>
      </c>
      <c r="I1387" s="7" t="str">
        <f t="shared" si="172"/>
        <v>STRT_DT</v>
      </c>
      <c r="J1387" s="7" t="str">
        <f t="shared" si="173"/>
        <v>DATE</v>
      </c>
      <c r="K1387" s="7" t="str">
        <f>TRIM(ETLMetadata!$G1387)</f>
        <v>DATE</v>
      </c>
      <c r="L1387" s="7" t="str">
        <f>TRIM(ETLMetadata!$I1387)</f>
        <v>YYYY-MM-DD</v>
      </c>
      <c r="M1387" s="7" t="str">
        <f t="shared" si="174"/>
        <v>TO_DATE(NULLIF(TRIM(STRT_DT),'') , 'YYYY-MM-DD')</v>
      </c>
      <c r="N1387" s="7" t="str">
        <f>TRIM(ETLMetadata!$J1387)</f>
        <v/>
      </c>
      <c r="O1387" s="8" t="str">
        <f>IF(TRIM(Classification!$G1387)="","NOT CONFIDENTIAL",TRIM(Classification!$G1387))</f>
        <v>NOT CONFIDENTIAL</v>
      </c>
      <c r="P1387" s="7" t="str">
        <f t="shared" si="175"/>
        <v>N</v>
      </c>
      <c r="Q1387" s="7" t="s">
        <v>826</v>
      </c>
      <c r="R1387" s="9">
        <v>2958465</v>
      </c>
      <c r="S1387" s="7" t="s">
        <v>827</v>
      </c>
      <c r="T1387" s="7" t="s">
        <v>828</v>
      </c>
      <c r="U1387" s="7" t="str">
        <f t="shared" si="177"/>
        <v>CLK_KIDS_CHILD_CHGP_V</v>
      </c>
      <c r="V1387" s="7" t="s">
        <v>829</v>
      </c>
    </row>
    <row r="1388" spans="1:22">
      <c r="A1388" s="7" t="str">
        <f>TRIM(ETLMetadata!$B1388)</f>
        <v>CLK</v>
      </c>
      <c r="B1388" s="7" t="str">
        <f>TRIM(ETLMetadata!$C1388)</f>
        <v>KIDS_CHILD_CHGP</v>
      </c>
      <c r="C1388" s="7" t="str">
        <f>TRIM(ETLMetadata!$F1388)</f>
        <v>End_Date</v>
      </c>
      <c r="D1388" s="7" t="str">
        <f>TRIM(ETLMetadata!$H1388)</f>
        <v>StringType()</v>
      </c>
      <c r="E1388" s="7" t="str">
        <f t="shared" si="176"/>
        <v>CLK_KIDS_CHILD_CHGP</v>
      </c>
      <c r="F1388" s="7" t="str">
        <f t="shared" si="170"/>
        <v>END_DT</v>
      </c>
      <c r="G1388" s="7" t="s">
        <v>825</v>
      </c>
      <c r="H1388" s="7" t="str">
        <f t="shared" si="171"/>
        <v>CLK_KIDS_CHILD_CHGP</v>
      </c>
      <c r="I1388" s="7" t="str">
        <f t="shared" si="172"/>
        <v>END_DT</v>
      </c>
      <c r="J1388" s="7" t="str">
        <f t="shared" si="173"/>
        <v>DATE</v>
      </c>
      <c r="K1388" s="7" t="str">
        <f>TRIM(ETLMetadata!$G1388)</f>
        <v>DATE</v>
      </c>
      <c r="L1388" s="7" t="str">
        <f>TRIM(ETLMetadata!$I1388)</f>
        <v>YYYY-MM-DD</v>
      </c>
      <c r="M1388" s="7" t="str">
        <f t="shared" si="174"/>
        <v>TO_DATE(NULLIF(TRIM(END_DT),'') , 'YYYY-MM-DD')</v>
      </c>
      <c r="N1388" s="7" t="str">
        <f>TRIM(ETLMetadata!$J1388)</f>
        <v/>
      </c>
      <c r="O1388" s="8" t="str">
        <f>IF(TRIM(Classification!$G1388)="","NOT CONFIDENTIAL",TRIM(Classification!$G1388))</f>
        <v>NOT CONFIDENTIAL</v>
      </c>
      <c r="P1388" s="7" t="str">
        <f t="shared" si="175"/>
        <v>N</v>
      </c>
      <c r="Q1388" s="7" t="s">
        <v>826</v>
      </c>
      <c r="R1388" s="9">
        <v>2958465</v>
      </c>
      <c r="S1388" s="7" t="s">
        <v>827</v>
      </c>
      <c r="T1388" s="7" t="s">
        <v>828</v>
      </c>
      <c r="U1388" s="7" t="str">
        <f t="shared" si="177"/>
        <v>CLK_KIDS_CHILD_CHGP_V</v>
      </c>
      <c r="V1388" s="7" t="s">
        <v>829</v>
      </c>
    </row>
    <row r="1389" spans="1:22">
      <c r="A1389" s="7" t="str">
        <f>TRIM(ETLMetadata!$B1389)</f>
        <v>CLK</v>
      </c>
      <c r="B1389" s="7" t="str">
        <f>TRIM(ETLMetadata!$C1389)</f>
        <v>KIDS_CHILD_CHGP</v>
      </c>
      <c r="C1389" s="7" t="str">
        <f>TRIM(ETLMetadata!$F1389)</f>
        <v>Record_Deleted_Flag</v>
      </c>
      <c r="D1389" s="7" t="str">
        <f>TRIM(ETLMetadata!$H1389)</f>
        <v>StringType()</v>
      </c>
      <c r="E1389" s="7" t="str">
        <f t="shared" si="176"/>
        <v>CLK_KIDS_CHILD_CHGP</v>
      </c>
      <c r="F1389" s="7" t="str">
        <f t="shared" si="170"/>
        <v>RCRD_DEL_IND</v>
      </c>
      <c r="G1389" s="7" t="s">
        <v>825</v>
      </c>
      <c r="H1389" s="7" t="str">
        <f t="shared" si="171"/>
        <v>CLK_KIDS_CHILD_CHGP</v>
      </c>
      <c r="I1389" s="7" t="str">
        <f t="shared" si="172"/>
        <v>RCRD_DEL_IND</v>
      </c>
      <c r="J1389" s="7" t="str">
        <f t="shared" si="173"/>
        <v>SMALLINT</v>
      </c>
      <c r="K1389" s="7" t="str">
        <f>TRIM(ETLMetadata!$G1389)</f>
        <v>BYTEINT</v>
      </c>
      <c r="L1389" s="7" t="str">
        <f>TRIM(ETLMetadata!$I1389)</f>
        <v/>
      </c>
      <c r="M1389" s="7" t="str">
        <f t="shared" si="174"/>
        <v>CAST(NULLIF(TRIM(RCRD_DEL_IND),'') AS SMALLINT)</v>
      </c>
      <c r="N1389" s="7" t="str">
        <f>TRIM(ETLMetadata!$J1389)</f>
        <v/>
      </c>
      <c r="O1389" s="8" t="str">
        <f>IF(TRIM(Classification!$G1389)="","NOT CONFIDENTIAL",TRIM(Classification!$G1389))</f>
        <v>NOT CONFIDENTIAL</v>
      </c>
      <c r="P1389" s="7" t="str">
        <f t="shared" si="175"/>
        <v>N</v>
      </c>
      <c r="Q1389" s="7" t="s">
        <v>826</v>
      </c>
      <c r="R1389" s="9">
        <v>2958465</v>
      </c>
      <c r="S1389" s="7" t="s">
        <v>827</v>
      </c>
      <c r="T1389" s="7" t="s">
        <v>828</v>
      </c>
      <c r="U1389" s="7" t="str">
        <f t="shared" si="177"/>
        <v>CLK_KIDS_CHILD_CHGP_V</v>
      </c>
      <c r="V1389" s="7" t="s">
        <v>829</v>
      </c>
    </row>
    <row r="1390" spans="1:22">
      <c r="A1390" s="7" t="str">
        <f>TRIM(ETLMetadata!$B1390)</f>
        <v>CLK</v>
      </c>
      <c r="B1390" s="7" t="str">
        <f>TRIM(ETLMetadata!$C1390)</f>
        <v>LNK0_GLNK_CULD</v>
      </c>
      <c r="C1390" s="7" t="str">
        <f>TRIM(ETLMetadata!$F1390)</f>
        <v>EXTRACT_DATE</v>
      </c>
      <c r="D1390" s="7" t="str">
        <f>TRIM(ETLMetadata!$H1390)</f>
        <v>StringType()</v>
      </c>
      <c r="E1390" s="7" t="str">
        <f t="shared" si="176"/>
        <v>CLK_LNK0_GLNK_CULD</v>
      </c>
      <c r="F1390" s="7" t="str">
        <f t="shared" si="170"/>
        <v>EXTRACT_DATE</v>
      </c>
      <c r="G1390" s="7" t="s">
        <v>825</v>
      </c>
      <c r="H1390" s="7" t="str">
        <f t="shared" si="171"/>
        <v>CLK_LNK0_GLNK_CULD</v>
      </c>
      <c r="I1390" s="7" t="str">
        <f t="shared" si="172"/>
        <v>EXTRACT_DATE</v>
      </c>
      <c r="J1390" s="7" t="str">
        <f t="shared" si="173"/>
        <v>DATE</v>
      </c>
      <c r="K1390" s="7" t="str">
        <f>TRIM(ETLMetadata!$G1390)</f>
        <v>DATE</v>
      </c>
      <c r="L1390" s="7" t="str">
        <f>TRIM(ETLMetadata!$I1390)</f>
        <v>YYYY-MM-DD</v>
      </c>
      <c r="M1390" s="7" t="str">
        <f t="shared" si="174"/>
        <v>TO_DATE(NULLIF(TRIM(EXTRACT_DATE),'') , 'YYYY-MM-DD')</v>
      </c>
      <c r="N1390" s="7" t="str">
        <f>TRIM(ETLMetadata!$J1390)</f>
        <v/>
      </c>
      <c r="O1390" s="8" t="str">
        <f>IF(TRIM(Classification!$G1390)="","NOT CONFIDENTIAL",TRIM(Classification!$G1390))</f>
        <v>NOT CONFIDENTIAL</v>
      </c>
      <c r="P1390" s="7" t="str">
        <f t="shared" si="175"/>
        <v>Y</v>
      </c>
      <c r="Q1390" s="7" t="s">
        <v>826</v>
      </c>
      <c r="R1390" s="9">
        <v>2958465</v>
      </c>
      <c r="S1390" s="7" t="s">
        <v>827</v>
      </c>
      <c r="T1390" s="7" t="s">
        <v>828</v>
      </c>
      <c r="U1390" s="7" t="str">
        <f t="shared" si="177"/>
        <v>CLK_LNK0_GLNK_CULD_V</v>
      </c>
      <c r="V1390" s="7" t="s">
        <v>829</v>
      </c>
    </row>
    <row r="1391" spans="1:22">
      <c r="A1391" s="7" t="str">
        <f>TRIM(ETLMetadata!$B1391)</f>
        <v>CLK</v>
      </c>
      <c r="B1391" s="7" t="str">
        <f>TRIM(ETLMetadata!$C1391)</f>
        <v>LNK0_GLNK_CULD</v>
      </c>
      <c r="C1391" s="7" t="str">
        <f>TRIM(ETLMetadata!$F1391)</f>
        <v>LOGICAL_DELETE_DATE</v>
      </c>
      <c r="D1391" s="7" t="str">
        <f>TRIM(ETLMetadata!$H1391)</f>
        <v>StringType()</v>
      </c>
      <c r="E1391" s="7" t="str">
        <f t="shared" si="176"/>
        <v>CLK_LNK0_GLNK_CULD</v>
      </c>
      <c r="F1391" s="7" t="str">
        <f t="shared" si="170"/>
        <v>LOGICAL_DELETE_DATE</v>
      </c>
      <c r="G1391" s="7" t="s">
        <v>825</v>
      </c>
      <c r="H1391" s="7" t="str">
        <f t="shared" si="171"/>
        <v>CLK_LNK0_GLNK_CULD</v>
      </c>
      <c r="I1391" s="7" t="str">
        <f t="shared" si="172"/>
        <v>LOGICAL_DELETE_DATE</v>
      </c>
      <c r="J1391" s="7" t="str">
        <f t="shared" si="173"/>
        <v>DATE</v>
      </c>
      <c r="K1391" s="7" t="str">
        <f>TRIM(ETLMetadata!$G1391)</f>
        <v>DATE</v>
      </c>
      <c r="L1391" s="7" t="str">
        <f>TRIM(ETLMetadata!$I1391)</f>
        <v>YYYY-MM-DD</v>
      </c>
      <c r="M1391" s="7" t="str">
        <f t="shared" si="174"/>
        <v>TO_DATE(NULLIF(TRIM(LOGICAL_DELETE_DATE),'') , 'YYYY-MM-DD')</v>
      </c>
      <c r="N1391" s="7" t="str">
        <f>TRIM(ETLMetadata!$J1391)</f>
        <v/>
      </c>
      <c r="O1391" s="8" t="str">
        <f>IF(TRIM(Classification!$G1391)="","NOT CONFIDENTIAL",TRIM(Classification!$G1391))</f>
        <v>NOT CONFIDENTIAL</v>
      </c>
      <c r="P1391" s="7" t="str">
        <f t="shared" si="175"/>
        <v>Y</v>
      </c>
      <c r="Q1391" s="7" t="s">
        <v>826</v>
      </c>
      <c r="R1391" s="9">
        <v>2958465</v>
      </c>
      <c r="S1391" s="7" t="s">
        <v>827</v>
      </c>
      <c r="T1391" s="7" t="s">
        <v>828</v>
      </c>
      <c r="U1391" s="7" t="str">
        <f t="shared" si="177"/>
        <v>CLK_LNK0_GLNK_CULD_V</v>
      </c>
      <c r="V1391" s="7" t="s">
        <v>829</v>
      </c>
    </row>
    <row r="1392" spans="1:22">
      <c r="A1392" s="7" t="str">
        <f>TRIM(ETLMetadata!$B1392)</f>
        <v>CLK</v>
      </c>
      <c r="B1392" s="7" t="str">
        <f>TRIM(ETLMetadata!$C1392)</f>
        <v>LNK0_GLNK_CULD</v>
      </c>
      <c r="C1392" s="7" t="str">
        <f>TRIM(ETLMetadata!$F1392)</f>
        <v>ENVIRONMENT_ID</v>
      </c>
      <c r="D1392" s="7" t="str">
        <f>TRIM(ETLMetadata!$H1392)</f>
        <v>StringType()</v>
      </c>
      <c r="E1392" s="7" t="str">
        <f t="shared" si="176"/>
        <v>CLK_LNK0_GLNK_CULD</v>
      </c>
      <c r="F1392" s="7" t="str">
        <f t="shared" si="170"/>
        <v>ENVIRONMENT_ID</v>
      </c>
      <c r="G1392" s="7" t="s">
        <v>825</v>
      </c>
      <c r="H1392" s="7" t="str">
        <f t="shared" si="171"/>
        <v>CLK_LNK0_GLNK_CULD</v>
      </c>
      <c r="I1392" s="7" t="str">
        <f t="shared" si="172"/>
        <v>ENVIRONMENT_ID</v>
      </c>
      <c r="J1392" s="7" t="str">
        <f t="shared" si="173"/>
        <v>VARCHAR</v>
      </c>
      <c r="K1392" s="7" t="str">
        <f>TRIM(ETLMetadata!$G1392)</f>
        <v>CHAR(1)</v>
      </c>
      <c r="L1392" s="7" t="str">
        <f>TRIM(ETLMetadata!$I1392)</f>
        <v/>
      </c>
      <c r="M1392" s="7" t="str">
        <f t="shared" si="174"/>
        <v>NULLIF(TRIM(ENVIRONMENT_ID),'')</v>
      </c>
      <c r="N1392" s="7" t="str">
        <f>TRIM(ETLMetadata!$J1392)</f>
        <v>Y</v>
      </c>
      <c r="O1392" s="8" t="str">
        <f>IF(TRIM(Classification!$G1392)="","NOT CONFIDENTIAL",TRIM(Classification!$G1392))</f>
        <v>NOT CONFIDENTIAL</v>
      </c>
      <c r="P1392" s="7" t="str">
        <f t="shared" si="175"/>
        <v>Y</v>
      </c>
      <c r="Q1392" s="7" t="s">
        <v>826</v>
      </c>
      <c r="R1392" s="9">
        <v>2958465</v>
      </c>
      <c r="S1392" s="7" t="s">
        <v>827</v>
      </c>
      <c r="T1392" s="7" t="s">
        <v>828</v>
      </c>
      <c r="U1392" s="7" t="str">
        <f t="shared" si="177"/>
        <v>CLK_LNK0_GLNK_CULD_V</v>
      </c>
      <c r="V1392" s="7" t="s">
        <v>829</v>
      </c>
    </row>
    <row r="1393" spans="1:22">
      <c r="A1393" s="7" t="str">
        <f>TRIM(ETLMetadata!$B1393)</f>
        <v>CLK</v>
      </c>
      <c r="B1393" s="7" t="str">
        <f>TRIM(ETLMetadata!$C1393)</f>
        <v>LNK0_GLNK_CULD</v>
      </c>
      <c r="C1393" s="7" t="str">
        <f>TRIM(ETLMetadata!$F1393)</f>
        <v>SRC_PERSON_ID</v>
      </c>
      <c r="D1393" s="7" t="str">
        <f>TRIM(ETLMetadata!$H1393)</f>
        <v>StringType()</v>
      </c>
      <c r="E1393" s="7" t="str">
        <f t="shared" si="176"/>
        <v>CLK_LNK0_GLNK_CULD</v>
      </c>
      <c r="F1393" s="7" t="str">
        <f t="shared" si="170"/>
        <v>SRC_PERSON_ID</v>
      </c>
      <c r="G1393" s="7" t="s">
        <v>825</v>
      </c>
      <c r="H1393" s="7" t="str">
        <f t="shared" si="171"/>
        <v>CLK_LNK0_GLNK_CULD</v>
      </c>
      <c r="I1393" s="7" t="str">
        <f t="shared" si="172"/>
        <v>SRC_PERSON_ID</v>
      </c>
      <c r="J1393" s="7" t="str">
        <f t="shared" si="173"/>
        <v>INTEGER</v>
      </c>
      <c r="K1393" s="7" t="str">
        <f>TRIM(ETLMetadata!$G1393)</f>
        <v>INTEGER</v>
      </c>
      <c r="L1393" s="7" t="str">
        <f>TRIM(ETLMetadata!$I1393)</f>
        <v/>
      </c>
      <c r="M1393" s="7" t="str">
        <f t="shared" si="174"/>
        <v>CAST(NULLIF(TRIM(SRC_PERSON_ID),'') AS INTEGER)</v>
      </c>
      <c r="N1393" s="7" t="str">
        <f>TRIM(ETLMetadata!$J1393)</f>
        <v>Y</v>
      </c>
      <c r="O1393" s="8" t="str">
        <f>IF(TRIM(Classification!$G1393)="","NOT CONFIDENTIAL",TRIM(Classification!$G1393))</f>
        <v>PERSONAL_IDENTITYINFOINDIRECT</v>
      </c>
      <c r="P1393" s="7" t="str">
        <f t="shared" si="175"/>
        <v>Y</v>
      </c>
      <c r="Q1393" s="7" t="s">
        <v>826</v>
      </c>
      <c r="R1393" s="9">
        <v>2958465</v>
      </c>
      <c r="S1393" s="7" t="s">
        <v>827</v>
      </c>
      <c r="T1393" s="7" t="s">
        <v>828</v>
      </c>
      <c r="U1393" s="7" t="str">
        <f t="shared" si="177"/>
        <v>CLK_LNK0_GLNK_CULD_V</v>
      </c>
      <c r="V1393" s="7" t="s">
        <v>829</v>
      </c>
    </row>
    <row r="1394" spans="1:22">
      <c r="A1394" s="7" t="str">
        <f>TRIM(ETLMetadata!$B1394)</f>
        <v>CLK</v>
      </c>
      <c r="B1394" s="7" t="str">
        <f>TRIM(ETLMetadata!$C1394)</f>
        <v>LNK0_GLNK_CULD</v>
      </c>
      <c r="C1394" s="7" t="str">
        <f>TRIM(ETLMetadata!$F1394)</f>
        <v>DEST_PERSON_ID</v>
      </c>
      <c r="D1394" s="7" t="str">
        <f>TRIM(ETLMetadata!$H1394)</f>
        <v>StringType()</v>
      </c>
      <c r="E1394" s="7" t="str">
        <f t="shared" si="176"/>
        <v>CLK_LNK0_GLNK_CULD</v>
      </c>
      <c r="F1394" s="7" t="str">
        <f t="shared" si="170"/>
        <v>DEST_PERSON_ID</v>
      </c>
      <c r="G1394" s="7" t="s">
        <v>825</v>
      </c>
      <c r="H1394" s="7" t="str">
        <f t="shared" si="171"/>
        <v>CLK_LNK0_GLNK_CULD</v>
      </c>
      <c r="I1394" s="7" t="str">
        <f t="shared" si="172"/>
        <v>DEST_PERSON_ID</v>
      </c>
      <c r="J1394" s="7" t="str">
        <f t="shared" si="173"/>
        <v>INTEGER</v>
      </c>
      <c r="K1394" s="7" t="str">
        <f>TRIM(ETLMetadata!$G1394)</f>
        <v>INTEGER</v>
      </c>
      <c r="L1394" s="7" t="str">
        <f>TRIM(ETLMetadata!$I1394)</f>
        <v/>
      </c>
      <c r="M1394" s="7" t="str">
        <f t="shared" si="174"/>
        <v>CAST(NULLIF(TRIM(DEST_PERSON_ID),'') AS INTEGER)</v>
      </c>
      <c r="N1394" s="7" t="str">
        <f>TRIM(ETLMetadata!$J1394)</f>
        <v>Y</v>
      </c>
      <c r="O1394" s="8" t="str">
        <f>IF(TRIM(Classification!$G1394)="","NOT CONFIDENTIAL",TRIM(Classification!$G1394))</f>
        <v>PERSONAL_IDENTITYINFOINDIRECT</v>
      </c>
      <c r="P1394" s="7" t="str">
        <f t="shared" si="175"/>
        <v>Y</v>
      </c>
      <c r="Q1394" s="7" t="s">
        <v>826</v>
      </c>
      <c r="R1394" s="9">
        <v>2958465</v>
      </c>
      <c r="S1394" s="7" t="s">
        <v>827</v>
      </c>
      <c r="T1394" s="7" t="s">
        <v>828</v>
      </c>
      <c r="U1394" s="7" t="str">
        <f t="shared" si="177"/>
        <v>CLK_LNK0_GLNK_CULD_V</v>
      </c>
      <c r="V1394" s="7" t="s">
        <v>829</v>
      </c>
    </row>
    <row r="1395" spans="1:22">
      <c r="A1395" s="7" t="str">
        <f>TRIM(ETLMetadata!$B1395)</f>
        <v>CLK</v>
      </c>
      <c r="B1395" s="7" t="str">
        <f>TRIM(ETLMetadata!$C1395)</f>
        <v>LNK0_GLNK_CULD</v>
      </c>
      <c r="C1395" s="7" t="str">
        <f>TRIM(ETLMetadata!$F1395)</f>
        <v>LINK_TYPE_CODE</v>
      </c>
      <c r="D1395" s="7" t="str">
        <f>TRIM(ETLMetadata!$H1395)</f>
        <v>StringType()</v>
      </c>
      <c r="E1395" s="7" t="str">
        <f t="shared" si="176"/>
        <v>CLK_LNK0_GLNK_CULD</v>
      </c>
      <c r="F1395" s="7" t="str">
        <f t="shared" si="170"/>
        <v>LINK_TYPE_CODE</v>
      </c>
      <c r="G1395" s="7" t="s">
        <v>825</v>
      </c>
      <c r="H1395" s="7" t="str">
        <f t="shared" si="171"/>
        <v>CLK_LNK0_GLNK_CULD</v>
      </c>
      <c r="I1395" s="7" t="str">
        <f t="shared" si="172"/>
        <v>LINK_TYPE_CODE</v>
      </c>
      <c r="J1395" s="7" t="str">
        <f t="shared" si="173"/>
        <v>VARCHAR</v>
      </c>
      <c r="K1395" s="7" t="str">
        <f>TRIM(ETLMetadata!$G1395)</f>
        <v>CHAR(3)</v>
      </c>
      <c r="L1395" s="7" t="str">
        <f>TRIM(ETLMetadata!$I1395)</f>
        <v/>
      </c>
      <c r="M1395" s="7" t="str">
        <f t="shared" si="174"/>
        <v>NULLIF(TRIM(LINK_TYPE_CODE),'')</v>
      </c>
      <c r="N1395" s="7" t="str">
        <f>TRIM(ETLMetadata!$J1395)</f>
        <v>Y</v>
      </c>
      <c r="O1395" s="8" t="str">
        <f>IF(TRIM(Classification!$G1395)="","NOT CONFIDENTIAL",TRIM(Classification!$G1395))</f>
        <v>NOT CONFIDENTIAL</v>
      </c>
      <c r="P1395" s="7" t="str">
        <f t="shared" si="175"/>
        <v>Y</v>
      </c>
      <c r="Q1395" s="7" t="s">
        <v>826</v>
      </c>
      <c r="R1395" s="9">
        <v>2958465</v>
      </c>
      <c r="S1395" s="7" t="s">
        <v>827</v>
      </c>
      <c r="T1395" s="7" t="s">
        <v>828</v>
      </c>
      <c r="U1395" s="7" t="str">
        <f t="shared" si="177"/>
        <v>CLK_LNK0_GLNK_CULD_V</v>
      </c>
      <c r="V1395" s="7" t="s">
        <v>829</v>
      </c>
    </row>
    <row r="1396" spans="1:22">
      <c r="A1396" s="7" t="str">
        <f>TRIM(ETLMetadata!$B1396)</f>
        <v>CLK</v>
      </c>
      <c r="B1396" s="7" t="str">
        <f>TRIM(ETLMetadata!$C1396)</f>
        <v>LNK0_GLNK_CULD</v>
      </c>
      <c r="C1396" s="7" t="str">
        <f>TRIM(ETLMetadata!$F1396)</f>
        <v>SRC_SVC_RSN_CODE</v>
      </c>
      <c r="D1396" s="7" t="str">
        <f>TRIM(ETLMetadata!$H1396)</f>
        <v>StringType()</v>
      </c>
      <c r="E1396" s="7" t="str">
        <f t="shared" si="176"/>
        <v>CLK_LNK0_GLNK_CULD</v>
      </c>
      <c r="F1396" s="7" t="str">
        <f t="shared" si="170"/>
        <v>SRC_SVC_RSN_CODE</v>
      </c>
      <c r="G1396" s="7" t="s">
        <v>825</v>
      </c>
      <c r="H1396" s="7" t="str">
        <f t="shared" si="171"/>
        <v>CLK_LNK0_GLNK_CULD</v>
      </c>
      <c r="I1396" s="7" t="str">
        <f t="shared" si="172"/>
        <v>SRC_SVC_RSN_CODE</v>
      </c>
      <c r="J1396" s="7" t="str">
        <f t="shared" si="173"/>
        <v>VARCHAR</v>
      </c>
      <c r="K1396" s="7" t="str">
        <f>TRIM(ETLMetadata!$G1396)</f>
        <v>CHAR(3)</v>
      </c>
      <c r="L1396" s="7" t="str">
        <f>TRIM(ETLMetadata!$I1396)</f>
        <v/>
      </c>
      <c r="M1396" s="7" t="str">
        <f t="shared" si="174"/>
        <v>NULLIF(TRIM(SRC_SVC_RSN_CODE),'')</v>
      </c>
      <c r="N1396" s="7" t="str">
        <f>TRIM(ETLMetadata!$J1396)</f>
        <v>Y</v>
      </c>
      <c r="O1396" s="8" t="str">
        <f>IF(TRIM(Classification!$G1396)="","NOT CONFIDENTIAL",TRIM(Classification!$G1396))</f>
        <v>NOT CONFIDENTIAL</v>
      </c>
      <c r="P1396" s="7" t="str">
        <f t="shared" si="175"/>
        <v>Y</v>
      </c>
      <c r="Q1396" s="7" t="s">
        <v>826</v>
      </c>
      <c r="R1396" s="9">
        <v>2958465</v>
      </c>
      <c r="S1396" s="7" t="s">
        <v>827</v>
      </c>
      <c r="T1396" s="7" t="s">
        <v>828</v>
      </c>
      <c r="U1396" s="7" t="str">
        <f t="shared" si="177"/>
        <v>CLK_LNK0_GLNK_CULD_V</v>
      </c>
      <c r="V1396" s="7" t="s">
        <v>829</v>
      </c>
    </row>
    <row r="1397" spans="1:22">
      <c r="A1397" s="7" t="str">
        <f>TRIM(ETLMetadata!$B1397)</f>
        <v>CLK</v>
      </c>
      <c r="B1397" s="7" t="str">
        <f>TRIM(ETLMetadata!$C1397)</f>
        <v>LNK0_GLNK_CULD</v>
      </c>
      <c r="C1397" s="7" t="str">
        <f>TRIM(ETLMetadata!$F1397)</f>
        <v>DEST_SVC_RSN_CODE</v>
      </c>
      <c r="D1397" s="7" t="str">
        <f>TRIM(ETLMetadata!$H1397)</f>
        <v>StringType()</v>
      </c>
      <c r="E1397" s="7" t="str">
        <f t="shared" si="176"/>
        <v>CLK_LNK0_GLNK_CULD</v>
      </c>
      <c r="F1397" s="7" t="str">
        <f t="shared" si="170"/>
        <v>DEST_SVC_RSN_CODE</v>
      </c>
      <c r="G1397" s="7" t="s">
        <v>825</v>
      </c>
      <c r="H1397" s="7" t="str">
        <f t="shared" si="171"/>
        <v>CLK_LNK0_GLNK_CULD</v>
      </c>
      <c r="I1397" s="7" t="str">
        <f t="shared" si="172"/>
        <v>DEST_SVC_RSN_CODE</v>
      </c>
      <c r="J1397" s="7" t="str">
        <f t="shared" si="173"/>
        <v>VARCHAR</v>
      </c>
      <c r="K1397" s="7" t="str">
        <f>TRIM(ETLMetadata!$G1397)</f>
        <v>CHAR(3)</v>
      </c>
      <c r="L1397" s="7" t="str">
        <f>TRIM(ETLMetadata!$I1397)</f>
        <v/>
      </c>
      <c r="M1397" s="7" t="str">
        <f t="shared" si="174"/>
        <v>NULLIF(TRIM(DEST_SVC_RSN_CODE),'')</v>
      </c>
      <c r="N1397" s="7" t="str">
        <f>TRIM(ETLMetadata!$J1397)</f>
        <v>Y</v>
      </c>
      <c r="O1397" s="8" t="str">
        <f>IF(TRIM(Classification!$G1397)="","NOT CONFIDENTIAL",TRIM(Classification!$G1397))</f>
        <v>NOT CONFIDENTIAL</v>
      </c>
      <c r="P1397" s="7" t="str">
        <f t="shared" si="175"/>
        <v>Y</v>
      </c>
      <c r="Q1397" s="7" t="s">
        <v>826</v>
      </c>
      <c r="R1397" s="9">
        <v>2958465</v>
      </c>
      <c r="S1397" s="7" t="s">
        <v>827</v>
      </c>
      <c r="T1397" s="7" t="s">
        <v>828</v>
      </c>
      <c r="U1397" s="7" t="str">
        <f t="shared" si="177"/>
        <v>CLK_LNK0_GLNK_CULD_V</v>
      </c>
      <c r="V1397" s="7" t="s">
        <v>829</v>
      </c>
    </row>
    <row r="1398" spans="1:22">
      <c r="A1398" s="7" t="str">
        <f>TRIM(ETLMetadata!$B1398)</f>
        <v>CLK</v>
      </c>
      <c r="B1398" s="7" t="str">
        <f>TRIM(ETLMetadata!$C1398)</f>
        <v>LNK0_GLNK_CULD</v>
      </c>
      <c r="C1398" s="7" t="str">
        <f>TRIM(ETLMetadata!$F1398)</f>
        <v>CULD_DOV</v>
      </c>
      <c r="D1398" s="7" t="str">
        <f>TRIM(ETLMetadata!$H1398)</f>
        <v>StringType()</v>
      </c>
      <c r="E1398" s="7" t="str">
        <f t="shared" si="176"/>
        <v>CLK_LNK0_GLNK_CULD</v>
      </c>
      <c r="F1398" s="7" t="str">
        <f t="shared" si="170"/>
        <v>CULD_DOV</v>
      </c>
      <c r="G1398" s="7" t="s">
        <v>825</v>
      </c>
      <c r="H1398" s="7" t="str">
        <f t="shared" si="171"/>
        <v>CLK_LNK0_GLNK_CULD</v>
      </c>
      <c r="I1398" s="7" t="str">
        <f t="shared" si="172"/>
        <v>CULD_DOV</v>
      </c>
      <c r="J1398" s="7" t="str">
        <f t="shared" si="173"/>
        <v>DATE</v>
      </c>
      <c r="K1398" s="17" t="s">
        <v>80</v>
      </c>
      <c r="L1398" s="7" t="str">
        <f>TRIM(ETLMetadata!$I1398)</f>
        <v>YYYY-MM-DD</v>
      </c>
      <c r="M1398" s="7" t="str">
        <f t="shared" si="174"/>
        <v>TO_DATE(NULLIF(TRIM(CULD_DOV),'') , 'YYYY-MM-DD')</v>
      </c>
      <c r="N1398" s="7" t="str">
        <f>TRIM(ETLMetadata!$J1398)</f>
        <v/>
      </c>
      <c r="O1398" s="8" t="str">
        <f>IF(TRIM(Classification!$G1398)="","NOT CONFIDENTIAL",TRIM(Classification!$G1398))</f>
        <v>NOT CONFIDENTIAL</v>
      </c>
      <c r="P1398" s="7" t="str">
        <f t="shared" si="175"/>
        <v>Y</v>
      </c>
      <c r="Q1398" s="7" t="s">
        <v>826</v>
      </c>
      <c r="R1398" s="9">
        <v>2958465</v>
      </c>
      <c r="S1398" s="7" t="s">
        <v>827</v>
      </c>
      <c r="T1398" s="7" t="s">
        <v>828</v>
      </c>
      <c r="U1398" s="7" t="str">
        <f t="shared" si="177"/>
        <v>CLK_LNK0_GLNK_CULD_V</v>
      </c>
      <c r="V1398" s="7" t="s">
        <v>829</v>
      </c>
    </row>
    <row r="1399" spans="1:22">
      <c r="A1399" s="7" t="str">
        <f>TRIM(ETLMetadata!$B1399)</f>
        <v>CLK</v>
      </c>
      <c r="B1399" s="7" t="str">
        <f>TRIM(ETLMetadata!$C1399)</f>
        <v>LNK0_GLNK_CULD</v>
      </c>
      <c r="C1399" s="7" t="str">
        <f>TRIM(ETLMetadata!$F1399)</f>
        <v>CULD_DOV_ORIG</v>
      </c>
      <c r="D1399" s="7" t="str">
        <f>TRIM(ETLMetadata!$H1399)</f>
        <v>StringType()</v>
      </c>
      <c r="E1399" s="7" t="str">
        <f t="shared" si="176"/>
        <v>CLK_LNK0_GLNK_CULD</v>
      </c>
      <c r="F1399" s="7" t="str">
        <f t="shared" si="170"/>
        <v>CULD_DOV_ORIG</v>
      </c>
      <c r="G1399" s="7" t="s">
        <v>825</v>
      </c>
      <c r="H1399" s="7" t="str">
        <f t="shared" si="171"/>
        <v>CLK_LNK0_GLNK_CULD</v>
      </c>
      <c r="I1399" s="7" t="str">
        <f t="shared" si="172"/>
        <v>CULD_DOV_ORIG</v>
      </c>
      <c r="J1399" s="7" t="str">
        <f t="shared" si="173"/>
        <v>INTEGER</v>
      </c>
      <c r="K1399" s="17" t="s">
        <v>90</v>
      </c>
      <c r="L1399" s="7" t="str">
        <f>TRIM(ETLMetadata!$I1399)</f>
        <v/>
      </c>
      <c r="M1399" s="7" t="str">
        <f t="shared" si="174"/>
        <v>CAST(NULLIF(TRIM(CULD_DOV_ORIG),'') AS INTEGER)</v>
      </c>
      <c r="N1399" s="7" t="str">
        <f>TRIM(ETLMetadata!$J1399)</f>
        <v>Y</v>
      </c>
      <c r="O1399" s="8" t="str">
        <f>IF(TRIM(Classification!$G1399)="","NOT CONFIDENTIAL",TRIM(Classification!$G1399))</f>
        <v>NOT CONFIDENTIAL</v>
      </c>
      <c r="P1399" s="7" t="str">
        <f t="shared" si="175"/>
        <v>Y</v>
      </c>
      <c r="Q1399" s="7" t="s">
        <v>826</v>
      </c>
      <c r="R1399" s="9">
        <v>2958465</v>
      </c>
      <c r="S1399" s="7" t="s">
        <v>827</v>
      </c>
      <c r="T1399" s="7" t="s">
        <v>828</v>
      </c>
      <c r="U1399" s="7" t="str">
        <f t="shared" si="177"/>
        <v>CLK_LNK0_GLNK_CULD_V</v>
      </c>
      <c r="V1399" s="7" t="s">
        <v>829</v>
      </c>
    </row>
    <row r="1400" spans="1:22">
      <c r="A1400" s="7" t="str">
        <f>TRIM(ETLMetadata!$B1400)</f>
        <v>CLK</v>
      </c>
      <c r="B1400" s="7" t="str">
        <f>TRIM(ETLMetadata!$C1400)</f>
        <v>LNK0_GLNK_CULD</v>
      </c>
      <c r="C1400" s="7" t="str">
        <f>TRIM(ETLMetadata!$F1400)</f>
        <v>PROCESSING_SEQUENCE</v>
      </c>
      <c r="D1400" s="7" t="str">
        <f>TRIM(ETLMetadata!$H1400)</f>
        <v>StringType()</v>
      </c>
      <c r="E1400" s="7" t="str">
        <f t="shared" si="176"/>
        <v>CLK_LNK0_GLNK_CULD</v>
      </c>
      <c r="F1400" s="7" t="str">
        <f t="shared" si="170"/>
        <v>PROCESSING_SEQUENCE</v>
      </c>
      <c r="G1400" s="7" t="s">
        <v>825</v>
      </c>
      <c r="H1400" s="7" t="str">
        <f t="shared" si="171"/>
        <v>CLK_LNK0_GLNK_CULD</v>
      </c>
      <c r="I1400" s="7" t="str">
        <f t="shared" si="172"/>
        <v>PROCESSING_SEQUENCE</v>
      </c>
      <c r="J1400" s="7" t="str">
        <f t="shared" si="173"/>
        <v>SMALLINT</v>
      </c>
      <c r="K1400" s="7" t="str">
        <f>TRIM(ETLMetadata!$G1400)</f>
        <v>SMALLINT</v>
      </c>
      <c r="L1400" s="7" t="str">
        <f>TRIM(ETLMetadata!$I1400)</f>
        <v/>
      </c>
      <c r="M1400" s="7" t="str">
        <f t="shared" si="174"/>
        <v>CAST(NULLIF(TRIM(PROCESSING_SEQUENCE),'') AS SMALLINT)</v>
      </c>
      <c r="N1400" s="7" t="str">
        <f>TRIM(ETLMetadata!$J1400)</f>
        <v>Y</v>
      </c>
      <c r="O1400" s="8" t="str">
        <f>IF(TRIM(Classification!$G1400)="","NOT CONFIDENTIAL",TRIM(Classification!$G1400))</f>
        <v>NOT CONFIDENTIAL</v>
      </c>
      <c r="P1400" s="7" t="str">
        <f t="shared" si="175"/>
        <v>Y</v>
      </c>
      <c r="Q1400" s="7" t="s">
        <v>826</v>
      </c>
      <c r="R1400" s="9">
        <v>2958465</v>
      </c>
      <c r="S1400" s="7" t="s">
        <v>827</v>
      </c>
      <c r="T1400" s="7" t="s">
        <v>828</v>
      </c>
      <c r="U1400" s="7" t="str">
        <f t="shared" si="177"/>
        <v>CLK_LNK0_GLNK_CULD_V</v>
      </c>
      <c r="V1400" s="7" t="s">
        <v>829</v>
      </c>
    </row>
    <row r="1401" spans="1:22">
      <c r="A1401" s="7" t="str">
        <f>TRIM(ETLMetadata!$B1401)</f>
        <v>CLK</v>
      </c>
      <c r="B1401" s="7" t="str">
        <f>TRIM(ETLMetadata!$C1401)</f>
        <v>LNK0_GLNK_CULD</v>
      </c>
      <c r="C1401" s="7" t="str">
        <f>TRIM(ETLMetadata!$F1401)</f>
        <v>CULD_AMR_1</v>
      </c>
      <c r="D1401" s="7" t="str">
        <f>TRIM(ETLMetadata!$H1401)</f>
        <v>StringType()</v>
      </c>
      <c r="E1401" s="7" t="str">
        <f t="shared" si="176"/>
        <v>CLK_LNK0_GLNK_CULD</v>
      </c>
      <c r="F1401" s="7" t="str">
        <f t="shared" si="170"/>
        <v>CULD_AMR_1</v>
      </c>
      <c r="G1401" s="7" t="s">
        <v>825</v>
      </c>
      <c r="H1401" s="7" t="str">
        <f t="shared" si="171"/>
        <v>CLK_LNK0_GLNK_CULD</v>
      </c>
      <c r="I1401" s="7" t="str">
        <f t="shared" si="172"/>
        <v>CULD_AMR_1</v>
      </c>
      <c r="J1401" s="7" t="str">
        <f t="shared" si="173"/>
        <v>VARCHAR</v>
      </c>
      <c r="K1401" s="7" t="str">
        <f>TRIM(ETLMetadata!$G1401)</f>
        <v>CHAR(4)</v>
      </c>
      <c r="L1401" s="7" t="str">
        <f>TRIM(ETLMetadata!$I1401)</f>
        <v/>
      </c>
      <c r="M1401" s="7" t="str">
        <f t="shared" si="174"/>
        <v>NULLIF(TRIM(CULD_AMR_1),'')</v>
      </c>
      <c r="N1401" s="7" t="str">
        <f>TRIM(ETLMetadata!$J1401)</f>
        <v>Y</v>
      </c>
      <c r="O1401" s="8" t="str">
        <f>IF(TRIM(Classification!$G1401)="","NOT CONFIDENTIAL",TRIM(Classification!$G1401))</f>
        <v>NOT CONFIDENTIAL</v>
      </c>
      <c r="P1401" s="7" t="str">
        <f t="shared" si="175"/>
        <v>Y</v>
      </c>
      <c r="Q1401" s="7" t="s">
        <v>826</v>
      </c>
      <c r="R1401" s="9">
        <v>2958465</v>
      </c>
      <c r="S1401" s="7" t="s">
        <v>827</v>
      </c>
      <c r="T1401" s="7" t="s">
        <v>828</v>
      </c>
      <c r="U1401" s="7" t="str">
        <f t="shared" si="177"/>
        <v>CLK_LNK0_GLNK_CULD_V</v>
      </c>
      <c r="V1401" s="7" t="s">
        <v>829</v>
      </c>
    </row>
    <row r="1402" spans="1:22">
      <c r="A1402" s="7" t="str">
        <f>TRIM(ETLMetadata!$B1402)</f>
        <v>CLK</v>
      </c>
      <c r="B1402" s="7" t="str">
        <f>TRIM(ETLMetadata!$C1402)</f>
        <v>LNK0_GLNK_CULD</v>
      </c>
      <c r="C1402" s="7" t="str">
        <f>TRIM(ETLMetadata!$F1402)</f>
        <v>CULD_AMR_2</v>
      </c>
      <c r="D1402" s="7" t="str">
        <f>TRIM(ETLMetadata!$H1402)</f>
        <v>StringType()</v>
      </c>
      <c r="E1402" s="7" t="str">
        <f t="shared" si="176"/>
        <v>CLK_LNK0_GLNK_CULD</v>
      </c>
      <c r="F1402" s="7" t="str">
        <f t="shared" si="170"/>
        <v>CULD_AMR_2</v>
      </c>
      <c r="G1402" s="7" t="s">
        <v>825</v>
      </c>
      <c r="H1402" s="7" t="str">
        <f t="shared" si="171"/>
        <v>CLK_LNK0_GLNK_CULD</v>
      </c>
      <c r="I1402" s="7" t="str">
        <f t="shared" si="172"/>
        <v>CULD_AMR_2</v>
      </c>
      <c r="J1402" s="7" t="str">
        <f t="shared" si="173"/>
        <v>VARCHAR</v>
      </c>
      <c r="K1402" s="7" t="str">
        <f>TRIM(ETLMetadata!$G1402)</f>
        <v>CHAR(1)</v>
      </c>
      <c r="L1402" s="7" t="str">
        <f>TRIM(ETLMetadata!$I1402)</f>
        <v/>
      </c>
      <c r="M1402" s="7" t="str">
        <f t="shared" si="174"/>
        <v>NULLIF(TRIM(CULD_AMR_2),'')</v>
      </c>
      <c r="N1402" s="7" t="str">
        <f>TRIM(ETLMetadata!$J1402)</f>
        <v/>
      </c>
      <c r="O1402" s="8" t="str">
        <f>IF(TRIM(Classification!$G1402)="","NOT CONFIDENTIAL",TRIM(Classification!$G1402))</f>
        <v>NOT CONFIDENTIAL</v>
      </c>
      <c r="P1402" s="7" t="str">
        <f t="shared" si="175"/>
        <v>Y</v>
      </c>
      <c r="Q1402" s="7" t="s">
        <v>826</v>
      </c>
      <c r="R1402" s="9">
        <v>2958465</v>
      </c>
      <c r="S1402" s="7" t="s">
        <v>827</v>
      </c>
      <c r="T1402" s="7" t="s">
        <v>828</v>
      </c>
      <c r="U1402" s="7" t="str">
        <f t="shared" si="177"/>
        <v>CLK_LNK0_GLNK_CULD_V</v>
      </c>
      <c r="V1402" s="7" t="s">
        <v>829</v>
      </c>
    </row>
    <row r="1403" spans="1:22">
      <c r="A1403" s="7" t="str">
        <f>TRIM(ETLMetadata!$B1403)</f>
        <v>CLK</v>
      </c>
      <c r="B1403" s="7" t="str">
        <f>TRIM(ETLMetadata!$C1403)</f>
        <v>LNK0_GLNK_CULD</v>
      </c>
      <c r="C1403" s="7" t="str">
        <f>TRIM(ETLMetadata!$F1403)</f>
        <v>CULD_AMR_3</v>
      </c>
      <c r="D1403" s="7" t="str">
        <f>TRIM(ETLMetadata!$H1403)</f>
        <v>StringType()</v>
      </c>
      <c r="E1403" s="7" t="str">
        <f t="shared" si="176"/>
        <v>CLK_LNK0_GLNK_CULD</v>
      </c>
      <c r="F1403" s="7" t="str">
        <f t="shared" si="170"/>
        <v>CULD_AMR_3</v>
      </c>
      <c r="G1403" s="7" t="s">
        <v>825</v>
      </c>
      <c r="H1403" s="7" t="str">
        <f t="shared" si="171"/>
        <v>CLK_LNK0_GLNK_CULD</v>
      </c>
      <c r="I1403" s="7" t="str">
        <f t="shared" si="172"/>
        <v>CULD_AMR_3</v>
      </c>
      <c r="J1403" s="7" t="str">
        <f t="shared" si="173"/>
        <v>VARCHAR</v>
      </c>
      <c r="K1403" s="7" t="str">
        <f>TRIM(ETLMetadata!$G1403)</f>
        <v>CHAR(4)</v>
      </c>
      <c r="L1403" s="7" t="str">
        <f>TRIM(ETLMetadata!$I1403)</f>
        <v/>
      </c>
      <c r="M1403" s="7" t="str">
        <f t="shared" si="174"/>
        <v>NULLIF(TRIM(CULD_AMR_3),'')</v>
      </c>
      <c r="N1403" s="7" t="str">
        <f>TRIM(ETLMetadata!$J1403)</f>
        <v/>
      </c>
      <c r="O1403" s="8" t="str">
        <f>IF(TRIM(Classification!$G1403)="","NOT CONFIDENTIAL",TRIM(Classification!$G1403))</f>
        <v>NOT CONFIDENTIAL</v>
      </c>
      <c r="P1403" s="7" t="str">
        <f t="shared" si="175"/>
        <v>Y</v>
      </c>
      <c r="Q1403" s="7" t="s">
        <v>826</v>
      </c>
      <c r="R1403" s="9">
        <v>2958465</v>
      </c>
      <c r="S1403" s="7" t="s">
        <v>827</v>
      </c>
      <c r="T1403" s="7" t="s">
        <v>828</v>
      </c>
      <c r="U1403" s="7" t="str">
        <f t="shared" si="177"/>
        <v>CLK_LNK0_GLNK_CULD_V</v>
      </c>
      <c r="V1403" s="7" t="s">
        <v>829</v>
      </c>
    </row>
    <row r="1404" spans="1:22">
      <c r="A1404" s="7" t="str">
        <f>TRIM(ETLMetadata!$B1404)</f>
        <v>CLK</v>
      </c>
      <c r="B1404" s="7" t="str">
        <f>TRIM(ETLMetadata!$C1404)</f>
        <v>LNK0_GLNK_CULD</v>
      </c>
      <c r="C1404" s="7" t="str">
        <f>TRIM(ETLMetadata!$F1404)</f>
        <v>CULD_END_RSN_CODE</v>
      </c>
      <c r="D1404" s="7" t="str">
        <f>TRIM(ETLMetadata!$H1404)</f>
        <v>StringType()</v>
      </c>
      <c r="E1404" s="7" t="str">
        <f t="shared" si="176"/>
        <v>CLK_LNK0_GLNK_CULD</v>
      </c>
      <c r="F1404" s="7" t="str">
        <f t="shared" si="170"/>
        <v>CULD_END_RSN_CODE</v>
      </c>
      <c r="G1404" s="7" t="s">
        <v>825</v>
      </c>
      <c r="H1404" s="7" t="str">
        <f t="shared" si="171"/>
        <v>CLK_LNK0_GLNK_CULD</v>
      </c>
      <c r="I1404" s="7" t="str">
        <f t="shared" si="172"/>
        <v>CULD_END_RSN_CODE</v>
      </c>
      <c r="J1404" s="7" t="str">
        <f t="shared" si="173"/>
        <v>VARCHAR</v>
      </c>
      <c r="K1404" s="7" t="str">
        <f>TRIM(ETLMetadata!$G1404)</f>
        <v>CHAR(3)</v>
      </c>
      <c r="L1404" s="7" t="str">
        <f>TRIM(ETLMetadata!$I1404)</f>
        <v/>
      </c>
      <c r="M1404" s="7" t="str">
        <f t="shared" si="174"/>
        <v>NULLIF(TRIM(CULD_END_RSN_CODE),'')</v>
      </c>
      <c r="N1404" s="7" t="str">
        <f>TRIM(ETLMetadata!$J1404)</f>
        <v/>
      </c>
      <c r="O1404" s="8" t="str">
        <f>IF(TRIM(Classification!$G1404)="","NOT CONFIDENTIAL",TRIM(Classification!$G1404))</f>
        <v>NOT CONFIDENTIAL</v>
      </c>
      <c r="P1404" s="7" t="str">
        <f t="shared" si="175"/>
        <v>Y</v>
      </c>
      <c r="Q1404" s="7" t="s">
        <v>826</v>
      </c>
      <c r="R1404" s="9">
        <v>2958465</v>
      </c>
      <c r="S1404" s="7" t="s">
        <v>827</v>
      </c>
      <c r="T1404" s="7" t="s">
        <v>828</v>
      </c>
      <c r="U1404" s="7" t="str">
        <f t="shared" si="177"/>
        <v>CLK_LNK0_GLNK_CULD_V</v>
      </c>
      <c r="V1404" s="7" t="s">
        <v>829</v>
      </c>
    </row>
    <row r="1405" spans="1:22">
      <c r="A1405" s="7" t="str">
        <f>TRIM(ETLMetadata!$B1405)</f>
        <v>CLK</v>
      </c>
      <c r="B1405" s="7" t="str">
        <f>TRIM(ETLMetadata!$C1405)</f>
        <v>LNK0_GLNK_CULD</v>
      </c>
      <c r="C1405" s="7" t="str">
        <f>TRIM(ETLMetadata!$F1405)</f>
        <v>AMR1_RISL_DTS</v>
      </c>
      <c r="D1405" s="7" t="str">
        <f>TRIM(ETLMetadata!$H1405)</f>
        <v>StringType()</v>
      </c>
      <c r="E1405" s="7" t="str">
        <f t="shared" si="176"/>
        <v>CLK_LNK0_GLNK_CULD</v>
      </c>
      <c r="F1405" s="7" t="str">
        <f t="shared" si="170"/>
        <v>AMR1_RISL_DTS</v>
      </c>
      <c r="G1405" s="7" t="s">
        <v>825</v>
      </c>
      <c r="H1405" s="7" t="str">
        <f t="shared" si="171"/>
        <v>CLK_LNK0_GLNK_CULD</v>
      </c>
      <c r="I1405" s="7" t="str">
        <f t="shared" si="172"/>
        <v>AMR1_RISL_DTS</v>
      </c>
      <c r="J1405" s="7" t="str">
        <f t="shared" si="173"/>
        <v>TIMESTAMP</v>
      </c>
      <c r="K1405" s="7" t="str">
        <f>TRIM(ETLMetadata!$G1405)</f>
        <v>TIMESTAMP(6)</v>
      </c>
      <c r="L1405" s="7" t="str">
        <f>TRIM(ETLMetadata!$I1405)</f>
        <v>YYYY-MM-DDBHH:MI:SS.S(6)</v>
      </c>
      <c r="M1405" s="7" t="str">
        <f t="shared" si="174"/>
        <v>TO_TIMESTAMP_NTZ(NULLIF(TRIM(AMR1_RISL_DTS),''),'YYYY-MM-DD HH24:MI:SS.FF6')</v>
      </c>
      <c r="N1405" s="7" t="str">
        <f>TRIM(ETLMetadata!$J1405)</f>
        <v/>
      </c>
      <c r="O1405" s="8" t="str">
        <f>IF(TRIM(Classification!$G1405)="","NOT CONFIDENTIAL",TRIM(Classification!$G1405))</f>
        <v>NOT CONFIDENTIAL</v>
      </c>
      <c r="P1405" s="7" t="str">
        <f t="shared" si="175"/>
        <v>Y</v>
      </c>
      <c r="Q1405" s="7" t="s">
        <v>826</v>
      </c>
      <c r="R1405" s="9">
        <v>2958465</v>
      </c>
      <c r="S1405" s="7" t="s">
        <v>827</v>
      </c>
      <c r="T1405" s="7" t="s">
        <v>828</v>
      </c>
      <c r="U1405" s="7" t="str">
        <f t="shared" si="177"/>
        <v>CLK_LNK0_GLNK_CULD_V</v>
      </c>
      <c r="V1405" s="7" t="s">
        <v>829</v>
      </c>
    </row>
    <row r="1406" spans="1:22">
      <c r="A1406" s="7" t="str">
        <f>TRIM(ETLMetadata!$B1406)</f>
        <v>CLK</v>
      </c>
      <c r="B1406" s="7" t="str">
        <f>TRIM(ETLMetadata!$C1406)</f>
        <v>LNK0_GLNK_CULD</v>
      </c>
      <c r="C1406" s="7" t="str">
        <f>TRIM(ETLMetadata!$F1406)</f>
        <v>AMR3_RISL_DTS</v>
      </c>
      <c r="D1406" s="7" t="str">
        <f>TRIM(ETLMetadata!$H1406)</f>
        <v>StringType()</v>
      </c>
      <c r="E1406" s="7" t="str">
        <f t="shared" si="176"/>
        <v>CLK_LNK0_GLNK_CULD</v>
      </c>
      <c r="F1406" s="7" t="str">
        <f t="shared" si="170"/>
        <v>AMR3_RISL_DTS</v>
      </c>
      <c r="G1406" s="7" t="s">
        <v>825</v>
      </c>
      <c r="H1406" s="7" t="str">
        <f t="shared" si="171"/>
        <v>CLK_LNK0_GLNK_CULD</v>
      </c>
      <c r="I1406" s="7" t="str">
        <f t="shared" si="172"/>
        <v>AMR3_RISL_DTS</v>
      </c>
      <c r="J1406" s="7" t="str">
        <f t="shared" si="173"/>
        <v>TIMESTAMP</v>
      </c>
      <c r="K1406" s="7" t="str">
        <f>TRIM(ETLMetadata!$G1406)</f>
        <v>TIMESTAMP(6)</v>
      </c>
      <c r="L1406" s="7" t="str">
        <f>TRIM(ETLMetadata!$I1406)</f>
        <v>YYYY-MM-DDBHH:MI:SS.S(6)</v>
      </c>
      <c r="M1406" s="7" t="str">
        <f t="shared" si="174"/>
        <v>TO_TIMESTAMP_NTZ(NULLIF(TRIM(AMR3_RISL_DTS),''),'YYYY-MM-DD HH24:MI:SS.FF6')</v>
      </c>
      <c r="N1406" s="7" t="str">
        <f>TRIM(ETLMetadata!$J1406)</f>
        <v/>
      </c>
      <c r="O1406" s="8" t="str">
        <f>IF(TRIM(Classification!$G1406)="","NOT CONFIDENTIAL",TRIM(Classification!$G1406))</f>
        <v>NOT CONFIDENTIAL</v>
      </c>
      <c r="P1406" s="7" t="str">
        <f t="shared" si="175"/>
        <v>Y</v>
      </c>
      <c r="Q1406" s="7" t="s">
        <v>826</v>
      </c>
      <c r="R1406" s="9">
        <v>2958465</v>
      </c>
      <c r="S1406" s="7" t="s">
        <v>827</v>
      </c>
      <c r="T1406" s="7" t="s">
        <v>828</v>
      </c>
      <c r="U1406" s="7" t="str">
        <f t="shared" si="177"/>
        <v>CLK_LNK0_GLNK_CULD_V</v>
      </c>
      <c r="V1406" s="7" t="s">
        <v>829</v>
      </c>
    </row>
    <row r="1407" spans="1:22">
      <c r="A1407" s="7" t="str">
        <f>TRIM(ETLMetadata!$B1407)</f>
        <v>CLK</v>
      </c>
      <c r="B1407" s="7" t="str">
        <f>TRIM(ETLMetadata!$C1407)</f>
        <v>LNK0_GLNK_CULD</v>
      </c>
      <c r="C1407" s="7" t="str">
        <f>TRIM(ETLMetadata!$F1407)</f>
        <v>PARTY_ROLE_ID</v>
      </c>
      <c r="D1407" s="7" t="str">
        <f>TRIM(ETLMetadata!$H1407)</f>
        <v>StringType()</v>
      </c>
      <c r="E1407" s="7" t="str">
        <f t="shared" si="176"/>
        <v>CLK_LNK0_GLNK_CULD</v>
      </c>
      <c r="F1407" s="7" t="str">
        <f t="shared" si="170"/>
        <v>PARTY_ROLE_ID</v>
      </c>
      <c r="G1407" s="7" t="s">
        <v>825</v>
      </c>
      <c r="H1407" s="7" t="str">
        <f t="shared" si="171"/>
        <v>CLK_LNK0_GLNK_CULD</v>
      </c>
      <c r="I1407" s="7" t="str">
        <f t="shared" si="172"/>
        <v>PARTY_ROLE_ID</v>
      </c>
      <c r="J1407" s="7" t="str">
        <f t="shared" si="173"/>
        <v>INTEGER</v>
      </c>
      <c r="K1407" s="7" t="str">
        <f>TRIM(ETLMetadata!$G1407)</f>
        <v>INTEGER</v>
      </c>
      <c r="L1407" s="7" t="str">
        <f>TRIM(ETLMetadata!$I1407)</f>
        <v/>
      </c>
      <c r="M1407" s="7" t="str">
        <f t="shared" si="174"/>
        <v>CAST(NULLIF(TRIM(PARTY_ROLE_ID),'') AS INTEGER)</v>
      </c>
      <c r="N1407" s="7" t="str">
        <f>TRIM(ETLMetadata!$J1407)</f>
        <v/>
      </c>
      <c r="O1407" s="8" t="str">
        <f>IF(TRIM(Classification!$G1407)="","NOT CONFIDENTIAL",TRIM(Classification!$G1407))</f>
        <v>NOT CONFIDENTIAL</v>
      </c>
      <c r="P1407" s="7" t="str">
        <f t="shared" si="175"/>
        <v>Y</v>
      </c>
      <c r="Q1407" s="7" t="s">
        <v>826</v>
      </c>
      <c r="R1407" s="9">
        <v>2958465</v>
      </c>
      <c r="S1407" s="7" t="s">
        <v>827</v>
      </c>
      <c r="T1407" s="7" t="s">
        <v>828</v>
      </c>
      <c r="U1407" s="7" t="str">
        <f t="shared" si="177"/>
        <v>CLK_LNK0_GLNK_CULD_V</v>
      </c>
      <c r="V1407" s="7" t="s">
        <v>829</v>
      </c>
    </row>
    <row r="1408" spans="1:22">
      <c r="A1408" s="7" t="str">
        <f>TRIM(ETLMetadata!$B1408)</f>
        <v>CLK</v>
      </c>
      <c r="B1408" s="7" t="str">
        <f>TRIM(ETLMetadata!$C1408)</f>
        <v>LNK0_GLNK_CULD</v>
      </c>
      <c r="C1408" s="7" t="str">
        <f>TRIM(ETLMetadata!$F1408)</f>
        <v>RELATED_PARTY_ROLE_ID</v>
      </c>
      <c r="D1408" s="7" t="str">
        <f>TRIM(ETLMetadata!$H1408)</f>
        <v>StringType()</v>
      </c>
      <c r="E1408" s="7" t="str">
        <f t="shared" si="176"/>
        <v>CLK_LNK0_GLNK_CULD</v>
      </c>
      <c r="F1408" s="7" t="str">
        <f t="shared" si="170"/>
        <v>RELATED_PARTY_ROLE_ID</v>
      </c>
      <c r="G1408" s="7" t="s">
        <v>825</v>
      </c>
      <c r="H1408" s="7" t="str">
        <f t="shared" si="171"/>
        <v>CLK_LNK0_GLNK_CULD</v>
      </c>
      <c r="I1408" s="7" t="str">
        <f t="shared" si="172"/>
        <v>RELATED_PARTY_ROLE_ID</v>
      </c>
      <c r="J1408" s="7" t="str">
        <f t="shared" si="173"/>
        <v>INTEGER</v>
      </c>
      <c r="K1408" s="7" t="str">
        <f>TRIM(ETLMetadata!$G1408)</f>
        <v>INTEGER</v>
      </c>
      <c r="L1408" s="7" t="str">
        <f>TRIM(ETLMetadata!$I1408)</f>
        <v/>
      </c>
      <c r="M1408" s="7" t="str">
        <f t="shared" si="174"/>
        <v>CAST(NULLIF(TRIM(RELATED_PARTY_ROLE_ID),'') AS INTEGER)</v>
      </c>
      <c r="N1408" s="7" t="str">
        <f>TRIM(ETLMetadata!$J1408)</f>
        <v/>
      </c>
      <c r="O1408" s="8" t="str">
        <f>IF(TRIM(Classification!$G1408)="","NOT CONFIDENTIAL",TRIM(Classification!$G1408))</f>
        <v>NOT CONFIDENTIAL</v>
      </c>
      <c r="P1408" s="7" t="str">
        <f t="shared" si="175"/>
        <v>Y</v>
      </c>
      <c r="Q1408" s="7" t="s">
        <v>826</v>
      </c>
      <c r="R1408" s="9">
        <v>2958465</v>
      </c>
      <c r="S1408" s="7" t="s">
        <v>827</v>
      </c>
      <c r="T1408" s="7" t="s">
        <v>828</v>
      </c>
      <c r="U1408" s="7" t="str">
        <f t="shared" si="177"/>
        <v>CLK_LNK0_GLNK_CULD_V</v>
      </c>
      <c r="V1408" s="7" t="s">
        <v>829</v>
      </c>
    </row>
    <row r="1409" spans="1:22">
      <c r="A1409" s="7" t="str">
        <f>TRIM(ETLMetadata!$B1409)</f>
        <v>CLK</v>
      </c>
      <c r="B1409" s="7" t="str">
        <f>TRIM(ETLMetadata!$C1409)</f>
        <v>LNK0_GLNK_CULD</v>
      </c>
      <c r="C1409" s="7" t="str">
        <f>TRIM(ETLMetadata!$F1409)</f>
        <v>ERROR_COUNT</v>
      </c>
      <c r="D1409" s="7" t="str">
        <f>TRIM(ETLMetadata!$H1409)</f>
        <v>StringType()</v>
      </c>
      <c r="E1409" s="7" t="str">
        <f t="shared" si="176"/>
        <v>CLK_LNK0_GLNK_CULD</v>
      </c>
      <c r="F1409" s="7" t="str">
        <f t="shared" si="170"/>
        <v>ERROR_COUNT</v>
      </c>
      <c r="G1409" s="7" t="s">
        <v>825</v>
      </c>
      <c r="H1409" s="7" t="str">
        <f t="shared" si="171"/>
        <v>CLK_LNK0_GLNK_CULD</v>
      </c>
      <c r="I1409" s="7" t="str">
        <f t="shared" si="172"/>
        <v>ERROR_COUNT</v>
      </c>
      <c r="J1409" s="7" t="str">
        <f t="shared" si="173"/>
        <v>SMALLINT</v>
      </c>
      <c r="K1409" s="7" t="str">
        <f>TRIM(ETLMetadata!$G1409)</f>
        <v>SMALLINT</v>
      </c>
      <c r="L1409" s="7" t="str">
        <f>TRIM(ETLMetadata!$I1409)</f>
        <v/>
      </c>
      <c r="M1409" s="7" t="str">
        <f t="shared" si="174"/>
        <v>CAST(NULLIF(TRIM(ERROR_COUNT),'') AS SMALLINT)</v>
      </c>
      <c r="N1409" s="7" t="str">
        <f>TRIM(ETLMetadata!$J1409)</f>
        <v/>
      </c>
      <c r="O1409" s="8" t="str">
        <f>IF(TRIM(Classification!$G1409)="","NOT CONFIDENTIAL",TRIM(Classification!$G1409))</f>
        <v>NOT CONFIDENTIAL</v>
      </c>
      <c r="P1409" s="7" t="str">
        <f t="shared" si="175"/>
        <v>Y</v>
      </c>
      <c r="Q1409" s="7" t="s">
        <v>826</v>
      </c>
      <c r="R1409" s="9">
        <v>2958465</v>
      </c>
      <c r="S1409" s="7" t="s">
        <v>827</v>
      </c>
      <c r="T1409" s="7" t="s">
        <v>828</v>
      </c>
      <c r="U1409" s="7" t="str">
        <f t="shared" si="177"/>
        <v>CLK_LNK0_GLNK_CULD_V</v>
      </c>
      <c r="V1409" s="7" t="s">
        <v>829</v>
      </c>
    </row>
    <row r="1410" spans="1:22">
      <c r="A1410" s="7" t="str">
        <f>TRIM(ETLMetadata!$B1410)</f>
        <v>CLK</v>
      </c>
      <c r="B1410" s="7" t="str">
        <f>TRIM(ETLMetadata!$C1410)</f>
        <v>LNK0_GLNK_CULD</v>
      </c>
      <c r="C1410" s="7" t="str">
        <f>TRIM(ETLMetadata!$F1410)</f>
        <v>Start_Date</v>
      </c>
      <c r="D1410" s="7" t="str">
        <f>TRIM(ETLMetadata!$H1410)</f>
        <v>StringType()</v>
      </c>
      <c r="E1410" s="7" t="str">
        <f t="shared" si="176"/>
        <v>CLK_LNK0_GLNK_CULD</v>
      </c>
      <c r="F1410" s="7" t="str">
        <f t="shared" si="170"/>
        <v>STRT_DT</v>
      </c>
      <c r="G1410" s="7" t="s">
        <v>825</v>
      </c>
      <c r="H1410" s="7" t="str">
        <f t="shared" si="171"/>
        <v>CLK_LNK0_GLNK_CULD</v>
      </c>
      <c r="I1410" s="7" t="str">
        <f t="shared" si="172"/>
        <v>STRT_DT</v>
      </c>
      <c r="J1410" s="7" t="str">
        <f t="shared" si="173"/>
        <v>DATE</v>
      </c>
      <c r="K1410" s="7" t="str">
        <f>TRIM(ETLMetadata!$G1410)</f>
        <v>DATE</v>
      </c>
      <c r="L1410" s="7" t="str">
        <f>TRIM(ETLMetadata!$I1410)</f>
        <v>YYYY-MM-DD</v>
      </c>
      <c r="M1410" s="7" t="str">
        <f t="shared" si="174"/>
        <v>TO_DATE(NULLIF(TRIM(STRT_DT),'') , 'YYYY-MM-DD')</v>
      </c>
      <c r="N1410" s="7" t="str">
        <f>TRIM(ETLMetadata!$J1410)</f>
        <v/>
      </c>
      <c r="O1410" s="8" t="str">
        <f>IF(TRIM(Classification!$G1410)="","NOT CONFIDENTIAL",TRIM(Classification!$G1410))</f>
        <v>NOT CONFIDENTIAL</v>
      </c>
      <c r="P1410" s="7" t="str">
        <f t="shared" si="175"/>
        <v>N</v>
      </c>
      <c r="Q1410" s="7" t="s">
        <v>826</v>
      </c>
      <c r="R1410" s="9">
        <v>2958465</v>
      </c>
      <c r="S1410" s="7" t="s">
        <v>827</v>
      </c>
      <c r="T1410" s="7" t="s">
        <v>828</v>
      </c>
      <c r="U1410" s="7" t="str">
        <f t="shared" si="177"/>
        <v>CLK_LNK0_GLNK_CULD_V</v>
      </c>
      <c r="V1410" s="7" t="s">
        <v>829</v>
      </c>
    </row>
    <row r="1411" spans="1:22">
      <c r="A1411" s="7" t="str">
        <f>TRIM(ETLMetadata!$B1411)</f>
        <v>CLK</v>
      </c>
      <c r="B1411" s="7" t="str">
        <f>TRIM(ETLMetadata!$C1411)</f>
        <v>LNK0_GLNK_CULD</v>
      </c>
      <c r="C1411" s="7" t="str">
        <f>TRIM(ETLMetadata!$F1411)</f>
        <v>End_Date</v>
      </c>
      <c r="D1411" s="7" t="str">
        <f>TRIM(ETLMetadata!$H1411)</f>
        <v>StringType()</v>
      </c>
      <c r="E1411" s="7" t="str">
        <f t="shared" si="176"/>
        <v>CLK_LNK0_GLNK_CULD</v>
      </c>
      <c r="F1411" s="7" t="str">
        <f t="shared" ref="F1411:F1412" si="178">IF($C1411="Start_Date","STRT_DT",
 IF($C1411="End_Date","END_DT",
 IF($C1411="Record_Deleted_Flag","RCRD_DEL_IND",
 IF($C1411="IsDeleted","RCRD_DEL_IND",
 $C1411
))))</f>
        <v>END_DT</v>
      </c>
      <c r="G1411" s="7" t="s">
        <v>825</v>
      </c>
      <c r="H1411" s="7" t="str">
        <f t="shared" ref="H1411:H1412" si="179">CONCATENATE($A1411,"_",$B1411)</f>
        <v>CLK_LNK0_GLNK_CULD</v>
      </c>
      <c r="I1411" s="7" t="str">
        <f t="shared" ref="I1411:I1412" si="180">IF($C1411="Start_Date","STRT_DT",
 IF($C1411="End_Date","END_DT",
 IF($C1411="Record_Deleted_Flag","RCRD_DEL_IND",
 IF($C1411="IsDeleted","RCRD_DEL_IND",
 $C1411
))))</f>
        <v>END_DT</v>
      </c>
      <c r="J1411" s="7" t="str">
        <f t="shared" ref="J1411:J1412" si="181">IF(LEFT(TRIM($K1411),7)="VARCHAR","VARCHAR",
 IF(LEFT(TRIM($K1411),4)="CHAR","VARCHAR",
 IF(TRIM($K1411)="TIMESTAMP(6)","TIMESTAMP",
 IF(TRIM($K1411)="DATE","DATE",
 IF(TRIM($K1411)="BYTEINT","SMALLINT",
 IF(TRIM($K1411)="SMALLINT","SMALLINT",
 IF(TRIM($K1411)="INTEGER","INTEGER",
 IF(TRIM($K1411)="BIGINT","INTEGER",
 IF(LEFT(TRIM($K1411),7)="DECIMAL",TRIM($K1411),
 IF(TRIM($K1411)="BOOLEAN","BOOLEAN",
 IF(TRIM($K1411)="DOUBLE","DOUBLE",
 IF(TRIM($K1411)="FLOAT","FLOAT",
 IF(TRIM($K1411)="REAL","REAL",
 IF(LEFT(TRIM($K1411),6)="STRUCT","VARIANT",
 IF(LEFT(TRIM($K1411),5)="ARRAY","VARIANT",
 IF(LEFT(TRIM($K1411),3)="MAP","VARIANT",
 IF(LEFT(TRIM($K1411),3)="ROW","VARIANT",
 "NONE"
)))))))))))))))))</f>
        <v>DATE</v>
      </c>
      <c r="K1411" s="7" t="str">
        <f>TRIM(ETLMetadata!$G1411)</f>
        <v>DATE</v>
      </c>
      <c r="L1411" s="7" t="str">
        <f>TRIM(ETLMetadata!$I1411)</f>
        <v>YYYY-MM-DD</v>
      </c>
      <c r="M1411" s="7" t="str">
        <f t="shared" ref="M1411:M1412" si="182">IF(LEFT($K1411,7)="VARCHAR","NULLIF(TRIM("&amp;$I1411&amp;"),'')",
 IF(LEFT($K1411,4)="CHAR","NULLIF(TRIM("&amp;$I1411&amp;"),'')",
 IF(LEFT($K1411,7)="DECIMAL","CAST(NULLIF(TRIM("&amp;$I1411&amp;"),'') AS "&amp;$K1411&amp;")",
 IF($K1411="TIMESTAMP(6)","TO_TIMESTAMP_NTZ(NULLIF(TRIM("&amp;$I1411&amp;"),''),'YYYY-MM-DD HH24:MI:SS.FF6')",
 IF($K1411="DATE","TO_DATE(NULLIF(TRIM("&amp;$I1411&amp;"),'') , 'YYYY-MM-DD')",
 IF($K1411="BIGINT","CAST(NULLIF(TRIM("&amp;I1411&amp;"),'') AS INTEGER)",
 IF($K1411="BYTEINT","CAST(NULLIF(TRIM("&amp;I1411&amp;"),'') AS SMALLINT)",
 IF($K1411="SMALLINT","CAST(NULLIF(TRIM("&amp;I1411&amp;"),'') AS SMALLINT)",
 IF($K1411="INTEGER","CAST(NULLIF(TRIM("&amp;I1411&amp;"),'') AS INTEGER)",
 IF($K1411="BOOLEAN","CAST(NULLIF(TRIM("&amp;I1411&amp;"),'') AS BOOLEAN)",
 IF($K1411="DOUBLE","CAST(NULLIF(TRIM("&amp;I1411&amp;"),'') AS DOUBLE)",
 IF($K1411="FLOAT","CAST(NULLIF(TRIM("&amp;I1411&amp;"),'') AS FLOAT)",
 IF($K1411="REAL","CAST(NULLIF(TRIM("&amp;I1411&amp;"),'') AS REAL)",
 IF(OR($K1411="STRUCT",$K1411="ARRAY",$K1411="MAP",$K1411="ROW"),"CAST(NULLIF(TRIM("&amp;I1411&amp;"),'') AS VARIANT)",
 "NONE"
))))))))))))))</f>
        <v>TO_DATE(NULLIF(TRIM(END_DT),'') , 'YYYY-MM-DD')</v>
      </c>
      <c r="N1411" s="7" t="str">
        <f>TRIM(ETLMetadata!$J1411)</f>
        <v/>
      </c>
      <c r="O1411" s="8" t="str">
        <f>IF(TRIM(Classification!$G1411)="","NOT CONFIDENTIAL",TRIM(Classification!$G1411))</f>
        <v>NOT CONFIDENTIAL</v>
      </c>
      <c r="P1411" s="7" t="str">
        <f t="shared" ref="P1411:P1412" si="183">IF($C1411="Start_Date","N",
 IF($C1411="End_Date","N",
 IF($C1411="Record_Deleted_Flag","N",
 IF($C1411="IsDeleted","N",
 "Y"
))))</f>
        <v>N</v>
      </c>
      <c r="Q1411" s="7" t="s">
        <v>826</v>
      </c>
      <c r="R1411" s="9">
        <v>2958465</v>
      </c>
      <c r="S1411" s="7" t="s">
        <v>827</v>
      </c>
      <c r="T1411" s="7" t="s">
        <v>828</v>
      </c>
      <c r="U1411" s="7" t="str">
        <f t="shared" si="177"/>
        <v>CLK_LNK0_GLNK_CULD_V</v>
      </c>
      <c r="V1411" s="7" t="s">
        <v>829</v>
      </c>
    </row>
    <row r="1412" spans="1:22">
      <c r="A1412" s="7" t="str">
        <f>TRIM(ETLMetadata!$B1412)</f>
        <v>CLK</v>
      </c>
      <c r="B1412" s="7" t="str">
        <f>TRIM(ETLMetadata!$C1412)</f>
        <v>LNK0_GLNK_CULD</v>
      </c>
      <c r="C1412" s="7" t="str">
        <f>TRIM(ETLMetadata!$F1412)</f>
        <v>Record_Deleted_Flag</v>
      </c>
      <c r="D1412" s="7" t="str">
        <f>TRIM(ETLMetadata!$H1412)</f>
        <v>StringType()</v>
      </c>
      <c r="E1412" s="7" t="str">
        <f t="shared" si="176"/>
        <v>CLK_LNK0_GLNK_CULD</v>
      </c>
      <c r="F1412" s="7" t="str">
        <f t="shared" si="178"/>
        <v>RCRD_DEL_IND</v>
      </c>
      <c r="G1412" s="7" t="s">
        <v>825</v>
      </c>
      <c r="H1412" s="7" t="str">
        <f t="shared" si="179"/>
        <v>CLK_LNK0_GLNK_CULD</v>
      </c>
      <c r="I1412" s="7" t="str">
        <f t="shared" si="180"/>
        <v>RCRD_DEL_IND</v>
      </c>
      <c r="J1412" s="7" t="str">
        <f t="shared" si="181"/>
        <v>SMALLINT</v>
      </c>
      <c r="K1412" s="7" t="str">
        <f>TRIM(ETLMetadata!$G1412)</f>
        <v>BYTEINT</v>
      </c>
      <c r="L1412" s="7" t="str">
        <f>TRIM(ETLMetadata!$I1412)</f>
        <v/>
      </c>
      <c r="M1412" s="7" t="str">
        <f t="shared" si="182"/>
        <v>CAST(NULLIF(TRIM(RCRD_DEL_IND),'') AS SMALLINT)</v>
      </c>
      <c r="N1412" s="7" t="str">
        <f>TRIM(ETLMetadata!$J1412)</f>
        <v/>
      </c>
      <c r="O1412" s="8" t="str">
        <f>IF(TRIM(Classification!$G1412)="","NOT CONFIDENTIAL",TRIM(Classification!$G1412))</f>
        <v>NOT CONFIDENTIAL</v>
      </c>
      <c r="P1412" s="7" t="str">
        <f t="shared" si="183"/>
        <v>N</v>
      </c>
      <c r="Q1412" s="7" t="s">
        <v>826</v>
      </c>
      <c r="R1412" s="9">
        <v>2958465</v>
      </c>
      <c r="S1412" s="7" t="s">
        <v>827</v>
      </c>
      <c r="T1412" s="7" t="s">
        <v>828</v>
      </c>
      <c r="U1412" s="7" t="str">
        <f t="shared" si="177"/>
        <v>CLK_LNK0_GLNK_CULD_V</v>
      </c>
      <c r="V1412" s="7" t="s">
        <v>829</v>
      </c>
    </row>
  </sheetData>
  <autoFilter ref="A1:V1412" xr:uid="{BA1CB1A8-B0CC-46B9-B43A-0DF5A41B4EA1}"/>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AED8D-B445-4999-AE57-F1E8F1A7344B}">
  <dimension ref="A1:H63"/>
  <sheetViews>
    <sheetView workbookViewId="0">
      <selection activeCell="G10" sqref="G10:H10"/>
    </sheetView>
  </sheetViews>
  <sheetFormatPr defaultRowHeight="15"/>
  <cols>
    <col min="1" max="1" width="19.5703125" bestFit="1" customWidth="1"/>
    <col min="2" max="2" width="136.42578125" style="16" customWidth="1"/>
    <col min="4" max="4" width="27.5703125" bestFit="1" customWidth="1"/>
    <col min="5" max="5" width="10.42578125" style="23" bestFit="1" customWidth="1"/>
    <col min="6" max="6" width="16.42578125" bestFit="1" customWidth="1"/>
    <col min="7" max="7" width="27.5703125" bestFit="1" customWidth="1"/>
    <col min="8" max="8" width="10.7109375" style="23" bestFit="1" customWidth="1"/>
  </cols>
  <sheetData>
    <row r="1" spans="1:8">
      <c r="A1" s="20" t="s">
        <v>830</v>
      </c>
      <c r="B1" s="21"/>
    </row>
    <row r="2" spans="1:8" ht="90">
      <c r="B2" s="16" t="s">
        <v>831</v>
      </c>
    </row>
    <row r="3" spans="1:8">
      <c r="A3" s="20" t="s">
        <v>832</v>
      </c>
      <c r="B3" s="21"/>
    </row>
    <row r="4" spans="1:8">
      <c r="A4" t="s">
        <v>78</v>
      </c>
      <c r="B4" s="16" t="s">
        <v>833</v>
      </c>
    </row>
    <row r="5" spans="1:8">
      <c r="A5" t="s">
        <v>119</v>
      </c>
      <c r="B5" s="16" t="s">
        <v>833</v>
      </c>
      <c r="D5" s="22" t="s">
        <v>783</v>
      </c>
    </row>
    <row r="6" spans="1:8">
      <c r="A6" t="s">
        <v>128</v>
      </c>
      <c r="B6" s="16" t="s">
        <v>833</v>
      </c>
      <c r="D6" t="s">
        <v>99</v>
      </c>
      <c r="E6" s="23" t="s">
        <v>834</v>
      </c>
      <c r="G6" t="s">
        <v>99</v>
      </c>
      <c r="H6" s="23" t="s">
        <v>834</v>
      </c>
    </row>
    <row r="7" spans="1:8">
      <c r="A7" t="s">
        <v>135</v>
      </c>
      <c r="B7" s="16" t="s">
        <v>833</v>
      </c>
      <c r="D7" t="s">
        <v>101</v>
      </c>
      <c r="E7" s="23">
        <v>20260116</v>
      </c>
      <c r="G7" t="s">
        <v>101</v>
      </c>
      <c r="H7" s="23">
        <v>20260116</v>
      </c>
    </row>
    <row r="8" spans="1:8">
      <c r="A8" t="s">
        <v>153</v>
      </c>
      <c r="B8" s="16" t="s">
        <v>833</v>
      </c>
    </row>
    <row r="9" spans="1:8">
      <c r="A9" t="s">
        <v>175</v>
      </c>
      <c r="B9" s="16" t="s">
        <v>833</v>
      </c>
      <c r="D9" s="22" t="s">
        <v>76</v>
      </c>
    </row>
    <row r="10" spans="1:8">
      <c r="A10" t="s">
        <v>219</v>
      </c>
      <c r="B10" s="16" t="s">
        <v>833</v>
      </c>
      <c r="D10" t="s">
        <v>99</v>
      </c>
      <c r="E10" s="23">
        <v>20260116</v>
      </c>
      <c r="F10" t="s">
        <v>835</v>
      </c>
      <c r="G10" t="s">
        <v>99</v>
      </c>
      <c r="H10" s="23" t="s">
        <v>834</v>
      </c>
    </row>
    <row r="11" spans="1:8">
      <c r="A11" t="s">
        <v>227</v>
      </c>
      <c r="B11" s="16" t="s">
        <v>833</v>
      </c>
      <c r="D11" t="s">
        <v>99</v>
      </c>
      <c r="E11" s="23">
        <v>20260116</v>
      </c>
      <c r="G11" t="s">
        <v>101</v>
      </c>
      <c r="H11" s="23">
        <v>20260116</v>
      </c>
    </row>
    <row r="12" spans="1:8">
      <c r="A12" t="s">
        <v>237</v>
      </c>
      <c r="B12" s="16" t="s">
        <v>833</v>
      </c>
    </row>
    <row r="13" spans="1:8" ht="105">
      <c r="A13" t="s">
        <v>257</v>
      </c>
      <c r="B13" s="16" t="s">
        <v>836</v>
      </c>
    </row>
    <row r="14" spans="1:8">
      <c r="A14" t="s">
        <v>294</v>
      </c>
      <c r="B14" s="16" t="s">
        <v>833</v>
      </c>
    </row>
    <row r="15" spans="1:8">
      <c r="A15" t="s">
        <v>306</v>
      </c>
      <c r="B15" s="16" t="s">
        <v>833</v>
      </c>
    </row>
    <row r="16" spans="1:8">
      <c r="A16" t="s">
        <v>317</v>
      </c>
      <c r="B16" s="16" t="s">
        <v>833</v>
      </c>
    </row>
    <row r="17" spans="1:2">
      <c r="A17" t="s">
        <v>329</v>
      </c>
      <c r="B17" s="16" t="s">
        <v>833</v>
      </c>
    </row>
    <row r="18" spans="1:2">
      <c r="A18" t="s">
        <v>339</v>
      </c>
      <c r="B18" s="16" t="s">
        <v>833</v>
      </c>
    </row>
    <row r="19" spans="1:2">
      <c r="A19" t="s">
        <v>348</v>
      </c>
      <c r="B19" s="16" t="s">
        <v>833</v>
      </c>
    </row>
    <row r="20" spans="1:2">
      <c r="A20" t="s">
        <v>358</v>
      </c>
      <c r="B20" s="16" t="s">
        <v>833</v>
      </c>
    </row>
    <row r="21" spans="1:2">
      <c r="A21" t="s">
        <v>368</v>
      </c>
      <c r="B21" s="16" t="s">
        <v>833</v>
      </c>
    </row>
    <row r="22" spans="1:2">
      <c r="A22" t="s">
        <v>378</v>
      </c>
      <c r="B22" s="16" t="s">
        <v>833</v>
      </c>
    </row>
    <row r="23" spans="1:2">
      <c r="A23" t="s">
        <v>388</v>
      </c>
      <c r="B23" s="16" t="s">
        <v>833</v>
      </c>
    </row>
    <row r="24" spans="1:2">
      <c r="A24" t="s">
        <v>398</v>
      </c>
      <c r="B24" s="16" t="s">
        <v>833</v>
      </c>
    </row>
    <row r="25" spans="1:2">
      <c r="A25" t="s">
        <v>408</v>
      </c>
      <c r="B25" s="16" t="s">
        <v>833</v>
      </c>
    </row>
    <row r="26" spans="1:2">
      <c r="A26" t="s">
        <v>418</v>
      </c>
      <c r="B26" s="16" t="s">
        <v>833</v>
      </c>
    </row>
    <row r="27" spans="1:2">
      <c r="A27" t="s">
        <v>427</v>
      </c>
      <c r="B27" s="16" t="s">
        <v>833</v>
      </c>
    </row>
    <row r="28" spans="1:2">
      <c r="A28" t="s">
        <v>437</v>
      </c>
      <c r="B28" s="16" t="s">
        <v>833</v>
      </c>
    </row>
    <row r="29" spans="1:2">
      <c r="A29" t="s">
        <v>446</v>
      </c>
      <c r="B29" s="16" t="s">
        <v>833</v>
      </c>
    </row>
    <row r="30" spans="1:2">
      <c r="A30" t="s">
        <v>456</v>
      </c>
      <c r="B30" s="16" t="s">
        <v>833</v>
      </c>
    </row>
    <row r="31" spans="1:2">
      <c r="A31" t="s">
        <v>466</v>
      </c>
      <c r="B31" s="16" t="s">
        <v>833</v>
      </c>
    </row>
    <row r="32" spans="1:2">
      <c r="A32" t="s">
        <v>476</v>
      </c>
      <c r="B32" s="16" t="s">
        <v>833</v>
      </c>
    </row>
    <row r="33" spans="1:2">
      <c r="A33" t="s">
        <v>485</v>
      </c>
      <c r="B33" s="16" t="s">
        <v>833</v>
      </c>
    </row>
    <row r="34" spans="1:2">
      <c r="A34" t="s">
        <v>495</v>
      </c>
      <c r="B34" s="16" t="s">
        <v>833</v>
      </c>
    </row>
    <row r="35" spans="1:2">
      <c r="A35" t="s">
        <v>505</v>
      </c>
      <c r="B35" s="16" t="s">
        <v>833</v>
      </c>
    </row>
    <row r="36" spans="1:2">
      <c r="A36" t="s">
        <v>517</v>
      </c>
      <c r="B36" s="16" t="s">
        <v>833</v>
      </c>
    </row>
    <row r="37" spans="1:2">
      <c r="A37" t="s">
        <v>528</v>
      </c>
      <c r="B37" s="16" t="s">
        <v>833</v>
      </c>
    </row>
    <row r="38" spans="1:2">
      <c r="A38" t="s">
        <v>538</v>
      </c>
      <c r="B38" s="16" t="s">
        <v>833</v>
      </c>
    </row>
    <row r="39" spans="1:2">
      <c r="A39" t="s">
        <v>547</v>
      </c>
      <c r="B39" s="16" t="s">
        <v>833</v>
      </c>
    </row>
    <row r="40" spans="1:2">
      <c r="A40" t="s">
        <v>557</v>
      </c>
      <c r="B40" s="16" t="s">
        <v>833</v>
      </c>
    </row>
    <row r="41" spans="1:2">
      <c r="A41" t="s">
        <v>566</v>
      </c>
      <c r="B41" s="16" t="s">
        <v>833</v>
      </c>
    </row>
    <row r="42" spans="1:2">
      <c r="A42" t="s">
        <v>575</v>
      </c>
      <c r="B42" s="16" t="s">
        <v>833</v>
      </c>
    </row>
    <row r="43" spans="1:2">
      <c r="A43" t="s">
        <v>585</v>
      </c>
      <c r="B43" s="16" t="s">
        <v>833</v>
      </c>
    </row>
    <row r="44" spans="1:2">
      <c r="A44" t="s">
        <v>594</v>
      </c>
      <c r="B44" s="16" t="s">
        <v>833</v>
      </c>
    </row>
    <row r="45" spans="1:2">
      <c r="A45" t="s">
        <v>604</v>
      </c>
      <c r="B45" s="16" t="s">
        <v>833</v>
      </c>
    </row>
    <row r="46" spans="1:2">
      <c r="A46" t="s">
        <v>614</v>
      </c>
      <c r="B46" s="16" t="s">
        <v>833</v>
      </c>
    </row>
    <row r="47" spans="1:2">
      <c r="A47" t="s">
        <v>624</v>
      </c>
      <c r="B47" s="16" t="s">
        <v>833</v>
      </c>
    </row>
    <row r="48" spans="1:2">
      <c r="A48" t="s">
        <v>634</v>
      </c>
      <c r="B48" s="16" t="s">
        <v>833</v>
      </c>
    </row>
    <row r="49" spans="1:2">
      <c r="A49" t="s">
        <v>644</v>
      </c>
      <c r="B49" s="16" t="s">
        <v>833</v>
      </c>
    </row>
    <row r="50" spans="1:2">
      <c r="A50" t="s">
        <v>654</v>
      </c>
      <c r="B50" s="16" t="s">
        <v>833</v>
      </c>
    </row>
    <row r="51" spans="1:2">
      <c r="A51" t="s">
        <v>664</v>
      </c>
      <c r="B51" s="16" t="s">
        <v>833</v>
      </c>
    </row>
    <row r="52" spans="1:2">
      <c r="A52" t="s">
        <v>674</v>
      </c>
      <c r="B52" s="16" t="s">
        <v>833</v>
      </c>
    </row>
    <row r="53" spans="1:2">
      <c r="A53" t="s">
        <v>685</v>
      </c>
      <c r="B53" s="16" t="s">
        <v>833</v>
      </c>
    </row>
    <row r="54" spans="1:2">
      <c r="A54" t="s">
        <v>695</v>
      </c>
      <c r="B54" s="16" t="s">
        <v>833</v>
      </c>
    </row>
    <row r="55" spans="1:2">
      <c r="A55" t="s">
        <v>705</v>
      </c>
      <c r="B55" s="16" t="s">
        <v>833</v>
      </c>
    </row>
    <row r="56" spans="1:2">
      <c r="A56" t="s">
        <v>714</v>
      </c>
      <c r="B56" s="16" t="s">
        <v>833</v>
      </c>
    </row>
    <row r="57" spans="1:2">
      <c r="A57" t="s">
        <v>723</v>
      </c>
      <c r="B57" s="16" t="s">
        <v>833</v>
      </c>
    </row>
    <row r="58" spans="1:2">
      <c r="A58" t="s">
        <v>732</v>
      </c>
      <c r="B58" s="16" t="s">
        <v>833</v>
      </c>
    </row>
    <row r="59" spans="1:2">
      <c r="A59" t="s">
        <v>741</v>
      </c>
      <c r="B59" s="16" t="s">
        <v>833</v>
      </c>
    </row>
    <row r="60" spans="1:2">
      <c r="A60" t="s">
        <v>750</v>
      </c>
      <c r="B60" s="16" t="s">
        <v>837</v>
      </c>
    </row>
    <row r="61" spans="1:2">
      <c r="A61" t="s">
        <v>754</v>
      </c>
      <c r="B61" s="16" t="s">
        <v>833</v>
      </c>
    </row>
    <row r="62" spans="1:2">
      <c r="A62" t="s">
        <v>764</v>
      </c>
      <c r="B62" s="16" t="s">
        <v>833</v>
      </c>
    </row>
    <row r="63" spans="1:2" ht="30">
      <c r="A63" t="s">
        <v>772</v>
      </c>
      <c r="B63" s="16" t="s">
        <v>838</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E59FF-2499-4B96-A31E-A38105FACEF6}">
  <dimension ref="A1:D68"/>
  <sheetViews>
    <sheetView workbookViewId="0">
      <selection activeCell="F13" sqref="F13"/>
    </sheetView>
  </sheetViews>
  <sheetFormatPr defaultRowHeight="15"/>
  <cols>
    <col min="2" max="2" width="17" bestFit="1" customWidth="1"/>
    <col min="3" max="3" width="34.85546875" bestFit="1" customWidth="1"/>
    <col min="4" max="4" width="51" bestFit="1" customWidth="1"/>
  </cols>
  <sheetData>
    <row r="1" spans="1:4">
      <c r="A1">
        <v>1</v>
      </c>
      <c r="B1" s="7" t="s">
        <v>78</v>
      </c>
      <c r="C1" s="7" t="s">
        <v>101</v>
      </c>
      <c r="D1" t="str">
        <f>CONCATENATE("(",A1,",''",B1,"'',","''",C1,"''","),")</f>
        <v>(1,''CIRC_PORT_PODT'',''PODT_AUS_DPRT_DATE_ORIG''),</v>
      </c>
    </row>
    <row r="2" spans="1:4">
      <c r="A2">
        <v>1</v>
      </c>
      <c r="B2" s="7" t="s">
        <v>78</v>
      </c>
      <c r="C2" s="7" t="s">
        <v>103</v>
      </c>
      <c r="D2" t="str">
        <f t="shared" ref="D2:D65" si="0">CONCATENATE("(",A2,",''",B2,"'',","''",C2,"''","),")</f>
        <v>(1,''CIRC_PORT_PODT'',''PODT_AUS_RTN_DATE_ORIG''),</v>
      </c>
    </row>
    <row r="3" spans="1:4">
      <c r="A3">
        <v>1</v>
      </c>
      <c r="B3" s="7" t="s">
        <v>78</v>
      </c>
      <c r="C3" s="7" t="s">
        <v>106</v>
      </c>
      <c r="D3" t="str">
        <f t="shared" si="0"/>
        <v>(1,''CIRC_PORT_PODT'',''PODT_DOV_ORIG''),</v>
      </c>
    </row>
    <row r="4" spans="1:4">
      <c r="A4">
        <v>2</v>
      </c>
      <c r="B4" s="7" t="s">
        <v>119</v>
      </c>
      <c r="C4" s="7" t="s">
        <v>121</v>
      </c>
      <c r="D4" t="str">
        <f t="shared" si="0"/>
        <v>(2,''CIRC_RES_RSCB'',''RSCB_DOR_ORIG''),</v>
      </c>
    </row>
    <row r="5" spans="1:4">
      <c r="A5">
        <v>3</v>
      </c>
      <c r="B5" s="7" t="s">
        <v>128</v>
      </c>
      <c r="C5" s="7" t="s">
        <v>130</v>
      </c>
      <c r="D5" t="str">
        <f t="shared" si="0"/>
        <v>(3,''CIRC_RES_RSCV'',''RSCV_DOV_ORIG''),</v>
      </c>
    </row>
    <row r="6" spans="1:4">
      <c r="A6">
        <v>4</v>
      </c>
      <c r="B6" s="7" t="s">
        <v>135</v>
      </c>
      <c r="C6" s="7" t="s">
        <v>137</v>
      </c>
      <c r="D6" t="str">
        <f t="shared" si="0"/>
        <v>(4,''CIRC_RES_RSEV'',''RSEV_VISA_GRANT_DATE_ORIG''),</v>
      </c>
    </row>
    <row r="7" spans="1:4">
      <c r="A7">
        <v>4</v>
      </c>
      <c r="B7" s="7" t="s">
        <v>135</v>
      </c>
      <c r="C7" s="7" t="s">
        <v>146</v>
      </c>
      <c r="D7" t="str">
        <f t="shared" si="0"/>
        <v>(4,''CIRC_RES_RSEV'',''RSEV_VISA_APPLN_DATE_ORIG''),</v>
      </c>
    </row>
    <row r="8" spans="1:4">
      <c r="A8">
        <v>4</v>
      </c>
      <c r="B8" s="7" t="s">
        <v>135</v>
      </c>
      <c r="C8" s="7" t="s">
        <v>148</v>
      </c>
      <c r="D8" t="str">
        <f t="shared" si="0"/>
        <v>(4,''CIRC_RES_RSEV'',''RSEV_VISA_END_DATE_ORIG''),</v>
      </c>
    </row>
    <row r="9" spans="1:4">
      <c r="A9">
        <v>5</v>
      </c>
      <c r="B9" s="7" t="s">
        <v>153</v>
      </c>
      <c r="C9" s="7" t="s">
        <v>156</v>
      </c>
      <c r="D9" t="str">
        <f t="shared" si="0"/>
        <v>(5,''CIRD_NREL_NONO'',''NONO_DOE_ORIG''),</v>
      </c>
    </row>
    <row r="10" spans="1:4">
      <c r="A10">
        <v>5</v>
      </c>
      <c r="B10" s="7" t="s">
        <v>153</v>
      </c>
      <c r="C10" s="7" t="s">
        <v>172</v>
      </c>
      <c r="D10" t="str">
        <f t="shared" si="0"/>
        <v>(5,''CIRD_NREL_NONO'',''NONO_UPDT_DATE_ORIG''),</v>
      </c>
    </row>
    <row r="11" spans="1:4">
      <c r="A11">
        <v>6</v>
      </c>
      <c r="B11" s="7" t="s">
        <v>175</v>
      </c>
      <c r="C11" s="7" t="s">
        <v>177</v>
      </c>
      <c r="D11" t="str">
        <f t="shared" si="0"/>
        <v>(6,''CUST_CST_CUAD_RE'',''CUAD_DOE_ORIG''),</v>
      </c>
    </row>
    <row r="12" spans="1:4">
      <c r="A12">
        <v>6</v>
      </c>
      <c r="B12" s="7" t="s">
        <v>175</v>
      </c>
      <c r="C12" s="7" t="s">
        <v>203</v>
      </c>
      <c r="D12" t="str">
        <f t="shared" si="0"/>
        <v>(6,''CUST_CST_CUAD_RE'',''CUAD_GEO_PRCS_DATE_ORIG''),</v>
      </c>
    </row>
    <row r="13" spans="1:4">
      <c r="A13">
        <v>7</v>
      </c>
      <c r="B13" s="7" t="s">
        <v>219</v>
      </c>
      <c r="C13" s="7" t="s">
        <v>224</v>
      </c>
      <c r="D13" t="str">
        <f t="shared" si="0"/>
        <v>(7,''CUST_CST_CUDD'',''CUDD_DOR_ORIG''),</v>
      </c>
    </row>
    <row r="14" spans="1:4">
      <c r="A14">
        <v>7</v>
      </c>
      <c r="B14" s="7" t="s">
        <v>219</v>
      </c>
      <c r="C14" s="7" t="s">
        <v>226</v>
      </c>
      <c r="D14" t="str">
        <f t="shared" si="0"/>
        <v>(7,''CUST_CST_CUDD'',''CUDD_DEATH_DATE_ORIG''),</v>
      </c>
    </row>
    <row r="15" spans="1:4">
      <c r="A15">
        <v>8</v>
      </c>
      <c r="B15" s="7" t="s">
        <v>227</v>
      </c>
      <c r="C15" s="7" t="s">
        <v>229</v>
      </c>
      <c r="D15" t="str">
        <f t="shared" si="0"/>
        <v>(8,''CUST_CST_CUEM'',''CUEM_DOE_ORIG''),</v>
      </c>
    </row>
    <row r="16" spans="1:4">
      <c r="A16">
        <v>9</v>
      </c>
      <c r="B16" s="7" t="s">
        <v>237</v>
      </c>
      <c r="C16" s="7" t="s">
        <v>239</v>
      </c>
      <c r="D16" t="str">
        <f t="shared" si="0"/>
        <v>(9,''CUST_CST_CUNM_RE'',''CUNM_DOV_ORIG''),</v>
      </c>
    </row>
    <row r="17" spans="1:4">
      <c r="A17">
        <v>9</v>
      </c>
      <c r="B17" s="7" t="s">
        <v>237</v>
      </c>
      <c r="C17" s="7" t="s">
        <v>245</v>
      </c>
      <c r="D17" t="str">
        <f t="shared" si="0"/>
        <v>(9,''CUST_CST_CUNM_RE'',''CUNM_DOB_ORIG''),</v>
      </c>
    </row>
    <row r="18" spans="1:4">
      <c r="A18">
        <v>10</v>
      </c>
      <c r="B18" s="7" t="s">
        <v>294</v>
      </c>
      <c r="C18" s="7" t="s">
        <v>299</v>
      </c>
      <c r="D18" t="str">
        <f t="shared" si="0"/>
        <v>(10,''CUST_CST_CUOR'',''CUOR_DOV_ORIG''),</v>
      </c>
    </row>
    <row r="19" spans="1:4">
      <c r="A19">
        <v>11</v>
      </c>
      <c r="B19" s="7" t="s">
        <v>306</v>
      </c>
      <c r="C19" s="7" t="s">
        <v>308</v>
      </c>
      <c r="D19" t="str">
        <f t="shared" si="0"/>
        <v>(11,''CUST_CST_CUPT'',''CUPT_DOV_ORIG''),</v>
      </c>
    </row>
    <row r="20" spans="1:4">
      <c r="A20">
        <v>12</v>
      </c>
      <c r="B20" s="7" t="s">
        <v>317</v>
      </c>
      <c r="C20" s="7" t="s">
        <v>319</v>
      </c>
      <c r="D20" t="str">
        <f t="shared" si="0"/>
        <v>(12,''DETM_DETIS_BBDS'',''BBDS_DOE_ORIG''),</v>
      </c>
    </row>
    <row r="21" spans="1:4">
      <c r="A21">
        <v>13</v>
      </c>
      <c r="B21" s="7" t="s">
        <v>329</v>
      </c>
      <c r="C21" s="7" t="s">
        <v>331</v>
      </c>
      <c r="D21" t="str">
        <f t="shared" si="0"/>
        <v>(13,''DETM_DETIS_C9DS'',''C9DS_DOE_ORIG''),</v>
      </c>
    </row>
    <row r="22" spans="1:4">
      <c r="A22">
        <v>14</v>
      </c>
      <c r="B22" s="7" t="s">
        <v>339</v>
      </c>
      <c r="C22" s="7" t="s">
        <v>345</v>
      </c>
      <c r="D22" t="str">
        <f t="shared" si="0"/>
        <v>(14,''DETM_DETIS_CBDS'',''CBDS_DOE_ORIG''),</v>
      </c>
    </row>
    <row r="23" spans="1:4">
      <c r="A23">
        <v>15</v>
      </c>
      <c r="B23" s="7" t="s">
        <v>348</v>
      </c>
      <c r="C23" s="7" t="s">
        <v>350</v>
      </c>
      <c r="D23" t="str">
        <f t="shared" si="0"/>
        <v>(15,''DETM_DETIS_CCDS'',''CCDS_DOE_ORIG''),</v>
      </c>
    </row>
    <row r="24" spans="1:4">
      <c r="A24">
        <v>16</v>
      </c>
      <c r="B24" s="7" t="s">
        <v>358</v>
      </c>
      <c r="C24" s="7" t="s">
        <v>360</v>
      </c>
      <c r="D24" t="str">
        <f t="shared" si="0"/>
        <v>(16,''DETM_DETIS_CJDS'',''CJDS_DOE_ORIG''),</v>
      </c>
    </row>
    <row r="25" spans="1:4">
      <c r="A25">
        <v>17</v>
      </c>
      <c r="B25" s="7" t="s">
        <v>368</v>
      </c>
      <c r="C25" s="7" t="s">
        <v>370</v>
      </c>
      <c r="D25" t="str">
        <f t="shared" si="0"/>
        <v>(17,''DETM_DETIS_CZDS'',''CZDS_DOE_ORIG''),</v>
      </c>
    </row>
    <row r="26" spans="1:4">
      <c r="A26">
        <v>18</v>
      </c>
      <c r="B26" s="7" t="s">
        <v>378</v>
      </c>
      <c r="C26" s="7" t="s">
        <v>380</v>
      </c>
      <c r="D26" t="str">
        <f t="shared" si="0"/>
        <v>(18,''DETM_DETIS_D3DS'',''D3DS_DOE_ORIG''),</v>
      </c>
    </row>
    <row r="27" spans="1:4">
      <c r="A27">
        <v>19</v>
      </c>
      <c r="B27" s="7" t="s">
        <v>388</v>
      </c>
      <c r="C27" s="7" t="s">
        <v>390</v>
      </c>
      <c r="D27" t="str">
        <f t="shared" si="0"/>
        <v>(19,''DETM_DETIS_DHDS'',''DHDS_DOE_ORIG''),</v>
      </c>
    </row>
    <row r="28" spans="1:4">
      <c r="A28">
        <v>20</v>
      </c>
      <c r="B28" s="7" t="s">
        <v>398</v>
      </c>
      <c r="C28" s="7" t="s">
        <v>400</v>
      </c>
      <c r="D28" t="str">
        <f t="shared" si="0"/>
        <v>(20,''DETM_DETIS_DPDS'',''DPDS_DOE_ORIG''),</v>
      </c>
    </row>
    <row r="29" spans="1:4">
      <c r="A29">
        <v>21</v>
      </c>
      <c r="B29" s="7" t="s">
        <v>408</v>
      </c>
      <c r="C29" s="7" t="s">
        <v>410</v>
      </c>
      <c r="D29" t="str">
        <f t="shared" si="0"/>
        <v>(21,''DETM_DETIS_EEDS'',''EEDS_DOE_ORIG''),</v>
      </c>
    </row>
    <row r="30" spans="1:4">
      <c r="A30">
        <v>22</v>
      </c>
      <c r="B30" s="7" t="s">
        <v>418</v>
      </c>
      <c r="C30" s="7" t="s">
        <v>420</v>
      </c>
      <c r="D30" t="str">
        <f t="shared" si="0"/>
        <v>(22,''DETM_DETIS_EHDS'',''EHDS_DOE_ORIG''),</v>
      </c>
    </row>
    <row r="31" spans="1:4">
      <c r="A31">
        <v>23</v>
      </c>
      <c r="B31" s="7" t="s">
        <v>427</v>
      </c>
      <c r="C31" s="7" t="s">
        <v>429</v>
      </c>
      <c r="D31" t="str">
        <f t="shared" si="0"/>
        <v>(23,''DETM_DETIS_EMDS'',''EMDS_DOE_ORIG''),</v>
      </c>
    </row>
    <row r="32" spans="1:4">
      <c r="A32">
        <v>24</v>
      </c>
      <c r="B32" s="7" t="s">
        <v>437</v>
      </c>
      <c r="C32" s="7" t="s">
        <v>439</v>
      </c>
      <c r="D32" t="str">
        <f t="shared" si="0"/>
        <v>(24,''DETM_DETIS_ESDS'',''ESDS_DOE_ORIG''),</v>
      </c>
    </row>
    <row r="33" spans="1:4">
      <c r="A33">
        <v>25</v>
      </c>
      <c r="B33" s="7" t="s">
        <v>446</v>
      </c>
      <c r="C33" s="7" t="s">
        <v>448</v>
      </c>
      <c r="D33" t="str">
        <f t="shared" si="0"/>
        <v>(25,''DETM_DETIS_F2DS'',''F2DS_DOE_ORIG''),</v>
      </c>
    </row>
    <row r="34" spans="1:4">
      <c r="A34">
        <v>26</v>
      </c>
      <c r="B34" s="7" t="s">
        <v>456</v>
      </c>
      <c r="C34" s="7" t="s">
        <v>458</v>
      </c>
      <c r="D34" t="str">
        <f t="shared" si="0"/>
        <v>(26,''DETM_DETIS_FDDS'',''FDDS_DOE_ORIG''),</v>
      </c>
    </row>
    <row r="35" spans="1:4">
      <c r="A35">
        <v>27</v>
      </c>
      <c r="B35" s="7" t="s">
        <v>466</v>
      </c>
      <c r="C35" s="7" t="s">
        <v>468</v>
      </c>
      <c r="D35" t="str">
        <f t="shared" si="0"/>
        <v>(27,''DETM_DETIS_FFDS'',''FFDS_DOE_ORIG''),</v>
      </c>
    </row>
    <row r="36" spans="1:4">
      <c r="A36">
        <v>28</v>
      </c>
      <c r="B36" s="7" t="s">
        <v>476</v>
      </c>
      <c r="C36" s="7" t="s">
        <v>478</v>
      </c>
      <c r="D36" t="str">
        <f t="shared" si="0"/>
        <v>(28,''DETM_DETIS_FHDS'',''FHDS_DOE_ORIG''),</v>
      </c>
    </row>
    <row r="37" spans="1:4">
      <c r="A37">
        <v>29</v>
      </c>
      <c r="B37" s="7" t="s">
        <v>485</v>
      </c>
      <c r="C37" s="7" t="s">
        <v>487</v>
      </c>
      <c r="D37" t="str">
        <f t="shared" si="0"/>
        <v>(29,''DETM_DETIS_FTDS'',''FTDS_DOE_ORIG''),</v>
      </c>
    </row>
    <row r="38" spans="1:4">
      <c r="A38">
        <v>30</v>
      </c>
      <c r="B38" s="7" t="s">
        <v>495</v>
      </c>
      <c r="C38" s="7" t="s">
        <v>497</v>
      </c>
      <c r="D38" t="str">
        <f t="shared" si="0"/>
        <v>(30,''DETM_DETIS_FYDS'',''FYDS_DOE_ORIG''),</v>
      </c>
    </row>
    <row r="39" spans="1:4">
      <c r="A39">
        <v>31</v>
      </c>
      <c r="B39" s="7" t="s">
        <v>505</v>
      </c>
      <c r="C39" s="7" t="s">
        <v>510</v>
      </c>
      <c r="D39" t="str">
        <f t="shared" si="0"/>
        <v>(31,''DETM_DETIS_GPDS'',''GPDS_DOE_ORIG''),</v>
      </c>
    </row>
    <row r="40" spans="1:4">
      <c r="A40">
        <v>32</v>
      </c>
      <c r="B40" s="7" t="s">
        <v>517</v>
      </c>
      <c r="C40" s="7" t="s">
        <v>519</v>
      </c>
      <c r="D40" t="str">
        <f t="shared" si="0"/>
        <v>(32,''DETM_DETIS_HDDS'',''HDDS_DOE_ORIG''),</v>
      </c>
    </row>
    <row r="41" spans="1:4">
      <c r="A41">
        <v>32</v>
      </c>
      <c r="B41" s="7" t="s">
        <v>517</v>
      </c>
      <c r="C41" s="7" t="s">
        <v>526</v>
      </c>
      <c r="D41" t="str">
        <f t="shared" si="0"/>
        <v>(32,''DETM_DETIS_HDDS'',''HDDS_LMT_DATE_ORIG''),</v>
      </c>
    </row>
    <row r="42" spans="1:4">
      <c r="A42">
        <v>33</v>
      </c>
      <c r="B42" s="7" t="s">
        <v>528</v>
      </c>
      <c r="C42" s="7" t="s">
        <v>530</v>
      </c>
      <c r="D42" t="str">
        <f t="shared" si="0"/>
        <v>(33,''DETM_DETIS_JCDS'',''JCDS_DOE_ORIG''),</v>
      </c>
    </row>
    <row r="43" spans="1:4">
      <c r="A43">
        <v>34</v>
      </c>
      <c r="B43" s="7" t="s">
        <v>538</v>
      </c>
      <c r="C43" s="7" t="s">
        <v>540</v>
      </c>
      <c r="D43" t="str">
        <f t="shared" si="0"/>
        <v>(34,''DETM_DETIS_JMDS'',''JMDS_DOE_ORIG''),</v>
      </c>
    </row>
    <row r="44" spans="1:4">
      <c r="A44">
        <v>35</v>
      </c>
      <c r="B44" s="7" t="s">
        <v>547</v>
      </c>
      <c r="C44" s="7" t="s">
        <v>552</v>
      </c>
      <c r="D44" t="str">
        <f t="shared" si="0"/>
        <v>(35,''DETM_DETIS_K9DS'',''K9DS_DOE_ORIG''),</v>
      </c>
    </row>
    <row r="45" spans="1:4">
      <c r="A45">
        <v>36</v>
      </c>
      <c r="B45" s="7" t="s">
        <v>557</v>
      </c>
      <c r="C45" s="7" t="s">
        <v>559</v>
      </c>
      <c r="D45" t="str">
        <f t="shared" si="0"/>
        <v>(36,''DETM_DETIS_LIDS'',''LIDS_DOE_ORIG''),</v>
      </c>
    </row>
    <row r="46" spans="1:4">
      <c r="A46">
        <v>37</v>
      </c>
      <c r="B46" s="7" t="s">
        <v>566</v>
      </c>
      <c r="C46" s="7" t="s">
        <v>568</v>
      </c>
      <c r="D46" t="str">
        <f t="shared" si="0"/>
        <v>(37,''DETM_DETIS_LSDS'',''LSDS_DOE_ORIG''),</v>
      </c>
    </row>
    <row r="47" spans="1:4">
      <c r="A47">
        <v>38</v>
      </c>
      <c r="B47" s="7" t="s">
        <v>575</v>
      </c>
      <c r="C47" s="7" t="s">
        <v>577</v>
      </c>
      <c r="D47" t="str">
        <f t="shared" si="0"/>
        <v>(38,''DETM_DETIS_M9DS'',''M9DS_DOE_ORIG''),</v>
      </c>
    </row>
    <row r="48" spans="1:4">
      <c r="A48">
        <v>39</v>
      </c>
      <c r="B48" s="7" t="s">
        <v>585</v>
      </c>
      <c r="C48" s="7" t="s">
        <v>587</v>
      </c>
      <c r="D48" t="str">
        <f t="shared" si="0"/>
        <v>(39,''DETM_DETIS_MODS'',''MODS_DOE_ORIG''),</v>
      </c>
    </row>
    <row r="49" spans="1:4">
      <c r="A49">
        <v>40</v>
      </c>
      <c r="B49" s="7" t="s">
        <v>594</v>
      </c>
      <c r="C49" s="7" t="s">
        <v>596</v>
      </c>
      <c r="D49" t="str">
        <f t="shared" si="0"/>
        <v>(40,''DETM_DETIS_MPDS'',''MPDS_DOE_ORIG''),</v>
      </c>
    </row>
    <row r="50" spans="1:4">
      <c r="A50">
        <v>41</v>
      </c>
      <c r="B50" s="7" t="s">
        <v>604</v>
      </c>
      <c r="C50" s="7" t="s">
        <v>606</v>
      </c>
      <c r="D50" t="str">
        <f t="shared" si="0"/>
        <v>(41,''DETM_DETIS_MYDS'',''MYDS_DOE_ORIG''),</v>
      </c>
    </row>
    <row r="51" spans="1:4">
      <c r="A51">
        <v>42</v>
      </c>
      <c r="B51" s="7" t="s">
        <v>614</v>
      </c>
      <c r="C51" s="7" t="s">
        <v>616</v>
      </c>
      <c r="D51" t="str">
        <f t="shared" si="0"/>
        <v>(42,''DETM_DETIS_N9DS'',''N9DS_DOE_ORIG''),</v>
      </c>
    </row>
    <row r="52" spans="1:4">
      <c r="A52">
        <v>43</v>
      </c>
      <c r="B52" s="7" t="s">
        <v>624</v>
      </c>
      <c r="C52" s="7" t="s">
        <v>626</v>
      </c>
      <c r="D52" t="str">
        <f t="shared" si="0"/>
        <v>(43,''DETM_DETIS_NRDS'',''NRDS_DOE_ORIG''),</v>
      </c>
    </row>
    <row r="53" spans="1:4">
      <c r="A53">
        <v>44</v>
      </c>
      <c r="B53" s="7" t="s">
        <v>634</v>
      </c>
      <c r="C53" s="7" t="s">
        <v>636</v>
      </c>
      <c r="D53" t="str">
        <f t="shared" si="0"/>
        <v>(44,''DETM_DETIS_NSDS'',''NSDS_DOE_ORIG''),</v>
      </c>
    </row>
    <row r="54" spans="1:4">
      <c r="A54">
        <v>45</v>
      </c>
      <c r="B54" s="7" t="s">
        <v>644</v>
      </c>
      <c r="C54" s="7" t="s">
        <v>646</v>
      </c>
      <c r="D54" t="str">
        <f t="shared" si="0"/>
        <v>(45,''DETM_DETIS_P1DS'',''P1DS_DOE_ORIG''),</v>
      </c>
    </row>
    <row r="55" spans="1:4">
      <c r="A55">
        <v>46</v>
      </c>
      <c r="B55" s="7" t="s">
        <v>654</v>
      </c>
      <c r="C55" s="7" t="s">
        <v>656</v>
      </c>
      <c r="D55" t="str">
        <f t="shared" si="0"/>
        <v>(46,''DETM_DETIS_PGDS'',''PGDS_DOE_ORIG''),</v>
      </c>
    </row>
    <row r="56" spans="1:4">
      <c r="A56">
        <v>47</v>
      </c>
      <c r="B56" s="7" t="s">
        <v>664</v>
      </c>
      <c r="C56" s="7" t="s">
        <v>666</v>
      </c>
      <c r="D56" t="str">
        <f t="shared" si="0"/>
        <v>(47,''DETM_DETIS_PJDS'',''PJDS_DOE_ORIG''),</v>
      </c>
    </row>
    <row r="57" spans="1:4">
      <c r="A57">
        <v>48</v>
      </c>
      <c r="B57" s="7" t="s">
        <v>674</v>
      </c>
      <c r="C57" s="7" t="s">
        <v>676</v>
      </c>
      <c r="D57" t="str">
        <f t="shared" si="0"/>
        <v>(48,''DETM_DETIS_PNDS'',''PNDS_DOE_ORIG''),</v>
      </c>
    </row>
    <row r="58" spans="1:4">
      <c r="A58">
        <v>48</v>
      </c>
      <c r="B58" s="7" t="s">
        <v>674</v>
      </c>
      <c r="C58" s="7" t="s">
        <v>682</v>
      </c>
      <c r="D58" t="str">
        <f t="shared" si="0"/>
        <v>(48,''DETM_DETIS_PNDS'',''PNDS_PRCL_END_DATE_ORIG''),</v>
      </c>
    </row>
    <row r="59" spans="1:4">
      <c r="A59">
        <v>49</v>
      </c>
      <c r="B59" s="7" t="s">
        <v>685</v>
      </c>
      <c r="C59" s="7" t="s">
        <v>687</v>
      </c>
      <c r="D59" t="str">
        <f t="shared" si="0"/>
        <v>(49,''DETM_DETIS_RCDS'',''RCDS_DOE_ORIG''),</v>
      </c>
    </row>
    <row r="60" spans="1:4">
      <c r="A60">
        <v>50</v>
      </c>
      <c r="B60" s="7" t="s">
        <v>695</v>
      </c>
      <c r="C60" s="7" t="s">
        <v>697</v>
      </c>
      <c r="D60" t="str">
        <f t="shared" si="0"/>
        <v>(50,''DETM_DETIS_SHDS'',''SHDS_DOE_ORIG''),</v>
      </c>
    </row>
    <row r="61" spans="1:4">
      <c r="A61">
        <v>51</v>
      </c>
      <c r="B61" s="7" t="s">
        <v>705</v>
      </c>
      <c r="C61" s="7" t="s">
        <v>707</v>
      </c>
      <c r="D61" t="str">
        <f t="shared" si="0"/>
        <v>(51,''DETM_DETIS_TLDS'',''TLDS_DOE_ORIG''),</v>
      </c>
    </row>
    <row r="62" spans="1:4">
      <c r="A62">
        <v>52</v>
      </c>
      <c r="B62" s="7" t="s">
        <v>714</v>
      </c>
      <c r="C62" s="7" t="s">
        <v>719</v>
      </c>
      <c r="D62" t="str">
        <f t="shared" si="0"/>
        <v>(52,''DETM_DETIS_VBDS'',''VBDS_DOE_ORIG''),</v>
      </c>
    </row>
    <row r="63" spans="1:4">
      <c r="A63">
        <v>53</v>
      </c>
      <c r="B63" s="7" t="s">
        <v>723</v>
      </c>
      <c r="C63" s="7" t="s">
        <v>725</v>
      </c>
      <c r="D63" t="str">
        <f t="shared" si="0"/>
        <v>(53,''DETM_DETIS_YBDS'',''YBDS_DOE_ORIG''),</v>
      </c>
    </row>
    <row r="64" spans="1:4">
      <c r="A64">
        <v>54</v>
      </c>
      <c r="B64" s="7" t="s">
        <v>732</v>
      </c>
      <c r="C64" s="7" t="s">
        <v>734</v>
      </c>
      <c r="D64" t="str">
        <f t="shared" si="0"/>
        <v>(54,''DETM_DETIS_YCDS'',''YCDS_DOE_ORIG''),</v>
      </c>
    </row>
    <row r="65" spans="1:4">
      <c r="A65">
        <v>55</v>
      </c>
      <c r="B65" s="7" t="s">
        <v>741</v>
      </c>
      <c r="C65" s="7" t="s">
        <v>743</v>
      </c>
      <c r="D65" t="str">
        <f t="shared" si="0"/>
        <v>(55,''DETM_DETIS_YPDS'',''YPDS_DOE_ORIG''),</v>
      </c>
    </row>
    <row r="66" spans="1:4">
      <c r="A66">
        <v>56</v>
      </c>
      <c r="B66" s="7" t="s">
        <v>754</v>
      </c>
      <c r="C66" s="7" t="s">
        <v>756</v>
      </c>
      <c r="D66" t="str">
        <f t="shared" ref="D66:D68" si="1">CONCATENATE("(",A66,",''",B66,"'',","''",C66,"''","),")</f>
        <v>(56,''KIDS_CHILD_CHFC'',''CHFC_DOV_ORIG''),</v>
      </c>
    </row>
    <row r="67" spans="1:4">
      <c r="A67">
        <v>57</v>
      </c>
      <c r="B67" s="7" t="s">
        <v>764</v>
      </c>
      <c r="C67" s="7" t="s">
        <v>766</v>
      </c>
      <c r="D67" t="str">
        <f t="shared" si="1"/>
        <v>(57,''KIDS_CHILD_CHGP'',''CHGP_DOV_ORIG''),</v>
      </c>
    </row>
    <row r="68" spans="1:4">
      <c r="A68">
        <v>58</v>
      </c>
      <c r="B68" s="7" t="s">
        <v>772</v>
      </c>
      <c r="C68" s="7" t="s">
        <v>778</v>
      </c>
      <c r="D68" t="str">
        <f t="shared" si="1"/>
        <v>(58,''LNK0_GLNK_CULD'',''CULD_DOV_ORIG''),</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0820F-D2CF-4799-B563-2D119BC9C262}">
  <dimension ref="A1:B28"/>
  <sheetViews>
    <sheetView workbookViewId="0">
      <selection activeCell="B26" sqref="B26"/>
    </sheetView>
  </sheetViews>
  <sheetFormatPr defaultRowHeight="15"/>
  <cols>
    <col min="1" max="1" width="17.28515625" bestFit="1" customWidth="1"/>
    <col min="2" max="2" width="18.5703125" bestFit="1" customWidth="1"/>
  </cols>
  <sheetData>
    <row r="1" spans="1:2">
      <c r="A1" s="22" t="s">
        <v>839</v>
      </c>
    </row>
    <row r="2" spans="1:2">
      <c r="A2" t="s">
        <v>840</v>
      </c>
      <c r="B2" t="str">
        <f>UPPER(A2)</f>
        <v>CIRC_PORT_PODT</v>
      </c>
    </row>
    <row r="3" spans="1:2">
      <c r="A3" t="s">
        <v>841</v>
      </c>
      <c r="B3" t="str">
        <f t="shared" ref="B3:B28" si="0">UPPER(A3)</f>
        <v>CIRC_RES_RSEV</v>
      </c>
    </row>
    <row r="4" spans="1:2">
      <c r="A4" t="s">
        <v>842</v>
      </c>
      <c r="B4" t="str">
        <f t="shared" si="0"/>
        <v>CUST_CST_CUOR</v>
      </c>
    </row>
    <row r="5" spans="1:2">
      <c r="A5" t="s">
        <v>843</v>
      </c>
      <c r="B5" t="str">
        <f t="shared" si="0"/>
        <v>CUST_CST_CUPT</v>
      </c>
    </row>
    <row r="6" spans="1:2">
      <c r="A6" t="s">
        <v>844</v>
      </c>
      <c r="B6" t="str">
        <f t="shared" si="0"/>
        <v>DETM_DETIS_JMDS</v>
      </c>
    </row>
    <row r="7" spans="1:2">
      <c r="A7" t="s">
        <v>845</v>
      </c>
      <c r="B7" t="str">
        <f t="shared" si="0"/>
        <v>DETM_DETIS_K9DS</v>
      </c>
    </row>
    <row r="8" spans="1:2">
      <c r="A8" t="s">
        <v>846</v>
      </c>
      <c r="B8" t="str">
        <f t="shared" si="0"/>
        <v>DETM_DETIS_LIDS</v>
      </c>
    </row>
    <row r="9" spans="1:2">
      <c r="A9" t="s">
        <v>847</v>
      </c>
      <c r="B9" t="str">
        <f t="shared" si="0"/>
        <v>DETM_DETIS_LSDS</v>
      </c>
    </row>
    <row r="10" spans="1:2">
      <c r="A10" t="s">
        <v>848</v>
      </c>
      <c r="B10" t="str">
        <f t="shared" si="0"/>
        <v>DETM_DETIS_M9DS</v>
      </c>
    </row>
    <row r="11" spans="1:2">
      <c r="A11" t="s">
        <v>849</v>
      </c>
      <c r="B11" t="str">
        <f t="shared" si="0"/>
        <v>DETM_DETIS_MODS</v>
      </c>
    </row>
    <row r="12" spans="1:2">
      <c r="A12" t="s">
        <v>850</v>
      </c>
      <c r="B12" t="str">
        <f t="shared" si="0"/>
        <v>DETM_DETIS_MPDS</v>
      </c>
    </row>
    <row r="13" spans="1:2">
      <c r="A13" t="s">
        <v>851</v>
      </c>
      <c r="B13" t="str">
        <f t="shared" si="0"/>
        <v>DETM_DETIS_MYDS</v>
      </c>
    </row>
    <row r="14" spans="1:2">
      <c r="A14" t="s">
        <v>852</v>
      </c>
      <c r="B14" t="str">
        <f t="shared" si="0"/>
        <v>DETM_DETIS_N9DS</v>
      </c>
    </row>
    <row r="15" spans="1:2">
      <c r="A15" t="s">
        <v>853</v>
      </c>
      <c r="B15" t="str">
        <f t="shared" si="0"/>
        <v>DETM_DETIS_NRDS</v>
      </c>
    </row>
    <row r="16" spans="1:2">
      <c r="A16" t="s">
        <v>854</v>
      </c>
      <c r="B16" t="str">
        <f t="shared" si="0"/>
        <v>DETM_DETIS_P1DS</v>
      </c>
    </row>
    <row r="17" spans="1:2">
      <c r="A17" t="s">
        <v>855</v>
      </c>
      <c r="B17" t="str">
        <f t="shared" si="0"/>
        <v>DETM_DETIS_PGDS</v>
      </c>
    </row>
    <row r="18" spans="1:2">
      <c r="A18" t="s">
        <v>856</v>
      </c>
      <c r="B18" t="str">
        <f t="shared" si="0"/>
        <v>DETM_DETIS_PJDS</v>
      </c>
    </row>
    <row r="19" spans="1:2">
      <c r="A19" t="s">
        <v>857</v>
      </c>
      <c r="B19" t="str">
        <f t="shared" si="0"/>
        <v>DETM_DETIS_PNDS</v>
      </c>
    </row>
    <row r="20" spans="1:2">
      <c r="A20" t="s">
        <v>858</v>
      </c>
      <c r="B20" t="str">
        <f t="shared" si="0"/>
        <v>DETM_DETIS_RCDS</v>
      </c>
    </row>
    <row r="21" spans="1:2">
      <c r="A21" t="s">
        <v>859</v>
      </c>
      <c r="B21" t="str">
        <f t="shared" si="0"/>
        <v>DETM_DETIS_SHDS</v>
      </c>
    </row>
    <row r="22" spans="1:2">
      <c r="A22" t="s">
        <v>860</v>
      </c>
      <c r="B22" t="str">
        <f t="shared" si="0"/>
        <v>DETM_DETIS_TLDS</v>
      </c>
    </row>
    <row r="23" spans="1:2">
      <c r="A23" t="s">
        <v>861</v>
      </c>
      <c r="B23" t="str">
        <f t="shared" si="0"/>
        <v>DETM_DETIS_VBDS</v>
      </c>
    </row>
    <row r="24" spans="1:2">
      <c r="A24" t="s">
        <v>862</v>
      </c>
      <c r="B24" t="str">
        <f t="shared" si="0"/>
        <v>DETM_DETIS_YBDS</v>
      </c>
    </row>
    <row r="25" spans="1:2">
      <c r="A25" t="s">
        <v>863</v>
      </c>
      <c r="B25" t="str">
        <f t="shared" si="0"/>
        <v>DETM_DETIS_YCDS</v>
      </c>
    </row>
    <row r="26" spans="1:2">
      <c r="A26" t="s">
        <v>864</v>
      </c>
      <c r="B26" t="str">
        <f t="shared" si="0"/>
        <v>DETM_DETIS_YPDS</v>
      </c>
    </row>
    <row r="27" spans="1:2">
      <c r="A27" t="s">
        <v>865</v>
      </c>
      <c r="B27" t="str">
        <f t="shared" si="0"/>
        <v>KIDS_CHILD_CHFC</v>
      </c>
    </row>
    <row r="28" spans="1:2">
      <c r="A28" t="s">
        <v>866</v>
      </c>
      <c r="B28" t="str">
        <f t="shared" si="0"/>
        <v>KIDS_CHILD_CHGP</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FCB84-33ED-41DD-8A43-E474D0C1308C}">
  <dimension ref="A1:G69"/>
  <sheetViews>
    <sheetView workbookViewId="0">
      <selection activeCell="E69" sqref="E69"/>
    </sheetView>
  </sheetViews>
  <sheetFormatPr defaultRowHeight="15"/>
  <cols>
    <col min="1" max="1" width="9.85546875" bestFit="1" customWidth="1"/>
    <col min="2" max="2" width="19.85546875" bestFit="1" customWidth="1"/>
    <col min="3" max="4" width="19.5703125" bestFit="1" customWidth="1"/>
    <col min="5" max="6" width="34.85546875" bestFit="1" customWidth="1"/>
    <col min="7" max="7" width="228.5703125" bestFit="1" customWidth="1"/>
  </cols>
  <sheetData>
    <row r="1" spans="1:7">
      <c r="A1" s="22" t="s">
        <v>60</v>
      </c>
      <c r="B1" s="22" t="s">
        <v>61</v>
      </c>
      <c r="C1" s="22" t="s">
        <v>62</v>
      </c>
      <c r="D1" s="22" t="s">
        <v>63</v>
      </c>
      <c r="E1" s="22" t="s">
        <v>64</v>
      </c>
      <c r="F1" s="22" t="s">
        <v>65</v>
      </c>
    </row>
    <row r="2" spans="1:7">
      <c r="A2" t="s">
        <v>783</v>
      </c>
      <c r="B2" t="s">
        <v>77</v>
      </c>
      <c r="C2" t="s">
        <v>78</v>
      </c>
      <c r="D2" t="s">
        <v>78</v>
      </c>
      <c r="E2" t="s">
        <v>99</v>
      </c>
      <c r="F2" t="s">
        <v>101</v>
      </c>
      <c r="G2" t="str">
        <f>_xlfn.CONCAT("
UPDATE metadata_reference.etl_metadata_reference 
SET srccolumnname = tgtcolumnname 
WHERE sourcesystemname = '",TRIM($B2),"'",
" AND srctablename = '",TRIM($C2),"'",
" AND tgtcolumnname = '",TRIM($F2),"'",
" AND loadtype = '",TRIM($A2),"'",";"
)</f>
        <v xml:space="preserve">
UPDATE metadata_reference.etl_metadata_reference 
SET srccolumnname = tgtcolumnname 
WHERE sourcesystemname = 'CLK' AND srctablename = 'CIRC_PORT_PODT' AND tgtcolumnname = 'PODT_AUS_DPRT_DATE_ORIG' AND loadtype = 'History';</v>
      </c>
    </row>
    <row r="3" spans="1:7">
      <c r="A3" t="s">
        <v>783</v>
      </c>
      <c r="B3" t="s">
        <v>77</v>
      </c>
      <c r="C3" t="s">
        <v>78</v>
      </c>
      <c r="D3" t="s">
        <v>78</v>
      </c>
      <c r="E3" t="s">
        <v>102</v>
      </c>
      <c r="F3" t="s">
        <v>103</v>
      </c>
      <c r="G3" t="str">
        <f t="shared" ref="G3:G66" si="0">_xlfn.CONCAT("
UPDATE metadata_reference.etl_metadata_reference 
SET srccolumnname = tgtcolumnname 
WHERE sourcesystemname = '",TRIM($B3),"'",
" AND srctablename = '",TRIM($C3),"'",
" AND tgtcolumnname = '",TRIM($F3),"'",
" AND loadtype = '",TRIM($A3),"'",";"
)</f>
        <v xml:space="preserve">
UPDATE metadata_reference.etl_metadata_reference 
SET srccolumnname = tgtcolumnname 
WHERE sourcesystemname = 'CLK' AND srctablename = 'CIRC_PORT_PODT' AND tgtcolumnname = 'PODT_AUS_RTN_DATE_ORIG' AND loadtype = 'History';</v>
      </c>
    </row>
    <row r="4" spans="1:7">
      <c r="A4" t="s">
        <v>783</v>
      </c>
      <c r="B4" t="s">
        <v>77</v>
      </c>
      <c r="C4" t="s">
        <v>78</v>
      </c>
      <c r="D4" t="s">
        <v>78</v>
      </c>
      <c r="E4" t="s">
        <v>105</v>
      </c>
      <c r="F4" t="s">
        <v>106</v>
      </c>
      <c r="G4" t="str">
        <f t="shared" si="0"/>
        <v xml:space="preserve">
UPDATE metadata_reference.etl_metadata_reference 
SET srccolumnname = tgtcolumnname 
WHERE sourcesystemname = 'CLK' AND srctablename = 'CIRC_PORT_PODT' AND tgtcolumnname = 'PODT_DOV_ORIG' AND loadtype = 'History';</v>
      </c>
    </row>
    <row r="5" spans="1:7">
      <c r="A5" t="s">
        <v>783</v>
      </c>
      <c r="B5" t="s">
        <v>77</v>
      </c>
      <c r="C5" t="s">
        <v>119</v>
      </c>
      <c r="D5" t="s">
        <v>119</v>
      </c>
      <c r="E5" t="s">
        <v>121</v>
      </c>
      <c r="F5" t="s">
        <v>121</v>
      </c>
      <c r="G5" t="str">
        <f t="shared" si="0"/>
        <v xml:space="preserve">
UPDATE metadata_reference.etl_metadata_reference 
SET srccolumnname = tgtcolumnname 
WHERE sourcesystemname = 'CLK' AND srctablename = 'CIRC_RES_RSCB' AND tgtcolumnname = 'RSCB_DOR_ORIG' AND loadtype = 'History';</v>
      </c>
    </row>
    <row r="6" spans="1:7">
      <c r="A6" t="s">
        <v>783</v>
      </c>
      <c r="B6" t="s">
        <v>77</v>
      </c>
      <c r="C6" t="s">
        <v>128</v>
      </c>
      <c r="D6" t="s">
        <v>128</v>
      </c>
      <c r="E6" t="s">
        <v>130</v>
      </c>
      <c r="F6" t="s">
        <v>130</v>
      </c>
      <c r="G6" t="str">
        <f t="shared" si="0"/>
        <v xml:space="preserve">
UPDATE metadata_reference.etl_metadata_reference 
SET srccolumnname = tgtcolumnname 
WHERE sourcesystemname = 'CLK' AND srctablename = 'CIRC_RES_RSCV' AND tgtcolumnname = 'RSCV_DOV_ORIG' AND loadtype = 'History';</v>
      </c>
    </row>
    <row r="7" spans="1:7">
      <c r="A7" t="s">
        <v>783</v>
      </c>
      <c r="B7" t="s">
        <v>77</v>
      </c>
      <c r="C7" t="s">
        <v>135</v>
      </c>
      <c r="D7" t="s">
        <v>135</v>
      </c>
      <c r="E7" t="s">
        <v>136</v>
      </c>
      <c r="F7" t="s">
        <v>137</v>
      </c>
      <c r="G7" t="str">
        <f t="shared" si="0"/>
        <v xml:space="preserve">
UPDATE metadata_reference.etl_metadata_reference 
SET srccolumnname = tgtcolumnname 
WHERE sourcesystemname = 'CLK' AND srctablename = 'CIRC_RES_RSEV' AND tgtcolumnname = 'RSEV_VISA_GRANT_DATE_ORIG' AND loadtype = 'History';</v>
      </c>
    </row>
    <row r="8" spans="1:7">
      <c r="A8" t="s">
        <v>783</v>
      </c>
      <c r="B8" t="s">
        <v>77</v>
      </c>
      <c r="C8" t="s">
        <v>135</v>
      </c>
      <c r="D8" t="s">
        <v>135</v>
      </c>
      <c r="E8" t="s">
        <v>145</v>
      </c>
      <c r="F8" t="s">
        <v>146</v>
      </c>
      <c r="G8" t="str">
        <f t="shared" si="0"/>
        <v xml:space="preserve">
UPDATE metadata_reference.etl_metadata_reference 
SET srccolumnname = tgtcolumnname 
WHERE sourcesystemname = 'CLK' AND srctablename = 'CIRC_RES_RSEV' AND tgtcolumnname = 'RSEV_VISA_APPLN_DATE_ORIG' AND loadtype = 'History';</v>
      </c>
    </row>
    <row r="9" spans="1:7">
      <c r="A9" t="s">
        <v>783</v>
      </c>
      <c r="B9" t="s">
        <v>77</v>
      </c>
      <c r="C9" t="s">
        <v>135</v>
      </c>
      <c r="D9" t="s">
        <v>135</v>
      </c>
      <c r="E9" t="s">
        <v>147</v>
      </c>
      <c r="F9" t="s">
        <v>148</v>
      </c>
      <c r="G9" t="str">
        <f t="shared" si="0"/>
        <v xml:space="preserve">
UPDATE metadata_reference.etl_metadata_reference 
SET srccolumnname = tgtcolumnname 
WHERE sourcesystemname = 'CLK' AND srctablename = 'CIRC_RES_RSEV' AND tgtcolumnname = 'RSEV_VISA_END_DATE_ORIG' AND loadtype = 'History';</v>
      </c>
    </row>
    <row r="10" spans="1:7">
      <c r="A10" t="s">
        <v>783</v>
      </c>
      <c r="B10" t="s">
        <v>77</v>
      </c>
      <c r="C10" t="s">
        <v>153</v>
      </c>
      <c r="D10" t="s">
        <v>153</v>
      </c>
      <c r="E10" t="s">
        <v>156</v>
      </c>
      <c r="F10" t="s">
        <v>156</v>
      </c>
      <c r="G10" t="str">
        <f t="shared" si="0"/>
        <v xml:space="preserve">
UPDATE metadata_reference.etl_metadata_reference 
SET srccolumnname = tgtcolumnname 
WHERE sourcesystemname = 'CLK' AND srctablename = 'CIRD_NREL_NONO' AND tgtcolumnname = 'NONO_DOE_ORIG' AND loadtype = 'History';</v>
      </c>
    </row>
    <row r="11" spans="1:7">
      <c r="A11" t="s">
        <v>783</v>
      </c>
      <c r="B11" t="s">
        <v>77</v>
      </c>
      <c r="C11" t="s">
        <v>153</v>
      </c>
      <c r="D11" t="s">
        <v>153</v>
      </c>
      <c r="E11" t="s">
        <v>172</v>
      </c>
      <c r="F11" t="s">
        <v>172</v>
      </c>
      <c r="G11" t="str">
        <f t="shared" si="0"/>
        <v xml:space="preserve">
UPDATE metadata_reference.etl_metadata_reference 
SET srccolumnname = tgtcolumnname 
WHERE sourcesystemname = 'CLK' AND srctablename = 'CIRD_NREL_NONO' AND tgtcolumnname = 'NONO_UPDT_DATE_ORIG' AND loadtype = 'History';</v>
      </c>
    </row>
    <row r="12" spans="1:7">
      <c r="A12" t="s">
        <v>783</v>
      </c>
      <c r="B12" t="s">
        <v>77</v>
      </c>
      <c r="C12" t="s">
        <v>175</v>
      </c>
      <c r="D12" t="s">
        <v>175</v>
      </c>
      <c r="E12" t="s">
        <v>177</v>
      </c>
      <c r="F12" t="s">
        <v>177</v>
      </c>
      <c r="G12" t="str">
        <f t="shared" si="0"/>
        <v xml:space="preserve">
UPDATE metadata_reference.etl_metadata_reference 
SET srccolumnname = tgtcolumnname 
WHERE sourcesystemname = 'CLK' AND srctablename = 'CUST_CST_CUAD_RE' AND tgtcolumnname = 'CUAD_DOE_ORIG' AND loadtype = 'History';</v>
      </c>
    </row>
    <row r="13" spans="1:7">
      <c r="A13" t="s">
        <v>783</v>
      </c>
      <c r="B13" t="s">
        <v>77</v>
      </c>
      <c r="C13" t="s">
        <v>175</v>
      </c>
      <c r="D13" t="s">
        <v>175</v>
      </c>
      <c r="E13" t="s">
        <v>203</v>
      </c>
      <c r="F13" t="s">
        <v>203</v>
      </c>
      <c r="G13" t="str">
        <f t="shared" si="0"/>
        <v xml:space="preserve">
UPDATE metadata_reference.etl_metadata_reference 
SET srccolumnname = tgtcolumnname 
WHERE sourcesystemname = 'CLK' AND srctablename = 'CUST_CST_CUAD_RE' AND tgtcolumnname = 'CUAD_GEO_PRCS_DATE_ORIG' AND loadtype = 'History';</v>
      </c>
    </row>
    <row r="14" spans="1:7">
      <c r="A14" t="s">
        <v>783</v>
      </c>
      <c r="B14" t="s">
        <v>77</v>
      </c>
      <c r="C14" t="s">
        <v>219</v>
      </c>
      <c r="D14" t="s">
        <v>219</v>
      </c>
      <c r="E14" t="s">
        <v>224</v>
      </c>
      <c r="F14" t="s">
        <v>224</v>
      </c>
      <c r="G14" t="str">
        <f t="shared" si="0"/>
        <v xml:space="preserve">
UPDATE metadata_reference.etl_metadata_reference 
SET srccolumnname = tgtcolumnname 
WHERE sourcesystemname = 'CLK' AND srctablename = 'CUST_CST_CUDD' AND tgtcolumnname = 'CUDD_DOR_ORIG' AND loadtype = 'History';</v>
      </c>
    </row>
    <row r="15" spans="1:7">
      <c r="A15" t="s">
        <v>783</v>
      </c>
      <c r="B15" t="s">
        <v>77</v>
      </c>
      <c r="C15" t="s">
        <v>219</v>
      </c>
      <c r="D15" t="s">
        <v>219</v>
      </c>
      <c r="E15" t="s">
        <v>226</v>
      </c>
      <c r="F15" t="s">
        <v>226</v>
      </c>
      <c r="G15" t="str">
        <f t="shared" si="0"/>
        <v xml:space="preserve">
UPDATE metadata_reference.etl_metadata_reference 
SET srccolumnname = tgtcolumnname 
WHERE sourcesystemname = 'CLK' AND srctablename = 'CUST_CST_CUDD' AND tgtcolumnname = 'CUDD_DEATH_DATE_ORIG' AND loadtype = 'History';</v>
      </c>
    </row>
    <row r="16" spans="1:7">
      <c r="A16" t="s">
        <v>783</v>
      </c>
      <c r="B16" t="s">
        <v>77</v>
      </c>
      <c r="C16" t="s">
        <v>227</v>
      </c>
      <c r="D16" t="s">
        <v>227</v>
      </c>
      <c r="E16" t="s">
        <v>229</v>
      </c>
      <c r="F16" t="s">
        <v>229</v>
      </c>
      <c r="G16" t="str">
        <f t="shared" si="0"/>
        <v xml:space="preserve">
UPDATE metadata_reference.etl_metadata_reference 
SET srccolumnname = tgtcolumnname 
WHERE sourcesystemname = 'CLK' AND srctablename = 'CUST_CST_CUEM' AND tgtcolumnname = 'CUEM_DOE_ORIG' AND loadtype = 'History';</v>
      </c>
    </row>
    <row r="17" spans="1:7">
      <c r="A17" t="s">
        <v>783</v>
      </c>
      <c r="B17" t="s">
        <v>77</v>
      </c>
      <c r="C17" t="s">
        <v>237</v>
      </c>
      <c r="D17" t="s">
        <v>237</v>
      </c>
      <c r="E17" t="s">
        <v>239</v>
      </c>
      <c r="F17" t="s">
        <v>239</v>
      </c>
      <c r="G17" t="str">
        <f t="shared" si="0"/>
        <v xml:space="preserve">
UPDATE metadata_reference.etl_metadata_reference 
SET srccolumnname = tgtcolumnname 
WHERE sourcesystemname = 'CLK' AND srctablename = 'CUST_CST_CUNM_RE' AND tgtcolumnname = 'CUNM_DOV_ORIG' AND loadtype = 'History';</v>
      </c>
    </row>
    <row r="18" spans="1:7">
      <c r="A18" t="s">
        <v>783</v>
      </c>
      <c r="B18" t="s">
        <v>77</v>
      </c>
      <c r="C18" t="s">
        <v>237</v>
      </c>
      <c r="D18" t="s">
        <v>237</v>
      </c>
      <c r="E18" t="s">
        <v>245</v>
      </c>
      <c r="F18" t="s">
        <v>245</v>
      </c>
      <c r="G18" t="str">
        <f t="shared" si="0"/>
        <v xml:space="preserve">
UPDATE metadata_reference.etl_metadata_reference 
SET srccolumnname = tgtcolumnname 
WHERE sourcesystemname = 'CLK' AND srctablename = 'CUST_CST_CUNM_RE' AND tgtcolumnname = 'CUNM_DOB_ORIG' AND loadtype = 'History';</v>
      </c>
    </row>
    <row r="19" spans="1:7">
      <c r="A19" t="s">
        <v>783</v>
      </c>
      <c r="B19" t="s">
        <v>77</v>
      </c>
      <c r="C19" t="s">
        <v>294</v>
      </c>
      <c r="D19" t="s">
        <v>294</v>
      </c>
      <c r="E19" t="s">
        <v>298</v>
      </c>
      <c r="F19" t="s">
        <v>299</v>
      </c>
      <c r="G19" t="str">
        <f t="shared" si="0"/>
        <v xml:space="preserve">
UPDATE metadata_reference.etl_metadata_reference 
SET srccolumnname = tgtcolumnname 
WHERE sourcesystemname = 'CLK' AND srctablename = 'CUST_CST_CUOR' AND tgtcolumnname = 'CUOR_DOV_ORIG' AND loadtype = 'History';</v>
      </c>
    </row>
    <row r="20" spans="1:7">
      <c r="A20" t="s">
        <v>783</v>
      </c>
      <c r="B20" t="s">
        <v>77</v>
      </c>
      <c r="C20" t="s">
        <v>306</v>
      </c>
      <c r="D20" t="s">
        <v>306</v>
      </c>
      <c r="E20" t="s">
        <v>307</v>
      </c>
      <c r="F20" t="s">
        <v>308</v>
      </c>
      <c r="G20" t="str">
        <f t="shared" si="0"/>
        <v xml:space="preserve">
UPDATE metadata_reference.etl_metadata_reference 
SET srccolumnname = tgtcolumnname 
WHERE sourcesystemname = 'CLK' AND srctablename = 'CUST_CST_CUPT' AND tgtcolumnname = 'CUPT_DOV_ORIG' AND loadtype = 'History';</v>
      </c>
    </row>
    <row r="21" spans="1:7">
      <c r="A21" t="s">
        <v>783</v>
      </c>
      <c r="B21" t="s">
        <v>77</v>
      </c>
      <c r="C21" t="s">
        <v>317</v>
      </c>
      <c r="D21" t="s">
        <v>317</v>
      </c>
      <c r="E21" t="s">
        <v>319</v>
      </c>
      <c r="F21" t="s">
        <v>319</v>
      </c>
      <c r="G21" t="str">
        <f t="shared" si="0"/>
        <v xml:space="preserve">
UPDATE metadata_reference.etl_metadata_reference 
SET srccolumnname = tgtcolumnname 
WHERE sourcesystemname = 'CLK' AND srctablename = 'DETM_DETIS_BBDS' AND tgtcolumnname = 'BBDS_DOE_ORIG' AND loadtype = 'History';</v>
      </c>
    </row>
    <row r="22" spans="1:7">
      <c r="A22" t="s">
        <v>783</v>
      </c>
      <c r="B22" t="s">
        <v>77</v>
      </c>
      <c r="C22" t="s">
        <v>329</v>
      </c>
      <c r="D22" t="s">
        <v>329</v>
      </c>
      <c r="E22" t="s">
        <v>331</v>
      </c>
      <c r="F22" t="s">
        <v>331</v>
      </c>
      <c r="G22" t="str">
        <f t="shared" si="0"/>
        <v xml:space="preserve">
UPDATE metadata_reference.etl_metadata_reference 
SET srccolumnname = tgtcolumnname 
WHERE sourcesystemname = 'CLK' AND srctablename = 'DETM_DETIS_C9DS' AND tgtcolumnname = 'C9DS_DOE_ORIG' AND loadtype = 'History';</v>
      </c>
    </row>
    <row r="23" spans="1:7">
      <c r="A23" t="s">
        <v>783</v>
      </c>
      <c r="B23" t="s">
        <v>77</v>
      </c>
      <c r="C23" t="s">
        <v>339</v>
      </c>
      <c r="D23" t="s">
        <v>339</v>
      </c>
      <c r="E23" t="s">
        <v>345</v>
      </c>
      <c r="F23" t="s">
        <v>345</v>
      </c>
      <c r="G23" t="str">
        <f t="shared" si="0"/>
        <v xml:space="preserve">
UPDATE metadata_reference.etl_metadata_reference 
SET srccolumnname = tgtcolumnname 
WHERE sourcesystemname = 'CLK' AND srctablename = 'DETM_DETIS_CBDS' AND tgtcolumnname = 'CBDS_DOE_ORIG' AND loadtype = 'History';</v>
      </c>
    </row>
    <row r="24" spans="1:7">
      <c r="A24" t="s">
        <v>783</v>
      </c>
      <c r="B24" t="s">
        <v>77</v>
      </c>
      <c r="C24" t="s">
        <v>348</v>
      </c>
      <c r="D24" t="s">
        <v>348</v>
      </c>
      <c r="E24" t="s">
        <v>350</v>
      </c>
      <c r="F24" t="s">
        <v>350</v>
      </c>
      <c r="G24" t="str">
        <f t="shared" si="0"/>
        <v xml:space="preserve">
UPDATE metadata_reference.etl_metadata_reference 
SET srccolumnname = tgtcolumnname 
WHERE sourcesystemname = 'CLK' AND srctablename = 'DETM_DETIS_CCDS' AND tgtcolumnname = 'CCDS_DOE_ORIG' AND loadtype = 'History';</v>
      </c>
    </row>
    <row r="25" spans="1:7">
      <c r="A25" t="s">
        <v>783</v>
      </c>
      <c r="B25" t="s">
        <v>77</v>
      </c>
      <c r="C25" t="s">
        <v>358</v>
      </c>
      <c r="D25" t="s">
        <v>358</v>
      </c>
      <c r="E25" t="s">
        <v>360</v>
      </c>
      <c r="F25" t="s">
        <v>360</v>
      </c>
      <c r="G25" t="str">
        <f t="shared" si="0"/>
        <v xml:space="preserve">
UPDATE metadata_reference.etl_metadata_reference 
SET srccolumnname = tgtcolumnname 
WHERE sourcesystemname = 'CLK' AND srctablename = 'DETM_DETIS_CJDS' AND tgtcolumnname = 'CJDS_DOE_ORIG' AND loadtype = 'History';</v>
      </c>
    </row>
    <row r="26" spans="1:7">
      <c r="A26" t="s">
        <v>783</v>
      </c>
      <c r="B26" t="s">
        <v>77</v>
      </c>
      <c r="C26" t="s">
        <v>368</v>
      </c>
      <c r="D26" t="s">
        <v>368</v>
      </c>
      <c r="E26" t="s">
        <v>370</v>
      </c>
      <c r="F26" t="s">
        <v>370</v>
      </c>
      <c r="G26" t="str">
        <f t="shared" si="0"/>
        <v xml:space="preserve">
UPDATE metadata_reference.etl_metadata_reference 
SET srccolumnname = tgtcolumnname 
WHERE sourcesystemname = 'CLK' AND srctablename = 'DETM_DETIS_CZDS' AND tgtcolumnname = 'CZDS_DOE_ORIG' AND loadtype = 'History';</v>
      </c>
    </row>
    <row r="27" spans="1:7">
      <c r="A27" t="s">
        <v>783</v>
      </c>
      <c r="B27" t="s">
        <v>77</v>
      </c>
      <c r="C27" t="s">
        <v>378</v>
      </c>
      <c r="D27" t="s">
        <v>378</v>
      </c>
      <c r="E27" t="s">
        <v>380</v>
      </c>
      <c r="F27" t="s">
        <v>380</v>
      </c>
      <c r="G27" t="str">
        <f t="shared" si="0"/>
        <v xml:space="preserve">
UPDATE metadata_reference.etl_metadata_reference 
SET srccolumnname = tgtcolumnname 
WHERE sourcesystemname = 'CLK' AND srctablename = 'DETM_DETIS_D3DS' AND tgtcolumnname = 'D3DS_DOE_ORIG' AND loadtype = 'History';</v>
      </c>
    </row>
    <row r="28" spans="1:7">
      <c r="A28" t="s">
        <v>783</v>
      </c>
      <c r="B28" t="s">
        <v>77</v>
      </c>
      <c r="C28" t="s">
        <v>388</v>
      </c>
      <c r="D28" t="s">
        <v>388</v>
      </c>
      <c r="E28" t="s">
        <v>390</v>
      </c>
      <c r="F28" t="s">
        <v>390</v>
      </c>
      <c r="G28" t="str">
        <f t="shared" si="0"/>
        <v xml:space="preserve">
UPDATE metadata_reference.etl_metadata_reference 
SET srccolumnname = tgtcolumnname 
WHERE sourcesystemname = 'CLK' AND srctablename = 'DETM_DETIS_DHDS' AND tgtcolumnname = 'DHDS_DOE_ORIG' AND loadtype = 'History';</v>
      </c>
    </row>
    <row r="29" spans="1:7">
      <c r="A29" t="s">
        <v>783</v>
      </c>
      <c r="B29" t="s">
        <v>77</v>
      </c>
      <c r="C29" t="s">
        <v>398</v>
      </c>
      <c r="D29" t="s">
        <v>398</v>
      </c>
      <c r="E29" t="s">
        <v>400</v>
      </c>
      <c r="F29" t="s">
        <v>400</v>
      </c>
      <c r="G29" t="str">
        <f t="shared" si="0"/>
        <v xml:space="preserve">
UPDATE metadata_reference.etl_metadata_reference 
SET srccolumnname = tgtcolumnname 
WHERE sourcesystemname = 'CLK' AND srctablename = 'DETM_DETIS_DPDS' AND tgtcolumnname = 'DPDS_DOE_ORIG' AND loadtype = 'History';</v>
      </c>
    </row>
    <row r="30" spans="1:7">
      <c r="A30" t="s">
        <v>783</v>
      </c>
      <c r="B30" t="s">
        <v>77</v>
      </c>
      <c r="C30" t="s">
        <v>408</v>
      </c>
      <c r="D30" t="s">
        <v>408</v>
      </c>
      <c r="E30" t="s">
        <v>410</v>
      </c>
      <c r="F30" t="s">
        <v>410</v>
      </c>
      <c r="G30" t="str">
        <f t="shared" si="0"/>
        <v xml:space="preserve">
UPDATE metadata_reference.etl_metadata_reference 
SET srccolumnname = tgtcolumnname 
WHERE sourcesystemname = 'CLK' AND srctablename = 'DETM_DETIS_EEDS' AND tgtcolumnname = 'EEDS_DOE_ORIG' AND loadtype = 'History';</v>
      </c>
    </row>
    <row r="31" spans="1:7">
      <c r="A31" t="s">
        <v>783</v>
      </c>
      <c r="B31" t="s">
        <v>77</v>
      </c>
      <c r="C31" t="s">
        <v>418</v>
      </c>
      <c r="D31" t="s">
        <v>418</v>
      </c>
      <c r="E31" t="s">
        <v>420</v>
      </c>
      <c r="F31" t="s">
        <v>420</v>
      </c>
      <c r="G31" t="str">
        <f t="shared" si="0"/>
        <v xml:space="preserve">
UPDATE metadata_reference.etl_metadata_reference 
SET srccolumnname = tgtcolumnname 
WHERE sourcesystemname = 'CLK' AND srctablename = 'DETM_DETIS_EHDS' AND tgtcolumnname = 'EHDS_DOE_ORIG' AND loadtype = 'History';</v>
      </c>
    </row>
    <row r="32" spans="1:7">
      <c r="A32" t="s">
        <v>783</v>
      </c>
      <c r="B32" t="s">
        <v>77</v>
      </c>
      <c r="C32" t="s">
        <v>427</v>
      </c>
      <c r="D32" t="s">
        <v>427</v>
      </c>
      <c r="E32" t="s">
        <v>429</v>
      </c>
      <c r="F32" t="s">
        <v>429</v>
      </c>
      <c r="G32" t="str">
        <f t="shared" si="0"/>
        <v xml:space="preserve">
UPDATE metadata_reference.etl_metadata_reference 
SET srccolumnname = tgtcolumnname 
WHERE sourcesystemname = 'CLK' AND srctablename = 'DETM_DETIS_EMDS' AND tgtcolumnname = 'EMDS_DOE_ORIG' AND loadtype = 'History';</v>
      </c>
    </row>
    <row r="33" spans="1:7">
      <c r="A33" t="s">
        <v>783</v>
      </c>
      <c r="B33" t="s">
        <v>77</v>
      </c>
      <c r="C33" t="s">
        <v>437</v>
      </c>
      <c r="D33" t="s">
        <v>437</v>
      </c>
      <c r="E33" t="s">
        <v>439</v>
      </c>
      <c r="F33" t="s">
        <v>439</v>
      </c>
      <c r="G33" t="str">
        <f t="shared" si="0"/>
        <v xml:space="preserve">
UPDATE metadata_reference.etl_metadata_reference 
SET srccolumnname = tgtcolumnname 
WHERE sourcesystemname = 'CLK' AND srctablename = 'DETM_DETIS_ESDS' AND tgtcolumnname = 'ESDS_DOE_ORIG' AND loadtype = 'History';</v>
      </c>
    </row>
    <row r="34" spans="1:7">
      <c r="A34" t="s">
        <v>783</v>
      </c>
      <c r="B34" t="s">
        <v>77</v>
      </c>
      <c r="C34" t="s">
        <v>446</v>
      </c>
      <c r="D34" t="s">
        <v>446</v>
      </c>
      <c r="E34" t="s">
        <v>448</v>
      </c>
      <c r="F34" t="s">
        <v>448</v>
      </c>
      <c r="G34" t="str">
        <f t="shared" si="0"/>
        <v xml:space="preserve">
UPDATE metadata_reference.etl_metadata_reference 
SET srccolumnname = tgtcolumnname 
WHERE sourcesystemname = 'CLK' AND srctablename = 'DETM_DETIS_F2DS' AND tgtcolumnname = 'F2DS_DOE_ORIG' AND loadtype = 'History';</v>
      </c>
    </row>
    <row r="35" spans="1:7">
      <c r="A35" t="s">
        <v>783</v>
      </c>
      <c r="B35" t="s">
        <v>77</v>
      </c>
      <c r="C35" t="s">
        <v>456</v>
      </c>
      <c r="D35" t="s">
        <v>456</v>
      </c>
      <c r="E35" t="s">
        <v>458</v>
      </c>
      <c r="F35" t="s">
        <v>458</v>
      </c>
      <c r="G35" t="str">
        <f t="shared" si="0"/>
        <v xml:space="preserve">
UPDATE metadata_reference.etl_metadata_reference 
SET srccolumnname = tgtcolumnname 
WHERE sourcesystemname = 'CLK' AND srctablename = 'DETM_DETIS_FDDS' AND tgtcolumnname = 'FDDS_DOE_ORIG' AND loadtype = 'History';</v>
      </c>
    </row>
    <row r="36" spans="1:7">
      <c r="A36" t="s">
        <v>783</v>
      </c>
      <c r="B36" t="s">
        <v>77</v>
      </c>
      <c r="C36" t="s">
        <v>466</v>
      </c>
      <c r="D36" t="s">
        <v>466</v>
      </c>
      <c r="E36" t="s">
        <v>468</v>
      </c>
      <c r="F36" t="s">
        <v>468</v>
      </c>
      <c r="G36" t="str">
        <f t="shared" si="0"/>
        <v xml:space="preserve">
UPDATE metadata_reference.etl_metadata_reference 
SET srccolumnname = tgtcolumnname 
WHERE sourcesystemname = 'CLK' AND srctablename = 'DETM_DETIS_FFDS' AND tgtcolumnname = 'FFDS_DOE_ORIG' AND loadtype = 'History';</v>
      </c>
    </row>
    <row r="37" spans="1:7">
      <c r="A37" t="s">
        <v>783</v>
      </c>
      <c r="B37" t="s">
        <v>77</v>
      </c>
      <c r="C37" t="s">
        <v>476</v>
      </c>
      <c r="D37" t="s">
        <v>476</v>
      </c>
      <c r="E37" t="s">
        <v>478</v>
      </c>
      <c r="F37" t="s">
        <v>478</v>
      </c>
      <c r="G37" t="str">
        <f t="shared" si="0"/>
        <v xml:space="preserve">
UPDATE metadata_reference.etl_metadata_reference 
SET srccolumnname = tgtcolumnname 
WHERE sourcesystemname = 'CLK' AND srctablename = 'DETM_DETIS_FHDS' AND tgtcolumnname = 'FHDS_DOE_ORIG' AND loadtype = 'History';</v>
      </c>
    </row>
    <row r="38" spans="1:7">
      <c r="A38" t="s">
        <v>783</v>
      </c>
      <c r="B38" t="s">
        <v>77</v>
      </c>
      <c r="C38" t="s">
        <v>485</v>
      </c>
      <c r="D38" t="s">
        <v>485</v>
      </c>
      <c r="E38" t="s">
        <v>487</v>
      </c>
      <c r="F38" t="s">
        <v>487</v>
      </c>
      <c r="G38" t="str">
        <f t="shared" si="0"/>
        <v xml:space="preserve">
UPDATE metadata_reference.etl_metadata_reference 
SET srccolumnname = tgtcolumnname 
WHERE sourcesystemname = 'CLK' AND srctablename = 'DETM_DETIS_FTDS' AND tgtcolumnname = 'FTDS_DOE_ORIG' AND loadtype = 'History';</v>
      </c>
    </row>
    <row r="39" spans="1:7">
      <c r="A39" t="s">
        <v>783</v>
      </c>
      <c r="B39" t="s">
        <v>77</v>
      </c>
      <c r="C39" t="s">
        <v>495</v>
      </c>
      <c r="D39" t="s">
        <v>495</v>
      </c>
      <c r="E39" t="s">
        <v>497</v>
      </c>
      <c r="F39" t="s">
        <v>497</v>
      </c>
      <c r="G39" t="str">
        <f t="shared" si="0"/>
        <v xml:space="preserve">
UPDATE metadata_reference.etl_metadata_reference 
SET srccolumnname = tgtcolumnname 
WHERE sourcesystemname = 'CLK' AND srctablename = 'DETM_DETIS_FYDS' AND tgtcolumnname = 'FYDS_DOE_ORIG' AND loadtype = 'History';</v>
      </c>
    </row>
    <row r="40" spans="1:7">
      <c r="A40" t="s">
        <v>783</v>
      </c>
      <c r="B40" t="s">
        <v>77</v>
      </c>
      <c r="C40" t="s">
        <v>505</v>
      </c>
      <c r="D40" t="s">
        <v>505</v>
      </c>
      <c r="E40" t="s">
        <v>510</v>
      </c>
      <c r="F40" t="s">
        <v>510</v>
      </c>
      <c r="G40" t="str">
        <f t="shared" si="0"/>
        <v xml:space="preserve">
UPDATE metadata_reference.etl_metadata_reference 
SET srccolumnname = tgtcolumnname 
WHERE sourcesystemname = 'CLK' AND srctablename = 'DETM_DETIS_GPDS' AND tgtcolumnname = 'GPDS_DOE_ORIG' AND loadtype = 'History';</v>
      </c>
    </row>
    <row r="41" spans="1:7">
      <c r="A41" t="s">
        <v>783</v>
      </c>
      <c r="B41" t="s">
        <v>77</v>
      </c>
      <c r="C41" t="s">
        <v>517</v>
      </c>
      <c r="D41" t="s">
        <v>517</v>
      </c>
      <c r="E41" t="s">
        <v>519</v>
      </c>
      <c r="F41" t="s">
        <v>519</v>
      </c>
      <c r="G41" t="str">
        <f t="shared" si="0"/>
        <v xml:space="preserve">
UPDATE metadata_reference.etl_metadata_reference 
SET srccolumnname = tgtcolumnname 
WHERE sourcesystemname = 'CLK' AND srctablename = 'DETM_DETIS_HDDS' AND tgtcolumnname = 'HDDS_DOE_ORIG' AND loadtype = 'History';</v>
      </c>
    </row>
    <row r="42" spans="1:7">
      <c r="A42" t="s">
        <v>783</v>
      </c>
      <c r="B42" t="s">
        <v>77</v>
      </c>
      <c r="C42" t="s">
        <v>517</v>
      </c>
      <c r="D42" t="s">
        <v>517</v>
      </c>
      <c r="E42" t="s">
        <v>526</v>
      </c>
      <c r="F42" t="s">
        <v>526</v>
      </c>
      <c r="G42" t="str">
        <f t="shared" si="0"/>
        <v xml:space="preserve">
UPDATE metadata_reference.etl_metadata_reference 
SET srccolumnname = tgtcolumnname 
WHERE sourcesystemname = 'CLK' AND srctablename = 'DETM_DETIS_HDDS' AND tgtcolumnname = 'HDDS_LMT_DATE_ORIG' AND loadtype = 'History';</v>
      </c>
    </row>
    <row r="43" spans="1:7">
      <c r="A43" t="s">
        <v>783</v>
      </c>
      <c r="B43" t="s">
        <v>77</v>
      </c>
      <c r="C43" t="s">
        <v>528</v>
      </c>
      <c r="D43" t="s">
        <v>528</v>
      </c>
      <c r="E43" t="s">
        <v>530</v>
      </c>
      <c r="F43" t="s">
        <v>530</v>
      </c>
      <c r="G43" t="str">
        <f t="shared" si="0"/>
        <v xml:space="preserve">
UPDATE metadata_reference.etl_metadata_reference 
SET srccolumnname = tgtcolumnname 
WHERE sourcesystemname = 'CLK' AND srctablename = 'DETM_DETIS_JCDS' AND tgtcolumnname = 'JCDS_DOE_ORIG' AND loadtype = 'History';</v>
      </c>
    </row>
    <row r="44" spans="1:7">
      <c r="A44" t="s">
        <v>783</v>
      </c>
      <c r="B44" t="s">
        <v>77</v>
      </c>
      <c r="C44" t="s">
        <v>538</v>
      </c>
      <c r="D44" t="s">
        <v>538</v>
      </c>
      <c r="E44" t="s">
        <v>539</v>
      </c>
      <c r="F44" t="s">
        <v>540</v>
      </c>
      <c r="G44" t="str">
        <f t="shared" si="0"/>
        <v xml:space="preserve">
UPDATE metadata_reference.etl_metadata_reference 
SET srccolumnname = tgtcolumnname 
WHERE sourcesystemname = 'CLK' AND srctablename = 'DETM_DETIS_JMDS' AND tgtcolumnname = 'JMDS_DOE_ORIG' AND loadtype = 'History';</v>
      </c>
    </row>
    <row r="45" spans="1:7">
      <c r="A45" t="s">
        <v>783</v>
      </c>
      <c r="B45" t="s">
        <v>77</v>
      </c>
      <c r="C45" t="s">
        <v>547</v>
      </c>
      <c r="D45" t="s">
        <v>547</v>
      </c>
      <c r="E45" t="s">
        <v>551</v>
      </c>
      <c r="F45" t="s">
        <v>552</v>
      </c>
      <c r="G45" t="str">
        <f t="shared" si="0"/>
        <v xml:space="preserve">
UPDATE metadata_reference.etl_metadata_reference 
SET srccolumnname = tgtcolumnname 
WHERE sourcesystemname = 'CLK' AND srctablename = 'DETM_DETIS_K9DS' AND tgtcolumnname = 'K9DS_DOE_ORIG' AND loadtype = 'History';</v>
      </c>
    </row>
    <row r="46" spans="1:7">
      <c r="A46" t="s">
        <v>783</v>
      </c>
      <c r="B46" t="s">
        <v>77</v>
      </c>
      <c r="C46" t="s">
        <v>557</v>
      </c>
      <c r="D46" t="s">
        <v>557</v>
      </c>
      <c r="E46" t="s">
        <v>558</v>
      </c>
      <c r="F46" t="s">
        <v>559</v>
      </c>
      <c r="G46" t="str">
        <f t="shared" si="0"/>
        <v xml:space="preserve">
UPDATE metadata_reference.etl_metadata_reference 
SET srccolumnname = tgtcolumnname 
WHERE sourcesystemname = 'CLK' AND srctablename = 'DETM_DETIS_LIDS' AND tgtcolumnname = 'LIDS_DOE_ORIG' AND loadtype = 'History';</v>
      </c>
    </row>
    <row r="47" spans="1:7">
      <c r="A47" t="s">
        <v>783</v>
      </c>
      <c r="B47" t="s">
        <v>77</v>
      </c>
      <c r="C47" t="s">
        <v>566</v>
      </c>
      <c r="D47" t="s">
        <v>566</v>
      </c>
      <c r="E47" t="s">
        <v>567</v>
      </c>
      <c r="F47" t="s">
        <v>568</v>
      </c>
      <c r="G47" t="str">
        <f t="shared" si="0"/>
        <v xml:space="preserve">
UPDATE metadata_reference.etl_metadata_reference 
SET srccolumnname = tgtcolumnname 
WHERE sourcesystemname = 'CLK' AND srctablename = 'DETM_DETIS_LSDS' AND tgtcolumnname = 'LSDS_DOE_ORIG' AND loadtype = 'History';</v>
      </c>
    </row>
    <row r="48" spans="1:7">
      <c r="A48" t="s">
        <v>783</v>
      </c>
      <c r="B48" t="s">
        <v>77</v>
      </c>
      <c r="C48" t="s">
        <v>575</v>
      </c>
      <c r="D48" t="s">
        <v>575</v>
      </c>
      <c r="E48" t="s">
        <v>576</v>
      </c>
      <c r="F48" t="s">
        <v>577</v>
      </c>
      <c r="G48" t="str">
        <f t="shared" si="0"/>
        <v xml:space="preserve">
UPDATE metadata_reference.etl_metadata_reference 
SET srccolumnname = tgtcolumnname 
WHERE sourcesystemname = 'CLK' AND srctablename = 'DETM_DETIS_M9DS' AND tgtcolumnname = 'M9DS_DOE_ORIG' AND loadtype = 'History';</v>
      </c>
    </row>
    <row r="49" spans="1:7">
      <c r="A49" t="s">
        <v>783</v>
      </c>
      <c r="B49" t="s">
        <v>77</v>
      </c>
      <c r="C49" t="s">
        <v>585</v>
      </c>
      <c r="D49" t="s">
        <v>585</v>
      </c>
      <c r="E49" t="s">
        <v>586</v>
      </c>
      <c r="F49" t="s">
        <v>587</v>
      </c>
      <c r="G49" t="str">
        <f t="shared" si="0"/>
        <v xml:space="preserve">
UPDATE metadata_reference.etl_metadata_reference 
SET srccolumnname = tgtcolumnname 
WHERE sourcesystemname = 'CLK' AND srctablename = 'DETM_DETIS_MODS' AND tgtcolumnname = 'MODS_DOE_ORIG' AND loadtype = 'History';</v>
      </c>
    </row>
    <row r="50" spans="1:7">
      <c r="A50" t="s">
        <v>783</v>
      </c>
      <c r="B50" t="s">
        <v>77</v>
      </c>
      <c r="C50" t="s">
        <v>594</v>
      </c>
      <c r="D50" t="s">
        <v>594</v>
      </c>
      <c r="E50" t="s">
        <v>595</v>
      </c>
      <c r="F50" t="s">
        <v>596</v>
      </c>
      <c r="G50" t="str">
        <f t="shared" si="0"/>
        <v xml:space="preserve">
UPDATE metadata_reference.etl_metadata_reference 
SET srccolumnname = tgtcolumnname 
WHERE sourcesystemname = 'CLK' AND srctablename = 'DETM_DETIS_MPDS' AND tgtcolumnname = 'MPDS_DOE_ORIG' AND loadtype = 'History';</v>
      </c>
    </row>
    <row r="51" spans="1:7">
      <c r="A51" t="s">
        <v>783</v>
      </c>
      <c r="B51" t="s">
        <v>77</v>
      </c>
      <c r="C51" t="s">
        <v>604</v>
      </c>
      <c r="D51" t="s">
        <v>604</v>
      </c>
      <c r="E51" t="s">
        <v>605</v>
      </c>
      <c r="F51" t="s">
        <v>606</v>
      </c>
      <c r="G51" t="str">
        <f t="shared" si="0"/>
        <v xml:space="preserve">
UPDATE metadata_reference.etl_metadata_reference 
SET srccolumnname = tgtcolumnname 
WHERE sourcesystemname = 'CLK' AND srctablename = 'DETM_DETIS_MYDS' AND tgtcolumnname = 'MYDS_DOE_ORIG' AND loadtype = 'History';</v>
      </c>
    </row>
    <row r="52" spans="1:7">
      <c r="A52" t="s">
        <v>783</v>
      </c>
      <c r="B52" t="s">
        <v>77</v>
      </c>
      <c r="C52" t="s">
        <v>614</v>
      </c>
      <c r="D52" t="s">
        <v>614</v>
      </c>
      <c r="E52" t="s">
        <v>615</v>
      </c>
      <c r="F52" t="s">
        <v>616</v>
      </c>
      <c r="G52" t="str">
        <f t="shared" si="0"/>
        <v xml:space="preserve">
UPDATE metadata_reference.etl_metadata_reference 
SET srccolumnname = tgtcolumnname 
WHERE sourcesystemname = 'CLK' AND srctablename = 'DETM_DETIS_N9DS' AND tgtcolumnname = 'N9DS_DOE_ORIG' AND loadtype = 'History';</v>
      </c>
    </row>
    <row r="53" spans="1:7">
      <c r="A53" t="s">
        <v>783</v>
      </c>
      <c r="B53" t="s">
        <v>77</v>
      </c>
      <c r="C53" t="s">
        <v>624</v>
      </c>
      <c r="D53" t="s">
        <v>624</v>
      </c>
      <c r="E53" t="s">
        <v>625</v>
      </c>
      <c r="F53" t="s">
        <v>626</v>
      </c>
      <c r="G53" t="str">
        <f t="shared" si="0"/>
        <v xml:space="preserve">
UPDATE metadata_reference.etl_metadata_reference 
SET srccolumnname = tgtcolumnname 
WHERE sourcesystemname = 'CLK' AND srctablename = 'DETM_DETIS_NRDS' AND tgtcolumnname = 'NRDS_DOE_ORIG' AND loadtype = 'History';</v>
      </c>
    </row>
    <row r="54" spans="1:7">
      <c r="A54" t="s">
        <v>783</v>
      </c>
      <c r="B54" t="s">
        <v>77</v>
      </c>
      <c r="C54" t="s">
        <v>634</v>
      </c>
      <c r="D54" t="s">
        <v>634</v>
      </c>
      <c r="E54" t="s">
        <v>636</v>
      </c>
      <c r="F54" t="s">
        <v>636</v>
      </c>
      <c r="G54" t="str">
        <f t="shared" si="0"/>
        <v xml:space="preserve">
UPDATE metadata_reference.etl_metadata_reference 
SET srccolumnname = tgtcolumnname 
WHERE sourcesystemname = 'CLK' AND srctablename = 'DETM_DETIS_NSDS' AND tgtcolumnname = 'NSDS_DOE_ORIG' AND loadtype = 'History';</v>
      </c>
    </row>
    <row r="55" spans="1:7">
      <c r="A55" t="s">
        <v>783</v>
      </c>
      <c r="B55" t="s">
        <v>77</v>
      </c>
      <c r="C55" t="s">
        <v>644</v>
      </c>
      <c r="D55" t="s">
        <v>644</v>
      </c>
      <c r="E55" t="s">
        <v>645</v>
      </c>
      <c r="F55" t="s">
        <v>646</v>
      </c>
      <c r="G55" t="str">
        <f t="shared" si="0"/>
        <v xml:space="preserve">
UPDATE metadata_reference.etl_metadata_reference 
SET srccolumnname = tgtcolumnname 
WHERE sourcesystemname = 'CLK' AND srctablename = 'DETM_DETIS_P1DS' AND tgtcolumnname = 'P1DS_DOE_ORIG' AND loadtype = 'History';</v>
      </c>
    </row>
    <row r="56" spans="1:7">
      <c r="A56" t="s">
        <v>783</v>
      </c>
      <c r="B56" t="s">
        <v>77</v>
      </c>
      <c r="C56" t="s">
        <v>654</v>
      </c>
      <c r="D56" t="s">
        <v>654</v>
      </c>
      <c r="E56" t="s">
        <v>655</v>
      </c>
      <c r="F56" t="s">
        <v>656</v>
      </c>
      <c r="G56" t="str">
        <f t="shared" si="0"/>
        <v xml:space="preserve">
UPDATE metadata_reference.etl_metadata_reference 
SET srccolumnname = tgtcolumnname 
WHERE sourcesystemname = 'CLK' AND srctablename = 'DETM_DETIS_PGDS' AND tgtcolumnname = 'PGDS_DOE_ORIG' AND loadtype = 'History';</v>
      </c>
    </row>
    <row r="57" spans="1:7">
      <c r="A57" t="s">
        <v>783</v>
      </c>
      <c r="B57" t="s">
        <v>77</v>
      </c>
      <c r="C57" t="s">
        <v>664</v>
      </c>
      <c r="D57" t="s">
        <v>664</v>
      </c>
      <c r="E57" t="s">
        <v>665</v>
      </c>
      <c r="F57" t="s">
        <v>666</v>
      </c>
      <c r="G57" t="str">
        <f t="shared" si="0"/>
        <v xml:space="preserve">
UPDATE metadata_reference.etl_metadata_reference 
SET srccolumnname = tgtcolumnname 
WHERE sourcesystemname = 'CLK' AND srctablename = 'DETM_DETIS_PJDS' AND tgtcolumnname = 'PJDS_DOE_ORIG' AND loadtype = 'History';</v>
      </c>
    </row>
    <row r="58" spans="1:7">
      <c r="A58" t="s">
        <v>783</v>
      </c>
      <c r="B58" t="s">
        <v>77</v>
      </c>
      <c r="C58" t="s">
        <v>674</v>
      </c>
      <c r="D58" t="s">
        <v>674</v>
      </c>
      <c r="E58" t="s">
        <v>675</v>
      </c>
      <c r="F58" t="s">
        <v>676</v>
      </c>
      <c r="G58" t="str">
        <f t="shared" si="0"/>
        <v xml:space="preserve">
UPDATE metadata_reference.etl_metadata_reference 
SET srccolumnname = tgtcolumnname 
WHERE sourcesystemname = 'CLK' AND srctablename = 'DETM_DETIS_PNDS' AND tgtcolumnname = 'PNDS_DOE_ORIG' AND loadtype = 'History';</v>
      </c>
    </row>
    <row r="59" spans="1:7">
      <c r="A59" t="s">
        <v>783</v>
      </c>
      <c r="B59" t="s">
        <v>77</v>
      </c>
      <c r="C59" t="s">
        <v>674</v>
      </c>
      <c r="D59" t="s">
        <v>674</v>
      </c>
      <c r="E59" t="s">
        <v>681</v>
      </c>
      <c r="F59" t="s">
        <v>682</v>
      </c>
      <c r="G59" t="str">
        <f t="shared" si="0"/>
        <v xml:space="preserve">
UPDATE metadata_reference.etl_metadata_reference 
SET srccolumnname = tgtcolumnname 
WHERE sourcesystemname = 'CLK' AND srctablename = 'DETM_DETIS_PNDS' AND tgtcolumnname = 'PNDS_PRCL_END_DATE_ORIG' AND loadtype = 'History';</v>
      </c>
    </row>
    <row r="60" spans="1:7">
      <c r="A60" t="s">
        <v>783</v>
      </c>
      <c r="B60" t="s">
        <v>77</v>
      </c>
      <c r="C60" t="s">
        <v>685</v>
      </c>
      <c r="D60" t="s">
        <v>685</v>
      </c>
      <c r="E60" t="s">
        <v>686</v>
      </c>
      <c r="F60" t="s">
        <v>687</v>
      </c>
      <c r="G60" t="str">
        <f t="shared" si="0"/>
        <v xml:space="preserve">
UPDATE metadata_reference.etl_metadata_reference 
SET srccolumnname = tgtcolumnname 
WHERE sourcesystemname = 'CLK' AND srctablename = 'DETM_DETIS_RCDS' AND tgtcolumnname = 'RCDS_DOE_ORIG' AND loadtype = 'History';</v>
      </c>
    </row>
    <row r="61" spans="1:7">
      <c r="A61" t="s">
        <v>783</v>
      </c>
      <c r="B61" t="s">
        <v>77</v>
      </c>
      <c r="C61" t="s">
        <v>695</v>
      </c>
      <c r="D61" t="s">
        <v>695</v>
      </c>
      <c r="E61" t="s">
        <v>696</v>
      </c>
      <c r="F61" t="s">
        <v>697</v>
      </c>
      <c r="G61" t="str">
        <f t="shared" si="0"/>
        <v xml:space="preserve">
UPDATE metadata_reference.etl_metadata_reference 
SET srccolumnname = tgtcolumnname 
WHERE sourcesystemname = 'CLK' AND srctablename = 'DETM_DETIS_SHDS' AND tgtcolumnname = 'SHDS_DOE_ORIG' AND loadtype = 'History';</v>
      </c>
    </row>
    <row r="62" spans="1:7">
      <c r="A62" t="s">
        <v>783</v>
      </c>
      <c r="B62" t="s">
        <v>77</v>
      </c>
      <c r="C62" t="s">
        <v>705</v>
      </c>
      <c r="D62" t="s">
        <v>705</v>
      </c>
      <c r="E62" t="s">
        <v>706</v>
      </c>
      <c r="F62" t="s">
        <v>707</v>
      </c>
      <c r="G62" t="str">
        <f t="shared" si="0"/>
        <v xml:space="preserve">
UPDATE metadata_reference.etl_metadata_reference 
SET srccolumnname = tgtcolumnname 
WHERE sourcesystemname = 'CLK' AND srctablename = 'DETM_DETIS_TLDS' AND tgtcolumnname = 'TLDS_DOE_ORIG' AND loadtype = 'History';</v>
      </c>
    </row>
    <row r="63" spans="1:7">
      <c r="A63" t="s">
        <v>783</v>
      </c>
      <c r="B63" t="s">
        <v>77</v>
      </c>
      <c r="C63" t="s">
        <v>714</v>
      </c>
      <c r="D63" t="s">
        <v>714</v>
      </c>
      <c r="E63" t="s">
        <v>718</v>
      </c>
      <c r="F63" t="s">
        <v>719</v>
      </c>
      <c r="G63" t="str">
        <f t="shared" si="0"/>
        <v xml:space="preserve">
UPDATE metadata_reference.etl_metadata_reference 
SET srccolumnname = tgtcolumnname 
WHERE sourcesystemname = 'CLK' AND srctablename = 'DETM_DETIS_VBDS' AND tgtcolumnname = 'VBDS_DOE_ORIG' AND loadtype = 'History';</v>
      </c>
    </row>
    <row r="64" spans="1:7">
      <c r="A64" t="s">
        <v>783</v>
      </c>
      <c r="B64" t="s">
        <v>77</v>
      </c>
      <c r="C64" t="s">
        <v>723</v>
      </c>
      <c r="D64" t="s">
        <v>723</v>
      </c>
      <c r="E64" t="s">
        <v>724</v>
      </c>
      <c r="F64" t="s">
        <v>725</v>
      </c>
      <c r="G64" t="str">
        <f t="shared" si="0"/>
        <v xml:space="preserve">
UPDATE metadata_reference.etl_metadata_reference 
SET srccolumnname = tgtcolumnname 
WHERE sourcesystemname = 'CLK' AND srctablename = 'DETM_DETIS_YBDS' AND tgtcolumnname = 'YBDS_DOE_ORIG' AND loadtype = 'History';</v>
      </c>
    </row>
    <row r="65" spans="1:7">
      <c r="A65" t="s">
        <v>783</v>
      </c>
      <c r="B65" t="s">
        <v>77</v>
      </c>
      <c r="C65" t="s">
        <v>732</v>
      </c>
      <c r="D65" t="s">
        <v>732</v>
      </c>
      <c r="E65" t="s">
        <v>733</v>
      </c>
      <c r="F65" t="s">
        <v>734</v>
      </c>
      <c r="G65" t="str">
        <f t="shared" si="0"/>
        <v xml:space="preserve">
UPDATE metadata_reference.etl_metadata_reference 
SET srccolumnname = tgtcolumnname 
WHERE sourcesystemname = 'CLK' AND srctablename = 'DETM_DETIS_YCDS' AND tgtcolumnname = 'YCDS_DOE_ORIG' AND loadtype = 'History';</v>
      </c>
    </row>
    <row r="66" spans="1:7">
      <c r="A66" t="s">
        <v>783</v>
      </c>
      <c r="B66" t="s">
        <v>77</v>
      </c>
      <c r="C66" t="s">
        <v>741</v>
      </c>
      <c r="D66" t="s">
        <v>741</v>
      </c>
      <c r="E66" t="s">
        <v>742</v>
      </c>
      <c r="F66" t="s">
        <v>743</v>
      </c>
      <c r="G66" t="str">
        <f t="shared" si="0"/>
        <v xml:space="preserve">
UPDATE metadata_reference.etl_metadata_reference 
SET srccolumnname = tgtcolumnname 
WHERE sourcesystemname = 'CLK' AND srctablename = 'DETM_DETIS_YPDS' AND tgtcolumnname = 'YPDS_DOE_ORIG' AND loadtype = 'History';</v>
      </c>
    </row>
    <row r="67" spans="1:7">
      <c r="A67" t="s">
        <v>783</v>
      </c>
      <c r="B67" t="s">
        <v>77</v>
      </c>
      <c r="C67" t="s">
        <v>754</v>
      </c>
      <c r="D67" t="s">
        <v>754</v>
      </c>
      <c r="E67" t="s">
        <v>755</v>
      </c>
      <c r="F67" t="s">
        <v>756</v>
      </c>
      <c r="G67" t="str">
        <f t="shared" ref="G67:G69" si="1">_xlfn.CONCAT("
UPDATE metadata_reference.etl_metadata_reference 
SET srccolumnname = tgtcolumnname 
WHERE sourcesystemname = '",TRIM($B67),"'",
" AND srctablename = '",TRIM($C67),"'",
" AND tgtcolumnname = '",TRIM($F67),"'",
" AND loadtype = '",TRIM($A67),"'",";"
)</f>
        <v xml:space="preserve">
UPDATE metadata_reference.etl_metadata_reference 
SET srccolumnname = tgtcolumnname 
WHERE sourcesystemname = 'CLK' AND srctablename = 'KIDS_CHILD_CHFC' AND tgtcolumnname = 'CHFC_DOV_ORIG' AND loadtype = 'History';</v>
      </c>
    </row>
    <row r="68" spans="1:7">
      <c r="A68" t="s">
        <v>783</v>
      </c>
      <c r="B68" t="s">
        <v>77</v>
      </c>
      <c r="C68" t="s">
        <v>764</v>
      </c>
      <c r="D68" t="s">
        <v>764</v>
      </c>
      <c r="E68" t="s">
        <v>765</v>
      </c>
      <c r="F68" t="s">
        <v>766</v>
      </c>
      <c r="G68" t="str">
        <f t="shared" si="1"/>
        <v xml:space="preserve">
UPDATE metadata_reference.etl_metadata_reference 
SET srccolumnname = tgtcolumnname 
WHERE sourcesystemname = 'CLK' AND srctablename = 'KIDS_CHILD_CHGP' AND tgtcolumnname = 'CHGP_DOV_ORIG' AND loadtype = 'History';</v>
      </c>
    </row>
    <row r="69" spans="1:7">
      <c r="A69" t="s">
        <v>783</v>
      </c>
      <c r="B69" t="s">
        <v>77</v>
      </c>
      <c r="C69" t="s">
        <v>772</v>
      </c>
      <c r="D69" t="s">
        <v>772</v>
      </c>
      <c r="E69" t="s">
        <v>778</v>
      </c>
      <c r="F69" t="s">
        <v>778</v>
      </c>
      <c r="G69" t="str">
        <f t="shared" si="1"/>
        <v xml:space="preserve">
UPDATE metadata_reference.etl_metadata_reference 
SET srccolumnname = tgtcolumnname 
WHERE sourcesystemname = 'CLK' AND srctablename = 'LNK0_GLNK_CULD' AND tgtcolumnname = 'CULD_DOV_ORIG' AND loadtype = 'History';</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Sattar, Tanveer</dc:creator>
  <cp:keywords/>
  <dc:description/>
  <cp:lastModifiedBy>Peddisetti, Praveen</cp:lastModifiedBy>
  <cp:revision/>
  <dcterms:created xsi:type="dcterms:W3CDTF">2015-06-05T18:17:20Z</dcterms:created>
  <dcterms:modified xsi:type="dcterms:W3CDTF">2026-01-29T00:41:22Z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b83f8d7-e91f-4eee-a336-52a8061c0503_Enabled">
    <vt:lpwstr>true</vt:lpwstr>
  </property>
  <property fmtid="{D5CDD505-2E9C-101B-9397-08002B2CF9AE}" pid="3" name="MSIP_Label_2b83f8d7-e91f-4eee-a336-52a8061c0503_SetDate">
    <vt:lpwstr>2025-12-12T01:14:37Z</vt:lpwstr>
  </property>
  <property fmtid="{D5CDD505-2E9C-101B-9397-08002B2CF9AE}" pid="4" name="MSIP_Label_2b83f8d7-e91f-4eee-a336-52a8061c0503_Method">
    <vt:lpwstr>Privileged</vt:lpwstr>
  </property>
  <property fmtid="{D5CDD505-2E9C-101B-9397-08002B2CF9AE}" pid="5" name="MSIP_Label_2b83f8d7-e91f-4eee-a336-52a8061c0503_Name">
    <vt:lpwstr>OFFICIAL</vt:lpwstr>
  </property>
  <property fmtid="{D5CDD505-2E9C-101B-9397-08002B2CF9AE}" pid="6" name="MSIP_Label_2b83f8d7-e91f-4eee-a336-52a8061c0503_SiteId">
    <vt:lpwstr>cd778b65-752d-454a-87cf-b9990fe58993</vt:lpwstr>
  </property>
  <property fmtid="{D5CDD505-2E9C-101B-9397-08002B2CF9AE}" pid="7" name="MSIP_Label_2b83f8d7-e91f-4eee-a336-52a8061c0503_ActionId">
    <vt:lpwstr>4b7f3321-954b-4ca1-bce0-321ac912cde8</vt:lpwstr>
  </property>
  <property fmtid="{D5CDD505-2E9C-101B-9397-08002B2CF9AE}" pid="8" name="MSIP_Label_2b83f8d7-e91f-4eee-a336-52a8061c0503_ContentBits">
    <vt:lpwstr>0</vt:lpwstr>
  </property>
  <property fmtid="{D5CDD505-2E9C-101B-9397-08002B2CF9AE}" pid="9" name="MSIP_Label_2b83f8d7-e91f-4eee-a336-52a8061c0503_Tag">
    <vt:lpwstr>10, 0, 1, 1</vt:lpwstr>
  </property>
</Properties>
</file>